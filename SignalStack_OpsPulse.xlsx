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70" windowWidth="29040" windowHeight="157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eekly Log" sheetId="2" state="visible" r:id="rId2"/>
    <sheet xmlns:r="http://schemas.openxmlformats.org/officeDocument/2006/relationships" name="Benchmarks" sheetId="3" state="visible" r:id="rId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&quot;h&quot;"/>
    <numFmt numFmtId="166" formatCode="#,##0.0"/>
    <numFmt numFmtId="167" formatCode="0.00000000"/>
    <numFmt numFmtId="168" formatCode="mm/dd/yyyy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1A3A5C"/>
      <sz val="9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A3A5C"/>
      <sz val="14"/>
    </font>
    <font>
      <name val="Arial"/>
      <color rgb="FF000000"/>
      <sz val="10"/>
    </font>
    <font>
      <name val="Arial"/>
      <b val="1"/>
      <color rgb="FF444441"/>
      <sz val="10"/>
    </font>
  </fonts>
  <fills count="10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D6E8F5"/>
      </patternFill>
    </fill>
    <fill>
      <patternFill patternType="solid">
        <fgColor rgb="FF3D8EB9"/>
      </patternFill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E0E0E0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/>
    </xf>
    <xf numFmtId="3" fontId="6" fillId="9" borderId="4" applyAlignment="1" pivotButton="0" quotePrefix="0" xfId="0">
      <alignment horizontal="center" vertical="center"/>
    </xf>
    <xf numFmtId="164" fontId="6" fillId="9" borderId="4" applyAlignment="1" pivotButton="0" quotePrefix="0" xfId="0">
      <alignment horizontal="center" vertical="center"/>
    </xf>
    <xf numFmtId="166" fontId="6" fillId="9" borderId="4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/>
    </xf>
    <xf numFmtId="3" fontId="0" fillId="9" borderId="4" applyAlignment="1" pivotButton="0" quotePrefix="0" xfId="0">
      <alignment horizontal="center"/>
    </xf>
    <xf numFmtId="164" fontId="0" fillId="9" borderId="4" applyAlignment="1" pivotButton="0" quotePrefix="0" xfId="0">
      <alignment horizontal="center"/>
    </xf>
    <xf numFmtId="166" fontId="0" fillId="9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6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68" fontId="6" fillId="5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/>
    </xf>
    <xf numFmtId="1" fontId="6" fillId="5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9" fontId="6" fillId="6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tabSelected="1" zoomScaleNormal="100" workbookViewId="0">
      <pane ySplit="9" topLeftCell="A10" activePane="bottomLeft" state="frozen"/>
      <selection pane="bottomLeft" activeCell="C10" sqref="C10"/>
    </sheetView>
  </sheetViews>
  <sheetFormatPr baseColWidth="8" defaultRowHeight="15"/>
  <cols>
    <col width="14.28515625" bestFit="1" customWidth="1" style="37" min="1" max="1"/>
    <col width="12" customWidth="1" style="37" min="2" max="2"/>
    <col width="12.140625" bestFit="1" customWidth="1" style="37" min="3" max="3"/>
    <col width="14.85546875" bestFit="1" customWidth="1" style="37" min="4" max="4"/>
    <col width="13.7109375" bestFit="1" customWidth="1" style="37" min="5" max="5"/>
    <col width="16.42578125" bestFit="1" customWidth="1" style="37" min="6" max="6"/>
    <col width="10" customWidth="1" style="37" min="7" max="7"/>
    <col width="30" customWidth="1" style="37" min="8" max="8"/>
    <col width="10" customWidth="1" style="37" min="9" max="9"/>
    <col hidden="1" width="13" customWidth="1" style="38" min="10" max="10"/>
    <col width="9.140625" customWidth="1" style="37" min="11" max="12"/>
    <col width="9.140625" customWidth="1" style="37" min="13" max="16384"/>
  </cols>
  <sheetData>
    <row r="1" ht="30" customHeight="1" s="38">
      <c r="A1" s="36" t="inlineStr">
        <is>
          <t>SignalStack | Ops Pulse — Operational Health Dashboard</t>
        </is>
      </c>
    </row>
    <row r="2" ht="15.95" customHeight="1" s="38">
      <c r="A2" s="42" t="inlineStr">
        <is>
          <t xml:space="preserve">  Weekly snapshot of field operations. Update the Weekly Log tab each week. Metrics auto-calculate here.</t>
        </is>
      </c>
    </row>
    <row r="3" ht="8.1" customHeight="1" s="38"/>
    <row r="4" ht="21.95" customHeight="1" s="38">
      <c r="A4" s="39" t="inlineStr">
        <is>
          <t>KEY PERFORMANCE INDICATORS — CURRENT WEEK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 s="38">
      <c r="A5" s="1" t="inlineStr">
        <is>
          <t>Jobs Completed</t>
        </is>
      </c>
      <c r="B5" s="1" t="inlineStr">
        <is>
          <t>On-Time Rate</t>
        </is>
      </c>
      <c r="C5" s="1" t="inlineStr">
        <is>
          <t>Callback Rate</t>
        </is>
      </c>
      <c r="D5" s="1" t="inlineStr">
        <is>
          <t>Avg Job Duration</t>
        </is>
      </c>
      <c r="E5" s="1" t="inlineStr">
        <is>
          <t>Crew Utilization</t>
        </is>
      </c>
      <c r="F5" s="1" t="inlineStr">
        <is>
          <t>Open Work Orders</t>
        </is>
      </c>
    </row>
    <row r="6" ht="27.95" customHeight="1" s="38">
      <c r="A6" s="2">
        <f>LOOKUP(2,1/(A10:A2000&lt;&gt;""),B10:B2000)</f>
        <v/>
      </c>
      <c r="B6" s="3">
        <f>LOOKUP(2,1/(A10:A2000&lt;&gt;""),C10:C2000)</f>
        <v/>
      </c>
      <c r="C6" s="3">
        <f>LOOKUP(2,1/(A10:A2000&lt;&gt;""),D10:D2000)</f>
        <v/>
      </c>
      <c r="D6" s="4">
        <f>LOOKUP(2,1/(A10:A2000&lt;&gt;""),E10:E2000)</f>
        <v/>
      </c>
      <c r="E6" s="3">
        <f>LOOKUP(2,1/(A10:A2000&lt;&gt;""),F10:F2000)</f>
        <v/>
      </c>
      <c r="F6" s="2">
        <f>LOOKUP(2,1/(A10:A2000&lt;&gt;""),G10:G2000)</f>
        <v/>
      </c>
    </row>
    <row r="7" ht="9.949999999999999" customHeight="1" s="38"/>
    <row r="8" ht="21.95" customHeight="1" s="38">
      <c r="A8" s="39" t="inlineStr">
        <is>
          <t>WEEKLY TREND — FULL HISTORY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1" t="n"/>
    </row>
    <row r="9" ht="33.95" customHeight="1" s="38">
      <c r="A9" s="7" t="inlineStr">
        <is>
          <t>Week</t>
        </is>
      </c>
      <c r="B9" s="7" t="inlineStr">
        <is>
          <t>Jobs Done</t>
        </is>
      </c>
      <c r="C9" s="7" t="inlineStr">
        <is>
          <t>On-Time %</t>
        </is>
      </c>
      <c r="D9" s="7" t="inlineStr">
        <is>
          <t>Callback %</t>
        </is>
      </c>
      <c r="E9" s="7" t="inlineStr">
        <is>
          <t>Avg Hours</t>
        </is>
      </c>
      <c r="F9" s="7" t="inlineStr">
        <is>
          <t>Utilization %</t>
        </is>
      </c>
      <c r="G9" s="7" t="inlineStr">
        <is>
          <t>Open WOs</t>
        </is>
      </c>
      <c r="H9" s="7" t="inlineStr">
        <is>
          <t>Notes</t>
        </is>
      </c>
      <c r="J9" t="inlineStr">
        <is>
          <t>__week_start</t>
        </is>
      </c>
    </row>
    <row r="10">
      <c r="A10" s="8">
        <f>IF($J10="","",YEAR($J10-WEEKDAY($J10,2)+4)&amp;"-W"&amp;TEXT(WEEKNUM($J10,21),"00"))</f>
        <v/>
      </c>
      <c r="B10" s="9">
        <f>IF($J10="","",SUMIFS('Weekly Log'!$C:$C,'Weekly Log'!$A:$A,"&gt;="&amp;$J10,'Weekly Log'!$A:$A,"&lt;"&amp;$J10+7))</f>
        <v/>
      </c>
      <c r="C10" s="10">
        <f>IF($J10="","",IFERROR(COUNTIFS('Weekly Log'!$G:$G,"Y",'Weekly Log'!$A:$A,"&gt;="&amp;$J10,'Weekly Log'!$A:$A,"&lt;"&amp;$J10+7)/COUNTIFS('Weekly Log'!$G:$G,"&lt;&gt;",'Weekly Log'!$A:$A,"&gt;="&amp;$J10,'Weekly Log'!$A:$A,"&lt;"&amp;$J10+7),0))</f>
        <v/>
      </c>
      <c r="D10" s="10">
        <f>IF($J10="","",IFERROR(COUNTIFS('Weekly Log'!$H:$H,"Y",'Weekly Log'!$A:$A,"&gt;="&amp;$J10,'Weekly Log'!$A:$A,"&lt;"&amp;$J10+7)/COUNTIFS('Weekly Log'!$H:$H,"&lt;&gt;",'Weekly Log'!$A:$A,"&gt;="&amp;$J10,'Weekly Log'!$A:$A,"&lt;"&amp;$J10+7),0))</f>
        <v/>
      </c>
      <c r="E10" s="11">
        <f>IF($J10="","",IFERROR(AVERAGEIFS('Weekly Log'!$F:$F,'Weekly Log'!$A:$A,"&gt;="&amp;$J10,'Weekly Log'!$A:$A,"&lt;"&amp;$J10+7),0))</f>
        <v/>
      </c>
      <c r="F10" s="10">
        <f>IF($J10="","",IFERROR(SUMIFS('Weekly Log'!$F:$F,'Weekly Log'!$A:$A,"&gt;="&amp;$J10,'Weekly Log'!$A:$A,"&lt;"&amp;$J10+7)/SUMIFS('Weekly Log'!$E:$E,'Weekly Log'!$A:$A,"&gt;="&amp;$J10,'Weekly Log'!$A:$A,"&lt;"&amp;$J10+7),0))</f>
        <v/>
      </c>
      <c r="G10" s="9">
        <f>IF($J10="","",IFERROR(LOOKUP(2,1/(('Weekly Log'!$A$5:$A$5000&gt;=$J10)*('Weekly Log'!$A$5:$A$5000&lt;$J10+7)*('Weekly Log'!$M$5:$M$5000&lt;&gt;"")),'Weekly Log'!$M$5:$M$5000),0))</f>
        <v/>
      </c>
      <c r="H10" s="8" t="n"/>
      <c r="J10">
        <f>IF(COUNT('Weekly Log'!$A$5:$A$5000)=0,"",IF(MIN('Weekly Log'!$A$5:$A$5000)+7*(ROW()-10)&gt;MAX('Weekly Log'!$A$5:$A$5000),"",MIN('Weekly Log'!$A$5:$A$5000)+7*(ROW()-10)))</f>
        <v/>
      </c>
    </row>
    <row r="11">
      <c r="A11" s="8">
        <f>IF($J11="","",YEAR($J11-WEEKDAY($J11,2)+4)&amp;"-W"&amp;TEXT(WEEKNUM($J11,21),"00"))</f>
        <v/>
      </c>
      <c r="B11" s="9">
        <f>IF($J11="","",SUMIFS('Weekly Log'!$C:$C,'Weekly Log'!$A:$A,"&gt;="&amp;$J11,'Weekly Log'!$A:$A,"&lt;"&amp;$J11+7))</f>
        <v/>
      </c>
      <c r="C11" s="10">
        <f>IF($J11="","",IFERROR(COUNTIFS('Weekly Log'!$G:$G,"Y",'Weekly Log'!$A:$A,"&gt;="&amp;$J11,'Weekly Log'!$A:$A,"&lt;"&amp;$J11+7)/COUNTIFS('Weekly Log'!$G:$G,"&lt;&gt;",'Weekly Log'!$A:$A,"&gt;="&amp;$J11,'Weekly Log'!$A:$A,"&lt;"&amp;$J11+7),0))</f>
        <v/>
      </c>
      <c r="D11" s="10">
        <f>IF($J11="","",IFERROR(COUNTIFS('Weekly Log'!$H:$H,"Y",'Weekly Log'!$A:$A,"&gt;="&amp;$J11,'Weekly Log'!$A:$A,"&lt;"&amp;$J11+7)/COUNTIFS('Weekly Log'!$H:$H,"&lt;&gt;",'Weekly Log'!$A:$A,"&gt;="&amp;$J11,'Weekly Log'!$A:$A,"&lt;"&amp;$J11+7),0))</f>
        <v/>
      </c>
      <c r="E11" s="11">
        <f>IF($J11="","",IFERROR(AVERAGEIFS('Weekly Log'!$F:$F,'Weekly Log'!$A:$A,"&gt;="&amp;$J11,'Weekly Log'!$A:$A,"&lt;"&amp;$J11+7),0))</f>
        <v/>
      </c>
      <c r="F11" s="10">
        <f>IF($J11="","",IFERROR(SUMIFS('Weekly Log'!$F:$F,'Weekly Log'!$A:$A,"&gt;="&amp;$J11,'Weekly Log'!$A:$A,"&lt;"&amp;$J11+7)/SUMIFS('Weekly Log'!$E:$E,'Weekly Log'!$A:$A,"&gt;="&amp;$J11,'Weekly Log'!$A:$A,"&lt;"&amp;$J11+7),0))</f>
        <v/>
      </c>
      <c r="G11" s="9">
        <f>IF($J11="","",IFERROR(LOOKUP(2,1/(('Weekly Log'!$A$5:$A$5000&gt;=$J11)*('Weekly Log'!$A$5:$A$5000&lt;$J11+7)*('Weekly Log'!$M$5:$M$5000&lt;&gt;"")),'Weekly Log'!$M$5:$M$5000),0))</f>
        <v/>
      </c>
      <c r="H11" s="8" t="n"/>
      <c r="J11">
        <f>IF(COUNT('Weekly Log'!$A$5:$A$5000)=0,"",IF(MIN('Weekly Log'!$A$5:$A$5000)+7*(ROW()-10)&gt;MAX('Weekly Log'!$A$5:$A$5000),"",MIN('Weekly Log'!$A$5:$A$5000)+7*(ROW()-10)))</f>
        <v/>
      </c>
    </row>
    <row r="12">
      <c r="A12" s="8">
        <f>IF($J12="","",YEAR($J12-WEEKDAY($J12,2)+4)&amp;"-W"&amp;TEXT(WEEKNUM($J12,21),"00"))</f>
        <v/>
      </c>
      <c r="B12" s="9">
        <f>IF($J12="","",SUMIFS('Weekly Log'!$C:$C,'Weekly Log'!$A:$A,"&gt;="&amp;$J12,'Weekly Log'!$A:$A,"&lt;"&amp;$J12+7))</f>
        <v/>
      </c>
      <c r="C12" s="10">
        <f>IF($J12="","",IFERROR(COUNTIFS('Weekly Log'!$G:$G,"Y",'Weekly Log'!$A:$A,"&gt;="&amp;$J12,'Weekly Log'!$A:$A,"&lt;"&amp;$J12+7)/COUNTIFS('Weekly Log'!$G:$G,"&lt;&gt;",'Weekly Log'!$A:$A,"&gt;="&amp;$J12,'Weekly Log'!$A:$A,"&lt;"&amp;$J12+7),0))</f>
        <v/>
      </c>
      <c r="D12" s="10">
        <f>IF($J12="","",IFERROR(COUNTIFS('Weekly Log'!$H:$H,"Y",'Weekly Log'!$A:$A,"&gt;="&amp;$J12,'Weekly Log'!$A:$A,"&lt;"&amp;$J12+7)/COUNTIFS('Weekly Log'!$H:$H,"&lt;&gt;",'Weekly Log'!$A:$A,"&gt;="&amp;$J12,'Weekly Log'!$A:$A,"&lt;"&amp;$J12+7),0))</f>
        <v/>
      </c>
      <c r="E12" s="11">
        <f>IF($J12="","",IFERROR(AVERAGEIFS('Weekly Log'!$F:$F,'Weekly Log'!$A:$A,"&gt;="&amp;$J12,'Weekly Log'!$A:$A,"&lt;"&amp;$J12+7),0))</f>
        <v/>
      </c>
      <c r="F12" s="10">
        <f>IF($J12="","",IFERROR(SUMIFS('Weekly Log'!$F:$F,'Weekly Log'!$A:$A,"&gt;="&amp;$J12,'Weekly Log'!$A:$A,"&lt;"&amp;$J12+7)/SUMIFS('Weekly Log'!$E:$E,'Weekly Log'!$A:$A,"&gt;="&amp;$J12,'Weekly Log'!$A:$A,"&lt;"&amp;$J12+7),0))</f>
        <v/>
      </c>
      <c r="G12" s="9">
        <f>IF($J12="","",IFERROR(LOOKUP(2,1/(('Weekly Log'!$A$5:$A$5000&gt;=$J12)*('Weekly Log'!$A$5:$A$5000&lt;$J12+7)*('Weekly Log'!$M$5:$M$5000&lt;&gt;"")),'Weekly Log'!$M$5:$M$5000),0))</f>
        <v/>
      </c>
      <c r="H12" s="8" t="inlineStr">
        <is>
          <t>Holiday staffing</t>
        </is>
      </c>
      <c r="J12">
        <f>IF(COUNT('Weekly Log'!$A$5:$A$5000)=0,"",IF(MIN('Weekly Log'!$A$5:$A$5000)+7*(ROW()-10)&gt;MAX('Weekly Log'!$A$5:$A$5000),"",MIN('Weekly Log'!$A$5:$A$5000)+7*(ROW()-10)))</f>
        <v/>
      </c>
    </row>
    <row r="13">
      <c r="A13" s="8">
        <f>IF($J13="","",YEAR($J13-WEEKDAY($J13,2)+4)&amp;"-W"&amp;TEXT(WEEKNUM($J13,21),"00"))</f>
        <v/>
      </c>
      <c r="B13" s="9">
        <f>IF($J13="","",SUMIFS('Weekly Log'!$C:$C,'Weekly Log'!$A:$A,"&gt;="&amp;$J13,'Weekly Log'!$A:$A,"&lt;"&amp;$J13+7))</f>
        <v/>
      </c>
      <c r="C13" s="10">
        <f>IF($J13="","",IFERROR(COUNTIFS('Weekly Log'!$G:$G,"Y",'Weekly Log'!$A:$A,"&gt;="&amp;$J13,'Weekly Log'!$A:$A,"&lt;"&amp;$J13+7)/COUNTIFS('Weekly Log'!$G:$G,"&lt;&gt;",'Weekly Log'!$A:$A,"&gt;="&amp;$J13,'Weekly Log'!$A:$A,"&lt;"&amp;$J13+7),0))</f>
        <v/>
      </c>
      <c r="D13" s="10">
        <f>IF($J13="","",IFERROR(COUNTIFS('Weekly Log'!$H:$H,"Y",'Weekly Log'!$A:$A,"&gt;="&amp;$J13,'Weekly Log'!$A:$A,"&lt;"&amp;$J13+7)/COUNTIFS('Weekly Log'!$H:$H,"&lt;&gt;",'Weekly Log'!$A:$A,"&gt;="&amp;$J13,'Weekly Log'!$A:$A,"&lt;"&amp;$J13+7),0))</f>
        <v/>
      </c>
      <c r="E13" s="11">
        <f>IF($J13="","",IFERROR(AVERAGEIFS('Weekly Log'!$F:$F,'Weekly Log'!$A:$A,"&gt;="&amp;$J13,'Weekly Log'!$A:$A,"&lt;"&amp;$J13+7),0))</f>
        <v/>
      </c>
      <c r="F13" s="10">
        <f>IF($J13="","",IFERROR(SUMIFS('Weekly Log'!$F:$F,'Weekly Log'!$A:$A,"&gt;="&amp;$J13,'Weekly Log'!$A:$A,"&lt;"&amp;$J13+7)/SUMIFS('Weekly Log'!$E:$E,'Weekly Log'!$A:$A,"&gt;="&amp;$J13,'Weekly Log'!$A:$A,"&lt;"&amp;$J13+7),0))</f>
        <v/>
      </c>
      <c r="G13" s="9">
        <f>IF($J13="","",IFERROR(LOOKUP(2,1/(('Weekly Log'!$A$5:$A$5000&gt;=$J13)*('Weekly Log'!$A$5:$A$5000&lt;$J13+7)*('Weekly Log'!$M$5:$M$5000&lt;&gt;"")),'Weekly Log'!$M$5:$M$5000),0))</f>
        <v/>
      </c>
      <c r="H13" s="8" t="inlineStr">
        <is>
          <t>Short week</t>
        </is>
      </c>
      <c r="J13">
        <f>IF(COUNT('Weekly Log'!$A$5:$A$5000)=0,"",IF(MIN('Weekly Log'!$A$5:$A$5000)+7*(ROW()-10)&gt;MAX('Weekly Log'!$A$5:$A$5000),"",MIN('Weekly Log'!$A$5:$A$5000)+7*(ROW()-10)))</f>
        <v/>
      </c>
    </row>
    <row r="14">
      <c r="A14" s="8">
        <f>IF($J14="","",YEAR($J14-WEEKDAY($J14,2)+4)&amp;"-W"&amp;TEXT(WEEKNUM($J14,21),"00"))</f>
        <v/>
      </c>
      <c r="B14" s="9">
        <f>IF($J14="","",SUMIFS('Weekly Log'!$C:$C,'Weekly Log'!$A:$A,"&gt;="&amp;$J14,'Weekly Log'!$A:$A,"&lt;"&amp;$J14+7))</f>
        <v/>
      </c>
      <c r="C14" s="10">
        <f>IF($J14="","",IFERROR(COUNTIFS('Weekly Log'!$G:$G,"Y",'Weekly Log'!$A:$A,"&gt;="&amp;$J14,'Weekly Log'!$A:$A,"&lt;"&amp;$J14+7)/COUNTIFS('Weekly Log'!$G:$G,"&lt;&gt;",'Weekly Log'!$A:$A,"&gt;="&amp;$J14,'Weekly Log'!$A:$A,"&lt;"&amp;$J14+7),0))</f>
        <v/>
      </c>
      <c r="D14" s="10">
        <f>IF($J14="","",IFERROR(COUNTIFS('Weekly Log'!$H:$H,"Y",'Weekly Log'!$A:$A,"&gt;="&amp;$J14,'Weekly Log'!$A:$A,"&lt;"&amp;$J14+7)/COUNTIFS('Weekly Log'!$H:$H,"&lt;&gt;",'Weekly Log'!$A:$A,"&gt;="&amp;$J14,'Weekly Log'!$A:$A,"&lt;"&amp;$J14+7),0))</f>
        <v/>
      </c>
      <c r="E14" s="11">
        <f>IF($J14="","",IFERROR(AVERAGEIFS('Weekly Log'!$F:$F,'Weekly Log'!$A:$A,"&gt;="&amp;$J14,'Weekly Log'!$A:$A,"&lt;"&amp;$J14+7),0))</f>
        <v/>
      </c>
      <c r="F14" s="10">
        <f>IF($J14="","",IFERROR(SUMIFS('Weekly Log'!$F:$F,'Weekly Log'!$A:$A,"&gt;="&amp;$J14,'Weekly Log'!$A:$A,"&lt;"&amp;$J14+7)/SUMIFS('Weekly Log'!$E:$E,'Weekly Log'!$A:$A,"&gt;="&amp;$J14,'Weekly Log'!$A:$A,"&lt;"&amp;$J14+7),0))</f>
        <v/>
      </c>
      <c r="G14" s="9">
        <f>IF($J14="","",IFERROR(LOOKUP(2,1/(('Weekly Log'!$A$5:$A$5000&gt;=$J14)*('Weekly Log'!$A$5:$A$5000&lt;$J14+7)*('Weekly Log'!$M$5:$M$5000&lt;&gt;"")),'Weekly Log'!$M$5:$M$5000),0))</f>
        <v/>
      </c>
      <c r="H14" s="8" t="inlineStr">
        <is>
          <t>Christmas week</t>
        </is>
      </c>
      <c r="J14">
        <f>IF(COUNT('Weekly Log'!$A$5:$A$5000)=0,"",IF(MIN('Weekly Log'!$A$5:$A$5000)+7*(ROW()-10)&gt;MAX('Weekly Log'!$A$5:$A$5000),"",MIN('Weekly Log'!$A$5:$A$5000)+7*(ROW()-10)))</f>
        <v/>
      </c>
    </row>
    <row r="15">
      <c r="A15" s="8">
        <f>IF($J15="","",YEAR($J15-WEEKDAY($J15,2)+4)&amp;"-W"&amp;TEXT(WEEKNUM($J15,21),"00"))</f>
        <v/>
      </c>
      <c r="B15" s="9">
        <f>IF($J15="","",SUMIFS('Weekly Log'!$C:$C,'Weekly Log'!$A:$A,"&gt;="&amp;$J15,'Weekly Log'!$A:$A,"&lt;"&amp;$J15+7))</f>
        <v/>
      </c>
      <c r="C15" s="10">
        <f>IF($J15="","",IFERROR(COUNTIFS('Weekly Log'!$G:$G,"Y",'Weekly Log'!$A:$A,"&gt;="&amp;$J15,'Weekly Log'!$A:$A,"&lt;"&amp;$J15+7)/COUNTIFS('Weekly Log'!$G:$G,"&lt;&gt;",'Weekly Log'!$A:$A,"&gt;="&amp;$J15,'Weekly Log'!$A:$A,"&lt;"&amp;$J15+7),0))</f>
        <v/>
      </c>
      <c r="D15" s="10">
        <f>IF($J15="","",IFERROR(COUNTIFS('Weekly Log'!$H:$H,"Y",'Weekly Log'!$A:$A,"&gt;="&amp;$J15,'Weekly Log'!$A:$A,"&lt;"&amp;$J15+7)/COUNTIFS('Weekly Log'!$H:$H,"&lt;&gt;",'Weekly Log'!$A:$A,"&gt;="&amp;$J15,'Weekly Log'!$A:$A,"&lt;"&amp;$J15+7),0))</f>
        <v/>
      </c>
      <c r="E15" s="11">
        <f>IF($J15="","",IFERROR(AVERAGEIFS('Weekly Log'!$F:$F,'Weekly Log'!$A:$A,"&gt;="&amp;$J15,'Weekly Log'!$A:$A,"&lt;"&amp;$J15+7),0))</f>
        <v/>
      </c>
      <c r="F15" s="10">
        <f>IF($J15="","",IFERROR(SUMIFS('Weekly Log'!$F:$F,'Weekly Log'!$A:$A,"&gt;="&amp;$J15,'Weekly Log'!$A:$A,"&lt;"&amp;$J15+7)/SUMIFS('Weekly Log'!$E:$E,'Weekly Log'!$A:$A,"&gt;="&amp;$J15,'Weekly Log'!$A:$A,"&lt;"&amp;$J15+7),0))</f>
        <v/>
      </c>
      <c r="G15" s="9">
        <f>IF($J15="","",IFERROR(LOOKUP(2,1/(('Weekly Log'!$A$5:$A$5000&gt;=$J15)*('Weekly Log'!$A$5:$A$5000&lt;$J15+7)*('Weekly Log'!$M$5:$M$5000&lt;&gt;"")),'Weekly Log'!$M$5:$M$5000),0))</f>
        <v/>
      </c>
      <c r="H15" s="8" t="inlineStr">
        <is>
          <t>New Years</t>
        </is>
      </c>
      <c r="J15">
        <f>IF(COUNT('Weekly Log'!$A$5:$A$5000)=0,"",IF(MIN('Weekly Log'!$A$5:$A$5000)+7*(ROW()-10)&gt;MAX('Weekly Log'!$A$5:$A$5000),"",MIN('Weekly Log'!$A$5:$A$5000)+7*(ROW()-10)))</f>
        <v/>
      </c>
    </row>
    <row r="16">
      <c r="A16" s="8">
        <f>IF($J16="","",YEAR($J16-WEEKDAY($J16,2)+4)&amp;"-W"&amp;TEXT(WEEKNUM($J16,21),"00"))</f>
        <v/>
      </c>
      <c r="B16" s="9">
        <f>IF($J16="","",SUMIFS('Weekly Log'!$C:$C,'Weekly Log'!$A:$A,"&gt;="&amp;$J16,'Weekly Log'!$A:$A,"&lt;"&amp;$J16+7))</f>
        <v/>
      </c>
      <c r="C16" s="10">
        <f>IF($J16="","",IFERROR(COUNTIFS('Weekly Log'!$G:$G,"Y",'Weekly Log'!$A:$A,"&gt;="&amp;$J16,'Weekly Log'!$A:$A,"&lt;"&amp;$J16+7)/COUNTIFS('Weekly Log'!$G:$G,"&lt;&gt;",'Weekly Log'!$A:$A,"&gt;="&amp;$J16,'Weekly Log'!$A:$A,"&lt;"&amp;$J16+7),0))</f>
        <v/>
      </c>
      <c r="D16" s="10">
        <f>IF($J16="","",IFERROR(COUNTIFS('Weekly Log'!$H:$H,"Y",'Weekly Log'!$A:$A,"&gt;="&amp;$J16,'Weekly Log'!$A:$A,"&lt;"&amp;$J16+7)/COUNTIFS('Weekly Log'!$H:$H,"&lt;&gt;",'Weekly Log'!$A:$A,"&gt;="&amp;$J16,'Weekly Log'!$A:$A,"&lt;"&amp;$J16+7),0))</f>
        <v/>
      </c>
      <c r="E16" s="11">
        <f>IF($J16="","",IFERROR(AVERAGEIFS('Weekly Log'!$F:$F,'Weekly Log'!$A:$A,"&gt;="&amp;$J16,'Weekly Log'!$A:$A,"&lt;"&amp;$J16+7),0))</f>
        <v/>
      </c>
      <c r="F16" s="10">
        <f>IF($J16="","",IFERROR(SUMIFS('Weekly Log'!$F:$F,'Weekly Log'!$A:$A,"&gt;="&amp;$J16,'Weekly Log'!$A:$A,"&lt;"&amp;$J16+7)/SUMIFS('Weekly Log'!$E:$E,'Weekly Log'!$A:$A,"&gt;="&amp;$J16,'Weekly Log'!$A:$A,"&lt;"&amp;$J16+7),0))</f>
        <v/>
      </c>
      <c r="G16" s="9">
        <f>IF($J16="","",IFERROR(LOOKUP(2,1/(('Weekly Log'!$A$5:$A$5000&gt;=$J16)*('Weekly Log'!$A$5:$A$5000&lt;$J16+7)*('Weekly Log'!$M$5:$M$5000&lt;&gt;"")),'Weekly Log'!$M$5:$M$5000),0))</f>
        <v/>
      </c>
      <c r="H16" s="8" t="inlineStr">
        <is>
          <t>Back to full staff</t>
        </is>
      </c>
      <c r="J16">
        <f>IF(COUNT('Weekly Log'!$A$5:$A$5000)=0,"",IF(MIN('Weekly Log'!$A$5:$A$5000)+7*(ROW()-10)&gt;MAX('Weekly Log'!$A$5:$A$5000),"",MIN('Weekly Log'!$A$5:$A$5000)+7*(ROW()-10)))</f>
        <v/>
      </c>
    </row>
    <row r="17">
      <c r="A17" s="8">
        <f>IF($J17="","",YEAR($J17-WEEKDAY($J17,2)+4)&amp;"-W"&amp;TEXT(WEEKNUM($J17,21),"00"))</f>
        <v/>
      </c>
      <c r="B17" s="9">
        <f>IF($J17="","",SUMIFS('Weekly Log'!$C:$C,'Weekly Log'!$A:$A,"&gt;="&amp;$J17,'Weekly Log'!$A:$A,"&lt;"&amp;$J17+7))</f>
        <v/>
      </c>
      <c r="C17" s="10">
        <f>IF($J17="","",IFERROR(COUNTIFS('Weekly Log'!$G:$G,"Y",'Weekly Log'!$A:$A,"&gt;="&amp;$J17,'Weekly Log'!$A:$A,"&lt;"&amp;$J17+7)/COUNTIFS('Weekly Log'!$G:$G,"&lt;&gt;",'Weekly Log'!$A:$A,"&gt;="&amp;$J17,'Weekly Log'!$A:$A,"&lt;"&amp;$J17+7),0))</f>
        <v/>
      </c>
      <c r="D17" s="10">
        <f>IF($J17="","",IFERROR(COUNTIFS('Weekly Log'!$H:$H,"Y",'Weekly Log'!$A:$A,"&gt;="&amp;$J17,'Weekly Log'!$A:$A,"&lt;"&amp;$J17+7)/COUNTIFS('Weekly Log'!$H:$H,"&lt;&gt;",'Weekly Log'!$A:$A,"&gt;="&amp;$J17,'Weekly Log'!$A:$A,"&lt;"&amp;$J17+7),0))</f>
        <v/>
      </c>
      <c r="E17" s="11">
        <f>IF($J17="","",IFERROR(AVERAGEIFS('Weekly Log'!$F:$F,'Weekly Log'!$A:$A,"&gt;="&amp;$J17,'Weekly Log'!$A:$A,"&lt;"&amp;$J17+7),0))</f>
        <v/>
      </c>
      <c r="F17" s="10">
        <f>IF($J17="","",IFERROR(SUMIFS('Weekly Log'!$F:$F,'Weekly Log'!$A:$A,"&gt;="&amp;$J17,'Weekly Log'!$A:$A,"&lt;"&amp;$J17+7)/SUMIFS('Weekly Log'!$E:$E,'Weekly Log'!$A:$A,"&gt;="&amp;$J17,'Weekly Log'!$A:$A,"&lt;"&amp;$J17+7),0))</f>
        <v/>
      </c>
      <c r="G17" s="9">
        <f>IF($J17="","",IFERROR(LOOKUP(2,1/(('Weekly Log'!$A$5:$A$5000&gt;=$J17)*('Weekly Log'!$A$5:$A$5000&lt;$J17+7)*('Weekly Log'!$M$5:$M$5000&lt;&gt;"")),'Weekly Log'!$M$5:$M$5000),0))</f>
        <v/>
      </c>
      <c r="H17" s="8" t="n"/>
      <c r="J17">
        <f>IF(COUNT('Weekly Log'!$A$5:$A$5000)=0,"",IF(MIN('Weekly Log'!$A$5:$A$5000)+7*(ROW()-10)&gt;MAX('Weekly Log'!$A$5:$A$5000),"",MIN('Weekly Log'!$A$5:$A$5000)+7*(ROW()-10)))</f>
        <v/>
      </c>
    </row>
    <row r="18">
      <c r="A18" s="12">
        <f>IF($J18="","",YEAR($J18-WEEKDAY($J18,2)+4)&amp;"-W"&amp;TEXT(WEEKNUM($J18,21),"00"))</f>
        <v/>
      </c>
      <c r="B18" s="13">
        <f>IF($J18="","",SUMIFS('Weekly Log'!$C:$C,'Weekly Log'!$A:$A,"&gt;="&amp;$J18,'Weekly Log'!$A:$A,"&lt;"&amp;$J18+7))</f>
        <v/>
      </c>
      <c r="C18" s="14">
        <f>IF($J18="","",IFERROR(COUNTIFS('Weekly Log'!$G:$G,"Y",'Weekly Log'!$A:$A,"&gt;="&amp;$J18,'Weekly Log'!$A:$A,"&lt;"&amp;$J18+7)/COUNTIFS('Weekly Log'!$G:$G,"&lt;&gt;",'Weekly Log'!$A:$A,"&gt;="&amp;$J18,'Weekly Log'!$A:$A,"&lt;"&amp;$J18+7),0))</f>
        <v/>
      </c>
      <c r="D18" s="14">
        <f>IF($J18="","",IFERROR(COUNTIFS('Weekly Log'!$H:$H,"Y",'Weekly Log'!$A:$A,"&gt;="&amp;$J18,'Weekly Log'!$A:$A,"&lt;"&amp;$J18+7)/COUNTIFS('Weekly Log'!$H:$H,"&lt;&gt;",'Weekly Log'!$A:$A,"&gt;="&amp;$J18,'Weekly Log'!$A:$A,"&lt;"&amp;$J18+7),0))</f>
        <v/>
      </c>
      <c r="E18" s="15">
        <f>IF($J18="","",IFERROR(AVERAGEIFS('Weekly Log'!$F:$F,'Weekly Log'!$A:$A,"&gt;="&amp;$J18,'Weekly Log'!$A:$A,"&lt;"&amp;$J18+7),0))</f>
        <v/>
      </c>
      <c r="F18" s="14">
        <f>IF($J18="","",IFERROR(SUMIFS('Weekly Log'!$F:$F,'Weekly Log'!$A:$A,"&gt;="&amp;$J18,'Weekly Log'!$A:$A,"&lt;"&amp;$J18+7)/SUMIFS('Weekly Log'!$E:$E,'Weekly Log'!$A:$A,"&gt;="&amp;$J18,'Weekly Log'!$A:$A,"&lt;"&amp;$J18+7),0))</f>
        <v/>
      </c>
      <c r="G18" s="13">
        <f>IF($J18="","",IFERROR(LOOKUP(2,1/(('Weekly Log'!$A$5:$A$5000&gt;=$J18)*('Weekly Log'!$A$5:$A$5000&lt;$J18+7)*('Weekly Log'!$M$5:$M$5000&lt;&gt;"")),'Weekly Log'!$M$5:$M$5000),0))</f>
        <v/>
      </c>
      <c r="H18" s="12" t="n"/>
      <c r="J18">
        <f>IF(COUNT('Weekly Log'!$A$5:$A$5000)=0,"",IF(MIN('Weekly Log'!$A$5:$A$5000)+7*(ROW()-10)&gt;MAX('Weekly Log'!$A$5:$A$5000),"",MIN('Weekly Log'!$A$5:$A$5000)+7*(ROW()-10)))</f>
        <v/>
      </c>
    </row>
    <row r="19">
      <c r="A19" s="12">
        <f>IF($J19="","",YEAR($J19-WEEKDAY($J19,2)+4)&amp;"-W"&amp;TEXT(WEEKNUM($J19,21),"00"))</f>
        <v/>
      </c>
      <c r="B19" s="13">
        <f>IF($J19="","",SUMIFS('Weekly Log'!$C:$C,'Weekly Log'!$A:$A,"&gt;="&amp;$J19,'Weekly Log'!$A:$A,"&lt;"&amp;$J19+7))</f>
        <v/>
      </c>
      <c r="C19" s="14">
        <f>IF($J19="","",IFERROR(COUNTIFS('Weekly Log'!$G:$G,"Y",'Weekly Log'!$A:$A,"&gt;="&amp;$J19,'Weekly Log'!$A:$A,"&lt;"&amp;$J19+7)/COUNTIFS('Weekly Log'!$G:$G,"&lt;&gt;",'Weekly Log'!$A:$A,"&gt;="&amp;$J19,'Weekly Log'!$A:$A,"&lt;"&amp;$J19+7),0))</f>
        <v/>
      </c>
      <c r="D19" s="14">
        <f>IF($J19="","",IFERROR(COUNTIFS('Weekly Log'!$H:$H,"Y",'Weekly Log'!$A:$A,"&gt;="&amp;$J19,'Weekly Log'!$A:$A,"&lt;"&amp;$J19+7)/COUNTIFS('Weekly Log'!$H:$H,"&lt;&gt;",'Weekly Log'!$A:$A,"&gt;="&amp;$J19,'Weekly Log'!$A:$A,"&lt;"&amp;$J19+7),0))</f>
        <v/>
      </c>
      <c r="E19" s="15">
        <f>IF($J19="","",IFERROR(AVERAGEIFS('Weekly Log'!$F:$F,'Weekly Log'!$A:$A,"&gt;="&amp;$J19,'Weekly Log'!$A:$A,"&lt;"&amp;$J19+7),0))</f>
        <v/>
      </c>
      <c r="F19" s="14">
        <f>IF($J19="","",IFERROR(SUMIFS('Weekly Log'!$F:$F,'Weekly Log'!$A:$A,"&gt;="&amp;$J19,'Weekly Log'!$A:$A,"&lt;"&amp;$J19+7)/SUMIFS('Weekly Log'!$E:$E,'Weekly Log'!$A:$A,"&gt;="&amp;$J19,'Weekly Log'!$A:$A,"&lt;"&amp;$J19+7),0))</f>
        <v/>
      </c>
      <c r="G19" s="13">
        <f>IF($J19="","",IFERROR(LOOKUP(2,1/(('Weekly Log'!$A$5:$A$5000&gt;=$J19)*('Weekly Log'!$A$5:$A$5000&lt;$J19+7)*('Weekly Log'!$M$5:$M$5000&lt;&gt;"")),'Weekly Log'!$M$5:$M$5000),0))</f>
        <v/>
      </c>
      <c r="H19" s="12" t="n"/>
      <c r="J19">
        <f>IF(COUNT('Weekly Log'!$A$5:$A$5000)=0,"",IF(MIN('Weekly Log'!$A$5:$A$5000)+7*(ROW()-10)&gt;MAX('Weekly Log'!$A$5:$A$5000),"",MIN('Weekly Log'!$A$5:$A$5000)+7*(ROW()-10)))</f>
        <v/>
      </c>
    </row>
    <row r="20">
      <c r="A20" s="12">
        <f>IF($J20="","",YEAR($J20-WEEKDAY($J20,2)+4)&amp;"-W"&amp;TEXT(WEEKNUM($J20,21),"00"))</f>
        <v/>
      </c>
      <c r="B20" s="13">
        <f>IF($J20="","",SUMIFS('Weekly Log'!$C:$C,'Weekly Log'!$A:$A,"&gt;="&amp;$J20,'Weekly Log'!$A:$A,"&lt;"&amp;$J20+7))</f>
        <v/>
      </c>
      <c r="C20" s="14">
        <f>IF($J20="","",IFERROR(COUNTIFS('Weekly Log'!$G:$G,"Y",'Weekly Log'!$A:$A,"&gt;="&amp;$J20,'Weekly Log'!$A:$A,"&lt;"&amp;$J20+7)/COUNTIFS('Weekly Log'!$G:$G,"&lt;&gt;",'Weekly Log'!$A:$A,"&gt;="&amp;$J20,'Weekly Log'!$A:$A,"&lt;"&amp;$J20+7),0))</f>
        <v/>
      </c>
      <c r="D20" s="14">
        <f>IF($J20="","",IFERROR(COUNTIFS('Weekly Log'!$H:$H,"Y",'Weekly Log'!$A:$A,"&gt;="&amp;$J20,'Weekly Log'!$A:$A,"&lt;"&amp;$J20+7)/COUNTIFS('Weekly Log'!$H:$H,"&lt;&gt;",'Weekly Log'!$A:$A,"&gt;="&amp;$J20,'Weekly Log'!$A:$A,"&lt;"&amp;$J20+7),0))</f>
        <v/>
      </c>
      <c r="E20" s="15">
        <f>IF($J20="","",IFERROR(AVERAGEIFS('Weekly Log'!$F:$F,'Weekly Log'!$A:$A,"&gt;="&amp;$J20,'Weekly Log'!$A:$A,"&lt;"&amp;$J20+7),0))</f>
        <v/>
      </c>
      <c r="F20" s="14">
        <f>IF($J20="","",IFERROR(SUMIFS('Weekly Log'!$F:$F,'Weekly Log'!$A:$A,"&gt;="&amp;$J20,'Weekly Log'!$A:$A,"&lt;"&amp;$J20+7)/SUMIFS('Weekly Log'!$E:$E,'Weekly Log'!$A:$A,"&gt;="&amp;$J20,'Weekly Log'!$A:$A,"&lt;"&amp;$J20+7),0))</f>
        <v/>
      </c>
      <c r="G20" s="13">
        <f>IF($J20="","",IFERROR(LOOKUP(2,1/(('Weekly Log'!$A$5:$A$5000&gt;=$J20)*('Weekly Log'!$A$5:$A$5000&lt;$J20+7)*('Weekly Log'!$M$5:$M$5000&lt;&gt;"")),'Weekly Log'!$M$5:$M$5000),0))</f>
        <v/>
      </c>
      <c r="H20" s="12" t="n"/>
      <c r="J20">
        <f>IF(COUNT('Weekly Log'!$A$5:$A$5000)=0,"",IF(MIN('Weekly Log'!$A$5:$A$5000)+7*(ROW()-10)&gt;MAX('Weekly Log'!$A$5:$A$5000),"",MIN('Weekly Log'!$A$5:$A$5000)+7*(ROW()-10)))</f>
        <v/>
      </c>
    </row>
    <row r="21">
      <c r="A21" s="12">
        <f>IF($J21="","",YEAR($J21-WEEKDAY($J21,2)+4)&amp;"-W"&amp;TEXT(WEEKNUM($J21,21),"00"))</f>
        <v/>
      </c>
      <c r="B21" s="13">
        <f>IF($J21="","",SUMIFS('Weekly Log'!$C:$C,'Weekly Log'!$A:$A,"&gt;="&amp;$J21,'Weekly Log'!$A:$A,"&lt;"&amp;$J21+7))</f>
        <v/>
      </c>
      <c r="C21" s="14">
        <f>IF($J21="","",IFERROR(COUNTIFS('Weekly Log'!$G:$G,"Y",'Weekly Log'!$A:$A,"&gt;="&amp;$J21,'Weekly Log'!$A:$A,"&lt;"&amp;$J21+7)/COUNTIFS('Weekly Log'!$G:$G,"&lt;&gt;",'Weekly Log'!$A:$A,"&gt;="&amp;$J21,'Weekly Log'!$A:$A,"&lt;"&amp;$J21+7),0))</f>
        <v/>
      </c>
      <c r="D21" s="14">
        <f>IF($J21="","",IFERROR(COUNTIFS('Weekly Log'!$H:$H,"Y",'Weekly Log'!$A:$A,"&gt;="&amp;$J21,'Weekly Log'!$A:$A,"&lt;"&amp;$J21+7)/COUNTIFS('Weekly Log'!$H:$H,"&lt;&gt;",'Weekly Log'!$A:$A,"&gt;="&amp;$J21,'Weekly Log'!$A:$A,"&lt;"&amp;$J21+7),0))</f>
        <v/>
      </c>
      <c r="E21" s="15">
        <f>IF($J21="","",IFERROR(AVERAGEIFS('Weekly Log'!$F:$F,'Weekly Log'!$A:$A,"&gt;="&amp;$J21,'Weekly Log'!$A:$A,"&lt;"&amp;$J21+7),0))</f>
        <v/>
      </c>
      <c r="F21" s="14">
        <f>IF($J21="","",IFERROR(SUMIFS('Weekly Log'!$F:$F,'Weekly Log'!$A:$A,"&gt;="&amp;$J21,'Weekly Log'!$A:$A,"&lt;"&amp;$J21+7)/SUMIFS('Weekly Log'!$E:$E,'Weekly Log'!$A:$A,"&gt;="&amp;$J21,'Weekly Log'!$A:$A,"&lt;"&amp;$J21+7),0))</f>
        <v/>
      </c>
      <c r="G21" s="13">
        <f>IF($J21="","",IFERROR(LOOKUP(2,1/(('Weekly Log'!$A$5:$A$5000&gt;=$J21)*('Weekly Log'!$A$5:$A$5000&lt;$J21+7)*('Weekly Log'!$M$5:$M$5000&lt;&gt;"")),'Weekly Log'!$M$5:$M$5000),0))</f>
        <v/>
      </c>
      <c r="H21" s="12" t="n"/>
      <c r="J21">
        <f>IF(COUNT('Weekly Log'!$A$5:$A$5000)=0,"",IF(MIN('Weekly Log'!$A$5:$A$5000)+7*(ROW()-10)&gt;MAX('Weekly Log'!$A$5:$A$5000),"",MIN('Weekly Log'!$A$5:$A$5000)+7*(ROW()-10)))</f>
        <v/>
      </c>
    </row>
    <row r="22">
      <c r="A22" s="12">
        <f>IF($J22="","",YEAR($J22-WEEKDAY($J22,2)+4)&amp;"-W"&amp;TEXT(WEEKNUM($J22,21),"00"))</f>
        <v/>
      </c>
      <c r="B22" s="13">
        <f>IF($J22="","",SUMIFS('Weekly Log'!$C:$C,'Weekly Log'!$A:$A,"&gt;="&amp;$J22,'Weekly Log'!$A:$A,"&lt;"&amp;$J22+7))</f>
        <v/>
      </c>
      <c r="C22" s="14">
        <f>IF($J22="","",IFERROR(COUNTIFS('Weekly Log'!$G:$G,"Y",'Weekly Log'!$A:$A,"&gt;="&amp;$J22,'Weekly Log'!$A:$A,"&lt;"&amp;$J22+7)/COUNTIFS('Weekly Log'!$G:$G,"&lt;&gt;",'Weekly Log'!$A:$A,"&gt;="&amp;$J22,'Weekly Log'!$A:$A,"&lt;"&amp;$J22+7),0))</f>
        <v/>
      </c>
      <c r="D22" s="14">
        <f>IF($J22="","",IFERROR(COUNTIFS('Weekly Log'!$H:$H,"Y",'Weekly Log'!$A:$A,"&gt;="&amp;$J22,'Weekly Log'!$A:$A,"&lt;"&amp;$J22+7)/COUNTIFS('Weekly Log'!$H:$H,"&lt;&gt;",'Weekly Log'!$A:$A,"&gt;="&amp;$J22,'Weekly Log'!$A:$A,"&lt;"&amp;$J22+7),0))</f>
        <v/>
      </c>
      <c r="E22" s="15">
        <f>IF($J22="","",IFERROR(AVERAGEIFS('Weekly Log'!$F:$F,'Weekly Log'!$A:$A,"&gt;="&amp;$J22,'Weekly Log'!$A:$A,"&lt;"&amp;$J22+7),0))</f>
        <v/>
      </c>
      <c r="F22" s="14">
        <f>IF($J22="","",IFERROR(SUMIFS('Weekly Log'!$F:$F,'Weekly Log'!$A:$A,"&gt;="&amp;$J22,'Weekly Log'!$A:$A,"&lt;"&amp;$J22+7)/SUMIFS('Weekly Log'!$E:$E,'Weekly Log'!$A:$A,"&gt;="&amp;$J22,'Weekly Log'!$A:$A,"&lt;"&amp;$J22+7),0))</f>
        <v/>
      </c>
      <c r="G22" s="13">
        <f>IF($J22="","",IFERROR(LOOKUP(2,1/(('Weekly Log'!$A$5:$A$5000&gt;=$J22)*('Weekly Log'!$A$5:$A$5000&lt;$J22+7)*('Weekly Log'!$M$5:$M$5000&lt;&gt;"")),'Weekly Log'!$M$5:$M$5000),0))</f>
        <v/>
      </c>
      <c r="H22" s="12" t="n"/>
      <c r="J22">
        <f>IF(COUNT('Weekly Log'!$A$5:$A$5000)=0,"",IF(MIN('Weekly Log'!$A$5:$A$5000)+7*(ROW()-10)&gt;MAX('Weekly Log'!$A$5:$A$5000),"",MIN('Weekly Log'!$A$5:$A$5000)+7*(ROW()-10)))</f>
        <v/>
      </c>
    </row>
    <row r="23">
      <c r="A23" s="12">
        <f>IF($J23="","",YEAR($J23-WEEKDAY($J23,2)+4)&amp;"-W"&amp;TEXT(WEEKNUM($J23,21),"00"))</f>
        <v/>
      </c>
      <c r="B23" s="13">
        <f>IF($J23="","",SUMIFS('Weekly Log'!$C:$C,'Weekly Log'!$A:$A,"&gt;="&amp;$J23,'Weekly Log'!$A:$A,"&lt;"&amp;$J23+7))</f>
        <v/>
      </c>
      <c r="C23" s="14">
        <f>IF($J23="","",IFERROR(COUNTIFS('Weekly Log'!$G:$G,"Y",'Weekly Log'!$A:$A,"&gt;="&amp;$J23,'Weekly Log'!$A:$A,"&lt;"&amp;$J23+7)/COUNTIFS('Weekly Log'!$G:$G,"&lt;&gt;",'Weekly Log'!$A:$A,"&gt;="&amp;$J23,'Weekly Log'!$A:$A,"&lt;"&amp;$J23+7),0))</f>
        <v/>
      </c>
      <c r="D23" s="14">
        <f>IF($J23="","",IFERROR(COUNTIFS('Weekly Log'!$H:$H,"Y",'Weekly Log'!$A:$A,"&gt;="&amp;$J23,'Weekly Log'!$A:$A,"&lt;"&amp;$J23+7)/COUNTIFS('Weekly Log'!$H:$H,"&lt;&gt;",'Weekly Log'!$A:$A,"&gt;="&amp;$J23,'Weekly Log'!$A:$A,"&lt;"&amp;$J23+7),0))</f>
        <v/>
      </c>
      <c r="E23" s="15">
        <f>IF($J23="","",IFERROR(AVERAGEIFS('Weekly Log'!$F:$F,'Weekly Log'!$A:$A,"&gt;="&amp;$J23,'Weekly Log'!$A:$A,"&lt;"&amp;$J23+7),0))</f>
        <v/>
      </c>
      <c r="F23" s="14">
        <f>IF($J23="","",IFERROR(SUMIFS('Weekly Log'!$F:$F,'Weekly Log'!$A:$A,"&gt;="&amp;$J23,'Weekly Log'!$A:$A,"&lt;"&amp;$J23+7)/SUMIFS('Weekly Log'!$E:$E,'Weekly Log'!$A:$A,"&gt;="&amp;$J23,'Weekly Log'!$A:$A,"&lt;"&amp;$J23+7),0))</f>
        <v/>
      </c>
      <c r="G23" s="13">
        <f>IF($J23="","",IFERROR(LOOKUP(2,1/(('Weekly Log'!$A$5:$A$5000&gt;=$J23)*('Weekly Log'!$A$5:$A$5000&lt;$J23+7)*('Weekly Log'!$M$5:$M$5000&lt;&gt;"")),'Weekly Log'!$M$5:$M$5000),0))</f>
        <v/>
      </c>
      <c r="H23" s="12" t="n"/>
      <c r="J23">
        <f>IF(COUNT('Weekly Log'!$A$5:$A$5000)=0,"",IF(MIN('Weekly Log'!$A$5:$A$5000)+7*(ROW()-10)&gt;MAX('Weekly Log'!$A$5:$A$5000),"",MIN('Weekly Log'!$A$5:$A$5000)+7*(ROW()-10)))</f>
        <v/>
      </c>
    </row>
    <row r="24">
      <c r="A24" s="12">
        <f>IF($J24="","",YEAR($J24-WEEKDAY($J24,2)+4)&amp;"-W"&amp;TEXT(WEEKNUM($J24,21),"00"))</f>
        <v/>
      </c>
      <c r="B24" s="13">
        <f>IF($J24="","",SUMIFS('Weekly Log'!$C:$C,'Weekly Log'!$A:$A,"&gt;="&amp;$J24,'Weekly Log'!$A:$A,"&lt;"&amp;$J24+7))</f>
        <v/>
      </c>
      <c r="C24" s="14">
        <f>IF($J24="","",IFERROR(COUNTIFS('Weekly Log'!$G:$G,"Y",'Weekly Log'!$A:$A,"&gt;="&amp;$J24,'Weekly Log'!$A:$A,"&lt;"&amp;$J24+7)/COUNTIFS('Weekly Log'!$G:$G,"&lt;&gt;",'Weekly Log'!$A:$A,"&gt;="&amp;$J24,'Weekly Log'!$A:$A,"&lt;"&amp;$J24+7),0))</f>
        <v/>
      </c>
      <c r="D24" s="14">
        <f>IF($J24="","",IFERROR(COUNTIFS('Weekly Log'!$H:$H,"Y",'Weekly Log'!$A:$A,"&gt;="&amp;$J24,'Weekly Log'!$A:$A,"&lt;"&amp;$J24+7)/COUNTIFS('Weekly Log'!$H:$H,"&lt;&gt;",'Weekly Log'!$A:$A,"&gt;="&amp;$J24,'Weekly Log'!$A:$A,"&lt;"&amp;$J24+7),0))</f>
        <v/>
      </c>
      <c r="E24" s="15">
        <f>IF($J24="","",IFERROR(AVERAGEIFS('Weekly Log'!$F:$F,'Weekly Log'!$A:$A,"&gt;="&amp;$J24,'Weekly Log'!$A:$A,"&lt;"&amp;$J24+7),0))</f>
        <v/>
      </c>
      <c r="F24" s="14">
        <f>IF($J24="","",IFERROR(SUMIFS('Weekly Log'!$F:$F,'Weekly Log'!$A:$A,"&gt;="&amp;$J24,'Weekly Log'!$A:$A,"&lt;"&amp;$J24+7)/SUMIFS('Weekly Log'!$E:$E,'Weekly Log'!$A:$A,"&gt;="&amp;$J24,'Weekly Log'!$A:$A,"&lt;"&amp;$J24+7),0))</f>
        <v/>
      </c>
      <c r="G24" s="13">
        <f>IF($J24="","",IFERROR(LOOKUP(2,1/(('Weekly Log'!$A$5:$A$5000&gt;=$J24)*('Weekly Log'!$A$5:$A$5000&lt;$J24+7)*('Weekly Log'!$M$5:$M$5000&lt;&gt;"")),'Weekly Log'!$M$5:$M$5000),0))</f>
        <v/>
      </c>
      <c r="H24" s="12" t="inlineStr">
        <is>
          <t>Short week</t>
        </is>
      </c>
      <c r="J24">
        <f>IF(COUNT('Weekly Log'!$A$5:$A$5000)=0,"",IF(MIN('Weekly Log'!$A$5:$A$5000)+7*(ROW()-10)&gt;MAX('Weekly Log'!$A$5:$A$5000),"",MIN('Weekly Log'!$A$5:$A$5000)+7*(ROW()-10)))</f>
        <v/>
      </c>
    </row>
    <row r="25">
      <c r="A25" s="12">
        <f>IF($J25="","",YEAR($J25-WEEKDAY($J25,2)+4)&amp;"-W"&amp;TEXT(WEEKNUM($J25,21),"00"))</f>
        <v/>
      </c>
      <c r="B25" s="13">
        <f>IF($J25="","",SUMIFS('Weekly Log'!$C:$C,'Weekly Log'!$A:$A,"&gt;="&amp;$J25,'Weekly Log'!$A:$A,"&lt;"&amp;$J25+7))</f>
        <v/>
      </c>
      <c r="C25" s="14">
        <f>IF($J25="","",IFERROR(COUNTIFS('Weekly Log'!$G:$G,"Y",'Weekly Log'!$A:$A,"&gt;="&amp;$J25,'Weekly Log'!$A:$A,"&lt;"&amp;$J25+7)/COUNTIFS('Weekly Log'!$G:$G,"&lt;&gt;",'Weekly Log'!$A:$A,"&gt;="&amp;$J25,'Weekly Log'!$A:$A,"&lt;"&amp;$J25+7),0))</f>
        <v/>
      </c>
      <c r="D25" s="14">
        <f>IF($J25="","",IFERROR(COUNTIFS('Weekly Log'!$H:$H,"Y",'Weekly Log'!$A:$A,"&gt;="&amp;$J25,'Weekly Log'!$A:$A,"&lt;"&amp;$J25+7)/COUNTIFS('Weekly Log'!$H:$H,"&lt;&gt;",'Weekly Log'!$A:$A,"&gt;="&amp;$J25,'Weekly Log'!$A:$A,"&lt;"&amp;$J25+7),0))</f>
        <v/>
      </c>
      <c r="E25" s="15">
        <f>IF($J25="","",IFERROR(AVERAGEIFS('Weekly Log'!$F:$F,'Weekly Log'!$A:$A,"&gt;="&amp;$J25,'Weekly Log'!$A:$A,"&lt;"&amp;$J25+7),0))</f>
        <v/>
      </c>
      <c r="F25" s="14">
        <f>IF($J25="","",IFERROR(SUMIFS('Weekly Log'!$F:$F,'Weekly Log'!$A:$A,"&gt;="&amp;$J25,'Weekly Log'!$A:$A,"&lt;"&amp;$J25+7)/SUMIFS('Weekly Log'!$E:$E,'Weekly Log'!$A:$A,"&gt;="&amp;$J25,'Weekly Log'!$A:$A,"&lt;"&amp;$J25+7),0))</f>
        <v/>
      </c>
      <c r="G25" s="13">
        <f>IF($J25="","",IFERROR(LOOKUP(2,1/(('Weekly Log'!$A$5:$A$5000&gt;=$J25)*('Weekly Log'!$A$5:$A$5000&lt;$J25+7)*('Weekly Log'!$M$5:$M$5000&lt;&gt;"")),'Weekly Log'!$M$5:$M$5000),0))</f>
        <v/>
      </c>
      <c r="H25" s="12" t="n"/>
      <c r="J25">
        <f>IF(COUNT('Weekly Log'!$A$5:$A$5000)=0,"",IF(MIN('Weekly Log'!$A$5:$A$5000)+7*(ROW()-10)&gt;MAX('Weekly Log'!$A$5:$A$5000),"",MIN('Weekly Log'!$A$5:$A$5000)+7*(ROW()-10)))</f>
        <v/>
      </c>
    </row>
    <row r="26">
      <c r="A26" s="12">
        <f>IF($J26="","",YEAR($J26-WEEKDAY($J26,2)+4)&amp;"-W"&amp;TEXT(WEEKNUM($J26,21),"00"))</f>
        <v/>
      </c>
      <c r="B26" s="13">
        <f>IF($J26="","",SUMIFS('Weekly Log'!$C:$C,'Weekly Log'!$A:$A,"&gt;="&amp;$J26,'Weekly Log'!$A:$A,"&lt;"&amp;$J26+7))</f>
        <v/>
      </c>
      <c r="C26" s="14">
        <f>IF($J26="","",IFERROR(COUNTIFS('Weekly Log'!$G:$G,"Y",'Weekly Log'!$A:$A,"&gt;="&amp;$J26,'Weekly Log'!$A:$A,"&lt;"&amp;$J26+7)/COUNTIFS('Weekly Log'!$G:$G,"&lt;&gt;",'Weekly Log'!$A:$A,"&gt;="&amp;$J26,'Weekly Log'!$A:$A,"&lt;"&amp;$J26+7),0))</f>
        <v/>
      </c>
      <c r="D26" s="14">
        <f>IF($J26="","",IFERROR(COUNTIFS('Weekly Log'!$H:$H,"Y",'Weekly Log'!$A:$A,"&gt;="&amp;$J26,'Weekly Log'!$A:$A,"&lt;"&amp;$J26+7)/COUNTIFS('Weekly Log'!$H:$H,"&lt;&gt;",'Weekly Log'!$A:$A,"&gt;="&amp;$J26,'Weekly Log'!$A:$A,"&lt;"&amp;$J26+7),0))</f>
        <v/>
      </c>
      <c r="E26" s="15">
        <f>IF($J26="","",IFERROR(AVERAGEIFS('Weekly Log'!$F:$F,'Weekly Log'!$A:$A,"&gt;="&amp;$J26,'Weekly Log'!$A:$A,"&lt;"&amp;$J26+7),0))</f>
        <v/>
      </c>
      <c r="F26" s="14">
        <f>IF($J26="","",IFERROR(SUMIFS('Weekly Log'!$F:$F,'Weekly Log'!$A:$A,"&gt;="&amp;$J26,'Weekly Log'!$A:$A,"&lt;"&amp;$J26+7)/SUMIFS('Weekly Log'!$E:$E,'Weekly Log'!$A:$A,"&gt;="&amp;$J26,'Weekly Log'!$A:$A,"&lt;"&amp;$J26+7),0))</f>
        <v/>
      </c>
      <c r="G26" s="13">
        <f>IF($J26="","",IFERROR(LOOKUP(2,1/(('Weekly Log'!$A$5:$A$5000&gt;=$J26)*('Weekly Log'!$A$5:$A$5000&lt;$J26+7)*('Weekly Log'!$M$5:$M$5000&lt;&gt;"")),'Weekly Log'!$M$5:$M$5000),0))</f>
        <v/>
      </c>
      <c r="H26" s="12" t="inlineStr">
        <is>
          <t>Weather delays</t>
        </is>
      </c>
      <c r="J26">
        <f>IF(COUNT('Weekly Log'!$A$5:$A$5000)=0,"",IF(MIN('Weekly Log'!$A$5:$A$5000)+7*(ROW()-10)&gt;MAX('Weekly Log'!$A$5:$A$5000),"",MIN('Weekly Log'!$A$5:$A$5000)+7*(ROW()-10)))</f>
        <v/>
      </c>
    </row>
    <row r="27">
      <c r="A27" s="12">
        <f>IF($J27="","",YEAR($J27-WEEKDAY($J27,2)+4)&amp;"-W"&amp;TEXT(WEEKNUM($J27,21),"00"))</f>
        <v/>
      </c>
      <c r="B27" s="13">
        <f>IF($J27="","",SUMIFS('Weekly Log'!$C:$C,'Weekly Log'!$A:$A,"&gt;="&amp;$J27,'Weekly Log'!$A:$A,"&lt;"&amp;$J27+7))</f>
        <v/>
      </c>
      <c r="C27" s="14">
        <f>IF($J27="","",IFERROR(COUNTIFS('Weekly Log'!$G:$G,"Y",'Weekly Log'!$A:$A,"&gt;="&amp;$J27,'Weekly Log'!$A:$A,"&lt;"&amp;$J27+7)/COUNTIFS('Weekly Log'!$G:$G,"&lt;&gt;",'Weekly Log'!$A:$A,"&gt;="&amp;$J27,'Weekly Log'!$A:$A,"&lt;"&amp;$J27+7),0))</f>
        <v/>
      </c>
      <c r="D27" s="14">
        <f>IF($J27="","",IFERROR(COUNTIFS('Weekly Log'!$H:$H,"Y",'Weekly Log'!$A:$A,"&gt;="&amp;$J27,'Weekly Log'!$A:$A,"&lt;"&amp;$J27+7)/COUNTIFS('Weekly Log'!$H:$H,"&lt;&gt;",'Weekly Log'!$A:$A,"&gt;="&amp;$J27,'Weekly Log'!$A:$A,"&lt;"&amp;$J27+7),0))</f>
        <v/>
      </c>
      <c r="E27" s="15">
        <f>IF($J27="","",IFERROR(AVERAGEIFS('Weekly Log'!$F:$F,'Weekly Log'!$A:$A,"&gt;="&amp;$J27,'Weekly Log'!$A:$A,"&lt;"&amp;$J27+7),0))</f>
        <v/>
      </c>
      <c r="F27" s="14">
        <f>IF($J27="","",IFERROR(SUMIFS('Weekly Log'!$F:$F,'Weekly Log'!$A:$A,"&gt;="&amp;$J27,'Weekly Log'!$A:$A,"&lt;"&amp;$J27+7)/SUMIFS('Weekly Log'!$E:$E,'Weekly Log'!$A:$A,"&gt;="&amp;$J27,'Weekly Log'!$A:$A,"&lt;"&amp;$J27+7),0))</f>
        <v/>
      </c>
      <c r="G27" s="13">
        <f>IF($J27="","",IFERROR(LOOKUP(2,1/(('Weekly Log'!$A$5:$A$5000&gt;=$J27)*('Weekly Log'!$A$5:$A$5000&lt;$J27+7)*('Weekly Log'!$M$5:$M$5000&lt;&gt;"")),'Weekly Log'!$M$5:$M$5000),0))</f>
        <v/>
      </c>
      <c r="H27" s="12" t="n"/>
      <c r="J27">
        <f>IF(COUNT('Weekly Log'!$A$5:$A$5000)=0,"",IF(MIN('Weekly Log'!$A$5:$A$5000)+7*(ROW()-10)&gt;MAX('Weekly Log'!$A$5:$A$5000),"",MIN('Weekly Log'!$A$5:$A$5000)+7*(ROW()-10)))</f>
        <v/>
      </c>
    </row>
    <row r="28">
      <c r="A28" s="12">
        <f>IF($J28="","",YEAR($J28-WEEKDAY($J28,2)+4)&amp;"-W"&amp;TEXT(WEEKNUM($J28,21),"00"))</f>
        <v/>
      </c>
      <c r="B28" s="13">
        <f>IF($J28="","",SUMIFS('Weekly Log'!$C:$C,'Weekly Log'!$A:$A,"&gt;="&amp;$J28,'Weekly Log'!$A:$A,"&lt;"&amp;$J28+7))</f>
        <v/>
      </c>
      <c r="C28" s="14">
        <f>IF($J28="","",IFERROR(COUNTIFS('Weekly Log'!$G:$G,"Y",'Weekly Log'!$A:$A,"&gt;="&amp;$J28,'Weekly Log'!$A:$A,"&lt;"&amp;$J28+7)/COUNTIFS('Weekly Log'!$G:$G,"&lt;&gt;",'Weekly Log'!$A:$A,"&gt;="&amp;$J28,'Weekly Log'!$A:$A,"&lt;"&amp;$J28+7),0))</f>
        <v/>
      </c>
      <c r="D28" s="14">
        <f>IF($J28="","",IFERROR(COUNTIFS('Weekly Log'!$H:$H,"Y",'Weekly Log'!$A:$A,"&gt;="&amp;$J28,'Weekly Log'!$A:$A,"&lt;"&amp;$J28+7)/COUNTIFS('Weekly Log'!$H:$H,"&lt;&gt;",'Weekly Log'!$A:$A,"&gt;="&amp;$J28,'Weekly Log'!$A:$A,"&lt;"&amp;$J28+7),0))</f>
        <v/>
      </c>
      <c r="E28" s="15">
        <f>IF($J28="","",IFERROR(AVERAGEIFS('Weekly Log'!$F:$F,'Weekly Log'!$A:$A,"&gt;="&amp;$J28,'Weekly Log'!$A:$A,"&lt;"&amp;$J28+7),0))</f>
        <v/>
      </c>
      <c r="F28" s="14">
        <f>IF($J28="","",IFERROR(SUMIFS('Weekly Log'!$F:$F,'Weekly Log'!$A:$A,"&gt;="&amp;$J28,'Weekly Log'!$A:$A,"&lt;"&amp;$J28+7)/SUMIFS('Weekly Log'!$E:$E,'Weekly Log'!$A:$A,"&gt;="&amp;$J28,'Weekly Log'!$A:$A,"&lt;"&amp;$J28+7),0))</f>
        <v/>
      </c>
      <c r="G28" s="13">
        <f>IF($J28="","",IFERROR(LOOKUP(2,1/(('Weekly Log'!$A$5:$A$5000&gt;=$J28)*('Weekly Log'!$A$5:$A$5000&lt;$J28+7)*('Weekly Log'!$M$5:$M$5000&lt;&gt;"")),'Weekly Log'!$M$5:$M$5000),0))</f>
        <v/>
      </c>
      <c r="H28" s="12" t="n"/>
      <c r="J28">
        <f>IF(COUNT('Weekly Log'!$A$5:$A$5000)=0,"",IF(MIN('Weekly Log'!$A$5:$A$5000)+7*(ROW()-10)&gt;MAX('Weekly Log'!$A$5:$A$5000),"",MIN('Weekly Log'!$A$5:$A$5000)+7*(ROW()-10)))</f>
        <v/>
      </c>
    </row>
    <row r="29">
      <c r="A29" s="12">
        <f>IF($J29="","",YEAR($J29-WEEKDAY($J29,2)+4)&amp;"-W"&amp;TEXT(WEEKNUM($J29,21),"00"))</f>
        <v/>
      </c>
      <c r="B29" s="13">
        <f>IF($J29="","",SUMIFS('Weekly Log'!$C:$C,'Weekly Log'!$A:$A,"&gt;="&amp;$J29,'Weekly Log'!$A:$A,"&lt;"&amp;$J29+7))</f>
        <v/>
      </c>
      <c r="C29" s="14">
        <f>IF($J29="","",IFERROR(COUNTIFS('Weekly Log'!$G:$G,"Y",'Weekly Log'!$A:$A,"&gt;="&amp;$J29,'Weekly Log'!$A:$A,"&lt;"&amp;$J29+7)/COUNTIFS('Weekly Log'!$G:$G,"&lt;&gt;",'Weekly Log'!$A:$A,"&gt;="&amp;$J29,'Weekly Log'!$A:$A,"&lt;"&amp;$J29+7),0))</f>
        <v/>
      </c>
      <c r="D29" s="14">
        <f>IF($J29="","",IFERROR(COUNTIFS('Weekly Log'!$H:$H,"Y",'Weekly Log'!$A:$A,"&gt;="&amp;$J29,'Weekly Log'!$A:$A,"&lt;"&amp;$J29+7)/COUNTIFS('Weekly Log'!$H:$H,"&lt;&gt;",'Weekly Log'!$A:$A,"&gt;="&amp;$J29,'Weekly Log'!$A:$A,"&lt;"&amp;$J29+7),0))</f>
        <v/>
      </c>
      <c r="E29" s="15">
        <f>IF($J29="","",IFERROR(AVERAGEIFS('Weekly Log'!$F:$F,'Weekly Log'!$A:$A,"&gt;="&amp;$J29,'Weekly Log'!$A:$A,"&lt;"&amp;$J29+7),0))</f>
        <v/>
      </c>
      <c r="F29" s="14">
        <f>IF($J29="","",IFERROR(SUMIFS('Weekly Log'!$F:$F,'Weekly Log'!$A:$A,"&gt;="&amp;$J29,'Weekly Log'!$A:$A,"&lt;"&amp;$J29+7)/SUMIFS('Weekly Log'!$E:$E,'Weekly Log'!$A:$A,"&gt;="&amp;$J29,'Weekly Log'!$A:$A,"&lt;"&amp;$J29+7),0))</f>
        <v/>
      </c>
      <c r="G29" s="13">
        <f>IF($J29="","",IFERROR(LOOKUP(2,1/(('Weekly Log'!$A$5:$A$5000&gt;=$J29)*('Weekly Log'!$A$5:$A$5000&lt;$J29+7)*('Weekly Log'!$M$5:$M$5000&lt;&gt;"")),'Weekly Log'!$M$5:$M$5000),0))</f>
        <v/>
      </c>
      <c r="H29" s="12" t="n"/>
      <c r="J29">
        <f>IF(COUNT('Weekly Log'!$A$5:$A$5000)=0,"",IF(MIN('Weekly Log'!$A$5:$A$5000)+7*(ROW()-10)&gt;MAX('Weekly Log'!$A$5:$A$5000),"",MIN('Weekly Log'!$A$5:$A$5000)+7*(ROW()-10)))</f>
        <v/>
      </c>
    </row>
    <row r="30">
      <c r="A30" s="12">
        <f>IF($J30="","",YEAR($J30-WEEKDAY($J30,2)+4)&amp;"-W"&amp;TEXT(WEEKNUM($J30,21),"00"))</f>
        <v/>
      </c>
      <c r="B30" s="13">
        <f>IF($J30="","",SUMIFS('Weekly Log'!$C:$C,'Weekly Log'!$A:$A,"&gt;="&amp;$J30,'Weekly Log'!$A:$A,"&lt;"&amp;$J30+7))</f>
        <v/>
      </c>
      <c r="C30" s="14">
        <f>IF($J30="","",IFERROR(COUNTIFS('Weekly Log'!$G:$G,"Y",'Weekly Log'!$A:$A,"&gt;="&amp;$J30,'Weekly Log'!$A:$A,"&lt;"&amp;$J30+7)/COUNTIFS('Weekly Log'!$G:$G,"&lt;&gt;",'Weekly Log'!$A:$A,"&gt;="&amp;$J30,'Weekly Log'!$A:$A,"&lt;"&amp;$J30+7),0))</f>
        <v/>
      </c>
      <c r="D30" s="14">
        <f>IF($J30="","",IFERROR(COUNTIFS('Weekly Log'!$H:$H,"Y",'Weekly Log'!$A:$A,"&gt;="&amp;$J30,'Weekly Log'!$A:$A,"&lt;"&amp;$J30+7)/COUNTIFS('Weekly Log'!$H:$H,"&lt;&gt;",'Weekly Log'!$A:$A,"&gt;="&amp;$J30,'Weekly Log'!$A:$A,"&lt;"&amp;$J30+7),0))</f>
        <v/>
      </c>
      <c r="E30" s="15">
        <f>IF($J30="","",IFERROR(AVERAGEIFS('Weekly Log'!$F:$F,'Weekly Log'!$A:$A,"&gt;="&amp;$J30,'Weekly Log'!$A:$A,"&lt;"&amp;$J30+7),0))</f>
        <v/>
      </c>
      <c r="F30" s="14">
        <f>IF($J30="","",IFERROR(SUMIFS('Weekly Log'!$F:$F,'Weekly Log'!$A:$A,"&gt;="&amp;$J30,'Weekly Log'!$A:$A,"&lt;"&amp;$J30+7)/SUMIFS('Weekly Log'!$E:$E,'Weekly Log'!$A:$A,"&gt;="&amp;$J30,'Weekly Log'!$A:$A,"&lt;"&amp;$J30+7),0))</f>
        <v/>
      </c>
      <c r="G30" s="13">
        <f>IF($J30="","",IFERROR(LOOKUP(2,1/(('Weekly Log'!$A$5:$A$5000&gt;=$J30)*('Weekly Log'!$A$5:$A$5000&lt;$J30+7)*('Weekly Log'!$M$5:$M$5000&lt;&gt;"")),'Weekly Log'!$M$5:$M$5000),0))</f>
        <v/>
      </c>
      <c r="H30" s="12" t="n"/>
      <c r="J30">
        <f>IF(COUNT('Weekly Log'!$A$5:$A$5000)=0,"",IF(MIN('Weekly Log'!$A$5:$A$5000)+7*(ROW()-10)&gt;MAX('Weekly Log'!$A$5:$A$5000),"",MIN('Weekly Log'!$A$5:$A$5000)+7*(ROW()-10)))</f>
        <v/>
      </c>
    </row>
    <row r="31">
      <c r="A31" s="12">
        <f>IF($J31="","",YEAR($J31-WEEKDAY($J31,2)+4)&amp;"-W"&amp;TEXT(WEEKNUM($J31,21),"00"))</f>
        <v/>
      </c>
      <c r="B31" s="13">
        <f>IF($J31="","",SUMIFS('Weekly Log'!$C:$C,'Weekly Log'!$A:$A,"&gt;="&amp;$J31,'Weekly Log'!$A:$A,"&lt;"&amp;$J31+7))</f>
        <v/>
      </c>
      <c r="C31" s="14">
        <f>IF($J31="","",IFERROR(COUNTIFS('Weekly Log'!$G:$G,"Y",'Weekly Log'!$A:$A,"&gt;="&amp;$J31,'Weekly Log'!$A:$A,"&lt;"&amp;$J31+7)/COUNTIFS('Weekly Log'!$G:$G,"&lt;&gt;",'Weekly Log'!$A:$A,"&gt;="&amp;$J31,'Weekly Log'!$A:$A,"&lt;"&amp;$J31+7),0))</f>
        <v/>
      </c>
      <c r="D31" s="14">
        <f>IF($J31="","",IFERROR(COUNTIFS('Weekly Log'!$H:$H,"Y",'Weekly Log'!$A:$A,"&gt;="&amp;$J31,'Weekly Log'!$A:$A,"&lt;"&amp;$J31+7)/COUNTIFS('Weekly Log'!$H:$H,"&lt;&gt;",'Weekly Log'!$A:$A,"&gt;="&amp;$J31,'Weekly Log'!$A:$A,"&lt;"&amp;$J31+7),0))</f>
        <v/>
      </c>
      <c r="E31" s="15">
        <f>IF($J31="","",IFERROR(AVERAGEIFS('Weekly Log'!$F:$F,'Weekly Log'!$A:$A,"&gt;="&amp;$J31,'Weekly Log'!$A:$A,"&lt;"&amp;$J31+7),0))</f>
        <v/>
      </c>
      <c r="F31" s="14">
        <f>IF($J31="","",IFERROR(SUMIFS('Weekly Log'!$F:$F,'Weekly Log'!$A:$A,"&gt;="&amp;$J31,'Weekly Log'!$A:$A,"&lt;"&amp;$J31+7)/SUMIFS('Weekly Log'!$E:$E,'Weekly Log'!$A:$A,"&gt;="&amp;$J31,'Weekly Log'!$A:$A,"&lt;"&amp;$J31+7),0))</f>
        <v/>
      </c>
      <c r="G31" s="13">
        <f>IF($J31="","",IFERROR(LOOKUP(2,1/(('Weekly Log'!$A$5:$A$5000&gt;=$J31)*('Weekly Log'!$A$5:$A$5000&lt;$J31+7)*('Weekly Log'!$M$5:$M$5000&lt;&gt;"")),'Weekly Log'!$M$5:$M$5000),0))</f>
        <v/>
      </c>
      <c r="H31" s="12" t="n"/>
      <c r="J31">
        <f>IF(COUNT('Weekly Log'!$A$5:$A$5000)=0,"",IF(MIN('Weekly Log'!$A$5:$A$5000)+7*(ROW()-10)&gt;MAX('Weekly Log'!$A$5:$A$5000),"",MIN('Weekly Log'!$A$5:$A$5000)+7*(ROW()-10)))</f>
        <v/>
      </c>
    </row>
    <row r="32">
      <c r="A32" s="12">
        <f>IF($J32="","",YEAR($J32-WEEKDAY($J32,2)+4)&amp;"-W"&amp;TEXT(WEEKNUM($J32,21),"00"))</f>
        <v/>
      </c>
      <c r="B32" s="13">
        <f>IF($J32="","",SUMIFS('Weekly Log'!$C:$C,'Weekly Log'!$A:$A,"&gt;="&amp;$J32,'Weekly Log'!$A:$A,"&lt;"&amp;$J32+7))</f>
        <v/>
      </c>
      <c r="C32" s="14">
        <f>IF($J32="","",IFERROR(COUNTIFS('Weekly Log'!$G:$G,"Y",'Weekly Log'!$A:$A,"&gt;="&amp;$J32,'Weekly Log'!$A:$A,"&lt;"&amp;$J32+7)/COUNTIFS('Weekly Log'!$G:$G,"&lt;&gt;",'Weekly Log'!$A:$A,"&gt;="&amp;$J32,'Weekly Log'!$A:$A,"&lt;"&amp;$J32+7),0))</f>
        <v/>
      </c>
      <c r="D32" s="14">
        <f>IF($J32="","",IFERROR(COUNTIFS('Weekly Log'!$H:$H,"Y",'Weekly Log'!$A:$A,"&gt;="&amp;$J32,'Weekly Log'!$A:$A,"&lt;"&amp;$J32+7)/COUNTIFS('Weekly Log'!$H:$H,"&lt;&gt;",'Weekly Log'!$A:$A,"&gt;="&amp;$J32,'Weekly Log'!$A:$A,"&lt;"&amp;$J32+7),0))</f>
        <v/>
      </c>
      <c r="E32" s="15">
        <f>IF($J32="","",IFERROR(AVERAGEIFS('Weekly Log'!$F:$F,'Weekly Log'!$A:$A,"&gt;="&amp;$J32,'Weekly Log'!$A:$A,"&lt;"&amp;$J32+7),0))</f>
        <v/>
      </c>
      <c r="F32" s="14">
        <f>IF($J32="","",IFERROR(SUMIFS('Weekly Log'!$F:$F,'Weekly Log'!$A:$A,"&gt;="&amp;$J32,'Weekly Log'!$A:$A,"&lt;"&amp;$J32+7)/SUMIFS('Weekly Log'!$E:$E,'Weekly Log'!$A:$A,"&gt;="&amp;$J32,'Weekly Log'!$A:$A,"&lt;"&amp;$J32+7),0))</f>
        <v/>
      </c>
      <c r="G32" s="13">
        <f>IF($J32="","",IFERROR(LOOKUP(2,1/(('Weekly Log'!$A$5:$A$5000&gt;=$J32)*('Weekly Log'!$A$5:$A$5000&lt;$J32+7)*('Weekly Log'!$M$5:$M$5000&lt;&gt;"")),'Weekly Log'!$M$5:$M$5000),0))</f>
        <v/>
      </c>
      <c r="H32" s="12" t="n"/>
      <c r="J32">
        <f>IF(COUNT('Weekly Log'!$A$5:$A$5000)=0,"",IF(MIN('Weekly Log'!$A$5:$A$5000)+7*(ROW()-10)&gt;MAX('Weekly Log'!$A$5:$A$5000),"",MIN('Weekly Log'!$A$5:$A$5000)+7*(ROW()-10)))</f>
        <v/>
      </c>
    </row>
    <row r="33">
      <c r="A33" s="12">
        <f>IF($J33="","",YEAR($J33-WEEKDAY($J33,2)+4)&amp;"-W"&amp;TEXT(WEEKNUM($J33,21),"00"))</f>
        <v/>
      </c>
      <c r="B33" s="13">
        <f>IF($J33="","",SUMIFS('Weekly Log'!$C:$C,'Weekly Log'!$A:$A,"&gt;="&amp;$J33,'Weekly Log'!$A:$A,"&lt;"&amp;$J33+7))</f>
        <v/>
      </c>
      <c r="C33" s="14">
        <f>IF($J33="","",IFERROR(COUNTIFS('Weekly Log'!$G:$G,"Y",'Weekly Log'!$A:$A,"&gt;="&amp;$J33,'Weekly Log'!$A:$A,"&lt;"&amp;$J33+7)/COUNTIFS('Weekly Log'!$G:$G,"&lt;&gt;",'Weekly Log'!$A:$A,"&gt;="&amp;$J33,'Weekly Log'!$A:$A,"&lt;"&amp;$J33+7),0))</f>
        <v/>
      </c>
      <c r="D33" s="14">
        <f>IF($J33="","",IFERROR(COUNTIFS('Weekly Log'!$H:$H,"Y",'Weekly Log'!$A:$A,"&gt;="&amp;$J33,'Weekly Log'!$A:$A,"&lt;"&amp;$J33+7)/COUNTIFS('Weekly Log'!$H:$H,"&lt;&gt;",'Weekly Log'!$A:$A,"&gt;="&amp;$J33,'Weekly Log'!$A:$A,"&lt;"&amp;$J33+7),0))</f>
        <v/>
      </c>
      <c r="E33" s="15">
        <f>IF($J33="","",IFERROR(AVERAGEIFS('Weekly Log'!$F:$F,'Weekly Log'!$A:$A,"&gt;="&amp;$J33,'Weekly Log'!$A:$A,"&lt;"&amp;$J33+7),0))</f>
        <v/>
      </c>
      <c r="F33" s="14">
        <f>IF($J33="","",IFERROR(SUMIFS('Weekly Log'!$F:$F,'Weekly Log'!$A:$A,"&gt;="&amp;$J33,'Weekly Log'!$A:$A,"&lt;"&amp;$J33+7)/SUMIFS('Weekly Log'!$E:$E,'Weekly Log'!$A:$A,"&gt;="&amp;$J33,'Weekly Log'!$A:$A,"&lt;"&amp;$J33+7),0))</f>
        <v/>
      </c>
      <c r="G33" s="13">
        <f>IF($J33="","",IFERROR(LOOKUP(2,1/(('Weekly Log'!$A$5:$A$5000&gt;=$J33)*('Weekly Log'!$A$5:$A$5000&lt;$J33+7)*('Weekly Log'!$M$5:$M$5000&lt;&gt;"")),'Weekly Log'!$M$5:$M$5000),0))</f>
        <v/>
      </c>
      <c r="H33" s="12" t="n"/>
      <c r="J33">
        <f>IF(COUNT('Weekly Log'!$A$5:$A$5000)=0,"",IF(MIN('Weekly Log'!$A$5:$A$5000)+7*(ROW()-10)&gt;MAX('Weekly Log'!$A$5:$A$5000),"",MIN('Weekly Log'!$A$5:$A$5000)+7*(ROW()-10)))</f>
        <v/>
      </c>
    </row>
    <row r="34">
      <c r="A34" s="12">
        <f>IF($J34="","",YEAR($J34-WEEKDAY($J34,2)+4)&amp;"-W"&amp;TEXT(WEEKNUM($J34,21),"00"))</f>
        <v/>
      </c>
      <c r="B34" s="13">
        <f>IF($J34="","",SUMIFS('Weekly Log'!$C:$C,'Weekly Log'!$A:$A,"&gt;="&amp;$J34,'Weekly Log'!$A:$A,"&lt;"&amp;$J34+7))</f>
        <v/>
      </c>
      <c r="C34" s="14">
        <f>IF($J34="","",IFERROR(COUNTIFS('Weekly Log'!$G:$G,"Y",'Weekly Log'!$A:$A,"&gt;="&amp;$J34,'Weekly Log'!$A:$A,"&lt;"&amp;$J34+7)/COUNTIFS('Weekly Log'!$G:$G,"&lt;&gt;",'Weekly Log'!$A:$A,"&gt;="&amp;$J34,'Weekly Log'!$A:$A,"&lt;"&amp;$J34+7),0))</f>
        <v/>
      </c>
      <c r="D34" s="14">
        <f>IF($J34="","",IFERROR(COUNTIFS('Weekly Log'!$H:$H,"Y",'Weekly Log'!$A:$A,"&gt;="&amp;$J34,'Weekly Log'!$A:$A,"&lt;"&amp;$J34+7)/COUNTIFS('Weekly Log'!$H:$H,"&lt;&gt;",'Weekly Log'!$A:$A,"&gt;="&amp;$J34,'Weekly Log'!$A:$A,"&lt;"&amp;$J34+7),0))</f>
        <v/>
      </c>
      <c r="E34" s="15">
        <f>IF($J34="","",IFERROR(AVERAGEIFS('Weekly Log'!$F:$F,'Weekly Log'!$A:$A,"&gt;="&amp;$J34,'Weekly Log'!$A:$A,"&lt;"&amp;$J34+7),0))</f>
        <v/>
      </c>
      <c r="F34" s="14">
        <f>IF($J34="","",IFERROR(SUMIFS('Weekly Log'!$F:$F,'Weekly Log'!$A:$A,"&gt;="&amp;$J34,'Weekly Log'!$A:$A,"&lt;"&amp;$J34+7)/SUMIFS('Weekly Log'!$E:$E,'Weekly Log'!$A:$A,"&gt;="&amp;$J34,'Weekly Log'!$A:$A,"&lt;"&amp;$J34+7),0))</f>
        <v/>
      </c>
      <c r="G34" s="13">
        <f>IF($J34="","",IFERROR(LOOKUP(2,1/(('Weekly Log'!$A$5:$A$5000&gt;=$J34)*('Weekly Log'!$A$5:$A$5000&lt;$J34+7)*('Weekly Log'!$M$5:$M$5000&lt;&gt;"")),'Weekly Log'!$M$5:$M$5000),0))</f>
        <v/>
      </c>
      <c r="H34" s="12" t="inlineStr">
        <is>
          <t>Seasonal demand spike</t>
        </is>
      </c>
      <c r="J34">
        <f>IF(COUNT('Weekly Log'!$A$5:$A$5000)=0,"",IF(MIN('Weekly Log'!$A$5:$A$5000)+7*(ROW()-10)&gt;MAX('Weekly Log'!$A$5:$A$5000),"",MIN('Weekly Log'!$A$5:$A$5000)+7*(ROW()-10)))</f>
        <v/>
      </c>
    </row>
    <row r="35">
      <c r="A35" s="12">
        <f>IF($J35="","",YEAR($J35-WEEKDAY($J35,2)+4)&amp;"-W"&amp;TEXT(WEEKNUM($J35,21),"00"))</f>
        <v/>
      </c>
      <c r="B35" s="13">
        <f>IF($J35="","",SUMIFS('Weekly Log'!$C:$C,'Weekly Log'!$A:$A,"&gt;="&amp;$J35,'Weekly Log'!$A:$A,"&lt;"&amp;$J35+7))</f>
        <v/>
      </c>
      <c r="C35" s="14">
        <f>IF($J35="","",IFERROR(COUNTIFS('Weekly Log'!$G:$G,"Y",'Weekly Log'!$A:$A,"&gt;="&amp;$J35,'Weekly Log'!$A:$A,"&lt;"&amp;$J35+7)/COUNTIFS('Weekly Log'!$G:$G,"&lt;&gt;",'Weekly Log'!$A:$A,"&gt;="&amp;$J35,'Weekly Log'!$A:$A,"&lt;"&amp;$J35+7),0))</f>
        <v/>
      </c>
      <c r="D35" s="14">
        <f>IF($J35="","",IFERROR(COUNTIFS('Weekly Log'!$H:$H,"Y",'Weekly Log'!$A:$A,"&gt;="&amp;$J35,'Weekly Log'!$A:$A,"&lt;"&amp;$J35+7)/COUNTIFS('Weekly Log'!$H:$H,"&lt;&gt;",'Weekly Log'!$A:$A,"&gt;="&amp;$J35,'Weekly Log'!$A:$A,"&lt;"&amp;$J35+7),0))</f>
        <v/>
      </c>
      <c r="E35" s="15">
        <f>IF($J35="","",IFERROR(AVERAGEIFS('Weekly Log'!$F:$F,'Weekly Log'!$A:$A,"&gt;="&amp;$J35,'Weekly Log'!$A:$A,"&lt;"&amp;$J35+7),0))</f>
        <v/>
      </c>
      <c r="F35" s="14">
        <f>IF($J35="","",IFERROR(SUMIFS('Weekly Log'!$F:$F,'Weekly Log'!$A:$A,"&gt;="&amp;$J35,'Weekly Log'!$A:$A,"&lt;"&amp;$J35+7)/SUMIFS('Weekly Log'!$E:$E,'Weekly Log'!$A:$A,"&gt;="&amp;$J35,'Weekly Log'!$A:$A,"&lt;"&amp;$J35+7),0))</f>
        <v/>
      </c>
      <c r="G35" s="13">
        <f>IF($J35="","",IFERROR(LOOKUP(2,1/(('Weekly Log'!$A$5:$A$5000&gt;=$J35)*('Weekly Log'!$A$5:$A$5000&lt;$J35+7)*('Weekly Log'!$M$5:$M$5000&lt;&gt;"")),'Weekly Log'!$M$5:$M$5000),0))</f>
        <v/>
      </c>
      <c r="H35" s="12" t="n"/>
      <c r="J35">
        <f>IF(COUNT('Weekly Log'!$A$5:$A$5000)=0,"",IF(MIN('Weekly Log'!$A$5:$A$5000)+7*(ROW()-10)&gt;MAX('Weekly Log'!$A$5:$A$5000),"",MIN('Weekly Log'!$A$5:$A$5000)+7*(ROW()-10)))</f>
        <v/>
      </c>
    </row>
    <row r="36">
      <c r="A36" s="12">
        <f>IF($J36="","",YEAR($J36-WEEKDAY($J36,2)+4)&amp;"-W"&amp;TEXT(WEEKNUM($J36,21),"00"))</f>
        <v/>
      </c>
      <c r="B36" s="13">
        <f>IF($J36="","",SUMIFS('Weekly Log'!$C:$C,'Weekly Log'!$A:$A,"&gt;="&amp;$J36,'Weekly Log'!$A:$A,"&lt;"&amp;$J36+7))</f>
        <v/>
      </c>
      <c r="C36" s="14">
        <f>IF($J36="","",IFERROR(COUNTIFS('Weekly Log'!$G:$G,"Y",'Weekly Log'!$A:$A,"&gt;="&amp;$J36,'Weekly Log'!$A:$A,"&lt;"&amp;$J36+7)/COUNTIFS('Weekly Log'!$G:$G,"&lt;&gt;",'Weekly Log'!$A:$A,"&gt;="&amp;$J36,'Weekly Log'!$A:$A,"&lt;"&amp;$J36+7),0))</f>
        <v/>
      </c>
      <c r="D36" s="14">
        <f>IF($J36="","",IFERROR(COUNTIFS('Weekly Log'!$H:$H,"Y",'Weekly Log'!$A:$A,"&gt;="&amp;$J36,'Weekly Log'!$A:$A,"&lt;"&amp;$J36+7)/COUNTIFS('Weekly Log'!$H:$H,"&lt;&gt;",'Weekly Log'!$A:$A,"&gt;="&amp;$J36,'Weekly Log'!$A:$A,"&lt;"&amp;$J36+7),0))</f>
        <v/>
      </c>
      <c r="E36" s="15">
        <f>IF($J36="","",IFERROR(AVERAGEIFS('Weekly Log'!$F:$F,'Weekly Log'!$A:$A,"&gt;="&amp;$J36,'Weekly Log'!$A:$A,"&lt;"&amp;$J36+7),0))</f>
        <v/>
      </c>
      <c r="F36" s="14">
        <f>IF($J36="","",IFERROR(SUMIFS('Weekly Log'!$F:$F,'Weekly Log'!$A:$A,"&gt;="&amp;$J36,'Weekly Log'!$A:$A,"&lt;"&amp;$J36+7)/SUMIFS('Weekly Log'!$E:$E,'Weekly Log'!$A:$A,"&gt;="&amp;$J36,'Weekly Log'!$A:$A,"&lt;"&amp;$J36+7),0))</f>
        <v/>
      </c>
      <c r="G36" s="13">
        <f>IF($J36="","",IFERROR(LOOKUP(2,1/(('Weekly Log'!$A$5:$A$5000&gt;=$J36)*('Weekly Log'!$A$5:$A$5000&lt;$J36+7)*('Weekly Log'!$M$5:$M$5000&lt;&gt;"")),'Weekly Log'!$M$5:$M$5000),0))</f>
        <v/>
      </c>
      <c r="H36" s="12" t="n"/>
      <c r="J36">
        <f>IF(COUNT('Weekly Log'!$A$5:$A$5000)=0,"",IF(MIN('Weekly Log'!$A$5:$A$5000)+7*(ROW()-10)&gt;MAX('Weekly Log'!$A$5:$A$5000),"",MIN('Weekly Log'!$A$5:$A$5000)+7*(ROW()-10)))</f>
        <v/>
      </c>
    </row>
    <row r="37">
      <c r="A37" s="12">
        <f>IF($J37="","",YEAR($J37-WEEKDAY($J37,2)+4)&amp;"-W"&amp;TEXT(WEEKNUM($J37,21),"00"))</f>
        <v/>
      </c>
      <c r="B37" s="13">
        <f>IF($J37="","",SUMIFS('Weekly Log'!$C:$C,'Weekly Log'!$A:$A,"&gt;="&amp;$J37,'Weekly Log'!$A:$A,"&lt;"&amp;$J37+7))</f>
        <v/>
      </c>
      <c r="C37" s="14">
        <f>IF($J37="","",IFERROR(COUNTIFS('Weekly Log'!$G:$G,"Y",'Weekly Log'!$A:$A,"&gt;="&amp;$J37,'Weekly Log'!$A:$A,"&lt;"&amp;$J37+7)/COUNTIFS('Weekly Log'!$G:$G,"&lt;&gt;",'Weekly Log'!$A:$A,"&gt;="&amp;$J37,'Weekly Log'!$A:$A,"&lt;"&amp;$J37+7),0))</f>
        <v/>
      </c>
      <c r="D37" s="14">
        <f>IF($J37="","",IFERROR(COUNTIFS('Weekly Log'!$H:$H,"Y",'Weekly Log'!$A:$A,"&gt;="&amp;$J37,'Weekly Log'!$A:$A,"&lt;"&amp;$J37+7)/COUNTIFS('Weekly Log'!$H:$H,"&lt;&gt;",'Weekly Log'!$A:$A,"&gt;="&amp;$J37,'Weekly Log'!$A:$A,"&lt;"&amp;$J37+7),0))</f>
        <v/>
      </c>
      <c r="E37" s="15">
        <f>IF($J37="","",IFERROR(AVERAGEIFS('Weekly Log'!$F:$F,'Weekly Log'!$A:$A,"&gt;="&amp;$J37,'Weekly Log'!$A:$A,"&lt;"&amp;$J37+7),0))</f>
        <v/>
      </c>
      <c r="F37" s="14">
        <f>IF($J37="","",IFERROR(SUMIFS('Weekly Log'!$F:$F,'Weekly Log'!$A:$A,"&gt;="&amp;$J37,'Weekly Log'!$A:$A,"&lt;"&amp;$J37+7)/SUMIFS('Weekly Log'!$E:$E,'Weekly Log'!$A:$A,"&gt;="&amp;$J37,'Weekly Log'!$A:$A,"&lt;"&amp;$J37+7),0))</f>
        <v/>
      </c>
      <c r="G37" s="13">
        <f>IF($J37="","",IFERROR(LOOKUP(2,1/(('Weekly Log'!$A$5:$A$5000&gt;=$J37)*('Weekly Log'!$A$5:$A$5000&lt;$J37+7)*('Weekly Log'!$M$5:$M$5000&lt;&gt;"")),'Weekly Log'!$M$5:$M$5000),0))</f>
        <v/>
      </c>
      <c r="H37" s="12" t="inlineStr">
        <is>
          <t>Short week</t>
        </is>
      </c>
      <c r="J37">
        <f>IF(COUNT('Weekly Log'!$A$5:$A$5000)=0,"",IF(MIN('Weekly Log'!$A$5:$A$5000)+7*(ROW()-10)&gt;MAX('Weekly Log'!$A$5:$A$5000),"",MIN('Weekly Log'!$A$5:$A$5000)+7*(ROW()-10)))</f>
        <v/>
      </c>
    </row>
    <row r="38">
      <c r="A38" s="12">
        <f>IF($J38="","",YEAR($J38-WEEKDAY($J38,2)+4)&amp;"-W"&amp;TEXT(WEEKNUM($J38,21),"00"))</f>
        <v/>
      </c>
      <c r="B38" s="13">
        <f>IF($J38="","",SUMIFS('Weekly Log'!$C:$C,'Weekly Log'!$A:$A,"&gt;="&amp;$J38,'Weekly Log'!$A:$A,"&lt;"&amp;$J38+7))</f>
        <v/>
      </c>
      <c r="C38" s="14">
        <f>IF($J38="","",IFERROR(COUNTIFS('Weekly Log'!$G:$G,"Y",'Weekly Log'!$A:$A,"&gt;="&amp;$J38,'Weekly Log'!$A:$A,"&lt;"&amp;$J38+7)/COUNTIFS('Weekly Log'!$G:$G,"&lt;&gt;",'Weekly Log'!$A:$A,"&gt;="&amp;$J38,'Weekly Log'!$A:$A,"&lt;"&amp;$J38+7),0))</f>
        <v/>
      </c>
      <c r="D38" s="14">
        <f>IF($J38="","",IFERROR(COUNTIFS('Weekly Log'!$H:$H,"Y",'Weekly Log'!$A:$A,"&gt;="&amp;$J38,'Weekly Log'!$A:$A,"&lt;"&amp;$J38+7)/COUNTIFS('Weekly Log'!$H:$H,"&lt;&gt;",'Weekly Log'!$A:$A,"&gt;="&amp;$J38,'Weekly Log'!$A:$A,"&lt;"&amp;$J38+7),0))</f>
        <v/>
      </c>
      <c r="E38" s="15">
        <f>IF($J38="","",IFERROR(AVERAGEIFS('Weekly Log'!$F:$F,'Weekly Log'!$A:$A,"&gt;="&amp;$J38,'Weekly Log'!$A:$A,"&lt;"&amp;$J38+7),0))</f>
        <v/>
      </c>
      <c r="F38" s="14">
        <f>IF($J38="","",IFERROR(SUMIFS('Weekly Log'!$F:$F,'Weekly Log'!$A:$A,"&gt;="&amp;$J38,'Weekly Log'!$A:$A,"&lt;"&amp;$J38+7)/SUMIFS('Weekly Log'!$E:$E,'Weekly Log'!$A:$A,"&gt;="&amp;$J38,'Weekly Log'!$A:$A,"&lt;"&amp;$J38+7),0))</f>
        <v/>
      </c>
      <c r="G38" s="13">
        <f>IF($J38="","",IFERROR(LOOKUP(2,1/(('Weekly Log'!$A$5:$A$5000&gt;=$J38)*('Weekly Log'!$A$5:$A$5000&lt;$J38+7)*('Weekly Log'!$M$5:$M$5000&lt;&gt;"")),'Weekly Log'!$M$5:$M$5000),0))</f>
        <v/>
      </c>
      <c r="H38" s="12" t="n"/>
      <c r="J38">
        <f>IF(COUNT('Weekly Log'!$A$5:$A$5000)=0,"",IF(MIN('Weekly Log'!$A$5:$A$5000)+7*(ROW()-10)&gt;MAX('Weekly Log'!$A$5:$A$5000),"",MIN('Weekly Log'!$A$5:$A$5000)+7*(ROW()-10)))</f>
        <v/>
      </c>
    </row>
    <row r="39">
      <c r="A39" s="12">
        <f>IF($J39="","",YEAR($J39-WEEKDAY($J39,2)+4)&amp;"-W"&amp;TEXT(WEEKNUM($J39,21),"00"))</f>
        <v/>
      </c>
      <c r="B39" s="13">
        <f>IF($J39="","",SUMIFS('Weekly Log'!$C:$C,'Weekly Log'!$A:$A,"&gt;="&amp;$J39,'Weekly Log'!$A:$A,"&lt;"&amp;$J39+7))</f>
        <v/>
      </c>
      <c r="C39" s="14">
        <f>IF($J39="","",IFERROR(COUNTIFS('Weekly Log'!$G:$G,"Y",'Weekly Log'!$A:$A,"&gt;="&amp;$J39,'Weekly Log'!$A:$A,"&lt;"&amp;$J39+7)/COUNTIFS('Weekly Log'!$G:$G,"&lt;&gt;",'Weekly Log'!$A:$A,"&gt;="&amp;$J39,'Weekly Log'!$A:$A,"&lt;"&amp;$J39+7),0))</f>
        <v/>
      </c>
      <c r="D39" s="14">
        <f>IF($J39="","",IFERROR(COUNTIFS('Weekly Log'!$H:$H,"Y",'Weekly Log'!$A:$A,"&gt;="&amp;$J39,'Weekly Log'!$A:$A,"&lt;"&amp;$J39+7)/COUNTIFS('Weekly Log'!$H:$H,"&lt;&gt;",'Weekly Log'!$A:$A,"&gt;="&amp;$J39,'Weekly Log'!$A:$A,"&lt;"&amp;$J39+7),0))</f>
        <v/>
      </c>
      <c r="E39" s="15">
        <f>IF($J39="","",IFERROR(AVERAGEIFS('Weekly Log'!$F:$F,'Weekly Log'!$A:$A,"&gt;="&amp;$J39,'Weekly Log'!$A:$A,"&lt;"&amp;$J39+7),0))</f>
        <v/>
      </c>
      <c r="F39" s="14">
        <f>IF($J39="","",IFERROR(SUMIFS('Weekly Log'!$F:$F,'Weekly Log'!$A:$A,"&gt;="&amp;$J39,'Weekly Log'!$A:$A,"&lt;"&amp;$J39+7)/SUMIFS('Weekly Log'!$E:$E,'Weekly Log'!$A:$A,"&gt;="&amp;$J39,'Weekly Log'!$A:$A,"&lt;"&amp;$J39+7),0))</f>
        <v/>
      </c>
      <c r="G39" s="13">
        <f>IF($J39="","",IFERROR(LOOKUP(2,1/(('Weekly Log'!$A$5:$A$5000&gt;=$J39)*('Weekly Log'!$A$5:$A$5000&lt;$J39+7)*('Weekly Log'!$M$5:$M$5000&lt;&gt;"")),'Weekly Log'!$M$5:$M$5000),0))</f>
        <v/>
      </c>
      <c r="H39" s="12" t="n"/>
      <c r="J39">
        <f>IF(COUNT('Weekly Log'!$A$5:$A$5000)=0,"",IF(MIN('Weekly Log'!$A$5:$A$5000)+7*(ROW()-10)&gt;MAX('Weekly Log'!$A$5:$A$5000),"",MIN('Weekly Log'!$A$5:$A$5000)+7*(ROW()-10)))</f>
        <v/>
      </c>
    </row>
    <row r="40">
      <c r="A40" s="12">
        <f>IF($J40="","",YEAR($J40-WEEKDAY($J40,2)+4)&amp;"-W"&amp;TEXT(WEEKNUM($J40,21),"00"))</f>
        <v/>
      </c>
      <c r="B40" s="13">
        <f>IF($J40="","",SUMIFS('Weekly Log'!$C:$C,'Weekly Log'!$A:$A,"&gt;="&amp;$J40,'Weekly Log'!$A:$A,"&lt;"&amp;$J40+7))</f>
        <v/>
      </c>
      <c r="C40" s="14">
        <f>IF($J40="","",IFERROR(COUNTIFS('Weekly Log'!$G:$G,"Y",'Weekly Log'!$A:$A,"&gt;="&amp;$J40,'Weekly Log'!$A:$A,"&lt;"&amp;$J40+7)/COUNTIFS('Weekly Log'!$G:$G,"&lt;&gt;",'Weekly Log'!$A:$A,"&gt;="&amp;$J40,'Weekly Log'!$A:$A,"&lt;"&amp;$J40+7),0))</f>
        <v/>
      </c>
      <c r="D40" s="14">
        <f>IF($J40="","",IFERROR(COUNTIFS('Weekly Log'!$H:$H,"Y",'Weekly Log'!$A:$A,"&gt;="&amp;$J40,'Weekly Log'!$A:$A,"&lt;"&amp;$J40+7)/COUNTIFS('Weekly Log'!$H:$H,"&lt;&gt;",'Weekly Log'!$A:$A,"&gt;="&amp;$J40,'Weekly Log'!$A:$A,"&lt;"&amp;$J40+7),0))</f>
        <v/>
      </c>
      <c r="E40" s="15">
        <f>IF($J40="","",IFERROR(AVERAGEIFS('Weekly Log'!$F:$F,'Weekly Log'!$A:$A,"&gt;="&amp;$J40,'Weekly Log'!$A:$A,"&lt;"&amp;$J40+7),0))</f>
        <v/>
      </c>
      <c r="F40" s="14">
        <f>IF($J40="","",IFERROR(SUMIFS('Weekly Log'!$F:$F,'Weekly Log'!$A:$A,"&gt;="&amp;$J40,'Weekly Log'!$A:$A,"&lt;"&amp;$J40+7)/SUMIFS('Weekly Log'!$E:$E,'Weekly Log'!$A:$A,"&gt;="&amp;$J40,'Weekly Log'!$A:$A,"&lt;"&amp;$J40+7),0))</f>
        <v/>
      </c>
      <c r="G40" s="13">
        <f>IF($J40="","",IFERROR(LOOKUP(2,1/(('Weekly Log'!$A$5:$A$5000&gt;=$J40)*('Weekly Log'!$A$5:$A$5000&lt;$J40+7)*('Weekly Log'!$M$5:$M$5000&lt;&gt;"")),'Weekly Log'!$M$5:$M$5000),0))</f>
        <v/>
      </c>
      <c r="H40" s="12" t="inlineStr">
        <is>
          <t>Seasonal demand spike</t>
        </is>
      </c>
      <c r="J40">
        <f>IF(COUNT('Weekly Log'!$A$5:$A$5000)=0,"",IF(MIN('Weekly Log'!$A$5:$A$5000)+7*(ROW()-10)&gt;MAX('Weekly Log'!$A$5:$A$5000),"",MIN('Weekly Log'!$A$5:$A$5000)+7*(ROW()-10)))</f>
        <v/>
      </c>
    </row>
    <row r="41">
      <c r="A41" s="12">
        <f>IF($J41="","",YEAR($J41-WEEKDAY($J41,2)+4)&amp;"-W"&amp;TEXT(WEEKNUM($J41,21),"00"))</f>
        <v/>
      </c>
      <c r="B41" s="13">
        <f>IF($J41="","",SUMIFS('Weekly Log'!$C:$C,'Weekly Log'!$A:$A,"&gt;="&amp;$J41,'Weekly Log'!$A:$A,"&lt;"&amp;$J41+7))</f>
        <v/>
      </c>
      <c r="C41" s="14">
        <f>IF($J41="","",IFERROR(COUNTIFS('Weekly Log'!$G:$G,"Y",'Weekly Log'!$A:$A,"&gt;="&amp;$J41,'Weekly Log'!$A:$A,"&lt;"&amp;$J41+7)/COUNTIFS('Weekly Log'!$G:$G,"&lt;&gt;",'Weekly Log'!$A:$A,"&gt;="&amp;$J41,'Weekly Log'!$A:$A,"&lt;"&amp;$J41+7),0))</f>
        <v/>
      </c>
      <c r="D41" s="14">
        <f>IF($J41="","",IFERROR(COUNTIFS('Weekly Log'!$H:$H,"Y",'Weekly Log'!$A:$A,"&gt;="&amp;$J41,'Weekly Log'!$A:$A,"&lt;"&amp;$J41+7)/COUNTIFS('Weekly Log'!$H:$H,"&lt;&gt;",'Weekly Log'!$A:$A,"&gt;="&amp;$J41,'Weekly Log'!$A:$A,"&lt;"&amp;$J41+7),0))</f>
        <v/>
      </c>
      <c r="E41" s="15">
        <f>IF($J41="","",IFERROR(AVERAGEIFS('Weekly Log'!$F:$F,'Weekly Log'!$A:$A,"&gt;="&amp;$J41,'Weekly Log'!$A:$A,"&lt;"&amp;$J41+7),0))</f>
        <v/>
      </c>
      <c r="F41" s="14">
        <f>IF($J41="","",IFERROR(SUMIFS('Weekly Log'!$F:$F,'Weekly Log'!$A:$A,"&gt;="&amp;$J41,'Weekly Log'!$A:$A,"&lt;"&amp;$J41+7)/SUMIFS('Weekly Log'!$E:$E,'Weekly Log'!$A:$A,"&gt;="&amp;$J41,'Weekly Log'!$A:$A,"&lt;"&amp;$J41+7),0))</f>
        <v/>
      </c>
      <c r="G41" s="13">
        <f>IF($J41="","",IFERROR(LOOKUP(2,1/(('Weekly Log'!$A$5:$A$5000&gt;=$J41)*('Weekly Log'!$A$5:$A$5000&lt;$J41+7)*('Weekly Log'!$M$5:$M$5000&lt;&gt;"")),'Weekly Log'!$M$5:$M$5000),0))</f>
        <v/>
      </c>
      <c r="H41" s="12" t="n"/>
      <c r="J41">
        <f>IF(COUNT('Weekly Log'!$A$5:$A$5000)=0,"",IF(MIN('Weekly Log'!$A$5:$A$5000)+7*(ROW()-10)&gt;MAX('Weekly Log'!$A$5:$A$5000),"",MIN('Weekly Log'!$A$5:$A$5000)+7*(ROW()-10)))</f>
        <v/>
      </c>
    </row>
    <row r="42">
      <c r="A42" s="12">
        <f>IF($J42="","",YEAR($J42-WEEKDAY($J42,2)+4)&amp;"-W"&amp;TEXT(WEEKNUM($J42,21),"00"))</f>
        <v/>
      </c>
      <c r="B42" s="13">
        <f>IF($J42="","",SUMIFS('Weekly Log'!$C:$C,'Weekly Log'!$A:$A,"&gt;="&amp;$J42,'Weekly Log'!$A:$A,"&lt;"&amp;$J42+7))</f>
        <v/>
      </c>
      <c r="C42" s="14">
        <f>IF($J42="","",IFERROR(COUNTIFS('Weekly Log'!$G:$G,"Y",'Weekly Log'!$A:$A,"&gt;="&amp;$J42,'Weekly Log'!$A:$A,"&lt;"&amp;$J42+7)/COUNTIFS('Weekly Log'!$G:$G,"&lt;&gt;",'Weekly Log'!$A:$A,"&gt;="&amp;$J42,'Weekly Log'!$A:$A,"&lt;"&amp;$J42+7),0))</f>
        <v/>
      </c>
      <c r="D42" s="14">
        <f>IF($J42="","",IFERROR(COUNTIFS('Weekly Log'!$H:$H,"Y",'Weekly Log'!$A:$A,"&gt;="&amp;$J42,'Weekly Log'!$A:$A,"&lt;"&amp;$J42+7)/COUNTIFS('Weekly Log'!$H:$H,"&lt;&gt;",'Weekly Log'!$A:$A,"&gt;="&amp;$J42,'Weekly Log'!$A:$A,"&lt;"&amp;$J42+7),0))</f>
        <v/>
      </c>
      <c r="E42" s="15">
        <f>IF($J42="","",IFERROR(AVERAGEIFS('Weekly Log'!$F:$F,'Weekly Log'!$A:$A,"&gt;="&amp;$J42,'Weekly Log'!$A:$A,"&lt;"&amp;$J42+7),0))</f>
        <v/>
      </c>
      <c r="F42" s="14">
        <f>IF($J42="","",IFERROR(SUMIFS('Weekly Log'!$F:$F,'Weekly Log'!$A:$A,"&gt;="&amp;$J42,'Weekly Log'!$A:$A,"&lt;"&amp;$J42+7)/SUMIFS('Weekly Log'!$E:$E,'Weekly Log'!$A:$A,"&gt;="&amp;$J42,'Weekly Log'!$A:$A,"&lt;"&amp;$J42+7),0))</f>
        <v/>
      </c>
      <c r="G42" s="13">
        <f>IF($J42="","",IFERROR(LOOKUP(2,1/(('Weekly Log'!$A$5:$A$5000&gt;=$J42)*('Weekly Log'!$A$5:$A$5000&lt;$J42+7)*('Weekly Log'!$M$5:$M$5000&lt;&gt;"")),'Weekly Log'!$M$5:$M$5000),0))</f>
        <v/>
      </c>
      <c r="H42" s="12" t="n"/>
      <c r="J42">
        <f>IF(COUNT('Weekly Log'!$A$5:$A$5000)=0,"",IF(MIN('Weekly Log'!$A$5:$A$5000)+7*(ROW()-10)&gt;MAX('Weekly Log'!$A$5:$A$5000),"",MIN('Weekly Log'!$A$5:$A$5000)+7*(ROW()-10)))</f>
        <v/>
      </c>
    </row>
    <row r="43">
      <c r="A43" s="12">
        <f>IF($J43="","",YEAR($J43-WEEKDAY($J43,2)+4)&amp;"-W"&amp;TEXT(WEEKNUM($J43,21),"00"))</f>
        <v/>
      </c>
      <c r="B43" s="13">
        <f>IF($J43="","",SUMIFS('Weekly Log'!$C:$C,'Weekly Log'!$A:$A,"&gt;="&amp;$J43,'Weekly Log'!$A:$A,"&lt;"&amp;$J43+7))</f>
        <v/>
      </c>
      <c r="C43" s="14">
        <f>IF($J43="","",IFERROR(COUNTIFS('Weekly Log'!$G:$G,"Y",'Weekly Log'!$A:$A,"&gt;="&amp;$J43,'Weekly Log'!$A:$A,"&lt;"&amp;$J43+7)/COUNTIFS('Weekly Log'!$G:$G,"&lt;&gt;",'Weekly Log'!$A:$A,"&gt;="&amp;$J43,'Weekly Log'!$A:$A,"&lt;"&amp;$J43+7),0))</f>
        <v/>
      </c>
      <c r="D43" s="14">
        <f>IF($J43="","",IFERROR(COUNTIFS('Weekly Log'!$H:$H,"Y",'Weekly Log'!$A:$A,"&gt;="&amp;$J43,'Weekly Log'!$A:$A,"&lt;"&amp;$J43+7)/COUNTIFS('Weekly Log'!$H:$H,"&lt;&gt;",'Weekly Log'!$A:$A,"&gt;="&amp;$J43,'Weekly Log'!$A:$A,"&lt;"&amp;$J43+7),0))</f>
        <v/>
      </c>
      <c r="E43" s="15">
        <f>IF($J43="","",IFERROR(AVERAGEIFS('Weekly Log'!$F:$F,'Weekly Log'!$A:$A,"&gt;="&amp;$J43,'Weekly Log'!$A:$A,"&lt;"&amp;$J43+7),0))</f>
        <v/>
      </c>
      <c r="F43" s="14">
        <f>IF($J43="","",IFERROR(SUMIFS('Weekly Log'!$F:$F,'Weekly Log'!$A:$A,"&gt;="&amp;$J43,'Weekly Log'!$A:$A,"&lt;"&amp;$J43+7)/SUMIFS('Weekly Log'!$E:$E,'Weekly Log'!$A:$A,"&gt;="&amp;$J43,'Weekly Log'!$A:$A,"&lt;"&amp;$J43+7),0))</f>
        <v/>
      </c>
      <c r="G43" s="13">
        <f>IF($J43="","",IFERROR(LOOKUP(2,1/(('Weekly Log'!$A$5:$A$5000&gt;=$J43)*('Weekly Log'!$A$5:$A$5000&lt;$J43+7)*('Weekly Log'!$M$5:$M$5000&lt;&gt;"")),'Weekly Log'!$M$5:$M$5000),0))</f>
        <v/>
      </c>
      <c r="H43" s="12" t="n"/>
      <c r="J43">
        <f>IF(COUNT('Weekly Log'!$A$5:$A$5000)=0,"",IF(MIN('Weekly Log'!$A$5:$A$5000)+7*(ROW()-10)&gt;MAX('Weekly Log'!$A$5:$A$5000),"",MIN('Weekly Log'!$A$5:$A$5000)+7*(ROW()-10)))</f>
        <v/>
      </c>
    </row>
    <row r="44">
      <c r="A44" s="12">
        <f>IF($J44="","",YEAR($J44-WEEKDAY($J44,2)+4)&amp;"-W"&amp;TEXT(WEEKNUM($J44,21),"00"))</f>
        <v/>
      </c>
      <c r="B44" s="13">
        <f>IF($J44="","",SUMIFS('Weekly Log'!$C:$C,'Weekly Log'!$A:$A,"&gt;="&amp;$J44,'Weekly Log'!$A:$A,"&lt;"&amp;$J44+7))</f>
        <v/>
      </c>
      <c r="C44" s="14">
        <f>IF($J44="","",IFERROR(COUNTIFS('Weekly Log'!$G:$G,"Y",'Weekly Log'!$A:$A,"&gt;="&amp;$J44,'Weekly Log'!$A:$A,"&lt;"&amp;$J44+7)/COUNTIFS('Weekly Log'!$G:$G,"&lt;&gt;",'Weekly Log'!$A:$A,"&gt;="&amp;$J44,'Weekly Log'!$A:$A,"&lt;"&amp;$J44+7),0))</f>
        <v/>
      </c>
      <c r="D44" s="14">
        <f>IF($J44="","",IFERROR(COUNTIFS('Weekly Log'!$H:$H,"Y",'Weekly Log'!$A:$A,"&gt;="&amp;$J44,'Weekly Log'!$A:$A,"&lt;"&amp;$J44+7)/COUNTIFS('Weekly Log'!$H:$H,"&lt;&gt;",'Weekly Log'!$A:$A,"&gt;="&amp;$J44,'Weekly Log'!$A:$A,"&lt;"&amp;$J44+7),0))</f>
        <v/>
      </c>
      <c r="E44" s="15">
        <f>IF($J44="","",IFERROR(AVERAGEIFS('Weekly Log'!$F:$F,'Weekly Log'!$A:$A,"&gt;="&amp;$J44,'Weekly Log'!$A:$A,"&lt;"&amp;$J44+7),0))</f>
        <v/>
      </c>
      <c r="F44" s="14">
        <f>IF($J44="","",IFERROR(SUMIFS('Weekly Log'!$F:$F,'Weekly Log'!$A:$A,"&gt;="&amp;$J44,'Weekly Log'!$A:$A,"&lt;"&amp;$J44+7)/SUMIFS('Weekly Log'!$E:$E,'Weekly Log'!$A:$A,"&gt;="&amp;$J44,'Weekly Log'!$A:$A,"&lt;"&amp;$J44+7),0))</f>
        <v/>
      </c>
      <c r="G44" s="13">
        <f>IF($J44="","",IFERROR(LOOKUP(2,1/(('Weekly Log'!$A$5:$A$5000&gt;=$J44)*('Weekly Log'!$A$5:$A$5000&lt;$J44+7)*('Weekly Log'!$M$5:$M$5000&lt;&gt;"")),'Weekly Log'!$M$5:$M$5000),0))</f>
        <v/>
      </c>
      <c r="H44" s="12" t="n"/>
      <c r="J44">
        <f>IF(COUNT('Weekly Log'!$A$5:$A$5000)=0,"",IF(MIN('Weekly Log'!$A$5:$A$5000)+7*(ROW()-10)&gt;MAX('Weekly Log'!$A$5:$A$5000),"",MIN('Weekly Log'!$A$5:$A$5000)+7*(ROW()-10)))</f>
        <v/>
      </c>
    </row>
    <row r="45">
      <c r="A45" s="12">
        <f>IF($J45="","",YEAR($J45-WEEKDAY($J45,2)+4)&amp;"-W"&amp;TEXT(WEEKNUM($J45,21),"00"))</f>
        <v/>
      </c>
      <c r="B45" s="13">
        <f>IF($J45="","",SUMIFS('Weekly Log'!$C:$C,'Weekly Log'!$A:$A,"&gt;="&amp;$J45,'Weekly Log'!$A:$A,"&lt;"&amp;$J45+7))</f>
        <v/>
      </c>
      <c r="C45" s="14">
        <f>IF($J45="","",IFERROR(COUNTIFS('Weekly Log'!$G:$G,"Y",'Weekly Log'!$A:$A,"&gt;="&amp;$J45,'Weekly Log'!$A:$A,"&lt;"&amp;$J45+7)/COUNTIFS('Weekly Log'!$G:$G,"&lt;&gt;",'Weekly Log'!$A:$A,"&gt;="&amp;$J45,'Weekly Log'!$A:$A,"&lt;"&amp;$J45+7),0))</f>
        <v/>
      </c>
      <c r="D45" s="14">
        <f>IF($J45="","",IFERROR(COUNTIFS('Weekly Log'!$H:$H,"Y",'Weekly Log'!$A:$A,"&gt;="&amp;$J45,'Weekly Log'!$A:$A,"&lt;"&amp;$J45+7)/COUNTIFS('Weekly Log'!$H:$H,"&lt;&gt;",'Weekly Log'!$A:$A,"&gt;="&amp;$J45,'Weekly Log'!$A:$A,"&lt;"&amp;$J45+7),0))</f>
        <v/>
      </c>
      <c r="E45" s="15">
        <f>IF($J45="","",IFERROR(AVERAGEIFS('Weekly Log'!$F:$F,'Weekly Log'!$A:$A,"&gt;="&amp;$J45,'Weekly Log'!$A:$A,"&lt;"&amp;$J45+7),0))</f>
        <v/>
      </c>
      <c r="F45" s="14">
        <f>IF($J45="","",IFERROR(SUMIFS('Weekly Log'!$F:$F,'Weekly Log'!$A:$A,"&gt;="&amp;$J45,'Weekly Log'!$A:$A,"&lt;"&amp;$J45+7)/SUMIFS('Weekly Log'!$E:$E,'Weekly Log'!$A:$A,"&gt;="&amp;$J45,'Weekly Log'!$A:$A,"&lt;"&amp;$J45+7),0))</f>
        <v/>
      </c>
      <c r="G45" s="13">
        <f>IF($J45="","",IFERROR(LOOKUP(2,1/(('Weekly Log'!$A$5:$A$5000&gt;=$J45)*('Weekly Log'!$A$5:$A$5000&lt;$J45+7)*('Weekly Log'!$M$5:$M$5000&lt;&gt;"")),'Weekly Log'!$M$5:$M$5000),0))</f>
        <v/>
      </c>
      <c r="H45" s="12" t="n"/>
      <c r="J45">
        <f>IF(COUNT('Weekly Log'!$A$5:$A$5000)=0,"",IF(MIN('Weekly Log'!$A$5:$A$5000)+7*(ROW()-10)&gt;MAX('Weekly Log'!$A$5:$A$5000),"",MIN('Weekly Log'!$A$5:$A$5000)+7*(ROW()-10)))</f>
        <v/>
      </c>
    </row>
    <row r="46">
      <c r="A46" s="12">
        <f>IF($J46="","",YEAR($J46-WEEKDAY($J46,2)+4)&amp;"-W"&amp;TEXT(WEEKNUM($J46,21),"00"))</f>
        <v/>
      </c>
      <c r="B46" s="13">
        <f>IF($J46="","",SUMIFS('Weekly Log'!$C:$C,'Weekly Log'!$A:$A,"&gt;="&amp;$J46,'Weekly Log'!$A:$A,"&lt;"&amp;$J46+7))</f>
        <v/>
      </c>
      <c r="C46" s="14">
        <f>IF($J46="","",IFERROR(COUNTIFS('Weekly Log'!$G:$G,"Y",'Weekly Log'!$A:$A,"&gt;="&amp;$J46,'Weekly Log'!$A:$A,"&lt;"&amp;$J46+7)/COUNTIFS('Weekly Log'!$G:$G,"&lt;&gt;",'Weekly Log'!$A:$A,"&gt;="&amp;$J46,'Weekly Log'!$A:$A,"&lt;"&amp;$J46+7),0))</f>
        <v/>
      </c>
      <c r="D46" s="14">
        <f>IF($J46="","",IFERROR(COUNTIFS('Weekly Log'!$H:$H,"Y",'Weekly Log'!$A:$A,"&gt;="&amp;$J46,'Weekly Log'!$A:$A,"&lt;"&amp;$J46+7)/COUNTIFS('Weekly Log'!$H:$H,"&lt;&gt;",'Weekly Log'!$A:$A,"&gt;="&amp;$J46,'Weekly Log'!$A:$A,"&lt;"&amp;$J46+7),0))</f>
        <v/>
      </c>
      <c r="E46" s="15">
        <f>IF($J46="","",IFERROR(AVERAGEIFS('Weekly Log'!$F:$F,'Weekly Log'!$A:$A,"&gt;="&amp;$J46,'Weekly Log'!$A:$A,"&lt;"&amp;$J46+7),0))</f>
        <v/>
      </c>
      <c r="F46" s="14">
        <f>IF($J46="","",IFERROR(SUMIFS('Weekly Log'!$F:$F,'Weekly Log'!$A:$A,"&gt;="&amp;$J46,'Weekly Log'!$A:$A,"&lt;"&amp;$J46+7)/SUMIFS('Weekly Log'!$E:$E,'Weekly Log'!$A:$A,"&gt;="&amp;$J46,'Weekly Log'!$A:$A,"&lt;"&amp;$J46+7),0))</f>
        <v/>
      </c>
      <c r="G46" s="13">
        <f>IF($J46="","",IFERROR(LOOKUP(2,1/(('Weekly Log'!$A$5:$A$5000&gt;=$J46)*('Weekly Log'!$A$5:$A$5000&lt;$J46+7)*('Weekly Log'!$M$5:$M$5000&lt;&gt;"")),'Weekly Log'!$M$5:$M$5000),0))</f>
        <v/>
      </c>
      <c r="H46" s="12" t="n"/>
      <c r="J46">
        <f>IF(COUNT('Weekly Log'!$A$5:$A$5000)=0,"",IF(MIN('Weekly Log'!$A$5:$A$5000)+7*(ROW()-10)&gt;MAX('Weekly Log'!$A$5:$A$5000),"",MIN('Weekly Log'!$A$5:$A$5000)+7*(ROW()-10)))</f>
        <v/>
      </c>
    </row>
    <row r="47">
      <c r="A47" s="12">
        <f>IF($J47="","",YEAR($J47-WEEKDAY($J47,2)+4)&amp;"-W"&amp;TEXT(WEEKNUM($J47,21),"00"))</f>
        <v/>
      </c>
      <c r="B47" s="13">
        <f>IF($J47="","",SUMIFS('Weekly Log'!$C:$C,'Weekly Log'!$A:$A,"&gt;="&amp;$J47,'Weekly Log'!$A:$A,"&lt;"&amp;$J47+7))</f>
        <v/>
      </c>
      <c r="C47" s="14">
        <f>IF($J47="","",IFERROR(COUNTIFS('Weekly Log'!$G:$G,"Y",'Weekly Log'!$A:$A,"&gt;="&amp;$J47,'Weekly Log'!$A:$A,"&lt;"&amp;$J47+7)/COUNTIFS('Weekly Log'!$G:$G,"&lt;&gt;",'Weekly Log'!$A:$A,"&gt;="&amp;$J47,'Weekly Log'!$A:$A,"&lt;"&amp;$J47+7),0))</f>
        <v/>
      </c>
      <c r="D47" s="14">
        <f>IF($J47="","",IFERROR(COUNTIFS('Weekly Log'!$H:$H,"Y",'Weekly Log'!$A:$A,"&gt;="&amp;$J47,'Weekly Log'!$A:$A,"&lt;"&amp;$J47+7)/COUNTIFS('Weekly Log'!$H:$H,"&lt;&gt;",'Weekly Log'!$A:$A,"&gt;="&amp;$J47,'Weekly Log'!$A:$A,"&lt;"&amp;$J47+7),0))</f>
        <v/>
      </c>
      <c r="E47" s="15">
        <f>IF($J47="","",IFERROR(AVERAGEIFS('Weekly Log'!$F:$F,'Weekly Log'!$A:$A,"&gt;="&amp;$J47,'Weekly Log'!$A:$A,"&lt;"&amp;$J47+7),0))</f>
        <v/>
      </c>
      <c r="F47" s="14">
        <f>IF($J47="","",IFERROR(SUMIFS('Weekly Log'!$F:$F,'Weekly Log'!$A:$A,"&gt;="&amp;$J47,'Weekly Log'!$A:$A,"&lt;"&amp;$J47+7)/SUMIFS('Weekly Log'!$E:$E,'Weekly Log'!$A:$A,"&gt;="&amp;$J47,'Weekly Log'!$A:$A,"&lt;"&amp;$J47+7),0))</f>
        <v/>
      </c>
      <c r="G47" s="13">
        <f>IF($J47="","",IFERROR(LOOKUP(2,1/(('Weekly Log'!$A$5:$A$5000&gt;=$J47)*('Weekly Log'!$A$5:$A$5000&lt;$J47+7)*('Weekly Log'!$M$5:$M$5000&lt;&gt;"")),'Weekly Log'!$M$5:$M$5000),0))</f>
        <v/>
      </c>
      <c r="H47" s="12" t="n"/>
      <c r="J47">
        <f>IF(COUNT('Weekly Log'!$A$5:$A$5000)=0,"",IF(MIN('Weekly Log'!$A$5:$A$5000)+7*(ROW()-10)&gt;MAX('Weekly Log'!$A$5:$A$5000),"",MIN('Weekly Log'!$A$5:$A$5000)+7*(ROW()-10)))</f>
        <v/>
      </c>
    </row>
    <row r="48">
      <c r="A48" s="12">
        <f>IF($J48="","",YEAR($J48-WEEKDAY($J48,2)+4)&amp;"-W"&amp;TEXT(WEEKNUM($J48,21),"00"))</f>
        <v/>
      </c>
      <c r="B48" s="13">
        <f>IF($J48="","",SUMIFS('Weekly Log'!$C:$C,'Weekly Log'!$A:$A,"&gt;="&amp;$J48,'Weekly Log'!$A:$A,"&lt;"&amp;$J48+7))</f>
        <v/>
      </c>
      <c r="C48" s="14">
        <f>IF($J48="","",IFERROR(COUNTIFS('Weekly Log'!$G:$G,"Y",'Weekly Log'!$A:$A,"&gt;="&amp;$J48,'Weekly Log'!$A:$A,"&lt;"&amp;$J48+7)/COUNTIFS('Weekly Log'!$G:$G,"&lt;&gt;",'Weekly Log'!$A:$A,"&gt;="&amp;$J48,'Weekly Log'!$A:$A,"&lt;"&amp;$J48+7),0))</f>
        <v/>
      </c>
      <c r="D48" s="14">
        <f>IF($J48="","",IFERROR(COUNTIFS('Weekly Log'!$H:$H,"Y",'Weekly Log'!$A:$A,"&gt;="&amp;$J48,'Weekly Log'!$A:$A,"&lt;"&amp;$J48+7)/COUNTIFS('Weekly Log'!$H:$H,"&lt;&gt;",'Weekly Log'!$A:$A,"&gt;="&amp;$J48,'Weekly Log'!$A:$A,"&lt;"&amp;$J48+7),0))</f>
        <v/>
      </c>
      <c r="E48" s="15">
        <f>IF($J48="","",IFERROR(AVERAGEIFS('Weekly Log'!$F:$F,'Weekly Log'!$A:$A,"&gt;="&amp;$J48,'Weekly Log'!$A:$A,"&lt;"&amp;$J48+7),0))</f>
        <v/>
      </c>
      <c r="F48" s="14">
        <f>IF($J48="","",IFERROR(SUMIFS('Weekly Log'!$F:$F,'Weekly Log'!$A:$A,"&gt;="&amp;$J48,'Weekly Log'!$A:$A,"&lt;"&amp;$J48+7)/SUMIFS('Weekly Log'!$E:$E,'Weekly Log'!$A:$A,"&gt;="&amp;$J48,'Weekly Log'!$A:$A,"&lt;"&amp;$J48+7),0))</f>
        <v/>
      </c>
      <c r="G48" s="13">
        <f>IF($J48="","",IFERROR(LOOKUP(2,1/(('Weekly Log'!$A$5:$A$5000&gt;=$J48)*('Weekly Log'!$A$5:$A$5000&lt;$J48+7)*('Weekly Log'!$M$5:$M$5000&lt;&gt;"")),'Weekly Log'!$M$5:$M$5000),0))</f>
        <v/>
      </c>
      <c r="H48" s="12" t="n"/>
      <c r="J48">
        <f>IF(COUNT('Weekly Log'!$A$5:$A$5000)=0,"",IF(MIN('Weekly Log'!$A$5:$A$5000)+7*(ROW()-10)&gt;MAX('Weekly Log'!$A$5:$A$5000),"",MIN('Weekly Log'!$A$5:$A$5000)+7*(ROW()-10)))</f>
        <v/>
      </c>
    </row>
    <row r="49">
      <c r="A49" s="12">
        <f>IF($J49="","",YEAR($J49-WEEKDAY($J49,2)+4)&amp;"-W"&amp;TEXT(WEEKNUM($J49,21),"00"))</f>
        <v/>
      </c>
      <c r="B49" s="13">
        <f>IF($J49="","",SUMIFS('Weekly Log'!$C:$C,'Weekly Log'!$A:$A,"&gt;="&amp;$J49,'Weekly Log'!$A:$A,"&lt;"&amp;$J49+7))</f>
        <v/>
      </c>
      <c r="C49" s="14">
        <f>IF($J49="","",IFERROR(COUNTIFS('Weekly Log'!$G:$G,"Y",'Weekly Log'!$A:$A,"&gt;="&amp;$J49,'Weekly Log'!$A:$A,"&lt;"&amp;$J49+7)/COUNTIFS('Weekly Log'!$G:$G,"&lt;&gt;",'Weekly Log'!$A:$A,"&gt;="&amp;$J49,'Weekly Log'!$A:$A,"&lt;"&amp;$J49+7),0))</f>
        <v/>
      </c>
      <c r="D49" s="14">
        <f>IF($J49="","",IFERROR(COUNTIFS('Weekly Log'!$H:$H,"Y",'Weekly Log'!$A:$A,"&gt;="&amp;$J49,'Weekly Log'!$A:$A,"&lt;"&amp;$J49+7)/COUNTIFS('Weekly Log'!$H:$H,"&lt;&gt;",'Weekly Log'!$A:$A,"&gt;="&amp;$J49,'Weekly Log'!$A:$A,"&lt;"&amp;$J49+7),0))</f>
        <v/>
      </c>
      <c r="E49" s="15">
        <f>IF($J49="","",IFERROR(AVERAGEIFS('Weekly Log'!$F:$F,'Weekly Log'!$A:$A,"&gt;="&amp;$J49,'Weekly Log'!$A:$A,"&lt;"&amp;$J49+7),0))</f>
        <v/>
      </c>
      <c r="F49" s="14">
        <f>IF($J49="","",IFERROR(SUMIFS('Weekly Log'!$F:$F,'Weekly Log'!$A:$A,"&gt;="&amp;$J49,'Weekly Log'!$A:$A,"&lt;"&amp;$J49+7)/SUMIFS('Weekly Log'!$E:$E,'Weekly Log'!$A:$A,"&gt;="&amp;$J49,'Weekly Log'!$A:$A,"&lt;"&amp;$J49+7),0))</f>
        <v/>
      </c>
      <c r="G49" s="13">
        <f>IF($J49="","",IFERROR(LOOKUP(2,1/(('Weekly Log'!$A$5:$A$5000&gt;=$J49)*('Weekly Log'!$A$5:$A$5000&lt;$J49+7)*('Weekly Log'!$M$5:$M$5000&lt;&gt;"")),'Weekly Log'!$M$5:$M$5000),0))</f>
        <v/>
      </c>
      <c r="H49" s="12" t="n"/>
      <c r="J49">
        <f>IF(COUNT('Weekly Log'!$A$5:$A$5000)=0,"",IF(MIN('Weekly Log'!$A$5:$A$5000)+7*(ROW()-10)&gt;MAX('Weekly Log'!$A$5:$A$5000),"",MIN('Weekly Log'!$A$5:$A$5000)+7*(ROW()-10)))</f>
        <v/>
      </c>
    </row>
    <row r="50">
      <c r="A50" s="12">
        <f>IF($J50="","",YEAR($J50-WEEKDAY($J50,2)+4)&amp;"-W"&amp;TEXT(WEEKNUM($J50,21),"00"))</f>
        <v/>
      </c>
      <c r="B50" s="13">
        <f>IF($J50="","",SUMIFS('Weekly Log'!$C:$C,'Weekly Log'!$A:$A,"&gt;="&amp;$J50,'Weekly Log'!$A:$A,"&lt;"&amp;$J50+7))</f>
        <v/>
      </c>
      <c r="C50" s="14">
        <f>IF($J50="","",IFERROR(COUNTIFS('Weekly Log'!$G:$G,"Y",'Weekly Log'!$A:$A,"&gt;="&amp;$J50,'Weekly Log'!$A:$A,"&lt;"&amp;$J50+7)/COUNTIFS('Weekly Log'!$G:$G,"&lt;&gt;",'Weekly Log'!$A:$A,"&gt;="&amp;$J50,'Weekly Log'!$A:$A,"&lt;"&amp;$J50+7),0))</f>
        <v/>
      </c>
      <c r="D50" s="14">
        <f>IF($J50="","",IFERROR(COUNTIFS('Weekly Log'!$H:$H,"Y",'Weekly Log'!$A:$A,"&gt;="&amp;$J50,'Weekly Log'!$A:$A,"&lt;"&amp;$J50+7)/COUNTIFS('Weekly Log'!$H:$H,"&lt;&gt;",'Weekly Log'!$A:$A,"&gt;="&amp;$J50,'Weekly Log'!$A:$A,"&lt;"&amp;$J50+7),0))</f>
        <v/>
      </c>
      <c r="E50" s="15">
        <f>IF($J50="","",IFERROR(AVERAGEIFS('Weekly Log'!$F:$F,'Weekly Log'!$A:$A,"&gt;="&amp;$J50,'Weekly Log'!$A:$A,"&lt;"&amp;$J50+7),0))</f>
        <v/>
      </c>
      <c r="F50" s="14">
        <f>IF($J50="","",IFERROR(SUMIFS('Weekly Log'!$F:$F,'Weekly Log'!$A:$A,"&gt;="&amp;$J50,'Weekly Log'!$A:$A,"&lt;"&amp;$J50+7)/SUMIFS('Weekly Log'!$E:$E,'Weekly Log'!$A:$A,"&gt;="&amp;$J50,'Weekly Log'!$A:$A,"&lt;"&amp;$J50+7),0))</f>
        <v/>
      </c>
      <c r="G50" s="13">
        <f>IF($J50="","",IFERROR(LOOKUP(2,1/(('Weekly Log'!$A$5:$A$5000&gt;=$J50)*('Weekly Log'!$A$5:$A$5000&lt;$J50+7)*('Weekly Log'!$M$5:$M$5000&lt;&gt;"")),'Weekly Log'!$M$5:$M$5000),0))</f>
        <v/>
      </c>
      <c r="H50" s="12" t="n"/>
      <c r="J50">
        <f>IF(COUNT('Weekly Log'!$A$5:$A$5000)=0,"",IF(MIN('Weekly Log'!$A$5:$A$5000)+7*(ROW()-10)&gt;MAX('Weekly Log'!$A$5:$A$5000),"",MIN('Weekly Log'!$A$5:$A$5000)+7*(ROW()-10)))</f>
        <v/>
      </c>
    </row>
    <row r="51">
      <c r="A51" s="12">
        <f>IF($J51="","",YEAR($J51-WEEKDAY($J51,2)+4)&amp;"-W"&amp;TEXT(WEEKNUM($J51,21),"00"))</f>
        <v/>
      </c>
      <c r="B51" s="13">
        <f>IF($J51="","",SUMIFS('Weekly Log'!$C:$C,'Weekly Log'!$A:$A,"&gt;="&amp;$J51,'Weekly Log'!$A:$A,"&lt;"&amp;$J51+7))</f>
        <v/>
      </c>
      <c r="C51" s="14">
        <f>IF($J51="","",IFERROR(COUNTIFS('Weekly Log'!$G:$G,"Y",'Weekly Log'!$A:$A,"&gt;="&amp;$J51,'Weekly Log'!$A:$A,"&lt;"&amp;$J51+7)/COUNTIFS('Weekly Log'!$G:$G,"&lt;&gt;",'Weekly Log'!$A:$A,"&gt;="&amp;$J51,'Weekly Log'!$A:$A,"&lt;"&amp;$J51+7),0))</f>
        <v/>
      </c>
      <c r="D51" s="14">
        <f>IF($J51="","",IFERROR(COUNTIFS('Weekly Log'!$H:$H,"Y",'Weekly Log'!$A:$A,"&gt;="&amp;$J51,'Weekly Log'!$A:$A,"&lt;"&amp;$J51+7)/COUNTIFS('Weekly Log'!$H:$H,"&lt;&gt;",'Weekly Log'!$A:$A,"&gt;="&amp;$J51,'Weekly Log'!$A:$A,"&lt;"&amp;$J51+7),0))</f>
        <v/>
      </c>
      <c r="E51" s="15">
        <f>IF($J51="","",IFERROR(AVERAGEIFS('Weekly Log'!$F:$F,'Weekly Log'!$A:$A,"&gt;="&amp;$J51,'Weekly Log'!$A:$A,"&lt;"&amp;$J51+7),0))</f>
        <v/>
      </c>
      <c r="F51" s="14">
        <f>IF($J51="","",IFERROR(SUMIFS('Weekly Log'!$F:$F,'Weekly Log'!$A:$A,"&gt;="&amp;$J51,'Weekly Log'!$A:$A,"&lt;"&amp;$J51+7)/SUMIFS('Weekly Log'!$E:$E,'Weekly Log'!$A:$A,"&gt;="&amp;$J51,'Weekly Log'!$A:$A,"&lt;"&amp;$J51+7),0))</f>
        <v/>
      </c>
      <c r="G51" s="13">
        <f>IF($J51="","",IFERROR(LOOKUP(2,1/(('Weekly Log'!$A$5:$A$5000&gt;=$J51)*('Weekly Log'!$A$5:$A$5000&lt;$J51+7)*('Weekly Log'!$M$5:$M$5000&lt;&gt;"")),'Weekly Log'!$M$5:$M$5000),0))</f>
        <v/>
      </c>
      <c r="H51" s="12" t="n"/>
      <c r="J51">
        <f>IF(COUNT('Weekly Log'!$A$5:$A$5000)=0,"",IF(MIN('Weekly Log'!$A$5:$A$5000)+7*(ROW()-10)&gt;MAX('Weekly Log'!$A$5:$A$5000),"",MIN('Weekly Log'!$A$5:$A$5000)+7*(ROW()-10)))</f>
        <v/>
      </c>
    </row>
    <row r="52">
      <c r="A52" s="12">
        <f>IF($J52="","",YEAR($J52-WEEKDAY($J52,2)+4)&amp;"-W"&amp;TEXT(WEEKNUM($J52,21),"00"))</f>
        <v/>
      </c>
      <c r="B52" s="13">
        <f>IF($J52="","",SUMIFS('Weekly Log'!$C:$C,'Weekly Log'!$A:$A,"&gt;="&amp;$J52,'Weekly Log'!$A:$A,"&lt;"&amp;$J52+7))</f>
        <v/>
      </c>
      <c r="C52" s="14">
        <f>IF($J52="","",IFERROR(COUNTIFS('Weekly Log'!$G:$G,"Y",'Weekly Log'!$A:$A,"&gt;="&amp;$J52,'Weekly Log'!$A:$A,"&lt;"&amp;$J52+7)/COUNTIFS('Weekly Log'!$G:$G,"&lt;&gt;",'Weekly Log'!$A:$A,"&gt;="&amp;$J52,'Weekly Log'!$A:$A,"&lt;"&amp;$J52+7),0))</f>
        <v/>
      </c>
      <c r="D52" s="14">
        <f>IF($J52="","",IFERROR(COUNTIFS('Weekly Log'!$H:$H,"Y",'Weekly Log'!$A:$A,"&gt;="&amp;$J52,'Weekly Log'!$A:$A,"&lt;"&amp;$J52+7)/COUNTIFS('Weekly Log'!$H:$H,"&lt;&gt;",'Weekly Log'!$A:$A,"&gt;="&amp;$J52,'Weekly Log'!$A:$A,"&lt;"&amp;$J52+7),0))</f>
        <v/>
      </c>
      <c r="E52" s="15">
        <f>IF($J52="","",IFERROR(AVERAGEIFS('Weekly Log'!$F:$F,'Weekly Log'!$A:$A,"&gt;="&amp;$J52,'Weekly Log'!$A:$A,"&lt;"&amp;$J52+7),0))</f>
        <v/>
      </c>
      <c r="F52" s="14">
        <f>IF($J52="","",IFERROR(SUMIFS('Weekly Log'!$F:$F,'Weekly Log'!$A:$A,"&gt;="&amp;$J52,'Weekly Log'!$A:$A,"&lt;"&amp;$J52+7)/SUMIFS('Weekly Log'!$E:$E,'Weekly Log'!$A:$A,"&gt;="&amp;$J52,'Weekly Log'!$A:$A,"&lt;"&amp;$J52+7),0))</f>
        <v/>
      </c>
      <c r="G52" s="13">
        <f>IF($J52="","",IFERROR(LOOKUP(2,1/(('Weekly Log'!$A$5:$A$5000&gt;=$J52)*('Weekly Log'!$A$5:$A$5000&lt;$J52+7)*('Weekly Log'!$M$5:$M$5000&lt;&gt;"")),'Weekly Log'!$M$5:$M$5000),0))</f>
        <v/>
      </c>
      <c r="H52" s="12" t="n"/>
      <c r="J52">
        <f>IF(COUNT('Weekly Log'!$A$5:$A$5000)=0,"",IF(MIN('Weekly Log'!$A$5:$A$5000)+7*(ROW()-10)&gt;MAX('Weekly Log'!$A$5:$A$5000),"",MIN('Weekly Log'!$A$5:$A$5000)+7*(ROW()-10)))</f>
        <v/>
      </c>
    </row>
    <row r="53">
      <c r="A53" s="12">
        <f>IF($J53="","",YEAR($J53-WEEKDAY($J53,2)+4)&amp;"-W"&amp;TEXT(WEEKNUM($J53,21),"00"))</f>
        <v/>
      </c>
      <c r="B53" s="13">
        <f>IF($J53="","",SUMIFS('Weekly Log'!$C:$C,'Weekly Log'!$A:$A,"&gt;="&amp;$J53,'Weekly Log'!$A:$A,"&lt;"&amp;$J53+7))</f>
        <v/>
      </c>
      <c r="C53" s="14">
        <f>IF($J53="","",IFERROR(COUNTIFS('Weekly Log'!$G:$G,"Y",'Weekly Log'!$A:$A,"&gt;="&amp;$J53,'Weekly Log'!$A:$A,"&lt;"&amp;$J53+7)/COUNTIFS('Weekly Log'!$G:$G,"&lt;&gt;",'Weekly Log'!$A:$A,"&gt;="&amp;$J53,'Weekly Log'!$A:$A,"&lt;"&amp;$J53+7),0))</f>
        <v/>
      </c>
      <c r="D53" s="14">
        <f>IF($J53="","",IFERROR(COUNTIFS('Weekly Log'!$H:$H,"Y",'Weekly Log'!$A:$A,"&gt;="&amp;$J53,'Weekly Log'!$A:$A,"&lt;"&amp;$J53+7)/COUNTIFS('Weekly Log'!$H:$H,"&lt;&gt;",'Weekly Log'!$A:$A,"&gt;="&amp;$J53,'Weekly Log'!$A:$A,"&lt;"&amp;$J53+7),0))</f>
        <v/>
      </c>
      <c r="E53" s="15">
        <f>IF($J53="","",IFERROR(AVERAGEIFS('Weekly Log'!$F:$F,'Weekly Log'!$A:$A,"&gt;="&amp;$J53,'Weekly Log'!$A:$A,"&lt;"&amp;$J53+7),0))</f>
        <v/>
      </c>
      <c r="F53" s="14">
        <f>IF($J53="","",IFERROR(SUMIFS('Weekly Log'!$F:$F,'Weekly Log'!$A:$A,"&gt;="&amp;$J53,'Weekly Log'!$A:$A,"&lt;"&amp;$J53+7)/SUMIFS('Weekly Log'!$E:$E,'Weekly Log'!$A:$A,"&gt;="&amp;$J53,'Weekly Log'!$A:$A,"&lt;"&amp;$J53+7),0))</f>
        <v/>
      </c>
      <c r="G53" s="13">
        <f>IF($J53="","",IFERROR(LOOKUP(2,1/(('Weekly Log'!$A$5:$A$5000&gt;=$J53)*('Weekly Log'!$A$5:$A$5000&lt;$J53+7)*('Weekly Log'!$M$5:$M$5000&lt;&gt;"")),'Weekly Log'!$M$5:$M$5000),0))</f>
        <v/>
      </c>
      <c r="H53" s="12" t="inlineStr">
        <is>
          <t>Seasonal demand spike</t>
        </is>
      </c>
      <c r="J53">
        <f>IF(COUNT('Weekly Log'!$A$5:$A$5000)=0,"",IF(MIN('Weekly Log'!$A$5:$A$5000)+7*(ROW()-10)&gt;MAX('Weekly Log'!$A$5:$A$5000),"",MIN('Weekly Log'!$A$5:$A$5000)+7*(ROW()-10)))</f>
        <v/>
      </c>
    </row>
    <row r="54">
      <c r="A54" s="12">
        <f>IF($J54="","",YEAR($J54-WEEKDAY($J54,2)+4)&amp;"-W"&amp;TEXT(WEEKNUM($J54,21),"00"))</f>
        <v/>
      </c>
      <c r="B54" s="13">
        <f>IF($J54="","",SUMIFS('Weekly Log'!$C:$C,'Weekly Log'!$A:$A,"&gt;="&amp;$J54,'Weekly Log'!$A:$A,"&lt;"&amp;$J54+7))</f>
        <v/>
      </c>
      <c r="C54" s="14">
        <f>IF($J54="","",IFERROR(COUNTIFS('Weekly Log'!$G:$G,"Y",'Weekly Log'!$A:$A,"&gt;="&amp;$J54,'Weekly Log'!$A:$A,"&lt;"&amp;$J54+7)/COUNTIFS('Weekly Log'!$G:$G,"&lt;&gt;",'Weekly Log'!$A:$A,"&gt;="&amp;$J54,'Weekly Log'!$A:$A,"&lt;"&amp;$J54+7),0))</f>
        <v/>
      </c>
      <c r="D54" s="14">
        <f>IF($J54="","",IFERROR(COUNTIFS('Weekly Log'!$H:$H,"Y",'Weekly Log'!$A:$A,"&gt;="&amp;$J54,'Weekly Log'!$A:$A,"&lt;"&amp;$J54+7)/COUNTIFS('Weekly Log'!$H:$H,"&lt;&gt;",'Weekly Log'!$A:$A,"&gt;="&amp;$J54,'Weekly Log'!$A:$A,"&lt;"&amp;$J54+7),0))</f>
        <v/>
      </c>
      <c r="E54" s="15">
        <f>IF($J54="","",IFERROR(AVERAGEIFS('Weekly Log'!$F:$F,'Weekly Log'!$A:$A,"&gt;="&amp;$J54,'Weekly Log'!$A:$A,"&lt;"&amp;$J54+7),0))</f>
        <v/>
      </c>
      <c r="F54" s="14">
        <f>IF($J54="","",IFERROR(SUMIFS('Weekly Log'!$F:$F,'Weekly Log'!$A:$A,"&gt;="&amp;$J54,'Weekly Log'!$A:$A,"&lt;"&amp;$J54+7)/SUMIFS('Weekly Log'!$E:$E,'Weekly Log'!$A:$A,"&gt;="&amp;$J54,'Weekly Log'!$A:$A,"&lt;"&amp;$J54+7),0))</f>
        <v/>
      </c>
      <c r="G54" s="13">
        <f>IF($J54="","",IFERROR(LOOKUP(2,1/(('Weekly Log'!$A$5:$A$5000&gt;=$J54)*('Weekly Log'!$A$5:$A$5000&lt;$J54+7)*('Weekly Log'!$M$5:$M$5000&lt;&gt;"")),'Weekly Log'!$M$5:$M$5000),0))</f>
        <v/>
      </c>
      <c r="H54" s="12" t="n"/>
      <c r="J54">
        <f>IF(COUNT('Weekly Log'!$A$5:$A$5000)=0,"",IF(MIN('Weekly Log'!$A$5:$A$5000)+7*(ROW()-10)&gt;MAX('Weekly Log'!$A$5:$A$5000),"",MIN('Weekly Log'!$A$5:$A$5000)+7*(ROW()-10)))</f>
        <v/>
      </c>
    </row>
    <row r="55">
      <c r="A55" s="12">
        <f>IF($J55="","",YEAR($J55-WEEKDAY($J55,2)+4)&amp;"-W"&amp;TEXT(WEEKNUM($J55,21),"00"))</f>
        <v/>
      </c>
      <c r="B55" s="13">
        <f>IF($J55="","",SUMIFS('Weekly Log'!$C:$C,'Weekly Log'!$A:$A,"&gt;="&amp;$J55,'Weekly Log'!$A:$A,"&lt;"&amp;$J55+7))</f>
        <v/>
      </c>
      <c r="C55" s="14">
        <f>IF($J55="","",IFERROR(COUNTIFS('Weekly Log'!$G:$G,"Y",'Weekly Log'!$A:$A,"&gt;="&amp;$J55,'Weekly Log'!$A:$A,"&lt;"&amp;$J55+7)/COUNTIFS('Weekly Log'!$G:$G,"&lt;&gt;",'Weekly Log'!$A:$A,"&gt;="&amp;$J55,'Weekly Log'!$A:$A,"&lt;"&amp;$J55+7),0))</f>
        <v/>
      </c>
      <c r="D55" s="14">
        <f>IF($J55="","",IFERROR(COUNTIFS('Weekly Log'!$H:$H,"Y",'Weekly Log'!$A:$A,"&gt;="&amp;$J55,'Weekly Log'!$A:$A,"&lt;"&amp;$J55+7)/COUNTIFS('Weekly Log'!$H:$H,"&lt;&gt;",'Weekly Log'!$A:$A,"&gt;="&amp;$J55,'Weekly Log'!$A:$A,"&lt;"&amp;$J55+7),0))</f>
        <v/>
      </c>
      <c r="E55" s="15">
        <f>IF($J55="","",IFERROR(AVERAGEIFS('Weekly Log'!$F:$F,'Weekly Log'!$A:$A,"&gt;="&amp;$J55,'Weekly Log'!$A:$A,"&lt;"&amp;$J55+7),0))</f>
        <v/>
      </c>
      <c r="F55" s="14">
        <f>IF($J55="","",IFERROR(SUMIFS('Weekly Log'!$F:$F,'Weekly Log'!$A:$A,"&gt;="&amp;$J55,'Weekly Log'!$A:$A,"&lt;"&amp;$J55+7)/SUMIFS('Weekly Log'!$E:$E,'Weekly Log'!$A:$A,"&gt;="&amp;$J55,'Weekly Log'!$A:$A,"&lt;"&amp;$J55+7),0))</f>
        <v/>
      </c>
      <c r="G55" s="13">
        <f>IF($J55="","",IFERROR(LOOKUP(2,1/(('Weekly Log'!$A$5:$A$5000&gt;=$J55)*('Weekly Log'!$A$5:$A$5000&lt;$J55+7)*('Weekly Log'!$M$5:$M$5000&lt;&gt;"")),'Weekly Log'!$M$5:$M$5000),0))</f>
        <v/>
      </c>
      <c r="H55" s="12" t="n"/>
      <c r="J55">
        <f>IF(COUNT('Weekly Log'!$A$5:$A$5000)=0,"",IF(MIN('Weekly Log'!$A$5:$A$5000)+7*(ROW()-10)&gt;MAX('Weekly Log'!$A$5:$A$5000),"",MIN('Weekly Log'!$A$5:$A$5000)+7*(ROW()-10)))</f>
        <v/>
      </c>
    </row>
    <row r="56">
      <c r="A56" s="12">
        <f>IF($J56="","",YEAR($J56-WEEKDAY($J56,2)+4)&amp;"-W"&amp;TEXT(WEEKNUM($J56,21),"00"))</f>
        <v/>
      </c>
      <c r="B56" s="13">
        <f>IF($J56="","",SUMIFS('Weekly Log'!$C:$C,'Weekly Log'!$A:$A,"&gt;="&amp;$J56,'Weekly Log'!$A:$A,"&lt;"&amp;$J56+7))</f>
        <v/>
      </c>
      <c r="C56" s="14">
        <f>IF($J56="","",IFERROR(COUNTIFS('Weekly Log'!$G:$G,"Y",'Weekly Log'!$A:$A,"&gt;="&amp;$J56,'Weekly Log'!$A:$A,"&lt;"&amp;$J56+7)/COUNTIFS('Weekly Log'!$G:$G,"&lt;&gt;",'Weekly Log'!$A:$A,"&gt;="&amp;$J56,'Weekly Log'!$A:$A,"&lt;"&amp;$J56+7),0))</f>
        <v/>
      </c>
      <c r="D56" s="14">
        <f>IF($J56="","",IFERROR(COUNTIFS('Weekly Log'!$H:$H,"Y",'Weekly Log'!$A:$A,"&gt;="&amp;$J56,'Weekly Log'!$A:$A,"&lt;"&amp;$J56+7)/COUNTIFS('Weekly Log'!$H:$H,"&lt;&gt;",'Weekly Log'!$A:$A,"&gt;="&amp;$J56,'Weekly Log'!$A:$A,"&lt;"&amp;$J56+7),0))</f>
        <v/>
      </c>
      <c r="E56" s="15">
        <f>IF($J56="","",IFERROR(AVERAGEIFS('Weekly Log'!$F:$F,'Weekly Log'!$A:$A,"&gt;="&amp;$J56,'Weekly Log'!$A:$A,"&lt;"&amp;$J56+7),0))</f>
        <v/>
      </c>
      <c r="F56" s="14">
        <f>IF($J56="","",IFERROR(SUMIFS('Weekly Log'!$F:$F,'Weekly Log'!$A:$A,"&gt;="&amp;$J56,'Weekly Log'!$A:$A,"&lt;"&amp;$J56+7)/SUMIFS('Weekly Log'!$E:$E,'Weekly Log'!$A:$A,"&gt;="&amp;$J56,'Weekly Log'!$A:$A,"&lt;"&amp;$J56+7),0))</f>
        <v/>
      </c>
      <c r="G56" s="13">
        <f>IF($J56="","",IFERROR(LOOKUP(2,1/(('Weekly Log'!$A$5:$A$5000&gt;=$J56)*('Weekly Log'!$A$5:$A$5000&lt;$J56+7)*('Weekly Log'!$M$5:$M$5000&lt;&gt;"")),'Weekly Log'!$M$5:$M$5000),0))</f>
        <v/>
      </c>
      <c r="H56" s="12" t="n"/>
      <c r="J56">
        <f>IF(COUNT('Weekly Log'!$A$5:$A$5000)=0,"",IF(MIN('Weekly Log'!$A$5:$A$5000)+7*(ROW()-10)&gt;MAX('Weekly Log'!$A$5:$A$5000),"",MIN('Weekly Log'!$A$5:$A$5000)+7*(ROW()-10)))</f>
        <v/>
      </c>
    </row>
    <row r="57">
      <c r="A57" s="12">
        <f>IF($J57="","",YEAR($J57-WEEKDAY($J57,2)+4)&amp;"-W"&amp;TEXT(WEEKNUM($J57,21),"00"))</f>
        <v/>
      </c>
      <c r="B57" s="13">
        <f>IF($J57="","",SUMIFS('Weekly Log'!$C:$C,'Weekly Log'!$A:$A,"&gt;="&amp;$J57,'Weekly Log'!$A:$A,"&lt;"&amp;$J57+7))</f>
        <v/>
      </c>
      <c r="C57" s="14">
        <f>IF($J57="","",IFERROR(COUNTIFS('Weekly Log'!$G:$G,"Y",'Weekly Log'!$A:$A,"&gt;="&amp;$J57,'Weekly Log'!$A:$A,"&lt;"&amp;$J57+7)/COUNTIFS('Weekly Log'!$G:$G,"&lt;&gt;",'Weekly Log'!$A:$A,"&gt;="&amp;$J57,'Weekly Log'!$A:$A,"&lt;"&amp;$J57+7),0))</f>
        <v/>
      </c>
      <c r="D57" s="14">
        <f>IF($J57="","",IFERROR(COUNTIFS('Weekly Log'!$H:$H,"Y",'Weekly Log'!$A:$A,"&gt;="&amp;$J57,'Weekly Log'!$A:$A,"&lt;"&amp;$J57+7)/COUNTIFS('Weekly Log'!$H:$H,"&lt;&gt;",'Weekly Log'!$A:$A,"&gt;="&amp;$J57,'Weekly Log'!$A:$A,"&lt;"&amp;$J57+7),0))</f>
        <v/>
      </c>
      <c r="E57" s="15">
        <f>IF($J57="","",IFERROR(AVERAGEIFS('Weekly Log'!$F:$F,'Weekly Log'!$A:$A,"&gt;="&amp;$J57,'Weekly Log'!$A:$A,"&lt;"&amp;$J57+7),0))</f>
        <v/>
      </c>
      <c r="F57" s="14">
        <f>IF($J57="","",IFERROR(SUMIFS('Weekly Log'!$F:$F,'Weekly Log'!$A:$A,"&gt;="&amp;$J57,'Weekly Log'!$A:$A,"&lt;"&amp;$J57+7)/SUMIFS('Weekly Log'!$E:$E,'Weekly Log'!$A:$A,"&gt;="&amp;$J57,'Weekly Log'!$A:$A,"&lt;"&amp;$J57+7),0))</f>
        <v/>
      </c>
      <c r="G57" s="13">
        <f>IF($J57="","",IFERROR(LOOKUP(2,1/(('Weekly Log'!$A$5:$A$5000&gt;=$J57)*('Weekly Log'!$A$5:$A$5000&lt;$J57+7)*('Weekly Log'!$M$5:$M$5000&lt;&gt;"")),'Weekly Log'!$M$5:$M$5000),0))</f>
        <v/>
      </c>
      <c r="H57" s="12" t="n"/>
      <c r="J57">
        <f>IF(COUNT('Weekly Log'!$A$5:$A$5000)=0,"",IF(MIN('Weekly Log'!$A$5:$A$5000)+7*(ROW()-10)&gt;MAX('Weekly Log'!$A$5:$A$5000),"",MIN('Weekly Log'!$A$5:$A$5000)+7*(ROW()-10)))</f>
        <v/>
      </c>
    </row>
    <row r="58">
      <c r="A58" s="12">
        <f>IF($J58="","",YEAR($J58-WEEKDAY($J58,2)+4)&amp;"-W"&amp;TEXT(WEEKNUM($J58,21),"00"))</f>
        <v/>
      </c>
      <c r="B58" s="13">
        <f>IF($J58="","",SUMIFS('Weekly Log'!$C:$C,'Weekly Log'!$A:$A,"&gt;="&amp;$J58,'Weekly Log'!$A:$A,"&lt;"&amp;$J58+7))</f>
        <v/>
      </c>
      <c r="C58" s="14">
        <f>IF($J58="","",IFERROR(COUNTIFS('Weekly Log'!$G:$G,"Y",'Weekly Log'!$A:$A,"&gt;="&amp;$J58,'Weekly Log'!$A:$A,"&lt;"&amp;$J58+7)/COUNTIFS('Weekly Log'!$G:$G,"&lt;&gt;",'Weekly Log'!$A:$A,"&gt;="&amp;$J58,'Weekly Log'!$A:$A,"&lt;"&amp;$J58+7),0))</f>
        <v/>
      </c>
      <c r="D58" s="14">
        <f>IF($J58="","",IFERROR(COUNTIFS('Weekly Log'!$H:$H,"Y",'Weekly Log'!$A:$A,"&gt;="&amp;$J58,'Weekly Log'!$A:$A,"&lt;"&amp;$J58+7)/COUNTIFS('Weekly Log'!$H:$H,"&lt;&gt;",'Weekly Log'!$A:$A,"&gt;="&amp;$J58,'Weekly Log'!$A:$A,"&lt;"&amp;$J58+7),0))</f>
        <v/>
      </c>
      <c r="E58" s="15">
        <f>IF($J58="","",IFERROR(AVERAGEIFS('Weekly Log'!$F:$F,'Weekly Log'!$A:$A,"&gt;="&amp;$J58,'Weekly Log'!$A:$A,"&lt;"&amp;$J58+7),0))</f>
        <v/>
      </c>
      <c r="F58" s="14">
        <f>IF($J58="","",IFERROR(SUMIFS('Weekly Log'!$F:$F,'Weekly Log'!$A:$A,"&gt;="&amp;$J58,'Weekly Log'!$A:$A,"&lt;"&amp;$J58+7)/SUMIFS('Weekly Log'!$E:$E,'Weekly Log'!$A:$A,"&gt;="&amp;$J58,'Weekly Log'!$A:$A,"&lt;"&amp;$J58+7),0))</f>
        <v/>
      </c>
      <c r="G58" s="13">
        <f>IF($J58="","",IFERROR(LOOKUP(2,1/(('Weekly Log'!$A$5:$A$5000&gt;=$J58)*('Weekly Log'!$A$5:$A$5000&lt;$J58+7)*('Weekly Log'!$M$5:$M$5000&lt;&gt;"")),'Weekly Log'!$M$5:$M$5000),0))</f>
        <v/>
      </c>
      <c r="H58" s="12" t="inlineStr">
        <is>
          <t>Weather delays</t>
        </is>
      </c>
      <c r="J58">
        <f>IF(COUNT('Weekly Log'!$A$5:$A$5000)=0,"",IF(MIN('Weekly Log'!$A$5:$A$5000)+7*(ROW()-10)&gt;MAX('Weekly Log'!$A$5:$A$5000),"",MIN('Weekly Log'!$A$5:$A$5000)+7*(ROW()-10)))</f>
        <v/>
      </c>
    </row>
    <row r="59">
      <c r="A59" s="12">
        <f>IF($J59="","",YEAR($J59-WEEKDAY($J59,2)+4)&amp;"-W"&amp;TEXT(WEEKNUM($J59,21),"00"))</f>
        <v/>
      </c>
      <c r="B59" s="13">
        <f>IF($J59="","",SUMIFS('Weekly Log'!$C:$C,'Weekly Log'!$A:$A,"&gt;="&amp;$J59,'Weekly Log'!$A:$A,"&lt;"&amp;$J59+7))</f>
        <v/>
      </c>
      <c r="C59" s="14">
        <f>IF($J59="","",IFERROR(COUNTIFS('Weekly Log'!$G:$G,"Y",'Weekly Log'!$A:$A,"&gt;="&amp;$J59,'Weekly Log'!$A:$A,"&lt;"&amp;$J59+7)/COUNTIFS('Weekly Log'!$G:$G,"&lt;&gt;",'Weekly Log'!$A:$A,"&gt;="&amp;$J59,'Weekly Log'!$A:$A,"&lt;"&amp;$J59+7),0))</f>
        <v/>
      </c>
      <c r="D59" s="14">
        <f>IF($J59="","",IFERROR(COUNTIFS('Weekly Log'!$H:$H,"Y",'Weekly Log'!$A:$A,"&gt;="&amp;$J59,'Weekly Log'!$A:$A,"&lt;"&amp;$J59+7)/COUNTIFS('Weekly Log'!$H:$H,"&lt;&gt;",'Weekly Log'!$A:$A,"&gt;="&amp;$J59,'Weekly Log'!$A:$A,"&lt;"&amp;$J59+7),0))</f>
        <v/>
      </c>
      <c r="E59" s="15">
        <f>IF($J59="","",IFERROR(AVERAGEIFS('Weekly Log'!$F:$F,'Weekly Log'!$A:$A,"&gt;="&amp;$J59,'Weekly Log'!$A:$A,"&lt;"&amp;$J59+7),0))</f>
        <v/>
      </c>
      <c r="F59" s="14">
        <f>IF($J59="","",IFERROR(SUMIFS('Weekly Log'!$F:$F,'Weekly Log'!$A:$A,"&gt;="&amp;$J59,'Weekly Log'!$A:$A,"&lt;"&amp;$J59+7)/SUMIFS('Weekly Log'!$E:$E,'Weekly Log'!$A:$A,"&gt;="&amp;$J59,'Weekly Log'!$A:$A,"&lt;"&amp;$J59+7),0))</f>
        <v/>
      </c>
      <c r="G59" s="13">
        <f>IF($J59="","",IFERROR(LOOKUP(2,1/(('Weekly Log'!$A$5:$A$5000&gt;=$J59)*('Weekly Log'!$A$5:$A$5000&lt;$J59+7)*('Weekly Log'!$M$5:$M$5000&lt;&gt;"")),'Weekly Log'!$M$5:$M$5000),0))</f>
        <v/>
      </c>
      <c r="H59" s="12" t="n"/>
      <c r="J59">
        <f>IF(COUNT('Weekly Log'!$A$5:$A$5000)=0,"",IF(MIN('Weekly Log'!$A$5:$A$5000)+7*(ROW()-10)&gt;MAX('Weekly Log'!$A$5:$A$5000),"",MIN('Weekly Log'!$A$5:$A$5000)+7*(ROW()-10)))</f>
        <v/>
      </c>
    </row>
    <row r="60">
      <c r="A60" s="12">
        <f>IF($J60="","",YEAR($J60-WEEKDAY($J60,2)+4)&amp;"-W"&amp;TEXT(WEEKNUM($J60,21),"00"))</f>
        <v/>
      </c>
      <c r="B60" s="13">
        <f>IF($J60="","",SUMIFS('Weekly Log'!$C:$C,'Weekly Log'!$A:$A,"&gt;="&amp;$J60,'Weekly Log'!$A:$A,"&lt;"&amp;$J60+7))</f>
        <v/>
      </c>
      <c r="C60" s="14">
        <f>IF($J60="","",IFERROR(COUNTIFS('Weekly Log'!$G:$G,"Y",'Weekly Log'!$A:$A,"&gt;="&amp;$J60,'Weekly Log'!$A:$A,"&lt;"&amp;$J60+7)/COUNTIFS('Weekly Log'!$G:$G,"&lt;&gt;",'Weekly Log'!$A:$A,"&gt;="&amp;$J60,'Weekly Log'!$A:$A,"&lt;"&amp;$J60+7),0))</f>
        <v/>
      </c>
      <c r="D60" s="14">
        <f>IF($J60="","",IFERROR(COUNTIFS('Weekly Log'!$H:$H,"Y",'Weekly Log'!$A:$A,"&gt;="&amp;$J60,'Weekly Log'!$A:$A,"&lt;"&amp;$J60+7)/COUNTIFS('Weekly Log'!$H:$H,"&lt;&gt;",'Weekly Log'!$A:$A,"&gt;="&amp;$J60,'Weekly Log'!$A:$A,"&lt;"&amp;$J60+7),0))</f>
        <v/>
      </c>
      <c r="E60" s="15">
        <f>IF($J60="","",IFERROR(AVERAGEIFS('Weekly Log'!$F:$F,'Weekly Log'!$A:$A,"&gt;="&amp;$J60,'Weekly Log'!$A:$A,"&lt;"&amp;$J60+7),0))</f>
        <v/>
      </c>
      <c r="F60" s="14">
        <f>IF($J60="","",IFERROR(SUMIFS('Weekly Log'!$F:$F,'Weekly Log'!$A:$A,"&gt;="&amp;$J60,'Weekly Log'!$A:$A,"&lt;"&amp;$J60+7)/SUMIFS('Weekly Log'!$E:$E,'Weekly Log'!$A:$A,"&gt;="&amp;$J60,'Weekly Log'!$A:$A,"&lt;"&amp;$J60+7),0))</f>
        <v/>
      </c>
      <c r="G60" s="13">
        <f>IF($J60="","",IFERROR(LOOKUP(2,1/(('Weekly Log'!$A$5:$A$5000&gt;=$J60)*('Weekly Log'!$A$5:$A$5000&lt;$J60+7)*('Weekly Log'!$M$5:$M$5000&lt;&gt;"")),'Weekly Log'!$M$5:$M$5000),0))</f>
        <v/>
      </c>
      <c r="H60" s="12" t="n"/>
      <c r="J60">
        <f>IF(COUNT('Weekly Log'!$A$5:$A$5000)=0,"",IF(MIN('Weekly Log'!$A$5:$A$5000)+7*(ROW()-10)&gt;MAX('Weekly Log'!$A$5:$A$5000),"",MIN('Weekly Log'!$A$5:$A$5000)+7*(ROW()-10)))</f>
        <v/>
      </c>
    </row>
    <row r="61">
      <c r="A61" s="12">
        <f>IF($J61="","",YEAR($J61-WEEKDAY($J61,2)+4)&amp;"-W"&amp;TEXT(WEEKNUM($J61,21),"00"))</f>
        <v/>
      </c>
      <c r="B61" s="13">
        <f>IF($J61="","",SUMIFS('Weekly Log'!$C:$C,'Weekly Log'!$A:$A,"&gt;="&amp;$J61,'Weekly Log'!$A:$A,"&lt;"&amp;$J61+7))</f>
        <v/>
      </c>
      <c r="C61" s="14">
        <f>IF($J61="","",IFERROR(COUNTIFS('Weekly Log'!$G:$G,"Y",'Weekly Log'!$A:$A,"&gt;="&amp;$J61,'Weekly Log'!$A:$A,"&lt;"&amp;$J61+7)/COUNTIFS('Weekly Log'!$G:$G,"&lt;&gt;",'Weekly Log'!$A:$A,"&gt;="&amp;$J61,'Weekly Log'!$A:$A,"&lt;"&amp;$J61+7),0))</f>
        <v/>
      </c>
      <c r="D61" s="14">
        <f>IF($J61="","",IFERROR(COUNTIFS('Weekly Log'!$H:$H,"Y",'Weekly Log'!$A:$A,"&gt;="&amp;$J61,'Weekly Log'!$A:$A,"&lt;"&amp;$J61+7)/COUNTIFS('Weekly Log'!$H:$H,"&lt;&gt;",'Weekly Log'!$A:$A,"&gt;="&amp;$J61,'Weekly Log'!$A:$A,"&lt;"&amp;$J61+7),0))</f>
        <v/>
      </c>
      <c r="E61" s="15">
        <f>IF($J61="","",IFERROR(AVERAGEIFS('Weekly Log'!$F:$F,'Weekly Log'!$A:$A,"&gt;="&amp;$J61,'Weekly Log'!$A:$A,"&lt;"&amp;$J61+7),0))</f>
        <v/>
      </c>
      <c r="F61" s="14">
        <f>IF($J61="","",IFERROR(SUMIFS('Weekly Log'!$F:$F,'Weekly Log'!$A:$A,"&gt;="&amp;$J61,'Weekly Log'!$A:$A,"&lt;"&amp;$J61+7)/SUMIFS('Weekly Log'!$E:$E,'Weekly Log'!$A:$A,"&gt;="&amp;$J61,'Weekly Log'!$A:$A,"&lt;"&amp;$J61+7),0))</f>
        <v/>
      </c>
      <c r="G61" s="13">
        <f>IF($J61="","",IFERROR(LOOKUP(2,1/(('Weekly Log'!$A$5:$A$5000&gt;=$J61)*('Weekly Log'!$A$5:$A$5000&lt;$J61+7)*('Weekly Log'!$M$5:$M$5000&lt;&gt;"")),'Weekly Log'!$M$5:$M$5000),0))</f>
        <v/>
      </c>
      <c r="H61" s="12" t="n"/>
      <c r="J61">
        <f>IF(COUNT('Weekly Log'!$A$5:$A$5000)=0,"",IF(MIN('Weekly Log'!$A$5:$A$5000)+7*(ROW()-10)&gt;MAX('Weekly Log'!$A$5:$A$5000),"",MIN('Weekly Log'!$A$5:$A$5000)+7*(ROW()-10)))</f>
        <v/>
      </c>
    </row>
    <row r="62">
      <c r="A62" s="12">
        <f>IF($J62="","",YEAR($J62-WEEKDAY($J62,2)+4)&amp;"-W"&amp;TEXT(WEEKNUM($J62,21),"00"))</f>
        <v/>
      </c>
      <c r="B62" s="13">
        <f>IF($J62="","",SUMIFS('Weekly Log'!$C:$C,'Weekly Log'!$A:$A,"&gt;="&amp;$J62,'Weekly Log'!$A:$A,"&lt;"&amp;$J62+7))</f>
        <v/>
      </c>
      <c r="C62" s="14">
        <f>IF($J62="","",IFERROR(COUNTIFS('Weekly Log'!$G:$G,"Y",'Weekly Log'!$A:$A,"&gt;="&amp;$J62,'Weekly Log'!$A:$A,"&lt;"&amp;$J62+7)/COUNTIFS('Weekly Log'!$G:$G,"&lt;&gt;",'Weekly Log'!$A:$A,"&gt;="&amp;$J62,'Weekly Log'!$A:$A,"&lt;"&amp;$J62+7),0))</f>
        <v/>
      </c>
      <c r="D62" s="14">
        <f>IF($J62="","",IFERROR(COUNTIFS('Weekly Log'!$H:$H,"Y",'Weekly Log'!$A:$A,"&gt;="&amp;$J62,'Weekly Log'!$A:$A,"&lt;"&amp;$J62+7)/COUNTIFS('Weekly Log'!$H:$H,"&lt;&gt;",'Weekly Log'!$A:$A,"&gt;="&amp;$J62,'Weekly Log'!$A:$A,"&lt;"&amp;$J62+7),0))</f>
        <v/>
      </c>
      <c r="E62" s="15">
        <f>IF($J62="","",IFERROR(AVERAGEIFS('Weekly Log'!$F:$F,'Weekly Log'!$A:$A,"&gt;="&amp;$J62,'Weekly Log'!$A:$A,"&lt;"&amp;$J62+7),0))</f>
        <v/>
      </c>
      <c r="F62" s="14">
        <f>IF($J62="","",IFERROR(SUMIFS('Weekly Log'!$F:$F,'Weekly Log'!$A:$A,"&gt;="&amp;$J62,'Weekly Log'!$A:$A,"&lt;"&amp;$J62+7)/SUMIFS('Weekly Log'!$E:$E,'Weekly Log'!$A:$A,"&gt;="&amp;$J62,'Weekly Log'!$A:$A,"&lt;"&amp;$J62+7),0))</f>
        <v/>
      </c>
      <c r="G62" s="13">
        <f>IF($J62="","",IFERROR(LOOKUP(2,1/(('Weekly Log'!$A$5:$A$5000&gt;=$J62)*('Weekly Log'!$A$5:$A$5000&lt;$J62+7)*('Weekly Log'!$M$5:$M$5000&lt;&gt;"")),'Weekly Log'!$M$5:$M$5000),0))</f>
        <v/>
      </c>
      <c r="H62" s="12" t="n"/>
      <c r="J62">
        <f>IF(COUNT('Weekly Log'!$A$5:$A$5000)=0,"",IF(MIN('Weekly Log'!$A$5:$A$5000)+7*(ROW()-10)&gt;MAX('Weekly Log'!$A$5:$A$5000),"",MIN('Weekly Log'!$A$5:$A$5000)+7*(ROW()-10)))</f>
        <v/>
      </c>
    </row>
    <row r="63">
      <c r="A63" s="12">
        <f>IF($J63="","",YEAR($J63-WEEKDAY($J63,2)+4)&amp;"-W"&amp;TEXT(WEEKNUM($J63,21),"00"))</f>
        <v/>
      </c>
      <c r="B63" s="13">
        <f>IF($J63="","",SUMIFS('Weekly Log'!$C:$C,'Weekly Log'!$A:$A,"&gt;="&amp;$J63,'Weekly Log'!$A:$A,"&lt;"&amp;$J63+7))</f>
        <v/>
      </c>
      <c r="C63" s="14">
        <f>IF($J63="","",IFERROR(COUNTIFS('Weekly Log'!$G:$G,"Y",'Weekly Log'!$A:$A,"&gt;="&amp;$J63,'Weekly Log'!$A:$A,"&lt;"&amp;$J63+7)/COUNTIFS('Weekly Log'!$G:$G,"&lt;&gt;",'Weekly Log'!$A:$A,"&gt;="&amp;$J63,'Weekly Log'!$A:$A,"&lt;"&amp;$J63+7),0))</f>
        <v/>
      </c>
      <c r="D63" s="14">
        <f>IF($J63="","",IFERROR(COUNTIFS('Weekly Log'!$H:$H,"Y",'Weekly Log'!$A:$A,"&gt;="&amp;$J63,'Weekly Log'!$A:$A,"&lt;"&amp;$J63+7)/COUNTIFS('Weekly Log'!$H:$H,"&lt;&gt;",'Weekly Log'!$A:$A,"&gt;="&amp;$J63,'Weekly Log'!$A:$A,"&lt;"&amp;$J63+7),0))</f>
        <v/>
      </c>
      <c r="E63" s="15">
        <f>IF($J63="","",IFERROR(AVERAGEIFS('Weekly Log'!$F:$F,'Weekly Log'!$A:$A,"&gt;="&amp;$J63,'Weekly Log'!$A:$A,"&lt;"&amp;$J63+7),0))</f>
        <v/>
      </c>
      <c r="F63" s="14">
        <f>IF($J63="","",IFERROR(SUMIFS('Weekly Log'!$F:$F,'Weekly Log'!$A:$A,"&gt;="&amp;$J63,'Weekly Log'!$A:$A,"&lt;"&amp;$J63+7)/SUMIFS('Weekly Log'!$E:$E,'Weekly Log'!$A:$A,"&gt;="&amp;$J63,'Weekly Log'!$A:$A,"&lt;"&amp;$J63+7),0))</f>
        <v/>
      </c>
      <c r="G63" s="13">
        <f>IF($J63="","",IFERROR(LOOKUP(2,1/(('Weekly Log'!$A$5:$A$5000&gt;=$J63)*('Weekly Log'!$A$5:$A$5000&lt;$J63+7)*('Weekly Log'!$M$5:$M$5000&lt;&gt;"")),'Weekly Log'!$M$5:$M$5000),0))</f>
        <v/>
      </c>
      <c r="H63" s="12" t="n"/>
      <c r="J63">
        <f>IF(COUNT('Weekly Log'!$A$5:$A$5000)=0,"",IF(MIN('Weekly Log'!$A$5:$A$5000)+7*(ROW()-10)&gt;MAX('Weekly Log'!$A$5:$A$5000),"",MIN('Weekly Log'!$A$5:$A$5000)+7*(ROW()-10)))</f>
        <v/>
      </c>
    </row>
    <row r="64">
      <c r="A64" s="12">
        <f>IF($J64="","",YEAR($J64-WEEKDAY($J64,2)+4)&amp;"-W"&amp;TEXT(WEEKNUM($J64,21),"00"))</f>
        <v/>
      </c>
      <c r="B64" s="13">
        <f>IF($J64="","",SUMIFS('Weekly Log'!$C:$C,'Weekly Log'!$A:$A,"&gt;="&amp;$J64,'Weekly Log'!$A:$A,"&lt;"&amp;$J64+7))</f>
        <v/>
      </c>
      <c r="C64" s="14">
        <f>IF($J64="","",IFERROR(COUNTIFS('Weekly Log'!$G:$G,"Y",'Weekly Log'!$A:$A,"&gt;="&amp;$J64,'Weekly Log'!$A:$A,"&lt;"&amp;$J64+7)/COUNTIFS('Weekly Log'!$G:$G,"&lt;&gt;",'Weekly Log'!$A:$A,"&gt;="&amp;$J64,'Weekly Log'!$A:$A,"&lt;"&amp;$J64+7),0))</f>
        <v/>
      </c>
      <c r="D64" s="14">
        <f>IF($J64="","",IFERROR(COUNTIFS('Weekly Log'!$H:$H,"Y",'Weekly Log'!$A:$A,"&gt;="&amp;$J64,'Weekly Log'!$A:$A,"&lt;"&amp;$J64+7)/COUNTIFS('Weekly Log'!$H:$H,"&lt;&gt;",'Weekly Log'!$A:$A,"&gt;="&amp;$J64,'Weekly Log'!$A:$A,"&lt;"&amp;$J64+7),0))</f>
        <v/>
      </c>
      <c r="E64" s="15">
        <f>IF($J64="","",IFERROR(AVERAGEIFS('Weekly Log'!$F:$F,'Weekly Log'!$A:$A,"&gt;="&amp;$J64,'Weekly Log'!$A:$A,"&lt;"&amp;$J64+7),0))</f>
        <v/>
      </c>
      <c r="F64" s="14">
        <f>IF($J64="","",IFERROR(SUMIFS('Weekly Log'!$F:$F,'Weekly Log'!$A:$A,"&gt;="&amp;$J64,'Weekly Log'!$A:$A,"&lt;"&amp;$J64+7)/SUMIFS('Weekly Log'!$E:$E,'Weekly Log'!$A:$A,"&gt;="&amp;$J64,'Weekly Log'!$A:$A,"&lt;"&amp;$J64+7),0))</f>
        <v/>
      </c>
      <c r="G64" s="13">
        <f>IF($J64="","",IFERROR(LOOKUP(2,1/(('Weekly Log'!$A$5:$A$5000&gt;=$J64)*('Weekly Log'!$A$5:$A$5000&lt;$J64+7)*('Weekly Log'!$M$5:$M$5000&lt;&gt;"")),'Weekly Log'!$M$5:$M$5000),0))</f>
        <v/>
      </c>
      <c r="H64" s="12" t="n"/>
      <c r="J64">
        <f>IF(COUNT('Weekly Log'!$A$5:$A$5000)=0,"",IF(MIN('Weekly Log'!$A$5:$A$5000)+7*(ROW()-10)&gt;MAX('Weekly Log'!$A$5:$A$5000),"",MIN('Weekly Log'!$A$5:$A$5000)+7*(ROW()-10)))</f>
        <v/>
      </c>
    </row>
    <row r="65">
      <c r="A65" s="12">
        <f>IF($J65="","",YEAR($J65-WEEKDAY($J65,2)+4)&amp;"-W"&amp;TEXT(WEEKNUM($J65,21),"00"))</f>
        <v/>
      </c>
      <c r="B65" s="13">
        <f>IF($J65="","",SUMIFS('Weekly Log'!$C:$C,'Weekly Log'!$A:$A,"&gt;="&amp;$J65,'Weekly Log'!$A:$A,"&lt;"&amp;$J65+7))</f>
        <v/>
      </c>
      <c r="C65" s="14">
        <f>IF($J65="","",IFERROR(COUNTIFS('Weekly Log'!$G:$G,"Y",'Weekly Log'!$A:$A,"&gt;="&amp;$J65,'Weekly Log'!$A:$A,"&lt;"&amp;$J65+7)/COUNTIFS('Weekly Log'!$G:$G,"&lt;&gt;",'Weekly Log'!$A:$A,"&gt;="&amp;$J65,'Weekly Log'!$A:$A,"&lt;"&amp;$J65+7),0))</f>
        <v/>
      </c>
      <c r="D65" s="14">
        <f>IF($J65="","",IFERROR(COUNTIFS('Weekly Log'!$H:$H,"Y",'Weekly Log'!$A:$A,"&gt;="&amp;$J65,'Weekly Log'!$A:$A,"&lt;"&amp;$J65+7)/COUNTIFS('Weekly Log'!$H:$H,"&lt;&gt;",'Weekly Log'!$A:$A,"&gt;="&amp;$J65,'Weekly Log'!$A:$A,"&lt;"&amp;$J65+7),0))</f>
        <v/>
      </c>
      <c r="E65" s="15">
        <f>IF($J65="","",IFERROR(AVERAGEIFS('Weekly Log'!$F:$F,'Weekly Log'!$A:$A,"&gt;="&amp;$J65,'Weekly Log'!$A:$A,"&lt;"&amp;$J65+7),0))</f>
        <v/>
      </c>
      <c r="F65" s="14">
        <f>IF($J65="","",IFERROR(SUMIFS('Weekly Log'!$F:$F,'Weekly Log'!$A:$A,"&gt;="&amp;$J65,'Weekly Log'!$A:$A,"&lt;"&amp;$J65+7)/SUMIFS('Weekly Log'!$E:$E,'Weekly Log'!$A:$A,"&gt;="&amp;$J65,'Weekly Log'!$A:$A,"&lt;"&amp;$J65+7),0))</f>
        <v/>
      </c>
      <c r="G65" s="13">
        <f>IF($J65="","",IFERROR(LOOKUP(2,1/(('Weekly Log'!$A$5:$A$5000&gt;=$J65)*('Weekly Log'!$A$5:$A$5000&lt;$J65+7)*('Weekly Log'!$M$5:$M$5000&lt;&gt;"")),'Weekly Log'!$M$5:$M$5000),0))</f>
        <v/>
      </c>
      <c r="H65" s="12" t="inlineStr">
        <is>
          <t>Seasonal demand spike</t>
        </is>
      </c>
      <c r="J65">
        <f>IF(COUNT('Weekly Log'!$A$5:$A$5000)=0,"",IF(MIN('Weekly Log'!$A$5:$A$5000)+7*(ROW()-10)&gt;MAX('Weekly Log'!$A$5:$A$5000),"",MIN('Weekly Log'!$A$5:$A$5000)+7*(ROW()-10)))</f>
        <v/>
      </c>
    </row>
    <row r="66">
      <c r="A66" s="12">
        <f>IF($J66="","",YEAR($J66-WEEKDAY($J66,2)+4)&amp;"-W"&amp;TEXT(WEEKNUM($J66,21),"00"))</f>
        <v/>
      </c>
      <c r="B66" s="13">
        <f>IF($J66="","",SUMIFS('Weekly Log'!$C:$C,'Weekly Log'!$A:$A,"&gt;="&amp;$J66,'Weekly Log'!$A:$A,"&lt;"&amp;$J66+7))</f>
        <v/>
      </c>
      <c r="C66" s="14">
        <f>IF($J66="","",IFERROR(COUNTIFS('Weekly Log'!$G:$G,"Y",'Weekly Log'!$A:$A,"&gt;="&amp;$J66,'Weekly Log'!$A:$A,"&lt;"&amp;$J66+7)/COUNTIFS('Weekly Log'!$G:$G,"&lt;&gt;",'Weekly Log'!$A:$A,"&gt;="&amp;$J66,'Weekly Log'!$A:$A,"&lt;"&amp;$J66+7),0))</f>
        <v/>
      </c>
      <c r="D66" s="14">
        <f>IF($J66="","",IFERROR(COUNTIFS('Weekly Log'!$H:$H,"Y",'Weekly Log'!$A:$A,"&gt;="&amp;$J66,'Weekly Log'!$A:$A,"&lt;"&amp;$J66+7)/COUNTIFS('Weekly Log'!$H:$H,"&lt;&gt;",'Weekly Log'!$A:$A,"&gt;="&amp;$J66,'Weekly Log'!$A:$A,"&lt;"&amp;$J66+7),0))</f>
        <v/>
      </c>
      <c r="E66" s="15">
        <f>IF($J66="","",IFERROR(AVERAGEIFS('Weekly Log'!$F:$F,'Weekly Log'!$A:$A,"&gt;="&amp;$J66,'Weekly Log'!$A:$A,"&lt;"&amp;$J66+7),0))</f>
        <v/>
      </c>
      <c r="F66" s="14">
        <f>IF($J66="","",IFERROR(SUMIFS('Weekly Log'!$F:$F,'Weekly Log'!$A:$A,"&gt;="&amp;$J66,'Weekly Log'!$A:$A,"&lt;"&amp;$J66+7)/SUMIFS('Weekly Log'!$E:$E,'Weekly Log'!$A:$A,"&gt;="&amp;$J66,'Weekly Log'!$A:$A,"&lt;"&amp;$J66+7),0))</f>
        <v/>
      </c>
      <c r="G66" s="13">
        <f>IF($J66="","",IFERROR(LOOKUP(2,1/(('Weekly Log'!$A$5:$A$5000&gt;=$J66)*('Weekly Log'!$A$5:$A$5000&lt;$J66+7)*('Weekly Log'!$M$5:$M$5000&lt;&gt;"")),'Weekly Log'!$M$5:$M$5000),0))</f>
        <v/>
      </c>
      <c r="H66" s="12" t="n"/>
      <c r="J66">
        <f>IF(COUNT('Weekly Log'!$A$5:$A$5000)=0,"",IF(MIN('Weekly Log'!$A$5:$A$5000)+7*(ROW()-10)&gt;MAX('Weekly Log'!$A$5:$A$5000),"",MIN('Weekly Log'!$A$5:$A$5000)+7*(ROW()-10)))</f>
        <v/>
      </c>
    </row>
    <row r="67">
      <c r="A67" s="12">
        <f>IF($J67="","",YEAR($J67-WEEKDAY($J67,2)+4)&amp;"-W"&amp;TEXT(WEEKNUM($J67,21),"00"))</f>
        <v/>
      </c>
      <c r="B67" s="13">
        <f>IF($J67="","",SUMIFS('Weekly Log'!$C:$C,'Weekly Log'!$A:$A,"&gt;="&amp;$J67,'Weekly Log'!$A:$A,"&lt;"&amp;$J67+7))</f>
        <v/>
      </c>
      <c r="C67" s="14">
        <f>IF($J67="","",IFERROR(COUNTIFS('Weekly Log'!$G:$G,"Y",'Weekly Log'!$A:$A,"&gt;="&amp;$J67,'Weekly Log'!$A:$A,"&lt;"&amp;$J67+7)/COUNTIFS('Weekly Log'!$G:$G,"&lt;&gt;",'Weekly Log'!$A:$A,"&gt;="&amp;$J67,'Weekly Log'!$A:$A,"&lt;"&amp;$J67+7),0))</f>
        <v/>
      </c>
      <c r="D67" s="14">
        <f>IF($J67="","",IFERROR(COUNTIFS('Weekly Log'!$H:$H,"Y",'Weekly Log'!$A:$A,"&gt;="&amp;$J67,'Weekly Log'!$A:$A,"&lt;"&amp;$J67+7)/COUNTIFS('Weekly Log'!$H:$H,"&lt;&gt;",'Weekly Log'!$A:$A,"&gt;="&amp;$J67,'Weekly Log'!$A:$A,"&lt;"&amp;$J67+7),0))</f>
        <v/>
      </c>
      <c r="E67" s="15">
        <f>IF($J67="","",IFERROR(AVERAGEIFS('Weekly Log'!$F:$F,'Weekly Log'!$A:$A,"&gt;="&amp;$J67,'Weekly Log'!$A:$A,"&lt;"&amp;$J67+7),0))</f>
        <v/>
      </c>
      <c r="F67" s="14">
        <f>IF($J67="","",IFERROR(SUMIFS('Weekly Log'!$F:$F,'Weekly Log'!$A:$A,"&gt;="&amp;$J67,'Weekly Log'!$A:$A,"&lt;"&amp;$J67+7)/SUMIFS('Weekly Log'!$E:$E,'Weekly Log'!$A:$A,"&gt;="&amp;$J67,'Weekly Log'!$A:$A,"&lt;"&amp;$J67+7),0))</f>
        <v/>
      </c>
      <c r="G67" s="13">
        <f>IF($J67="","",IFERROR(LOOKUP(2,1/(('Weekly Log'!$A$5:$A$5000&gt;=$J67)*('Weekly Log'!$A$5:$A$5000&lt;$J67+7)*('Weekly Log'!$M$5:$M$5000&lt;&gt;"")),'Weekly Log'!$M$5:$M$5000),0))</f>
        <v/>
      </c>
      <c r="H67" s="12" t="n"/>
      <c r="J67">
        <f>IF(COUNT('Weekly Log'!$A$5:$A$5000)=0,"",IF(MIN('Weekly Log'!$A$5:$A$5000)+7*(ROW()-10)&gt;MAX('Weekly Log'!$A$5:$A$5000),"",MIN('Weekly Log'!$A$5:$A$5000)+7*(ROW()-10)))</f>
        <v/>
      </c>
    </row>
    <row r="68">
      <c r="A68" s="12">
        <f>IF($J68="","",YEAR($J68-WEEKDAY($J68,2)+4)&amp;"-W"&amp;TEXT(WEEKNUM($J68,21),"00"))</f>
        <v/>
      </c>
      <c r="B68" s="13">
        <f>IF($J68="","",SUMIFS('Weekly Log'!$C:$C,'Weekly Log'!$A:$A,"&gt;="&amp;$J68,'Weekly Log'!$A:$A,"&lt;"&amp;$J68+7))</f>
        <v/>
      </c>
      <c r="C68" s="14">
        <f>IF($J68="","",IFERROR(COUNTIFS('Weekly Log'!$G:$G,"Y",'Weekly Log'!$A:$A,"&gt;="&amp;$J68,'Weekly Log'!$A:$A,"&lt;"&amp;$J68+7)/COUNTIFS('Weekly Log'!$G:$G,"&lt;&gt;",'Weekly Log'!$A:$A,"&gt;="&amp;$J68,'Weekly Log'!$A:$A,"&lt;"&amp;$J68+7),0))</f>
        <v/>
      </c>
      <c r="D68" s="14">
        <f>IF($J68="","",IFERROR(COUNTIFS('Weekly Log'!$H:$H,"Y",'Weekly Log'!$A:$A,"&gt;="&amp;$J68,'Weekly Log'!$A:$A,"&lt;"&amp;$J68+7)/COUNTIFS('Weekly Log'!$H:$H,"&lt;&gt;",'Weekly Log'!$A:$A,"&gt;="&amp;$J68,'Weekly Log'!$A:$A,"&lt;"&amp;$J68+7),0))</f>
        <v/>
      </c>
      <c r="E68" s="15">
        <f>IF($J68="","",IFERROR(AVERAGEIFS('Weekly Log'!$F:$F,'Weekly Log'!$A:$A,"&gt;="&amp;$J68,'Weekly Log'!$A:$A,"&lt;"&amp;$J68+7),0))</f>
        <v/>
      </c>
      <c r="F68" s="14">
        <f>IF($J68="","",IFERROR(SUMIFS('Weekly Log'!$F:$F,'Weekly Log'!$A:$A,"&gt;="&amp;$J68,'Weekly Log'!$A:$A,"&lt;"&amp;$J68+7)/SUMIFS('Weekly Log'!$E:$E,'Weekly Log'!$A:$A,"&gt;="&amp;$J68,'Weekly Log'!$A:$A,"&lt;"&amp;$J68+7),0))</f>
        <v/>
      </c>
      <c r="G68" s="13">
        <f>IF($J68="","",IFERROR(LOOKUP(2,1/(('Weekly Log'!$A$5:$A$5000&gt;=$J68)*('Weekly Log'!$A$5:$A$5000&lt;$J68+7)*('Weekly Log'!$M$5:$M$5000&lt;&gt;"")),'Weekly Log'!$M$5:$M$5000),0))</f>
        <v/>
      </c>
      <c r="H68" s="12" t="n"/>
      <c r="J68">
        <f>IF(COUNT('Weekly Log'!$A$5:$A$5000)=0,"",IF(MIN('Weekly Log'!$A$5:$A$5000)+7*(ROW()-10)&gt;MAX('Weekly Log'!$A$5:$A$5000),"",MIN('Weekly Log'!$A$5:$A$5000)+7*(ROW()-10)))</f>
        <v/>
      </c>
    </row>
    <row r="69">
      <c r="A69" s="12">
        <f>IF($J69="","",YEAR($J69-WEEKDAY($J69,2)+4)&amp;"-W"&amp;TEXT(WEEKNUM($J69,21),"00"))</f>
        <v/>
      </c>
      <c r="B69" s="13">
        <f>IF($J69="","",SUMIFS('Weekly Log'!$C:$C,'Weekly Log'!$A:$A,"&gt;="&amp;$J69,'Weekly Log'!$A:$A,"&lt;"&amp;$J69+7))</f>
        <v/>
      </c>
      <c r="C69" s="14">
        <f>IF($J69="","",IFERROR(COUNTIFS('Weekly Log'!$G:$G,"Y",'Weekly Log'!$A:$A,"&gt;="&amp;$J69,'Weekly Log'!$A:$A,"&lt;"&amp;$J69+7)/COUNTIFS('Weekly Log'!$G:$G,"&lt;&gt;",'Weekly Log'!$A:$A,"&gt;="&amp;$J69,'Weekly Log'!$A:$A,"&lt;"&amp;$J69+7),0))</f>
        <v/>
      </c>
      <c r="D69" s="14">
        <f>IF($J69="","",IFERROR(COUNTIFS('Weekly Log'!$H:$H,"Y",'Weekly Log'!$A:$A,"&gt;="&amp;$J69,'Weekly Log'!$A:$A,"&lt;"&amp;$J69+7)/COUNTIFS('Weekly Log'!$H:$H,"&lt;&gt;",'Weekly Log'!$A:$A,"&gt;="&amp;$J69,'Weekly Log'!$A:$A,"&lt;"&amp;$J69+7),0))</f>
        <v/>
      </c>
      <c r="E69" s="15">
        <f>IF($J69="","",IFERROR(AVERAGEIFS('Weekly Log'!$F:$F,'Weekly Log'!$A:$A,"&gt;="&amp;$J69,'Weekly Log'!$A:$A,"&lt;"&amp;$J69+7),0))</f>
        <v/>
      </c>
      <c r="F69" s="14">
        <f>IF($J69="","",IFERROR(SUMIFS('Weekly Log'!$F:$F,'Weekly Log'!$A:$A,"&gt;="&amp;$J69,'Weekly Log'!$A:$A,"&lt;"&amp;$J69+7)/SUMIFS('Weekly Log'!$E:$E,'Weekly Log'!$A:$A,"&gt;="&amp;$J69,'Weekly Log'!$A:$A,"&lt;"&amp;$J69+7),0))</f>
        <v/>
      </c>
      <c r="G69" s="13">
        <f>IF($J69="","",IFERROR(LOOKUP(2,1/(('Weekly Log'!$A$5:$A$5000&gt;=$J69)*('Weekly Log'!$A$5:$A$5000&lt;$J69+7)*('Weekly Log'!$M$5:$M$5000&lt;&gt;"")),'Weekly Log'!$M$5:$M$5000),0))</f>
        <v/>
      </c>
      <c r="H69" s="12" t="n"/>
      <c r="J69">
        <f>IF(COUNT('Weekly Log'!$A$5:$A$5000)=0,"",IF(MIN('Weekly Log'!$A$5:$A$5000)+7*(ROW()-10)&gt;MAX('Weekly Log'!$A$5:$A$5000),"",MIN('Weekly Log'!$A$5:$A$5000)+7*(ROW()-10)))</f>
        <v/>
      </c>
    </row>
    <row r="70">
      <c r="A70" s="12">
        <f>IF($J70="","",YEAR($J70-WEEKDAY($J70,2)+4)&amp;"-W"&amp;TEXT(WEEKNUM($J70,21),"00"))</f>
        <v/>
      </c>
      <c r="B70" s="13">
        <f>IF($J70="","",SUMIFS('Weekly Log'!$C:$C,'Weekly Log'!$A:$A,"&gt;="&amp;$J70,'Weekly Log'!$A:$A,"&lt;"&amp;$J70+7))</f>
        <v/>
      </c>
      <c r="C70" s="14">
        <f>IF($J70="","",IFERROR(COUNTIFS('Weekly Log'!$G:$G,"Y",'Weekly Log'!$A:$A,"&gt;="&amp;$J70,'Weekly Log'!$A:$A,"&lt;"&amp;$J70+7)/COUNTIFS('Weekly Log'!$G:$G,"&lt;&gt;",'Weekly Log'!$A:$A,"&gt;="&amp;$J70,'Weekly Log'!$A:$A,"&lt;"&amp;$J70+7),0))</f>
        <v/>
      </c>
      <c r="D70" s="14">
        <f>IF($J70="","",IFERROR(COUNTIFS('Weekly Log'!$H:$H,"Y",'Weekly Log'!$A:$A,"&gt;="&amp;$J70,'Weekly Log'!$A:$A,"&lt;"&amp;$J70+7)/COUNTIFS('Weekly Log'!$H:$H,"&lt;&gt;",'Weekly Log'!$A:$A,"&gt;="&amp;$J70,'Weekly Log'!$A:$A,"&lt;"&amp;$J70+7),0))</f>
        <v/>
      </c>
      <c r="E70" s="15">
        <f>IF($J70="","",IFERROR(AVERAGEIFS('Weekly Log'!$F:$F,'Weekly Log'!$A:$A,"&gt;="&amp;$J70,'Weekly Log'!$A:$A,"&lt;"&amp;$J70+7),0))</f>
        <v/>
      </c>
      <c r="F70" s="14">
        <f>IF($J70="","",IFERROR(SUMIFS('Weekly Log'!$F:$F,'Weekly Log'!$A:$A,"&gt;="&amp;$J70,'Weekly Log'!$A:$A,"&lt;"&amp;$J70+7)/SUMIFS('Weekly Log'!$E:$E,'Weekly Log'!$A:$A,"&gt;="&amp;$J70,'Weekly Log'!$A:$A,"&lt;"&amp;$J70+7),0))</f>
        <v/>
      </c>
      <c r="G70" s="13">
        <f>IF($J70="","",IFERROR(LOOKUP(2,1/(('Weekly Log'!$A$5:$A$5000&gt;=$J70)*('Weekly Log'!$A$5:$A$5000&lt;$J70+7)*('Weekly Log'!$M$5:$M$5000&lt;&gt;"")),'Weekly Log'!$M$5:$M$5000),0))</f>
        <v/>
      </c>
      <c r="H70" s="12" t="n"/>
      <c r="J70">
        <f>IF(COUNT('Weekly Log'!$A$5:$A$5000)=0,"",IF(MIN('Weekly Log'!$A$5:$A$5000)+7*(ROW()-10)&gt;MAX('Weekly Log'!$A$5:$A$5000),"",MIN('Weekly Log'!$A$5:$A$5000)+7*(ROW()-10)))</f>
        <v/>
      </c>
    </row>
    <row r="71">
      <c r="A71" s="12">
        <f>IF($J71="","",YEAR($J71-WEEKDAY($J71,2)+4)&amp;"-W"&amp;TEXT(WEEKNUM($J71,21),"00"))</f>
        <v/>
      </c>
      <c r="B71" s="13">
        <f>IF($J71="","",SUMIFS('Weekly Log'!$C:$C,'Weekly Log'!$A:$A,"&gt;="&amp;$J71,'Weekly Log'!$A:$A,"&lt;"&amp;$J71+7))</f>
        <v/>
      </c>
      <c r="C71" s="14">
        <f>IF($J71="","",IFERROR(COUNTIFS('Weekly Log'!$G:$G,"Y",'Weekly Log'!$A:$A,"&gt;="&amp;$J71,'Weekly Log'!$A:$A,"&lt;"&amp;$J71+7)/COUNTIFS('Weekly Log'!$G:$G,"&lt;&gt;",'Weekly Log'!$A:$A,"&gt;="&amp;$J71,'Weekly Log'!$A:$A,"&lt;"&amp;$J71+7),0))</f>
        <v/>
      </c>
      <c r="D71" s="14">
        <f>IF($J71="","",IFERROR(COUNTIFS('Weekly Log'!$H:$H,"Y",'Weekly Log'!$A:$A,"&gt;="&amp;$J71,'Weekly Log'!$A:$A,"&lt;"&amp;$J71+7)/COUNTIFS('Weekly Log'!$H:$H,"&lt;&gt;",'Weekly Log'!$A:$A,"&gt;="&amp;$J71,'Weekly Log'!$A:$A,"&lt;"&amp;$J71+7),0))</f>
        <v/>
      </c>
      <c r="E71" s="15">
        <f>IF($J71="","",IFERROR(AVERAGEIFS('Weekly Log'!$F:$F,'Weekly Log'!$A:$A,"&gt;="&amp;$J71,'Weekly Log'!$A:$A,"&lt;"&amp;$J71+7),0))</f>
        <v/>
      </c>
      <c r="F71" s="14">
        <f>IF($J71="","",IFERROR(SUMIFS('Weekly Log'!$F:$F,'Weekly Log'!$A:$A,"&gt;="&amp;$J71,'Weekly Log'!$A:$A,"&lt;"&amp;$J71+7)/SUMIFS('Weekly Log'!$E:$E,'Weekly Log'!$A:$A,"&gt;="&amp;$J71,'Weekly Log'!$A:$A,"&lt;"&amp;$J71+7),0))</f>
        <v/>
      </c>
      <c r="G71" s="13">
        <f>IF($J71="","",IFERROR(LOOKUP(2,1/(('Weekly Log'!$A$5:$A$5000&gt;=$J71)*('Weekly Log'!$A$5:$A$5000&lt;$J71+7)*('Weekly Log'!$M$5:$M$5000&lt;&gt;"")),'Weekly Log'!$M$5:$M$5000),0))</f>
        <v/>
      </c>
      <c r="H71" s="12" t="n"/>
      <c r="J71">
        <f>IF(COUNT('Weekly Log'!$A$5:$A$5000)=0,"",IF(MIN('Weekly Log'!$A$5:$A$5000)+7*(ROW()-10)&gt;MAX('Weekly Log'!$A$5:$A$5000),"",MIN('Weekly Log'!$A$5:$A$5000)+7*(ROW()-10)))</f>
        <v/>
      </c>
    </row>
    <row r="72">
      <c r="A72" s="12">
        <f>IF($J72="","",YEAR($J72-WEEKDAY($J72,2)+4)&amp;"-W"&amp;TEXT(WEEKNUM($J72,21),"00"))</f>
        <v/>
      </c>
      <c r="B72" s="13">
        <f>IF($J72="","",SUMIFS('Weekly Log'!$C:$C,'Weekly Log'!$A:$A,"&gt;="&amp;$J72,'Weekly Log'!$A:$A,"&lt;"&amp;$J72+7))</f>
        <v/>
      </c>
      <c r="C72" s="14">
        <f>IF($J72="","",IFERROR(COUNTIFS('Weekly Log'!$G:$G,"Y",'Weekly Log'!$A:$A,"&gt;="&amp;$J72,'Weekly Log'!$A:$A,"&lt;"&amp;$J72+7)/COUNTIFS('Weekly Log'!$G:$G,"&lt;&gt;",'Weekly Log'!$A:$A,"&gt;="&amp;$J72,'Weekly Log'!$A:$A,"&lt;"&amp;$J72+7),0))</f>
        <v/>
      </c>
      <c r="D72" s="14">
        <f>IF($J72="","",IFERROR(COUNTIFS('Weekly Log'!$H:$H,"Y",'Weekly Log'!$A:$A,"&gt;="&amp;$J72,'Weekly Log'!$A:$A,"&lt;"&amp;$J72+7)/COUNTIFS('Weekly Log'!$H:$H,"&lt;&gt;",'Weekly Log'!$A:$A,"&gt;="&amp;$J72,'Weekly Log'!$A:$A,"&lt;"&amp;$J72+7),0))</f>
        <v/>
      </c>
      <c r="E72" s="15">
        <f>IF($J72="","",IFERROR(AVERAGEIFS('Weekly Log'!$F:$F,'Weekly Log'!$A:$A,"&gt;="&amp;$J72,'Weekly Log'!$A:$A,"&lt;"&amp;$J72+7),0))</f>
        <v/>
      </c>
      <c r="F72" s="14">
        <f>IF($J72="","",IFERROR(SUMIFS('Weekly Log'!$F:$F,'Weekly Log'!$A:$A,"&gt;="&amp;$J72,'Weekly Log'!$A:$A,"&lt;"&amp;$J72+7)/SUMIFS('Weekly Log'!$E:$E,'Weekly Log'!$A:$A,"&gt;="&amp;$J72,'Weekly Log'!$A:$A,"&lt;"&amp;$J72+7),0))</f>
        <v/>
      </c>
      <c r="G72" s="13">
        <f>IF($J72="","",IFERROR(LOOKUP(2,1/(('Weekly Log'!$A$5:$A$5000&gt;=$J72)*('Weekly Log'!$A$5:$A$5000&lt;$J72+7)*('Weekly Log'!$M$5:$M$5000&lt;&gt;"")),'Weekly Log'!$M$5:$M$5000),0))</f>
        <v/>
      </c>
      <c r="H72" s="12" t="n"/>
      <c r="J72">
        <f>IF(COUNT('Weekly Log'!$A$5:$A$5000)=0,"",IF(MIN('Weekly Log'!$A$5:$A$5000)+7*(ROW()-10)&gt;MAX('Weekly Log'!$A$5:$A$5000),"",MIN('Weekly Log'!$A$5:$A$5000)+7*(ROW()-10)))</f>
        <v/>
      </c>
    </row>
    <row r="73">
      <c r="A73" s="12">
        <f>IF($J73="","",YEAR($J73-WEEKDAY($J73,2)+4)&amp;"-W"&amp;TEXT(WEEKNUM($J73,21),"00"))</f>
        <v/>
      </c>
      <c r="B73" s="13">
        <f>IF($J73="","",SUMIFS('Weekly Log'!$C:$C,'Weekly Log'!$A:$A,"&gt;="&amp;$J73,'Weekly Log'!$A:$A,"&lt;"&amp;$J73+7))</f>
        <v/>
      </c>
      <c r="C73" s="14">
        <f>IF($J73="","",IFERROR(COUNTIFS('Weekly Log'!$G:$G,"Y",'Weekly Log'!$A:$A,"&gt;="&amp;$J73,'Weekly Log'!$A:$A,"&lt;"&amp;$J73+7)/COUNTIFS('Weekly Log'!$G:$G,"&lt;&gt;",'Weekly Log'!$A:$A,"&gt;="&amp;$J73,'Weekly Log'!$A:$A,"&lt;"&amp;$J73+7),0))</f>
        <v/>
      </c>
      <c r="D73" s="14">
        <f>IF($J73="","",IFERROR(COUNTIFS('Weekly Log'!$H:$H,"Y",'Weekly Log'!$A:$A,"&gt;="&amp;$J73,'Weekly Log'!$A:$A,"&lt;"&amp;$J73+7)/COUNTIFS('Weekly Log'!$H:$H,"&lt;&gt;",'Weekly Log'!$A:$A,"&gt;="&amp;$J73,'Weekly Log'!$A:$A,"&lt;"&amp;$J73+7),0))</f>
        <v/>
      </c>
      <c r="E73" s="15">
        <f>IF($J73="","",IFERROR(AVERAGEIFS('Weekly Log'!$F:$F,'Weekly Log'!$A:$A,"&gt;="&amp;$J73,'Weekly Log'!$A:$A,"&lt;"&amp;$J73+7),0))</f>
        <v/>
      </c>
      <c r="F73" s="14">
        <f>IF($J73="","",IFERROR(SUMIFS('Weekly Log'!$F:$F,'Weekly Log'!$A:$A,"&gt;="&amp;$J73,'Weekly Log'!$A:$A,"&lt;"&amp;$J73+7)/SUMIFS('Weekly Log'!$E:$E,'Weekly Log'!$A:$A,"&gt;="&amp;$J73,'Weekly Log'!$A:$A,"&lt;"&amp;$J73+7),0))</f>
        <v/>
      </c>
      <c r="G73" s="13">
        <f>IF($J73="","",IFERROR(LOOKUP(2,1/(('Weekly Log'!$A$5:$A$5000&gt;=$J73)*('Weekly Log'!$A$5:$A$5000&lt;$J73+7)*('Weekly Log'!$M$5:$M$5000&lt;&gt;"")),'Weekly Log'!$M$5:$M$5000),0))</f>
        <v/>
      </c>
      <c r="H73" s="12" t="n"/>
      <c r="J73">
        <f>IF(COUNT('Weekly Log'!$A$5:$A$5000)=0,"",IF(MIN('Weekly Log'!$A$5:$A$5000)+7*(ROW()-10)&gt;MAX('Weekly Log'!$A$5:$A$5000),"",MIN('Weekly Log'!$A$5:$A$5000)+7*(ROW()-10)))</f>
        <v/>
      </c>
    </row>
    <row r="74">
      <c r="A74" s="12">
        <f>IF($J74="","",YEAR($J74-WEEKDAY($J74,2)+4)&amp;"-W"&amp;TEXT(WEEKNUM($J74,21),"00"))</f>
        <v/>
      </c>
      <c r="B74" s="13">
        <f>IF($J74="","",SUMIFS('Weekly Log'!$C:$C,'Weekly Log'!$A:$A,"&gt;="&amp;$J74,'Weekly Log'!$A:$A,"&lt;"&amp;$J74+7))</f>
        <v/>
      </c>
      <c r="C74" s="14">
        <f>IF($J74="","",IFERROR(COUNTIFS('Weekly Log'!$G:$G,"Y",'Weekly Log'!$A:$A,"&gt;="&amp;$J74,'Weekly Log'!$A:$A,"&lt;"&amp;$J74+7)/COUNTIFS('Weekly Log'!$G:$G,"&lt;&gt;",'Weekly Log'!$A:$A,"&gt;="&amp;$J74,'Weekly Log'!$A:$A,"&lt;"&amp;$J74+7),0))</f>
        <v/>
      </c>
      <c r="D74" s="14">
        <f>IF($J74="","",IFERROR(COUNTIFS('Weekly Log'!$H:$H,"Y",'Weekly Log'!$A:$A,"&gt;="&amp;$J74,'Weekly Log'!$A:$A,"&lt;"&amp;$J74+7)/COUNTIFS('Weekly Log'!$H:$H,"&lt;&gt;",'Weekly Log'!$A:$A,"&gt;="&amp;$J74,'Weekly Log'!$A:$A,"&lt;"&amp;$J74+7),0))</f>
        <v/>
      </c>
      <c r="E74" s="15">
        <f>IF($J74="","",IFERROR(AVERAGEIFS('Weekly Log'!$F:$F,'Weekly Log'!$A:$A,"&gt;="&amp;$J74,'Weekly Log'!$A:$A,"&lt;"&amp;$J74+7),0))</f>
        <v/>
      </c>
      <c r="F74" s="14">
        <f>IF($J74="","",IFERROR(SUMIFS('Weekly Log'!$F:$F,'Weekly Log'!$A:$A,"&gt;="&amp;$J74,'Weekly Log'!$A:$A,"&lt;"&amp;$J74+7)/SUMIFS('Weekly Log'!$E:$E,'Weekly Log'!$A:$A,"&gt;="&amp;$J74,'Weekly Log'!$A:$A,"&lt;"&amp;$J74+7),0))</f>
        <v/>
      </c>
      <c r="G74" s="13">
        <f>IF($J74="","",IFERROR(LOOKUP(2,1/(('Weekly Log'!$A$5:$A$5000&gt;=$J74)*('Weekly Log'!$A$5:$A$5000&lt;$J74+7)*('Weekly Log'!$M$5:$M$5000&lt;&gt;"")),'Weekly Log'!$M$5:$M$5000),0))</f>
        <v/>
      </c>
      <c r="H74" s="12" t="n"/>
      <c r="J74">
        <f>IF(COUNT('Weekly Log'!$A$5:$A$5000)=0,"",IF(MIN('Weekly Log'!$A$5:$A$5000)+7*(ROW()-10)&gt;MAX('Weekly Log'!$A$5:$A$5000),"",MIN('Weekly Log'!$A$5:$A$5000)+7*(ROW()-10)))</f>
        <v/>
      </c>
    </row>
    <row r="75">
      <c r="A75" s="12">
        <f>IF($J75="","",YEAR($J75-WEEKDAY($J75,2)+4)&amp;"-W"&amp;TEXT(WEEKNUM($J75,21),"00"))</f>
        <v/>
      </c>
      <c r="B75" s="13">
        <f>IF($J75="","",SUMIFS('Weekly Log'!$C:$C,'Weekly Log'!$A:$A,"&gt;="&amp;$J75,'Weekly Log'!$A:$A,"&lt;"&amp;$J75+7))</f>
        <v/>
      </c>
      <c r="C75" s="14">
        <f>IF($J75="","",IFERROR(COUNTIFS('Weekly Log'!$G:$G,"Y",'Weekly Log'!$A:$A,"&gt;="&amp;$J75,'Weekly Log'!$A:$A,"&lt;"&amp;$J75+7)/COUNTIFS('Weekly Log'!$G:$G,"&lt;&gt;",'Weekly Log'!$A:$A,"&gt;="&amp;$J75,'Weekly Log'!$A:$A,"&lt;"&amp;$J75+7),0))</f>
        <v/>
      </c>
      <c r="D75" s="14">
        <f>IF($J75="","",IFERROR(COUNTIFS('Weekly Log'!$H:$H,"Y",'Weekly Log'!$A:$A,"&gt;="&amp;$J75,'Weekly Log'!$A:$A,"&lt;"&amp;$J75+7)/COUNTIFS('Weekly Log'!$H:$H,"&lt;&gt;",'Weekly Log'!$A:$A,"&gt;="&amp;$J75,'Weekly Log'!$A:$A,"&lt;"&amp;$J75+7),0))</f>
        <v/>
      </c>
      <c r="E75" s="15">
        <f>IF($J75="","",IFERROR(AVERAGEIFS('Weekly Log'!$F:$F,'Weekly Log'!$A:$A,"&gt;="&amp;$J75,'Weekly Log'!$A:$A,"&lt;"&amp;$J75+7),0))</f>
        <v/>
      </c>
      <c r="F75" s="14">
        <f>IF($J75="","",IFERROR(SUMIFS('Weekly Log'!$F:$F,'Weekly Log'!$A:$A,"&gt;="&amp;$J75,'Weekly Log'!$A:$A,"&lt;"&amp;$J75+7)/SUMIFS('Weekly Log'!$E:$E,'Weekly Log'!$A:$A,"&gt;="&amp;$J75,'Weekly Log'!$A:$A,"&lt;"&amp;$J75+7),0))</f>
        <v/>
      </c>
      <c r="G75" s="13">
        <f>IF($J75="","",IFERROR(LOOKUP(2,1/(('Weekly Log'!$A$5:$A$5000&gt;=$J75)*('Weekly Log'!$A$5:$A$5000&lt;$J75+7)*('Weekly Log'!$M$5:$M$5000&lt;&gt;"")),'Weekly Log'!$M$5:$M$5000),0))</f>
        <v/>
      </c>
      <c r="H75" s="12" t="n"/>
      <c r="J75">
        <f>IF(COUNT('Weekly Log'!$A$5:$A$5000)=0,"",IF(MIN('Weekly Log'!$A$5:$A$5000)+7*(ROW()-10)&gt;MAX('Weekly Log'!$A$5:$A$5000),"",MIN('Weekly Log'!$A$5:$A$5000)+7*(ROW()-10)))</f>
        <v/>
      </c>
    </row>
    <row r="76">
      <c r="A76" s="12">
        <f>IF($J76="","",YEAR($J76-WEEKDAY($J76,2)+4)&amp;"-W"&amp;TEXT(WEEKNUM($J76,21),"00"))</f>
        <v/>
      </c>
      <c r="B76" s="13">
        <f>IF($J76="","",SUMIFS('Weekly Log'!$C:$C,'Weekly Log'!$A:$A,"&gt;="&amp;$J76,'Weekly Log'!$A:$A,"&lt;"&amp;$J76+7))</f>
        <v/>
      </c>
      <c r="C76" s="14">
        <f>IF($J76="","",IFERROR(COUNTIFS('Weekly Log'!$G:$G,"Y",'Weekly Log'!$A:$A,"&gt;="&amp;$J76,'Weekly Log'!$A:$A,"&lt;"&amp;$J76+7)/COUNTIFS('Weekly Log'!$G:$G,"&lt;&gt;",'Weekly Log'!$A:$A,"&gt;="&amp;$J76,'Weekly Log'!$A:$A,"&lt;"&amp;$J76+7),0))</f>
        <v/>
      </c>
      <c r="D76" s="14">
        <f>IF($J76="","",IFERROR(COUNTIFS('Weekly Log'!$H:$H,"Y",'Weekly Log'!$A:$A,"&gt;="&amp;$J76,'Weekly Log'!$A:$A,"&lt;"&amp;$J76+7)/COUNTIFS('Weekly Log'!$H:$H,"&lt;&gt;",'Weekly Log'!$A:$A,"&gt;="&amp;$J76,'Weekly Log'!$A:$A,"&lt;"&amp;$J76+7),0))</f>
        <v/>
      </c>
      <c r="E76" s="15">
        <f>IF($J76="","",IFERROR(AVERAGEIFS('Weekly Log'!$F:$F,'Weekly Log'!$A:$A,"&gt;="&amp;$J76,'Weekly Log'!$A:$A,"&lt;"&amp;$J76+7),0))</f>
        <v/>
      </c>
      <c r="F76" s="14">
        <f>IF($J76="","",IFERROR(SUMIFS('Weekly Log'!$F:$F,'Weekly Log'!$A:$A,"&gt;="&amp;$J76,'Weekly Log'!$A:$A,"&lt;"&amp;$J76+7)/SUMIFS('Weekly Log'!$E:$E,'Weekly Log'!$A:$A,"&gt;="&amp;$J76,'Weekly Log'!$A:$A,"&lt;"&amp;$J76+7),0))</f>
        <v/>
      </c>
      <c r="G76" s="13">
        <f>IF($J76="","",IFERROR(LOOKUP(2,1/(('Weekly Log'!$A$5:$A$5000&gt;=$J76)*('Weekly Log'!$A$5:$A$5000&lt;$J76+7)*('Weekly Log'!$M$5:$M$5000&lt;&gt;"")),'Weekly Log'!$M$5:$M$5000),0))</f>
        <v/>
      </c>
      <c r="H76" s="12" t="n"/>
      <c r="J76">
        <f>IF(COUNT('Weekly Log'!$A$5:$A$5000)=0,"",IF(MIN('Weekly Log'!$A$5:$A$5000)+7*(ROW()-10)&gt;MAX('Weekly Log'!$A$5:$A$5000),"",MIN('Weekly Log'!$A$5:$A$5000)+7*(ROW()-10)))</f>
        <v/>
      </c>
    </row>
    <row r="77">
      <c r="A77" s="12">
        <f>IF($J77="","",YEAR($J77-WEEKDAY($J77,2)+4)&amp;"-W"&amp;TEXT(WEEKNUM($J77,21),"00"))</f>
        <v/>
      </c>
      <c r="B77" s="13">
        <f>IF($J77="","",SUMIFS('Weekly Log'!$C:$C,'Weekly Log'!$A:$A,"&gt;="&amp;$J77,'Weekly Log'!$A:$A,"&lt;"&amp;$J77+7))</f>
        <v/>
      </c>
      <c r="C77" s="14">
        <f>IF($J77="","",IFERROR(COUNTIFS('Weekly Log'!$G:$G,"Y",'Weekly Log'!$A:$A,"&gt;="&amp;$J77,'Weekly Log'!$A:$A,"&lt;"&amp;$J77+7)/COUNTIFS('Weekly Log'!$G:$G,"&lt;&gt;",'Weekly Log'!$A:$A,"&gt;="&amp;$J77,'Weekly Log'!$A:$A,"&lt;"&amp;$J77+7),0))</f>
        <v/>
      </c>
      <c r="D77" s="14">
        <f>IF($J77="","",IFERROR(COUNTIFS('Weekly Log'!$H:$H,"Y",'Weekly Log'!$A:$A,"&gt;="&amp;$J77,'Weekly Log'!$A:$A,"&lt;"&amp;$J77+7)/COUNTIFS('Weekly Log'!$H:$H,"&lt;&gt;",'Weekly Log'!$A:$A,"&gt;="&amp;$J77,'Weekly Log'!$A:$A,"&lt;"&amp;$J77+7),0))</f>
        <v/>
      </c>
      <c r="E77" s="15">
        <f>IF($J77="","",IFERROR(AVERAGEIFS('Weekly Log'!$F:$F,'Weekly Log'!$A:$A,"&gt;="&amp;$J77,'Weekly Log'!$A:$A,"&lt;"&amp;$J77+7),0))</f>
        <v/>
      </c>
      <c r="F77" s="14">
        <f>IF($J77="","",IFERROR(SUMIFS('Weekly Log'!$F:$F,'Weekly Log'!$A:$A,"&gt;="&amp;$J77,'Weekly Log'!$A:$A,"&lt;"&amp;$J77+7)/SUMIFS('Weekly Log'!$E:$E,'Weekly Log'!$A:$A,"&gt;="&amp;$J77,'Weekly Log'!$A:$A,"&lt;"&amp;$J77+7),0))</f>
        <v/>
      </c>
      <c r="G77" s="13">
        <f>IF($J77="","",IFERROR(LOOKUP(2,1/(('Weekly Log'!$A$5:$A$5000&gt;=$J77)*('Weekly Log'!$A$5:$A$5000&lt;$J77+7)*('Weekly Log'!$M$5:$M$5000&lt;&gt;"")),'Weekly Log'!$M$5:$M$5000),0))</f>
        <v/>
      </c>
      <c r="H77" s="12" t="n"/>
      <c r="J77">
        <f>IF(COUNT('Weekly Log'!$A$5:$A$5000)=0,"",IF(MIN('Weekly Log'!$A$5:$A$5000)+7*(ROW()-10)&gt;MAX('Weekly Log'!$A$5:$A$5000),"",MIN('Weekly Log'!$A$5:$A$5000)+7*(ROW()-10)))</f>
        <v/>
      </c>
    </row>
    <row r="78">
      <c r="A78" s="12">
        <f>IF($J78="","",YEAR($J78-WEEKDAY($J78,2)+4)&amp;"-W"&amp;TEXT(WEEKNUM($J78,21),"00"))</f>
        <v/>
      </c>
      <c r="B78" s="13">
        <f>IF($J78="","",SUMIFS('Weekly Log'!$C:$C,'Weekly Log'!$A:$A,"&gt;="&amp;$J78,'Weekly Log'!$A:$A,"&lt;"&amp;$J78+7))</f>
        <v/>
      </c>
      <c r="C78" s="14">
        <f>IF($J78="","",IFERROR(COUNTIFS('Weekly Log'!$G:$G,"Y",'Weekly Log'!$A:$A,"&gt;="&amp;$J78,'Weekly Log'!$A:$A,"&lt;"&amp;$J78+7)/COUNTIFS('Weekly Log'!$G:$G,"&lt;&gt;",'Weekly Log'!$A:$A,"&gt;="&amp;$J78,'Weekly Log'!$A:$A,"&lt;"&amp;$J78+7),0))</f>
        <v/>
      </c>
      <c r="D78" s="14">
        <f>IF($J78="","",IFERROR(COUNTIFS('Weekly Log'!$H:$H,"Y",'Weekly Log'!$A:$A,"&gt;="&amp;$J78,'Weekly Log'!$A:$A,"&lt;"&amp;$J78+7)/COUNTIFS('Weekly Log'!$H:$H,"&lt;&gt;",'Weekly Log'!$A:$A,"&gt;="&amp;$J78,'Weekly Log'!$A:$A,"&lt;"&amp;$J78+7),0))</f>
        <v/>
      </c>
      <c r="E78" s="15">
        <f>IF($J78="","",IFERROR(AVERAGEIFS('Weekly Log'!$F:$F,'Weekly Log'!$A:$A,"&gt;="&amp;$J78,'Weekly Log'!$A:$A,"&lt;"&amp;$J78+7),0))</f>
        <v/>
      </c>
      <c r="F78" s="14">
        <f>IF($J78="","",IFERROR(SUMIFS('Weekly Log'!$F:$F,'Weekly Log'!$A:$A,"&gt;="&amp;$J78,'Weekly Log'!$A:$A,"&lt;"&amp;$J78+7)/SUMIFS('Weekly Log'!$E:$E,'Weekly Log'!$A:$A,"&gt;="&amp;$J78,'Weekly Log'!$A:$A,"&lt;"&amp;$J78+7),0))</f>
        <v/>
      </c>
      <c r="G78" s="13">
        <f>IF($J78="","",IFERROR(LOOKUP(2,1/(('Weekly Log'!$A$5:$A$5000&gt;=$J78)*('Weekly Log'!$A$5:$A$5000&lt;$J78+7)*('Weekly Log'!$M$5:$M$5000&lt;&gt;"")),'Weekly Log'!$M$5:$M$5000),0))</f>
        <v/>
      </c>
      <c r="H78" s="12" t="inlineStr">
        <is>
          <t>Seasonal demand spike</t>
        </is>
      </c>
      <c r="J78">
        <f>IF(COUNT('Weekly Log'!$A$5:$A$5000)=0,"",IF(MIN('Weekly Log'!$A$5:$A$5000)+7*(ROW()-10)&gt;MAX('Weekly Log'!$A$5:$A$5000),"",MIN('Weekly Log'!$A$5:$A$5000)+7*(ROW()-10)))</f>
        <v/>
      </c>
    </row>
    <row r="79">
      <c r="A79" s="12">
        <f>IF($J79="","",YEAR($J79-WEEKDAY($J79,2)+4)&amp;"-W"&amp;TEXT(WEEKNUM($J79,21),"00"))</f>
        <v/>
      </c>
      <c r="B79" s="13">
        <f>IF($J79="","",SUMIFS('Weekly Log'!$C:$C,'Weekly Log'!$A:$A,"&gt;="&amp;$J79,'Weekly Log'!$A:$A,"&lt;"&amp;$J79+7))</f>
        <v/>
      </c>
      <c r="C79" s="14">
        <f>IF($J79="","",IFERROR(COUNTIFS('Weekly Log'!$G:$G,"Y",'Weekly Log'!$A:$A,"&gt;="&amp;$J79,'Weekly Log'!$A:$A,"&lt;"&amp;$J79+7)/COUNTIFS('Weekly Log'!$G:$G,"&lt;&gt;",'Weekly Log'!$A:$A,"&gt;="&amp;$J79,'Weekly Log'!$A:$A,"&lt;"&amp;$J79+7),0))</f>
        <v/>
      </c>
      <c r="D79" s="14">
        <f>IF($J79="","",IFERROR(COUNTIFS('Weekly Log'!$H:$H,"Y",'Weekly Log'!$A:$A,"&gt;="&amp;$J79,'Weekly Log'!$A:$A,"&lt;"&amp;$J79+7)/COUNTIFS('Weekly Log'!$H:$H,"&lt;&gt;",'Weekly Log'!$A:$A,"&gt;="&amp;$J79,'Weekly Log'!$A:$A,"&lt;"&amp;$J79+7),0))</f>
        <v/>
      </c>
      <c r="E79" s="15">
        <f>IF($J79="","",IFERROR(AVERAGEIFS('Weekly Log'!$F:$F,'Weekly Log'!$A:$A,"&gt;="&amp;$J79,'Weekly Log'!$A:$A,"&lt;"&amp;$J79+7),0))</f>
        <v/>
      </c>
      <c r="F79" s="14">
        <f>IF($J79="","",IFERROR(SUMIFS('Weekly Log'!$F:$F,'Weekly Log'!$A:$A,"&gt;="&amp;$J79,'Weekly Log'!$A:$A,"&lt;"&amp;$J79+7)/SUMIFS('Weekly Log'!$E:$E,'Weekly Log'!$A:$A,"&gt;="&amp;$J79,'Weekly Log'!$A:$A,"&lt;"&amp;$J79+7),0))</f>
        <v/>
      </c>
      <c r="G79" s="13">
        <f>IF($J79="","",IFERROR(LOOKUP(2,1/(('Weekly Log'!$A$5:$A$5000&gt;=$J79)*('Weekly Log'!$A$5:$A$5000&lt;$J79+7)*('Weekly Log'!$M$5:$M$5000&lt;&gt;"")),'Weekly Log'!$M$5:$M$5000),0))</f>
        <v/>
      </c>
      <c r="H79" s="12" t="n"/>
      <c r="J79">
        <f>IF(COUNT('Weekly Log'!$A$5:$A$5000)=0,"",IF(MIN('Weekly Log'!$A$5:$A$5000)+7*(ROW()-10)&gt;MAX('Weekly Log'!$A$5:$A$5000),"",MIN('Weekly Log'!$A$5:$A$5000)+7*(ROW()-10)))</f>
        <v/>
      </c>
    </row>
    <row r="80">
      <c r="A80" s="12">
        <f>IF($J80="","",YEAR($J80-WEEKDAY($J80,2)+4)&amp;"-W"&amp;TEXT(WEEKNUM($J80,21),"00"))</f>
        <v/>
      </c>
      <c r="B80" s="13">
        <f>IF($J80="","",SUMIFS('Weekly Log'!$C:$C,'Weekly Log'!$A:$A,"&gt;="&amp;$J80,'Weekly Log'!$A:$A,"&lt;"&amp;$J80+7))</f>
        <v/>
      </c>
      <c r="C80" s="14">
        <f>IF($J80="","",IFERROR(COUNTIFS('Weekly Log'!$G:$G,"Y",'Weekly Log'!$A:$A,"&gt;="&amp;$J80,'Weekly Log'!$A:$A,"&lt;"&amp;$J80+7)/COUNTIFS('Weekly Log'!$G:$G,"&lt;&gt;",'Weekly Log'!$A:$A,"&gt;="&amp;$J80,'Weekly Log'!$A:$A,"&lt;"&amp;$J80+7),0))</f>
        <v/>
      </c>
      <c r="D80" s="14">
        <f>IF($J80="","",IFERROR(COUNTIFS('Weekly Log'!$H:$H,"Y",'Weekly Log'!$A:$A,"&gt;="&amp;$J80,'Weekly Log'!$A:$A,"&lt;"&amp;$J80+7)/COUNTIFS('Weekly Log'!$H:$H,"&lt;&gt;",'Weekly Log'!$A:$A,"&gt;="&amp;$J80,'Weekly Log'!$A:$A,"&lt;"&amp;$J80+7),0))</f>
        <v/>
      </c>
      <c r="E80" s="15">
        <f>IF($J80="","",IFERROR(AVERAGEIFS('Weekly Log'!$F:$F,'Weekly Log'!$A:$A,"&gt;="&amp;$J80,'Weekly Log'!$A:$A,"&lt;"&amp;$J80+7),0))</f>
        <v/>
      </c>
      <c r="F80" s="14">
        <f>IF($J80="","",IFERROR(SUMIFS('Weekly Log'!$F:$F,'Weekly Log'!$A:$A,"&gt;="&amp;$J80,'Weekly Log'!$A:$A,"&lt;"&amp;$J80+7)/SUMIFS('Weekly Log'!$E:$E,'Weekly Log'!$A:$A,"&gt;="&amp;$J80,'Weekly Log'!$A:$A,"&lt;"&amp;$J80+7),0))</f>
        <v/>
      </c>
      <c r="G80" s="13">
        <f>IF($J80="","",IFERROR(LOOKUP(2,1/(('Weekly Log'!$A$5:$A$5000&gt;=$J80)*('Weekly Log'!$A$5:$A$5000&lt;$J80+7)*('Weekly Log'!$M$5:$M$5000&lt;&gt;"")),'Weekly Log'!$M$5:$M$5000),0))</f>
        <v/>
      </c>
      <c r="H80" s="12" t="n"/>
      <c r="J80">
        <f>IF(COUNT('Weekly Log'!$A$5:$A$5000)=0,"",IF(MIN('Weekly Log'!$A$5:$A$5000)+7*(ROW()-10)&gt;MAX('Weekly Log'!$A$5:$A$5000),"",MIN('Weekly Log'!$A$5:$A$5000)+7*(ROW()-10)))</f>
        <v/>
      </c>
    </row>
    <row r="81">
      <c r="A81" s="12">
        <f>IF($J81="","",YEAR($J81-WEEKDAY($J81,2)+4)&amp;"-W"&amp;TEXT(WEEKNUM($J81,21),"00"))</f>
        <v/>
      </c>
      <c r="B81" s="13">
        <f>IF($J81="","",SUMIFS('Weekly Log'!$C:$C,'Weekly Log'!$A:$A,"&gt;="&amp;$J81,'Weekly Log'!$A:$A,"&lt;"&amp;$J81+7))</f>
        <v/>
      </c>
      <c r="C81" s="14">
        <f>IF($J81="","",IFERROR(COUNTIFS('Weekly Log'!$G:$G,"Y",'Weekly Log'!$A:$A,"&gt;="&amp;$J81,'Weekly Log'!$A:$A,"&lt;"&amp;$J81+7)/COUNTIFS('Weekly Log'!$G:$G,"&lt;&gt;",'Weekly Log'!$A:$A,"&gt;="&amp;$J81,'Weekly Log'!$A:$A,"&lt;"&amp;$J81+7),0))</f>
        <v/>
      </c>
      <c r="D81" s="14">
        <f>IF($J81="","",IFERROR(COUNTIFS('Weekly Log'!$H:$H,"Y",'Weekly Log'!$A:$A,"&gt;="&amp;$J81,'Weekly Log'!$A:$A,"&lt;"&amp;$J81+7)/COUNTIFS('Weekly Log'!$H:$H,"&lt;&gt;",'Weekly Log'!$A:$A,"&gt;="&amp;$J81,'Weekly Log'!$A:$A,"&lt;"&amp;$J81+7),0))</f>
        <v/>
      </c>
      <c r="E81" s="15">
        <f>IF($J81="","",IFERROR(AVERAGEIFS('Weekly Log'!$F:$F,'Weekly Log'!$A:$A,"&gt;="&amp;$J81,'Weekly Log'!$A:$A,"&lt;"&amp;$J81+7),0))</f>
        <v/>
      </c>
      <c r="F81" s="14">
        <f>IF($J81="","",IFERROR(SUMIFS('Weekly Log'!$F:$F,'Weekly Log'!$A:$A,"&gt;="&amp;$J81,'Weekly Log'!$A:$A,"&lt;"&amp;$J81+7)/SUMIFS('Weekly Log'!$E:$E,'Weekly Log'!$A:$A,"&gt;="&amp;$J81,'Weekly Log'!$A:$A,"&lt;"&amp;$J81+7),0))</f>
        <v/>
      </c>
      <c r="G81" s="13">
        <f>IF($J81="","",IFERROR(LOOKUP(2,1/(('Weekly Log'!$A$5:$A$5000&gt;=$J81)*('Weekly Log'!$A$5:$A$5000&lt;$J81+7)*('Weekly Log'!$M$5:$M$5000&lt;&gt;"")),'Weekly Log'!$M$5:$M$5000),0))</f>
        <v/>
      </c>
      <c r="H81" s="12" t="n"/>
      <c r="J81">
        <f>IF(COUNT('Weekly Log'!$A$5:$A$5000)=0,"",IF(MIN('Weekly Log'!$A$5:$A$5000)+7*(ROW()-10)&gt;MAX('Weekly Log'!$A$5:$A$5000),"",MIN('Weekly Log'!$A$5:$A$5000)+7*(ROW()-10)))</f>
        <v/>
      </c>
    </row>
    <row r="82">
      <c r="A82" s="12">
        <f>IF($J82="","",YEAR($J82-WEEKDAY($J82,2)+4)&amp;"-W"&amp;TEXT(WEEKNUM($J82,21),"00"))</f>
        <v/>
      </c>
      <c r="B82" s="13">
        <f>IF($J82="","",SUMIFS('Weekly Log'!$C:$C,'Weekly Log'!$A:$A,"&gt;="&amp;$J82,'Weekly Log'!$A:$A,"&lt;"&amp;$J82+7))</f>
        <v/>
      </c>
      <c r="C82" s="14">
        <f>IF($J82="","",IFERROR(COUNTIFS('Weekly Log'!$G:$G,"Y",'Weekly Log'!$A:$A,"&gt;="&amp;$J82,'Weekly Log'!$A:$A,"&lt;"&amp;$J82+7)/COUNTIFS('Weekly Log'!$G:$G,"&lt;&gt;",'Weekly Log'!$A:$A,"&gt;="&amp;$J82,'Weekly Log'!$A:$A,"&lt;"&amp;$J82+7),0))</f>
        <v/>
      </c>
      <c r="D82" s="14">
        <f>IF($J82="","",IFERROR(COUNTIFS('Weekly Log'!$H:$H,"Y",'Weekly Log'!$A:$A,"&gt;="&amp;$J82,'Weekly Log'!$A:$A,"&lt;"&amp;$J82+7)/COUNTIFS('Weekly Log'!$H:$H,"&lt;&gt;",'Weekly Log'!$A:$A,"&gt;="&amp;$J82,'Weekly Log'!$A:$A,"&lt;"&amp;$J82+7),0))</f>
        <v/>
      </c>
      <c r="E82" s="15">
        <f>IF($J82="","",IFERROR(AVERAGEIFS('Weekly Log'!$F:$F,'Weekly Log'!$A:$A,"&gt;="&amp;$J82,'Weekly Log'!$A:$A,"&lt;"&amp;$J82+7),0))</f>
        <v/>
      </c>
      <c r="F82" s="14">
        <f>IF($J82="","",IFERROR(SUMIFS('Weekly Log'!$F:$F,'Weekly Log'!$A:$A,"&gt;="&amp;$J82,'Weekly Log'!$A:$A,"&lt;"&amp;$J82+7)/SUMIFS('Weekly Log'!$E:$E,'Weekly Log'!$A:$A,"&gt;="&amp;$J82,'Weekly Log'!$A:$A,"&lt;"&amp;$J82+7),0))</f>
        <v/>
      </c>
      <c r="G82" s="13">
        <f>IF($J82="","",IFERROR(LOOKUP(2,1/(('Weekly Log'!$A$5:$A$5000&gt;=$J82)*('Weekly Log'!$A$5:$A$5000&lt;$J82+7)*('Weekly Log'!$M$5:$M$5000&lt;&gt;"")),'Weekly Log'!$M$5:$M$5000),0))</f>
        <v/>
      </c>
      <c r="H82" s="12" t="n"/>
      <c r="J82">
        <f>IF(COUNT('Weekly Log'!$A$5:$A$5000)=0,"",IF(MIN('Weekly Log'!$A$5:$A$5000)+7*(ROW()-10)&gt;MAX('Weekly Log'!$A$5:$A$5000),"",MIN('Weekly Log'!$A$5:$A$5000)+7*(ROW()-10)))</f>
        <v/>
      </c>
    </row>
    <row r="83">
      <c r="A83" s="12">
        <f>IF($J83="","",YEAR($J83-WEEKDAY($J83,2)+4)&amp;"-W"&amp;TEXT(WEEKNUM($J83,21),"00"))</f>
        <v/>
      </c>
      <c r="B83" s="13">
        <f>IF($J83="","",SUMIFS('Weekly Log'!$C:$C,'Weekly Log'!$A:$A,"&gt;="&amp;$J83,'Weekly Log'!$A:$A,"&lt;"&amp;$J83+7))</f>
        <v/>
      </c>
      <c r="C83" s="14">
        <f>IF($J83="","",IFERROR(COUNTIFS('Weekly Log'!$G:$G,"Y",'Weekly Log'!$A:$A,"&gt;="&amp;$J83,'Weekly Log'!$A:$A,"&lt;"&amp;$J83+7)/COUNTIFS('Weekly Log'!$G:$G,"&lt;&gt;",'Weekly Log'!$A:$A,"&gt;="&amp;$J83,'Weekly Log'!$A:$A,"&lt;"&amp;$J83+7),0))</f>
        <v/>
      </c>
      <c r="D83" s="14">
        <f>IF($J83="","",IFERROR(COUNTIFS('Weekly Log'!$H:$H,"Y",'Weekly Log'!$A:$A,"&gt;="&amp;$J83,'Weekly Log'!$A:$A,"&lt;"&amp;$J83+7)/COUNTIFS('Weekly Log'!$H:$H,"&lt;&gt;",'Weekly Log'!$A:$A,"&gt;="&amp;$J83,'Weekly Log'!$A:$A,"&lt;"&amp;$J83+7),0))</f>
        <v/>
      </c>
      <c r="E83" s="15">
        <f>IF($J83="","",IFERROR(AVERAGEIFS('Weekly Log'!$F:$F,'Weekly Log'!$A:$A,"&gt;="&amp;$J83,'Weekly Log'!$A:$A,"&lt;"&amp;$J83+7),0))</f>
        <v/>
      </c>
      <c r="F83" s="14">
        <f>IF($J83="","",IFERROR(SUMIFS('Weekly Log'!$F:$F,'Weekly Log'!$A:$A,"&gt;="&amp;$J83,'Weekly Log'!$A:$A,"&lt;"&amp;$J83+7)/SUMIFS('Weekly Log'!$E:$E,'Weekly Log'!$A:$A,"&gt;="&amp;$J83,'Weekly Log'!$A:$A,"&lt;"&amp;$J83+7),0))</f>
        <v/>
      </c>
      <c r="G83" s="13">
        <f>IF($J83="","",IFERROR(LOOKUP(2,1/(('Weekly Log'!$A$5:$A$5000&gt;=$J83)*('Weekly Log'!$A$5:$A$5000&lt;$J83+7)*('Weekly Log'!$M$5:$M$5000&lt;&gt;"")),'Weekly Log'!$M$5:$M$5000),0))</f>
        <v/>
      </c>
      <c r="H83" s="12" t="n"/>
      <c r="J83">
        <f>IF(COUNT('Weekly Log'!$A$5:$A$5000)=0,"",IF(MIN('Weekly Log'!$A$5:$A$5000)+7*(ROW()-10)&gt;MAX('Weekly Log'!$A$5:$A$5000),"",MIN('Weekly Log'!$A$5:$A$5000)+7*(ROW()-10)))</f>
        <v/>
      </c>
    </row>
    <row r="84">
      <c r="A84" s="12">
        <f>IF($J84="","",YEAR($J84-WEEKDAY($J84,2)+4)&amp;"-W"&amp;TEXT(WEEKNUM($J84,21),"00"))</f>
        <v/>
      </c>
      <c r="B84" s="13">
        <f>IF($J84="","",SUMIFS('Weekly Log'!$C:$C,'Weekly Log'!$A:$A,"&gt;="&amp;$J84,'Weekly Log'!$A:$A,"&lt;"&amp;$J84+7))</f>
        <v/>
      </c>
      <c r="C84" s="14">
        <f>IF($J84="","",IFERROR(COUNTIFS('Weekly Log'!$G:$G,"Y",'Weekly Log'!$A:$A,"&gt;="&amp;$J84,'Weekly Log'!$A:$A,"&lt;"&amp;$J84+7)/COUNTIFS('Weekly Log'!$G:$G,"&lt;&gt;",'Weekly Log'!$A:$A,"&gt;="&amp;$J84,'Weekly Log'!$A:$A,"&lt;"&amp;$J84+7),0))</f>
        <v/>
      </c>
      <c r="D84" s="14">
        <f>IF($J84="","",IFERROR(COUNTIFS('Weekly Log'!$H:$H,"Y",'Weekly Log'!$A:$A,"&gt;="&amp;$J84,'Weekly Log'!$A:$A,"&lt;"&amp;$J84+7)/COUNTIFS('Weekly Log'!$H:$H,"&lt;&gt;",'Weekly Log'!$A:$A,"&gt;="&amp;$J84,'Weekly Log'!$A:$A,"&lt;"&amp;$J84+7),0))</f>
        <v/>
      </c>
      <c r="E84" s="15">
        <f>IF($J84="","",IFERROR(AVERAGEIFS('Weekly Log'!$F:$F,'Weekly Log'!$A:$A,"&gt;="&amp;$J84,'Weekly Log'!$A:$A,"&lt;"&amp;$J84+7),0))</f>
        <v/>
      </c>
      <c r="F84" s="14">
        <f>IF($J84="","",IFERROR(SUMIFS('Weekly Log'!$F:$F,'Weekly Log'!$A:$A,"&gt;="&amp;$J84,'Weekly Log'!$A:$A,"&lt;"&amp;$J84+7)/SUMIFS('Weekly Log'!$E:$E,'Weekly Log'!$A:$A,"&gt;="&amp;$J84,'Weekly Log'!$A:$A,"&lt;"&amp;$J84+7),0))</f>
        <v/>
      </c>
      <c r="G84" s="13">
        <f>IF($J84="","",IFERROR(LOOKUP(2,1/(('Weekly Log'!$A$5:$A$5000&gt;=$J84)*('Weekly Log'!$A$5:$A$5000&lt;$J84+7)*('Weekly Log'!$M$5:$M$5000&lt;&gt;"")),'Weekly Log'!$M$5:$M$5000),0))</f>
        <v/>
      </c>
      <c r="H84" s="12" t="inlineStr">
        <is>
          <t>Weather delays</t>
        </is>
      </c>
      <c r="J84">
        <f>IF(COUNT('Weekly Log'!$A$5:$A$5000)=0,"",IF(MIN('Weekly Log'!$A$5:$A$5000)+7*(ROW()-10)&gt;MAX('Weekly Log'!$A$5:$A$5000),"",MIN('Weekly Log'!$A$5:$A$5000)+7*(ROW()-10)))</f>
        <v/>
      </c>
    </row>
    <row r="85">
      <c r="A85" s="12">
        <f>IF($J85="","",YEAR($J85-WEEKDAY($J85,2)+4)&amp;"-W"&amp;TEXT(WEEKNUM($J85,21),"00"))</f>
        <v/>
      </c>
      <c r="B85" s="13">
        <f>IF($J85="","",SUMIFS('Weekly Log'!$C:$C,'Weekly Log'!$A:$A,"&gt;="&amp;$J85,'Weekly Log'!$A:$A,"&lt;"&amp;$J85+7))</f>
        <v/>
      </c>
      <c r="C85" s="14">
        <f>IF($J85="","",IFERROR(COUNTIFS('Weekly Log'!$G:$G,"Y",'Weekly Log'!$A:$A,"&gt;="&amp;$J85,'Weekly Log'!$A:$A,"&lt;"&amp;$J85+7)/COUNTIFS('Weekly Log'!$G:$G,"&lt;&gt;",'Weekly Log'!$A:$A,"&gt;="&amp;$J85,'Weekly Log'!$A:$A,"&lt;"&amp;$J85+7),0))</f>
        <v/>
      </c>
      <c r="D85" s="14">
        <f>IF($J85="","",IFERROR(COUNTIFS('Weekly Log'!$H:$H,"Y",'Weekly Log'!$A:$A,"&gt;="&amp;$J85,'Weekly Log'!$A:$A,"&lt;"&amp;$J85+7)/COUNTIFS('Weekly Log'!$H:$H,"&lt;&gt;",'Weekly Log'!$A:$A,"&gt;="&amp;$J85,'Weekly Log'!$A:$A,"&lt;"&amp;$J85+7),0))</f>
        <v/>
      </c>
      <c r="E85" s="15">
        <f>IF($J85="","",IFERROR(AVERAGEIFS('Weekly Log'!$F:$F,'Weekly Log'!$A:$A,"&gt;="&amp;$J85,'Weekly Log'!$A:$A,"&lt;"&amp;$J85+7),0))</f>
        <v/>
      </c>
      <c r="F85" s="14">
        <f>IF($J85="","",IFERROR(SUMIFS('Weekly Log'!$F:$F,'Weekly Log'!$A:$A,"&gt;="&amp;$J85,'Weekly Log'!$A:$A,"&lt;"&amp;$J85+7)/SUMIFS('Weekly Log'!$E:$E,'Weekly Log'!$A:$A,"&gt;="&amp;$J85,'Weekly Log'!$A:$A,"&lt;"&amp;$J85+7),0))</f>
        <v/>
      </c>
      <c r="G85" s="13">
        <f>IF($J85="","",IFERROR(LOOKUP(2,1/(('Weekly Log'!$A$5:$A$5000&gt;=$J85)*('Weekly Log'!$A$5:$A$5000&lt;$J85+7)*('Weekly Log'!$M$5:$M$5000&lt;&gt;"")),'Weekly Log'!$M$5:$M$5000),0))</f>
        <v/>
      </c>
      <c r="H85" s="12" t="n"/>
      <c r="J85">
        <f>IF(COUNT('Weekly Log'!$A$5:$A$5000)=0,"",IF(MIN('Weekly Log'!$A$5:$A$5000)+7*(ROW()-10)&gt;MAX('Weekly Log'!$A$5:$A$5000),"",MIN('Weekly Log'!$A$5:$A$5000)+7*(ROW()-10)))</f>
        <v/>
      </c>
    </row>
    <row r="86">
      <c r="A86" s="12">
        <f>IF($J86="","",YEAR($J86-WEEKDAY($J86,2)+4)&amp;"-W"&amp;TEXT(WEEKNUM($J86,21),"00"))</f>
        <v/>
      </c>
      <c r="B86" s="13">
        <f>IF($J86="","",SUMIFS('Weekly Log'!$C:$C,'Weekly Log'!$A:$A,"&gt;="&amp;$J86,'Weekly Log'!$A:$A,"&lt;"&amp;$J86+7))</f>
        <v/>
      </c>
      <c r="C86" s="14">
        <f>IF($J86="","",IFERROR(COUNTIFS('Weekly Log'!$G:$G,"Y",'Weekly Log'!$A:$A,"&gt;="&amp;$J86,'Weekly Log'!$A:$A,"&lt;"&amp;$J86+7)/COUNTIFS('Weekly Log'!$G:$G,"&lt;&gt;",'Weekly Log'!$A:$A,"&gt;="&amp;$J86,'Weekly Log'!$A:$A,"&lt;"&amp;$J86+7),0))</f>
        <v/>
      </c>
      <c r="D86" s="14">
        <f>IF($J86="","",IFERROR(COUNTIFS('Weekly Log'!$H:$H,"Y",'Weekly Log'!$A:$A,"&gt;="&amp;$J86,'Weekly Log'!$A:$A,"&lt;"&amp;$J86+7)/COUNTIFS('Weekly Log'!$H:$H,"&lt;&gt;",'Weekly Log'!$A:$A,"&gt;="&amp;$J86,'Weekly Log'!$A:$A,"&lt;"&amp;$J86+7),0))</f>
        <v/>
      </c>
      <c r="E86" s="15">
        <f>IF($J86="","",IFERROR(AVERAGEIFS('Weekly Log'!$F:$F,'Weekly Log'!$A:$A,"&gt;="&amp;$J86,'Weekly Log'!$A:$A,"&lt;"&amp;$J86+7),0))</f>
        <v/>
      </c>
      <c r="F86" s="14">
        <f>IF($J86="","",IFERROR(SUMIFS('Weekly Log'!$F:$F,'Weekly Log'!$A:$A,"&gt;="&amp;$J86,'Weekly Log'!$A:$A,"&lt;"&amp;$J86+7)/SUMIFS('Weekly Log'!$E:$E,'Weekly Log'!$A:$A,"&gt;="&amp;$J86,'Weekly Log'!$A:$A,"&lt;"&amp;$J86+7),0))</f>
        <v/>
      </c>
      <c r="G86" s="13">
        <f>IF($J86="","",IFERROR(LOOKUP(2,1/(('Weekly Log'!$A$5:$A$5000&gt;=$J86)*('Weekly Log'!$A$5:$A$5000&lt;$J86+7)*('Weekly Log'!$M$5:$M$5000&lt;&gt;"")),'Weekly Log'!$M$5:$M$5000),0))</f>
        <v/>
      </c>
      <c r="H86" s="12" t="n"/>
      <c r="J86">
        <f>IF(COUNT('Weekly Log'!$A$5:$A$5000)=0,"",IF(MIN('Weekly Log'!$A$5:$A$5000)+7*(ROW()-10)&gt;MAX('Weekly Log'!$A$5:$A$5000),"",MIN('Weekly Log'!$A$5:$A$5000)+7*(ROW()-10)))</f>
        <v/>
      </c>
    </row>
    <row r="87">
      <c r="A87" s="12">
        <f>IF($J87="","",YEAR($J87-WEEKDAY($J87,2)+4)&amp;"-W"&amp;TEXT(WEEKNUM($J87,21),"00"))</f>
        <v/>
      </c>
      <c r="B87" s="13">
        <f>IF($J87="","",SUMIFS('Weekly Log'!$C:$C,'Weekly Log'!$A:$A,"&gt;="&amp;$J87,'Weekly Log'!$A:$A,"&lt;"&amp;$J87+7))</f>
        <v/>
      </c>
      <c r="C87" s="14">
        <f>IF($J87="","",IFERROR(COUNTIFS('Weekly Log'!$G:$G,"Y",'Weekly Log'!$A:$A,"&gt;="&amp;$J87,'Weekly Log'!$A:$A,"&lt;"&amp;$J87+7)/COUNTIFS('Weekly Log'!$G:$G,"&lt;&gt;",'Weekly Log'!$A:$A,"&gt;="&amp;$J87,'Weekly Log'!$A:$A,"&lt;"&amp;$J87+7),0))</f>
        <v/>
      </c>
      <c r="D87" s="14">
        <f>IF($J87="","",IFERROR(COUNTIFS('Weekly Log'!$H:$H,"Y",'Weekly Log'!$A:$A,"&gt;="&amp;$J87,'Weekly Log'!$A:$A,"&lt;"&amp;$J87+7)/COUNTIFS('Weekly Log'!$H:$H,"&lt;&gt;",'Weekly Log'!$A:$A,"&gt;="&amp;$J87,'Weekly Log'!$A:$A,"&lt;"&amp;$J87+7),0))</f>
        <v/>
      </c>
      <c r="E87" s="15">
        <f>IF($J87="","",IFERROR(AVERAGEIFS('Weekly Log'!$F:$F,'Weekly Log'!$A:$A,"&gt;="&amp;$J87,'Weekly Log'!$A:$A,"&lt;"&amp;$J87+7),0))</f>
        <v/>
      </c>
      <c r="F87" s="14">
        <f>IF($J87="","",IFERROR(SUMIFS('Weekly Log'!$F:$F,'Weekly Log'!$A:$A,"&gt;="&amp;$J87,'Weekly Log'!$A:$A,"&lt;"&amp;$J87+7)/SUMIFS('Weekly Log'!$E:$E,'Weekly Log'!$A:$A,"&gt;="&amp;$J87,'Weekly Log'!$A:$A,"&lt;"&amp;$J87+7),0))</f>
        <v/>
      </c>
      <c r="G87" s="13">
        <f>IF($J87="","",IFERROR(LOOKUP(2,1/(('Weekly Log'!$A$5:$A$5000&gt;=$J87)*('Weekly Log'!$A$5:$A$5000&lt;$J87+7)*('Weekly Log'!$M$5:$M$5000&lt;&gt;"")),'Weekly Log'!$M$5:$M$5000),0))</f>
        <v/>
      </c>
      <c r="H87" s="12" t="n"/>
      <c r="J87">
        <f>IF(COUNT('Weekly Log'!$A$5:$A$5000)=0,"",IF(MIN('Weekly Log'!$A$5:$A$5000)+7*(ROW()-10)&gt;MAX('Weekly Log'!$A$5:$A$5000),"",MIN('Weekly Log'!$A$5:$A$5000)+7*(ROW()-10)))</f>
        <v/>
      </c>
    </row>
    <row r="88">
      <c r="A88" s="12">
        <f>IF($J88="","",YEAR($J88-WEEKDAY($J88,2)+4)&amp;"-W"&amp;TEXT(WEEKNUM($J88,21),"00"))</f>
        <v/>
      </c>
      <c r="B88" s="13">
        <f>IF($J88="","",SUMIFS('Weekly Log'!$C:$C,'Weekly Log'!$A:$A,"&gt;="&amp;$J88,'Weekly Log'!$A:$A,"&lt;"&amp;$J88+7))</f>
        <v/>
      </c>
      <c r="C88" s="14">
        <f>IF($J88="","",IFERROR(COUNTIFS('Weekly Log'!$G:$G,"Y",'Weekly Log'!$A:$A,"&gt;="&amp;$J88,'Weekly Log'!$A:$A,"&lt;"&amp;$J88+7)/COUNTIFS('Weekly Log'!$G:$G,"&lt;&gt;",'Weekly Log'!$A:$A,"&gt;="&amp;$J88,'Weekly Log'!$A:$A,"&lt;"&amp;$J88+7),0))</f>
        <v/>
      </c>
      <c r="D88" s="14">
        <f>IF($J88="","",IFERROR(COUNTIFS('Weekly Log'!$H:$H,"Y",'Weekly Log'!$A:$A,"&gt;="&amp;$J88,'Weekly Log'!$A:$A,"&lt;"&amp;$J88+7)/COUNTIFS('Weekly Log'!$H:$H,"&lt;&gt;",'Weekly Log'!$A:$A,"&gt;="&amp;$J88,'Weekly Log'!$A:$A,"&lt;"&amp;$J88+7),0))</f>
        <v/>
      </c>
      <c r="E88" s="15">
        <f>IF($J88="","",IFERROR(AVERAGEIFS('Weekly Log'!$F:$F,'Weekly Log'!$A:$A,"&gt;="&amp;$J88,'Weekly Log'!$A:$A,"&lt;"&amp;$J88+7),0))</f>
        <v/>
      </c>
      <c r="F88" s="14">
        <f>IF($J88="","",IFERROR(SUMIFS('Weekly Log'!$F:$F,'Weekly Log'!$A:$A,"&gt;="&amp;$J88,'Weekly Log'!$A:$A,"&lt;"&amp;$J88+7)/SUMIFS('Weekly Log'!$E:$E,'Weekly Log'!$A:$A,"&gt;="&amp;$J88,'Weekly Log'!$A:$A,"&lt;"&amp;$J88+7),0))</f>
        <v/>
      </c>
      <c r="G88" s="13">
        <f>IF($J88="","",IFERROR(LOOKUP(2,1/(('Weekly Log'!$A$5:$A$5000&gt;=$J88)*('Weekly Log'!$A$5:$A$5000&lt;$J88+7)*('Weekly Log'!$M$5:$M$5000&lt;&gt;"")),'Weekly Log'!$M$5:$M$5000),0))</f>
        <v/>
      </c>
      <c r="H88" s="12" t="n"/>
      <c r="J88">
        <f>IF(COUNT('Weekly Log'!$A$5:$A$5000)=0,"",IF(MIN('Weekly Log'!$A$5:$A$5000)+7*(ROW()-10)&gt;MAX('Weekly Log'!$A$5:$A$5000),"",MIN('Weekly Log'!$A$5:$A$5000)+7*(ROW()-10)))</f>
        <v/>
      </c>
    </row>
    <row r="89">
      <c r="A89" s="12">
        <f>IF($J89="","",YEAR($J89-WEEKDAY($J89,2)+4)&amp;"-W"&amp;TEXT(WEEKNUM($J89,21),"00"))</f>
        <v/>
      </c>
      <c r="B89" s="13">
        <f>IF($J89="","",SUMIFS('Weekly Log'!$C:$C,'Weekly Log'!$A:$A,"&gt;="&amp;$J89,'Weekly Log'!$A:$A,"&lt;"&amp;$J89+7))</f>
        <v/>
      </c>
      <c r="C89" s="14">
        <f>IF($J89="","",IFERROR(COUNTIFS('Weekly Log'!$G:$G,"Y",'Weekly Log'!$A:$A,"&gt;="&amp;$J89,'Weekly Log'!$A:$A,"&lt;"&amp;$J89+7)/COUNTIFS('Weekly Log'!$G:$G,"&lt;&gt;",'Weekly Log'!$A:$A,"&gt;="&amp;$J89,'Weekly Log'!$A:$A,"&lt;"&amp;$J89+7),0))</f>
        <v/>
      </c>
      <c r="D89" s="14">
        <f>IF($J89="","",IFERROR(COUNTIFS('Weekly Log'!$H:$H,"Y",'Weekly Log'!$A:$A,"&gt;="&amp;$J89,'Weekly Log'!$A:$A,"&lt;"&amp;$J89+7)/COUNTIFS('Weekly Log'!$H:$H,"&lt;&gt;",'Weekly Log'!$A:$A,"&gt;="&amp;$J89,'Weekly Log'!$A:$A,"&lt;"&amp;$J89+7),0))</f>
        <v/>
      </c>
      <c r="E89" s="15">
        <f>IF($J89="","",IFERROR(AVERAGEIFS('Weekly Log'!$F:$F,'Weekly Log'!$A:$A,"&gt;="&amp;$J89,'Weekly Log'!$A:$A,"&lt;"&amp;$J89+7),0))</f>
        <v/>
      </c>
      <c r="F89" s="14">
        <f>IF($J89="","",IFERROR(SUMIFS('Weekly Log'!$F:$F,'Weekly Log'!$A:$A,"&gt;="&amp;$J89,'Weekly Log'!$A:$A,"&lt;"&amp;$J89+7)/SUMIFS('Weekly Log'!$E:$E,'Weekly Log'!$A:$A,"&gt;="&amp;$J89,'Weekly Log'!$A:$A,"&lt;"&amp;$J89+7),0))</f>
        <v/>
      </c>
      <c r="G89" s="13">
        <f>IF($J89="","",IFERROR(LOOKUP(2,1/(('Weekly Log'!$A$5:$A$5000&gt;=$J89)*('Weekly Log'!$A$5:$A$5000&lt;$J89+7)*('Weekly Log'!$M$5:$M$5000&lt;&gt;"")),'Weekly Log'!$M$5:$M$5000),0))</f>
        <v/>
      </c>
      <c r="H89" s="12" t="n"/>
      <c r="J89">
        <f>IF(COUNT('Weekly Log'!$A$5:$A$5000)=0,"",IF(MIN('Weekly Log'!$A$5:$A$5000)+7*(ROW()-10)&gt;MAX('Weekly Log'!$A$5:$A$5000),"",MIN('Weekly Log'!$A$5:$A$5000)+7*(ROW()-10)))</f>
        <v/>
      </c>
    </row>
    <row r="90">
      <c r="A90" s="12">
        <f>IF($J90="","",YEAR($J90-WEEKDAY($J90,2)+4)&amp;"-W"&amp;TEXT(WEEKNUM($J90,21),"00"))</f>
        <v/>
      </c>
      <c r="B90" s="13">
        <f>IF($J90="","",SUMIFS('Weekly Log'!$C:$C,'Weekly Log'!$A:$A,"&gt;="&amp;$J90,'Weekly Log'!$A:$A,"&lt;"&amp;$J90+7))</f>
        <v/>
      </c>
      <c r="C90" s="14">
        <f>IF($J90="","",IFERROR(COUNTIFS('Weekly Log'!$G:$G,"Y",'Weekly Log'!$A:$A,"&gt;="&amp;$J90,'Weekly Log'!$A:$A,"&lt;"&amp;$J90+7)/COUNTIFS('Weekly Log'!$G:$G,"&lt;&gt;",'Weekly Log'!$A:$A,"&gt;="&amp;$J90,'Weekly Log'!$A:$A,"&lt;"&amp;$J90+7),0))</f>
        <v/>
      </c>
      <c r="D90" s="14">
        <f>IF($J90="","",IFERROR(COUNTIFS('Weekly Log'!$H:$H,"Y",'Weekly Log'!$A:$A,"&gt;="&amp;$J90,'Weekly Log'!$A:$A,"&lt;"&amp;$J90+7)/COUNTIFS('Weekly Log'!$H:$H,"&lt;&gt;",'Weekly Log'!$A:$A,"&gt;="&amp;$J90,'Weekly Log'!$A:$A,"&lt;"&amp;$J90+7),0))</f>
        <v/>
      </c>
      <c r="E90" s="15">
        <f>IF($J90="","",IFERROR(AVERAGEIFS('Weekly Log'!$F:$F,'Weekly Log'!$A:$A,"&gt;="&amp;$J90,'Weekly Log'!$A:$A,"&lt;"&amp;$J90+7),0))</f>
        <v/>
      </c>
      <c r="F90" s="14">
        <f>IF($J90="","",IFERROR(SUMIFS('Weekly Log'!$F:$F,'Weekly Log'!$A:$A,"&gt;="&amp;$J90,'Weekly Log'!$A:$A,"&lt;"&amp;$J90+7)/SUMIFS('Weekly Log'!$E:$E,'Weekly Log'!$A:$A,"&gt;="&amp;$J90,'Weekly Log'!$A:$A,"&lt;"&amp;$J90+7),0))</f>
        <v/>
      </c>
      <c r="G90" s="13">
        <f>IF($J90="","",IFERROR(LOOKUP(2,1/(('Weekly Log'!$A$5:$A$5000&gt;=$J90)*('Weekly Log'!$A$5:$A$5000&lt;$J90+7)*('Weekly Log'!$M$5:$M$5000&lt;&gt;"")),'Weekly Log'!$M$5:$M$5000),0))</f>
        <v/>
      </c>
      <c r="H90" s="12" t="inlineStr">
        <is>
          <t>Seasonal demand spike</t>
        </is>
      </c>
      <c r="J90">
        <f>IF(COUNT('Weekly Log'!$A$5:$A$5000)=0,"",IF(MIN('Weekly Log'!$A$5:$A$5000)+7*(ROW()-10)&gt;MAX('Weekly Log'!$A$5:$A$5000),"",MIN('Weekly Log'!$A$5:$A$5000)+7*(ROW()-10)))</f>
        <v/>
      </c>
    </row>
    <row r="91">
      <c r="A91" s="12">
        <f>IF($J91="","",YEAR($J91-WEEKDAY($J91,2)+4)&amp;"-W"&amp;TEXT(WEEKNUM($J91,21),"00"))</f>
        <v/>
      </c>
      <c r="B91" s="13">
        <f>IF($J91="","",SUMIFS('Weekly Log'!$C:$C,'Weekly Log'!$A:$A,"&gt;="&amp;$J91,'Weekly Log'!$A:$A,"&lt;"&amp;$J91+7))</f>
        <v/>
      </c>
      <c r="C91" s="14">
        <f>IF($J91="","",IFERROR(COUNTIFS('Weekly Log'!$G:$G,"Y",'Weekly Log'!$A:$A,"&gt;="&amp;$J91,'Weekly Log'!$A:$A,"&lt;"&amp;$J91+7)/COUNTIFS('Weekly Log'!$G:$G,"&lt;&gt;",'Weekly Log'!$A:$A,"&gt;="&amp;$J91,'Weekly Log'!$A:$A,"&lt;"&amp;$J91+7),0))</f>
        <v/>
      </c>
      <c r="D91" s="14">
        <f>IF($J91="","",IFERROR(COUNTIFS('Weekly Log'!$H:$H,"Y",'Weekly Log'!$A:$A,"&gt;="&amp;$J91,'Weekly Log'!$A:$A,"&lt;"&amp;$J91+7)/COUNTIFS('Weekly Log'!$H:$H,"&lt;&gt;",'Weekly Log'!$A:$A,"&gt;="&amp;$J91,'Weekly Log'!$A:$A,"&lt;"&amp;$J91+7),0))</f>
        <v/>
      </c>
      <c r="E91" s="15">
        <f>IF($J91="","",IFERROR(AVERAGEIFS('Weekly Log'!$F:$F,'Weekly Log'!$A:$A,"&gt;="&amp;$J91,'Weekly Log'!$A:$A,"&lt;"&amp;$J91+7),0))</f>
        <v/>
      </c>
      <c r="F91" s="14">
        <f>IF($J91="","",IFERROR(SUMIFS('Weekly Log'!$F:$F,'Weekly Log'!$A:$A,"&gt;="&amp;$J91,'Weekly Log'!$A:$A,"&lt;"&amp;$J91+7)/SUMIFS('Weekly Log'!$E:$E,'Weekly Log'!$A:$A,"&gt;="&amp;$J91,'Weekly Log'!$A:$A,"&lt;"&amp;$J91+7),0))</f>
        <v/>
      </c>
      <c r="G91" s="13">
        <f>IF($J91="","",IFERROR(LOOKUP(2,1/(('Weekly Log'!$A$5:$A$5000&gt;=$J91)*('Weekly Log'!$A$5:$A$5000&lt;$J91+7)*('Weekly Log'!$M$5:$M$5000&lt;&gt;"")),'Weekly Log'!$M$5:$M$5000),0))</f>
        <v/>
      </c>
      <c r="H91" s="12" t="n"/>
      <c r="J91">
        <f>IF(COUNT('Weekly Log'!$A$5:$A$5000)=0,"",IF(MIN('Weekly Log'!$A$5:$A$5000)+7*(ROW()-10)&gt;MAX('Weekly Log'!$A$5:$A$5000),"",MIN('Weekly Log'!$A$5:$A$5000)+7*(ROW()-10)))</f>
        <v/>
      </c>
    </row>
    <row r="92">
      <c r="A92" s="12">
        <f>IF($J92="","",YEAR($J92-WEEKDAY($J92,2)+4)&amp;"-W"&amp;TEXT(WEEKNUM($J92,21),"00"))</f>
        <v/>
      </c>
      <c r="B92" s="13">
        <f>IF($J92="","",SUMIFS('Weekly Log'!$C:$C,'Weekly Log'!$A:$A,"&gt;="&amp;$J92,'Weekly Log'!$A:$A,"&lt;"&amp;$J92+7))</f>
        <v/>
      </c>
      <c r="C92" s="14">
        <f>IF($J92="","",IFERROR(COUNTIFS('Weekly Log'!$G:$G,"Y",'Weekly Log'!$A:$A,"&gt;="&amp;$J92,'Weekly Log'!$A:$A,"&lt;"&amp;$J92+7)/COUNTIFS('Weekly Log'!$G:$G,"&lt;&gt;",'Weekly Log'!$A:$A,"&gt;="&amp;$J92,'Weekly Log'!$A:$A,"&lt;"&amp;$J92+7),0))</f>
        <v/>
      </c>
      <c r="D92" s="14">
        <f>IF($J92="","",IFERROR(COUNTIFS('Weekly Log'!$H:$H,"Y",'Weekly Log'!$A:$A,"&gt;="&amp;$J92,'Weekly Log'!$A:$A,"&lt;"&amp;$J92+7)/COUNTIFS('Weekly Log'!$H:$H,"&lt;&gt;",'Weekly Log'!$A:$A,"&gt;="&amp;$J92,'Weekly Log'!$A:$A,"&lt;"&amp;$J92+7),0))</f>
        <v/>
      </c>
      <c r="E92" s="15">
        <f>IF($J92="","",IFERROR(AVERAGEIFS('Weekly Log'!$F:$F,'Weekly Log'!$A:$A,"&gt;="&amp;$J92,'Weekly Log'!$A:$A,"&lt;"&amp;$J92+7),0))</f>
        <v/>
      </c>
      <c r="F92" s="14">
        <f>IF($J92="","",IFERROR(SUMIFS('Weekly Log'!$F:$F,'Weekly Log'!$A:$A,"&gt;="&amp;$J92,'Weekly Log'!$A:$A,"&lt;"&amp;$J92+7)/SUMIFS('Weekly Log'!$E:$E,'Weekly Log'!$A:$A,"&gt;="&amp;$J92,'Weekly Log'!$A:$A,"&lt;"&amp;$J92+7),0))</f>
        <v/>
      </c>
      <c r="G92" s="13">
        <f>IF($J92="","",IFERROR(LOOKUP(2,1/(('Weekly Log'!$A$5:$A$5000&gt;=$J92)*('Weekly Log'!$A$5:$A$5000&lt;$J92+7)*('Weekly Log'!$M$5:$M$5000&lt;&gt;"")),'Weekly Log'!$M$5:$M$5000),0))</f>
        <v/>
      </c>
      <c r="H92" s="12" t="n"/>
      <c r="J92">
        <f>IF(COUNT('Weekly Log'!$A$5:$A$5000)=0,"",IF(MIN('Weekly Log'!$A$5:$A$5000)+7*(ROW()-10)&gt;MAX('Weekly Log'!$A$5:$A$5000),"",MIN('Weekly Log'!$A$5:$A$5000)+7*(ROW()-10)))</f>
        <v/>
      </c>
    </row>
    <row r="93">
      <c r="A93" s="12">
        <f>IF($J93="","",YEAR($J93-WEEKDAY($J93,2)+4)&amp;"-W"&amp;TEXT(WEEKNUM($J93,21),"00"))</f>
        <v/>
      </c>
      <c r="B93" s="13">
        <f>IF($J93="","",SUMIFS('Weekly Log'!$C:$C,'Weekly Log'!$A:$A,"&gt;="&amp;$J93,'Weekly Log'!$A:$A,"&lt;"&amp;$J93+7))</f>
        <v/>
      </c>
      <c r="C93" s="14">
        <f>IF($J93="","",IFERROR(COUNTIFS('Weekly Log'!$G:$G,"Y",'Weekly Log'!$A:$A,"&gt;="&amp;$J93,'Weekly Log'!$A:$A,"&lt;"&amp;$J93+7)/COUNTIFS('Weekly Log'!$G:$G,"&lt;&gt;",'Weekly Log'!$A:$A,"&gt;="&amp;$J93,'Weekly Log'!$A:$A,"&lt;"&amp;$J93+7),0))</f>
        <v/>
      </c>
      <c r="D93" s="14">
        <f>IF($J93="","",IFERROR(COUNTIFS('Weekly Log'!$H:$H,"Y",'Weekly Log'!$A:$A,"&gt;="&amp;$J93,'Weekly Log'!$A:$A,"&lt;"&amp;$J93+7)/COUNTIFS('Weekly Log'!$H:$H,"&lt;&gt;",'Weekly Log'!$A:$A,"&gt;="&amp;$J93,'Weekly Log'!$A:$A,"&lt;"&amp;$J93+7),0))</f>
        <v/>
      </c>
      <c r="E93" s="15">
        <f>IF($J93="","",IFERROR(AVERAGEIFS('Weekly Log'!$F:$F,'Weekly Log'!$A:$A,"&gt;="&amp;$J93,'Weekly Log'!$A:$A,"&lt;"&amp;$J93+7),0))</f>
        <v/>
      </c>
      <c r="F93" s="14">
        <f>IF($J93="","",IFERROR(SUMIFS('Weekly Log'!$F:$F,'Weekly Log'!$A:$A,"&gt;="&amp;$J93,'Weekly Log'!$A:$A,"&lt;"&amp;$J93+7)/SUMIFS('Weekly Log'!$E:$E,'Weekly Log'!$A:$A,"&gt;="&amp;$J93,'Weekly Log'!$A:$A,"&lt;"&amp;$J93+7),0))</f>
        <v/>
      </c>
      <c r="G93" s="13">
        <f>IF($J93="","",IFERROR(LOOKUP(2,1/(('Weekly Log'!$A$5:$A$5000&gt;=$J93)*('Weekly Log'!$A$5:$A$5000&lt;$J93+7)*('Weekly Log'!$M$5:$M$5000&lt;&gt;"")),'Weekly Log'!$M$5:$M$5000),0))</f>
        <v/>
      </c>
      <c r="H93" s="12" t="n"/>
      <c r="J93">
        <f>IF(COUNT('Weekly Log'!$A$5:$A$5000)=0,"",IF(MIN('Weekly Log'!$A$5:$A$5000)+7*(ROW()-10)&gt;MAX('Weekly Log'!$A$5:$A$5000),"",MIN('Weekly Log'!$A$5:$A$5000)+7*(ROW()-10)))</f>
        <v/>
      </c>
    </row>
    <row r="94">
      <c r="A94" s="12">
        <f>IF($J94="","",YEAR($J94-WEEKDAY($J94,2)+4)&amp;"-W"&amp;TEXT(WEEKNUM($J94,21),"00"))</f>
        <v/>
      </c>
      <c r="B94" s="13">
        <f>IF($J94="","",SUMIFS('Weekly Log'!$C:$C,'Weekly Log'!$A:$A,"&gt;="&amp;$J94,'Weekly Log'!$A:$A,"&lt;"&amp;$J94+7))</f>
        <v/>
      </c>
      <c r="C94" s="14">
        <f>IF($J94="","",IFERROR(COUNTIFS('Weekly Log'!$G:$G,"Y",'Weekly Log'!$A:$A,"&gt;="&amp;$J94,'Weekly Log'!$A:$A,"&lt;"&amp;$J94+7)/COUNTIFS('Weekly Log'!$G:$G,"&lt;&gt;",'Weekly Log'!$A:$A,"&gt;="&amp;$J94,'Weekly Log'!$A:$A,"&lt;"&amp;$J94+7),0))</f>
        <v/>
      </c>
      <c r="D94" s="14">
        <f>IF($J94="","",IFERROR(COUNTIFS('Weekly Log'!$H:$H,"Y",'Weekly Log'!$A:$A,"&gt;="&amp;$J94,'Weekly Log'!$A:$A,"&lt;"&amp;$J94+7)/COUNTIFS('Weekly Log'!$H:$H,"&lt;&gt;",'Weekly Log'!$A:$A,"&gt;="&amp;$J94,'Weekly Log'!$A:$A,"&lt;"&amp;$J94+7),0))</f>
        <v/>
      </c>
      <c r="E94" s="15">
        <f>IF($J94="","",IFERROR(AVERAGEIFS('Weekly Log'!$F:$F,'Weekly Log'!$A:$A,"&gt;="&amp;$J94,'Weekly Log'!$A:$A,"&lt;"&amp;$J94+7),0))</f>
        <v/>
      </c>
      <c r="F94" s="14">
        <f>IF($J94="","",IFERROR(SUMIFS('Weekly Log'!$F:$F,'Weekly Log'!$A:$A,"&gt;="&amp;$J94,'Weekly Log'!$A:$A,"&lt;"&amp;$J94+7)/SUMIFS('Weekly Log'!$E:$E,'Weekly Log'!$A:$A,"&gt;="&amp;$J94,'Weekly Log'!$A:$A,"&lt;"&amp;$J94+7),0))</f>
        <v/>
      </c>
      <c r="G94" s="13">
        <f>IF($J94="","",IFERROR(LOOKUP(2,1/(('Weekly Log'!$A$5:$A$5000&gt;=$J94)*('Weekly Log'!$A$5:$A$5000&lt;$J94+7)*('Weekly Log'!$M$5:$M$5000&lt;&gt;"")),'Weekly Log'!$M$5:$M$5000),0))</f>
        <v/>
      </c>
      <c r="H94" s="12" t="n"/>
      <c r="J94">
        <f>IF(COUNT('Weekly Log'!$A$5:$A$5000)=0,"",IF(MIN('Weekly Log'!$A$5:$A$5000)+7*(ROW()-10)&gt;MAX('Weekly Log'!$A$5:$A$5000),"",MIN('Weekly Log'!$A$5:$A$5000)+7*(ROW()-10)))</f>
        <v/>
      </c>
    </row>
    <row r="95">
      <c r="A95">
        <f>IF($J95="","",YEAR($J95-WEEKDAY($J95,2)+4)&amp;"-W"&amp;TEXT(WEEKNUM($J95,21),"00"))</f>
        <v/>
      </c>
      <c r="B95">
        <f>IF($J95="","",SUMIFS('Weekly Log'!$C:$C,'Weekly Log'!$A:$A,"&gt;="&amp;$J95,'Weekly Log'!$A:$A,"&lt;"&amp;$J95+7))</f>
        <v/>
      </c>
      <c r="C95">
        <f>IF($J95="","",IFERROR(COUNTIFS('Weekly Log'!$G:$G,"Y",'Weekly Log'!$A:$A,"&gt;="&amp;$J95,'Weekly Log'!$A:$A,"&lt;"&amp;$J95+7)/COUNTIFS('Weekly Log'!$G:$G,"&lt;&gt;",'Weekly Log'!$A:$A,"&gt;="&amp;$J95,'Weekly Log'!$A:$A,"&lt;"&amp;$J95+7),0))</f>
        <v/>
      </c>
      <c r="D95">
        <f>IF($J95="","",IFERROR(COUNTIFS('Weekly Log'!$H:$H,"Y",'Weekly Log'!$A:$A,"&gt;="&amp;$J95,'Weekly Log'!$A:$A,"&lt;"&amp;$J95+7)/COUNTIFS('Weekly Log'!$H:$H,"&lt;&gt;",'Weekly Log'!$A:$A,"&gt;="&amp;$J95,'Weekly Log'!$A:$A,"&lt;"&amp;$J95+7),0))</f>
        <v/>
      </c>
      <c r="E95">
        <f>IF($J95="","",IFERROR(AVERAGEIFS('Weekly Log'!$F:$F,'Weekly Log'!$A:$A,"&gt;="&amp;$J95,'Weekly Log'!$A:$A,"&lt;"&amp;$J95+7),0))</f>
        <v/>
      </c>
      <c r="F95">
        <f>IF($J95="","",IFERROR(SUMIFS('Weekly Log'!$F:$F,'Weekly Log'!$A:$A,"&gt;="&amp;$J95,'Weekly Log'!$A:$A,"&lt;"&amp;$J95+7)/SUMIFS('Weekly Log'!$E:$E,'Weekly Log'!$A:$A,"&gt;="&amp;$J95,'Weekly Log'!$A:$A,"&lt;"&amp;$J95+7),0))</f>
        <v/>
      </c>
      <c r="G95">
        <f>IF($J95="","",IFERROR(LOOKUP(2,1/(('Weekly Log'!$A$5:$A$5000&gt;=$J95)*('Weekly Log'!$A$5:$A$5000&lt;$J95+7)*('Weekly Log'!$M$5:$M$5000&lt;&gt;"")),'Weekly Log'!$M$5:$M$5000),0))</f>
        <v/>
      </c>
      <c r="J95">
        <f>IF(COUNT('Weekly Log'!$A$5:$A$5000)=0,"",IF(MIN('Weekly Log'!$A$5:$A$5000)+7*(ROW()-10)&gt;MAX('Weekly Log'!$A$5:$A$5000),"",MIN('Weekly Log'!$A$5:$A$5000)+7*(ROW()-10)))</f>
        <v/>
      </c>
    </row>
    <row r="96">
      <c r="A96">
        <f>IF($J96="","",YEAR($J96-WEEKDAY($J96,2)+4)&amp;"-W"&amp;TEXT(WEEKNUM($J96,21),"00"))</f>
        <v/>
      </c>
      <c r="B96">
        <f>IF($J96="","",SUMIFS('Weekly Log'!$C:$C,'Weekly Log'!$A:$A,"&gt;="&amp;$J96,'Weekly Log'!$A:$A,"&lt;"&amp;$J96+7))</f>
        <v/>
      </c>
      <c r="C96">
        <f>IF($J96="","",IFERROR(COUNTIFS('Weekly Log'!$G:$G,"Y",'Weekly Log'!$A:$A,"&gt;="&amp;$J96,'Weekly Log'!$A:$A,"&lt;"&amp;$J96+7)/COUNTIFS('Weekly Log'!$G:$G,"&lt;&gt;",'Weekly Log'!$A:$A,"&gt;="&amp;$J96,'Weekly Log'!$A:$A,"&lt;"&amp;$J96+7),0))</f>
        <v/>
      </c>
      <c r="D96">
        <f>IF($J96="","",IFERROR(COUNTIFS('Weekly Log'!$H:$H,"Y",'Weekly Log'!$A:$A,"&gt;="&amp;$J96,'Weekly Log'!$A:$A,"&lt;"&amp;$J96+7)/COUNTIFS('Weekly Log'!$H:$H,"&lt;&gt;",'Weekly Log'!$A:$A,"&gt;="&amp;$J96,'Weekly Log'!$A:$A,"&lt;"&amp;$J96+7),0))</f>
        <v/>
      </c>
      <c r="E96">
        <f>IF($J96="","",IFERROR(AVERAGEIFS('Weekly Log'!$F:$F,'Weekly Log'!$A:$A,"&gt;="&amp;$J96,'Weekly Log'!$A:$A,"&lt;"&amp;$J96+7),0))</f>
        <v/>
      </c>
      <c r="F96">
        <f>IF($J96="","",IFERROR(SUMIFS('Weekly Log'!$F:$F,'Weekly Log'!$A:$A,"&gt;="&amp;$J96,'Weekly Log'!$A:$A,"&lt;"&amp;$J96+7)/SUMIFS('Weekly Log'!$E:$E,'Weekly Log'!$A:$A,"&gt;="&amp;$J96,'Weekly Log'!$A:$A,"&lt;"&amp;$J96+7),0))</f>
        <v/>
      </c>
      <c r="G96">
        <f>IF($J96="","",IFERROR(LOOKUP(2,1/(('Weekly Log'!$A$5:$A$5000&gt;=$J96)*('Weekly Log'!$A$5:$A$5000&lt;$J96+7)*('Weekly Log'!$M$5:$M$5000&lt;&gt;"")),'Weekly Log'!$M$5:$M$5000),0))</f>
        <v/>
      </c>
      <c r="J96">
        <f>IF(COUNT('Weekly Log'!$A$5:$A$5000)=0,"",IF(MIN('Weekly Log'!$A$5:$A$5000)+7*(ROW()-10)&gt;MAX('Weekly Log'!$A$5:$A$5000),"",MIN('Weekly Log'!$A$5:$A$5000)+7*(ROW()-10)))</f>
        <v/>
      </c>
    </row>
    <row r="97">
      <c r="A97">
        <f>IF($J97="","",YEAR($J97-WEEKDAY($J97,2)+4)&amp;"-W"&amp;TEXT(WEEKNUM($J97,21),"00"))</f>
        <v/>
      </c>
      <c r="B97">
        <f>IF($J97="","",SUMIFS('Weekly Log'!$C:$C,'Weekly Log'!$A:$A,"&gt;="&amp;$J97,'Weekly Log'!$A:$A,"&lt;"&amp;$J97+7))</f>
        <v/>
      </c>
      <c r="C97">
        <f>IF($J97="","",IFERROR(COUNTIFS('Weekly Log'!$G:$G,"Y",'Weekly Log'!$A:$A,"&gt;="&amp;$J97,'Weekly Log'!$A:$A,"&lt;"&amp;$J97+7)/COUNTIFS('Weekly Log'!$G:$G,"&lt;&gt;",'Weekly Log'!$A:$A,"&gt;="&amp;$J97,'Weekly Log'!$A:$A,"&lt;"&amp;$J97+7),0))</f>
        <v/>
      </c>
      <c r="D97">
        <f>IF($J97="","",IFERROR(COUNTIFS('Weekly Log'!$H:$H,"Y",'Weekly Log'!$A:$A,"&gt;="&amp;$J97,'Weekly Log'!$A:$A,"&lt;"&amp;$J97+7)/COUNTIFS('Weekly Log'!$H:$H,"&lt;&gt;",'Weekly Log'!$A:$A,"&gt;="&amp;$J97,'Weekly Log'!$A:$A,"&lt;"&amp;$J97+7),0))</f>
        <v/>
      </c>
      <c r="E97">
        <f>IF($J97="","",IFERROR(AVERAGEIFS('Weekly Log'!$F:$F,'Weekly Log'!$A:$A,"&gt;="&amp;$J97,'Weekly Log'!$A:$A,"&lt;"&amp;$J97+7),0))</f>
        <v/>
      </c>
      <c r="F97">
        <f>IF($J97="","",IFERROR(SUMIFS('Weekly Log'!$F:$F,'Weekly Log'!$A:$A,"&gt;="&amp;$J97,'Weekly Log'!$A:$A,"&lt;"&amp;$J97+7)/SUMIFS('Weekly Log'!$E:$E,'Weekly Log'!$A:$A,"&gt;="&amp;$J97,'Weekly Log'!$A:$A,"&lt;"&amp;$J97+7),0))</f>
        <v/>
      </c>
      <c r="G97">
        <f>IF($J97="","",IFERROR(LOOKUP(2,1/(('Weekly Log'!$A$5:$A$5000&gt;=$J97)*('Weekly Log'!$A$5:$A$5000&lt;$J97+7)*('Weekly Log'!$M$5:$M$5000&lt;&gt;"")),'Weekly Log'!$M$5:$M$5000),0))</f>
        <v/>
      </c>
      <c r="J97">
        <f>IF(COUNT('Weekly Log'!$A$5:$A$5000)=0,"",IF(MIN('Weekly Log'!$A$5:$A$5000)+7*(ROW()-10)&gt;MAX('Weekly Log'!$A$5:$A$5000),"",MIN('Weekly Log'!$A$5:$A$5000)+7*(ROW()-10)))</f>
        <v/>
      </c>
    </row>
    <row r="98">
      <c r="A98">
        <f>IF($J98="","",YEAR($J98-WEEKDAY($J98,2)+4)&amp;"-W"&amp;TEXT(WEEKNUM($J98,21),"00"))</f>
        <v/>
      </c>
      <c r="B98">
        <f>IF($J98="","",SUMIFS('Weekly Log'!$C:$C,'Weekly Log'!$A:$A,"&gt;="&amp;$J98,'Weekly Log'!$A:$A,"&lt;"&amp;$J98+7))</f>
        <v/>
      </c>
      <c r="C98">
        <f>IF($J98="","",IFERROR(COUNTIFS('Weekly Log'!$G:$G,"Y",'Weekly Log'!$A:$A,"&gt;="&amp;$J98,'Weekly Log'!$A:$A,"&lt;"&amp;$J98+7)/COUNTIFS('Weekly Log'!$G:$G,"&lt;&gt;",'Weekly Log'!$A:$A,"&gt;="&amp;$J98,'Weekly Log'!$A:$A,"&lt;"&amp;$J98+7),0))</f>
        <v/>
      </c>
      <c r="D98">
        <f>IF($J98="","",IFERROR(COUNTIFS('Weekly Log'!$H:$H,"Y",'Weekly Log'!$A:$A,"&gt;="&amp;$J98,'Weekly Log'!$A:$A,"&lt;"&amp;$J98+7)/COUNTIFS('Weekly Log'!$H:$H,"&lt;&gt;",'Weekly Log'!$A:$A,"&gt;="&amp;$J98,'Weekly Log'!$A:$A,"&lt;"&amp;$J98+7),0))</f>
        <v/>
      </c>
      <c r="E98">
        <f>IF($J98="","",IFERROR(AVERAGEIFS('Weekly Log'!$F:$F,'Weekly Log'!$A:$A,"&gt;="&amp;$J98,'Weekly Log'!$A:$A,"&lt;"&amp;$J98+7),0))</f>
        <v/>
      </c>
      <c r="F98">
        <f>IF($J98="","",IFERROR(SUMIFS('Weekly Log'!$F:$F,'Weekly Log'!$A:$A,"&gt;="&amp;$J98,'Weekly Log'!$A:$A,"&lt;"&amp;$J98+7)/SUMIFS('Weekly Log'!$E:$E,'Weekly Log'!$A:$A,"&gt;="&amp;$J98,'Weekly Log'!$A:$A,"&lt;"&amp;$J98+7),0))</f>
        <v/>
      </c>
      <c r="G98">
        <f>IF($J98="","",IFERROR(LOOKUP(2,1/(('Weekly Log'!$A$5:$A$5000&gt;=$J98)*('Weekly Log'!$A$5:$A$5000&lt;$J98+7)*('Weekly Log'!$M$5:$M$5000&lt;&gt;"")),'Weekly Log'!$M$5:$M$5000),0))</f>
        <v/>
      </c>
      <c r="J98">
        <f>IF(COUNT('Weekly Log'!$A$5:$A$5000)=0,"",IF(MIN('Weekly Log'!$A$5:$A$5000)+7*(ROW()-10)&gt;MAX('Weekly Log'!$A$5:$A$5000),"",MIN('Weekly Log'!$A$5:$A$5000)+7*(ROW()-10)))</f>
        <v/>
      </c>
    </row>
    <row r="99">
      <c r="A99">
        <f>IF($J99="","",YEAR($J99-WEEKDAY($J99,2)+4)&amp;"-W"&amp;TEXT(WEEKNUM($J99,21),"00"))</f>
        <v/>
      </c>
      <c r="B99">
        <f>IF($J99="","",SUMIFS('Weekly Log'!$C:$C,'Weekly Log'!$A:$A,"&gt;="&amp;$J99,'Weekly Log'!$A:$A,"&lt;"&amp;$J99+7))</f>
        <v/>
      </c>
      <c r="C99">
        <f>IF($J99="","",IFERROR(COUNTIFS('Weekly Log'!$G:$G,"Y",'Weekly Log'!$A:$A,"&gt;="&amp;$J99,'Weekly Log'!$A:$A,"&lt;"&amp;$J99+7)/COUNTIFS('Weekly Log'!$G:$G,"&lt;&gt;",'Weekly Log'!$A:$A,"&gt;="&amp;$J99,'Weekly Log'!$A:$A,"&lt;"&amp;$J99+7),0))</f>
        <v/>
      </c>
      <c r="D99">
        <f>IF($J99="","",IFERROR(COUNTIFS('Weekly Log'!$H:$H,"Y",'Weekly Log'!$A:$A,"&gt;="&amp;$J99,'Weekly Log'!$A:$A,"&lt;"&amp;$J99+7)/COUNTIFS('Weekly Log'!$H:$H,"&lt;&gt;",'Weekly Log'!$A:$A,"&gt;="&amp;$J99,'Weekly Log'!$A:$A,"&lt;"&amp;$J99+7),0))</f>
        <v/>
      </c>
      <c r="E99">
        <f>IF($J99="","",IFERROR(AVERAGEIFS('Weekly Log'!$F:$F,'Weekly Log'!$A:$A,"&gt;="&amp;$J99,'Weekly Log'!$A:$A,"&lt;"&amp;$J99+7),0))</f>
        <v/>
      </c>
      <c r="F99">
        <f>IF($J99="","",IFERROR(SUMIFS('Weekly Log'!$F:$F,'Weekly Log'!$A:$A,"&gt;="&amp;$J99,'Weekly Log'!$A:$A,"&lt;"&amp;$J99+7)/SUMIFS('Weekly Log'!$E:$E,'Weekly Log'!$A:$A,"&gt;="&amp;$J99,'Weekly Log'!$A:$A,"&lt;"&amp;$J99+7),0))</f>
        <v/>
      </c>
      <c r="G99">
        <f>IF($J99="","",IFERROR(LOOKUP(2,1/(('Weekly Log'!$A$5:$A$5000&gt;=$J99)*('Weekly Log'!$A$5:$A$5000&lt;$J99+7)*('Weekly Log'!$M$5:$M$5000&lt;&gt;"")),'Weekly Log'!$M$5:$M$5000),0))</f>
        <v/>
      </c>
      <c r="J99">
        <f>IF(COUNT('Weekly Log'!$A$5:$A$5000)=0,"",IF(MIN('Weekly Log'!$A$5:$A$5000)+7*(ROW()-10)&gt;MAX('Weekly Log'!$A$5:$A$5000),"",MIN('Weekly Log'!$A$5:$A$5000)+7*(ROW()-10)))</f>
        <v/>
      </c>
    </row>
    <row r="100">
      <c r="A100">
        <f>IF($J100="","",YEAR($J100-WEEKDAY($J100,2)+4)&amp;"-W"&amp;TEXT(WEEKNUM($J100,21),"00"))</f>
        <v/>
      </c>
      <c r="B100">
        <f>IF($J100="","",SUMIFS('Weekly Log'!$C:$C,'Weekly Log'!$A:$A,"&gt;="&amp;$J100,'Weekly Log'!$A:$A,"&lt;"&amp;$J100+7))</f>
        <v/>
      </c>
      <c r="C100">
        <f>IF($J100="","",IFERROR(COUNTIFS('Weekly Log'!$G:$G,"Y",'Weekly Log'!$A:$A,"&gt;="&amp;$J100,'Weekly Log'!$A:$A,"&lt;"&amp;$J100+7)/COUNTIFS('Weekly Log'!$G:$G,"&lt;&gt;",'Weekly Log'!$A:$A,"&gt;="&amp;$J100,'Weekly Log'!$A:$A,"&lt;"&amp;$J100+7),0))</f>
        <v/>
      </c>
      <c r="D100">
        <f>IF($J100="","",IFERROR(COUNTIFS('Weekly Log'!$H:$H,"Y",'Weekly Log'!$A:$A,"&gt;="&amp;$J100,'Weekly Log'!$A:$A,"&lt;"&amp;$J100+7)/COUNTIFS('Weekly Log'!$H:$H,"&lt;&gt;",'Weekly Log'!$A:$A,"&gt;="&amp;$J100,'Weekly Log'!$A:$A,"&lt;"&amp;$J100+7),0))</f>
        <v/>
      </c>
      <c r="E100">
        <f>IF($J100="","",IFERROR(AVERAGEIFS('Weekly Log'!$F:$F,'Weekly Log'!$A:$A,"&gt;="&amp;$J100,'Weekly Log'!$A:$A,"&lt;"&amp;$J100+7),0))</f>
        <v/>
      </c>
      <c r="F100">
        <f>IF($J100="","",IFERROR(SUMIFS('Weekly Log'!$F:$F,'Weekly Log'!$A:$A,"&gt;="&amp;$J100,'Weekly Log'!$A:$A,"&lt;"&amp;$J100+7)/SUMIFS('Weekly Log'!$E:$E,'Weekly Log'!$A:$A,"&gt;="&amp;$J100,'Weekly Log'!$A:$A,"&lt;"&amp;$J100+7),0))</f>
        <v/>
      </c>
      <c r="G100">
        <f>IF($J100="","",IFERROR(LOOKUP(2,1/(('Weekly Log'!$A$5:$A$5000&gt;=$J100)*('Weekly Log'!$A$5:$A$5000&lt;$J100+7)*('Weekly Log'!$M$5:$M$5000&lt;&gt;"")),'Weekly Log'!$M$5:$M$5000),0))</f>
        <v/>
      </c>
      <c r="J100">
        <f>IF(COUNT('Weekly Log'!$A$5:$A$5000)=0,"",IF(MIN('Weekly Log'!$A$5:$A$5000)+7*(ROW()-10)&gt;MAX('Weekly Log'!$A$5:$A$5000),"",MIN('Weekly Log'!$A$5:$A$5000)+7*(ROW()-10)))</f>
        <v/>
      </c>
    </row>
    <row r="101">
      <c r="A101">
        <f>IF($J101="","",YEAR($J101-WEEKDAY($J101,2)+4)&amp;"-W"&amp;TEXT(WEEKNUM($J101,21),"00"))</f>
        <v/>
      </c>
      <c r="B101">
        <f>IF($J101="","",SUMIFS('Weekly Log'!$C:$C,'Weekly Log'!$A:$A,"&gt;="&amp;$J101,'Weekly Log'!$A:$A,"&lt;"&amp;$J101+7))</f>
        <v/>
      </c>
      <c r="C101">
        <f>IF($J101="","",IFERROR(COUNTIFS('Weekly Log'!$G:$G,"Y",'Weekly Log'!$A:$A,"&gt;="&amp;$J101,'Weekly Log'!$A:$A,"&lt;"&amp;$J101+7)/COUNTIFS('Weekly Log'!$G:$G,"&lt;&gt;",'Weekly Log'!$A:$A,"&gt;="&amp;$J101,'Weekly Log'!$A:$A,"&lt;"&amp;$J101+7),0))</f>
        <v/>
      </c>
      <c r="D101">
        <f>IF($J101="","",IFERROR(COUNTIFS('Weekly Log'!$H:$H,"Y",'Weekly Log'!$A:$A,"&gt;="&amp;$J101,'Weekly Log'!$A:$A,"&lt;"&amp;$J101+7)/COUNTIFS('Weekly Log'!$H:$H,"&lt;&gt;",'Weekly Log'!$A:$A,"&gt;="&amp;$J101,'Weekly Log'!$A:$A,"&lt;"&amp;$J101+7),0))</f>
        <v/>
      </c>
      <c r="E101">
        <f>IF($J101="","",IFERROR(AVERAGEIFS('Weekly Log'!$F:$F,'Weekly Log'!$A:$A,"&gt;="&amp;$J101,'Weekly Log'!$A:$A,"&lt;"&amp;$J101+7),0))</f>
        <v/>
      </c>
      <c r="F101">
        <f>IF($J101="","",IFERROR(SUMIFS('Weekly Log'!$F:$F,'Weekly Log'!$A:$A,"&gt;="&amp;$J101,'Weekly Log'!$A:$A,"&lt;"&amp;$J101+7)/SUMIFS('Weekly Log'!$E:$E,'Weekly Log'!$A:$A,"&gt;="&amp;$J101,'Weekly Log'!$A:$A,"&lt;"&amp;$J101+7),0))</f>
        <v/>
      </c>
      <c r="G101">
        <f>IF($J101="","",IFERROR(LOOKUP(2,1/(('Weekly Log'!$A$5:$A$5000&gt;=$J101)*('Weekly Log'!$A$5:$A$5000&lt;$J101+7)*('Weekly Log'!$M$5:$M$5000&lt;&gt;"")),'Weekly Log'!$M$5:$M$5000),0))</f>
        <v/>
      </c>
      <c r="J101">
        <f>IF(COUNT('Weekly Log'!$A$5:$A$5000)=0,"",IF(MIN('Weekly Log'!$A$5:$A$5000)+7*(ROW()-10)&gt;MAX('Weekly Log'!$A$5:$A$5000),"",MIN('Weekly Log'!$A$5:$A$5000)+7*(ROW()-10)))</f>
        <v/>
      </c>
    </row>
    <row r="102">
      <c r="A102">
        <f>IF($J102="","",YEAR($J102-WEEKDAY($J102,2)+4)&amp;"-W"&amp;TEXT(WEEKNUM($J102,21),"00"))</f>
        <v/>
      </c>
      <c r="B102">
        <f>IF($J102="","",SUMIFS('Weekly Log'!$C:$C,'Weekly Log'!$A:$A,"&gt;="&amp;$J102,'Weekly Log'!$A:$A,"&lt;"&amp;$J102+7))</f>
        <v/>
      </c>
      <c r="C102">
        <f>IF($J102="","",IFERROR(COUNTIFS('Weekly Log'!$G:$G,"Y",'Weekly Log'!$A:$A,"&gt;="&amp;$J102,'Weekly Log'!$A:$A,"&lt;"&amp;$J102+7)/COUNTIFS('Weekly Log'!$G:$G,"&lt;&gt;",'Weekly Log'!$A:$A,"&gt;="&amp;$J102,'Weekly Log'!$A:$A,"&lt;"&amp;$J102+7),0))</f>
        <v/>
      </c>
      <c r="D102">
        <f>IF($J102="","",IFERROR(COUNTIFS('Weekly Log'!$H:$H,"Y",'Weekly Log'!$A:$A,"&gt;="&amp;$J102,'Weekly Log'!$A:$A,"&lt;"&amp;$J102+7)/COUNTIFS('Weekly Log'!$H:$H,"&lt;&gt;",'Weekly Log'!$A:$A,"&gt;="&amp;$J102,'Weekly Log'!$A:$A,"&lt;"&amp;$J102+7),0))</f>
        <v/>
      </c>
      <c r="E102">
        <f>IF($J102="","",IFERROR(AVERAGEIFS('Weekly Log'!$F:$F,'Weekly Log'!$A:$A,"&gt;="&amp;$J102,'Weekly Log'!$A:$A,"&lt;"&amp;$J102+7),0))</f>
        <v/>
      </c>
      <c r="F102">
        <f>IF($J102="","",IFERROR(SUMIFS('Weekly Log'!$F:$F,'Weekly Log'!$A:$A,"&gt;="&amp;$J102,'Weekly Log'!$A:$A,"&lt;"&amp;$J102+7)/SUMIFS('Weekly Log'!$E:$E,'Weekly Log'!$A:$A,"&gt;="&amp;$J102,'Weekly Log'!$A:$A,"&lt;"&amp;$J102+7),0))</f>
        <v/>
      </c>
      <c r="G102">
        <f>IF($J102="","",IFERROR(LOOKUP(2,1/(('Weekly Log'!$A$5:$A$5000&gt;=$J102)*('Weekly Log'!$A$5:$A$5000&lt;$J102+7)*('Weekly Log'!$M$5:$M$5000&lt;&gt;"")),'Weekly Log'!$M$5:$M$5000),0))</f>
        <v/>
      </c>
      <c r="J102">
        <f>IF(COUNT('Weekly Log'!$A$5:$A$5000)=0,"",IF(MIN('Weekly Log'!$A$5:$A$5000)+7*(ROW()-10)&gt;MAX('Weekly Log'!$A$5:$A$5000),"",MIN('Weekly Log'!$A$5:$A$5000)+7*(ROW()-10)))</f>
        <v/>
      </c>
    </row>
    <row r="103">
      <c r="A103">
        <f>IF($J103="","",YEAR($J103-WEEKDAY($J103,2)+4)&amp;"-W"&amp;TEXT(WEEKNUM($J103,21),"00"))</f>
        <v/>
      </c>
      <c r="B103">
        <f>IF($J103="","",SUMIFS('Weekly Log'!$C:$C,'Weekly Log'!$A:$A,"&gt;="&amp;$J103,'Weekly Log'!$A:$A,"&lt;"&amp;$J103+7))</f>
        <v/>
      </c>
      <c r="C103">
        <f>IF($J103="","",IFERROR(COUNTIFS('Weekly Log'!$G:$G,"Y",'Weekly Log'!$A:$A,"&gt;="&amp;$J103,'Weekly Log'!$A:$A,"&lt;"&amp;$J103+7)/COUNTIFS('Weekly Log'!$G:$G,"&lt;&gt;",'Weekly Log'!$A:$A,"&gt;="&amp;$J103,'Weekly Log'!$A:$A,"&lt;"&amp;$J103+7),0))</f>
        <v/>
      </c>
      <c r="D103">
        <f>IF($J103="","",IFERROR(COUNTIFS('Weekly Log'!$H:$H,"Y",'Weekly Log'!$A:$A,"&gt;="&amp;$J103,'Weekly Log'!$A:$A,"&lt;"&amp;$J103+7)/COUNTIFS('Weekly Log'!$H:$H,"&lt;&gt;",'Weekly Log'!$A:$A,"&gt;="&amp;$J103,'Weekly Log'!$A:$A,"&lt;"&amp;$J103+7),0))</f>
        <v/>
      </c>
      <c r="E103">
        <f>IF($J103="","",IFERROR(AVERAGEIFS('Weekly Log'!$F:$F,'Weekly Log'!$A:$A,"&gt;="&amp;$J103,'Weekly Log'!$A:$A,"&lt;"&amp;$J103+7),0))</f>
        <v/>
      </c>
      <c r="F103">
        <f>IF($J103="","",IFERROR(SUMIFS('Weekly Log'!$F:$F,'Weekly Log'!$A:$A,"&gt;="&amp;$J103,'Weekly Log'!$A:$A,"&lt;"&amp;$J103+7)/SUMIFS('Weekly Log'!$E:$E,'Weekly Log'!$A:$A,"&gt;="&amp;$J103,'Weekly Log'!$A:$A,"&lt;"&amp;$J103+7),0))</f>
        <v/>
      </c>
      <c r="G103">
        <f>IF($J103="","",IFERROR(LOOKUP(2,1/(('Weekly Log'!$A$5:$A$5000&gt;=$J103)*('Weekly Log'!$A$5:$A$5000&lt;$J103+7)*('Weekly Log'!$M$5:$M$5000&lt;&gt;"")),'Weekly Log'!$M$5:$M$5000),0))</f>
        <v/>
      </c>
      <c r="J103">
        <f>IF(COUNT('Weekly Log'!$A$5:$A$5000)=0,"",IF(MIN('Weekly Log'!$A$5:$A$5000)+7*(ROW()-10)&gt;MAX('Weekly Log'!$A$5:$A$5000),"",MIN('Weekly Log'!$A$5:$A$5000)+7*(ROW()-10)))</f>
        <v/>
      </c>
    </row>
    <row r="104">
      <c r="A104">
        <f>IF($J104="","",YEAR($J104-WEEKDAY($J104,2)+4)&amp;"-W"&amp;TEXT(WEEKNUM($J104,21),"00"))</f>
        <v/>
      </c>
      <c r="B104">
        <f>IF($J104="","",SUMIFS('Weekly Log'!$C:$C,'Weekly Log'!$A:$A,"&gt;="&amp;$J104,'Weekly Log'!$A:$A,"&lt;"&amp;$J104+7))</f>
        <v/>
      </c>
      <c r="C104">
        <f>IF($J104="","",IFERROR(COUNTIFS('Weekly Log'!$G:$G,"Y",'Weekly Log'!$A:$A,"&gt;="&amp;$J104,'Weekly Log'!$A:$A,"&lt;"&amp;$J104+7)/COUNTIFS('Weekly Log'!$G:$G,"&lt;&gt;",'Weekly Log'!$A:$A,"&gt;="&amp;$J104,'Weekly Log'!$A:$A,"&lt;"&amp;$J104+7),0))</f>
        <v/>
      </c>
      <c r="D104">
        <f>IF($J104="","",IFERROR(COUNTIFS('Weekly Log'!$H:$H,"Y",'Weekly Log'!$A:$A,"&gt;="&amp;$J104,'Weekly Log'!$A:$A,"&lt;"&amp;$J104+7)/COUNTIFS('Weekly Log'!$H:$H,"&lt;&gt;",'Weekly Log'!$A:$A,"&gt;="&amp;$J104,'Weekly Log'!$A:$A,"&lt;"&amp;$J104+7),0))</f>
        <v/>
      </c>
      <c r="E104">
        <f>IF($J104="","",IFERROR(AVERAGEIFS('Weekly Log'!$F:$F,'Weekly Log'!$A:$A,"&gt;="&amp;$J104,'Weekly Log'!$A:$A,"&lt;"&amp;$J104+7),0))</f>
        <v/>
      </c>
      <c r="F104">
        <f>IF($J104="","",IFERROR(SUMIFS('Weekly Log'!$F:$F,'Weekly Log'!$A:$A,"&gt;="&amp;$J104,'Weekly Log'!$A:$A,"&lt;"&amp;$J104+7)/SUMIFS('Weekly Log'!$E:$E,'Weekly Log'!$A:$A,"&gt;="&amp;$J104,'Weekly Log'!$A:$A,"&lt;"&amp;$J104+7),0))</f>
        <v/>
      </c>
      <c r="G104">
        <f>IF($J104="","",IFERROR(LOOKUP(2,1/(('Weekly Log'!$A$5:$A$5000&gt;=$J104)*('Weekly Log'!$A$5:$A$5000&lt;$J104+7)*('Weekly Log'!$M$5:$M$5000&lt;&gt;"")),'Weekly Log'!$M$5:$M$5000),0))</f>
        <v/>
      </c>
      <c r="J104">
        <f>IF(COUNT('Weekly Log'!$A$5:$A$5000)=0,"",IF(MIN('Weekly Log'!$A$5:$A$5000)+7*(ROW()-10)&gt;MAX('Weekly Log'!$A$5:$A$5000),"",MIN('Weekly Log'!$A$5:$A$5000)+7*(ROW()-10)))</f>
        <v/>
      </c>
    </row>
    <row r="105">
      <c r="A105">
        <f>IF($J105="","",YEAR($J105-WEEKDAY($J105,2)+4)&amp;"-W"&amp;TEXT(WEEKNUM($J105,21),"00"))</f>
        <v/>
      </c>
      <c r="B105">
        <f>IF($J105="","",SUMIFS('Weekly Log'!$C:$C,'Weekly Log'!$A:$A,"&gt;="&amp;$J105,'Weekly Log'!$A:$A,"&lt;"&amp;$J105+7))</f>
        <v/>
      </c>
      <c r="C105">
        <f>IF($J105="","",IFERROR(COUNTIFS('Weekly Log'!$G:$G,"Y",'Weekly Log'!$A:$A,"&gt;="&amp;$J105,'Weekly Log'!$A:$A,"&lt;"&amp;$J105+7)/COUNTIFS('Weekly Log'!$G:$G,"&lt;&gt;",'Weekly Log'!$A:$A,"&gt;="&amp;$J105,'Weekly Log'!$A:$A,"&lt;"&amp;$J105+7),0))</f>
        <v/>
      </c>
      <c r="D105">
        <f>IF($J105="","",IFERROR(COUNTIFS('Weekly Log'!$H:$H,"Y",'Weekly Log'!$A:$A,"&gt;="&amp;$J105,'Weekly Log'!$A:$A,"&lt;"&amp;$J105+7)/COUNTIFS('Weekly Log'!$H:$H,"&lt;&gt;",'Weekly Log'!$A:$A,"&gt;="&amp;$J105,'Weekly Log'!$A:$A,"&lt;"&amp;$J105+7),0))</f>
        <v/>
      </c>
      <c r="E105">
        <f>IF($J105="","",IFERROR(AVERAGEIFS('Weekly Log'!$F:$F,'Weekly Log'!$A:$A,"&gt;="&amp;$J105,'Weekly Log'!$A:$A,"&lt;"&amp;$J105+7),0))</f>
        <v/>
      </c>
      <c r="F105">
        <f>IF($J105="","",IFERROR(SUMIFS('Weekly Log'!$F:$F,'Weekly Log'!$A:$A,"&gt;="&amp;$J105,'Weekly Log'!$A:$A,"&lt;"&amp;$J105+7)/SUMIFS('Weekly Log'!$E:$E,'Weekly Log'!$A:$A,"&gt;="&amp;$J105,'Weekly Log'!$A:$A,"&lt;"&amp;$J105+7),0))</f>
        <v/>
      </c>
      <c r="G105">
        <f>IF($J105="","",IFERROR(LOOKUP(2,1/(('Weekly Log'!$A$5:$A$5000&gt;=$J105)*('Weekly Log'!$A$5:$A$5000&lt;$J105+7)*('Weekly Log'!$M$5:$M$5000&lt;&gt;"")),'Weekly Log'!$M$5:$M$5000),0))</f>
        <v/>
      </c>
      <c r="J105">
        <f>IF(COUNT('Weekly Log'!$A$5:$A$5000)=0,"",IF(MIN('Weekly Log'!$A$5:$A$5000)+7*(ROW()-10)&gt;MAX('Weekly Log'!$A$5:$A$5000),"",MIN('Weekly Log'!$A$5:$A$5000)+7*(ROW()-10)))</f>
        <v/>
      </c>
    </row>
    <row r="106">
      <c r="A106">
        <f>IF($J106="","",YEAR($J106-WEEKDAY($J106,2)+4)&amp;"-W"&amp;TEXT(WEEKNUM($J106,21),"00"))</f>
        <v/>
      </c>
      <c r="B106">
        <f>IF($J106="","",SUMIFS('Weekly Log'!$C:$C,'Weekly Log'!$A:$A,"&gt;="&amp;$J106,'Weekly Log'!$A:$A,"&lt;"&amp;$J106+7))</f>
        <v/>
      </c>
      <c r="C106">
        <f>IF($J106="","",IFERROR(COUNTIFS('Weekly Log'!$G:$G,"Y",'Weekly Log'!$A:$A,"&gt;="&amp;$J106,'Weekly Log'!$A:$A,"&lt;"&amp;$J106+7)/COUNTIFS('Weekly Log'!$G:$G,"&lt;&gt;",'Weekly Log'!$A:$A,"&gt;="&amp;$J106,'Weekly Log'!$A:$A,"&lt;"&amp;$J106+7),0))</f>
        <v/>
      </c>
      <c r="D106">
        <f>IF($J106="","",IFERROR(COUNTIFS('Weekly Log'!$H:$H,"Y",'Weekly Log'!$A:$A,"&gt;="&amp;$J106,'Weekly Log'!$A:$A,"&lt;"&amp;$J106+7)/COUNTIFS('Weekly Log'!$H:$H,"&lt;&gt;",'Weekly Log'!$A:$A,"&gt;="&amp;$J106,'Weekly Log'!$A:$A,"&lt;"&amp;$J106+7),0))</f>
        <v/>
      </c>
      <c r="E106">
        <f>IF($J106="","",IFERROR(AVERAGEIFS('Weekly Log'!$F:$F,'Weekly Log'!$A:$A,"&gt;="&amp;$J106,'Weekly Log'!$A:$A,"&lt;"&amp;$J106+7),0))</f>
        <v/>
      </c>
      <c r="F106">
        <f>IF($J106="","",IFERROR(SUMIFS('Weekly Log'!$F:$F,'Weekly Log'!$A:$A,"&gt;="&amp;$J106,'Weekly Log'!$A:$A,"&lt;"&amp;$J106+7)/SUMIFS('Weekly Log'!$E:$E,'Weekly Log'!$A:$A,"&gt;="&amp;$J106,'Weekly Log'!$A:$A,"&lt;"&amp;$J106+7),0))</f>
        <v/>
      </c>
      <c r="G106">
        <f>IF($J106="","",IFERROR(LOOKUP(2,1/(('Weekly Log'!$A$5:$A$5000&gt;=$J106)*('Weekly Log'!$A$5:$A$5000&lt;$J106+7)*('Weekly Log'!$M$5:$M$5000&lt;&gt;"")),'Weekly Log'!$M$5:$M$5000),0))</f>
        <v/>
      </c>
      <c r="J106">
        <f>IF(COUNT('Weekly Log'!$A$5:$A$5000)=0,"",IF(MIN('Weekly Log'!$A$5:$A$5000)+7*(ROW()-10)&gt;MAX('Weekly Log'!$A$5:$A$5000),"",MIN('Weekly Log'!$A$5:$A$5000)+7*(ROW()-10)))</f>
        <v/>
      </c>
    </row>
    <row r="107">
      <c r="A107">
        <f>IF($J107="","",YEAR($J107-WEEKDAY($J107,2)+4)&amp;"-W"&amp;TEXT(WEEKNUM($J107,21),"00"))</f>
        <v/>
      </c>
      <c r="B107">
        <f>IF($J107="","",SUMIFS('Weekly Log'!$C:$C,'Weekly Log'!$A:$A,"&gt;="&amp;$J107,'Weekly Log'!$A:$A,"&lt;"&amp;$J107+7))</f>
        <v/>
      </c>
      <c r="C107">
        <f>IF($J107="","",IFERROR(COUNTIFS('Weekly Log'!$G:$G,"Y",'Weekly Log'!$A:$A,"&gt;="&amp;$J107,'Weekly Log'!$A:$A,"&lt;"&amp;$J107+7)/COUNTIFS('Weekly Log'!$G:$G,"&lt;&gt;",'Weekly Log'!$A:$A,"&gt;="&amp;$J107,'Weekly Log'!$A:$A,"&lt;"&amp;$J107+7),0))</f>
        <v/>
      </c>
      <c r="D107">
        <f>IF($J107="","",IFERROR(COUNTIFS('Weekly Log'!$H:$H,"Y",'Weekly Log'!$A:$A,"&gt;="&amp;$J107,'Weekly Log'!$A:$A,"&lt;"&amp;$J107+7)/COUNTIFS('Weekly Log'!$H:$H,"&lt;&gt;",'Weekly Log'!$A:$A,"&gt;="&amp;$J107,'Weekly Log'!$A:$A,"&lt;"&amp;$J107+7),0))</f>
        <v/>
      </c>
      <c r="E107">
        <f>IF($J107="","",IFERROR(AVERAGEIFS('Weekly Log'!$F:$F,'Weekly Log'!$A:$A,"&gt;="&amp;$J107,'Weekly Log'!$A:$A,"&lt;"&amp;$J107+7),0))</f>
        <v/>
      </c>
      <c r="F107">
        <f>IF($J107="","",IFERROR(SUMIFS('Weekly Log'!$F:$F,'Weekly Log'!$A:$A,"&gt;="&amp;$J107,'Weekly Log'!$A:$A,"&lt;"&amp;$J107+7)/SUMIFS('Weekly Log'!$E:$E,'Weekly Log'!$A:$A,"&gt;="&amp;$J107,'Weekly Log'!$A:$A,"&lt;"&amp;$J107+7),0))</f>
        <v/>
      </c>
      <c r="G107">
        <f>IF($J107="","",IFERROR(LOOKUP(2,1/(('Weekly Log'!$A$5:$A$5000&gt;=$J107)*('Weekly Log'!$A$5:$A$5000&lt;$J107+7)*('Weekly Log'!$M$5:$M$5000&lt;&gt;"")),'Weekly Log'!$M$5:$M$5000),0))</f>
        <v/>
      </c>
      <c r="J107">
        <f>IF(COUNT('Weekly Log'!$A$5:$A$5000)=0,"",IF(MIN('Weekly Log'!$A$5:$A$5000)+7*(ROW()-10)&gt;MAX('Weekly Log'!$A$5:$A$5000),"",MIN('Weekly Log'!$A$5:$A$5000)+7*(ROW()-10)))</f>
        <v/>
      </c>
    </row>
    <row r="108">
      <c r="A108">
        <f>IF($J108="","",YEAR($J108-WEEKDAY($J108,2)+4)&amp;"-W"&amp;TEXT(WEEKNUM($J108,21),"00"))</f>
        <v/>
      </c>
      <c r="B108">
        <f>IF($J108="","",SUMIFS('Weekly Log'!$C:$C,'Weekly Log'!$A:$A,"&gt;="&amp;$J108,'Weekly Log'!$A:$A,"&lt;"&amp;$J108+7))</f>
        <v/>
      </c>
      <c r="C108">
        <f>IF($J108="","",IFERROR(COUNTIFS('Weekly Log'!$G:$G,"Y",'Weekly Log'!$A:$A,"&gt;="&amp;$J108,'Weekly Log'!$A:$A,"&lt;"&amp;$J108+7)/COUNTIFS('Weekly Log'!$G:$G,"&lt;&gt;",'Weekly Log'!$A:$A,"&gt;="&amp;$J108,'Weekly Log'!$A:$A,"&lt;"&amp;$J108+7),0))</f>
        <v/>
      </c>
      <c r="D108">
        <f>IF($J108="","",IFERROR(COUNTIFS('Weekly Log'!$H:$H,"Y",'Weekly Log'!$A:$A,"&gt;="&amp;$J108,'Weekly Log'!$A:$A,"&lt;"&amp;$J108+7)/COUNTIFS('Weekly Log'!$H:$H,"&lt;&gt;",'Weekly Log'!$A:$A,"&gt;="&amp;$J108,'Weekly Log'!$A:$A,"&lt;"&amp;$J108+7),0))</f>
        <v/>
      </c>
      <c r="E108">
        <f>IF($J108="","",IFERROR(AVERAGEIFS('Weekly Log'!$F:$F,'Weekly Log'!$A:$A,"&gt;="&amp;$J108,'Weekly Log'!$A:$A,"&lt;"&amp;$J108+7),0))</f>
        <v/>
      </c>
      <c r="F108">
        <f>IF($J108="","",IFERROR(SUMIFS('Weekly Log'!$F:$F,'Weekly Log'!$A:$A,"&gt;="&amp;$J108,'Weekly Log'!$A:$A,"&lt;"&amp;$J108+7)/SUMIFS('Weekly Log'!$E:$E,'Weekly Log'!$A:$A,"&gt;="&amp;$J108,'Weekly Log'!$A:$A,"&lt;"&amp;$J108+7),0))</f>
        <v/>
      </c>
      <c r="G108">
        <f>IF($J108="","",IFERROR(LOOKUP(2,1/(('Weekly Log'!$A$5:$A$5000&gt;=$J108)*('Weekly Log'!$A$5:$A$5000&lt;$J108+7)*('Weekly Log'!$M$5:$M$5000&lt;&gt;"")),'Weekly Log'!$M$5:$M$5000),0))</f>
        <v/>
      </c>
      <c r="J108">
        <f>IF(COUNT('Weekly Log'!$A$5:$A$5000)=0,"",IF(MIN('Weekly Log'!$A$5:$A$5000)+7*(ROW()-10)&gt;MAX('Weekly Log'!$A$5:$A$5000),"",MIN('Weekly Log'!$A$5:$A$5000)+7*(ROW()-10)))</f>
        <v/>
      </c>
    </row>
    <row r="109">
      <c r="A109">
        <f>IF($J109="","",YEAR($J109-WEEKDAY($J109,2)+4)&amp;"-W"&amp;TEXT(WEEKNUM($J109,21),"00"))</f>
        <v/>
      </c>
      <c r="B109">
        <f>IF($J109="","",SUMIFS('Weekly Log'!$C:$C,'Weekly Log'!$A:$A,"&gt;="&amp;$J109,'Weekly Log'!$A:$A,"&lt;"&amp;$J109+7))</f>
        <v/>
      </c>
      <c r="C109">
        <f>IF($J109="","",IFERROR(COUNTIFS('Weekly Log'!$G:$G,"Y",'Weekly Log'!$A:$A,"&gt;="&amp;$J109,'Weekly Log'!$A:$A,"&lt;"&amp;$J109+7)/COUNTIFS('Weekly Log'!$G:$G,"&lt;&gt;",'Weekly Log'!$A:$A,"&gt;="&amp;$J109,'Weekly Log'!$A:$A,"&lt;"&amp;$J109+7),0))</f>
        <v/>
      </c>
      <c r="D109">
        <f>IF($J109="","",IFERROR(COUNTIFS('Weekly Log'!$H:$H,"Y",'Weekly Log'!$A:$A,"&gt;="&amp;$J109,'Weekly Log'!$A:$A,"&lt;"&amp;$J109+7)/COUNTIFS('Weekly Log'!$H:$H,"&lt;&gt;",'Weekly Log'!$A:$A,"&gt;="&amp;$J109,'Weekly Log'!$A:$A,"&lt;"&amp;$J109+7),0))</f>
        <v/>
      </c>
      <c r="E109">
        <f>IF($J109="","",IFERROR(AVERAGEIFS('Weekly Log'!$F:$F,'Weekly Log'!$A:$A,"&gt;="&amp;$J109,'Weekly Log'!$A:$A,"&lt;"&amp;$J109+7),0))</f>
        <v/>
      </c>
      <c r="F109">
        <f>IF($J109="","",IFERROR(SUMIFS('Weekly Log'!$F:$F,'Weekly Log'!$A:$A,"&gt;="&amp;$J109,'Weekly Log'!$A:$A,"&lt;"&amp;$J109+7)/SUMIFS('Weekly Log'!$E:$E,'Weekly Log'!$A:$A,"&gt;="&amp;$J109,'Weekly Log'!$A:$A,"&lt;"&amp;$J109+7),0))</f>
        <v/>
      </c>
      <c r="G109">
        <f>IF($J109="","",IFERROR(LOOKUP(2,1/(('Weekly Log'!$A$5:$A$5000&gt;=$J109)*('Weekly Log'!$A$5:$A$5000&lt;$J109+7)*('Weekly Log'!$M$5:$M$5000&lt;&gt;"")),'Weekly Log'!$M$5:$M$5000),0))</f>
        <v/>
      </c>
      <c r="J109">
        <f>IF(COUNT('Weekly Log'!$A$5:$A$5000)=0,"",IF(MIN('Weekly Log'!$A$5:$A$5000)+7*(ROW()-10)&gt;MAX('Weekly Log'!$A$5:$A$5000),"",MIN('Weekly Log'!$A$5:$A$5000)+7*(ROW()-10)))</f>
        <v/>
      </c>
    </row>
    <row r="110">
      <c r="A110">
        <f>IF($J110="","",YEAR($J110-WEEKDAY($J110,2)+4)&amp;"-W"&amp;TEXT(WEEKNUM($J110,21),"00"))</f>
        <v/>
      </c>
      <c r="B110">
        <f>IF($J110="","",SUMIFS('Weekly Log'!$C:$C,'Weekly Log'!$A:$A,"&gt;="&amp;$J110,'Weekly Log'!$A:$A,"&lt;"&amp;$J110+7))</f>
        <v/>
      </c>
      <c r="C110">
        <f>IF($J110="","",IFERROR(COUNTIFS('Weekly Log'!$G:$G,"Y",'Weekly Log'!$A:$A,"&gt;="&amp;$J110,'Weekly Log'!$A:$A,"&lt;"&amp;$J110+7)/COUNTIFS('Weekly Log'!$G:$G,"&lt;&gt;",'Weekly Log'!$A:$A,"&gt;="&amp;$J110,'Weekly Log'!$A:$A,"&lt;"&amp;$J110+7),0))</f>
        <v/>
      </c>
      <c r="D110">
        <f>IF($J110="","",IFERROR(COUNTIFS('Weekly Log'!$H:$H,"Y",'Weekly Log'!$A:$A,"&gt;="&amp;$J110,'Weekly Log'!$A:$A,"&lt;"&amp;$J110+7)/COUNTIFS('Weekly Log'!$H:$H,"&lt;&gt;",'Weekly Log'!$A:$A,"&gt;="&amp;$J110,'Weekly Log'!$A:$A,"&lt;"&amp;$J110+7),0))</f>
        <v/>
      </c>
      <c r="E110">
        <f>IF($J110="","",IFERROR(AVERAGEIFS('Weekly Log'!$F:$F,'Weekly Log'!$A:$A,"&gt;="&amp;$J110,'Weekly Log'!$A:$A,"&lt;"&amp;$J110+7),0))</f>
        <v/>
      </c>
      <c r="F110">
        <f>IF($J110="","",IFERROR(SUMIFS('Weekly Log'!$F:$F,'Weekly Log'!$A:$A,"&gt;="&amp;$J110,'Weekly Log'!$A:$A,"&lt;"&amp;$J110+7)/SUMIFS('Weekly Log'!$E:$E,'Weekly Log'!$A:$A,"&gt;="&amp;$J110,'Weekly Log'!$A:$A,"&lt;"&amp;$J110+7),0))</f>
        <v/>
      </c>
      <c r="G110">
        <f>IF($J110="","",IFERROR(LOOKUP(2,1/(('Weekly Log'!$A$5:$A$5000&gt;=$J110)*('Weekly Log'!$A$5:$A$5000&lt;$J110+7)*('Weekly Log'!$M$5:$M$5000&lt;&gt;"")),'Weekly Log'!$M$5:$M$5000),0))</f>
        <v/>
      </c>
      <c r="J110">
        <f>IF(COUNT('Weekly Log'!$A$5:$A$5000)=0,"",IF(MIN('Weekly Log'!$A$5:$A$5000)+7*(ROW()-10)&gt;MAX('Weekly Log'!$A$5:$A$5000),"",MIN('Weekly Log'!$A$5:$A$5000)+7*(ROW()-10)))</f>
        <v/>
      </c>
    </row>
    <row r="111">
      <c r="A111">
        <f>IF($J111="","",YEAR($J111-WEEKDAY($J111,2)+4)&amp;"-W"&amp;TEXT(WEEKNUM($J111,21),"00"))</f>
        <v/>
      </c>
      <c r="B111">
        <f>IF($J111="","",SUMIFS('Weekly Log'!$C:$C,'Weekly Log'!$A:$A,"&gt;="&amp;$J111,'Weekly Log'!$A:$A,"&lt;"&amp;$J111+7))</f>
        <v/>
      </c>
      <c r="C111">
        <f>IF($J111="","",IFERROR(COUNTIFS('Weekly Log'!$G:$G,"Y",'Weekly Log'!$A:$A,"&gt;="&amp;$J111,'Weekly Log'!$A:$A,"&lt;"&amp;$J111+7)/COUNTIFS('Weekly Log'!$G:$G,"&lt;&gt;",'Weekly Log'!$A:$A,"&gt;="&amp;$J111,'Weekly Log'!$A:$A,"&lt;"&amp;$J111+7),0))</f>
        <v/>
      </c>
      <c r="D111">
        <f>IF($J111="","",IFERROR(COUNTIFS('Weekly Log'!$H:$H,"Y",'Weekly Log'!$A:$A,"&gt;="&amp;$J111,'Weekly Log'!$A:$A,"&lt;"&amp;$J111+7)/COUNTIFS('Weekly Log'!$H:$H,"&lt;&gt;",'Weekly Log'!$A:$A,"&gt;="&amp;$J111,'Weekly Log'!$A:$A,"&lt;"&amp;$J111+7),0))</f>
        <v/>
      </c>
      <c r="E111">
        <f>IF($J111="","",IFERROR(AVERAGEIFS('Weekly Log'!$F:$F,'Weekly Log'!$A:$A,"&gt;="&amp;$J111,'Weekly Log'!$A:$A,"&lt;"&amp;$J111+7),0))</f>
        <v/>
      </c>
      <c r="F111">
        <f>IF($J111="","",IFERROR(SUMIFS('Weekly Log'!$F:$F,'Weekly Log'!$A:$A,"&gt;="&amp;$J111,'Weekly Log'!$A:$A,"&lt;"&amp;$J111+7)/SUMIFS('Weekly Log'!$E:$E,'Weekly Log'!$A:$A,"&gt;="&amp;$J111,'Weekly Log'!$A:$A,"&lt;"&amp;$J111+7),0))</f>
        <v/>
      </c>
      <c r="G111">
        <f>IF($J111="","",IFERROR(LOOKUP(2,1/(('Weekly Log'!$A$5:$A$5000&gt;=$J111)*('Weekly Log'!$A$5:$A$5000&lt;$J111+7)*('Weekly Log'!$M$5:$M$5000&lt;&gt;"")),'Weekly Log'!$M$5:$M$5000),0))</f>
        <v/>
      </c>
      <c r="J111">
        <f>IF(COUNT('Weekly Log'!$A$5:$A$5000)=0,"",IF(MIN('Weekly Log'!$A$5:$A$5000)+7*(ROW()-10)&gt;MAX('Weekly Log'!$A$5:$A$5000),"",MIN('Weekly Log'!$A$5:$A$5000)+7*(ROW()-10)))</f>
        <v/>
      </c>
    </row>
    <row r="112">
      <c r="A112">
        <f>IF($J112="","",YEAR($J112-WEEKDAY($J112,2)+4)&amp;"-W"&amp;TEXT(WEEKNUM($J112,21),"00"))</f>
        <v/>
      </c>
      <c r="B112">
        <f>IF($J112="","",SUMIFS('Weekly Log'!$C:$C,'Weekly Log'!$A:$A,"&gt;="&amp;$J112,'Weekly Log'!$A:$A,"&lt;"&amp;$J112+7))</f>
        <v/>
      </c>
      <c r="C112">
        <f>IF($J112="","",IFERROR(COUNTIFS('Weekly Log'!$G:$G,"Y",'Weekly Log'!$A:$A,"&gt;="&amp;$J112,'Weekly Log'!$A:$A,"&lt;"&amp;$J112+7)/COUNTIFS('Weekly Log'!$G:$G,"&lt;&gt;",'Weekly Log'!$A:$A,"&gt;="&amp;$J112,'Weekly Log'!$A:$A,"&lt;"&amp;$J112+7),0))</f>
        <v/>
      </c>
      <c r="D112">
        <f>IF($J112="","",IFERROR(COUNTIFS('Weekly Log'!$H:$H,"Y",'Weekly Log'!$A:$A,"&gt;="&amp;$J112,'Weekly Log'!$A:$A,"&lt;"&amp;$J112+7)/COUNTIFS('Weekly Log'!$H:$H,"&lt;&gt;",'Weekly Log'!$A:$A,"&gt;="&amp;$J112,'Weekly Log'!$A:$A,"&lt;"&amp;$J112+7),0))</f>
        <v/>
      </c>
      <c r="E112">
        <f>IF($J112="","",IFERROR(AVERAGEIFS('Weekly Log'!$F:$F,'Weekly Log'!$A:$A,"&gt;="&amp;$J112,'Weekly Log'!$A:$A,"&lt;"&amp;$J112+7),0))</f>
        <v/>
      </c>
      <c r="F112">
        <f>IF($J112="","",IFERROR(SUMIFS('Weekly Log'!$F:$F,'Weekly Log'!$A:$A,"&gt;="&amp;$J112,'Weekly Log'!$A:$A,"&lt;"&amp;$J112+7)/SUMIFS('Weekly Log'!$E:$E,'Weekly Log'!$A:$A,"&gt;="&amp;$J112,'Weekly Log'!$A:$A,"&lt;"&amp;$J112+7),0))</f>
        <v/>
      </c>
      <c r="G112">
        <f>IF($J112="","",IFERROR(LOOKUP(2,1/(('Weekly Log'!$A$5:$A$5000&gt;=$J112)*('Weekly Log'!$A$5:$A$5000&lt;$J112+7)*('Weekly Log'!$M$5:$M$5000&lt;&gt;"")),'Weekly Log'!$M$5:$M$5000),0))</f>
        <v/>
      </c>
      <c r="J112">
        <f>IF(COUNT('Weekly Log'!$A$5:$A$5000)=0,"",IF(MIN('Weekly Log'!$A$5:$A$5000)+7*(ROW()-10)&gt;MAX('Weekly Log'!$A$5:$A$5000),"",MIN('Weekly Log'!$A$5:$A$5000)+7*(ROW()-10)))</f>
        <v/>
      </c>
    </row>
    <row r="113">
      <c r="A113">
        <f>IF($J113="","",YEAR($J113-WEEKDAY($J113,2)+4)&amp;"-W"&amp;TEXT(WEEKNUM($J113,21),"00"))</f>
        <v/>
      </c>
      <c r="B113">
        <f>IF($J113="","",SUMIFS('Weekly Log'!$C:$C,'Weekly Log'!$A:$A,"&gt;="&amp;$J113,'Weekly Log'!$A:$A,"&lt;"&amp;$J113+7))</f>
        <v/>
      </c>
      <c r="C113">
        <f>IF($J113="","",IFERROR(COUNTIFS('Weekly Log'!$G:$G,"Y",'Weekly Log'!$A:$A,"&gt;="&amp;$J113,'Weekly Log'!$A:$A,"&lt;"&amp;$J113+7)/COUNTIFS('Weekly Log'!$G:$G,"&lt;&gt;",'Weekly Log'!$A:$A,"&gt;="&amp;$J113,'Weekly Log'!$A:$A,"&lt;"&amp;$J113+7),0))</f>
        <v/>
      </c>
      <c r="D113">
        <f>IF($J113="","",IFERROR(COUNTIFS('Weekly Log'!$H:$H,"Y",'Weekly Log'!$A:$A,"&gt;="&amp;$J113,'Weekly Log'!$A:$A,"&lt;"&amp;$J113+7)/COUNTIFS('Weekly Log'!$H:$H,"&lt;&gt;",'Weekly Log'!$A:$A,"&gt;="&amp;$J113,'Weekly Log'!$A:$A,"&lt;"&amp;$J113+7),0))</f>
        <v/>
      </c>
      <c r="E113">
        <f>IF($J113="","",IFERROR(AVERAGEIFS('Weekly Log'!$F:$F,'Weekly Log'!$A:$A,"&gt;="&amp;$J113,'Weekly Log'!$A:$A,"&lt;"&amp;$J113+7),0))</f>
        <v/>
      </c>
      <c r="F113">
        <f>IF($J113="","",IFERROR(SUMIFS('Weekly Log'!$F:$F,'Weekly Log'!$A:$A,"&gt;="&amp;$J113,'Weekly Log'!$A:$A,"&lt;"&amp;$J113+7)/SUMIFS('Weekly Log'!$E:$E,'Weekly Log'!$A:$A,"&gt;="&amp;$J113,'Weekly Log'!$A:$A,"&lt;"&amp;$J113+7),0))</f>
        <v/>
      </c>
      <c r="G113">
        <f>IF($J113="","",IFERROR(LOOKUP(2,1/(('Weekly Log'!$A$5:$A$5000&gt;=$J113)*('Weekly Log'!$A$5:$A$5000&lt;$J113+7)*('Weekly Log'!$M$5:$M$5000&lt;&gt;"")),'Weekly Log'!$M$5:$M$5000),0))</f>
        <v/>
      </c>
      <c r="J113">
        <f>IF(COUNT('Weekly Log'!$A$5:$A$5000)=0,"",IF(MIN('Weekly Log'!$A$5:$A$5000)+7*(ROW()-10)&gt;MAX('Weekly Log'!$A$5:$A$5000),"",MIN('Weekly Log'!$A$5:$A$5000)+7*(ROW()-10)))</f>
        <v/>
      </c>
    </row>
    <row r="114">
      <c r="A114">
        <f>IF($J114="","",YEAR($J114-WEEKDAY($J114,2)+4)&amp;"-W"&amp;TEXT(WEEKNUM($J114,21),"00"))</f>
        <v/>
      </c>
      <c r="B114">
        <f>IF($J114="","",SUMIFS('Weekly Log'!$C:$C,'Weekly Log'!$A:$A,"&gt;="&amp;$J114,'Weekly Log'!$A:$A,"&lt;"&amp;$J114+7))</f>
        <v/>
      </c>
      <c r="C114">
        <f>IF($J114="","",IFERROR(COUNTIFS('Weekly Log'!$G:$G,"Y",'Weekly Log'!$A:$A,"&gt;="&amp;$J114,'Weekly Log'!$A:$A,"&lt;"&amp;$J114+7)/COUNTIFS('Weekly Log'!$G:$G,"&lt;&gt;",'Weekly Log'!$A:$A,"&gt;="&amp;$J114,'Weekly Log'!$A:$A,"&lt;"&amp;$J114+7),0))</f>
        <v/>
      </c>
      <c r="D114">
        <f>IF($J114="","",IFERROR(COUNTIFS('Weekly Log'!$H:$H,"Y",'Weekly Log'!$A:$A,"&gt;="&amp;$J114,'Weekly Log'!$A:$A,"&lt;"&amp;$J114+7)/COUNTIFS('Weekly Log'!$H:$H,"&lt;&gt;",'Weekly Log'!$A:$A,"&gt;="&amp;$J114,'Weekly Log'!$A:$A,"&lt;"&amp;$J114+7),0))</f>
        <v/>
      </c>
      <c r="E114">
        <f>IF($J114="","",IFERROR(AVERAGEIFS('Weekly Log'!$F:$F,'Weekly Log'!$A:$A,"&gt;="&amp;$J114,'Weekly Log'!$A:$A,"&lt;"&amp;$J114+7),0))</f>
        <v/>
      </c>
      <c r="F114">
        <f>IF($J114="","",IFERROR(SUMIFS('Weekly Log'!$F:$F,'Weekly Log'!$A:$A,"&gt;="&amp;$J114,'Weekly Log'!$A:$A,"&lt;"&amp;$J114+7)/SUMIFS('Weekly Log'!$E:$E,'Weekly Log'!$A:$A,"&gt;="&amp;$J114,'Weekly Log'!$A:$A,"&lt;"&amp;$J114+7),0))</f>
        <v/>
      </c>
      <c r="G114">
        <f>IF($J114="","",IFERROR(LOOKUP(2,1/(('Weekly Log'!$A$5:$A$5000&gt;=$J114)*('Weekly Log'!$A$5:$A$5000&lt;$J114+7)*('Weekly Log'!$M$5:$M$5000&lt;&gt;"")),'Weekly Log'!$M$5:$M$5000),0))</f>
        <v/>
      </c>
      <c r="J114">
        <f>IF(COUNT('Weekly Log'!$A$5:$A$5000)=0,"",IF(MIN('Weekly Log'!$A$5:$A$5000)+7*(ROW()-10)&gt;MAX('Weekly Log'!$A$5:$A$5000),"",MIN('Weekly Log'!$A$5:$A$5000)+7*(ROW()-10)))</f>
        <v/>
      </c>
    </row>
    <row r="115">
      <c r="A115">
        <f>IF($J115="","",YEAR($J115-WEEKDAY($J115,2)+4)&amp;"-W"&amp;TEXT(WEEKNUM($J115,21),"00"))</f>
        <v/>
      </c>
      <c r="B115">
        <f>IF($J115="","",SUMIFS('Weekly Log'!$C:$C,'Weekly Log'!$A:$A,"&gt;="&amp;$J115,'Weekly Log'!$A:$A,"&lt;"&amp;$J115+7))</f>
        <v/>
      </c>
      <c r="C115">
        <f>IF($J115="","",IFERROR(COUNTIFS('Weekly Log'!$G:$G,"Y",'Weekly Log'!$A:$A,"&gt;="&amp;$J115,'Weekly Log'!$A:$A,"&lt;"&amp;$J115+7)/COUNTIFS('Weekly Log'!$G:$G,"&lt;&gt;",'Weekly Log'!$A:$A,"&gt;="&amp;$J115,'Weekly Log'!$A:$A,"&lt;"&amp;$J115+7),0))</f>
        <v/>
      </c>
      <c r="D115">
        <f>IF($J115="","",IFERROR(COUNTIFS('Weekly Log'!$H:$H,"Y",'Weekly Log'!$A:$A,"&gt;="&amp;$J115,'Weekly Log'!$A:$A,"&lt;"&amp;$J115+7)/COUNTIFS('Weekly Log'!$H:$H,"&lt;&gt;",'Weekly Log'!$A:$A,"&gt;="&amp;$J115,'Weekly Log'!$A:$A,"&lt;"&amp;$J115+7),0))</f>
        <v/>
      </c>
      <c r="E115">
        <f>IF($J115="","",IFERROR(AVERAGEIFS('Weekly Log'!$F:$F,'Weekly Log'!$A:$A,"&gt;="&amp;$J115,'Weekly Log'!$A:$A,"&lt;"&amp;$J115+7),0))</f>
        <v/>
      </c>
      <c r="F115">
        <f>IF($J115="","",IFERROR(SUMIFS('Weekly Log'!$F:$F,'Weekly Log'!$A:$A,"&gt;="&amp;$J115,'Weekly Log'!$A:$A,"&lt;"&amp;$J115+7)/SUMIFS('Weekly Log'!$E:$E,'Weekly Log'!$A:$A,"&gt;="&amp;$J115,'Weekly Log'!$A:$A,"&lt;"&amp;$J115+7),0))</f>
        <v/>
      </c>
      <c r="G115">
        <f>IF($J115="","",IFERROR(LOOKUP(2,1/(('Weekly Log'!$A$5:$A$5000&gt;=$J115)*('Weekly Log'!$A$5:$A$5000&lt;$J115+7)*('Weekly Log'!$M$5:$M$5000&lt;&gt;"")),'Weekly Log'!$M$5:$M$5000),0))</f>
        <v/>
      </c>
      <c r="J115">
        <f>IF(COUNT('Weekly Log'!$A$5:$A$5000)=0,"",IF(MIN('Weekly Log'!$A$5:$A$5000)+7*(ROW()-10)&gt;MAX('Weekly Log'!$A$5:$A$5000),"",MIN('Weekly Log'!$A$5:$A$5000)+7*(ROW()-10)))</f>
        <v/>
      </c>
    </row>
    <row r="116">
      <c r="A116">
        <f>IF($J116="","",YEAR($J116-WEEKDAY($J116,2)+4)&amp;"-W"&amp;TEXT(WEEKNUM($J116,21),"00"))</f>
        <v/>
      </c>
      <c r="B116">
        <f>IF($J116="","",SUMIFS('Weekly Log'!$C:$C,'Weekly Log'!$A:$A,"&gt;="&amp;$J116,'Weekly Log'!$A:$A,"&lt;"&amp;$J116+7))</f>
        <v/>
      </c>
      <c r="C116">
        <f>IF($J116="","",IFERROR(COUNTIFS('Weekly Log'!$G:$G,"Y",'Weekly Log'!$A:$A,"&gt;="&amp;$J116,'Weekly Log'!$A:$A,"&lt;"&amp;$J116+7)/COUNTIFS('Weekly Log'!$G:$G,"&lt;&gt;",'Weekly Log'!$A:$A,"&gt;="&amp;$J116,'Weekly Log'!$A:$A,"&lt;"&amp;$J116+7),0))</f>
        <v/>
      </c>
      <c r="D116">
        <f>IF($J116="","",IFERROR(COUNTIFS('Weekly Log'!$H:$H,"Y",'Weekly Log'!$A:$A,"&gt;="&amp;$J116,'Weekly Log'!$A:$A,"&lt;"&amp;$J116+7)/COUNTIFS('Weekly Log'!$H:$H,"&lt;&gt;",'Weekly Log'!$A:$A,"&gt;="&amp;$J116,'Weekly Log'!$A:$A,"&lt;"&amp;$J116+7),0))</f>
        <v/>
      </c>
      <c r="E116">
        <f>IF($J116="","",IFERROR(AVERAGEIFS('Weekly Log'!$F:$F,'Weekly Log'!$A:$A,"&gt;="&amp;$J116,'Weekly Log'!$A:$A,"&lt;"&amp;$J116+7),0))</f>
        <v/>
      </c>
      <c r="F116">
        <f>IF($J116="","",IFERROR(SUMIFS('Weekly Log'!$F:$F,'Weekly Log'!$A:$A,"&gt;="&amp;$J116,'Weekly Log'!$A:$A,"&lt;"&amp;$J116+7)/SUMIFS('Weekly Log'!$E:$E,'Weekly Log'!$A:$A,"&gt;="&amp;$J116,'Weekly Log'!$A:$A,"&lt;"&amp;$J116+7),0))</f>
        <v/>
      </c>
      <c r="G116">
        <f>IF($J116="","",IFERROR(LOOKUP(2,1/(('Weekly Log'!$A$5:$A$5000&gt;=$J116)*('Weekly Log'!$A$5:$A$5000&lt;$J116+7)*('Weekly Log'!$M$5:$M$5000&lt;&gt;"")),'Weekly Log'!$M$5:$M$5000),0))</f>
        <v/>
      </c>
      <c r="J116">
        <f>IF(COUNT('Weekly Log'!$A$5:$A$5000)=0,"",IF(MIN('Weekly Log'!$A$5:$A$5000)+7*(ROW()-10)&gt;MAX('Weekly Log'!$A$5:$A$5000),"",MIN('Weekly Log'!$A$5:$A$5000)+7*(ROW()-10)))</f>
        <v/>
      </c>
    </row>
    <row r="117">
      <c r="A117">
        <f>IF($J117="","",YEAR($J117-WEEKDAY($J117,2)+4)&amp;"-W"&amp;TEXT(WEEKNUM($J117,21),"00"))</f>
        <v/>
      </c>
      <c r="B117">
        <f>IF($J117="","",SUMIFS('Weekly Log'!$C:$C,'Weekly Log'!$A:$A,"&gt;="&amp;$J117,'Weekly Log'!$A:$A,"&lt;"&amp;$J117+7))</f>
        <v/>
      </c>
      <c r="C117">
        <f>IF($J117="","",IFERROR(COUNTIFS('Weekly Log'!$G:$G,"Y",'Weekly Log'!$A:$A,"&gt;="&amp;$J117,'Weekly Log'!$A:$A,"&lt;"&amp;$J117+7)/COUNTIFS('Weekly Log'!$G:$G,"&lt;&gt;",'Weekly Log'!$A:$A,"&gt;="&amp;$J117,'Weekly Log'!$A:$A,"&lt;"&amp;$J117+7),0))</f>
        <v/>
      </c>
      <c r="D117">
        <f>IF($J117="","",IFERROR(COUNTIFS('Weekly Log'!$H:$H,"Y",'Weekly Log'!$A:$A,"&gt;="&amp;$J117,'Weekly Log'!$A:$A,"&lt;"&amp;$J117+7)/COUNTIFS('Weekly Log'!$H:$H,"&lt;&gt;",'Weekly Log'!$A:$A,"&gt;="&amp;$J117,'Weekly Log'!$A:$A,"&lt;"&amp;$J117+7),0))</f>
        <v/>
      </c>
      <c r="E117">
        <f>IF($J117="","",IFERROR(AVERAGEIFS('Weekly Log'!$F:$F,'Weekly Log'!$A:$A,"&gt;="&amp;$J117,'Weekly Log'!$A:$A,"&lt;"&amp;$J117+7),0))</f>
        <v/>
      </c>
      <c r="F117">
        <f>IF($J117="","",IFERROR(SUMIFS('Weekly Log'!$F:$F,'Weekly Log'!$A:$A,"&gt;="&amp;$J117,'Weekly Log'!$A:$A,"&lt;"&amp;$J117+7)/SUMIFS('Weekly Log'!$E:$E,'Weekly Log'!$A:$A,"&gt;="&amp;$J117,'Weekly Log'!$A:$A,"&lt;"&amp;$J117+7),0))</f>
        <v/>
      </c>
      <c r="G117">
        <f>IF($J117="","",IFERROR(LOOKUP(2,1/(('Weekly Log'!$A$5:$A$5000&gt;=$J117)*('Weekly Log'!$A$5:$A$5000&lt;$J117+7)*('Weekly Log'!$M$5:$M$5000&lt;&gt;"")),'Weekly Log'!$M$5:$M$5000),0))</f>
        <v/>
      </c>
      <c r="J117">
        <f>IF(COUNT('Weekly Log'!$A$5:$A$5000)=0,"",IF(MIN('Weekly Log'!$A$5:$A$5000)+7*(ROW()-10)&gt;MAX('Weekly Log'!$A$5:$A$5000),"",MIN('Weekly Log'!$A$5:$A$5000)+7*(ROW()-10)))</f>
        <v/>
      </c>
    </row>
    <row r="118">
      <c r="A118">
        <f>IF($J118="","",YEAR($J118-WEEKDAY($J118,2)+4)&amp;"-W"&amp;TEXT(WEEKNUM($J118,21),"00"))</f>
        <v/>
      </c>
      <c r="B118">
        <f>IF($J118="","",SUMIFS('Weekly Log'!$C:$C,'Weekly Log'!$A:$A,"&gt;="&amp;$J118,'Weekly Log'!$A:$A,"&lt;"&amp;$J118+7))</f>
        <v/>
      </c>
      <c r="C118">
        <f>IF($J118="","",IFERROR(COUNTIFS('Weekly Log'!$G:$G,"Y",'Weekly Log'!$A:$A,"&gt;="&amp;$J118,'Weekly Log'!$A:$A,"&lt;"&amp;$J118+7)/COUNTIFS('Weekly Log'!$G:$G,"&lt;&gt;",'Weekly Log'!$A:$A,"&gt;="&amp;$J118,'Weekly Log'!$A:$A,"&lt;"&amp;$J118+7),0))</f>
        <v/>
      </c>
      <c r="D118">
        <f>IF($J118="","",IFERROR(COUNTIFS('Weekly Log'!$H:$H,"Y",'Weekly Log'!$A:$A,"&gt;="&amp;$J118,'Weekly Log'!$A:$A,"&lt;"&amp;$J118+7)/COUNTIFS('Weekly Log'!$H:$H,"&lt;&gt;",'Weekly Log'!$A:$A,"&gt;="&amp;$J118,'Weekly Log'!$A:$A,"&lt;"&amp;$J118+7),0))</f>
        <v/>
      </c>
      <c r="E118">
        <f>IF($J118="","",IFERROR(AVERAGEIFS('Weekly Log'!$F:$F,'Weekly Log'!$A:$A,"&gt;="&amp;$J118,'Weekly Log'!$A:$A,"&lt;"&amp;$J118+7),0))</f>
        <v/>
      </c>
      <c r="F118">
        <f>IF($J118="","",IFERROR(SUMIFS('Weekly Log'!$F:$F,'Weekly Log'!$A:$A,"&gt;="&amp;$J118,'Weekly Log'!$A:$A,"&lt;"&amp;$J118+7)/SUMIFS('Weekly Log'!$E:$E,'Weekly Log'!$A:$A,"&gt;="&amp;$J118,'Weekly Log'!$A:$A,"&lt;"&amp;$J118+7),0))</f>
        <v/>
      </c>
      <c r="G118">
        <f>IF($J118="","",IFERROR(LOOKUP(2,1/(('Weekly Log'!$A$5:$A$5000&gt;=$J118)*('Weekly Log'!$A$5:$A$5000&lt;$J118+7)*('Weekly Log'!$M$5:$M$5000&lt;&gt;"")),'Weekly Log'!$M$5:$M$5000),0))</f>
        <v/>
      </c>
      <c r="J118">
        <f>IF(COUNT('Weekly Log'!$A$5:$A$5000)=0,"",IF(MIN('Weekly Log'!$A$5:$A$5000)+7*(ROW()-10)&gt;MAX('Weekly Log'!$A$5:$A$5000),"",MIN('Weekly Log'!$A$5:$A$5000)+7*(ROW()-10)))</f>
        <v/>
      </c>
    </row>
    <row r="119">
      <c r="A119">
        <f>IF($J119="","",YEAR($J119-WEEKDAY($J119,2)+4)&amp;"-W"&amp;TEXT(WEEKNUM($J119,21),"00"))</f>
        <v/>
      </c>
      <c r="B119">
        <f>IF($J119="","",SUMIFS('Weekly Log'!$C:$C,'Weekly Log'!$A:$A,"&gt;="&amp;$J119,'Weekly Log'!$A:$A,"&lt;"&amp;$J119+7))</f>
        <v/>
      </c>
      <c r="C119">
        <f>IF($J119="","",IFERROR(COUNTIFS('Weekly Log'!$G:$G,"Y",'Weekly Log'!$A:$A,"&gt;="&amp;$J119,'Weekly Log'!$A:$A,"&lt;"&amp;$J119+7)/COUNTIFS('Weekly Log'!$G:$G,"&lt;&gt;",'Weekly Log'!$A:$A,"&gt;="&amp;$J119,'Weekly Log'!$A:$A,"&lt;"&amp;$J119+7),0))</f>
        <v/>
      </c>
      <c r="D119">
        <f>IF($J119="","",IFERROR(COUNTIFS('Weekly Log'!$H:$H,"Y",'Weekly Log'!$A:$A,"&gt;="&amp;$J119,'Weekly Log'!$A:$A,"&lt;"&amp;$J119+7)/COUNTIFS('Weekly Log'!$H:$H,"&lt;&gt;",'Weekly Log'!$A:$A,"&gt;="&amp;$J119,'Weekly Log'!$A:$A,"&lt;"&amp;$J119+7),0))</f>
        <v/>
      </c>
      <c r="E119">
        <f>IF($J119="","",IFERROR(AVERAGEIFS('Weekly Log'!$F:$F,'Weekly Log'!$A:$A,"&gt;="&amp;$J119,'Weekly Log'!$A:$A,"&lt;"&amp;$J119+7),0))</f>
        <v/>
      </c>
      <c r="F119">
        <f>IF($J119="","",IFERROR(SUMIFS('Weekly Log'!$F:$F,'Weekly Log'!$A:$A,"&gt;="&amp;$J119,'Weekly Log'!$A:$A,"&lt;"&amp;$J119+7)/SUMIFS('Weekly Log'!$E:$E,'Weekly Log'!$A:$A,"&gt;="&amp;$J119,'Weekly Log'!$A:$A,"&lt;"&amp;$J119+7),0))</f>
        <v/>
      </c>
      <c r="G119">
        <f>IF($J119="","",IFERROR(LOOKUP(2,1/(('Weekly Log'!$A$5:$A$5000&gt;=$J119)*('Weekly Log'!$A$5:$A$5000&lt;$J119+7)*('Weekly Log'!$M$5:$M$5000&lt;&gt;"")),'Weekly Log'!$M$5:$M$5000),0))</f>
        <v/>
      </c>
      <c r="J119">
        <f>IF(COUNT('Weekly Log'!$A$5:$A$5000)=0,"",IF(MIN('Weekly Log'!$A$5:$A$5000)+7*(ROW()-10)&gt;MAX('Weekly Log'!$A$5:$A$5000),"",MIN('Weekly Log'!$A$5:$A$5000)+7*(ROW()-10)))</f>
        <v/>
      </c>
    </row>
    <row r="120">
      <c r="A120">
        <f>IF($J120="","",YEAR($J120-WEEKDAY($J120,2)+4)&amp;"-W"&amp;TEXT(WEEKNUM($J120,21),"00"))</f>
        <v/>
      </c>
      <c r="B120">
        <f>IF($J120="","",SUMIFS('Weekly Log'!$C:$C,'Weekly Log'!$A:$A,"&gt;="&amp;$J120,'Weekly Log'!$A:$A,"&lt;"&amp;$J120+7))</f>
        <v/>
      </c>
      <c r="C120">
        <f>IF($J120="","",IFERROR(COUNTIFS('Weekly Log'!$G:$G,"Y",'Weekly Log'!$A:$A,"&gt;="&amp;$J120,'Weekly Log'!$A:$A,"&lt;"&amp;$J120+7)/COUNTIFS('Weekly Log'!$G:$G,"&lt;&gt;",'Weekly Log'!$A:$A,"&gt;="&amp;$J120,'Weekly Log'!$A:$A,"&lt;"&amp;$J120+7),0))</f>
        <v/>
      </c>
      <c r="D120">
        <f>IF($J120="","",IFERROR(COUNTIFS('Weekly Log'!$H:$H,"Y",'Weekly Log'!$A:$A,"&gt;="&amp;$J120,'Weekly Log'!$A:$A,"&lt;"&amp;$J120+7)/COUNTIFS('Weekly Log'!$H:$H,"&lt;&gt;",'Weekly Log'!$A:$A,"&gt;="&amp;$J120,'Weekly Log'!$A:$A,"&lt;"&amp;$J120+7),0))</f>
        <v/>
      </c>
      <c r="E120">
        <f>IF($J120="","",IFERROR(AVERAGEIFS('Weekly Log'!$F:$F,'Weekly Log'!$A:$A,"&gt;="&amp;$J120,'Weekly Log'!$A:$A,"&lt;"&amp;$J120+7),0))</f>
        <v/>
      </c>
      <c r="F120">
        <f>IF($J120="","",IFERROR(SUMIFS('Weekly Log'!$F:$F,'Weekly Log'!$A:$A,"&gt;="&amp;$J120,'Weekly Log'!$A:$A,"&lt;"&amp;$J120+7)/SUMIFS('Weekly Log'!$E:$E,'Weekly Log'!$A:$A,"&gt;="&amp;$J120,'Weekly Log'!$A:$A,"&lt;"&amp;$J120+7),0))</f>
        <v/>
      </c>
      <c r="G120">
        <f>IF($J120="","",IFERROR(LOOKUP(2,1/(('Weekly Log'!$A$5:$A$5000&gt;=$J120)*('Weekly Log'!$A$5:$A$5000&lt;$J120+7)*('Weekly Log'!$M$5:$M$5000&lt;&gt;"")),'Weekly Log'!$M$5:$M$5000),0))</f>
        <v/>
      </c>
      <c r="J120">
        <f>IF(COUNT('Weekly Log'!$A$5:$A$5000)=0,"",IF(MIN('Weekly Log'!$A$5:$A$5000)+7*(ROW()-10)&gt;MAX('Weekly Log'!$A$5:$A$5000),"",MIN('Weekly Log'!$A$5:$A$5000)+7*(ROW()-10)))</f>
        <v/>
      </c>
    </row>
    <row r="121">
      <c r="A121">
        <f>IF($J121="","",YEAR($J121-WEEKDAY($J121,2)+4)&amp;"-W"&amp;TEXT(WEEKNUM($J121,21),"00"))</f>
        <v/>
      </c>
      <c r="B121">
        <f>IF($J121="","",SUMIFS('Weekly Log'!$C:$C,'Weekly Log'!$A:$A,"&gt;="&amp;$J121,'Weekly Log'!$A:$A,"&lt;"&amp;$J121+7))</f>
        <v/>
      </c>
      <c r="C121">
        <f>IF($J121="","",IFERROR(COUNTIFS('Weekly Log'!$G:$G,"Y",'Weekly Log'!$A:$A,"&gt;="&amp;$J121,'Weekly Log'!$A:$A,"&lt;"&amp;$J121+7)/COUNTIFS('Weekly Log'!$G:$G,"&lt;&gt;",'Weekly Log'!$A:$A,"&gt;="&amp;$J121,'Weekly Log'!$A:$A,"&lt;"&amp;$J121+7),0))</f>
        <v/>
      </c>
      <c r="D121">
        <f>IF($J121="","",IFERROR(COUNTIFS('Weekly Log'!$H:$H,"Y",'Weekly Log'!$A:$A,"&gt;="&amp;$J121,'Weekly Log'!$A:$A,"&lt;"&amp;$J121+7)/COUNTIFS('Weekly Log'!$H:$H,"&lt;&gt;",'Weekly Log'!$A:$A,"&gt;="&amp;$J121,'Weekly Log'!$A:$A,"&lt;"&amp;$J121+7),0))</f>
        <v/>
      </c>
      <c r="E121">
        <f>IF($J121="","",IFERROR(AVERAGEIFS('Weekly Log'!$F:$F,'Weekly Log'!$A:$A,"&gt;="&amp;$J121,'Weekly Log'!$A:$A,"&lt;"&amp;$J121+7),0))</f>
        <v/>
      </c>
      <c r="F121">
        <f>IF($J121="","",IFERROR(SUMIFS('Weekly Log'!$F:$F,'Weekly Log'!$A:$A,"&gt;="&amp;$J121,'Weekly Log'!$A:$A,"&lt;"&amp;$J121+7)/SUMIFS('Weekly Log'!$E:$E,'Weekly Log'!$A:$A,"&gt;="&amp;$J121,'Weekly Log'!$A:$A,"&lt;"&amp;$J121+7),0))</f>
        <v/>
      </c>
      <c r="G121">
        <f>IF($J121="","",IFERROR(LOOKUP(2,1/(('Weekly Log'!$A$5:$A$5000&gt;=$J121)*('Weekly Log'!$A$5:$A$5000&lt;$J121+7)*('Weekly Log'!$M$5:$M$5000&lt;&gt;"")),'Weekly Log'!$M$5:$M$5000),0))</f>
        <v/>
      </c>
      <c r="J121">
        <f>IF(COUNT('Weekly Log'!$A$5:$A$5000)=0,"",IF(MIN('Weekly Log'!$A$5:$A$5000)+7*(ROW()-10)&gt;MAX('Weekly Log'!$A$5:$A$5000),"",MIN('Weekly Log'!$A$5:$A$5000)+7*(ROW()-10)))</f>
        <v/>
      </c>
    </row>
    <row r="122">
      <c r="A122">
        <f>IF($J122="","",YEAR($J122-WEEKDAY($J122,2)+4)&amp;"-W"&amp;TEXT(WEEKNUM($J122,21),"00"))</f>
        <v/>
      </c>
      <c r="B122">
        <f>IF($J122="","",SUMIFS('Weekly Log'!$C:$C,'Weekly Log'!$A:$A,"&gt;="&amp;$J122,'Weekly Log'!$A:$A,"&lt;"&amp;$J122+7))</f>
        <v/>
      </c>
      <c r="C122">
        <f>IF($J122="","",IFERROR(COUNTIFS('Weekly Log'!$G:$G,"Y",'Weekly Log'!$A:$A,"&gt;="&amp;$J122,'Weekly Log'!$A:$A,"&lt;"&amp;$J122+7)/COUNTIFS('Weekly Log'!$G:$G,"&lt;&gt;",'Weekly Log'!$A:$A,"&gt;="&amp;$J122,'Weekly Log'!$A:$A,"&lt;"&amp;$J122+7),0))</f>
        <v/>
      </c>
      <c r="D122">
        <f>IF($J122="","",IFERROR(COUNTIFS('Weekly Log'!$H:$H,"Y",'Weekly Log'!$A:$A,"&gt;="&amp;$J122,'Weekly Log'!$A:$A,"&lt;"&amp;$J122+7)/COUNTIFS('Weekly Log'!$H:$H,"&lt;&gt;",'Weekly Log'!$A:$A,"&gt;="&amp;$J122,'Weekly Log'!$A:$A,"&lt;"&amp;$J122+7),0))</f>
        <v/>
      </c>
      <c r="E122">
        <f>IF($J122="","",IFERROR(AVERAGEIFS('Weekly Log'!$F:$F,'Weekly Log'!$A:$A,"&gt;="&amp;$J122,'Weekly Log'!$A:$A,"&lt;"&amp;$J122+7),0))</f>
        <v/>
      </c>
      <c r="F122">
        <f>IF($J122="","",IFERROR(SUMIFS('Weekly Log'!$F:$F,'Weekly Log'!$A:$A,"&gt;="&amp;$J122,'Weekly Log'!$A:$A,"&lt;"&amp;$J122+7)/SUMIFS('Weekly Log'!$E:$E,'Weekly Log'!$A:$A,"&gt;="&amp;$J122,'Weekly Log'!$A:$A,"&lt;"&amp;$J122+7),0))</f>
        <v/>
      </c>
      <c r="G122">
        <f>IF($J122="","",IFERROR(LOOKUP(2,1/(('Weekly Log'!$A$5:$A$5000&gt;=$J122)*('Weekly Log'!$A$5:$A$5000&lt;$J122+7)*('Weekly Log'!$M$5:$M$5000&lt;&gt;"")),'Weekly Log'!$M$5:$M$5000),0))</f>
        <v/>
      </c>
      <c r="J122">
        <f>IF(COUNT('Weekly Log'!$A$5:$A$5000)=0,"",IF(MIN('Weekly Log'!$A$5:$A$5000)+7*(ROW()-10)&gt;MAX('Weekly Log'!$A$5:$A$5000),"",MIN('Weekly Log'!$A$5:$A$5000)+7*(ROW()-10)))</f>
        <v/>
      </c>
    </row>
    <row r="123">
      <c r="A123">
        <f>IF($J123="","",YEAR($J123-WEEKDAY($J123,2)+4)&amp;"-W"&amp;TEXT(WEEKNUM($J123,21),"00"))</f>
        <v/>
      </c>
      <c r="B123">
        <f>IF($J123="","",SUMIFS('Weekly Log'!$C:$C,'Weekly Log'!$A:$A,"&gt;="&amp;$J123,'Weekly Log'!$A:$A,"&lt;"&amp;$J123+7))</f>
        <v/>
      </c>
      <c r="C123">
        <f>IF($J123="","",IFERROR(COUNTIFS('Weekly Log'!$G:$G,"Y",'Weekly Log'!$A:$A,"&gt;="&amp;$J123,'Weekly Log'!$A:$A,"&lt;"&amp;$J123+7)/COUNTIFS('Weekly Log'!$G:$G,"&lt;&gt;",'Weekly Log'!$A:$A,"&gt;="&amp;$J123,'Weekly Log'!$A:$A,"&lt;"&amp;$J123+7),0))</f>
        <v/>
      </c>
      <c r="D123">
        <f>IF($J123="","",IFERROR(COUNTIFS('Weekly Log'!$H:$H,"Y",'Weekly Log'!$A:$A,"&gt;="&amp;$J123,'Weekly Log'!$A:$A,"&lt;"&amp;$J123+7)/COUNTIFS('Weekly Log'!$H:$H,"&lt;&gt;",'Weekly Log'!$A:$A,"&gt;="&amp;$J123,'Weekly Log'!$A:$A,"&lt;"&amp;$J123+7),0))</f>
        <v/>
      </c>
      <c r="E123">
        <f>IF($J123="","",IFERROR(AVERAGEIFS('Weekly Log'!$F:$F,'Weekly Log'!$A:$A,"&gt;="&amp;$J123,'Weekly Log'!$A:$A,"&lt;"&amp;$J123+7),0))</f>
        <v/>
      </c>
      <c r="F123">
        <f>IF($J123="","",IFERROR(SUMIFS('Weekly Log'!$F:$F,'Weekly Log'!$A:$A,"&gt;="&amp;$J123,'Weekly Log'!$A:$A,"&lt;"&amp;$J123+7)/SUMIFS('Weekly Log'!$E:$E,'Weekly Log'!$A:$A,"&gt;="&amp;$J123,'Weekly Log'!$A:$A,"&lt;"&amp;$J123+7),0))</f>
        <v/>
      </c>
      <c r="G123">
        <f>IF($J123="","",IFERROR(LOOKUP(2,1/(('Weekly Log'!$A$5:$A$5000&gt;=$J123)*('Weekly Log'!$A$5:$A$5000&lt;$J123+7)*('Weekly Log'!$M$5:$M$5000&lt;&gt;"")),'Weekly Log'!$M$5:$M$5000),0))</f>
        <v/>
      </c>
      <c r="J123">
        <f>IF(COUNT('Weekly Log'!$A$5:$A$5000)=0,"",IF(MIN('Weekly Log'!$A$5:$A$5000)+7*(ROW()-10)&gt;MAX('Weekly Log'!$A$5:$A$5000),"",MIN('Weekly Log'!$A$5:$A$5000)+7*(ROW()-10)))</f>
        <v/>
      </c>
    </row>
    <row r="124">
      <c r="A124">
        <f>IF($J124="","",YEAR($J124-WEEKDAY($J124,2)+4)&amp;"-W"&amp;TEXT(WEEKNUM($J124,21),"00"))</f>
        <v/>
      </c>
      <c r="B124">
        <f>IF($J124="","",SUMIFS('Weekly Log'!$C:$C,'Weekly Log'!$A:$A,"&gt;="&amp;$J124,'Weekly Log'!$A:$A,"&lt;"&amp;$J124+7))</f>
        <v/>
      </c>
      <c r="C124">
        <f>IF($J124="","",IFERROR(COUNTIFS('Weekly Log'!$G:$G,"Y",'Weekly Log'!$A:$A,"&gt;="&amp;$J124,'Weekly Log'!$A:$A,"&lt;"&amp;$J124+7)/COUNTIFS('Weekly Log'!$G:$G,"&lt;&gt;",'Weekly Log'!$A:$A,"&gt;="&amp;$J124,'Weekly Log'!$A:$A,"&lt;"&amp;$J124+7),0))</f>
        <v/>
      </c>
      <c r="D124">
        <f>IF($J124="","",IFERROR(COUNTIFS('Weekly Log'!$H:$H,"Y",'Weekly Log'!$A:$A,"&gt;="&amp;$J124,'Weekly Log'!$A:$A,"&lt;"&amp;$J124+7)/COUNTIFS('Weekly Log'!$H:$H,"&lt;&gt;",'Weekly Log'!$A:$A,"&gt;="&amp;$J124,'Weekly Log'!$A:$A,"&lt;"&amp;$J124+7),0))</f>
        <v/>
      </c>
      <c r="E124">
        <f>IF($J124="","",IFERROR(AVERAGEIFS('Weekly Log'!$F:$F,'Weekly Log'!$A:$A,"&gt;="&amp;$J124,'Weekly Log'!$A:$A,"&lt;"&amp;$J124+7),0))</f>
        <v/>
      </c>
      <c r="F124">
        <f>IF($J124="","",IFERROR(SUMIFS('Weekly Log'!$F:$F,'Weekly Log'!$A:$A,"&gt;="&amp;$J124,'Weekly Log'!$A:$A,"&lt;"&amp;$J124+7)/SUMIFS('Weekly Log'!$E:$E,'Weekly Log'!$A:$A,"&gt;="&amp;$J124,'Weekly Log'!$A:$A,"&lt;"&amp;$J124+7),0))</f>
        <v/>
      </c>
      <c r="G124">
        <f>IF($J124="","",IFERROR(LOOKUP(2,1/(('Weekly Log'!$A$5:$A$5000&gt;=$J124)*('Weekly Log'!$A$5:$A$5000&lt;$J124+7)*('Weekly Log'!$M$5:$M$5000&lt;&gt;"")),'Weekly Log'!$M$5:$M$5000),0))</f>
        <v/>
      </c>
      <c r="J124">
        <f>IF(COUNT('Weekly Log'!$A$5:$A$5000)=0,"",IF(MIN('Weekly Log'!$A$5:$A$5000)+7*(ROW()-10)&gt;MAX('Weekly Log'!$A$5:$A$5000),"",MIN('Weekly Log'!$A$5:$A$5000)+7*(ROW()-10)))</f>
        <v/>
      </c>
    </row>
    <row r="125">
      <c r="A125">
        <f>IF($J125="","",YEAR($J125-WEEKDAY($J125,2)+4)&amp;"-W"&amp;TEXT(WEEKNUM($J125,21),"00"))</f>
        <v/>
      </c>
      <c r="B125">
        <f>IF($J125="","",SUMIFS('Weekly Log'!$C:$C,'Weekly Log'!$A:$A,"&gt;="&amp;$J125,'Weekly Log'!$A:$A,"&lt;"&amp;$J125+7))</f>
        <v/>
      </c>
      <c r="C125">
        <f>IF($J125="","",IFERROR(COUNTIFS('Weekly Log'!$G:$G,"Y",'Weekly Log'!$A:$A,"&gt;="&amp;$J125,'Weekly Log'!$A:$A,"&lt;"&amp;$J125+7)/COUNTIFS('Weekly Log'!$G:$G,"&lt;&gt;",'Weekly Log'!$A:$A,"&gt;="&amp;$J125,'Weekly Log'!$A:$A,"&lt;"&amp;$J125+7),0))</f>
        <v/>
      </c>
      <c r="D125">
        <f>IF($J125="","",IFERROR(COUNTIFS('Weekly Log'!$H:$H,"Y",'Weekly Log'!$A:$A,"&gt;="&amp;$J125,'Weekly Log'!$A:$A,"&lt;"&amp;$J125+7)/COUNTIFS('Weekly Log'!$H:$H,"&lt;&gt;",'Weekly Log'!$A:$A,"&gt;="&amp;$J125,'Weekly Log'!$A:$A,"&lt;"&amp;$J125+7),0))</f>
        <v/>
      </c>
      <c r="E125">
        <f>IF($J125="","",IFERROR(AVERAGEIFS('Weekly Log'!$F:$F,'Weekly Log'!$A:$A,"&gt;="&amp;$J125,'Weekly Log'!$A:$A,"&lt;"&amp;$J125+7),0))</f>
        <v/>
      </c>
      <c r="F125">
        <f>IF($J125="","",IFERROR(SUMIFS('Weekly Log'!$F:$F,'Weekly Log'!$A:$A,"&gt;="&amp;$J125,'Weekly Log'!$A:$A,"&lt;"&amp;$J125+7)/SUMIFS('Weekly Log'!$E:$E,'Weekly Log'!$A:$A,"&gt;="&amp;$J125,'Weekly Log'!$A:$A,"&lt;"&amp;$J125+7),0))</f>
        <v/>
      </c>
      <c r="G125">
        <f>IF($J125="","",IFERROR(LOOKUP(2,1/(('Weekly Log'!$A$5:$A$5000&gt;=$J125)*('Weekly Log'!$A$5:$A$5000&lt;$J125+7)*('Weekly Log'!$M$5:$M$5000&lt;&gt;"")),'Weekly Log'!$M$5:$M$5000),0))</f>
        <v/>
      </c>
      <c r="J125">
        <f>IF(COUNT('Weekly Log'!$A$5:$A$5000)=0,"",IF(MIN('Weekly Log'!$A$5:$A$5000)+7*(ROW()-10)&gt;MAX('Weekly Log'!$A$5:$A$5000),"",MIN('Weekly Log'!$A$5:$A$5000)+7*(ROW()-10)))</f>
        <v/>
      </c>
    </row>
    <row r="126">
      <c r="A126">
        <f>IF($J126="","",YEAR($J126-WEEKDAY($J126,2)+4)&amp;"-W"&amp;TEXT(WEEKNUM($J126,21),"00"))</f>
        <v/>
      </c>
      <c r="B126">
        <f>IF($J126="","",SUMIFS('Weekly Log'!$C:$C,'Weekly Log'!$A:$A,"&gt;="&amp;$J126,'Weekly Log'!$A:$A,"&lt;"&amp;$J126+7))</f>
        <v/>
      </c>
      <c r="C126">
        <f>IF($J126="","",IFERROR(COUNTIFS('Weekly Log'!$G:$G,"Y",'Weekly Log'!$A:$A,"&gt;="&amp;$J126,'Weekly Log'!$A:$A,"&lt;"&amp;$J126+7)/COUNTIFS('Weekly Log'!$G:$G,"&lt;&gt;",'Weekly Log'!$A:$A,"&gt;="&amp;$J126,'Weekly Log'!$A:$A,"&lt;"&amp;$J126+7),0))</f>
        <v/>
      </c>
      <c r="D126">
        <f>IF($J126="","",IFERROR(COUNTIFS('Weekly Log'!$H:$H,"Y",'Weekly Log'!$A:$A,"&gt;="&amp;$J126,'Weekly Log'!$A:$A,"&lt;"&amp;$J126+7)/COUNTIFS('Weekly Log'!$H:$H,"&lt;&gt;",'Weekly Log'!$A:$A,"&gt;="&amp;$J126,'Weekly Log'!$A:$A,"&lt;"&amp;$J126+7),0))</f>
        <v/>
      </c>
      <c r="E126">
        <f>IF($J126="","",IFERROR(AVERAGEIFS('Weekly Log'!$F:$F,'Weekly Log'!$A:$A,"&gt;="&amp;$J126,'Weekly Log'!$A:$A,"&lt;"&amp;$J126+7),0))</f>
        <v/>
      </c>
      <c r="F126">
        <f>IF($J126="","",IFERROR(SUMIFS('Weekly Log'!$F:$F,'Weekly Log'!$A:$A,"&gt;="&amp;$J126,'Weekly Log'!$A:$A,"&lt;"&amp;$J126+7)/SUMIFS('Weekly Log'!$E:$E,'Weekly Log'!$A:$A,"&gt;="&amp;$J126,'Weekly Log'!$A:$A,"&lt;"&amp;$J126+7),0))</f>
        <v/>
      </c>
      <c r="G126">
        <f>IF($J126="","",IFERROR(LOOKUP(2,1/(('Weekly Log'!$A$5:$A$5000&gt;=$J126)*('Weekly Log'!$A$5:$A$5000&lt;$J126+7)*('Weekly Log'!$M$5:$M$5000&lt;&gt;"")),'Weekly Log'!$M$5:$M$5000),0))</f>
        <v/>
      </c>
      <c r="J126">
        <f>IF(COUNT('Weekly Log'!$A$5:$A$5000)=0,"",IF(MIN('Weekly Log'!$A$5:$A$5000)+7*(ROW()-10)&gt;MAX('Weekly Log'!$A$5:$A$5000),"",MIN('Weekly Log'!$A$5:$A$5000)+7*(ROW()-10)))</f>
        <v/>
      </c>
    </row>
    <row r="127">
      <c r="A127">
        <f>IF($J127="","",YEAR($J127-WEEKDAY($J127,2)+4)&amp;"-W"&amp;TEXT(WEEKNUM($J127,21),"00"))</f>
        <v/>
      </c>
      <c r="B127">
        <f>IF($J127="","",SUMIFS('Weekly Log'!$C:$C,'Weekly Log'!$A:$A,"&gt;="&amp;$J127,'Weekly Log'!$A:$A,"&lt;"&amp;$J127+7))</f>
        <v/>
      </c>
      <c r="C127">
        <f>IF($J127="","",IFERROR(COUNTIFS('Weekly Log'!$G:$G,"Y",'Weekly Log'!$A:$A,"&gt;="&amp;$J127,'Weekly Log'!$A:$A,"&lt;"&amp;$J127+7)/COUNTIFS('Weekly Log'!$G:$G,"&lt;&gt;",'Weekly Log'!$A:$A,"&gt;="&amp;$J127,'Weekly Log'!$A:$A,"&lt;"&amp;$J127+7),0))</f>
        <v/>
      </c>
      <c r="D127">
        <f>IF($J127="","",IFERROR(COUNTIFS('Weekly Log'!$H:$H,"Y",'Weekly Log'!$A:$A,"&gt;="&amp;$J127,'Weekly Log'!$A:$A,"&lt;"&amp;$J127+7)/COUNTIFS('Weekly Log'!$H:$H,"&lt;&gt;",'Weekly Log'!$A:$A,"&gt;="&amp;$J127,'Weekly Log'!$A:$A,"&lt;"&amp;$J127+7),0))</f>
        <v/>
      </c>
      <c r="E127">
        <f>IF($J127="","",IFERROR(AVERAGEIFS('Weekly Log'!$F:$F,'Weekly Log'!$A:$A,"&gt;="&amp;$J127,'Weekly Log'!$A:$A,"&lt;"&amp;$J127+7),0))</f>
        <v/>
      </c>
      <c r="F127">
        <f>IF($J127="","",IFERROR(SUMIFS('Weekly Log'!$F:$F,'Weekly Log'!$A:$A,"&gt;="&amp;$J127,'Weekly Log'!$A:$A,"&lt;"&amp;$J127+7)/SUMIFS('Weekly Log'!$E:$E,'Weekly Log'!$A:$A,"&gt;="&amp;$J127,'Weekly Log'!$A:$A,"&lt;"&amp;$J127+7),0))</f>
        <v/>
      </c>
      <c r="G127">
        <f>IF($J127="","",IFERROR(LOOKUP(2,1/(('Weekly Log'!$A$5:$A$5000&gt;=$J127)*('Weekly Log'!$A$5:$A$5000&lt;$J127+7)*('Weekly Log'!$M$5:$M$5000&lt;&gt;"")),'Weekly Log'!$M$5:$M$5000),0))</f>
        <v/>
      </c>
      <c r="J127">
        <f>IF(COUNT('Weekly Log'!$A$5:$A$5000)=0,"",IF(MIN('Weekly Log'!$A$5:$A$5000)+7*(ROW()-10)&gt;MAX('Weekly Log'!$A$5:$A$5000),"",MIN('Weekly Log'!$A$5:$A$5000)+7*(ROW()-10)))</f>
        <v/>
      </c>
    </row>
    <row r="128">
      <c r="A128">
        <f>IF($J128="","",YEAR($J128-WEEKDAY($J128,2)+4)&amp;"-W"&amp;TEXT(WEEKNUM($J128,21),"00"))</f>
        <v/>
      </c>
      <c r="B128">
        <f>IF($J128="","",SUMIFS('Weekly Log'!$C:$C,'Weekly Log'!$A:$A,"&gt;="&amp;$J128,'Weekly Log'!$A:$A,"&lt;"&amp;$J128+7))</f>
        <v/>
      </c>
      <c r="C128">
        <f>IF($J128="","",IFERROR(COUNTIFS('Weekly Log'!$G:$G,"Y",'Weekly Log'!$A:$A,"&gt;="&amp;$J128,'Weekly Log'!$A:$A,"&lt;"&amp;$J128+7)/COUNTIFS('Weekly Log'!$G:$G,"&lt;&gt;",'Weekly Log'!$A:$A,"&gt;="&amp;$J128,'Weekly Log'!$A:$A,"&lt;"&amp;$J128+7),0))</f>
        <v/>
      </c>
      <c r="D128">
        <f>IF($J128="","",IFERROR(COUNTIFS('Weekly Log'!$H:$H,"Y",'Weekly Log'!$A:$A,"&gt;="&amp;$J128,'Weekly Log'!$A:$A,"&lt;"&amp;$J128+7)/COUNTIFS('Weekly Log'!$H:$H,"&lt;&gt;",'Weekly Log'!$A:$A,"&gt;="&amp;$J128,'Weekly Log'!$A:$A,"&lt;"&amp;$J128+7),0))</f>
        <v/>
      </c>
      <c r="E128">
        <f>IF($J128="","",IFERROR(AVERAGEIFS('Weekly Log'!$F:$F,'Weekly Log'!$A:$A,"&gt;="&amp;$J128,'Weekly Log'!$A:$A,"&lt;"&amp;$J128+7),0))</f>
        <v/>
      </c>
      <c r="F128">
        <f>IF($J128="","",IFERROR(SUMIFS('Weekly Log'!$F:$F,'Weekly Log'!$A:$A,"&gt;="&amp;$J128,'Weekly Log'!$A:$A,"&lt;"&amp;$J128+7)/SUMIFS('Weekly Log'!$E:$E,'Weekly Log'!$A:$A,"&gt;="&amp;$J128,'Weekly Log'!$A:$A,"&lt;"&amp;$J128+7),0))</f>
        <v/>
      </c>
      <c r="G128">
        <f>IF($J128="","",IFERROR(LOOKUP(2,1/(('Weekly Log'!$A$5:$A$5000&gt;=$J128)*('Weekly Log'!$A$5:$A$5000&lt;$J128+7)*('Weekly Log'!$M$5:$M$5000&lt;&gt;"")),'Weekly Log'!$M$5:$M$5000),0))</f>
        <v/>
      </c>
      <c r="J128">
        <f>IF(COUNT('Weekly Log'!$A$5:$A$5000)=0,"",IF(MIN('Weekly Log'!$A$5:$A$5000)+7*(ROW()-10)&gt;MAX('Weekly Log'!$A$5:$A$5000),"",MIN('Weekly Log'!$A$5:$A$5000)+7*(ROW()-10)))</f>
        <v/>
      </c>
    </row>
    <row r="129">
      <c r="A129">
        <f>IF($J129="","",YEAR($J129-WEEKDAY($J129,2)+4)&amp;"-W"&amp;TEXT(WEEKNUM($J129,21),"00"))</f>
        <v/>
      </c>
      <c r="B129">
        <f>IF($J129="","",SUMIFS('Weekly Log'!$C:$C,'Weekly Log'!$A:$A,"&gt;="&amp;$J129,'Weekly Log'!$A:$A,"&lt;"&amp;$J129+7))</f>
        <v/>
      </c>
      <c r="C129">
        <f>IF($J129="","",IFERROR(COUNTIFS('Weekly Log'!$G:$G,"Y",'Weekly Log'!$A:$A,"&gt;="&amp;$J129,'Weekly Log'!$A:$A,"&lt;"&amp;$J129+7)/COUNTIFS('Weekly Log'!$G:$G,"&lt;&gt;",'Weekly Log'!$A:$A,"&gt;="&amp;$J129,'Weekly Log'!$A:$A,"&lt;"&amp;$J129+7),0))</f>
        <v/>
      </c>
      <c r="D129">
        <f>IF($J129="","",IFERROR(COUNTIFS('Weekly Log'!$H:$H,"Y",'Weekly Log'!$A:$A,"&gt;="&amp;$J129,'Weekly Log'!$A:$A,"&lt;"&amp;$J129+7)/COUNTIFS('Weekly Log'!$H:$H,"&lt;&gt;",'Weekly Log'!$A:$A,"&gt;="&amp;$J129,'Weekly Log'!$A:$A,"&lt;"&amp;$J129+7),0))</f>
        <v/>
      </c>
      <c r="E129">
        <f>IF($J129="","",IFERROR(AVERAGEIFS('Weekly Log'!$F:$F,'Weekly Log'!$A:$A,"&gt;="&amp;$J129,'Weekly Log'!$A:$A,"&lt;"&amp;$J129+7),0))</f>
        <v/>
      </c>
      <c r="F129">
        <f>IF($J129="","",IFERROR(SUMIFS('Weekly Log'!$F:$F,'Weekly Log'!$A:$A,"&gt;="&amp;$J129,'Weekly Log'!$A:$A,"&lt;"&amp;$J129+7)/SUMIFS('Weekly Log'!$E:$E,'Weekly Log'!$A:$A,"&gt;="&amp;$J129,'Weekly Log'!$A:$A,"&lt;"&amp;$J129+7),0))</f>
        <v/>
      </c>
      <c r="G129">
        <f>IF($J129="","",IFERROR(LOOKUP(2,1/(('Weekly Log'!$A$5:$A$5000&gt;=$J129)*('Weekly Log'!$A$5:$A$5000&lt;$J129+7)*('Weekly Log'!$M$5:$M$5000&lt;&gt;"")),'Weekly Log'!$M$5:$M$5000),0))</f>
        <v/>
      </c>
      <c r="J129">
        <f>IF(COUNT('Weekly Log'!$A$5:$A$5000)=0,"",IF(MIN('Weekly Log'!$A$5:$A$5000)+7*(ROW()-10)&gt;MAX('Weekly Log'!$A$5:$A$5000),"",MIN('Weekly Log'!$A$5:$A$5000)+7*(ROW()-10)))</f>
        <v/>
      </c>
    </row>
    <row r="130">
      <c r="A130">
        <f>IF($J130="","",YEAR($J130-WEEKDAY($J130,2)+4)&amp;"-W"&amp;TEXT(WEEKNUM($J130,21),"00"))</f>
        <v/>
      </c>
      <c r="B130">
        <f>IF($J130="","",SUMIFS('Weekly Log'!$C:$C,'Weekly Log'!$A:$A,"&gt;="&amp;$J130,'Weekly Log'!$A:$A,"&lt;"&amp;$J130+7))</f>
        <v/>
      </c>
      <c r="C130">
        <f>IF($J130="","",IFERROR(COUNTIFS('Weekly Log'!$G:$G,"Y",'Weekly Log'!$A:$A,"&gt;="&amp;$J130,'Weekly Log'!$A:$A,"&lt;"&amp;$J130+7)/COUNTIFS('Weekly Log'!$G:$G,"&lt;&gt;",'Weekly Log'!$A:$A,"&gt;="&amp;$J130,'Weekly Log'!$A:$A,"&lt;"&amp;$J130+7),0))</f>
        <v/>
      </c>
      <c r="D130">
        <f>IF($J130="","",IFERROR(COUNTIFS('Weekly Log'!$H:$H,"Y",'Weekly Log'!$A:$A,"&gt;="&amp;$J130,'Weekly Log'!$A:$A,"&lt;"&amp;$J130+7)/COUNTIFS('Weekly Log'!$H:$H,"&lt;&gt;",'Weekly Log'!$A:$A,"&gt;="&amp;$J130,'Weekly Log'!$A:$A,"&lt;"&amp;$J130+7),0))</f>
        <v/>
      </c>
      <c r="E130">
        <f>IF($J130="","",IFERROR(AVERAGEIFS('Weekly Log'!$F:$F,'Weekly Log'!$A:$A,"&gt;="&amp;$J130,'Weekly Log'!$A:$A,"&lt;"&amp;$J130+7),0))</f>
        <v/>
      </c>
      <c r="F130">
        <f>IF($J130="","",IFERROR(SUMIFS('Weekly Log'!$F:$F,'Weekly Log'!$A:$A,"&gt;="&amp;$J130,'Weekly Log'!$A:$A,"&lt;"&amp;$J130+7)/SUMIFS('Weekly Log'!$E:$E,'Weekly Log'!$A:$A,"&gt;="&amp;$J130,'Weekly Log'!$A:$A,"&lt;"&amp;$J130+7),0))</f>
        <v/>
      </c>
      <c r="G130">
        <f>IF($J130="","",IFERROR(LOOKUP(2,1/(('Weekly Log'!$A$5:$A$5000&gt;=$J130)*('Weekly Log'!$A$5:$A$5000&lt;$J130+7)*('Weekly Log'!$M$5:$M$5000&lt;&gt;"")),'Weekly Log'!$M$5:$M$5000),0))</f>
        <v/>
      </c>
      <c r="J130">
        <f>IF(COUNT('Weekly Log'!$A$5:$A$5000)=0,"",IF(MIN('Weekly Log'!$A$5:$A$5000)+7*(ROW()-10)&gt;MAX('Weekly Log'!$A$5:$A$5000),"",MIN('Weekly Log'!$A$5:$A$5000)+7*(ROW()-10)))</f>
        <v/>
      </c>
    </row>
    <row r="131">
      <c r="A131">
        <f>IF($J131="","",YEAR($J131-WEEKDAY($J131,2)+4)&amp;"-W"&amp;TEXT(WEEKNUM($J131,21),"00"))</f>
        <v/>
      </c>
      <c r="B131">
        <f>IF($J131="","",SUMIFS('Weekly Log'!$C:$C,'Weekly Log'!$A:$A,"&gt;="&amp;$J131,'Weekly Log'!$A:$A,"&lt;"&amp;$J131+7))</f>
        <v/>
      </c>
      <c r="C131">
        <f>IF($J131="","",IFERROR(COUNTIFS('Weekly Log'!$G:$G,"Y",'Weekly Log'!$A:$A,"&gt;="&amp;$J131,'Weekly Log'!$A:$A,"&lt;"&amp;$J131+7)/COUNTIFS('Weekly Log'!$G:$G,"&lt;&gt;",'Weekly Log'!$A:$A,"&gt;="&amp;$J131,'Weekly Log'!$A:$A,"&lt;"&amp;$J131+7),0))</f>
        <v/>
      </c>
      <c r="D131">
        <f>IF($J131="","",IFERROR(COUNTIFS('Weekly Log'!$H:$H,"Y",'Weekly Log'!$A:$A,"&gt;="&amp;$J131,'Weekly Log'!$A:$A,"&lt;"&amp;$J131+7)/COUNTIFS('Weekly Log'!$H:$H,"&lt;&gt;",'Weekly Log'!$A:$A,"&gt;="&amp;$J131,'Weekly Log'!$A:$A,"&lt;"&amp;$J131+7),0))</f>
        <v/>
      </c>
      <c r="E131">
        <f>IF($J131="","",IFERROR(AVERAGEIFS('Weekly Log'!$F:$F,'Weekly Log'!$A:$A,"&gt;="&amp;$J131,'Weekly Log'!$A:$A,"&lt;"&amp;$J131+7),0))</f>
        <v/>
      </c>
      <c r="F131">
        <f>IF($J131="","",IFERROR(SUMIFS('Weekly Log'!$F:$F,'Weekly Log'!$A:$A,"&gt;="&amp;$J131,'Weekly Log'!$A:$A,"&lt;"&amp;$J131+7)/SUMIFS('Weekly Log'!$E:$E,'Weekly Log'!$A:$A,"&gt;="&amp;$J131,'Weekly Log'!$A:$A,"&lt;"&amp;$J131+7),0))</f>
        <v/>
      </c>
      <c r="G131">
        <f>IF($J131="","",IFERROR(LOOKUP(2,1/(('Weekly Log'!$A$5:$A$5000&gt;=$J131)*('Weekly Log'!$A$5:$A$5000&lt;$J131+7)*('Weekly Log'!$M$5:$M$5000&lt;&gt;"")),'Weekly Log'!$M$5:$M$5000),0))</f>
        <v/>
      </c>
      <c r="J131">
        <f>IF(COUNT('Weekly Log'!$A$5:$A$5000)=0,"",IF(MIN('Weekly Log'!$A$5:$A$5000)+7*(ROW()-10)&gt;MAX('Weekly Log'!$A$5:$A$5000),"",MIN('Weekly Log'!$A$5:$A$5000)+7*(ROW()-10)))</f>
        <v/>
      </c>
    </row>
    <row r="132">
      <c r="A132">
        <f>IF($J132="","",YEAR($J132-WEEKDAY($J132,2)+4)&amp;"-W"&amp;TEXT(WEEKNUM($J132,21),"00"))</f>
        <v/>
      </c>
      <c r="B132">
        <f>IF($J132="","",SUMIFS('Weekly Log'!$C:$C,'Weekly Log'!$A:$A,"&gt;="&amp;$J132,'Weekly Log'!$A:$A,"&lt;"&amp;$J132+7))</f>
        <v/>
      </c>
      <c r="C132">
        <f>IF($J132="","",IFERROR(COUNTIFS('Weekly Log'!$G:$G,"Y",'Weekly Log'!$A:$A,"&gt;="&amp;$J132,'Weekly Log'!$A:$A,"&lt;"&amp;$J132+7)/COUNTIFS('Weekly Log'!$G:$G,"&lt;&gt;",'Weekly Log'!$A:$A,"&gt;="&amp;$J132,'Weekly Log'!$A:$A,"&lt;"&amp;$J132+7),0))</f>
        <v/>
      </c>
      <c r="D132">
        <f>IF($J132="","",IFERROR(COUNTIFS('Weekly Log'!$H:$H,"Y",'Weekly Log'!$A:$A,"&gt;="&amp;$J132,'Weekly Log'!$A:$A,"&lt;"&amp;$J132+7)/COUNTIFS('Weekly Log'!$H:$H,"&lt;&gt;",'Weekly Log'!$A:$A,"&gt;="&amp;$J132,'Weekly Log'!$A:$A,"&lt;"&amp;$J132+7),0))</f>
        <v/>
      </c>
      <c r="E132">
        <f>IF($J132="","",IFERROR(AVERAGEIFS('Weekly Log'!$F:$F,'Weekly Log'!$A:$A,"&gt;="&amp;$J132,'Weekly Log'!$A:$A,"&lt;"&amp;$J132+7),0))</f>
        <v/>
      </c>
      <c r="F132">
        <f>IF($J132="","",IFERROR(SUMIFS('Weekly Log'!$F:$F,'Weekly Log'!$A:$A,"&gt;="&amp;$J132,'Weekly Log'!$A:$A,"&lt;"&amp;$J132+7)/SUMIFS('Weekly Log'!$E:$E,'Weekly Log'!$A:$A,"&gt;="&amp;$J132,'Weekly Log'!$A:$A,"&lt;"&amp;$J132+7),0))</f>
        <v/>
      </c>
      <c r="G132">
        <f>IF($J132="","",IFERROR(LOOKUP(2,1/(('Weekly Log'!$A$5:$A$5000&gt;=$J132)*('Weekly Log'!$A$5:$A$5000&lt;$J132+7)*('Weekly Log'!$M$5:$M$5000&lt;&gt;"")),'Weekly Log'!$M$5:$M$5000),0))</f>
        <v/>
      </c>
      <c r="J132">
        <f>IF(COUNT('Weekly Log'!$A$5:$A$5000)=0,"",IF(MIN('Weekly Log'!$A$5:$A$5000)+7*(ROW()-10)&gt;MAX('Weekly Log'!$A$5:$A$5000),"",MIN('Weekly Log'!$A$5:$A$5000)+7*(ROW()-10)))</f>
        <v/>
      </c>
    </row>
    <row r="133">
      <c r="A133">
        <f>IF($J133="","",YEAR($J133-WEEKDAY($J133,2)+4)&amp;"-W"&amp;TEXT(WEEKNUM($J133,21),"00"))</f>
        <v/>
      </c>
      <c r="B133">
        <f>IF($J133="","",SUMIFS('Weekly Log'!$C:$C,'Weekly Log'!$A:$A,"&gt;="&amp;$J133,'Weekly Log'!$A:$A,"&lt;"&amp;$J133+7))</f>
        <v/>
      </c>
      <c r="C133">
        <f>IF($J133="","",IFERROR(COUNTIFS('Weekly Log'!$G:$G,"Y",'Weekly Log'!$A:$A,"&gt;="&amp;$J133,'Weekly Log'!$A:$A,"&lt;"&amp;$J133+7)/COUNTIFS('Weekly Log'!$G:$G,"&lt;&gt;",'Weekly Log'!$A:$A,"&gt;="&amp;$J133,'Weekly Log'!$A:$A,"&lt;"&amp;$J133+7),0))</f>
        <v/>
      </c>
      <c r="D133">
        <f>IF($J133="","",IFERROR(COUNTIFS('Weekly Log'!$H:$H,"Y",'Weekly Log'!$A:$A,"&gt;="&amp;$J133,'Weekly Log'!$A:$A,"&lt;"&amp;$J133+7)/COUNTIFS('Weekly Log'!$H:$H,"&lt;&gt;",'Weekly Log'!$A:$A,"&gt;="&amp;$J133,'Weekly Log'!$A:$A,"&lt;"&amp;$J133+7),0))</f>
        <v/>
      </c>
      <c r="E133">
        <f>IF($J133="","",IFERROR(AVERAGEIFS('Weekly Log'!$F:$F,'Weekly Log'!$A:$A,"&gt;="&amp;$J133,'Weekly Log'!$A:$A,"&lt;"&amp;$J133+7),0))</f>
        <v/>
      </c>
      <c r="F133">
        <f>IF($J133="","",IFERROR(SUMIFS('Weekly Log'!$F:$F,'Weekly Log'!$A:$A,"&gt;="&amp;$J133,'Weekly Log'!$A:$A,"&lt;"&amp;$J133+7)/SUMIFS('Weekly Log'!$E:$E,'Weekly Log'!$A:$A,"&gt;="&amp;$J133,'Weekly Log'!$A:$A,"&lt;"&amp;$J133+7),0))</f>
        <v/>
      </c>
      <c r="G133">
        <f>IF($J133="","",IFERROR(LOOKUP(2,1/(('Weekly Log'!$A$5:$A$5000&gt;=$J133)*('Weekly Log'!$A$5:$A$5000&lt;$J133+7)*('Weekly Log'!$M$5:$M$5000&lt;&gt;"")),'Weekly Log'!$M$5:$M$5000),0))</f>
        <v/>
      </c>
      <c r="J133">
        <f>IF(COUNT('Weekly Log'!$A$5:$A$5000)=0,"",IF(MIN('Weekly Log'!$A$5:$A$5000)+7*(ROW()-10)&gt;MAX('Weekly Log'!$A$5:$A$5000),"",MIN('Weekly Log'!$A$5:$A$5000)+7*(ROW()-10)))</f>
        <v/>
      </c>
    </row>
    <row r="134">
      <c r="A134">
        <f>IF($J134="","",YEAR($J134-WEEKDAY($J134,2)+4)&amp;"-W"&amp;TEXT(WEEKNUM($J134,21),"00"))</f>
        <v/>
      </c>
      <c r="B134">
        <f>IF($J134="","",SUMIFS('Weekly Log'!$C:$C,'Weekly Log'!$A:$A,"&gt;="&amp;$J134,'Weekly Log'!$A:$A,"&lt;"&amp;$J134+7))</f>
        <v/>
      </c>
      <c r="C134">
        <f>IF($J134="","",IFERROR(COUNTIFS('Weekly Log'!$G:$G,"Y",'Weekly Log'!$A:$A,"&gt;="&amp;$J134,'Weekly Log'!$A:$A,"&lt;"&amp;$J134+7)/COUNTIFS('Weekly Log'!$G:$G,"&lt;&gt;",'Weekly Log'!$A:$A,"&gt;="&amp;$J134,'Weekly Log'!$A:$A,"&lt;"&amp;$J134+7),0))</f>
        <v/>
      </c>
      <c r="D134">
        <f>IF($J134="","",IFERROR(COUNTIFS('Weekly Log'!$H:$H,"Y",'Weekly Log'!$A:$A,"&gt;="&amp;$J134,'Weekly Log'!$A:$A,"&lt;"&amp;$J134+7)/COUNTIFS('Weekly Log'!$H:$H,"&lt;&gt;",'Weekly Log'!$A:$A,"&gt;="&amp;$J134,'Weekly Log'!$A:$A,"&lt;"&amp;$J134+7),0))</f>
        <v/>
      </c>
      <c r="E134">
        <f>IF($J134="","",IFERROR(AVERAGEIFS('Weekly Log'!$F:$F,'Weekly Log'!$A:$A,"&gt;="&amp;$J134,'Weekly Log'!$A:$A,"&lt;"&amp;$J134+7),0))</f>
        <v/>
      </c>
      <c r="F134">
        <f>IF($J134="","",IFERROR(SUMIFS('Weekly Log'!$F:$F,'Weekly Log'!$A:$A,"&gt;="&amp;$J134,'Weekly Log'!$A:$A,"&lt;"&amp;$J134+7)/SUMIFS('Weekly Log'!$E:$E,'Weekly Log'!$A:$A,"&gt;="&amp;$J134,'Weekly Log'!$A:$A,"&lt;"&amp;$J134+7),0))</f>
        <v/>
      </c>
      <c r="G134">
        <f>IF($J134="","",IFERROR(LOOKUP(2,1/(('Weekly Log'!$A$5:$A$5000&gt;=$J134)*('Weekly Log'!$A$5:$A$5000&lt;$J134+7)*('Weekly Log'!$M$5:$M$5000&lt;&gt;"")),'Weekly Log'!$M$5:$M$5000),0))</f>
        <v/>
      </c>
      <c r="J134">
        <f>IF(COUNT('Weekly Log'!$A$5:$A$5000)=0,"",IF(MIN('Weekly Log'!$A$5:$A$5000)+7*(ROW()-10)&gt;MAX('Weekly Log'!$A$5:$A$5000),"",MIN('Weekly Log'!$A$5:$A$5000)+7*(ROW()-10)))</f>
        <v/>
      </c>
    </row>
    <row r="135">
      <c r="A135">
        <f>IF($J135="","",YEAR($J135-WEEKDAY($J135,2)+4)&amp;"-W"&amp;TEXT(WEEKNUM($J135,21),"00"))</f>
        <v/>
      </c>
      <c r="B135">
        <f>IF($J135="","",SUMIFS('Weekly Log'!$C:$C,'Weekly Log'!$A:$A,"&gt;="&amp;$J135,'Weekly Log'!$A:$A,"&lt;"&amp;$J135+7))</f>
        <v/>
      </c>
      <c r="C135">
        <f>IF($J135="","",IFERROR(COUNTIFS('Weekly Log'!$G:$G,"Y",'Weekly Log'!$A:$A,"&gt;="&amp;$J135,'Weekly Log'!$A:$A,"&lt;"&amp;$J135+7)/COUNTIFS('Weekly Log'!$G:$G,"&lt;&gt;",'Weekly Log'!$A:$A,"&gt;="&amp;$J135,'Weekly Log'!$A:$A,"&lt;"&amp;$J135+7),0))</f>
        <v/>
      </c>
      <c r="D135">
        <f>IF($J135="","",IFERROR(COUNTIFS('Weekly Log'!$H:$H,"Y",'Weekly Log'!$A:$A,"&gt;="&amp;$J135,'Weekly Log'!$A:$A,"&lt;"&amp;$J135+7)/COUNTIFS('Weekly Log'!$H:$H,"&lt;&gt;",'Weekly Log'!$A:$A,"&gt;="&amp;$J135,'Weekly Log'!$A:$A,"&lt;"&amp;$J135+7),0))</f>
        <v/>
      </c>
      <c r="E135">
        <f>IF($J135="","",IFERROR(AVERAGEIFS('Weekly Log'!$F:$F,'Weekly Log'!$A:$A,"&gt;="&amp;$J135,'Weekly Log'!$A:$A,"&lt;"&amp;$J135+7),0))</f>
        <v/>
      </c>
      <c r="F135">
        <f>IF($J135="","",IFERROR(SUMIFS('Weekly Log'!$F:$F,'Weekly Log'!$A:$A,"&gt;="&amp;$J135,'Weekly Log'!$A:$A,"&lt;"&amp;$J135+7)/SUMIFS('Weekly Log'!$E:$E,'Weekly Log'!$A:$A,"&gt;="&amp;$J135,'Weekly Log'!$A:$A,"&lt;"&amp;$J135+7),0))</f>
        <v/>
      </c>
      <c r="G135">
        <f>IF($J135="","",IFERROR(LOOKUP(2,1/(('Weekly Log'!$A$5:$A$5000&gt;=$J135)*('Weekly Log'!$A$5:$A$5000&lt;$J135+7)*('Weekly Log'!$M$5:$M$5000&lt;&gt;"")),'Weekly Log'!$M$5:$M$5000),0))</f>
        <v/>
      </c>
      <c r="J135">
        <f>IF(COUNT('Weekly Log'!$A$5:$A$5000)=0,"",IF(MIN('Weekly Log'!$A$5:$A$5000)+7*(ROW()-10)&gt;MAX('Weekly Log'!$A$5:$A$5000),"",MIN('Weekly Log'!$A$5:$A$5000)+7*(ROW()-10)))</f>
        <v/>
      </c>
    </row>
    <row r="136">
      <c r="A136">
        <f>IF($J136="","",YEAR($J136-WEEKDAY($J136,2)+4)&amp;"-W"&amp;TEXT(WEEKNUM($J136,21),"00"))</f>
        <v/>
      </c>
      <c r="B136">
        <f>IF($J136="","",SUMIFS('Weekly Log'!$C:$C,'Weekly Log'!$A:$A,"&gt;="&amp;$J136,'Weekly Log'!$A:$A,"&lt;"&amp;$J136+7))</f>
        <v/>
      </c>
      <c r="C136">
        <f>IF($J136="","",IFERROR(COUNTIFS('Weekly Log'!$G:$G,"Y",'Weekly Log'!$A:$A,"&gt;="&amp;$J136,'Weekly Log'!$A:$A,"&lt;"&amp;$J136+7)/COUNTIFS('Weekly Log'!$G:$G,"&lt;&gt;",'Weekly Log'!$A:$A,"&gt;="&amp;$J136,'Weekly Log'!$A:$A,"&lt;"&amp;$J136+7),0))</f>
        <v/>
      </c>
      <c r="D136">
        <f>IF($J136="","",IFERROR(COUNTIFS('Weekly Log'!$H:$H,"Y",'Weekly Log'!$A:$A,"&gt;="&amp;$J136,'Weekly Log'!$A:$A,"&lt;"&amp;$J136+7)/COUNTIFS('Weekly Log'!$H:$H,"&lt;&gt;",'Weekly Log'!$A:$A,"&gt;="&amp;$J136,'Weekly Log'!$A:$A,"&lt;"&amp;$J136+7),0))</f>
        <v/>
      </c>
      <c r="E136">
        <f>IF($J136="","",IFERROR(AVERAGEIFS('Weekly Log'!$F:$F,'Weekly Log'!$A:$A,"&gt;="&amp;$J136,'Weekly Log'!$A:$A,"&lt;"&amp;$J136+7),0))</f>
        <v/>
      </c>
      <c r="F136">
        <f>IF($J136="","",IFERROR(SUMIFS('Weekly Log'!$F:$F,'Weekly Log'!$A:$A,"&gt;="&amp;$J136,'Weekly Log'!$A:$A,"&lt;"&amp;$J136+7)/SUMIFS('Weekly Log'!$E:$E,'Weekly Log'!$A:$A,"&gt;="&amp;$J136,'Weekly Log'!$A:$A,"&lt;"&amp;$J136+7),0))</f>
        <v/>
      </c>
      <c r="G136">
        <f>IF($J136="","",IFERROR(LOOKUP(2,1/(('Weekly Log'!$A$5:$A$5000&gt;=$J136)*('Weekly Log'!$A$5:$A$5000&lt;$J136+7)*('Weekly Log'!$M$5:$M$5000&lt;&gt;"")),'Weekly Log'!$M$5:$M$5000),0))</f>
        <v/>
      </c>
      <c r="J136">
        <f>IF(COUNT('Weekly Log'!$A$5:$A$5000)=0,"",IF(MIN('Weekly Log'!$A$5:$A$5000)+7*(ROW()-10)&gt;MAX('Weekly Log'!$A$5:$A$5000),"",MIN('Weekly Log'!$A$5:$A$5000)+7*(ROW()-10)))</f>
        <v/>
      </c>
    </row>
    <row r="137">
      <c r="A137">
        <f>IF($J137="","",YEAR($J137-WEEKDAY($J137,2)+4)&amp;"-W"&amp;TEXT(WEEKNUM($J137,21),"00"))</f>
        <v/>
      </c>
      <c r="B137">
        <f>IF($J137="","",SUMIFS('Weekly Log'!$C:$C,'Weekly Log'!$A:$A,"&gt;="&amp;$J137,'Weekly Log'!$A:$A,"&lt;"&amp;$J137+7))</f>
        <v/>
      </c>
      <c r="C137">
        <f>IF($J137="","",IFERROR(COUNTIFS('Weekly Log'!$G:$G,"Y",'Weekly Log'!$A:$A,"&gt;="&amp;$J137,'Weekly Log'!$A:$A,"&lt;"&amp;$J137+7)/COUNTIFS('Weekly Log'!$G:$G,"&lt;&gt;",'Weekly Log'!$A:$A,"&gt;="&amp;$J137,'Weekly Log'!$A:$A,"&lt;"&amp;$J137+7),0))</f>
        <v/>
      </c>
      <c r="D137">
        <f>IF($J137="","",IFERROR(COUNTIFS('Weekly Log'!$H:$H,"Y",'Weekly Log'!$A:$A,"&gt;="&amp;$J137,'Weekly Log'!$A:$A,"&lt;"&amp;$J137+7)/COUNTIFS('Weekly Log'!$H:$H,"&lt;&gt;",'Weekly Log'!$A:$A,"&gt;="&amp;$J137,'Weekly Log'!$A:$A,"&lt;"&amp;$J137+7),0))</f>
        <v/>
      </c>
      <c r="E137">
        <f>IF($J137="","",IFERROR(AVERAGEIFS('Weekly Log'!$F:$F,'Weekly Log'!$A:$A,"&gt;="&amp;$J137,'Weekly Log'!$A:$A,"&lt;"&amp;$J137+7),0))</f>
        <v/>
      </c>
      <c r="F137">
        <f>IF($J137="","",IFERROR(SUMIFS('Weekly Log'!$F:$F,'Weekly Log'!$A:$A,"&gt;="&amp;$J137,'Weekly Log'!$A:$A,"&lt;"&amp;$J137+7)/SUMIFS('Weekly Log'!$E:$E,'Weekly Log'!$A:$A,"&gt;="&amp;$J137,'Weekly Log'!$A:$A,"&lt;"&amp;$J137+7),0))</f>
        <v/>
      </c>
      <c r="G137">
        <f>IF($J137="","",IFERROR(LOOKUP(2,1/(('Weekly Log'!$A$5:$A$5000&gt;=$J137)*('Weekly Log'!$A$5:$A$5000&lt;$J137+7)*('Weekly Log'!$M$5:$M$5000&lt;&gt;"")),'Weekly Log'!$M$5:$M$5000),0))</f>
        <v/>
      </c>
      <c r="J137">
        <f>IF(COUNT('Weekly Log'!$A$5:$A$5000)=0,"",IF(MIN('Weekly Log'!$A$5:$A$5000)+7*(ROW()-10)&gt;MAX('Weekly Log'!$A$5:$A$5000),"",MIN('Weekly Log'!$A$5:$A$5000)+7*(ROW()-10)))</f>
        <v/>
      </c>
    </row>
    <row r="138">
      <c r="A138">
        <f>IF($J138="","",YEAR($J138-WEEKDAY($J138,2)+4)&amp;"-W"&amp;TEXT(WEEKNUM($J138,21),"00"))</f>
        <v/>
      </c>
      <c r="B138">
        <f>IF($J138="","",SUMIFS('Weekly Log'!$C:$C,'Weekly Log'!$A:$A,"&gt;="&amp;$J138,'Weekly Log'!$A:$A,"&lt;"&amp;$J138+7))</f>
        <v/>
      </c>
      <c r="C138">
        <f>IF($J138="","",IFERROR(COUNTIFS('Weekly Log'!$G:$G,"Y",'Weekly Log'!$A:$A,"&gt;="&amp;$J138,'Weekly Log'!$A:$A,"&lt;"&amp;$J138+7)/COUNTIFS('Weekly Log'!$G:$G,"&lt;&gt;",'Weekly Log'!$A:$A,"&gt;="&amp;$J138,'Weekly Log'!$A:$A,"&lt;"&amp;$J138+7),0))</f>
        <v/>
      </c>
      <c r="D138">
        <f>IF($J138="","",IFERROR(COUNTIFS('Weekly Log'!$H:$H,"Y",'Weekly Log'!$A:$A,"&gt;="&amp;$J138,'Weekly Log'!$A:$A,"&lt;"&amp;$J138+7)/COUNTIFS('Weekly Log'!$H:$H,"&lt;&gt;",'Weekly Log'!$A:$A,"&gt;="&amp;$J138,'Weekly Log'!$A:$A,"&lt;"&amp;$J138+7),0))</f>
        <v/>
      </c>
      <c r="E138">
        <f>IF($J138="","",IFERROR(AVERAGEIFS('Weekly Log'!$F:$F,'Weekly Log'!$A:$A,"&gt;="&amp;$J138,'Weekly Log'!$A:$A,"&lt;"&amp;$J138+7),0))</f>
        <v/>
      </c>
      <c r="F138">
        <f>IF($J138="","",IFERROR(SUMIFS('Weekly Log'!$F:$F,'Weekly Log'!$A:$A,"&gt;="&amp;$J138,'Weekly Log'!$A:$A,"&lt;"&amp;$J138+7)/SUMIFS('Weekly Log'!$E:$E,'Weekly Log'!$A:$A,"&gt;="&amp;$J138,'Weekly Log'!$A:$A,"&lt;"&amp;$J138+7),0))</f>
        <v/>
      </c>
      <c r="G138">
        <f>IF($J138="","",IFERROR(LOOKUP(2,1/(('Weekly Log'!$A$5:$A$5000&gt;=$J138)*('Weekly Log'!$A$5:$A$5000&lt;$J138+7)*('Weekly Log'!$M$5:$M$5000&lt;&gt;"")),'Weekly Log'!$M$5:$M$5000),0))</f>
        <v/>
      </c>
      <c r="J138">
        <f>IF(COUNT('Weekly Log'!$A$5:$A$5000)=0,"",IF(MIN('Weekly Log'!$A$5:$A$5000)+7*(ROW()-10)&gt;MAX('Weekly Log'!$A$5:$A$5000),"",MIN('Weekly Log'!$A$5:$A$5000)+7*(ROW()-10)))</f>
        <v/>
      </c>
    </row>
    <row r="139">
      <c r="A139">
        <f>IF($J139="","",YEAR($J139-WEEKDAY($J139,2)+4)&amp;"-W"&amp;TEXT(WEEKNUM($J139,21),"00"))</f>
        <v/>
      </c>
      <c r="B139">
        <f>IF($J139="","",SUMIFS('Weekly Log'!$C:$C,'Weekly Log'!$A:$A,"&gt;="&amp;$J139,'Weekly Log'!$A:$A,"&lt;"&amp;$J139+7))</f>
        <v/>
      </c>
      <c r="C139">
        <f>IF($J139="","",IFERROR(COUNTIFS('Weekly Log'!$G:$G,"Y",'Weekly Log'!$A:$A,"&gt;="&amp;$J139,'Weekly Log'!$A:$A,"&lt;"&amp;$J139+7)/COUNTIFS('Weekly Log'!$G:$G,"&lt;&gt;",'Weekly Log'!$A:$A,"&gt;="&amp;$J139,'Weekly Log'!$A:$A,"&lt;"&amp;$J139+7),0))</f>
        <v/>
      </c>
      <c r="D139">
        <f>IF($J139="","",IFERROR(COUNTIFS('Weekly Log'!$H:$H,"Y",'Weekly Log'!$A:$A,"&gt;="&amp;$J139,'Weekly Log'!$A:$A,"&lt;"&amp;$J139+7)/COUNTIFS('Weekly Log'!$H:$H,"&lt;&gt;",'Weekly Log'!$A:$A,"&gt;="&amp;$J139,'Weekly Log'!$A:$A,"&lt;"&amp;$J139+7),0))</f>
        <v/>
      </c>
      <c r="E139">
        <f>IF($J139="","",IFERROR(AVERAGEIFS('Weekly Log'!$F:$F,'Weekly Log'!$A:$A,"&gt;="&amp;$J139,'Weekly Log'!$A:$A,"&lt;"&amp;$J139+7),0))</f>
        <v/>
      </c>
      <c r="F139">
        <f>IF($J139="","",IFERROR(SUMIFS('Weekly Log'!$F:$F,'Weekly Log'!$A:$A,"&gt;="&amp;$J139,'Weekly Log'!$A:$A,"&lt;"&amp;$J139+7)/SUMIFS('Weekly Log'!$E:$E,'Weekly Log'!$A:$A,"&gt;="&amp;$J139,'Weekly Log'!$A:$A,"&lt;"&amp;$J139+7),0))</f>
        <v/>
      </c>
      <c r="G139">
        <f>IF($J139="","",IFERROR(LOOKUP(2,1/(('Weekly Log'!$A$5:$A$5000&gt;=$J139)*('Weekly Log'!$A$5:$A$5000&lt;$J139+7)*('Weekly Log'!$M$5:$M$5000&lt;&gt;"")),'Weekly Log'!$M$5:$M$5000),0))</f>
        <v/>
      </c>
      <c r="J139">
        <f>IF(COUNT('Weekly Log'!$A$5:$A$5000)=0,"",IF(MIN('Weekly Log'!$A$5:$A$5000)+7*(ROW()-10)&gt;MAX('Weekly Log'!$A$5:$A$5000),"",MIN('Weekly Log'!$A$5:$A$5000)+7*(ROW()-10)))</f>
        <v/>
      </c>
    </row>
    <row r="140">
      <c r="A140">
        <f>IF($J140="","",YEAR($J140-WEEKDAY($J140,2)+4)&amp;"-W"&amp;TEXT(WEEKNUM($J140,21),"00"))</f>
        <v/>
      </c>
      <c r="B140">
        <f>IF($J140="","",SUMIFS('Weekly Log'!$C:$C,'Weekly Log'!$A:$A,"&gt;="&amp;$J140,'Weekly Log'!$A:$A,"&lt;"&amp;$J140+7))</f>
        <v/>
      </c>
      <c r="C140">
        <f>IF($J140="","",IFERROR(COUNTIFS('Weekly Log'!$G:$G,"Y",'Weekly Log'!$A:$A,"&gt;="&amp;$J140,'Weekly Log'!$A:$A,"&lt;"&amp;$J140+7)/COUNTIFS('Weekly Log'!$G:$G,"&lt;&gt;",'Weekly Log'!$A:$A,"&gt;="&amp;$J140,'Weekly Log'!$A:$A,"&lt;"&amp;$J140+7),0))</f>
        <v/>
      </c>
      <c r="D140">
        <f>IF($J140="","",IFERROR(COUNTIFS('Weekly Log'!$H:$H,"Y",'Weekly Log'!$A:$A,"&gt;="&amp;$J140,'Weekly Log'!$A:$A,"&lt;"&amp;$J140+7)/COUNTIFS('Weekly Log'!$H:$H,"&lt;&gt;",'Weekly Log'!$A:$A,"&gt;="&amp;$J140,'Weekly Log'!$A:$A,"&lt;"&amp;$J140+7),0))</f>
        <v/>
      </c>
      <c r="E140">
        <f>IF($J140="","",IFERROR(AVERAGEIFS('Weekly Log'!$F:$F,'Weekly Log'!$A:$A,"&gt;="&amp;$J140,'Weekly Log'!$A:$A,"&lt;"&amp;$J140+7),0))</f>
        <v/>
      </c>
      <c r="F140">
        <f>IF($J140="","",IFERROR(SUMIFS('Weekly Log'!$F:$F,'Weekly Log'!$A:$A,"&gt;="&amp;$J140,'Weekly Log'!$A:$A,"&lt;"&amp;$J140+7)/SUMIFS('Weekly Log'!$E:$E,'Weekly Log'!$A:$A,"&gt;="&amp;$J140,'Weekly Log'!$A:$A,"&lt;"&amp;$J140+7),0))</f>
        <v/>
      </c>
      <c r="G140">
        <f>IF($J140="","",IFERROR(LOOKUP(2,1/(('Weekly Log'!$A$5:$A$5000&gt;=$J140)*('Weekly Log'!$A$5:$A$5000&lt;$J140+7)*('Weekly Log'!$M$5:$M$5000&lt;&gt;"")),'Weekly Log'!$M$5:$M$5000),0))</f>
        <v/>
      </c>
      <c r="J140">
        <f>IF(COUNT('Weekly Log'!$A$5:$A$5000)=0,"",IF(MIN('Weekly Log'!$A$5:$A$5000)+7*(ROW()-10)&gt;MAX('Weekly Log'!$A$5:$A$5000),"",MIN('Weekly Log'!$A$5:$A$5000)+7*(ROW()-10)))</f>
        <v/>
      </c>
    </row>
    <row r="141">
      <c r="A141">
        <f>IF($J141="","",YEAR($J141-WEEKDAY($J141,2)+4)&amp;"-W"&amp;TEXT(WEEKNUM($J141,21),"00"))</f>
        <v/>
      </c>
      <c r="B141">
        <f>IF($J141="","",SUMIFS('Weekly Log'!$C:$C,'Weekly Log'!$A:$A,"&gt;="&amp;$J141,'Weekly Log'!$A:$A,"&lt;"&amp;$J141+7))</f>
        <v/>
      </c>
      <c r="C141">
        <f>IF($J141="","",IFERROR(COUNTIFS('Weekly Log'!$G:$G,"Y",'Weekly Log'!$A:$A,"&gt;="&amp;$J141,'Weekly Log'!$A:$A,"&lt;"&amp;$J141+7)/COUNTIFS('Weekly Log'!$G:$G,"&lt;&gt;",'Weekly Log'!$A:$A,"&gt;="&amp;$J141,'Weekly Log'!$A:$A,"&lt;"&amp;$J141+7),0))</f>
        <v/>
      </c>
      <c r="D141">
        <f>IF($J141="","",IFERROR(COUNTIFS('Weekly Log'!$H:$H,"Y",'Weekly Log'!$A:$A,"&gt;="&amp;$J141,'Weekly Log'!$A:$A,"&lt;"&amp;$J141+7)/COUNTIFS('Weekly Log'!$H:$H,"&lt;&gt;",'Weekly Log'!$A:$A,"&gt;="&amp;$J141,'Weekly Log'!$A:$A,"&lt;"&amp;$J141+7),0))</f>
        <v/>
      </c>
      <c r="E141">
        <f>IF($J141="","",IFERROR(AVERAGEIFS('Weekly Log'!$F:$F,'Weekly Log'!$A:$A,"&gt;="&amp;$J141,'Weekly Log'!$A:$A,"&lt;"&amp;$J141+7),0))</f>
        <v/>
      </c>
      <c r="F141">
        <f>IF($J141="","",IFERROR(SUMIFS('Weekly Log'!$F:$F,'Weekly Log'!$A:$A,"&gt;="&amp;$J141,'Weekly Log'!$A:$A,"&lt;"&amp;$J141+7)/SUMIFS('Weekly Log'!$E:$E,'Weekly Log'!$A:$A,"&gt;="&amp;$J141,'Weekly Log'!$A:$A,"&lt;"&amp;$J141+7),0))</f>
        <v/>
      </c>
      <c r="G141">
        <f>IF($J141="","",IFERROR(LOOKUP(2,1/(('Weekly Log'!$A$5:$A$5000&gt;=$J141)*('Weekly Log'!$A$5:$A$5000&lt;$J141+7)*('Weekly Log'!$M$5:$M$5000&lt;&gt;"")),'Weekly Log'!$M$5:$M$5000),0))</f>
        <v/>
      </c>
      <c r="J141">
        <f>IF(COUNT('Weekly Log'!$A$5:$A$5000)=0,"",IF(MIN('Weekly Log'!$A$5:$A$5000)+7*(ROW()-10)&gt;MAX('Weekly Log'!$A$5:$A$5000),"",MIN('Weekly Log'!$A$5:$A$5000)+7*(ROW()-10)))</f>
        <v/>
      </c>
    </row>
    <row r="142">
      <c r="A142">
        <f>IF($J142="","",YEAR($J142-WEEKDAY($J142,2)+4)&amp;"-W"&amp;TEXT(WEEKNUM($J142,21),"00"))</f>
        <v/>
      </c>
      <c r="B142">
        <f>IF($J142="","",SUMIFS('Weekly Log'!$C:$C,'Weekly Log'!$A:$A,"&gt;="&amp;$J142,'Weekly Log'!$A:$A,"&lt;"&amp;$J142+7))</f>
        <v/>
      </c>
      <c r="C142">
        <f>IF($J142="","",IFERROR(COUNTIFS('Weekly Log'!$G:$G,"Y",'Weekly Log'!$A:$A,"&gt;="&amp;$J142,'Weekly Log'!$A:$A,"&lt;"&amp;$J142+7)/COUNTIFS('Weekly Log'!$G:$G,"&lt;&gt;",'Weekly Log'!$A:$A,"&gt;="&amp;$J142,'Weekly Log'!$A:$A,"&lt;"&amp;$J142+7),0))</f>
        <v/>
      </c>
      <c r="D142">
        <f>IF($J142="","",IFERROR(COUNTIFS('Weekly Log'!$H:$H,"Y",'Weekly Log'!$A:$A,"&gt;="&amp;$J142,'Weekly Log'!$A:$A,"&lt;"&amp;$J142+7)/COUNTIFS('Weekly Log'!$H:$H,"&lt;&gt;",'Weekly Log'!$A:$A,"&gt;="&amp;$J142,'Weekly Log'!$A:$A,"&lt;"&amp;$J142+7),0))</f>
        <v/>
      </c>
      <c r="E142">
        <f>IF($J142="","",IFERROR(AVERAGEIFS('Weekly Log'!$F:$F,'Weekly Log'!$A:$A,"&gt;="&amp;$J142,'Weekly Log'!$A:$A,"&lt;"&amp;$J142+7),0))</f>
        <v/>
      </c>
      <c r="F142">
        <f>IF($J142="","",IFERROR(SUMIFS('Weekly Log'!$F:$F,'Weekly Log'!$A:$A,"&gt;="&amp;$J142,'Weekly Log'!$A:$A,"&lt;"&amp;$J142+7)/SUMIFS('Weekly Log'!$E:$E,'Weekly Log'!$A:$A,"&gt;="&amp;$J142,'Weekly Log'!$A:$A,"&lt;"&amp;$J142+7),0))</f>
        <v/>
      </c>
      <c r="G142">
        <f>IF($J142="","",IFERROR(LOOKUP(2,1/(('Weekly Log'!$A$5:$A$5000&gt;=$J142)*('Weekly Log'!$A$5:$A$5000&lt;$J142+7)*('Weekly Log'!$M$5:$M$5000&lt;&gt;"")),'Weekly Log'!$M$5:$M$5000),0))</f>
        <v/>
      </c>
      <c r="J142">
        <f>IF(COUNT('Weekly Log'!$A$5:$A$5000)=0,"",IF(MIN('Weekly Log'!$A$5:$A$5000)+7*(ROW()-10)&gt;MAX('Weekly Log'!$A$5:$A$5000),"",MIN('Weekly Log'!$A$5:$A$5000)+7*(ROW()-10)))</f>
        <v/>
      </c>
    </row>
    <row r="143">
      <c r="A143">
        <f>IF($J143="","",YEAR($J143-WEEKDAY($J143,2)+4)&amp;"-W"&amp;TEXT(WEEKNUM($J143,21),"00"))</f>
        <v/>
      </c>
      <c r="B143">
        <f>IF($J143="","",SUMIFS('Weekly Log'!$C:$C,'Weekly Log'!$A:$A,"&gt;="&amp;$J143,'Weekly Log'!$A:$A,"&lt;"&amp;$J143+7))</f>
        <v/>
      </c>
      <c r="C143">
        <f>IF($J143="","",IFERROR(COUNTIFS('Weekly Log'!$G:$G,"Y",'Weekly Log'!$A:$A,"&gt;="&amp;$J143,'Weekly Log'!$A:$A,"&lt;"&amp;$J143+7)/COUNTIFS('Weekly Log'!$G:$G,"&lt;&gt;",'Weekly Log'!$A:$A,"&gt;="&amp;$J143,'Weekly Log'!$A:$A,"&lt;"&amp;$J143+7),0))</f>
        <v/>
      </c>
      <c r="D143">
        <f>IF($J143="","",IFERROR(COUNTIFS('Weekly Log'!$H:$H,"Y",'Weekly Log'!$A:$A,"&gt;="&amp;$J143,'Weekly Log'!$A:$A,"&lt;"&amp;$J143+7)/COUNTIFS('Weekly Log'!$H:$H,"&lt;&gt;",'Weekly Log'!$A:$A,"&gt;="&amp;$J143,'Weekly Log'!$A:$A,"&lt;"&amp;$J143+7),0))</f>
        <v/>
      </c>
      <c r="E143">
        <f>IF($J143="","",IFERROR(AVERAGEIFS('Weekly Log'!$F:$F,'Weekly Log'!$A:$A,"&gt;="&amp;$J143,'Weekly Log'!$A:$A,"&lt;"&amp;$J143+7),0))</f>
        <v/>
      </c>
      <c r="F143">
        <f>IF($J143="","",IFERROR(SUMIFS('Weekly Log'!$F:$F,'Weekly Log'!$A:$A,"&gt;="&amp;$J143,'Weekly Log'!$A:$A,"&lt;"&amp;$J143+7)/SUMIFS('Weekly Log'!$E:$E,'Weekly Log'!$A:$A,"&gt;="&amp;$J143,'Weekly Log'!$A:$A,"&lt;"&amp;$J143+7),0))</f>
        <v/>
      </c>
      <c r="G143">
        <f>IF($J143="","",IFERROR(LOOKUP(2,1/(('Weekly Log'!$A$5:$A$5000&gt;=$J143)*('Weekly Log'!$A$5:$A$5000&lt;$J143+7)*('Weekly Log'!$M$5:$M$5000&lt;&gt;"")),'Weekly Log'!$M$5:$M$5000),0))</f>
        <v/>
      </c>
      <c r="J143">
        <f>IF(COUNT('Weekly Log'!$A$5:$A$5000)=0,"",IF(MIN('Weekly Log'!$A$5:$A$5000)+7*(ROW()-10)&gt;MAX('Weekly Log'!$A$5:$A$5000),"",MIN('Weekly Log'!$A$5:$A$5000)+7*(ROW()-10)))</f>
        <v/>
      </c>
    </row>
    <row r="144">
      <c r="A144">
        <f>IF($J144="","",YEAR($J144-WEEKDAY($J144,2)+4)&amp;"-W"&amp;TEXT(WEEKNUM($J144,21),"00"))</f>
        <v/>
      </c>
      <c r="B144">
        <f>IF($J144="","",SUMIFS('Weekly Log'!$C:$C,'Weekly Log'!$A:$A,"&gt;="&amp;$J144,'Weekly Log'!$A:$A,"&lt;"&amp;$J144+7))</f>
        <v/>
      </c>
      <c r="C144">
        <f>IF($J144="","",IFERROR(COUNTIFS('Weekly Log'!$G:$G,"Y",'Weekly Log'!$A:$A,"&gt;="&amp;$J144,'Weekly Log'!$A:$A,"&lt;"&amp;$J144+7)/COUNTIFS('Weekly Log'!$G:$G,"&lt;&gt;",'Weekly Log'!$A:$A,"&gt;="&amp;$J144,'Weekly Log'!$A:$A,"&lt;"&amp;$J144+7),0))</f>
        <v/>
      </c>
      <c r="D144">
        <f>IF($J144="","",IFERROR(COUNTIFS('Weekly Log'!$H:$H,"Y",'Weekly Log'!$A:$A,"&gt;="&amp;$J144,'Weekly Log'!$A:$A,"&lt;"&amp;$J144+7)/COUNTIFS('Weekly Log'!$H:$H,"&lt;&gt;",'Weekly Log'!$A:$A,"&gt;="&amp;$J144,'Weekly Log'!$A:$A,"&lt;"&amp;$J144+7),0))</f>
        <v/>
      </c>
      <c r="E144">
        <f>IF($J144="","",IFERROR(AVERAGEIFS('Weekly Log'!$F:$F,'Weekly Log'!$A:$A,"&gt;="&amp;$J144,'Weekly Log'!$A:$A,"&lt;"&amp;$J144+7),0))</f>
        <v/>
      </c>
      <c r="F144">
        <f>IF($J144="","",IFERROR(SUMIFS('Weekly Log'!$F:$F,'Weekly Log'!$A:$A,"&gt;="&amp;$J144,'Weekly Log'!$A:$A,"&lt;"&amp;$J144+7)/SUMIFS('Weekly Log'!$E:$E,'Weekly Log'!$A:$A,"&gt;="&amp;$J144,'Weekly Log'!$A:$A,"&lt;"&amp;$J144+7),0))</f>
        <v/>
      </c>
      <c r="G144">
        <f>IF($J144="","",IFERROR(LOOKUP(2,1/(('Weekly Log'!$A$5:$A$5000&gt;=$J144)*('Weekly Log'!$A$5:$A$5000&lt;$J144+7)*('Weekly Log'!$M$5:$M$5000&lt;&gt;"")),'Weekly Log'!$M$5:$M$5000),0))</f>
        <v/>
      </c>
      <c r="J144">
        <f>IF(COUNT('Weekly Log'!$A$5:$A$5000)=0,"",IF(MIN('Weekly Log'!$A$5:$A$5000)+7*(ROW()-10)&gt;MAX('Weekly Log'!$A$5:$A$5000),"",MIN('Weekly Log'!$A$5:$A$5000)+7*(ROW()-10)))</f>
        <v/>
      </c>
    </row>
    <row r="145">
      <c r="A145">
        <f>IF($J145="","",YEAR($J145-WEEKDAY($J145,2)+4)&amp;"-W"&amp;TEXT(WEEKNUM($J145,21),"00"))</f>
        <v/>
      </c>
      <c r="B145">
        <f>IF($J145="","",SUMIFS('Weekly Log'!$C:$C,'Weekly Log'!$A:$A,"&gt;="&amp;$J145,'Weekly Log'!$A:$A,"&lt;"&amp;$J145+7))</f>
        <v/>
      </c>
      <c r="C145">
        <f>IF($J145="","",IFERROR(COUNTIFS('Weekly Log'!$G:$G,"Y",'Weekly Log'!$A:$A,"&gt;="&amp;$J145,'Weekly Log'!$A:$A,"&lt;"&amp;$J145+7)/COUNTIFS('Weekly Log'!$G:$G,"&lt;&gt;",'Weekly Log'!$A:$A,"&gt;="&amp;$J145,'Weekly Log'!$A:$A,"&lt;"&amp;$J145+7),0))</f>
        <v/>
      </c>
      <c r="D145">
        <f>IF($J145="","",IFERROR(COUNTIFS('Weekly Log'!$H:$H,"Y",'Weekly Log'!$A:$A,"&gt;="&amp;$J145,'Weekly Log'!$A:$A,"&lt;"&amp;$J145+7)/COUNTIFS('Weekly Log'!$H:$H,"&lt;&gt;",'Weekly Log'!$A:$A,"&gt;="&amp;$J145,'Weekly Log'!$A:$A,"&lt;"&amp;$J145+7),0))</f>
        <v/>
      </c>
      <c r="E145">
        <f>IF($J145="","",IFERROR(AVERAGEIFS('Weekly Log'!$F:$F,'Weekly Log'!$A:$A,"&gt;="&amp;$J145,'Weekly Log'!$A:$A,"&lt;"&amp;$J145+7),0))</f>
        <v/>
      </c>
      <c r="F145">
        <f>IF($J145="","",IFERROR(SUMIFS('Weekly Log'!$F:$F,'Weekly Log'!$A:$A,"&gt;="&amp;$J145,'Weekly Log'!$A:$A,"&lt;"&amp;$J145+7)/SUMIFS('Weekly Log'!$E:$E,'Weekly Log'!$A:$A,"&gt;="&amp;$J145,'Weekly Log'!$A:$A,"&lt;"&amp;$J145+7),0))</f>
        <v/>
      </c>
      <c r="G145">
        <f>IF($J145="","",IFERROR(LOOKUP(2,1/(('Weekly Log'!$A$5:$A$5000&gt;=$J145)*('Weekly Log'!$A$5:$A$5000&lt;$J145+7)*('Weekly Log'!$M$5:$M$5000&lt;&gt;"")),'Weekly Log'!$M$5:$M$5000),0))</f>
        <v/>
      </c>
      <c r="J145">
        <f>IF(COUNT('Weekly Log'!$A$5:$A$5000)=0,"",IF(MIN('Weekly Log'!$A$5:$A$5000)+7*(ROW()-10)&gt;MAX('Weekly Log'!$A$5:$A$5000),"",MIN('Weekly Log'!$A$5:$A$5000)+7*(ROW()-10)))</f>
        <v/>
      </c>
    </row>
    <row r="146">
      <c r="A146">
        <f>IF($J146="","",YEAR($J146-WEEKDAY($J146,2)+4)&amp;"-W"&amp;TEXT(WEEKNUM($J146,21),"00"))</f>
        <v/>
      </c>
      <c r="B146">
        <f>IF($J146="","",SUMIFS('Weekly Log'!$C:$C,'Weekly Log'!$A:$A,"&gt;="&amp;$J146,'Weekly Log'!$A:$A,"&lt;"&amp;$J146+7))</f>
        <v/>
      </c>
      <c r="C146">
        <f>IF($J146="","",IFERROR(COUNTIFS('Weekly Log'!$G:$G,"Y",'Weekly Log'!$A:$A,"&gt;="&amp;$J146,'Weekly Log'!$A:$A,"&lt;"&amp;$J146+7)/COUNTIFS('Weekly Log'!$G:$G,"&lt;&gt;",'Weekly Log'!$A:$A,"&gt;="&amp;$J146,'Weekly Log'!$A:$A,"&lt;"&amp;$J146+7),0))</f>
        <v/>
      </c>
      <c r="D146">
        <f>IF($J146="","",IFERROR(COUNTIFS('Weekly Log'!$H:$H,"Y",'Weekly Log'!$A:$A,"&gt;="&amp;$J146,'Weekly Log'!$A:$A,"&lt;"&amp;$J146+7)/COUNTIFS('Weekly Log'!$H:$H,"&lt;&gt;",'Weekly Log'!$A:$A,"&gt;="&amp;$J146,'Weekly Log'!$A:$A,"&lt;"&amp;$J146+7),0))</f>
        <v/>
      </c>
      <c r="E146">
        <f>IF($J146="","",IFERROR(AVERAGEIFS('Weekly Log'!$F:$F,'Weekly Log'!$A:$A,"&gt;="&amp;$J146,'Weekly Log'!$A:$A,"&lt;"&amp;$J146+7),0))</f>
        <v/>
      </c>
      <c r="F146">
        <f>IF($J146="","",IFERROR(SUMIFS('Weekly Log'!$F:$F,'Weekly Log'!$A:$A,"&gt;="&amp;$J146,'Weekly Log'!$A:$A,"&lt;"&amp;$J146+7)/SUMIFS('Weekly Log'!$E:$E,'Weekly Log'!$A:$A,"&gt;="&amp;$J146,'Weekly Log'!$A:$A,"&lt;"&amp;$J146+7),0))</f>
        <v/>
      </c>
      <c r="G146">
        <f>IF($J146="","",IFERROR(LOOKUP(2,1/(('Weekly Log'!$A$5:$A$5000&gt;=$J146)*('Weekly Log'!$A$5:$A$5000&lt;$J146+7)*('Weekly Log'!$M$5:$M$5000&lt;&gt;"")),'Weekly Log'!$M$5:$M$5000),0))</f>
        <v/>
      </c>
      <c r="J146">
        <f>IF(COUNT('Weekly Log'!$A$5:$A$5000)=0,"",IF(MIN('Weekly Log'!$A$5:$A$5000)+7*(ROW()-10)&gt;MAX('Weekly Log'!$A$5:$A$5000),"",MIN('Weekly Log'!$A$5:$A$5000)+7*(ROW()-10)))</f>
        <v/>
      </c>
    </row>
    <row r="147">
      <c r="A147">
        <f>IF($J147="","",YEAR($J147-WEEKDAY($J147,2)+4)&amp;"-W"&amp;TEXT(WEEKNUM($J147,21),"00"))</f>
        <v/>
      </c>
      <c r="B147">
        <f>IF($J147="","",SUMIFS('Weekly Log'!$C:$C,'Weekly Log'!$A:$A,"&gt;="&amp;$J147,'Weekly Log'!$A:$A,"&lt;"&amp;$J147+7))</f>
        <v/>
      </c>
      <c r="C147">
        <f>IF($J147="","",IFERROR(COUNTIFS('Weekly Log'!$G:$G,"Y",'Weekly Log'!$A:$A,"&gt;="&amp;$J147,'Weekly Log'!$A:$A,"&lt;"&amp;$J147+7)/COUNTIFS('Weekly Log'!$G:$G,"&lt;&gt;",'Weekly Log'!$A:$A,"&gt;="&amp;$J147,'Weekly Log'!$A:$A,"&lt;"&amp;$J147+7),0))</f>
        <v/>
      </c>
      <c r="D147">
        <f>IF($J147="","",IFERROR(COUNTIFS('Weekly Log'!$H:$H,"Y",'Weekly Log'!$A:$A,"&gt;="&amp;$J147,'Weekly Log'!$A:$A,"&lt;"&amp;$J147+7)/COUNTIFS('Weekly Log'!$H:$H,"&lt;&gt;",'Weekly Log'!$A:$A,"&gt;="&amp;$J147,'Weekly Log'!$A:$A,"&lt;"&amp;$J147+7),0))</f>
        <v/>
      </c>
      <c r="E147">
        <f>IF($J147="","",IFERROR(AVERAGEIFS('Weekly Log'!$F:$F,'Weekly Log'!$A:$A,"&gt;="&amp;$J147,'Weekly Log'!$A:$A,"&lt;"&amp;$J147+7),0))</f>
        <v/>
      </c>
      <c r="F147">
        <f>IF($J147="","",IFERROR(SUMIFS('Weekly Log'!$F:$F,'Weekly Log'!$A:$A,"&gt;="&amp;$J147,'Weekly Log'!$A:$A,"&lt;"&amp;$J147+7)/SUMIFS('Weekly Log'!$E:$E,'Weekly Log'!$A:$A,"&gt;="&amp;$J147,'Weekly Log'!$A:$A,"&lt;"&amp;$J147+7),0))</f>
        <v/>
      </c>
      <c r="G147">
        <f>IF($J147="","",IFERROR(LOOKUP(2,1/(('Weekly Log'!$A$5:$A$5000&gt;=$J147)*('Weekly Log'!$A$5:$A$5000&lt;$J147+7)*('Weekly Log'!$M$5:$M$5000&lt;&gt;"")),'Weekly Log'!$M$5:$M$5000),0))</f>
        <v/>
      </c>
      <c r="J147">
        <f>IF(COUNT('Weekly Log'!$A$5:$A$5000)=0,"",IF(MIN('Weekly Log'!$A$5:$A$5000)+7*(ROW()-10)&gt;MAX('Weekly Log'!$A$5:$A$5000),"",MIN('Weekly Log'!$A$5:$A$5000)+7*(ROW()-10)))</f>
        <v/>
      </c>
    </row>
    <row r="148">
      <c r="A148">
        <f>IF($J148="","",YEAR($J148-WEEKDAY($J148,2)+4)&amp;"-W"&amp;TEXT(WEEKNUM($J148,21),"00"))</f>
        <v/>
      </c>
      <c r="B148">
        <f>IF($J148="","",SUMIFS('Weekly Log'!$C:$C,'Weekly Log'!$A:$A,"&gt;="&amp;$J148,'Weekly Log'!$A:$A,"&lt;"&amp;$J148+7))</f>
        <v/>
      </c>
      <c r="C148">
        <f>IF($J148="","",IFERROR(COUNTIFS('Weekly Log'!$G:$G,"Y",'Weekly Log'!$A:$A,"&gt;="&amp;$J148,'Weekly Log'!$A:$A,"&lt;"&amp;$J148+7)/COUNTIFS('Weekly Log'!$G:$G,"&lt;&gt;",'Weekly Log'!$A:$A,"&gt;="&amp;$J148,'Weekly Log'!$A:$A,"&lt;"&amp;$J148+7),0))</f>
        <v/>
      </c>
      <c r="D148">
        <f>IF($J148="","",IFERROR(COUNTIFS('Weekly Log'!$H:$H,"Y",'Weekly Log'!$A:$A,"&gt;="&amp;$J148,'Weekly Log'!$A:$A,"&lt;"&amp;$J148+7)/COUNTIFS('Weekly Log'!$H:$H,"&lt;&gt;",'Weekly Log'!$A:$A,"&gt;="&amp;$J148,'Weekly Log'!$A:$A,"&lt;"&amp;$J148+7),0))</f>
        <v/>
      </c>
      <c r="E148">
        <f>IF($J148="","",IFERROR(AVERAGEIFS('Weekly Log'!$F:$F,'Weekly Log'!$A:$A,"&gt;="&amp;$J148,'Weekly Log'!$A:$A,"&lt;"&amp;$J148+7),0))</f>
        <v/>
      </c>
      <c r="F148">
        <f>IF($J148="","",IFERROR(SUMIFS('Weekly Log'!$F:$F,'Weekly Log'!$A:$A,"&gt;="&amp;$J148,'Weekly Log'!$A:$A,"&lt;"&amp;$J148+7)/SUMIFS('Weekly Log'!$E:$E,'Weekly Log'!$A:$A,"&gt;="&amp;$J148,'Weekly Log'!$A:$A,"&lt;"&amp;$J148+7),0))</f>
        <v/>
      </c>
      <c r="G148">
        <f>IF($J148="","",IFERROR(LOOKUP(2,1/(('Weekly Log'!$A$5:$A$5000&gt;=$J148)*('Weekly Log'!$A$5:$A$5000&lt;$J148+7)*('Weekly Log'!$M$5:$M$5000&lt;&gt;"")),'Weekly Log'!$M$5:$M$5000),0))</f>
        <v/>
      </c>
      <c r="J148">
        <f>IF(COUNT('Weekly Log'!$A$5:$A$5000)=0,"",IF(MIN('Weekly Log'!$A$5:$A$5000)+7*(ROW()-10)&gt;MAX('Weekly Log'!$A$5:$A$5000),"",MIN('Weekly Log'!$A$5:$A$5000)+7*(ROW()-10)))</f>
        <v/>
      </c>
    </row>
    <row r="149">
      <c r="A149">
        <f>IF($J149="","",YEAR($J149-WEEKDAY($J149,2)+4)&amp;"-W"&amp;TEXT(WEEKNUM($J149,21),"00"))</f>
        <v/>
      </c>
      <c r="B149">
        <f>IF($J149="","",SUMIFS('Weekly Log'!$C:$C,'Weekly Log'!$A:$A,"&gt;="&amp;$J149,'Weekly Log'!$A:$A,"&lt;"&amp;$J149+7))</f>
        <v/>
      </c>
      <c r="C149">
        <f>IF($J149="","",IFERROR(COUNTIFS('Weekly Log'!$G:$G,"Y",'Weekly Log'!$A:$A,"&gt;="&amp;$J149,'Weekly Log'!$A:$A,"&lt;"&amp;$J149+7)/COUNTIFS('Weekly Log'!$G:$G,"&lt;&gt;",'Weekly Log'!$A:$A,"&gt;="&amp;$J149,'Weekly Log'!$A:$A,"&lt;"&amp;$J149+7),0))</f>
        <v/>
      </c>
      <c r="D149">
        <f>IF($J149="","",IFERROR(COUNTIFS('Weekly Log'!$H:$H,"Y",'Weekly Log'!$A:$A,"&gt;="&amp;$J149,'Weekly Log'!$A:$A,"&lt;"&amp;$J149+7)/COUNTIFS('Weekly Log'!$H:$H,"&lt;&gt;",'Weekly Log'!$A:$A,"&gt;="&amp;$J149,'Weekly Log'!$A:$A,"&lt;"&amp;$J149+7),0))</f>
        <v/>
      </c>
      <c r="E149">
        <f>IF($J149="","",IFERROR(AVERAGEIFS('Weekly Log'!$F:$F,'Weekly Log'!$A:$A,"&gt;="&amp;$J149,'Weekly Log'!$A:$A,"&lt;"&amp;$J149+7),0))</f>
        <v/>
      </c>
      <c r="F149">
        <f>IF($J149="","",IFERROR(SUMIFS('Weekly Log'!$F:$F,'Weekly Log'!$A:$A,"&gt;="&amp;$J149,'Weekly Log'!$A:$A,"&lt;"&amp;$J149+7)/SUMIFS('Weekly Log'!$E:$E,'Weekly Log'!$A:$A,"&gt;="&amp;$J149,'Weekly Log'!$A:$A,"&lt;"&amp;$J149+7),0))</f>
        <v/>
      </c>
      <c r="G149">
        <f>IF($J149="","",IFERROR(LOOKUP(2,1/(('Weekly Log'!$A$5:$A$5000&gt;=$J149)*('Weekly Log'!$A$5:$A$5000&lt;$J149+7)*('Weekly Log'!$M$5:$M$5000&lt;&gt;"")),'Weekly Log'!$M$5:$M$5000),0))</f>
        <v/>
      </c>
      <c r="J149">
        <f>IF(COUNT('Weekly Log'!$A$5:$A$5000)=0,"",IF(MIN('Weekly Log'!$A$5:$A$5000)+7*(ROW()-10)&gt;MAX('Weekly Log'!$A$5:$A$5000),"",MIN('Weekly Log'!$A$5:$A$5000)+7*(ROW()-10)))</f>
        <v/>
      </c>
    </row>
    <row r="150">
      <c r="A150">
        <f>IF($J150="","",YEAR($J150-WEEKDAY($J150,2)+4)&amp;"-W"&amp;TEXT(WEEKNUM($J150,21),"00"))</f>
        <v/>
      </c>
      <c r="B150">
        <f>IF($J150="","",SUMIFS('Weekly Log'!$C:$C,'Weekly Log'!$A:$A,"&gt;="&amp;$J150,'Weekly Log'!$A:$A,"&lt;"&amp;$J150+7))</f>
        <v/>
      </c>
      <c r="C150">
        <f>IF($J150="","",IFERROR(COUNTIFS('Weekly Log'!$G:$G,"Y",'Weekly Log'!$A:$A,"&gt;="&amp;$J150,'Weekly Log'!$A:$A,"&lt;"&amp;$J150+7)/COUNTIFS('Weekly Log'!$G:$G,"&lt;&gt;",'Weekly Log'!$A:$A,"&gt;="&amp;$J150,'Weekly Log'!$A:$A,"&lt;"&amp;$J150+7),0))</f>
        <v/>
      </c>
      <c r="D150">
        <f>IF($J150="","",IFERROR(COUNTIFS('Weekly Log'!$H:$H,"Y",'Weekly Log'!$A:$A,"&gt;="&amp;$J150,'Weekly Log'!$A:$A,"&lt;"&amp;$J150+7)/COUNTIFS('Weekly Log'!$H:$H,"&lt;&gt;",'Weekly Log'!$A:$A,"&gt;="&amp;$J150,'Weekly Log'!$A:$A,"&lt;"&amp;$J150+7),0))</f>
        <v/>
      </c>
      <c r="E150">
        <f>IF($J150="","",IFERROR(AVERAGEIFS('Weekly Log'!$F:$F,'Weekly Log'!$A:$A,"&gt;="&amp;$J150,'Weekly Log'!$A:$A,"&lt;"&amp;$J150+7),0))</f>
        <v/>
      </c>
      <c r="F150">
        <f>IF($J150="","",IFERROR(SUMIFS('Weekly Log'!$F:$F,'Weekly Log'!$A:$A,"&gt;="&amp;$J150,'Weekly Log'!$A:$A,"&lt;"&amp;$J150+7)/SUMIFS('Weekly Log'!$E:$E,'Weekly Log'!$A:$A,"&gt;="&amp;$J150,'Weekly Log'!$A:$A,"&lt;"&amp;$J150+7),0))</f>
        <v/>
      </c>
      <c r="G150">
        <f>IF($J150="","",IFERROR(LOOKUP(2,1/(('Weekly Log'!$A$5:$A$5000&gt;=$J150)*('Weekly Log'!$A$5:$A$5000&lt;$J150+7)*('Weekly Log'!$M$5:$M$5000&lt;&gt;"")),'Weekly Log'!$M$5:$M$5000),0))</f>
        <v/>
      </c>
      <c r="J150">
        <f>IF(COUNT('Weekly Log'!$A$5:$A$5000)=0,"",IF(MIN('Weekly Log'!$A$5:$A$5000)+7*(ROW()-10)&gt;MAX('Weekly Log'!$A$5:$A$5000),"",MIN('Weekly Log'!$A$5:$A$5000)+7*(ROW()-10)))</f>
        <v/>
      </c>
    </row>
    <row r="151">
      <c r="A151">
        <f>IF($J151="","",YEAR($J151-WEEKDAY($J151,2)+4)&amp;"-W"&amp;TEXT(WEEKNUM($J151,21),"00"))</f>
        <v/>
      </c>
      <c r="B151">
        <f>IF($J151="","",SUMIFS('Weekly Log'!$C:$C,'Weekly Log'!$A:$A,"&gt;="&amp;$J151,'Weekly Log'!$A:$A,"&lt;"&amp;$J151+7))</f>
        <v/>
      </c>
      <c r="C151">
        <f>IF($J151="","",IFERROR(COUNTIFS('Weekly Log'!$G:$G,"Y",'Weekly Log'!$A:$A,"&gt;="&amp;$J151,'Weekly Log'!$A:$A,"&lt;"&amp;$J151+7)/COUNTIFS('Weekly Log'!$G:$G,"&lt;&gt;",'Weekly Log'!$A:$A,"&gt;="&amp;$J151,'Weekly Log'!$A:$A,"&lt;"&amp;$J151+7),0))</f>
        <v/>
      </c>
      <c r="D151">
        <f>IF($J151="","",IFERROR(COUNTIFS('Weekly Log'!$H:$H,"Y",'Weekly Log'!$A:$A,"&gt;="&amp;$J151,'Weekly Log'!$A:$A,"&lt;"&amp;$J151+7)/COUNTIFS('Weekly Log'!$H:$H,"&lt;&gt;",'Weekly Log'!$A:$A,"&gt;="&amp;$J151,'Weekly Log'!$A:$A,"&lt;"&amp;$J151+7),0))</f>
        <v/>
      </c>
      <c r="E151">
        <f>IF($J151="","",IFERROR(AVERAGEIFS('Weekly Log'!$F:$F,'Weekly Log'!$A:$A,"&gt;="&amp;$J151,'Weekly Log'!$A:$A,"&lt;"&amp;$J151+7),0))</f>
        <v/>
      </c>
      <c r="F151">
        <f>IF($J151="","",IFERROR(SUMIFS('Weekly Log'!$F:$F,'Weekly Log'!$A:$A,"&gt;="&amp;$J151,'Weekly Log'!$A:$A,"&lt;"&amp;$J151+7)/SUMIFS('Weekly Log'!$E:$E,'Weekly Log'!$A:$A,"&gt;="&amp;$J151,'Weekly Log'!$A:$A,"&lt;"&amp;$J151+7),0))</f>
        <v/>
      </c>
      <c r="G151">
        <f>IF($J151="","",IFERROR(LOOKUP(2,1/(('Weekly Log'!$A$5:$A$5000&gt;=$J151)*('Weekly Log'!$A$5:$A$5000&lt;$J151+7)*('Weekly Log'!$M$5:$M$5000&lt;&gt;"")),'Weekly Log'!$M$5:$M$5000),0))</f>
        <v/>
      </c>
      <c r="J151">
        <f>IF(COUNT('Weekly Log'!$A$5:$A$5000)=0,"",IF(MIN('Weekly Log'!$A$5:$A$5000)+7*(ROW()-10)&gt;MAX('Weekly Log'!$A$5:$A$5000),"",MIN('Weekly Log'!$A$5:$A$5000)+7*(ROW()-10)))</f>
        <v/>
      </c>
    </row>
    <row r="152">
      <c r="A152">
        <f>IF($J152="","",YEAR($J152-WEEKDAY($J152,2)+4)&amp;"-W"&amp;TEXT(WEEKNUM($J152,21),"00"))</f>
        <v/>
      </c>
      <c r="B152">
        <f>IF($J152="","",SUMIFS('Weekly Log'!$C:$C,'Weekly Log'!$A:$A,"&gt;="&amp;$J152,'Weekly Log'!$A:$A,"&lt;"&amp;$J152+7))</f>
        <v/>
      </c>
      <c r="C152">
        <f>IF($J152="","",IFERROR(COUNTIFS('Weekly Log'!$G:$G,"Y",'Weekly Log'!$A:$A,"&gt;="&amp;$J152,'Weekly Log'!$A:$A,"&lt;"&amp;$J152+7)/COUNTIFS('Weekly Log'!$G:$G,"&lt;&gt;",'Weekly Log'!$A:$A,"&gt;="&amp;$J152,'Weekly Log'!$A:$A,"&lt;"&amp;$J152+7),0))</f>
        <v/>
      </c>
      <c r="D152">
        <f>IF($J152="","",IFERROR(COUNTIFS('Weekly Log'!$H:$H,"Y",'Weekly Log'!$A:$A,"&gt;="&amp;$J152,'Weekly Log'!$A:$A,"&lt;"&amp;$J152+7)/COUNTIFS('Weekly Log'!$H:$H,"&lt;&gt;",'Weekly Log'!$A:$A,"&gt;="&amp;$J152,'Weekly Log'!$A:$A,"&lt;"&amp;$J152+7),0))</f>
        <v/>
      </c>
      <c r="E152">
        <f>IF($J152="","",IFERROR(AVERAGEIFS('Weekly Log'!$F:$F,'Weekly Log'!$A:$A,"&gt;="&amp;$J152,'Weekly Log'!$A:$A,"&lt;"&amp;$J152+7),0))</f>
        <v/>
      </c>
      <c r="F152">
        <f>IF($J152="","",IFERROR(SUMIFS('Weekly Log'!$F:$F,'Weekly Log'!$A:$A,"&gt;="&amp;$J152,'Weekly Log'!$A:$A,"&lt;"&amp;$J152+7)/SUMIFS('Weekly Log'!$E:$E,'Weekly Log'!$A:$A,"&gt;="&amp;$J152,'Weekly Log'!$A:$A,"&lt;"&amp;$J152+7),0))</f>
        <v/>
      </c>
      <c r="G152">
        <f>IF($J152="","",IFERROR(LOOKUP(2,1/(('Weekly Log'!$A$5:$A$5000&gt;=$J152)*('Weekly Log'!$A$5:$A$5000&lt;$J152+7)*('Weekly Log'!$M$5:$M$5000&lt;&gt;"")),'Weekly Log'!$M$5:$M$5000),0))</f>
        <v/>
      </c>
      <c r="J152">
        <f>IF(COUNT('Weekly Log'!$A$5:$A$5000)=0,"",IF(MIN('Weekly Log'!$A$5:$A$5000)+7*(ROW()-10)&gt;MAX('Weekly Log'!$A$5:$A$5000),"",MIN('Weekly Log'!$A$5:$A$5000)+7*(ROW()-10)))</f>
        <v/>
      </c>
    </row>
    <row r="153">
      <c r="A153">
        <f>IF($J153="","",YEAR($J153-WEEKDAY($J153,2)+4)&amp;"-W"&amp;TEXT(WEEKNUM($J153,21),"00"))</f>
        <v/>
      </c>
      <c r="B153">
        <f>IF($J153="","",SUMIFS('Weekly Log'!$C:$C,'Weekly Log'!$A:$A,"&gt;="&amp;$J153,'Weekly Log'!$A:$A,"&lt;"&amp;$J153+7))</f>
        <v/>
      </c>
      <c r="C153">
        <f>IF($J153="","",IFERROR(COUNTIFS('Weekly Log'!$G:$G,"Y",'Weekly Log'!$A:$A,"&gt;="&amp;$J153,'Weekly Log'!$A:$A,"&lt;"&amp;$J153+7)/COUNTIFS('Weekly Log'!$G:$G,"&lt;&gt;",'Weekly Log'!$A:$A,"&gt;="&amp;$J153,'Weekly Log'!$A:$A,"&lt;"&amp;$J153+7),0))</f>
        <v/>
      </c>
      <c r="D153">
        <f>IF($J153="","",IFERROR(COUNTIFS('Weekly Log'!$H:$H,"Y",'Weekly Log'!$A:$A,"&gt;="&amp;$J153,'Weekly Log'!$A:$A,"&lt;"&amp;$J153+7)/COUNTIFS('Weekly Log'!$H:$H,"&lt;&gt;",'Weekly Log'!$A:$A,"&gt;="&amp;$J153,'Weekly Log'!$A:$A,"&lt;"&amp;$J153+7),0))</f>
        <v/>
      </c>
      <c r="E153">
        <f>IF($J153="","",IFERROR(AVERAGEIFS('Weekly Log'!$F:$F,'Weekly Log'!$A:$A,"&gt;="&amp;$J153,'Weekly Log'!$A:$A,"&lt;"&amp;$J153+7),0))</f>
        <v/>
      </c>
      <c r="F153">
        <f>IF($J153="","",IFERROR(SUMIFS('Weekly Log'!$F:$F,'Weekly Log'!$A:$A,"&gt;="&amp;$J153,'Weekly Log'!$A:$A,"&lt;"&amp;$J153+7)/SUMIFS('Weekly Log'!$E:$E,'Weekly Log'!$A:$A,"&gt;="&amp;$J153,'Weekly Log'!$A:$A,"&lt;"&amp;$J153+7),0))</f>
        <v/>
      </c>
      <c r="G153">
        <f>IF($J153="","",IFERROR(LOOKUP(2,1/(('Weekly Log'!$A$5:$A$5000&gt;=$J153)*('Weekly Log'!$A$5:$A$5000&lt;$J153+7)*('Weekly Log'!$M$5:$M$5000&lt;&gt;"")),'Weekly Log'!$M$5:$M$5000),0))</f>
        <v/>
      </c>
      <c r="J153">
        <f>IF(COUNT('Weekly Log'!$A$5:$A$5000)=0,"",IF(MIN('Weekly Log'!$A$5:$A$5000)+7*(ROW()-10)&gt;MAX('Weekly Log'!$A$5:$A$5000),"",MIN('Weekly Log'!$A$5:$A$5000)+7*(ROW()-10)))</f>
        <v/>
      </c>
    </row>
    <row r="154">
      <c r="A154">
        <f>IF($J154="","",YEAR($J154-WEEKDAY($J154,2)+4)&amp;"-W"&amp;TEXT(WEEKNUM($J154,21),"00"))</f>
        <v/>
      </c>
      <c r="B154">
        <f>IF($J154="","",SUMIFS('Weekly Log'!$C:$C,'Weekly Log'!$A:$A,"&gt;="&amp;$J154,'Weekly Log'!$A:$A,"&lt;"&amp;$J154+7))</f>
        <v/>
      </c>
      <c r="C154">
        <f>IF($J154="","",IFERROR(COUNTIFS('Weekly Log'!$G:$G,"Y",'Weekly Log'!$A:$A,"&gt;="&amp;$J154,'Weekly Log'!$A:$A,"&lt;"&amp;$J154+7)/COUNTIFS('Weekly Log'!$G:$G,"&lt;&gt;",'Weekly Log'!$A:$A,"&gt;="&amp;$J154,'Weekly Log'!$A:$A,"&lt;"&amp;$J154+7),0))</f>
        <v/>
      </c>
      <c r="D154">
        <f>IF($J154="","",IFERROR(COUNTIFS('Weekly Log'!$H:$H,"Y",'Weekly Log'!$A:$A,"&gt;="&amp;$J154,'Weekly Log'!$A:$A,"&lt;"&amp;$J154+7)/COUNTIFS('Weekly Log'!$H:$H,"&lt;&gt;",'Weekly Log'!$A:$A,"&gt;="&amp;$J154,'Weekly Log'!$A:$A,"&lt;"&amp;$J154+7),0))</f>
        <v/>
      </c>
      <c r="E154">
        <f>IF($J154="","",IFERROR(AVERAGEIFS('Weekly Log'!$F:$F,'Weekly Log'!$A:$A,"&gt;="&amp;$J154,'Weekly Log'!$A:$A,"&lt;"&amp;$J154+7),0))</f>
        <v/>
      </c>
      <c r="F154">
        <f>IF($J154="","",IFERROR(SUMIFS('Weekly Log'!$F:$F,'Weekly Log'!$A:$A,"&gt;="&amp;$J154,'Weekly Log'!$A:$A,"&lt;"&amp;$J154+7)/SUMIFS('Weekly Log'!$E:$E,'Weekly Log'!$A:$A,"&gt;="&amp;$J154,'Weekly Log'!$A:$A,"&lt;"&amp;$J154+7),0))</f>
        <v/>
      </c>
      <c r="G154">
        <f>IF($J154="","",IFERROR(LOOKUP(2,1/(('Weekly Log'!$A$5:$A$5000&gt;=$J154)*('Weekly Log'!$A$5:$A$5000&lt;$J154+7)*('Weekly Log'!$M$5:$M$5000&lt;&gt;"")),'Weekly Log'!$M$5:$M$5000),0))</f>
        <v/>
      </c>
      <c r="J154">
        <f>IF(COUNT('Weekly Log'!$A$5:$A$5000)=0,"",IF(MIN('Weekly Log'!$A$5:$A$5000)+7*(ROW()-10)&gt;MAX('Weekly Log'!$A$5:$A$5000),"",MIN('Weekly Log'!$A$5:$A$5000)+7*(ROW()-10)))</f>
        <v/>
      </c>
    </row>
    <row r="155">
      <c r="A155">
        <f>IF($J155="","",YEAR($J155-WEEKDAY($J155,2)+4)&amp;"-W"&amp;TEXT(WEEKNUM($J155,21),"00"))</f>
        <v/>
      </c>
      <c r="B155">
        <f>IF($J155="","",SUMIFS('Weekly Log'!$C:$C,'Weekly Log'!$A:$A,"&gt;="&amp;$J155,'Weekly Log'!$A:$A,"&lt;"&amp;$J155+7))</f>
        <v/>
      </c>
      <c r="C155">
        <f>IF($J155="","",IFERROR(COUNTIFS('Weekly Log'!$G:$G,"Y",'Weekly Log'!$A:$A,"&gt;="&amp;$J155,'Weekly Log'!$A:$A,"&lt;"&amp;$J155+7)/COUNTIFS('Weekly Log'!$G:$G,"&lt;&gt;",'Weekly Log'!$A:$A,"&gt;="&amp;$J155,'Weekly Log'!$A:$A,"&lt;"&amp;$J155+7),0))</f>
        <v/>
      </c>
      <c r="D155">
        <f>IF($J155="","",IFERROR(COUNTIFS('Weekly Log'!$H:$H,"Y",'Weekly Log'!$A:$A,"&gt;="&amp;$J155,'Weekly Log'!$A:$A,"&lt;"&amp;$J155+7)/COUNTIFS('Weekly Log'!$H:$H,"&lt;&gt;",'Weekly Log'!$A:$A,"&gt;="&amp;$J155,'Weekly Log'!$A:$A,"&lt;"&amp;$J155+7),0))</f>
        <v/>
      </c>
      <c r="E155">
        <f>IF($J155="","",IFERROR(AVERAGEIFS('Weekly Log'!$F:$F,'Weekly Log'!$A:$A,"&gt;="&amp;$J155,'Weekly Log'!$A:$A,"&lt;"&amp;$J155+7),0))</f>
        <v/>
      </c>
      <c r="F155">
        <f>IF($J155="","",IFERROR(SUMIFS('Weekly Log'!$F:$F,'Weekly Log'!$A:$A,"&gt;="&amp;$J155,'Weekly Log'!$A:$A,"&lt;"&amp;$J155+7)/SUMIFS('Weekly Log'!$E:$E,'Weekly Log'!$A:$A,"&gt;="&amp;$J155,'Weekly Log'!$A:$A,"&lt;"&amp;$J155+7),0))</f>
        <v/>
      </c>
      <c r="G155">
        <f>IF($J155="","",IFERROR(LOOKUP(2,1/(('Weekly Log'!$A$5:$A$5000&gt;=$J155)*('Weekly Log'!$A$5:$A$5000&lt;$J155+7)*('Weekly Log'!$M$5:$M$5000&lt;&gt;"")),'Weekly Log'!$M$5:$M$5000),0))</f>
        <v/>
      </c>
      <c r="J155">
        <f>IF(COUNT('Weekly Log'!$A$5:$A$5000)=0,"",IF(MIN('Weekly Log'!$A$5:$A$5000)+7*(ROW()-10)&gt;MAX('Weekly Log'!$A$5:$A$5000),"",MIN('Weekly Log'!$A$5:$A$5000)+7*(ROW()-10)))</f>
        <v/>
      </c>
    </row>
    <row r="156">
      <c r="A156">
        <f>IF($J156="","",YEAR($J156-WEEKDAY($J156,2)+4)&amp;"-W"&amp;TEXT(WEEKNUM($J156,21),"00"))</f>
        <v/>
      </c>
      <c r="B156">
        <f>IF($J156="","",SUMIFS('Weekly Log'!$C:$C,'Weekly Log'!$A:$A,"&gt;="&amp;$J156,'Weekly Log'!$A:$A,"&lt;"&amp;$J156+7))</f>
        <v/>
      </c>
      <c r="C156">
        <f>IF($J156="","",IFERROR(COUNTIFS('Weekly Log'!$G:$G,"Y",'Weekly Log'!$A:$A,"&gt;="&amp;$J156,'Weekly Log'!$A:$A,"&lt;"&amp;$J156+7)/COUNTIFS('Weekly Log'!$G:$G,"&lt;&gt;",'Weekly Log'!$A:$A,"&gt;="&amp;$J156,'Weekly Log'!$A:$A,"&lt;"&amp;$J156+7),0))</f>
        <v/>
      </c>
      <c r="D156">
        <f>IF($J156="","",IFERROR(COUNTIFS('Weekly Log'!$H:$H,"Y",'Weekly Log'!$A:$A,"&gt;="&amp;$J156,'Weekly Log'!$A:$A,"&lt;"&amp;$J156+7)/COUNTIFS('Weekly Log'!$H:$H,"&lt;&gt;",'Weekly Log'!$A:$A,"&gt;="&amp;$J156,'Weekly Log'!$A:$A,"&lt;"&amp;$J156+7),0))</f>
        <v/>
      </c>
      <c r="E156">
        <f>IF($J156="","",IFERROR(AVERAGEIFS('Weekly Log'!$F:$F,'Weekly Log'!$A:$A,"&gt;="&amp;$J156,'Weekly Log'!$A:$A,"&lt;"&amp;$J156+7),0))</f>
        <v/>
      </c>
      <c r="F156">
        <f>IF($J156="","",IFERROR(SUMIFS('Weekly Log'!$F:$F,'Weekly Log'!$A:$A,"&gt;="&amp;$J156,'Weekly Log'!$A:$A,"&lt;"&amp;$J156+7)/SUMIFS('Weekly Log'!$E:$E,'Weekly Log'!$A:$A,"&gt;="&amp;$J156,'Weekly Log'!$A:$A,"&lt;"&amp;$J156+7),0))</f>
        <v/>
      </c>
      <c r="G156">
        <f>IF($J156="","",IFERROR(LOOKUP(2,1/(('Weekly Log'!$A$5:$A$5000&gt;=$J156)*('Weekly Log'!$A$5:$A$5000&lt;$J156+7)*('Weekly Log'!$M$5:$M$5000&lt;&gt;"")),'Weekly Log'!$M$5:$M$5000),0))</f>
        <v/>
      </c>
      <c r="J156">
        <f>IF(COUNT('Weekly Log'!$A$5:$A$5000)=0,"",IF(MIN('Weekly Log'!$A$5:$A$5000)+7*(ROW()-10)&gt;MAX('Weekly Log'!$A$5:$A$5000),"",MIN('Weekly Log'!$A$5:$A$5000)+7*(ROW()-10)))</f>
        <v/>
      </c>
    </row>
    <row r="157">
      <c r="A157">
        <f>IF($J157="","",YEAR($J157-WEEKDAY($J157,2)+4)&amp;"-W"&amp;TEXT(WEEKNUM($J157,21),"00"))</f>
        <v/>
      </c>
      <c r="B157">
        <f>IF($J157="","",SUMIFS('Weekly Log'!$C:$C,'Weekly Log'!$A:$A,"&gt;="&amp;$J157,'Weekly Log'!$A:$A,"&lt;"&amp;$J157+7))</f>
        <v/>
      </c>
      <c r="C157">
        <f>IF($J157="","",IFERROR(COUNTIFS('Weekly Log'!$G:$G,"Y",'Weekly Log'!$A:$A,"&gt;="&amp;$J157,'Weekly Log'!$A:$A,"&lt;"&amp;$J157+7)/COUNTIFS('Weekly Log'!$G:$G,"&lt;&gt;",'Weekly Log'!$A:$A,"&gt;="&amp;$J157,'Weekly Log'!$A:$A,"&lt;"&amp;$J157+7),0))</f>
        <v/>
      </c>
      <c r="D157">
        <f>IF($J157="","",IFERROR(COUNTIFS('Weekly Log'!$H:$H,"Y",'Weekly Log'!$A:$A,"&gt;="&amp;$J157,'Weekly Log'!$A:$A,"&lt;"&amp;$J157+7)/COUNTIFS('Weekly Log'!$H:$H,"&lt;&gt;",'Weekly Log'!$A:$A,"&gt;="&amp;$J157,'Weekly Log'!$A:$A,"&lt;"&amp;$J157+7),0))</f>
        <v/>
      </c>
      <c r="E157">
        <f>IF($J157="","",IFERROR(AVERAGEIFS('Weekly Log'!$F:$F,'Weekly Log'!$A:$A,"&gt;="&amp;$J157,'Weekly Log'!$A:$A,"&lt;"&amp;$J157+7),0))</f>
        <v/>
      </c>
      <c r="F157">
        <f>IF($J157="","",IFERROR(SUMIFS('Weekly Log'!$F:$F,'Weekly Log'!$A:$A,"&gt;="&amp;$J157,'Weekly Log'!$A:$A,"&lt;"&amp;$J157+7)/SUMIFS('Weekly Log'!$E:$E,'Weekly Log'!$A:$A,"&gt;="&amp;$J157,'Weekly Log'!$A:$A,"&lt;"&amp;$J157+7),0))</f>
        <v/>
      </c>
      <c r="G157">
        <f>IF($J157="","",IFERROR(LOOKUP(2,1/(('Weekly Log'!$A$5:$A$5000&gt;=$J157)*('Weekly Log'!$A$5:$A$5000&lt;$J157+7)*('Weekly Log'!$M$5:$M$5000&lt;&gt;"")),'Weekly Log'!$M$5:$M$5000),0))</f>
        <v/>
      </c>
      <c r="J157">
        <f>IF(COUNT('Weekly Log'!$A$5:$A$5000)=0,"",IF(MIN('Weekly Log'!$A$5:$A$5000)+7*(ROW()-10)&gt;MAX('Weekly Log'!$A$5:$A$5000),"",MIN('Weekly Log'!$A$5:$A$5000)+7*(ROW()-10)))</f>
        <v/>
      </c>
    </row>
    <row r="158">
      <c r="A158">
        <f>IF($J158="","",YEAR($J158-WEEKDAY($J158,2)+4)&amp;"-W"&amp;TEXT(WEEKNUM($J158,21),"00"))</f>
        <v/>
      </c>
      <c r="B158">
        <f>IF($J158="","",SUMIFS('Weekly Log'!$C:$C,'Weekly Log'!$A:$A,"&gt;="&amp;$J158,'Weekly Log'!$A:$A,"&lt;"&amp;$J158+7))</f>
        <v/>
      </c>
      <c r="C158">
        <f>IF($J158="","",IFERROR(COUNTIFS('Weekly Log'!$G:$G,"Y",'Weekly Log'!$A:$A,"&gt;="&amp;$J158,'Weekly Log'!$A:$A,"&lt;"&amp;$J158+7)/COUNTIFS('Weekly Log'!$G:$G,"&lt;&gt;",'Weekly Log'!$A:$A,"&gt;="&amp;$J158,'Weekly Log'!$A:$A,"&lt;"&amp;$J158+7),0))</f>
        <v/>
      </c>
      <c r="D158">
        <f>IF($J158="","",IFERROR(COUNTIFS('Weekly Log'!$H:$H,"Y",'Weekly Log'!$A:$A,"&gt;="&amp;$J158,'Weekly Log'!$A:$A,"&lt;"&amp;$J158+7)/COUNTIFS('Weekly Log'!$H:$H,"&lt;&gt;",'Weekly Log'!$A:$A,"&gt;="&amp;$J158,'Weekly Log'!$A:$A,"&lt;"&amp;$J158+7),0))</f>
        <v/>
      </c>
      <c r="E158">
        <f>IF($J158="","",IFERROR(AVERAGEIFS('Weekly Log'!$F:$F,'Weekly Log'!$A:$A,"&gt;="&amp;$J158,'Weekly Log'!$A:$A,"&lt;"&amp;$J158+7),0))</f>
        <v/>
      </c>
      <c r="F158">
        <f>IF($J158="","",IFERROR(SUMIFS('Weekly Log'!$F:$F,'Weekly Log'!$A:$A,"&gt;="&amp;$J158,'Weekly Log'!$A:$A,"&lt;"&amp;$J158+7)/SUMIFS('Weekly Log'!$E:$E,'Weekly Log'!$A:$A,"&gt;="&amp;$J158,'Weekly Log'!$A:$A,"&lt;"&amp;$J158+7),0))</f>
        <v/>
      </c>
      <c r="G158">
        <f>IF($J158="","",IFERROR(LOOKUP(2,1/(('Weekly Log'!$A$5:$A$5000&gt;=$J158)*('Weekly Log'!$A$5:$A$5000&lt;$J158+7)*('Weekly Log'!$M$5:$M$5000&lt;&gt;"")),'Weekly Log'!$M$5:$M$5000),0))</f>
        <v/>
      </c>
      <c r="J158">
        <f>IF(COUNT('Weekly Log'!$A$5:$A$5000)=0,"",IF(MIN('Weekly Log'!$A$5:$A$5000)+7*(ROW()-10)&gt;MAX('Weekly Log'!$A$5:$A$5000),"",MIN('Weekly Log'!$A$5:$A$5000)+7*(ROW()-10)))</f>
        <v/>
      </c>
    </row>
    <row r="159">
      <c r="A159">
        <f>IF($J159="","",YEAR($J159-WEEKDAY($J159,2)+4)&amp;"-W"&amp;TEXT(WEEKNUM($J159,21),"00"))</f>
        <v/>
      </c>
      <c r="B159">
        <f>IF($J159="","",SUMIFS('Weekly Log'!$C:$C,'Weekly Log'!$A:$A,"&gt;="&amp;$J159,'Weekly Log'!$A:$A,"&lt;"&amp;$J159+7))</f>
        <v/>
      </c>
      <c r="C159">
        <f>IF($J159="","",IFERROR(COUNTIFS('Weekly Log'!$G:$G,"Y",'Weekly Log'!$A:$A,"&gt;="&amp;$J159,'Weekly Log'!$A:$A,"&lt;"&amp;$J159+7)/COUNTIFS('Weekly Log'!$G:$G,"&lt;&gt;",'Weekly Log'!$A:$A,"&gt;="&amp;$J159,'Weekly Log'!$A:$A,"&lt;"&amp;$J159+7),0))</f>
        <v/>
      </c>
      <c r="D159">
        <f>IF($J159="","",IFERROR(COUNTIFS('Weekly Log'!$H:$H,"Y",'Weekly Log'!$A:$A,"&gt;="&amp;$J159,'Weekly Log'!$A:$A,"&lt;"&amp;$J159+7)/COUNTIFS('Weekly Log'!$H:$H,"&lt;&gt;",'Weekly Log'!$A:$A,"&gt;="&amp;$J159,'Weekly Log'!$A:$A,"&lt;"&amp;$J159+7),0))</f>
        <v/>
      </c>
      <c r="E159">
        <f>IF($J159="","",IFERROR(AVERAGEIFS('Weekly Log'!$F:$F,'Weekly Log'!$A:$A,"&gt;="&amp;$J159,'Weekly Log'!$A:$A,"&lt;"&amp;$J159+7),0))</f>
        <v/>
      </c>
      <c r="F159">
        <f>IF($J159="","",IFERROR(SUMIFS('Weekly Log'!$F:$F,'Weekly Log'!$A:$A,"&gt;="&amp;$J159,'Weekly Log'!$A:$A,"&lt;"&amp;$J159+7)/SUMIFS('Weekly Log'!$E:$E,'Weekly Log'!$A:$A,"&gt;="&amp;$J159,'Weekly Log'!$A:$A,"&lt;"&amp;$J159+7),0))</f>
        <v/>
      </c>
      <c r="G159">
        <f>IF($J159="","",IFERROR(LOOKUP(2,1/(('Weekly Log'!$A$5:$A$5000&gt;=$J159)*('Weekly Log'!$A$5:$A$5000&lt;$J159+7)*('Weekly Log'!$M$5:$M$5000&lt;&gt;"")),'Weekly Log'!$M$5:$M$5000),0))</f>
        <v/>
      </c>
      <c r="J159">
        <f>IF(COUNT('Weekly Log'!$A$5:$A$5000)=0,"",IF(MIN('Weekly Log'!$A$5:$A$5000)+7*(ROW()-10)&gt;MAX('Weekly Log'!$A$5:$A$5000),"",MIN('Weekly Log'!$A$5:$A$5000)+7*(ROW()-10)))</f>
        <v/>
      </c>
    </row>
    <row r="160">
      <c r="A160">
        <f>IF($J160="","",YEAR($J160-WEEKDAY($J160,2)+4)&amp;"-W"&amp;TEXT(WEEKNUM($J160,21),"00"))</f>
        <v/>
      </c>
      <c r="B160">
        <f>IF($J160="","",SUMIFS('Weekly Log'!$C:$C,'Weekly Log'!$A:$A,"&gt;="&amp;$J160,'Weekly Log'!$A:$A,"&lt;"&amp;$J160+7))</f>
        <v/>
      </c>
      <c r="C160">
        <f>IF($J160="","",IFERROR(COUNTIFS('Weekly Log'!$G:$G,"Y",'Weekly Log'!$A:$A,"&gt;="&amp;$J160,'Weekly Log'!$A:$A,"&lt;"&amp;$J160+7)/COUNTIFS('Weekly Log'!$G:$G,"&lt;&gt;",'Weekly Log'!$A:$A,"&gt;="&amp;$J160,'Weekly Log'!$A:$A,"&lt;"&amp;$J160+7),0))</f>
        <v/>
      </c>
      <c r="D160">
        <f>IF($J160="","",IFERROR(COUNTIFS('Weekly Log'!$H:$H,"Y",'Weekly Log'!$A:$A,"&gt;="&amp;$J160,'Weekly Log'!$A:$A,"&lt;"&amp;$J160+7)/COUNTIFS('Weekly Log'!$H:$H,"&lt;&gt;",'Weekly Log'!$A:$A,"&gt;="&amp;$J160,'Weekly Log'!$A:$A,"&lt;"&amp;$J160+7),0))</f>
        <v/>
      </c>
      <c r="E160">
        <f>IF($J160="","",IFERROR(AVERAGEIFS('Weekly Log'!$F:$F,'Weekly Log'!$A:$A,"&gt;="&amp;$J160,'Weekly Log'!$A:$A,"&lt;"&amp;$J160+7),0))</f>
        <v/>
      </c>
      <c r="F160">
        <f>IF($J160="","",IFERROR(SUMIFS('Weekly Log'!$F:$F,'Weekly Log'!$A:$A,"&gt;="&amp;$J160,'Weekly Log'!$A:$A,"&lt;"&amp;$J160+7)/SUMIFS('Weekly Log'!$E:$E,'Weekly Log'!$A:$A,"&gt;="&amp;$J160,'Weekly Log'!$A:$A,"&lt;"&amp;$J160+7),0))</f>
        <v/>
      </c>
      <c r="G160">
        <f>IF($J160="","",IFERROR(LOOKUP(2,1/(('Weekly Log'!$A$5:$A$5000&gt;=$J160)*('Weekly Log'!$A$5:$A$5000&lt;$J160+7)*('Weekly Log'!$M$5:$M$5000&lt;&gt;"")),'Weekly Log'!$M$5:$M$5000),0))</f>
        <v/>
      </c>
      <c r="J160">
        <f>IF(COUNT('Weekly Log'!$A$5:$A$5000)=0,"",IF(MIN('Weekly Log'!$A$5:$A$5000)+7*(ROW()-10)&gt;MAX('Weekly Log'!$A$5:$A$5000),"",MIN('Weekly Log'!$A$5:$A$5000)+7*(ROW()-10)))</f>
        <v/>
      </c>
    </row>
    <row r="161">
      <c r="A161">
        <f>IF($J161="","",YEAR($J161-WEEKDAY($J161,2)+4)&amp;"-W"&amp;TEXT(WEEKNUM($J161,21),"00"))</f>
        <v/>
      </c>
      <c r="B161">
        <f>IF($J161="","",SUMIFS('Weekly Log'!$C:$C,'Weekly Log'!$A:$A,"&gt;="&amp;$J161,'Weekly Log'!$A:$A,"&lt;"&amp;$J161+7))</f>
        <v/>
      </c>
      <c r="C161">
        <f>IF($J161="","",IFERROR(COUNTIFS('Weekly Log'!$G:$G,"Y",'Weekly Log'!$A:$A,"&gt;="&amp;$J161,'Weekly Log'!$A:$A,"&lt;"&amp;$J161+7)/COUNTIFS('Weekly Log'!$G:$G,"&lt;&gt;",'Weekly Log'!$A:$A,"&gt;="&amp;$J161,'Weekly Log'!$A:$A,"&lt;"&amp;$J161+7),0))</f>
        <v/>
      </c>
      <c r="D161">
        <f>IF($J161="","",IFERROR(COUNTIFS('Weekly Log'!$H:$H,"Y",'Weekly Log'!$A:$A,"&gt;="&amp;$J161,'Weekly Log'!$A:$A,"&lt;"&amp;$J161+7)/COUNTIFS('Weekly Log'!$H:$H,"&lt;&gt;",'Weekly Log'!$A:$A,"&gt;="&amp;$J161,'Weekly Log'!$A:$A,"&lt;"&amp;$J161+7),0))</f>
        <v/>
      </c>
      <c r="E161">
        <f>IF($J161="","",IFERROR(AVERAGEIFS('Weekly Log'!$F:$F,'Weekly Log'!$A:$A,"&gt;="&amp;$J161,'Weekly Log'!$A:$A,"&lt;"&amp;$J161+7),0))</f>
        <v/>
      </c>
      <c r="F161">
        <f>IF($J161="","",IFERROR(SUMIFS('Weekly Log'!$F:$F,'Weekly Log'!$A:$A,"&gt;="&amp;$J161,'Weekly Log'!$A:$A,"&lt;"&amp;$J161+7)/SUMIFS('Weekly Log'!$E:$E,'Weekly Log'!$A:$A,"&gt;="&amp;$J161,'Weekly Log'!$A:$A,"&lt;"&amp;$J161+7),0))</f>
        <v/>
      </c>
      <c r="G161">
        <f>IF($J161="","",IFERROR(LOOKUP(2,1/(('Weekly Log'!$A$5:$A$5000&gt;=$J161)*('Weekly Log'!$A$5:$A$5000&lt;$J161+7)*('Weekly Log'!$M$5:$M$5000&lt;&gt;"")),'Weekly Log'!$M$5:$M$5000),0))</f>
        <v/>
      </c>
      <c r="J161">
        <f>IF(COUNT('Weekly Log'!$A$5:$A$5000)=0,"",IF(MIN('Weekly Log'!$A$5:$A$5000)+7*(ROW()-10)&gt;MAX('Weekly Log'!$A$5:$A$5000),"",MIN('Weekly Log'!$A$5:$A$5000)+7*(ROW()-10)))</f>
        <v/>
      </c>
    </row>
    <row r="162">
      <c r="A162">
        <f>IF($J162="","",YEAR($J162-WEEKDAY($J162,2)+4)&amp;"-W"&amp;TEXT(WEEKNUM($J162,21),"00"))</f>
        <v/>
      </c>
      <c r="B162">
        <f>IF($J162="","",SUMIFS('Weekly Log'!$C:$C,'Weekly Log'!$A:$A,"&gt;="&amp;$J162,'Weekly Log'!$A:$A,"&lt;"&amp;$J162+7))</f>
        <v/>
      </c>
      <c r="C162">
        <f>IF($J162="","",IFERROR(COUNTIFS('Weekly Log'!$G:$G,"Y",'Weekly Log'!$A:$A,"&gt;="&amp;$J162,'Weekly Log'!$A:$A,"&lt;"&amp;$J162+7)/COUNTIFS('Weekly Log'!$G:$G,"&lt;&gt;",'Weekly Log'!$A:$A,"&gt;="&amp;$J162,'Weekly Log'!$A:$A,"&lt;"&amp;$J162+7),0))</f>
        <v/>
      </c>
      <c r="D162">
        <f>IF($J162="","",IFERROR(COUNTIFS('Weekly Log'!$H:$H,"Y",'Weekly Log'!$A:$A,"&gt;="&amp;$J162,'Weekly Log'!$A:$A,"&lt;"&amp;$J162+7)/COUNTIFS('Weekly Log'!$H:$H,"&lt;&gt;",'Weekly Log'!$A:$A,"&gt;="&amp;$J162,'Weekly Log'!$A:$A,"&lt;"&amp;$J162+7),0))</f>
        <v/>
      </c>
      <c r="E162">
        <f>IF($J162="","",IFERROR(AVERAGEIFS('Weekly Log'!$F:$F,'Weekly Log'!$A:$A,"&gt;="&amp;$J162,'Weekly Log'!$A:$A,"&lt;"&amp;$J162+7),0))</f>
        <v/>
      </c>
      <c r="F162">
        <f>IF($J162="","",IFERROR(SUMIFS('Weekly Log'!$F:$F,'Weekly Log'!$A:$A,"&gt;="&amp;$J162,'Weekly Log'!$A:$A,"&lt;"&amp;$J162+7)/SUMIFS('Weekly Log'!$E:$E,'Weekly Log'!$A:$A,"&gt;="&amp;$J162,'Weekly Log'!$A:$A,"&lt;"&amp;$J162+7),0))</f>
        <v/>
      </c>
      <c r="G162">
        <f>IF($J162="","",IFERROR(LOOKUP(2,1/(('Weekly Log'!$A$5:$A$5000&gt;=$J162)*('Weekly Log'!$A$5:$A$5000&lt;$J162+7)*('Weekly Log'!$M$5:$M$5000&lt;&gt;"")),'Weekly Log'!$M$5:$M$5000),0))</f>
        <v/>
      </c>
      <c r="J162">
        <f>IF(COUNT('Weekly Log'!$A$5:$A$5000)=0,"",IF(MIN('Weekly Log'!$A$5:$A$5000)+7*(ROW()-10)&gt;MAX('Weekly Log'!$A$5:$A$5000),"",MIN('Weekly Log'!$A$5:$A$5000)+7*(ROW()-10)))</f>
        <v/>
      </c>
    </row>
    <row r="163">
      <c r="A163">
        <f>IF($J163="","",YEAR($J163-WEEKDAY($J163,2)+4)&amp;"-W"&amp;TEXT(WEEKNUM($J163,21),"00"))</f>
        <v/>
      </c>
      <c r="B163">
        <f>IF($J163="","",SUMIFS('Weekly Log'!$C:$C,'Weekly Log'!$A:$A,"&gt;="&amp;$J163,'Weekly Log'!$A:$A,"&lt;"&amp;$J163+7))</f>
        <v/>
      </c>
      <c r="C163">
        <f>IF($J163="","",IFERROR(COUNTIFS('Weekly Log'!$G:$G,"Y",'Weekly Log'!$A:$A,"&gt;="&amp;$J163,'Weekly Log'!$A:$A,"&lt;"&amp;$J163+7)/COUNTIFS('Weekly Log'!$G:$G,"&lt;&gt;",'Weekly Log'!$A:$A,"&gt;="&amp;$J163,'Weekly Log'!$A:$A,"&lt;"&amp;$J163+7),0))</f>
        <v/>
      </c>
      <c r="D163">
        <f>IF($J163="","",IFERROR(COUNTIFS('Weekly Log'!$H:$H,"Y",'Weekly Log'!$A:$A,"&gt;="&amp;$J163,'Weekly Log'!$A:$A,"&lt;"&amp;$J163+7)/COUNTIFS('Weekly Log'!$H:$H,"&lt;&gt;",'Weekly Log'!$A:$A,"&gt;="&amp;$J163,'Weekly Log'!$A:$A,"&lt;"&amp;$J163+7),0))</f>
        <v/>
      </c>
      <c r="E163">
        <f>IF($J163="","",IFERROR(AVERAGEIFS('Weekly Log'!$F:$F,'Weekly Log'!$A:$A,"&gt;="&amp;$J163,'Weekly Log'!$A:$A,"&lt;"&amp;$J163+7),0))</f>
        <v/>
      </c>
      <c r="F163">
        <f>IF($J163="","",IFERROR(SUMIFS('Weekly Log'!$F:$F,'Weekly Log'!$A:$A,"&gt;="&amp;$J163,'Weekly Log'!$A:$A,"&lt;"&amp;$J163+7)/SUMIFS('Weekly Log'!$E:$E,'Weekly Log'!$A:$A,"&gt;="&amp;$J163,'Weekly Log'!$A:$A,"&lt;"&amp;$J163+7),0))</f>
        <v/>
      </c>
      <c r="G163">
        <f>IF($J163="","",IFERROR(LOOKUP(2,1/(('Weekly Log'!$A$5:$A$5000&gt;=$J163)*('Weekly Log'!$A$5:$A$5000&lt;$J163+7)*('Weekly Log'!$M$5:$M$5000&lt;&gt;"")),'Weekly Log'!$M$5:$M$5000),0))</f>
        <v/>
      </c>
      <c r="J163">
        <f>IF(COUNT('Weekly Log'!$A$5:$A$5000)=0,"",IF(MIN('Weekly Log'!$A$5:$A$5000)+7*(ROW()-10)&gt;MAX('Weekly Log'!$A$5:$A$5000),"",MIN('Weekly Log'!$A$5:$A$5000)+7*(ROW()-10)))</f>
        <v/>
      </c>
    </row>
    <row r="164">
      <c r="A164">
        <f>IF($J164="","",YEAR($J164-WEEKDAY($J164,2)+4)&amp;"-W"&amp;TEXT(WEEKNUM($J164,21),"00"))</f>
        <v/>
      </c>
      <c r="B164">
        <f>IF($J164="","",SUMIFS('Weekly Log'!$C:$C,'Weekly Log'!$A:$A,"&gt;="&amp;$J164,'Weekly Log'!$A:$A,"&lt;"&amp;$J164+7))</f>
        <v/>
      </c>
      <c r="C164">
        <f>IF($J164="","",IFERROR(COUNTIFS('Weekly Log'!$G:$G,"Y",'Weekly Log'!$A:$A,"&gt;="&amp;$J164,'Weekly Log'!$A:$A,"&lt;"&amp;$J164+7)/COUNTIFS('Weekly Log'!$G:$G,"&lt;&gt;",'Weekly Log'!$A:$A,"&gt;="&amp;$J164,'Weekly Log'!$A:$A,"&lt;"&amp;$J164+7),0))</f>
        <v/>
      </c>
      <c r="D164">
        <f>IF($J164="","",IFERROR(COUNTIFS('Weekly Log'!$H:$H,"Y",'Weekly Log'!$A:$A,"&gt;="&amp;$J164,'Weekly Log'!$A:$A,"&lt;"&amp;$J164+7)/COUNTIFS('Weekly Log'!$H:$H,"&lt;&gt;",'Weekly Log'!$A:$A,"&gt;="&amp;$J164,'Weekly Log'!$A:$A,"&lt;"&amp;$J164+7),0))</f>
        <v/>
      </c>
      <c r="E164">
        <f>IF($J164="","",IFERROR(AVERAGEIFS('Weekly Log'!$F:$F,'Weekly Log'!$A:$A,"&gt;="&amp;$J164,'Weekly Log'!$A:$A,"&lt;"&amp;$J164+7),0))</f>
        <v/>
      </c>
      <c r="F164">
        <f>IF($J164="","",IFERROR(SUMIFS('Weekly Log'!$F:$F,'Weekly Log'!$A:$A,"&gt;="&amp;$J164,'Weekly Log'!$A:$A,"&lt;"&amp;$J164+7)/SUMIFS('Weekly Log'!$E:$E,'Weekly Log'!$A:$A,"&gt;="&amp;$J164,'Weekly Log'!$A:$A,"&lt;"&amp;$J164+7),0))</f>
        <v/>
      </c>
      <c r="G164">
        <f>IF($J164="","",IFERROR(LOOKUP(2,1/(('Weekly Log'!$A$5:$A$5000&gt;=$J164)*('Weekly Log'!$A$5:$A$5000&lt;$J164+7)*('Weekly Log'!$M$5:$M$5000&lt;&gt;"")),'Weekly Log'!$M$5:$M$5000),0))</f>
        <v/>
      </c>
      <c r="J164">
        <f>IF(COUNT('Weekly Log'!$A$5:$A$5000)=0,"",IF(MIN('Weekly Log'!$A$5:$A$5000)+7*(ROW()-10)&gt;MAX('Weekly Log'!$A$5:$A$5000),"",MIN('Weekly Log'!$A$5:$A$5000)+7*(ROW()-10)))</f>
        <v/>
      </c>
    </row>
    <row r="165">
      <c r="A165">
        <f>IF($J165="","",YEAR($J165-WEEKDAY($J165,2)+4)&amp;"-W"&amp;TEXT(WEEKNUM($J165,21),"00"))</f>
        <v/>
      </c>
      <c r="B165">
        <f>IF($J165="","",SUMIFS('Weekly Log'!$C:$C,'Weekly Log'!$A:$A,"&gt;="&amp;$J165,'Weekly Log'!$A:$A,"&lt;"&amp;$J165+7))</f>
        <v/>
      </c>
      <c r="C165">
        <f>IF($J165="","",IFERROR(COUNTIFS('Weekly Log'!$G:$G,"Y",'Weekly Log'!$A:$A,"&gt;="&amp;$J165,'Weekly Log'!$A:$A,"&lt;"&amp;$J165+7)/COUNTIFS('Weekly Log'!$G:$G,"&lt;&gt;",'Weekly Log'!$A:$A,"&gt;="&amp;$J165,'Weekly Log'!$A:$A,"&lt;"&amp;$J165+7),0))</f>
        <v/>
      </c>
      <c r="D165">
        <f>IF($J165="","",IFERROR(COUNTIFS('Weekly Log'!$H:$H,"Y",'Weekly Log'!$A:$A,"&gt;="&amp;$J165,'Weekly Log'!$A:$A,"&lt;"&amp;$J165+7)/COUNTIFS('Weekly Log'!$H:$H,"&lt;&gt;",'Weekly Log'!$A:$A,"&gt;="&amp;$J165,'Weekly Log'!$A:$A,"&lt;"&amp;$J165+7),0))</f>
        <v/>
      </c>
      <c r="E165">
        <f>IF($J165="","",IFERROR(AVERAGEIFS('Weekly Log'!$F:$F,'Weekly Log'!$A:$A,"&gt;="&amp;$J165,'Weekly Log'!$A:$A,"&lt;"&amp;$J165+7),0))</f>
        <v/>
      </c>
      <c r="F165">
        <f>IF($J165="","",IFERROR(SUMIFS('Weekly Log'!$F:$F,'Weekly Log'!$A:$A,"&gt;="&amp;$J165,'Weekly Log'!$A:$A,"&lt;"&amp;$J165+7)/SUMIFS('Weekly Log'!$E:$E,'Weekly Log'!$A:$A,"&gt;="&amp;$J165,'Weekly Log'!$A:$A,"&lt;"&amp;$J165+7),0))</f>
        <v/>
      </c>
      <c r="G165">
        <f>IF($J165="","",IFERROR(LOOKUP(2,1/(('Weekly Log'!$A$5:$A$5000&gt;=$J165)*('Weekly Log'!$A$5:$A$5000&lt;$J165+7)*('Weekly Log'!$M$5:$M$5000&lt;&gt;"")),'Weekly Log'!$M$5:$M$5000),0))</f>
        <v/>
      </c>
      <c r="J165">
        <f>IF(COUNT('Weekly Log'!$A$5:$A$5000)=0,"",IF(MIN('Weekly Log'!$A$5:$A$5000)+7*(ROW()-10)&gt;MAX('Weekly Log'!$A$5:$A$5000),"",MIN('Weekly Log'!$A$5:$A$5000)+7*(ROW()-10)))</f>
        <v/>
      </c>
    </row>
    <row r="166">
      <c r="A166">
        <f>IF($J166="","",YEAR($J166-WEEKDAY($J166,2)+4)&amp;"-W"&amp;TEXT(WEEKNUM($J166,21),"00"))</f>
        <v/>
      </c>
      <c r="B166">
        <f>IF($J166="","",SUMIFS('Weekly Log'!$C:$C,'Weekly Log'!$A:$A,"&gt;="&amp;$J166,'Weekly Log'!$A:$A,"&lt;"&amp;$J166+7))</f>
        <v/>
      </c>
      <c r="C166">
        <f>IF($J166="","",IFERROR(COUNTIFS('Weekly Log'!$G:$G,"Y",'Weekly Log'!$A:$A,"&gt;="&amp;$J166,'Weekly Log'!$A:$A,"&lt;"&amp;$J166+7)/COUNTIFS('Weekly Log'!$G:$G,"&lt;&gt;",'Weekly Log'!$A:$A,"&gt;="&amp;$J166,'Weekly Log'!$A:$A,"&lt;"&amp;$J166+7),0))</f>
        <v/>
      </c>
      <c r="D166">
        <f>IF($J166="","",IFERROR(COUNTIFS('Weekly Log'!$H:$H,"Y",'Weekly Log'!$A:$A,"&gt;="&amp;$J166,'Weekly Log'!$A:$A,"&lt;"&amp;$J166+7)/COUNTIFS('Weekly Log'!$H:$H,"&lt;&gt;",'Weekly Log'!$A:$A,"&gt;="&amp;$J166,'Weekly Log'!$A:$A,"&lt;"&amp;$J166+7),0))</f>
        <v/>
      </c>
      <c r="E166">
        <f>IF($J166="","",IFERROR(AVERAGEIFS('Weekly Log'!$F:$F,'Weekly Log'!$A:$A,"&gt;="&amp;$J166,'Weekly Log'!$A:$A,"&lt;"&amp;$J166+7),0))</f>
        <v/>
      </c>
      <c r="F166">
        <f>IF($J166="","",IFERROR(SUMIFS('Weekly Log'!$F:$F,'Weekly Log'!$A:$A,"&gt;="&amp;$J166,'Weekly Log'!$A:$A,"&lt;"&amp;$J166+7)/SUMIFS('Weekly Log'!$E:$E,'Weekly Log'!$A:$A,"&gt;="&amp;$J166,'Weekly Log'!$A:$A,"&lt;"&amp;$J166+7),0))</f>
        <v/>
      </c>
      <c r="G166">
        <f>IF($J166="","",IFERROR(LOOKUP(2,1/(('Weekly Log'!$A$5:$A$5000&gt;=$J166)*('Weekly Log'!$A$5:$A$5000&lt;$J166+7)*('Weekly Log'!$M$5:$M$5000&lt;&gt;"")),'Weekly Log'!$M$5:$M$5000),0))</f>
        <v/>
      </c>
      <c r="J166">
        <f>IF(COUNT('Weekly Log'!$A$5:$A$5000)=0,"",IF(MIN('Weekly Log'!$A$5:$A$5000)+7*(ROW()-10)&gt;MAX('Weekly Log'!$A$5:$A$5000),"",MIN('Weekly Log'!$A$5:$A$5000)+7*(ROW()-10)))</f>
        <v/>
      </c>
    </row>
    <row r="167">
      <c r="A167">
        <f>IF($J167="","",YEAR($J167-WEEKDAY($J167,2)+4)&amp;"-W"&amp;TEXT(WEEKNUM($J167,21),"00"))</f>
        <v/>
      </c>
      <c r="B167">
        <f>IF($J167="","",SUMIFS('Weekly Log'!$C:$C,'Weekly Log'!$A:$A,"&gt;="&amp;$J167,'Weekly Log'!$A:$A,"&lt;"&amp;$J167+7))</f>
        <v/>
      </c>
      <c r="C167">
        <f>IF($J167="","",IFERROR(COUNTIFS('Weekly Log'!$G:$G,"Y",'Weekly Log'!$A:$A,"&gt;="&amp;$J167,'Weekly Log'!$A:$A,"&lt;"&amp;$J167+7)/COUNTIFS('Weekly Log'!$G:$G,"&lt;&gt;",'Weekly Log'!$A:$A,"&gt;="&amp;$J167,'Weekly Log'!$A:$A,"&lt;"&amp;$J167+7),0))</f>
        <v/>
      </c>
      <c r="D167">
        <f>IF($J167="","",IFERROR(COUNTIFS('Weekly Log'!$H:$H,"Y",'Weekly Log'!$A:$A,"&gt;="&amp;$J167,'Weekly Log'!$A:$A,"&lt;"&amp;$J167+7)/COUNTIFS('Weekly Log'!$H:$H,"&lt;&gt;",'Weekly Log'!$A:$A,"&gt;="&amp;$J167,'Weekly Log'!$A:$A,"&lt;"&amp;$J167+7),0))</f>
        <v/>
      </c>
      <c r="E167">
        <f>IF($J167="","",IFERROR(AVERAGEIFS('Weekly Log'!$F:$F,'Weekly Log'!$A:$A,"&gt;="&amp;$J167,'Weekly Log'!$A:$A,"&lt;"&amp;$J167+7),0))</f>
        <v/>
      </c>
      <c r="F167">
        <f>IF($J167="","",IFERROR(SUMIFS('Weekly Log'!$F:$F,'Weekly Log'!$A:$A,"&gt;="&amp;$J167,'Weekly Log'!$A:$A,"&lt;"&amp;$J167+7)/SUMIFS('Weekly Log'!$E:$E,'Weekly Log'!$A:$A,"&gt;="&amp;$J167,'Weekly Log'!$A:$A,"&lt;"&amp;$J167+7),0))</f>
        <v/>
      </c>
      <c r="G167">
        <f>IF($J167="","",IFERROR(LOOKUP(2,1/(('Weekly Log'!$A$5:$A$5000&gt;=$J167)*('Weekly Log'!$A$5:$A$5000&lt;$J167+7)*('Weekly Log'!$M$5:$M$5000&lt;&gt;"")),'Weekly Log'!$M$5:$M$5000),0))</f>
        <v/>
      </c>
      <c r="J167">
        <f>IF(COUNT('Weekly Log'!$A$5:$A$5000)=0,"",IF(MIN('Weekly Log'!$A$5:$A$5000)+7*(ROW()-10)&gt;MAX('Weekly Log'!$A$5:$A$5000),"",MIN('Weekly Log'!$A$5:$A$5000)+7*(ROW()-10)))</f>
        <v/>
      </c>
    </row>
    <row r="168">
      <c r="A168">
        <f>IF($J168="","",YEAR($J168-WEEKDAY($J168,2)+4)&amp;"-W"&amp;TEXT(WEEKNUM($J168,21),"00"))</f>
        <v/>
      </c>
      <c r="B168">
        <f>IF($J168="","",SUMIFS('Weekly Log'!$C:$C,'Weekly Log'!$A:$A,"&gt;="&amp;$J168,'Weekly Log'!$A:$A,"&lt;"&amp;$J168+7))</f>
        <v/>
      </c>
      <c r="C168">
        <f>IF($J168="","",IFERROR(COUNTIFS('Weekly Log'!$G:$G,"Y",'Weekly Log'!$A:$A,"&gt;="&amp;$J168,'Weekly Log'!$A:$A,"&lt;"&amp;$J168+7)/COUNTIFS('Weekly Log'!$G:$G,"&lt;&gt;",'Weekly Log'!$A:$A,"&gt;="&amp;$J168,'Weekly Log'!$A:$A,"&lt;"&amp;$J168+7),0))</f>
        <v/>
      </c>
      <c r="D168">
        <f>IF($J168="","",IFERROR(COUNTIFS('Weekly Log'!$H:$H,"Y",'Weekly Log'!$A:$A,"&gt;="&amp;$J168,'Weekly Log'!$A:$A,"&lt;"&amp;$J168+7)/COUNTIFS('Weekly Log'!$H:$H,"&lt;&gt;",'Weekly Log'!$A:$A,"&gt;="&amp;$J168,'Weekly Log'!$A:$A,"&lt;"&amp;$J168+7),0))</f>
        <v/>
      </c>
      <c r="E168">
        <f>IF($J168="","",IFERROR(AVERAGEIFS('Weekly Log'!$F:$F,'Weekly Log'!$A:$A,"&gt;="&amp;$J168,'Weekly Log'!$A:$A,"&lt;"&amp;$J168+7),0))</f>
        <v/>
      </c>
      <c r="F168">
        <f>IF($J168="","",IFERROR(SUMIFS('Weekly Log'!$F:$F,'Weekly Log'!$A:$A,"&gt;="&amp;$J168,'Weekly Log'!$A:$A,"&lt;"&amp;$J168+7)/SUMIFS('Weekly Log'!$E:$E,'Weekly Log'!$A:$A,"&gt;="&amp;$J168,'Weekly Log'!$A:$A,"&lt;"&amp;$J168+7),0))</f>
        <v/>
      </c>
      <c r="G168">
        <f>IF($J168="","",IFERROR(LOOKUP(2,1/(('Weekly Log'!$A$5:$A$5000&gt;=$J168)*('Weekly Log'!$A$5:$A$5000&lt;$J168+7)*('Weekly Log'!$M$5:$M$5000&lt;&gt;"")),'Weekly Log'!$M$5:$M$5000),0))</f>
        <v/>
      </c>
      <c r="J168">
        <f>IF(COUNT('Weekly Log'!$A$5:$A$5000)=0,"",IF(MIN('Weekly Log'!$A$5:$A$5000)+7*(ROW()-10)&gt;MAX('Weekly Log'!$A$5:$A$5000),"",MIN('Weekly Log'!$A$5:$A$5000)+7*(ROW()-10)))</f>
        <v/>
      </c>
    </row>
    <row r="169">
      <c r="A169">
        <f>IF($J169="","",YEAR($J169-WEEKDAY($J169,2)+4)&amp;"-W"&amp;TEXT(WEEKNUM($J169,21),"00"))</f>
        <v/>
      </c>
      <c r="B169">
        <f>IF($J169="","",SUMIFS('Weekly Log'!$C:$C,'Weekly Log'!$A:$A,"&gt;="&amp;$J169,'Weekly Log'!$A:$A,"&lt;"&amp;$J169+7))</f>
        <v/>
      </c>
      <c r="C169">
        <f>IF($J169="","",IFERROR(COUNTIFS('Weekly Log'!$G:$G,"Y",'Weekly Log'!$A:$A,"&gt;="&amp;$J169,'Weekly Log'!$A:$A,"&lt;"&amp;$J169+7)/COUNTIFS('Weekly Log'!$G:$G,"&lt;&gt;",'Weekly Log'!$A:$A,"&gt;="&amp;$J169,'Weekly Log'!$A:$A,"&lt;"&amp;$J169+7),0))</f>
        <v/>
      </c>
      <c r="D169">
        <f>IF($J169="","",IFERROR(COUNTIFS('Weekly Log'!$H:$H,"Y",'Weekly Log'!$A:$A,"&gt;="&amp;$J169,'Weekly Log'!$A:$A,"&lt;"&amp;$J169+7)/COUNTIFS('Weekly Log'!$H:$H,"&lt;&gt;",'Weekly Log'!$A:$A,"&gt;="&amp;$J169,'Weekly Log'!$A:$A,"&lt;"&amp;$J169+7),0))</f>
        <v/>
      </c>
      <c r="E169">
        <f>IF($J169="","",IFERROR(AVERAGEIFS('Weekly Log'!$F:$F,'Weekly Log'!$A:$A,"&gt;="&amp;$J169,'Weekly Log'!$A:$A,"&lt;"&amp;$J169+7),0))</f>
        <v/>
      </c>
      <c r="F169">
        <f>IF($J169="","",IFERROR(SUMIFS('Weekly Log'!$F:$F,'Weekly Log'!$A:$A,"&gt;="&amp;$J169,'Weekly Log'!$A:$A,"&lt;"&amp;$J169+7)/SUMIFS('Weekly Log'!$E:$E,'Weekly Log'!$A:$A,"&gt;="&amp;$J169,'Weekly Log'!$A:$A,"&lt;"&amp;$J169+7),0))</f>
        <v/>
      </c>
      <c r="G169">
        <f>IF($J169="","",IFERROR(LOOKUP(2,1/(('Weekly Log'!$A$5:$A$5000&gt;=$J169)*('Weekly Log'!$A$5:$A$5000&lt;$J169+7)*('Weekly Log'!$M$5:$M$5000&lt;&gt;"")),'Weekly Log'!$M$5:$M$5000),0))</f>
        <v/>
      </c>
      <c r="J169">
        <f>IF(COUNT('Weekly Log'!$A$5:$A$5000)=0,"",IF(MIN('Weekly Log'!$A$5:$A$5000)+7*(ROW()-10)&gt;MAX('Weekly Log'!$A$5:$A$5000),"",MIN('Weekly Log'!$A$5:$A$5000)+7*(ROW()-10)))</f>
        <v/>
      </c>
    </row>
    <row r="170">
      <c r="A170">
        <f>IF($J170="","",YEAR($J170-WEEKDAY($J170,2)+4)&amp;"-W"&amp;TEXT(WEEKNUM($J170,21),"00"))</f>
        <v/>
      </c>
      <c r="B170">
        <f>IF($J170="","",SUMIFS('Weekly Log'!$C:$C,'Weekly Log'!$A:$A,"&gt;="&amp;$J170,'Weekly Log'!$A:$A,"&lt;"&amp;$J170+7))</f>
        <v/>
      </c>
      <c r="C170">
        <f>IF($J170="","",IFERROR(COUNTIFS('Weekly Log'!$G:$G,"Y",'Weekly Log'!$A:$A,"&gt;="&amp;$J170,'Weekly Log'!$A:$A,"&lt;"&amp;$J170+7)/COUNTIFS('Weekly Log'!$G:$G,"&lt;&gt;",'Weekly Log'!$A:$A,"&gt;="&amp;$J170,'Weekly Log'!$A:$A,"&lt;"&amp;$J170+7),0))</f>
        <v/>
      </c>
      <c r="D170">
        <f>IF($J170="","",IFERROR(COUNTIFS('Weekly Log'!$H:$H,"Y",'Weekly Log'!$A:$A,"&gt;="&amp;$J170,'Weekly Log'!$A:$A,"&lt;"&amp;$J170+7)/COUNTIFS('Weekly Log'!$H:$H,"&lt;&gt;",'Weekly Log'!$A:$A,"&gt;="&amp;$J170,'Weekly Log'!$A:$A,"&lt;"&amp;$J170+7),0))</f>
        <v/>
      </c>
      <c r="E170">
        <f>IF($J170="","",IFERROR(AVERAGEIFS('Weekly Log'!$F:$F,'Weekly Log'!$A:$A,"&gt;="&amp;$J170,'Weekly Log'!$A:$A,"&lt;"&amp;$J170+7),0))</f>
        <v/>
      </c>
      <c r="F170">
        <f>IF($J170="","",IFERROR(SUMIFS('Weekly Log'!$F:$F,'Weekly Log'!$A:$A,"&gt;="&amp;$J170,'Weekly Log'!$A:$A,"&lt;"&amp;$J170+7)/SUMIFS('Weekly Log'!$E:$E,'Weekly Log'!$A:$A,"&gt;="&amp;$J170,'Weekly Log'!$A:$A,"&lt;"&amp;$J170+7),0))</f>
        <v/>
      </c>
      <c r="G170">
        <f>IF($J170="","",IFERROR(LOOKUP(2,1/(('Weekly Log'!$A$5:$A$5000&gt;=$J170)*('Weekly Log'!$A$5:$A$5000&lt;$J170+7)*('Weekly Log'!$M$5:$M$5000&lt;&gt;"")),'Weekly Log'!$M$5:$M$5000),0))</f>
        <v/>
      </c>
      <c r="J170">
        <f>IF(COUNT('Weekly Log'!$A$5:$A$5000)=0,"",IF(MIN('Weekly Log'!$A$5:$A$5000)+7*(ROW()-10)&gt;MAX('Weekly Log'!$A$5:$A$5000),"",MIN('Weekly Log'!$A$5:$A$5000)+7*(ROW()-10)))</f>
        <v/>
      </c>
    </row>
    <row r="171">
      <c r="A171">
        <f>IF($J171="","",YEAR($J171-WEEKDAY($J171,2)+4)&amp;"-W"&amp;TEXT(WEEKNUM($J171,21),"00"))</f>
        <v/>
      </c>
      <c r="B171">
        <f>IF($J171="","",SUMIFS('Weekly Log'!$C:$C,'Weekly Log'!$A:$A,"&gt;="&amp;$J171,'Weekly Log'!$A:$A,"&lt;"&amp;$J171+7))</f>
        <v/>
      </c>
      <c r="C171">
        <f>IF($J171="","",IFERROR(COUNTIFS('Weekly Log'!$G:$G,"Y",'Weekly Log'!$A:$A,"&gt;="&amp;$J171,'Weekly Log'!$A:$A,"&lt;"&amp;$J171+7)/COUNTIFS('Weekly Log'!$G:$G,"&lt;&gt;",'Weekly Log'!$A:$A,"&gt;="&amp;$J171,'Weekly Log'!$A:$A,"&lt;"&amp;$J171+7),0))</f>
        <v/>
      </c>
      <c r="D171">
        <f>IF($J171="","",IFERROR(COUNTIFS('Weekly Log'!$H:$H,"Y",'Weekly Log'!$A:$A,"&gt;="&amp;$J171,'Weekly Log'!$A:$A,"&lt;"&amp;$J171+7)/COUNTIFS('Weekly Log'!$H:$H,"&lt;&gt;",'Weekly Log'!$A:$A,"&gt;="&amp;$J171,'Weekly Log'!$A:$A,"&lt;"&amp;$J171+7),0))</f>
        <v/>
      </c>
      <c r="E171">
        <f>IF($J171="","",IFERROR(AVERAGEIFS('Weekly Log'!$F:$F,'Weekly Log'!$A:$A,"&gt;="&amp;$J171,'Weekly Log'!$A:$A,"&lt;"&amp;$J171+7),0))</f>
        <v/>
      </c>
      <c r="F171">
        <f>IF($J171="","",IFERROR(SUMIFS('Weekly Log'!$F:$F,'Weekly Log'!$A:$A,"&gt;="&amp;$J171,'Weekly Log'!$A:$A,"&lt;"&amp;$J171+7)/SUMIFS('Weekly Log'!$E:$E,'Weekly Log'!$A:$A,"&gt;="&amp;$J171,'Weekly Log'!$A:$A,"&lt;"&amp;$J171+7),0))</f>
        <v/>
      </c>
      <c r="G171">
        <f>IF($J171="","",IFERROR(LOOKUP(2,1/(('Weekly Log'!$A$5:$A$5000&gt;=$J171)*('Weekly Log'!$A$5:$A$5000&lt;$J171+7)*('Weekly Log'!$M$5:$M$5000&lt;&gt;"")),'Weekly Log'!$M$5:$M$5000),0))</f>
        <v/>
      </c>
      <c r="J171">
        <f>IF(COUNT('Weekly Log'!$A$5:$A$5000)=0,"",IF(MIN('Weekly Log'!$A$5:$A$5000)+7*(ROW()-10)&gt;MAX('Weekly Log'!$A$5:$A$5000),"",MIN('Weekly Log'!$A$5:$A$5000)+7*(ROW()-10)))</f>
        <v/>
      </c>
    </row>
    <row r="172">
      <c r="A172">
        <f>IF($J172="","",YEAR($J172-WEEKDAY($J172,2)+4)&amp;"-W"&amp;TEXT(WEEKNUM($J172,21),"00"))</f>
        <v/>
      </c>
      <c r="B172">
        <f>IF($J172="","",SUMIFS('Weekly Log'!$C:$C,'Weekly Log'!$A:$A,"&gt;="&amp;$J172,'Weekly Log'!$A:$A,"&lt;"&amp;$J172+7))</f>
        <v/>
      </c>
      <c r="C172">
        <f>IF($J172="","",IFERROR(COUNTIFS('Weekly Log'!$G:$G,"Y",'Weekly Log'!$A:$A,"&gt;="&amp;$J172,'Weekly Log'!$A:$A,"&lt;"&amp;$J172+7)/COUNTIFS('Weekly Log'!$G:$G,"&lt;&gt;",'Weekly Log'!$A:$A,"&gt;="&amp;$J172,'Weekly Log'!$A:$A,"&lt;"&amp;$J172+7),0))</f>
        <v/>
      </c>
      <c r="D172">
        <f>IF($J172="","",IFERROR(COUNTIFS('Weekly Log'!$H:$H,"Y",'Weekly Log'!$A:$A,"&gt;="&amp;$J172,'Weekly Log'!$A:$A,"&lt;"&amp;$J172+7)/COUNTIFS('Weekly Log'!$H:$H,"&lt;&gt;",'Weekly Log'!$A:$A,"&gt;="&amp;$J172,'Weekly Log'!$A:$A,"&lt;"&amp;$J172+7),0))</f>
        <v/>
      </c>
      <c r="E172">
        <f>IF($J172="","",IFERROR(AVERAGEIFS('Weekly Log'!$F:$F,'Weekly Log'!$A:$A,"&gt;="&amp;$J172,'Weekly Log'!$A:$A,"&lt;"&amp;$J172+7),0))</f>
        <v/>
      </c>
      <c r="F172">
        <f>IF($J172="","",IFERROR(SUMIFS('Weekly Log'!$F:$F,'Weekly Log'!$A:$A,"&gt;="&amp;$J172,'Weekly Log'!$A:$A,"&lt;"&amp;$J172+7)/SUMIFS('Weekly Log'!$E:$E,'Weekly Log'!$A:$A,"&gt;="&amp;$J172,'Weekly Log'!$A:$A,"&lt;"&amp;$J172+7),0))</f>
        <v/>
      </c>
      <c r="G172">
        <f>IF($J172="","",IFERROR(LOOKUP(2,1/(('Weekly Log'!$A$5:$A$5000&gt;=$J172)*('Weekly Log'!$A$5:$A$5000&lt;$J172+7)*('Weekly Log'!$M$5:$M$5000&lt;&gt;"")),'Weekly Log'!$M$5:$M$5000),0))</f>
        <v/>
      </c>
      <c r="J172">
        <f>IF(COUNT('Weekly Log'!$A$5:$A$5000)=0,"",IF(MIN('Weekly Log'!$A$5:$A$5000)+7*(ROW()-10)&gt;MAX('Weekly Log'!$A$5:$A$5000),"",MIN('Weekly Log'!$A$5:$A$5000)+7*(ROW()-10)))</f>
        <v/>
      </c>
    </row>
    <row r="173">
      <c r="A173">
        <f>IF($J173="","",YEAR($J173-WEEKDAY($J173,2)+4)&amp;"-W"&amp;TEXT(WEEKNUM($J173,21),"00"))</f>
        <v/>
      </c>
      <c r="B173">
        <f>IF($J173="","",SUMIFS('Weekly Log'!$C:$C,'Weekly Log'!$A:$A,"&gt;="&amp;$J173,'Weekly Log'!$A:$A,"&lt;"&amp;$J173+7))</f>
        <v/>
      </c>
      <c r="C173">
        <f>IF($J173="","",IFERROR(COUNTIFS('Weekly Log'!$G:$G,"Y",'Weekly Log'!$A:$A,"&gt;="&amp;$J173,'Weekly Log'!$A:$A,"&lt;"&amp;$J173+7)/COUNTIFS('Weekly Log'!$G:$G,"&lt;&gt;",'Weekly Log'!$A:$A,"&gt;="&amp;$J173,'Weekly Log'!$A:$A,"&lt;"&amp;$J173+7),0))</f>
        <v/>
      </c>
      <c r="D173">
        <f>IF($J173="","",IFERROR(COUNTIFS('Weekly Log'!$H:$H,"Y",'Weekly Log'!$A:$A,"&gt;="&amp;$J173,'Weekly Log'!$A:$A,"&lt;"&amp;$J173+7)/COUNTIFS('Weekly Log'!$H:$H,"&lt;&gt;",'Weekly Log'!$A:$A,"&gt;="&amp;$J173,'Weekly Log'!$A:$A,"&lt;"&amp;$J173+7),0))</f>
        <v/>
      </c>
      <c r="E173">
        <f>IF($J173="","",IFERROR(AVERAGEIFS('Weekly Log'!$F:$F,'Weekly Log'!$A:$A,"&gt;="&amp;$J173,'Weekly Log'!$A:$A,"&lt;"&amp;$J173+7),0))</f>
        <v/>
      </c>
      <c r="F173">
        <f>IF($J173="","",IFERROR(SUMIFS('Weekly Log'!$F:$F,'Weekly Log'!$A:$A,"&gt;="&amp;$J173,'Weekly Log'!$A:$A,"&lt;"&amp;$J173+7)/SUMIFS('Weekly Log'!$E:$E,'Weekly Log'!$A:$A,"&gt;="&amp;$J173,'Weekly Log'!$A:$A,"&lt;"&amp;$J173+7),0))</f>
        <v/>
      </c>
      <c r="G173">
        <f>IF($J173="","",IFERROR(LOOKUP(2,1/(('Weekly Log'!$A$5:$A$5000&gt;=$J173)*('Weekly Log'!$A$5:$A$5000&lt;$J173+7)*('Weekly Log'!$M$5:$M$5000&lt;&gt;"")),'Weekly Log'!$M$5:$M$5000),0))</f>
        <v/>
      </c>
      <c r="J173">
        <f>IF(COUNT('Weekly Log'!$A$5:$A$5000)=0,"",IF(MIN('Weekly Log'!$A$5:$A$5000)+7*(ROW()-10)&gt;MAX('Weekly Log'!$A$5:$A$5000),"",MIN('Weekly Log'!$A$5:$A$5000)+7*(ROW()-10)))</f>
        <v/>
      </c>
    </row>
    <row r="174">
      <c r="A174">
        <f>IF($J174="","",YEAR($J174-WEEKDAY($J174,2)+4)&amp;"-W"&amp;TEXT(WEEKNUM($J174,21),"00"))</f>
        <v/>
      </c>
      <c r="B174">
        <f>IF($J174="","",SUMIFS('Weekly Log'!$C:$C,'Weekly Log'!$A:$A,"&gt;="&amp;$J174,'Weekly Log'!$A:$A,"&lt;"&amp;$J174+7))</f>
        <v/>
      </c>
      <c r="C174">
        <f>IF($J174="","",IFERROR(COUNTIFS('Weekly Log'!$G:$G,"Y",'Weekly Log'!$A:$A,"&gt;="&amp;$J174,'Weekly Log'!$A:$A,"&lt;"&amp;$J174+7)/COUNTIFS('Weekly Log'!$G:$G,"&lt;&gt;",'Weekly Log'!$A:$A,"&gt;="&amp;$J174,'Weekly Log'!$A:$A,"&lt;"&amp;$J174+7),0))</f>
        <v/>
      </c>
      <c r="D174">
        <f>IF($J174="","",IFERROR(COUNTIFS('Weekly Log'!$H:$H,"Y",'Weekly Log'!$A:$A,"&gt;="&amp;$J174,'Weekly Log'!$A:$A,"&lt;"&amp;$J174+7)/COUNTIFS('Weekly Log'!$H:$H,"&lt;&gt;",'Weekly Log'!$A:$A,"&gt;="&amp;$J174,'Weekly Log'!$A:$A,"&lt;"&amp;$J174+7),0))</f>
        <v/>
      </c>
      <c r="E174">
        <f>IF($J174="","",IFERROR(AVERAGEIFS('Weekly Log'!$F:$F,'Weekly Log'!$A:$A,"&gt;="&amp;$J174,'Weekly Log'!$A:$A,"&lt;"&amp;$J174+7),0))</f>
        <v/>
      </c>
      <c r="F174">
        <f>IF($J174="","",IFERROR(SUMIFS('Weekly Log'!$F:$F,'Weekly Log'!$A:$A,"&gt;="&amp;$J174,'Weekly Log'!$A:$A,"&lt;"&amp;$J174+7)/SUMIFS('Weekly Log'!$E:$E,'Weekly Log'!$A:$A,"&gt;="&amp;$J174,'Weekly Log'!$A:$A,"&lt;"&amp;$J174+7),0))</f>
        <v/>
      </c>
      <c r="G174">
        <f>IF($J174="","",IFERROR(LOOKUP(2,1/(('Weekly Log'!$A$5:$A$5000&gt;=$J174)*('Weekly Log'!$A$5:$A$5000&lt;$J174+7)*('Weekly Log'!$M$5:$M$5000&lt;&gt;"")),'Weekly Log'!$M$5:$M$5000),0))</f>
        <v/>
      </c>
      <c r="J174">
        <f>IF(COUNT('Weekly Log'!$A$5:$A$5000)=0,"",IF(MIN('Weekly Log'!$A$5:$A$5000)+7*(ROW()-10)&gt;MAX('Weekly Log'!$A$5:$A$5000),"",MIN('Weekly Log'!$A$5:$A$5000)+7*(ROW()-10)))</f>
        <v/>
      </c>
    </row>
    <row r="175">
      <c r="A175">
        <f>IF($J175="","",YEAR($J175-WEEKDAY($J175,2)+4)&amp;"-W"&amp;TEXT(WEEKNUM($J175,21),"00"))</f>
        <v/>
      </c>
      <c r="B175">
        <f>IF($J175="","",SUMIFS('Weekly Log'!$C:$C,'Weekly Log'!$A:$A,"&gt;="&amp;$J175,'Weekly Log'!$A:$A,"&lt;"&amp;$J175+7))</f>
        <v/>
      </c>
      <c r="C175">
        <f>IF($J175="","",IFERROR(COUNTIFS('Weekly Log'!$G:$G,"Y",'Weekly Log'!$A:$A,"&gt;="&amp;$J175,'Weekly Log'!$A:$A,"&lt;"&amp;$J175+7)/COUNTIFS('Weekly Log'!$G:$G,"&lt;&gt;",'Weekly Log'!$A:$A,"&gt;="&amp;$J175,'Weekly Log'!$A:$A,"&lt;"&amp;$J175+7),0))</f>
        <v/>
      </c>
      <c r="D175">
        <f>IF($J175="","",IFERROR(COUNTIFS('Weekly Log'!$H:$H,"Y",'Weekly Log'!$A:$A,"&gt;="&amp;$J175,'Weekly Log'!$A:$A,"&lt;"&amp;$J175+7)/COUNTIFS('Weekly Log'!$H:$H,"&lt;&gt;",'Weekly Log'!$A:$A,"&gt;="&amp;$J175,'Weekly Log'!$A:$A,"&lt;"&amp;$J175+7),0))</f>
        <v/>
      </c>
      <c r="E175">
        <f>IF($J175="","",IFERROR(AVERAGEIFS('Weekly Log'!$F:$F,'Weekly Log'!$A:$A,"&gt;="&amp;$J175,'Weekly Log'!$A:$A,"&lt;"&amp;$J175+7),0))</f>
        <v/>
      </c>
      <c r="F175">
        <f>IF($J175="","",IFERROR(SUMIFS('Weekly Log'!$F:$F,'Weekly Log'!$A:$A,"&gt;="&amp;$J175,'Weekly Log'!$A:$A,"&lt;"&amp;$J175+7)/SUMIFS('Weekly Log'!$E:$E,'Weekly Log'!$A:$A,"&gt;="&amp;$J175,'Weekly Log'!$A:$A,"&lt;"&amp;$J175+7),0))</f>
        <v/>
      </c>
      <c r="G175">
        <f>IF($J175="","",IFERROR(LOOKUP(2,1/(('Weekly Log'!$A$5:$A$5000&gt;=$J175)*('Weekly Log'!$A$5:$A$5000&lt;$J175+7)*('Weekly Log'!$M$5:$M$5000&lt;&gt;"")),'Weekly Log'!$M$5:$M$5000),0))</f>
        <v/>
      </c>
      <c r="J175">
        <f>IF(COUNT('Weekly Log'!$A$5:$A$5000)=0,"",IF(MIN('Weekly Log'!$A$5:$A$5000)+7*(ROW()-10)&gt;MAX('Weekly Log'!$A$5:$A$5000),"",MIN('Weekly Log'!$A$5:$A$5000)+7*(ROW()-10)))</f>
        <v/>
      </c>
    </row>
    <row r="176">
      <c r="A176">
        <f>IF($J176="","",YEAR($J176-WEEKDAY($J176,2)+4)&amp;"-W"&amp;TEXT(WEEKNUM($J176,21),"00"))</f>
        <v/>
      </c>
      <c r="B176">
        <f>IF($J176="","",SUMIFS('Weekly Log'!$C:$C,'Weekly Log'!$A:$A,"&gt;="&amp;$J176,'Weekly Log'!$A:$A,"&lt;"&amp;$J176+7))</f>
        <v/>
      </c>
      <c r="C176">
        <f>IF($J176="","",IFERROR(COUNTIFS('Weekly Log'!$G:$G,"Y",'Weekly Log'!$A:$A,"&gt;="&amp;$J176,'Weekly Log'!$A:$A,"&lt;"&amp;$J176+7)/COUNTIFS('Weekly Log'!$G:$G,"&lt;&gt;",'Weekly Log'!$A:$A,"&gt;="&amp;$J176,'Weekly Log'!$A:$A,"&lt;"&amp;$J176+7),0))</f>
        <v/>
      </c>
      <c r="D176">
        <f>IF($J176="","",IFERROR(COUNTIFS('Weekly Log'!$H:$H,"Y",'Weekly Log'!$A:$A,"&gt;="&amp;$J176,'Weekly Log'!$A:$A,"&lt;"&amp;$J176+7)/COUNTIFS('Weekly Log'!$H:$H,"&lt;&gt;",'Weekly Log'!$A:$A,"&gt;="&amp;$J176,'Weekly Log'!$A:$A,"&lt;"&amp;$J176+7),0))</f>
        <v/>
      </c>
      <c r="E176">
        <f>IF($J176="","",IFERROR(AVERAGEIFS('Weekly Log'!$F:$F,'Weekly Log'!$A:$A,"&gt;="&amp;$J176,'Weekly Log'!$A:$A,"&lt;"&amp;$J176+7),0))</f>
        <v/>
      </c>
      <c r="F176">
        <f>IF($J176="","",IFERROR(SUMIFS('Weekly Log'!$F:$F,'Weekly Log'!$A:$A,"&gt;="&amp;$J176,'Weekly Log'!$A:$A,"&lt;"&amp;$J176+7)/SUMIFS('Weekly Log'!$E:$E,'Weekly Log'!$A:$A,"&gt;="&amp;$J176,'Weekly Log'!$A:$A,"&lt;"&amp;$J176+7),0))</f>
        <v/>
      </c>
      <c r="G176">
        <f>IF($J176="","",IFERROR(LOOKUP(2,1/(('Weekly Log'!$A$5:$A$5000&gt;=$J176)*('Weekly Log'!$A$5:$A$5000&lt;$J176+7)*('Weekly Log'!$M$5:$M$5000&lt;&gt;"")),'Weekly Log'!$M$5:$M$5000),0))</f>
        <v/>
      </c>
      <c r="J176">
        <f>IF(COUNT('Weekly Log'!$A$5:$A$5000)=0,"",IF(MIN('Weekly Log'!$A$5:$A$5000)+7*(ROW()-10)&gt;MAX('Weekly Log'!$A$5:$A$5000),"",MIN('Weekly Log'!$A$5:$A$5000)+7*(ROW()-10)))</f>
        <v/>
      </c>
    </row>
    <row r="177">
      <c r="A177">
        <f>IF($J177="","",YEAR($J177-WEEKDAY($J177,2)+4)&amp;"-W"&amp;TEXT(WEEKNUM($J177,21),"00"))</f>
        <v/>
      </c>
      <c r="B177">
        <f>IF($J177="","",SUMIFS('Weekly Log'!$C:$C,'Weekly Log'!$A:$A,"&gt;="&amp;$J177,'Weekly Log'!$A:$A,"&lt;"&amp;$J177+7))</f>
        <v/>
      </c>
      <c r="C177">
        <f>IF($J177="","",IFERROR(COUNTIFS('Weekly Log'!$G:$G,"Y",'Weekly Log'!$A:$A,"&gt;="&amp;$J177,'Weekly Log'!$A:$A,"&lt;"&amp;$J177+7)/COUNTIFS('Weekly Log'!$G:$G,"&lt;&gt;",'Weekly Log'!$A:$A,"&gt;="&amp;$J177,'Weekly Log'!$A:$A,"&lt;"&amp;$J177+7),0))</f>
        <v/>
      </c>
      <c r="D177">
        <f>IF($J177="","",IFERROR(COUNTIFS('Weekly Log'!$H:$H,"Y",'Weekly Log'!$A:$A,"&gt;="&amp;$J177,'Weekly Log'!$A:$A,"&lt;"&amp;$J177+7)/COUNTIFS('Weekly Log'!$H:$H,"&lt;&gt;",'Weekly Log'!$A:$A,"&gt;="&amp;$J177,'Weekly Log'!$A:$A,"&lt;"&amp;$J177+7),0))</f>
        <v/>
      </c>
      <c r="E177">
        <f>IF($J177="","",IFERROR(AVERAGEIFS('Weekly Log'!$F:$F,'Weekly Log'!$A:$A,"&gt;="&amp;$J177,'Weekly Log'!$A:$A,"&lt;"&amp;$J177+7),0))</f>
        <v/>
      </c>
      <c r="F177">
        <f>IF($J177="","",IFERROR(SUMIFS('Weekly Log'!$F:$F,'Weekly Log'!$A:$A,"&gt;="&amp;$J177,'Weekly Log'!$A:$A,"&lt;"&amp;$J177+7)/SUMIFS('Weekly Log'!$E:$E,'Weekly Log'!$A:$A,"&gt;="&amp;$J177,'Weekly Log'!$A:$A,"&lt;"&amp;$J177+7),0))</f>
        <v/>
      </c>
      <c r="G177">
        <f>IF($J177="","",IFERROR(LOOKUP(2,1/(('Weekly Log'!$A$5:$A$5000&gt;=$J177)*('Weekly Log'!$A$5:$A$5000&lt;$J177+7)*('Weekly Log'!$M$5:$M$5000&lt;&gt;"")),'Weekly Log'!$M$5:$M$5000),0))</f>
        <v/>
      </c>
      <c r="J177">
        <f>IF(COUNT('Weekly Log'!$A$5:$A$5000)=0,"",IF(MIN('Weekly Log'!$A$5:$A$5000)+7*(ROW()-10)&gt;MAX('Weekly Log'!$A$5:$A$5000),"",MIN('Weekly Log'!$A$5:$A$5000)+7*(ROW()-10)))</f>
        <v/>
      </c>
    </row>
    <row r="178">
      <c r="A178">
        <f>IF($J178="","",YEAR($J178-WEEKDAY($J178,2)+4)&amp;"-W"&amp;TEXT(WEEKNUM($J178,21),"00"))</f>
        <v/>
      </c>
      <c r="B178">
        <f>IF($J178="","",SUMIFS('Weekly Log'!$C:$C,'Weekly Log'!$A:$A,"&gt;="&amp;$J178,'Weekly Log'!$A:$A,"&lt;"&amp;$J178+7))</f>
        <v/>
      </c>
      <c r="C178">
        <f>IF($J178="","",IFERROR(COUNTIFS('Weekly Log'!$G:$G,"Y",'Weekly Log'!$A:$A,"&gt;="&amp;$J178,'Weekly Log'!$A:$A,"&lt;"&amp;$J178+7)/COUNTIFS('Weekly Log'!$G:$G,"&lt;&gt;",'Weekly Log'!$A:$A,"&gt;="&amp;$J178,'Weekly Log'!$A:$A,"&lt;"&amp;$J178+7),0))</f>
        <v/>
      </c>
      <c r="D178">
        <f>IF($J178="","",IFERROR(COUNTIFS('Weekly Log'!$H:$H,"Y",'Weekly Log'!$A:$A,"&gt;="&amp;$J178,'Weekly Log'!$A:$A,"&lt;"&amp;$J178+7)/COUNTIFS('Weekly Log'!$H:$H,"&lt;&gt;",'Weekly Log'!$A:$A,"&gt;="&amp;$J178,'Weekly Log'!$A:$A,"&lt;"&amp;$J178+7),0))</f>
        <v/>
      </c>
      <c r="E178">
        <f>IF($J178="","",IFERROR(AVERAGEIFS('Weekly Log'!$F:$F,'Weekly Log'!$A:$A,"&gt;="&amp;$J178,'Weekly Log'!$A:$A,"&lt;"&amp;$J178+7),0))</f>
        <v/>
      </c>
      <c r="F178">
        <f>IF($J178="","",IFERROR(SUMIFS('Weekly Log'!$F:$F,'Weekly Log'!$A:$A,"&gt;="&amp;$J178,'Weekly Log'!$A:$A,"&lt;"&amp;$J178+7)/SUMIFS('Weekly Log'!$E:$E,'Weekly Log'!$A:$A,"&gt;="&amp;$J178,'Weekly Log'!$A:$A,"&lt;"&amp;$J178+7),0))</f>
        <v/>
      </c>
      <c r="G178">
        <f>IF($J178="","",IFERROR(LOOKUP(2,1/(('Weekly Log'!$A$5:$A$5000&gt;=$J178)*('Weekly Log'!$A$5:$A$5000&lt;$J178+7)*('Weekly Log'!$M$5:$M$5000&lt;&gt;"")),'Weekly Log'!$M$5:$M$5000),0))</f>
        <v/>
      </c>
      <c r="J178">
        <f>IF(COUNT('Weekly Log'!$A$5:$A$5000)=0,"",IF(MIN('Weekly Log'!$A$5:$A$5000)+7*(ROW()-10)&gt;MAX('Weekly Log'!$A$5:$A$5000),"",MIN('Weekly Log'!$A$5:$A$5000)+7*(ROW()-10)))</f>
        <v/>
      </c>
    </row>
    <row r="179">
      <c r="A179">
        <f>IF($J179="","",YEAR($J179-WEEKDAY($J179,2)+4)&amp;"-W"&amp;TEXT(WEEKNUM($J179,21),"00"))</f>
        <v/>
      </c>
      <c r="B179">
        <f>IF($J179="","",SUMIFS('Weekly Log'!$C:$C,'Weekly Log'!$A:$A,"&gt;="&amp;$J179,'Weekly Log'!$A:$A,"&lt;"&amp;$J179+7))</f>
        <v/>
      </c>
      <c r="C179">
        <f>IF($J179="","",IFERROR(COUNTIFS('Weekly Log'!$G:$G,"Y",'Weekly Log'!$A:$A,"&gt;="&amp;$J179,'Weekly Log'!$A:$A,"&lt;"&amp;$J179+7)/COUNTIFS('Weekly Log'!$G:$G,"&lt;&gt;",'Weekly Log'!$A:$A,"&gt;="&amp;$J179,'Weekly Log'!$A:$A,"&lt;"&amp;$J179+7),0))</f>
        <v/>
      </c>
      <c r="D179">
        <f>IF($J179="","",IFERROR(COUNTIFS('Weekly Log'!$H:$H,"Y",'Weekly Log'!$A:$A,"&gt;="&amp;$J179,'Weekly Log'!$A:$A,"&lt;"&amp;$J179+7)/COUNTIFS('Weekly Log'!$H:$H,"&lt;&gt;",'Weekly Log'!$A:$A,"&gt;="&amp;$J179,'Weekly Log'!$A:$A,"&lt;"&amp;$J179+7),0))</f>
        <v/>
      </c>
      <c r="E179">
        <f>IF($J179="","",IFERROR(AVERAGEIFS('Weekly Log'!$F:$F,'Weekly Log'!$A:$A,"&gt;="&amp;$J179,'Weekly Log'!$A:$A,"&lt;"&amp;$J179+7),0))</f>
        <v/>
      </c>
      <c r="F179">
        <f>IF($J179="","",IFERROR(SUMIFS('Weekly Log'!$F:$F,'Weekly Log'!$A:$A,"&gt;="&amp;$J179,'Weekly Log'!$A:$A,"&lt;"&amp;$J179+7)/SUMIFS('Weekly Log'!$E:$E,'Weekly Log'!$A:$A,"&gt;="&amp;$J179,'Weekly Log'!$A:$A,"&lt;"&amp;$J179+7),0))</f>
        <v/>
      </c>
      <c r="G179">
        <f>IF($J179="","",IFERROR(LOOKUP(2,1/(('Weekly Log'!$A$5:$A$5000&gt;=$J179)*('Weekly Log'!$A$5:$A$5000&lt;$J179+7)*('Weekly Log'!$M$5:$M$5000&lt;&gt;"")),'Weekly Log'!$M$5:$M$5000),0))</f>
        <v/>
      </c>
      <c r="J179">
        <f>IF(COUNT('Weekly Log'!$A$5:$A$5000)=0,"",IF(MIN('Weekly Log'!$A$5:$A$5000)+7*(ROW()-10)&gt;MAX('Weekly Log'!$A$5:$A$5000),"",MIN('Weekly Log'!$A$5:$A$5000)+7*(ROW()-10)))</f>
        <v/>
      </c>
    </row>
    <row r="180">
      <c r="A180">
        <f>IF($J180="","",YEAR($J180-WEEKDAY($J180,2)+4)&amp;"-W"&amp;TEXT(WEEKNUM($J180,21),"00"))</f>
        <v/>
      </c>
      <c r="B180">
        <f>IF($J180="","",SUMIFS('Weekly Log'!$C:$C,'Weekly Log'!$A:$A,"&gt;="&amp;$J180,'Weekly Log'!$A:$A,"&lt;"&amp;$J180+7))</f>
        <v/>
      </c>
      <c r="C180">
        <f>IF($J180="","",IFERROR(COUNTIFS('Weekly Log'!$G:$G,"Y",'Weekly Log'!$A:$A,"&gt;="&amp;$J180,'Weekly Log'!$A:$A,"&lt;"&amp;$J180+7)/COUNTIFS('Weekly Log'!$G:$G,"&lt;&gt;",'Weekly Log'!$A:$A,"&gt;="&amp;$J180,'Weekly Log'!$A:$A,"&lt;"&amp;$J180+7),0))</f>
        <v/>
      </c>
      <c r="D180">
        <f>IF($J180="","",IFERROR(COUNTIFS('Weekly Log'!$H:$H,"Y",'Weekly Log'!$A:$A,"&gt;="&amp;$J180,'Weekly Log'!$A:$A,"&lt;"&amp;$J180+7)/COUNTIFS('Weekly Log'!$H:$H,"&lt;&gt;",'Weekly Log'!$A:$A,"&gt;="&amp;$J180,'Weekly Log'!$A:$A,"&lt;"&amp;$J180+7),0))</f>
        <v/>
      </c>
      <c r="E180">
        <f>IF($J180="","",IFERROR(AVERAGEIFS('Weekly Log'!$F:$F,'Weekly Log'!$A:$A,"&gt;="&amp;$J180,'Weekly Log'!$A:$A,"&lt;"&amp;$J180+7),0))</f>
        <v/>
      </c>
      <c r="F180">
        <f>IF($J180="","",IFERROR(SUMIFS('Weekly Log'!$F:$F,'Weekly Log'!$A:$A,"&gt;="&amp;$J180,'Weekly Log'!$A:$A,"&lt;"&amp;$J180+7)/SUMIFS('Weekly Log'!$E:$E,'Weekly Log'!$A:$A,"&gt;="&amp;$J180,'Weekly Log'!$A:$A,"&lt;"&amp;$J180+7),0))</f>
        <v/>
      </c>
      <c r="G180">
        <f>IF($J180="","",IFERROR(LOOKUP(2,1/(('Weekly Log'!$A$5:$A$5000&gt;=$J180)*('Weekly Log'!$A$5:$A$5000&lt;$J180+7)*('Weekly Log'!$M$5:$M$5000&lt;&gt;"")),'Weekly Log'!$M$5:$M$5000),0))</f>
        <v/>
      </c>
      <c r="J180">
        <f>IF(COUNT('Weekly Log'!$A$5:$A$5000)=0,"",IF(MIN('Weekly Log'!$A$5:$A$5000)+7*(ROW()-10)&gt;MAX('Weekly Log'!$A$5:$A$5000),"",MIN('Weekly Log'!$A$5:$A$5000)+7*(ROW()-10)))</f>
        <v/>
      </c>
    </row>
    <row r="181">
      <c r="A181">
        <f>IF($J181="","",YEAR($J181-WEEKDAY($J181,2)+4)&amp;"-W"&amp;TEXT(WEEKNUM($J181,21),"00"))</f>
        <v/>
      </c>
      <c r="B181">
        <f>IF($J181="","",SUMIFS('Weekly Log'!$C:$C,'Weekly Log'!$A:$A,"&gt;="&amp;$J181,'Weekly Log'!$A:$A,"&lt;"&amp;$J181+7))</f>
        <v/>
      </c>
      <c r="C181">
        <f>IF($J181="","",IFERROR(COUNTIFS('Weekly Log'!$G:$G,"Y",'Weekly Log'!$A:$A,"&gt;="&amp;$J181,'Weekly Log'!$A:$A,"&lt;"&amp;$J181+7)/COUNTIFS('Weekly Log'!$G:$G,"&lt;&gt;",'Weekly Log'!$A:$A,"&gt;="&amp;$J181,'Weekly Log'!$A:$A,"&lt;"&amp;$J181+7),0))</f>
        <v/>
      </c>
      <c r="D181">
        <f>IF($J181="","",IFERROR(COUNTIFS('Weekly Log'!$H:$H,"Y",'Weekly Log'!$A:$A,"&gt;="&amp;$J181,'Weekly Log'!$A:$A,"&lt;"&amp;$J181+7)/COUNTIFS('Weekly Log'!$H:$H,"&lt;&gt;",'Weekly Log'!$A:$A,"&gt;="&amp;$J181,'Weekly Log'!$A:$A,"&lt;"&amp;$J181+7),0))</f>
        <v/>
      </c>
      <c r="E181">
        <f>IF($J181="","",IFERROR(AVERAGEIFS('Weekly Log'!$F:$F,'Weekly Log'!$A:$A,"&gt;="&amp;$J181,'Weekly Log'!$A:$A,"&lt;"&amp;$J181+7),0))</f>
        <v/>
      </c>
      <c r="F181">
        <f>IF($J181="","",IFERROR(SUMIFS('Weekly Log'!$F:$F,'Weekly Log'!$A:$A,"&gt;="&amp;$J181,'Weekly Log'!$A:$A,"&lt;"&amp;$J181+7)/SUMIFS('Weekly Log'!$E:$E,'Weekly Log'!$A:$A,"&gt;="&amp;$J181,'Weekly Log'!$A:$A,"&lt;"&amp;$J181+7),0))</f>
        <v/>
      </c>
      <c r="G181">
        <f>IF($J181="","",IFERROR(LOOKUP(2,1/(('Weekly Log'!$A$5:$A$5000&gt;=$J181)*('Weekly Log'!$A$5:$A$5000&lt;$J181+7)*('Weekly Log'!$M$5:$M$5000&lt;&gt;"")),'Weekly Log'!$M$5:$M$5000),0))</f>
        <v/>
      </c>
      <c r="J181">
        <f>IF(COUNT('Weekly Log'!$A$5:$A$5000)=0,"",IF(MIN('Weekly Log'!$A$5:$A$5000)+7*(ROW()-10)&gt;MAX('Weekly Log'!$A$5:$A$5000),"",MIN('Weekly Log'!$A$5:$A$5000)+7*(ROW()-10)))</f>
        <v/>
      </c>
    </row>
    <row r="182">
      <c r="A182">
        <f>IF($J182="","",YEAR($J182-WEEKDAY($J182,2)+4)&amp;"-W"&amp;TEXT(WEEKNUM($J182,21),"00"))</f>
        <v/>
      </c>
      <c r="B182">
        <f>IF($J182="","",SUMIFS('Weekly Log'!$C:$C,'Weekly Log'!$A:$A,"&gt;="&amp;$J182,'Weekly Log'!$A:$A,"&lt;"&amp;$J182+7))</f>
        <v/>
      </c>
      <c r="C182">
        <f>IF($J182="","",IFERROR(COUNTIFS('Weekly Log'!$G:$G,"Y",'Weekly Log'!$A:$A,"&gt;="&amp;$J182,'Weekly Log'!$A:$A,"&lt;"&amp;$J182+7)/COUNTIFS('Weekly Log'!$G:$G,"&lt;&gt;",'Weekly Log'!$A:$A,"&gt;="&amp;$J182,'Weekly Log'!$A:$A,"&lt;"&amp;$J182+7),0))</f>
        <v/>
      </c>
      <c r="D182">
        <f>IF($J182="","",IFERROR(COUNTIFS('Weekly Log'!$H:$H,"Y",'Weekly Log'!$A:$A,"&gt;="&amp;$J182,'Weekly Log'!$A:$A,"&lt;"&amp;$J182+7)/COUNTIFS('Weekly Log'!$H:$H,"&lt;&gt;",'Weekly Log'!$A:$A,"&gt;="&amp;$J182,'Weekly Log'!$A:$A,"&lt;"&amp;$J182+7),0))</f>
        <v/>
      </c>
      <c r="E182">
        <f>IF($J182="","",IFERROR(AVERAGEIFS('Weekly Log'!$F:$F,'Weekly Log'!$A:$A,"&gt;="&amp;$J182,'Weekly Log'!$A:$A,"&lt;"&amp;$J182+7),0))</f>
        <v/>
      </c>
      <c r="F182">
        <f>IF($J182="","",IFERROR(SUMIFS('Weekly Log'!$F:$F,'Weekly Log'!$A:$A,"&gt;="&amp;$J182,'Weekly Log'!$A:$A,"&lt;"&amp;$J182+7)/SUMIFS('Weekly Log'!$E:$E,'Weekly Log'!$A:$A,"&gt;="&amp;$J182,'Weekly Log'!$A:$A,"&lt;"&amp;$J182+7),0))</f>
        <v/>
      </c>
      <c r="G182">
        <f>IF($J182="","",IFERROR(LOOKUP(2,1/(('Weekly Log'!$A$5:$A$5000&gt;=$J182)*('Weekly Log'!$A$5:$A$5000&lt;$J182+7)*('Weekly Log'!$M$5:$M$5000&lt;&gt;"")),'Weekly Log'!$M$5:$M$5000),0))</f>
        <v/>
      </c>
      <c r="J182">
        <f>IF(COUNT('Weekly Log'!$A$5:$A$5000)=0,"",IF(MIN('Weekly Log'!$A$5:$A$5000)+7*(ROW()-10)&gt;MAX('Weekly Log'!$A$5:$A$5000),"",MIN('Weekly Log'!$A$5:$A$5000)+7*(ROW()-10)))</f>
        <v/>
      </c>
    </row>
    <row r="183">
      <c r="A183">
        <f>IF($J183="","",YEAR($J183-WEEKDAY($J183,2)+4)&amp;"-W"&amp;TEXT(WEEKNUM($J183,21),"00"))</f>
        <v/>
      </c>
      <c r="B183">
        <f>IF($J183="","",SUMIFS('Weekly Log'!$C:$C,'Weekly Log'!$A:$A,"&gt;="&amp;$J183,'Weekly Log'!$A:$A,"&lt;"&amp;$J183+7))</f>
        <v/>
      </c>
      <c r="C183">
        <f>IF($J183="","",IFERROR(COUNTIFS('Weekly Log'!$G:$G,"Y",'Weekly Log'!$A:$A,"&gt;="&amp;$J183,'Weekly Log'!$A:$A,"&lt;"&amp;$J183+7)/COUNTIFS('Weekly Log'!$G:$G,"&lt;&gt;",'Weekly Log'!$A:$A,"&gt;="&amp;$J183,'Weekly Log'!$A:$A,"&lt;"&amp;$J183+7),0))</f>
        <v/>
      </c>
      <c r="D183">
        <f>IF($J183="","",IFERROR(COUNTIFS('Weekly Log'!$H:$H,"Y",'Weekly Log'!$A:$A,"&gt;="&amp;$J183,'Weekly Log'!$A:$A,"&lt;"&amp;$J183+7)/COUNTIFS('Weekly Log'!$H:$H,"&lt;&gt;",'Weekly Log'!$A:$A,"&gt;="&amp;$J183,'Weekly Log'!$A:$A,"&lt;"&amp;$J183+7),0))</f>
        <v/>
      </c>
      <c r="E183">
        <f>IF($J183="","",IFERROR(AVERAGEIFS('Weekly Log'!$F:$F,'Weekly Log'!$A:$A,"&gt;="&amp;$J183,'Weekly Log'!$A:$A,"&lt;"&amp;$J183+7),0))</f>
        <v/>
      </c>
      <c r="F183">
        <f>IF($J183="","",IFERROR(SUMIFS('Weekly Log'!$F:$F,'Weekly Log'!$A:$A,"&gt;="&amp;$J183,'Weekly Log'!$A:$A,"&lt;"&amp;$J183+7)/SUMIFS('Weekly Log'!$E:$E,'Weekly Log'!$A:$A,"&gt;="&amp;$J183,'Weekly Log'!$A:$A,"&lt;"&amp;$J183+7),0))</f>
        <v/>
      </c>
      <c r="G183">
        <f>IF($J183="","",IFERROR(LOOKUP(2,1/(('Weekly Log'!$A$5:$A$5000&gt;=$J183)*('Weekly Log'!$A$5:$A$5000&lt;$J183+7)*('Weekly Log'!$M$5:$M$5000&lt;&gt;"")),'Weekly Log'!$M$5:$M$5000),0))</f>
        <v/>
      </c>
      <c r="J183">
        <f>IF(COUNT('Weekly Log'!$A$5:$A$5000)=0,"",IF(MIN('Weekly Log'!$A$5:$A$5000)+7*(ROW()-10)&gt;MAX('Weekly Log'!$A$5:$A$5000),"",MIN('Weekly Log'!$A$5:$A$5000)+7*(ROW()-10)))</f>
        <v/>
      </c>
    </row>
    <row r="184">
      <c r="A184">
        <f>IF($J184="","",YEAR($J184-WEEKDAY($J184,2)+4)&amp;"-W"&amp;TEXT(WEEKNUM($J184,21),"00"))</f>
        <v/>
      </c>
      <c r="B184">
        <f>IF($J184="","",SUMIFS('Weekly Log'!$C:$C,'Weekly Log'!$A:$A,"&gt;="&amp;$J184,'Weekly Log'!$A:$A,"&lt;"&amp;$J184+7))</f>
        <v/>
      </c>
      <c r="C184">
        <f>IF($J184="","",IFERROR(COUNTIFS('Weekly Log'!$G:$G,"Y",'Weekly Log'!$A:$A,"&gt;="&amp;$J184,'Weekly Log'!$A:$A,"&lt;"&amp;$J184+7)/COUNTIFS('Weekly Log'!$G:$G,"&lt;&gt;",'Weekly Log'!$A:$A,"&gt;="&amp;$J184,'Weekly Log'!$A:$A,"&lt;"&amp;$J184+7),0))</f>
        <v/>
      </c>
      <c r="D184">
        <f>IF($J184="","",IFERROR(COUNTIFS('Weekly Log'!$H:$H,"Y",'Weekly Log'!$A:$A,"&gt;="&amp;$J184,'Weekly Log'!$A:$A,"&lt;"&amp;$J184+7)/COUNTIFS('Weekly Log'!$H:$H,"&lt;&gt;",'Weekly Log'!$A:$A,"&gt;="&amp;$J184,'Weekly Log'!$A:$A,"&lt;"&amp;$J184+7),0))</f>
        <v/>
      </c>
      <c r="E184">
        <f>IF($J184="","",IFERROR(AVERAGEIFS('Weekly Log'!$F:$F,'Weekly Log'!$A:$A,"&gt;="&amp;$J184,'Weekly Log'!$A:$A,"&lt;"&amp;$J184+7),0))</f>
        <v/>
      </c>
      <c r="F184">
        <f>IF($J184="","",IFERROR(SUMIFS('Weekly Log'!$F:$F,'Weekly Log'!$A:$A,"&gt;="&amp;$J184,'Weekly Log'!$A:$A,"&lt;"&amp;$J184+7)/SUMIFS('Weekly Log'!$E:$E,'Weekly Log'!$A:$A,"&gt;="&amp;$J184,'Weekly Log'!$A:$A,"&lt;"&amp;$J184+7),0))</f>
        <v/>
      </c>
      <c r="G184">
        <f>IF($J184="","",IFERROR(LOOKUP(2,1/(('Weekly Log'!$A$5:$A$5000&gt;=$J184)*('Weekly Log'!$A$5:$A$5000&lt;$J184+7)*('Weekly Log'!$M$5:$M$5000&lt;&gt;"")),'Weekly Log'!$M$5:$M$5000),0))</f>
        <v/>
      </c>
      <c r="J184">
        <f>IF(COUNT('Weekly Log'!$A$5:$A$5000)=0,"",IF(MIN('Weekly Log'!$A$5:$A$5000)+7*(ROW()-10)&gt;MAX('Weekly Log'!$A$5:$A$5000),"",MIN('Weekly Log'!$A$5:$A$5000)+7*(ROW()-10)))</f>
        <v/>
      </c>
    </row>
    <row r="185">
      <c r="A185">
        <f>IF($J185="","",YEAR($J185-WEEKDAY($J185,2)+4)&amp;"-W"&amp;TEXT(WEEKNUM($J185,21),"00"))</f>
        <v/>
      </c>
      <c r="B185">
        <f>IF($J185="","",SUMIFS('Weekly Log'!$C:$C,'Weekly Log'!$A:$A,"&gt;="&amp;$J185,'Weekly Log'!$A:$A,"&lt;"&amp;$J185+7))</f>
        <v/>
      </c>
      <c r="C185">
        <f>IF($J185="","",IFERROR(COUNTIFS('Weekly Log'!$G:$G,"Y",'Weekly Log'!$A:$A,"&gt;="&amp;$J185,'Weekly Log'!$A:$A,"&lt;"&amp;$J185+7)/COUNTIFS('Weekly Log'!$G:$G,"&lt;&gt;",'Weekly Log'!$A:$A,"&gt;="&amp;$J185,'Weekly Log'!$A:$A,"&lt;"&amp;$J185+7),0))</f>
        <v/>
      </c>
      <c r="D185">
        <f>IF($J185="","",IFERROR(COUNTIFS('Weekly Log'!$H:$H,"Y",'Weekly Log'!$A:$A,"&gt;="&amp;$J185,'Weekly Log'!$A:$A,"&lt;"&amp;$J185+7)/COUNTIFS('Weekly Log'!$H:$H,"&lt;&gt;",'Weekly Log'!$A:$A,"&gt;="&amp;$J185,'Weekly Log'!$A:$A,"&lt;"&amp;$J185+7),0))</f>
        <v/>
      </c>
      <c r="E185">
        <f>IF($J185="","",IFERROR(AVERAGEIFS('Weekly Log'!$F:$F,'Weekly Log'!$A:$A,"&gt;="&amp;$J185,'Weekly Log'!$A:$A,"&lt;"&amp;$J185+7),0))</f>
        <v/>
      </c>
      <c r="F185">
        <f>IF($J185="","",IFERROR(SUMIFS('Weekly Log'!$F:$F,'Weekly Log'!$A:$A,"&gt;="&amp;$J185,'Weekly Log'!$A:$A,"&lt;"&amp;$J185+7)/SUMIFS('Weekly Log'!$E:$E,'Weekly Log'!$A:$A,"&gt;="&amp;$J185,'Weekly Log'!$A:$A,"&lt;"&amp;$J185+7),0))</f>
        <v/>
      </c>
      <c r="G185">
        <f>IF($J185="","",IFERROR(LOOKUP(2,1/(('Weekly Log'!$A$5:$A$5000&gt;=$J185)*('Weekly Log'!$A$5:$A$5000&lt;$J185+7)*('Weekly Log'!$M$5:$M$5000&lt;&gt;"")),'Weekly Log'!$M$5:$M$5000),0))</f>
        <v/>
      </c>
      <c r="J185">
        <f>IF(COUNT('Weekly Log'!$A$5:$A$5000)=0,"",IF(MIN('Weekly Log'!$A$5:$A$5000)+7*(ROW()-10)&gt;MAX('Weekly Log'!$A$5:$A$5000),"",MIN('Weekly Log'!$A$5:$A$5000)+7*(ROW()-10)))</f>
        <v/>
      </c>
    </row>
    <row r="186">
      <c r="A186">
        <f>IF($J186="","",YEAR($J186-WEEKDAY($J186,2)+4)&amp;"-W"&amp;TEXT(WEEKNUM($J186,21),"00"))</f>
        <v/>
      </c>
      <c r="B186">
        <f>IF($J186="","",SUMIFS('Weekly Log'!$C:$C,'Weekly Log'!$A:$A,"&gt;="&amp;$J186,'Weekly Log'!$A:$A,"&lt;"&amp;$J186+7))</f>
        <v/>
      </c>
      <c r="C186">
        <f>IF($J186="","",IFERROR(COUNTIFS('Weekly Log'!$G:$G,"Y",'Weekly Log'!$A:$A,"&gt;="&amp;$J186,'Weekly Log'!$A:$A,"&lt;"&amp;$J186+7)/COUNTIFS('Weekly Log'!$G:$G,"&lt;&gt;",'Weekly Log'!$A:$A,"&gt;="&amp;$J186,'Weekly Log'!$A:$A,"&lt;"&amp;$J186+7),0))</f>
        <v/>
      </c>
      <c r="D186">
        <f>IF($J186="","",IFERROR(COUNTIFS('Weekly Log'!$H:$H,"Y",'Weekly Log'!$A:$A,"&gt;="&amp;$J186,'Weekly Log'!$A:$A,"&lt;"&amp;$J186+7)/COUNTIFS('Weekly Log'!$H:$H,"&lt;&gt;",'Weekly Log'!$A:$A,"&gt;="&amp;$J186,'Weekly Log'!$A:$A,"&lt;"&amp;$J186+7),0))</f>
        <v/>
      </c>
      <c r="E186">
        <f>IF($J186="","",IFERROR(AVERAGEIFS('Weekly Log'!$F:$F,'Weekly Log'!$A:$A,"&gt;="&amp;$J186,'Weekly Log'!$A:$A,"&lt;"&amp;$J186+7),0))</f>
        <v/>
      </c>
      <c r="F186">
        <f>IF($J186="","",IFERROR(SUMIFS('Weekly Log'!$F:$F,'Weekly Log'!$A:$A,"&gt;="&amp;$J186,'Weekly Log'!$A:$A,"&lt;"&amp;$J186+7)/SUMIFS('Weekly Log'!$E:$E,'Weekly Log'!$A:$A,"&gt;="&amp;$J186,'Weekly Log'!$A:$A,"&lt;"&amp;$J186+7),0))</f>
        <v/>
      </c>
      <c r="G186">
        <f>IF($J186="","",IFERROR(LOOKUP(2,1/(('Weekly Log'!$A$5:$A$5000&gt;=$J186)*('Weekly Log'!$A$5:$A$5000&lt;$J186+7)*('Weekly Log'!$M$5:$M$5000&lt;&gt;"")),'Weekly Log'!$M$5:$M$5000),0))</f>
        <v/>
      </c>
      <c r="J186">
        <f>IF(COUNT('Weekly Log'!$A$5:$A$5000)=0,"",IF(MIN('Weekly Log'!$A$5:$A$5000)+7*(ROW()-10)&gt;MAX('Weekly Log'!$A$5:$A$5000),"",MIN('Weekly Log'!$A$5:$A$5000)+7*(ROW()-10)))</f>
        <v/>
      </c>
    </row>
    <row r="187">
      <c r="A187">
        <f>IF($J187="","",YEAR($J187-WEEKDAY($J187,2)+4)&amp;"-W"&amp;TEXT(WEEKNUM($J187,21),"00"))</f>
        <v/>
      </c>
      <c r="B187">
        <f>IF($J187="","",SUMIFS('Weekly Log'!$C:$C,'Weekly Log'!$A:$A,"&gt;="&amp;$J187,'Weekly Log'!$A:$A,"&lt;"&amp;$J187+7))</f>
        <v/>
      </c>
      <c r="C187">
        <f>IF($J187="","",IFERROR(COUNTIFS('Weekly Log'!$G:$G,"Y",'Weekly Log'!$A:$A,"&gt;="&amp;$J187,'Weekly Log'!$A:$A,"&lt;"&amp;$J187+7)/COUNTIFS('Weekly Log'!$G:$G,"&lt;&gt;",'Weekly Log'!$A:$A,"&gt;="&amp;$J187,'Weekly Log'!$A:$A,"&lt;"&amp;$J187+7),0))</f>
        <v/>
      </c>
      <c r="D187">
        <f>IF($J187="","",IFERROR(COUNTIFS('Weekly Log'!$H:$H,"Y",'Weekly Log'!$A:$A,"&gt;="&amp;$J187,'Weekly Log'!$A:$A,"&lt;"&amp;$J187+7)/COUNTIFS('Weekly Log'!$H:$H,"&lt;&gt;",'Weekly Log'!$A:$A,"&gt;="&amp;$J187,'Weekly Log'!$A:$A,"&lt;"&amp;$J187+7),0))</f>
        <v/>
      </c>
      <c r="E187">
        <f>IF($J187="","",IFERROR(AVERAGEIFS('Weekly Log'!$F:$F,'Weekly Log'!$A:$A,"&gt;="&amp;$J187,'Weekly Log'!$A:$A,"&lt;"&amp;$J187+7),0))</f>
        <v/>
      </c>
      <c r="F187">
        <f>IF($J187="","",IFERROR(SUMIFS('Weekly Log'!$F:$F,'Weekly Log'!$A:$A,"&gt;="&amp;$J187,'Weekly Log'!$A:$A,"&lt;"&amp;$J187+7)/SUMIFS('Weekly Log'!$E:$E,'Weekly Log'!$A:$A,"&gt;="&amp;$J187,'Weekly Log'!$A:$A,"&lt;"&amp;$J187+7),0))</f>
        <v/>
      </c>
      <c r="G187">
        <f>IF($J187="","",IFERROR(LOOKUP(2,1/(('Weekly Log'!$A$5:$A$5000&gt;=$J187)*('Weekly Log'!$A$5:$A$5000&lt;$J187+7)*('Weekly Log'!$M$5:$M$5000&lt;&gt;"")),'Weekly Log'!$M$5:$M$5000),0))</f>
        <v/>
      </c>
      <c r="J187">
        <f>IF(COUNT('Weekly Log'!$A$5:$A$5000)=0,"",IF(MIN('Weekly Log'!$A$5:$A$5000)+7*(ROW()-10)&gt;MAX('Weekly Log'!$A$5:$A$5000),"",MIN('Weekly Log'!$A$5:$A$5000)+7*(ROW()-10)))</f>
        <v/>
      </c>
    </row>
    <row r="188">
      <c r="A188">
        <f>IF($J188="","",YEAR($J188-WEEKDAY($J188,2)+4)&amp;"-W"&amp;TEXT(WEEKNUM($J188,21),"00"))</f>
        <v/>
      </c>
      <c r="B188">
        <f>IF($J188="","",SUMIFS('Weekly Log'!$C:$C,'Weekly Log'!$A:$A,"&gt;="&amp;$J188,'Weekly Log'!$A:$A,"&lt;"&amp;$J188+7))</f>
        <v/>
      </c>
      <c r="C188">
        <f>IF($J188="","",IFERROR(COUNTIFS('Weekly Log'!$G:$G,"Y",'Weekly Log'!$A:$A,"&gt;="&amp;$J188,'Weekly Log'!$A:$A,"&lt;"&amp;$J188+7)/COUNTIFS('Weekly Log'!$G:$G,"&lt;&gt;",'Weekly Log'!$A:$A,"&gt;="&amp;$J188,'Weekly Log'!$A:$A,"&lt;"&amp;$J188+7),0))</f>
        <v/>
      </c>
      <c r="D188">
        <f>IF($J188="","",IFERROR(COUNTIFS('Weekly Log'!$H:$H,"Y",'Weekly Log'!$A:$A,"&gt;="&amp;$J188,'Weekly Log'!$A:$A,"&lt;"&amp;$J188+7)/COUNTIFS('Weekly Log'!$H:$H,"&lt;&gt;",'Weekly Log'!$A:$A,"&gt;="&amp;$J188,'Weekly Log'!$A:$A,"&lt;"&amp;$J188+7),0))</f>
        <v/>
      </c>
      <c r="E188">
        <f>IF($J188="","",IFERROR(AVERAGEIFS('Weekly Log'!$F:$F,'Weekly Log'!$A:$A,"&gt;="&amp;$J188,'Weekly Log'!$A:$A,"&lt;"&amp;$J188+7),0))</f>
        <v/>
      </c>
      <c r="F188">
        <f>IF($J188="","",IFERROR(SUMIFS('Weekly Log'!$F:$F,'Weekly Log'!$A:$A,"&gt;="&amp;$J188,'Weekly Log'!$A:$A,"&lt;"&amp;$J188+7)/SUMIFS('Weekly Log'!$E:$E,'Weekly Log'!$A:$A,"&gt;="&amp;$J188,'Weekly Log'!$A:$A,"&lt;"&amp;$J188+7),0))</f>
        <v/>
      </c>
      <c r="G188">
        <f>IF($J188="","",IFERROR(LOOKUP(2,1/(('Weekly Log'!$A$5:$A$5000&gt;=$J188)*('Weekly Log'!$A$5:$A$5000&lt;$J188+7)*('Weekly Log'!$M$5:$M$5000&lt;&gt;"")),'Weekly Log'!$M$5:$M$5000),0))</f>
        <v/>
      </c>
      <c r="J188">
        <f>IF(COUNT('Weekly Log'!$A$5:$A$5000)=0,"",IF(MIN('Weekly Log'!$A$5:$A$5000)+7*(ROW()-10)&gt;MAX('Weekly Log'!$A$5:$A$5000),"",MIN('Weekly Log'!$A$5:$A$5000)+7*(ROW()-10)))</f>
        <v/>
      </c>
    </row>
    <row r="189">
      <c r="A189">
        <f>IF($J189="","",YEAR($J189-WEEKDAY($J189,2)+4)&amp;"-W"&amp;TEXT(WEEKNUM($J189,21),"00"))</f>
        <v/>
      </c>
      <c r="B189">
        <f>IF($J189="","",SUMIFS('Weekly Log'!$C:$C,'Weekly Log'!$A:$A,"&gt;="&amp;$J189,'Weekly Log'!$A:$A,"&lt;"&amp;$J189+7))</f>
        <v/>
      </c>
      <c r="C189">
        <f>IF($J189="","",IFERROR(COUNTIFS('Weekly Log'!$G:$G,"Y",'Weekly Log'!$A:$A,"&gt;="&amp;$J189,'Weekly Log'!$A:$A,"&lt;"&amp;$J189+7)/COUNTIFS('Weekly Log'!$G:$G,"&lt;&gt;",'Weekly Log'!$A:$A,"&gt;="&amp;$J189,'Weekly Log'!$A:$A,"&lt;"&amp;$J189+7),0))</f>
        <v/>
      </c>
      <c r="D189">
        <f>IF($J189="","",IFERROR(COUNTIFS('Weekly Log'!$H:$H,"Y",'Weekly Log'!$A:$A,"&gt;="&amp;$J189,'Weekly Log'!$A:$A,"&lt;"&amp;$J189+7)/COUNTIFS('Weekly Log'!$H:$H,"&lt;&gt;",'Weekly Log'!$A:$A,"&gt;="&amp;$J189,'Weekly Log'!$A:$A,"&lt;"&amp;$J189+7),0))</f>
        <v/>
      </c>
      <c r="E189">
        <f>IF($J189="","",IFERROR(AVERAGEIFS('Weekly Log'!$F:$F,'Weekly Log'!$A:$A,"&gt;="&amp;$J189,'Weekly Log'!$A:$A,"&lt;"&amp;$J189+7),0))</f>
        <v/>
      </c>
      <c r="F189">
        <f>IF($J189="","",IFERROR(SUMIFS('Weekly Log'!$F:$F,'Weekly Log'!$A:$A,"&gt;="&amp;$J189,'Weekly Log'!$A:$A,"&lt;"&amp;$J189+7)/SUMIFS('Weekly Log'!$E:$E,'Weekly Log'!$A:$A,"&gt;="&amp;$J189,'Weekly Log'!$A:$A,"&lt;"&amp;$J189+7),0))</f>
        <v/>
      </c>
      <c r="G189">
        <f>IF($J189="","",IFERROR(LOOKUP(2,1/(('Weekly Log'!$A$5:$A$5000&gt;=$J189)*('Weekly Log'!$A$5:$A$5000&lt;$J189+7)*('Weekly Log'!$M$5:$M$5000&lt;&gt;"")),'Weekly Log'!$M$5:$M$5000),0))</f>
        <v/>
      </c>
      <c r="J189">
        <f>IF(COUNT('Weekly Log'!$A$5:$A$5000)=0,"",IF(MIN('Weekly Log'!$A$5:$A$5000)+7*(ROW()-10)&gt;MAX('Weekly Log'!$A$5:$A$5000),"",MIN('Weekly Log'!$A$5:$A$5000)+7*(ROW()-10)))</f>
        <v/>
      </c>
    </row>
    <row r="190">
      <c r="A190">
        <f>IF($J190="","",YEAR($J190-WEEKDAY($J190,2)+4)&amp;"-W"&amp;TEXT(WEEKNUM($J190,21),"00"))</f>
        <v/>
      </c>
      <c r="B190">
        <f>IF($J190="","",SUMIFS('Weekly Log'!$C:$C,'Weekly Log'!$A:$A,"&gt;="&amp;$J190,'Weekly Log'!$A:$A,"&lt;"&amp;$J190+7))</f>
        <v/>
      </c>
      <c r="C190">
        <f>IF($J190="","",IFERROR(COUNTIFS('Weekly Log'!$G:$G,"Y",'Weekly Log'!$A:$A,"&gt;="&amp;$J190,'Weekly Log'!$A:$A,"&lt;"&amp;$J190+7)/COUNTIFS('Weekly Log'!$G:$G,"&lt;&gt;",'Weekly Log'!$A:$A,"&gt;="&amp;$J190,'Weekly Log'!$A:$A,"&lt;"&amp;$J190+7),0))</f>
        <v/>
      </c>
      <c r="D190">
        <f>IF($J190="","",IFERROR(COUNTIFS('Weekly Log'!$H:$H,"Y",'Weekly Log'!$A:$A,"&gt;="&amp;$J190,'Weekly Log'!$A:$A,"&lt;"&amp;$J190+7)/COUNTIFS('Weekly Log'!$H:$H,"&lt;&gt;",'Weekly Log'!$A:$A,"&gt;="&amp;$J190,'Weekly Log'!$A:$A,"&lt;"&amp;$J190+7),0))</f>
        <v/>
      </c>
      <c r="E190">
        <f>IF($J190="","",IFERROR(AVERAGEIFS('Weekly Log'!$F:$F,'Weekly Log'!$A:$A,"&gt;="&amp;$J190,'Weekly Log'!$A:$A,"&lt;"&amp;$J190+7),0))</f>
        <v/>
      </c>
      <c r="F190">
        <f>IF($J190="","",IFERROR(SUMIFS('Weekly Log'!$F:$F,'Weekly Log'!$A:$A,"&gt;="&amp;$J190,'Weekly Log'!$A:$A,"&lt;"&amp;$J190+7)/SUMIFS('Weekly Log'!$E:$E,'Weekly Log'!$A:$A,"&gt;="&amp;$J190,'Weekly Log'!$A:$A,"&lt;"&amp;$J190+7),0))</f>
        <v/>
      </c>
      <c r="G190">
        <f>IF($J190="","",IFERROR(LOOKUP(2,1/(('Weekly Log'!$A$5:$A$5000&gt;=$J190)*('Weekly Log'!$A$5:$A$5000&lt;$J190+7)*('Weekly Log'!$M$5:$M$5000&lt;&gt;"")),'Weekly Log'!$M$5:$M$5000),0))</f>
        <v/>
      </c>
      <c r="J190">
        <f>IF(COUNT('Weekly Log'!$A$5:$A$5000)=0,"",IF(MIN('Weekly Log'!$A$5:$A$5000)+7*(ROW()-10)&gt;MAX('Weekly Log'!$A$5:$A$5000),"",MIN('Weekly Log'!$A$5:$A$5000)+7*(ROW()-10)))</f>
        <v/>
      </c>
    </row>
    <row r="191">
      <c r="A191">
        <f>IF($J191="","",YEAR($J191-WEEKDAY($J191,2)+4)&amp;"-W"&amp;TEXT(WEEKNUM($J191,21),"00"))</f>
        <v/>
      </c>
      <c r="B191">
        <f>IF($J191="","",SUMIFS('Weekly Log'!$C:$C,'Weekly Log'!$A:$A,"&gt;="&amp;$J191,'Weekly Log'!$A:$A,"&lt;"&amp;$J191+7))</f>
        <v/>
      </c>
      <c r="C191">
        <f>IF($J191="","",IFERROR(COUNTIFS('Weekly Log'!$G:$G,"Y",'Weekly Log'!$A:$A,"&gt;="&amp;$J191,'Weekly Log'!$A:$A,"&lt;"&amp;$J191+7)/COUNTIFS('Weekly Log'!$G:$G,"&lt;&gt;",'Weekly Log'!$A:$A,"&gt;="&amp;$J191,'Weekly Log'!$A:$A,"&lt;"&amp;$J191+7),0))</f>
        <v/>
      </c>
      <c r="D191">
        <f>IF($J191="","",IFERROR(COUNTIFS('Weekly Log'!$H:$H,"Y",'Weekly Log'!$A:$A,"&gt;="&amp;$J191,'Weekly Log'!$A:$A,"&lt;"&amp;$J191+7)/COUNTIFS('Weekly Log'!$H:$H,"&lt;&gt;",'Weekly Log'!$A:$A,"&gt;="&amp;$J191,'Weekly Log'!$A:$A,"&lt;"&amp;$J191+7),0))</f>
        <v/>
      </c>
      <c r="E191">
        <f>IF($J191="","",IFERROR(AVERAGEIFS('Weekly Log'!$F:$F,'Weekly Log'!$A:$A,"&gt;="&amp;$J191,'Weekly Log'!$A:$A,"&lt;"&amp;$J191+7),0))</f>
        <v/>
      </c>
      <c r="F191">
        <f>IF($J191="","",IFERROR(SUMIFS('Weekly Log'!$F:$F,'Weekly Log'!$A:$A,"&gt;="&amp;$J191,'Weekly Log'!$A:$A,"&lt;"&amp;$J191+7)/SUMIFS('Weekly Log'!$E:$E,'Weekly Log'!$A:$A,"&gt;="&amp;$J191,'Weekly Log'!$A:$A,"&lt;"&amp;$J191+7),0))</f>
        <v/>
      </c>
      <c r="G191">
        <f>IF($J191="","",IFERROR(LOOKUP(2,1/(('Weekly Log'!$A$5:$A$5000&gt;=$J191)*('Weekly Log'!$A$5:$A$5000&lt;$J191+7)*('Weekly Log'!$M$5:$M$5000&lt;&gt;"")),'Weekly Log'!$M$5:$M$5000),0))</f>
        <v/>
      </c>
      <c r="J191">
        <f>IF(COUNT('Weekly Log'!$A$5:$A$5000)=0,"",IF(MIN('Weekly Log'!$A$5:$A$5000)+7*(ROW()-10)&gt;MAX('Weekly Log'!$A$5:$A$5000),"",MIN('Weekly Log'!$A$5:$A$5000)+7*(ROW()-10)))</f>
        <v/>
      </c>
    </row>
    <row r="192">
      <c r="A192">
        <f>IF($J192="","",YEAR($J192-WEEKDAY($J192,2)+4)&amp;"-W"&amp;TEXT(WEEKNUM($J192,21),"00"))</f>
        <v/>
      </c>
      <c r="B192">
        <f>IF($J192="","",SUMIFS('Weekly Log'!$C:$C,'Weekly Log'!$A:$A,"&gt;="&amp;$J192,'Weekly Log'!$A:$A,"&lt;"&amp;$J192+7))</f>
        <v/>
      </c>
      <c r="C192">
        <f>IF($J192="","",IFERROR(COUNTIFS('Weekly Log'!$G:$G,"Y",'Weekly Log'!$A:$A,"&gt;="&amp;$J192,'Weekly Log'!$A:$A,"&lt;"&amp;$J192+7)/COUNTIFS('Weekly Log'!$G:$G,"&lt;&gt;",'Weekly Log'!$A:$A,"&gt;="&amp;$J192,'Weekly Log'!$A:$A,"&lt;"&amp;$J192+7),0))</f>
        <v/>
      </c>
      <c r="D192">
        <f>IF($J192="","",IFERROR(COUNTIFS('Weekly Log'!$H:$H,"Y",'Weekly Log'!$A:$A,"&gt;="&amp;$J192,'Weekly Log'!$A:$A,"&lt;"&amp;$J192+7)/COUNTIFS('Weekly Log'!$H:$H,"&lt;&gt;",'Weekly Log'!$A:$A,"&gt;="&amp;$J192,'Weekly Log'!$A:$A,"&lt;"&amp;$J192+7),0))</f>
        <v/>
      </c>
      <c r="E192">
        <f>IF($J192="","",IFERROR(AVERAGEIFS('Weekly Log'!$F:$F,'Weekly Log'!$A:$A,"&gt;="&amp;$J192,'Weekly Log'!$A:$A,"&lt;"&amp;$J192+7),0))</f>
        <v/>
      </c>
      <c r="F192">
        <f>IF($J192="","",IFERROR(SUMIFS('Weekly Log'!$F:$F,'Weekly Log'!$A:$A,"&gt;="&amp;$J192,'Weekly Log'!$A:$A,"&lt;"&amp;$J192+7)/SUMIFS('Weekly Log'!$E:$E,'Weekly Log'!$A:$A,"&gt;="&amp;$J192,'Weekly Log'!$A:$A,"&lt;"&amp;$J192+7),0))</f>
        <v/>
      </c>
      <c r="G192">
        <f>IF($J192="","",IFERROR(LOOKUP(2,1/(('Weekly Log'!$A$5:$A$5000&gt;=$J192)*('Weekly Log'!$A$5:$A$5000&lt;$J192+7)*('Weekly Log'!$M$5:$M$5000&lt;&gt;"")),'Weekly Log'!$M$5:$M$5000),0))</f>
        <v/>
      </c>
      <c r="J192">
        <f>IF(COUNT('Weekly Log'!$A$5:$A$5000)=0,"",IF(MIN('Weekly Log'!$A$5:$A$5000)+7*(ROW()-10)&gt;MAX('Weekly Log'!$A$5:$A$5000),"",MIN('Weekly Log'!$A$5:$A$5000)+7*(ROW()-10)))</f>
        <v/>
      </c>
    </row>
    <row r="193">
      <c r="A193">
        <f>IF($J193="","",YEAR($J193-WEEKDAY($J193,2)+4)&amp;"-W"&amp;TEXT(WEEKNUM($J193,21),"00"))</f>
        <v/>
      </c>
      <c r="B193">
        <f>IF($J193="","",SUMIFS('Weekly Log'!$C:$C,'Weekly Log'!$A:$A,"&gt;="&amp;$J193,'Weekly Log'!$A:$A,"&lt;"&amp;$J193+7))</f>
        <v/>
      </c>
      <c r="C193">
        <f>IF($J193="","",IFERROR(COUNTIFS('Weekly Log'!$G:$G,"Y",'Weekly Log'!$A:$A,"&gt;="&amp;$J193,'Weekly Log'!$A:$A,"&lt;"&amp;$J193+7)/COUNTIFS('Weekly Log'!$G:$G,"&lt;&gt;",'Weekly Log'!$A:$A,"&gt;="&amp;$J193,'Weekly Log'!$A:$A,"&lt;"&amp;$J193+7),0))</f>
        <v/>
      </c>
      <c r="D193">
        <f>IF($J193="","",IFERROR(COUNTIFS('Weekly Log'!$H:$H,"Y",'Weekly Log'!$A:$A,"&gt;="&amp;$J193,'Weekly Log'!$A:$A,"&lt;"&amp;$J193+7)/COUNTIFS('Weekly Log'!$H:$H,"&lt;&gt;",'Weekly Log'!$A:$A,"&gt;="&amp;$J193,'Weekly Log'!$A:$A,"&lt;"&amp;$J193+7),0))</f>
        <v/>
      </c>
      <c r="E193">
        <f>IF($J193="","",IFERROR(AVERAGEIFS('Weekly Log'!$F:$F,'Weekly Log'!$A:$A,"&gt;="&amp;$J193,'Weekly Log'!$A:$A,"&lt;"&amp;$J193+7),0))</f>
        <v/>
      </c>
      <c r="F193">
        <f>IF($J193="","",IFERROR(SUMIFS('Weekly Log'!$F:$F,'Weekly Log'!$A:$A,"&gt;="&amp;$J193,'Weekly Log'!$A:$A,"&lt;"&amp;$J193+7)/SUMIFS('Weekly Log'!$E:$E,'Weekly Log'!$A:$A,"&gt;="&amp;$J193,'Weekly Log'!$A:$A,"&lt;"&amp;$J193+7),0))</f>
        <v/>
      </c>
      <c r="G193">
        <f>IF($J193="","",IFERROR(LOOKUP(2,1/(('Weekly Log'!$A$5:$A$5000&gt;=$J193)*('Weekly Log'!$A$5:$A$5000&lt;$J193+7)*('Weekly Log'!$M$5:$M$5000&lt;&gt;"")),'Weekly Log'!$M$5:$M$5000),0))</f>
        <v/>
      </c>
      <c r="J193">
        <f>IF(COUNT('Weekly Log'!$A$5:$A$5000)=0,"",IF(MIN('Weekly Log'!$A$5:$A$5000)+7*(ROW()-10)&gt;MAX('Weekly Log'!$A$5:$A$5000),"",MIN('Weekly Log'!$A$5:$A$5000)+7*(ROW()-10)))</f>
        <v/>
      </c>
    </row>
    <row r="194">
      <c r="A194">
        <f>IF($J194="","",YEAR($J194-WEEKDAY($J194,2)+4)&amp;"-W"&amp;TEXT(WEEKNUM($J194,21),"00"))</f>
        <v/>
      </c>
      <c r="B194">
        <f>IF($J194="","",SUMIFS('Weekly Log'!$C:$C,'Weekly Log'!$A:$A,"&gt;="&amp;$J194,'Weekly Log'!$A:$A,"&lt;"&amp;$J194+7))</f>
        <v/>
      </c>
      <c r="C194">
        <f>IF($J194="","",IFERROR(COUNTIFS('Weekly Log'!$G:$G,"Y",'Weekly Log'!$A:$A,"&gt;="&amp;$J194,'Weekly Log'!$A:$A,"&lt;"&amp;$J194+7)/COUNTIFS('Weekly Log'!$G:$G,"&lt;&gt;",'Weekly Log'!$A:$A,"&gt;="&amp;$J194,'Weekly Log'!$A:$A,"&lt;"&amp;$J194+7),0))</f>
        <v/>
      </c>
      <c r="D194">
        <f>IF($J194="","",IFERROR(COUNTIFS('Weekly Log'!$H:$H,"Y",'Weekly Log'!$A:$A,"&gt;="&amp;$J194,'Weekly Log'!$A:$A,"&lt;"&amp;$J194+7)/COUNTIFS('Weekly Log'!$H:$H,"&lt;&gt;",'Weekly Log'!$A:$A,"&gt;="&amp;$J194,'Weekly Log'!$A:$A,"&lt;"&amp;$J194+7),0))</f>
        <v/>
      </c>
      <c r="E194">
        <f>IF($J194="","",IFERROR(AVERAGEIFS('Weekly Log'!$F:$F,'Weekly Log'!$A:$A,"&gt;="&amp;$J194,'Weekly Log'!$A:$A,"&lt;"&amp;$J194+7),0))</f>
        <v/>
      </c>
      <c r="F194">
        <f>IF($J194="","",IFERROR(SUMIFS('Weekly Log'!$F:$F,'Weekly Log'!$A:$A,"&gt;="&amp;$J194,'Weekly Log'!$A:$A,"&lt;"&amp;$J194+7)/SUMIFS('Weekly Log'!$E:$E,'Weekly Log'!$A:$A,"&gt;="&amp;$J194,'Weekly Log'!$A:$A,"&lt;"&amp;$J194+7),0))</f>
        <v/>
      </c>
      <c r="G194">
        <f>IF($J194="","",IFERROR(LOOKUP(2,1/(('Weekly Log'!$A$5:$A$5000&gt;=$J194)*('Weekly Log'!$A$5:$A$5000&lt;$J194+7)*('Weekly Log'!$M$5:$M$5000&lt;&gt;"")),'Weekly Log'!$M$5:$M$5000),0))</f>
        <v/>
      </c>
      <c r="J194">
        <f>IF(COUNT('Weekly Log'!$A$5:$A$5000)=0,"",IF(MIN('Weekly Log'!$A$5:$A$5000)+7*(ROW()-10)&gt;MAX('Weekly Log'!$A$5:$A$5000),"",MIN('Weekly Log'!$A$5:$A$5000)+7*(ROW()-10)))</f>
        <v/>
      </c>
    </row>
    <row r="195">
      <c r="A195">
        <f>IF($J195="","",YEAR($J195-WEEKDAY($J195,2)+4)&amp;"-W"&amp;TEXT(WEEKNUM($J195,21),"00"))</f>
        <v/>
      </c>
      <c r="B195">
        <f>IF($J195="","",SUMIFS('Weekly Log'!$C:$C,'Weekly Log'!$A:$A,"&gt;="&amp;$J195,'Weekly Log'!$A:$A,"&lt;"&amp;$J195+7))</f>
        <v/>
      </c>
      <c r="C195">
        <f>IF($J195="","",IFERROR(COUNTIFS('Weekly Log'!$G:$G,"Y",'Weekly Log'!$A:$A,"&gt;="&amp;$J195,'Weekly Log'!$A:$A,"&lt;"&amp;$J195+7)/COUNTIFS('Weekly Log'!$G:$G,"&lt;&gt;",'Weekly Log'!$A:$A,"&gt;="&amp;$J195,'Weekly Log'!$A:$A,"&lt;"&amp;$J195+7),0))</f>
        <v/>
      </c>
      <c r="D195">
        <f>IF($J195="","",IFERROR(COUNTIFS('Weekly Log'!$H:$H,"Y",'Weekly Log'!$A:$A,"&gt;="&amp;$J195,'Weekly Log'!$A:$A,"&lt;"&amp;$J195+7)/COUNTIFS('Weekly Log'!$H:$H,"&lt;&gt;",'Weekly Log'!$A:$A,"&gt;="&amp;$J195,'Weekly Log'!$A:$A,"&lt;"&amp;$J195+7),0))</f>
        <v/>
      </c>
      <c r="E195">
        <f>IF($J195="","",IFERROR(AVERAGEIFS('Weekly Log'!$F:$F,'Weekly Log'!$A:$A,"&gt;="&amp;$J195,'Weekly Log'!$A:$A,"&lt;"&amp;$J195+7),0))</f>
        <v/>
      </c>
      <c r="F195">
        <f>IF($J195="","",IFERROR(SUMIFS('Weekly Log'!$F:$F,'Weekly Log'!$A:$A,"&gt;="&amp;$J195,'Weekly Log'!$A:$A,"&lt;"&amp;$J195+7)/SUMIFS('Weekly Log'!$E:$E,'Weekly Log'!$A:$A,"&gt;="&amp;$J195,'Weekly Log'!$A:$A,"&lt;"&amp;$J195+7),0))</f>
        <v/>
      </c>
      <c r="G195">
        <f>IF($J195="","",IFERROR(LOOKUP(2,1/(('Weekly Log'!$A$5:$A$5000&gt;=$J195)*('Weekly Log'!$A$5:$A$5000&lt;$J195+7)*('Weekly Log'!$M$5:$M$5000&lt;&gt;"")),'Weekly Log'!$M$5:$M$5000),0))</f>
        <v/>
      </c>
      <c r="J195">
        <f>IF(COUNT('Weekly Log'!$A$5:$A$5000)=0,"",IF(MIN('Weekly Log'!$A$5:$A$5000)+7*(ROW()-10)&gt;MAX('Weekly Log'!$A$5:$A$5000),"",MIN('Weekly Log'!$A$5:$A$5000)+7*(ROW()-10)))</f>
        <v/>
      </c>
    </row>
    <row r="196">
      <c r="A196">
        <f>IF($J196="","",YEAR($J196-WEEKDAY($J196,2)+4)&amp;"-W"&amp;TEXT(WEEKNUM($J196,21),"00"))</f>
        <v/>
      </c>
      <c r="B196">
        <f>IF($J196="","",SUMIFS('Weekly Log'!$C:$C,'Weekly Log'!$A:$A,"&gt;="&amp;$J196,'Weekly Log'!$A:$A,"&lt;"&amp;$J196+7))</f>
        <v/>
      </c>
      <c r="C196">
        <f>IF($J196="","",IFERROR(COUNTIFS('Weekly Log'!$G:$G,"Y",'Weekly Log'!$A:$A,"&gt;="&amp;$J196,'Weekly Log'!$A:$A,"&lt;"&amp;$J196+7)/COUNTIFS('Weekly Log'!$G:$G,"&lt;&gt;",'Weekly Log'!$A:$A,"&gt;="&amp;$J196,'Weekly Log'!$A:$A,"&lt;"&amp;$J196+7),0))</f>
        <v/>
      </c>
      <c r="D196">
        <f>IF($J196="","",IFERROR(COUNTIFS('Weekly Log'!$H:$H,"Y",'Weekly Log'!$A:$A,"&gt;="&amp;$J196,'Weekly Log'!$A:$A,"&lt;"&amp;$J196+7)/COUNTIFS('Weekly Log'!$H:$H,"&lt;&gt;",'Weekly Log'!$A:$A,"&gt;="&amp;$J196,'Weekly Log'!$A:$A,"&lt;"&amp;$J196+7),0))</f>
        <v/>
      </c>
      <c r="E196">
        <f>IF($J196="","",IFERROR(AVERAGEIFS('Weekly Log'!$F:$F,'Weekly Log'!$A:$A,"&gt;="&amp;$J196,'Weekly Log'!$A:$A,"&lt;"&amp;$J196+7),0))</f>
        <v/>
      </c>
      <c r="F196">
        <f>IF($J196="","",IFERROR(SUMIFS('Weekly Log'!$F:$F,'Weekly Log'!$A:$A,"&gt;="&amp;$J196,'Weekly Log'!$A:$A,"&lt;"&amp;$J196+7)/SUMIFS('Weekly Log'!$E:$E,'Weekly Log'!$A:$A,"&gt;="&amp;$J196,'Weekly Log'!$A:$A,"&lt;"&amp;$J196+7),0))</f>
        <v/>
      </c>
      <c r="G196">
        <f>IF($J196="","",IFERROR(LOOKUP(2,1/(('Weekly Log'!$A$5:$A$5000&gt;=$J196)*('Weekly Log'!$A$5:$A$5000&lt;$J196+7)*('Weekly Log'!$M$5:$M$5000&lt;&gt;"")),'Weekly Log'!$M$5:$M$5000),0))</f>
        <v/>
      </c>
      <c r="J196">
        <f>IF(COUNT('Weekly Log'!$A$5:$A$5000)=0,"",IF(MIN('Weekly Log'!$A$5:$A$5000)+7*(ROW()-10)&gt;MAX('Weekly Log'!$A$5:$A$5000),"",MIN('Weekly Log'!$A$5:$A$5000)+7*(ROW()-10)))</f>
        <v/>
      </c>
    </row>
    <row r="197">
      <c r="A197">
        <f>IF($J197="","",YEAR($J197-WEEKDAY($J197,2)+4)&amp;"-W"&amp;TEXT(WEEKNUM($J197,21),"00"))</f>
        <v/>
      </c>
      <c r="B197">
        <f>IF($J197="","",SUMIFS('Weekly Log'!$C:$C,'Weekly Log'!$A:$A,"&gt;="&amp;$J197,'Weekly Log'!$A:$A,"&lt;"&amp;$J197+7))</f>
        <v/>
      </c>
      <c r="C197">
        <f>IF($J197="","",IFERROR(COUNTIFS('Weekly Log'!$G:$G,"Y",'Weekly Log'!$A:$A,"&gt;="&amp;$J197,'Weekly Log'!$A:$A,"&lt;"&amp;$J197+7)/COUNTIFS('Weekly Log'!$G:$G,"&lt;&gt;",'Weekly Log'!$A:$A,"&gt;="&amp;$J197,'Weekly Log'!$A:$A,"&lt;"&amp;$J197+7),0))</f>
        <v/>
      </c>
      <c r="D197">
        <f>IF($J197="","",IFERROR(COUNTIFS('Weekly Log'!$H:$H,"Y",'Weekly Log'!$A:$A,"&gt;="&amp;$J197,'Weekly Log'!$A:$A,"&lt;"&amp;$J197+7)/COUNTIFS('Weekly Log'!$H:$H,"&lt;&gt;",'Weekly Log'!$A:$A,"&gt;="&amp;$J197,'Weekly Log'!$A:$A,"&lt;"&amp;$J197+7),0))</f>
        <v/>
      </c>
      <c r="E197">
        <f>IF($J197="","",IFERROR(AVERAGEIFS('Weekly Log'!$F:$F,'Weekly Log'!$A:$A,"&gt;="&amp;$J197,'Weekly Log'!$A:$A,"&lt;"&amp;$J197+7),0))</f>
        <v/>
      </c>
      <c r="F197">
        <f>IF($J197="","",IFERROR(SUMIFS('Weekly Log'!$F:$F,'Weekly Log'!$A:$A,"&gt;="&amp;$J197,'Weekly Log'!$A:$A,"&lt;"&amp;$J197+7)/SUMIFS('Weekly Log'!$E:$E,'Weekly Log'!$A:$A,"&gt;="&amp;$J197,'Weekly Log'!$A:$A,"&lt;"&amp;$J197+7),0))</f>
        <v/>
      </c>
      <c r="G197">
        <f>IF($J197="","",IFERROR(LOOKUP(2,1/(('Weekly Log'!$A$5:$A$5000&gt;=$J197)*('Weekly Log'!$A$5:$A$5000&lt;$J197+7)*('Weekly Log'!$M$5:$M$5000&lt;&gt;"")),'Weekly Log'!$M$5:$M$5000),0))</f>
        <v/>
      </c>
      <c r="J197">
        <f>IF(COUNT('Weekly Log'!$A$5:$A$5000)=0,"",IF(MIN('Weekly Log'!$A$5:$A$5000)+7*(ROW()-10)&gt;MAX('Weekly Log'!$A$5:$A$5000),"",MIN('Weekly Log'!$A$5:$A$5000)+7*(ROW()-10)))</f>
        <v/>
      </c>
    </row>
    <row r="198">
      <c r="A198">
        <f>IF($J198="","",YEAR($J198-WEEKDAY($J198,2)+4)&amp;"-W"&amp;TEXT(WEEKNUM($J198,21),"00"))</f>
        <v/>
      </c>
      <c r="B198">
        <f>IF($J198="","",SUMIFS('Weekly Log'!$C:$C,'Weekly Log'!$A:$A,"&gt;="&amp;$J198,'Weekly Log'!$A:$A,"&lt;"&amp;$J198+7))</f>
        <v/>
      </c>
      <c r="C198">
        <f>IF($J198="","",IFERROR(COUNTIFS('Weekly Log'!$G:$G,"Y",'Weekly Log'!$A:$A,"&gt;="&amp;$J198,'Weekly Log'!$A:$A,"&lt;"&amp;$J198+7)/COUNTIFS('Weekly Log'!$G:$G,"&lt;&gt;",'Weekly Log'!$A:$A,"&gt;="&amp;$J198,'Weekly Log'!$A:$A,"&lt;"&amp;$J198+7),0))</f>
        <v/>
      </c>
      <c r="D198">
        <f>IF($J198="","",IFERROR(COUNTIFS('Weekly Log'!$H:$H,"Y",'Weekly Log'!$A:$A,"&gt;="&amp;$J198,'Weekly Log'!$A:$A,"&lt;"&amp;$J198+7)/COUNTIFS('Weekly Log'!$H:$H,"&lt;&gt;",'Weekly Log'!$A:$A,"&gt;="&amp;$J198,'Weekly Log'!$A:$A,"&lt;"&amp;$J198+7),0))</f>
        <v/>
      </c>
      <c r="E198">
        <f>IF($J198="","",IFERROR(AVERAGEIFS('Weekly Log'!$F:$F,'Weekly Log'!$A:$A,"&gt;="&amp;$J198,'Weekly Log'!$A:$A,"&lt;"&amp;$J198+7),0))</f>
        <v/>
      </c>
      <c r="F198">
        <f>IF($J198="","",IFERROR(SUMIFS('Weekly Log'!$F:$F,'Weekly Log'!$A:$A,"&gt;="&amp;$J198,'Weekly Log'!$A:$A,"&lt;"&amp;$J198+7)/SUMIFS('Weekly Log'!$E:$E,'Weekly Log'!$A:$A,"&gt;="&amp;$J198,'Weekly Log'!$A:$A,"&lt;"&amp;$J198+7),0))</f>
        <v/>
      </c>
      <c r="G198">
        <f>IF($J198="","",IFERROR(LOOKUP(2,1/(('Weekly Log'!$A$5:$A$5000&gt;=$J198)*('Weekly Log'!$A$5:$A$5000&lt;$J198+7)*('Weekly Log'!$M$5:$M$5000&lt;&gt;"")),'Weekly Log'!$M$5:$M$5000),0))</f>
        <v/>
      </c>
      <c r="J198">
        <f>IF(COUNT('Weekly Log'!$A$5:$A$5000)=0,"",IF(MIN('Weekly Log'!$A$5:$A$5000)+7*(ROW()-10)&gt;MAX('Weekly Log'!$A$5:$A$5000),"",MIN('Weekly Log'!$A$5:$A$5000)+7*(ROW()-10)))</f>
        <v/>
      </c>
    </row>
    <row r="199">
      <c r="A199">
        <f>IF($J199="","",YEAR($J199-WEEKDAY($J199,2)+4)&amp;"-W"&amp;TEXT(WEEKNUM($J199,21),"00"))</f>
        <v/>
      </c>
      <c r="B199">
        <f>IF($J199="","",SUMIFS('Weekly Log'!$C:$C,'Weekly Log'!$A:$A,"&gt;="&amp;$J199,'Weekly Log'!$A:$A,"&lt;"&amp;$J199+7))</f>
        <v/>
      </c>
      <c r="C199">
        <f>IF($J199="","",IFERROR(COUNTIFS('Weekly Log'!$G:$G,"Y",'Weekly Log'!$A:$A,"&gt;="&amp;$J199,'Weekly Log'!$A:$A,"&lt;"&amp;$J199+7)/COUNTIFS('Weekly Log'!$G:$G,"&lt;&gt;",'Weekly Log'!$A:$A,"&gt;="&amp;$J199,'Weekly Log'!$A:$A,"&lt;"&amp;$J199+7),0))</f>
        <v/>
      </c>
      <c r="D199">
        <f>IF($J199="","",IFERROR(COUNTIFS('Weekly Log'!$H:$H,"Y",'Weekly Log'!$A:$A,"&gt;="&amp;$J199,'Weekly Log'!$A:$A,"&lt;"&amp;$J199+7)/COUNTIFS('Weekly Log'!$H:$H,"&lt;&gt;",'Weekly Log'!$A:$A,"&gt;="&amp;$J199,'Weekly Log'!$A:$A,"&lt;"&amp;$J199+7),0))</f>
        <v/>
      </c>
      <c r="E199">
        <f>IF($J199="","",IFERROR(AVERAGEIFS('Weekly Log'!$F:$F,'Weekly Log'!$A:$A,"&gt;="&amp;$J199,'Weekly Log'!$A:$A,"&lt;"&amp;$J199+7),0))</f>
        <v/>
      </c>
      <c r="F199">
        <f>IF($J199="","",IFERROR(SUMIFS('Weekly Log'!$F:$F,'Weekly Log'!$A:$A,"&gt;="&amp;$J199,'Weekly Log'!$A:$A,"&lt;"&amp;$J199+7)/SUMIFS('Weekly Log'!$E:$E,'Weekly Log'!$A:$A,"&gt;="&amp;$J199,'Weekly Log'!$A:$A,"&lt;"&amp;$J199+7),0))</f>
        <v/>
      </c>
      <c r="G199">
        <f>IF($J199="","",IFERROR(LOOKUP(2,1/(('Weekly Log'!$A$5:$A$5000&gt;=$J199)*('Weekly Log'!$A$5:$A$5000&lt;$J199+7)*('Weekly Log'!$M$5:$M$5000&lt;&gt;"")),'Weekly Log'!$M$5:$M$5000),0))</f>
        <v/>
      </c>
      <c r="J199">
        <f>IF(COUNT('Weekly Log'!$A$5:$A$5000)=0,"",IF(MIN('Weekly Log'!$A$5:$A$5000)+7*(ROW()-10)&gt;MAX('Weekly Log'!$A$5:$A$5000),"",MIN('Weekly Log'!$A$5:$A$5000)+7*(ROW()-10)))</f>
        <v/>
      </c>
    </row>
    <row r="200">
      <c r="A200">
        <f>IF($J200="","",YEAR($J200-WEEKDAY($J200,2)+4)&amp;"-W"&amp;TEXT(WEEKNUM($J200,21),"00"))</f>
        <v/>
      </c>
      <c r="B200">
        <f>IF($J200="","",SUMIFS('Weekly Log'!$C:$C,'Weekly Log'!$A:$A,"&gt;="&amp;$J200,'Weekly Log'!$A:$A,"&lt;"&amp;$J200+7))</f>
        <v/>
      </c>
      <c r="C200">
        <f>IF($J200="","",IFERROR(COUNTIFS('Weekly Log'!$G:$G,"Y",'Weekly Log'!$A:$A,"&gt;="&amp;$J200,'Weekly Log'!$A:$A,"&lt;"&amp;$J200+7)/COUNTIFS('Weekly Log'!$G:$G,"&lt;&gt;",'Weekly Log'!$A:$A,"&gt;="&amp;$J200,'Weekly Log'!$A:$A,"&lt;"&amp;$J200+7),0))</f>
        <v/>
      </c>
      <c r="D200">
        <f>IF($J200="","",IFERROR(COUNTIFS('Weekly Log'!$H:$H,"Y",'Weekly Log'!$A:$A,"&gt;="&amp;$J200,'Weekly Log'!$A:$A,"&lt;"&amp;$J200+7)/COUNTIFS('Weekly Log'!$H:$H,"&lt;&gt;",'Weekly Log'!$A:$A,"&gt;="&amp;$J200,'Weekly Log'!$A:$A,"&lt;"&amp;$J200+7),0))</f>
        <v/>
      </c>
      <c r="E200">
        <f>IF($J200="","",IFERROR(AVERAGEIFS('Weekly Log'!$F:$F,'Weekly Log'!$A:$A,"&gt;="&amp;$J200,'Weekly Log'!$A:$A,"&lt;"&amp;$J200+7),0))</f>
        <v/>
      </c>
      <c r="F200">
        <f>IF($J200="","",IFERROR(SUMIFS('Weekly Log'!$F:$F,'Weekly Log'!$A:$A,"&gt;="&amp;$J200,'Weekly Log'!$A:$A,"&lt;"&amp;$J200+7)/SUMIFS('Weekly Log'!$E:$E,'Weekly Log'!$A:$A,"&gt;="&amp;$J200,'Weekly Log'!$A:$A,"&lt;"&amp;$J200+7),0))</f>
        <v/>
      </c>
      <c r="G200">
        <f>IF($J200="","",IFERROR(LOOKUP(2,1/(('Weekly Log'!$A$5:$A$5000&gt;=$J200)*('Weekly Log'!$A$5:$A$5000&lt;$J200+7)*('Weekly Log'!$M$5:$M$5000&lt;&gt;"")),'Weekly Log'!$M$5:$M$5000),0))</f>
        <v/>
      </c>
      <c r="J200">
        <f>IF(COUNT('Weekly Log'!$A$5:$A$5000)=0,"",IF(MIN('Weekly Log'!$A$5:$A$5000)+7*(ROW()-10)&gt;MAX('Weekly Log'!$A$5:$A$5000),"",MIN('Weekly Log'!$A$5:$A$5000)+7*(ROW()-10)))</f>
        <v/>
      </c>
    </row>
    <row r="201">
      <c r="A201">
        <f>IF($J201="","",YEAR($J201-WEEKDAY($J201,2)+4)&amp;"-W"&amp;TEXT(WEEKNUM($J201,21),"00"))</f>
        <v/>
      </c>
      <c r="B201">
        <f>IF($J201="","",SUMIFS('Weekly Log'!$C:$C,'Weekly Log'!$A:$A,"&gt;="&amp;$J201,'Weekly Log'!$A:$A,"&lt;"&amp;$J201+7))</f>
        <v/>
      </c>
      <c r="C201">
        <f>IF($J201="","",IFERROR(COUNTIFS('Weekly Log'!$G:$G,"Y",'Weekly Log'!$A:$A,"&gt;="&amp;$J201,'Weekly Log'!$A:$A,"&lt;"&amp;$J201+7)/COUNTIFS('Weekly Log'!$G:$G,"&lt;&gt;",'Weekly Log'!$A:$A,"&gt;="&amp;$J201,'Weekly Log'!$A:$A,"&lt;"&amp;$J201+7),0))</f>
        <v/>
      </c>
      <c r="D201">
        <f>IF($J201="","",IFERROR(COUNTIFS('Weekly Log'!$H:$H,"Y",'Weekly Log'!$A:$A,"&gt;="&amp;$J201,'Weekly Log'!$A:$A,"&lt;"&amp;$J201+7)/COUNTIFS('Weekly Log'!$H:$H,"&lt;&gt;",'Weekly Log'!$A:$A,"&gt;="&amp;$J201,'Weekly Log'!$A:$A,"&lt;"&amp;$J201+7),0))</f>
        <v/>
      </c>
      <c r="E201">
        <f>IF($J201="","",IFERROR(AVERAGEIFS('Weekly Log'!$F:$F,'Weekly Log'!$A:$A,"&gt;="&amp;$J201,'Weekly Log'!$A:$A,"&lt;"&amp;$J201+7),0))</f>
        <v/>
      </c>
      <c r="F201">
        <f>IF($J201="","",IFERROR(SUMIFS('Weekly Log'!$F:$F,'Weekly Log'!$A:$A,"&gt;="&amp;$J201,'Weekly Log'!$A:$A,"&lt;"&amp;$J201+7)/SUMIFS('Weekly Log'!$E:$E,'Weekly Log'!$A:$A,"&gt;="&amp;$J201,'Weekly Log'!$A:$A,"&lt;"&amp;$J201+7),0))</f>
        <v/>
      </c>
      <c r="G201">
        <f>IF($J201="","",IFERROR(LOOKUP(2,1/(('Weekly Log'!$A$5:$A$5000&gt;=$J201)*('Weekly Log'!$A$5:$A$5000&lt;$J201+7)*('Weekly Log'!$M$5:$M$5000&lt;&gt;"")),'Weekly Log'!$M$5:$M$5000),0))</f>
        <v/>
      </c>
      <c r="J201">
        <f>IF(COUNT('Weekly Log'!$A$5:$A$5000)=0,"",IF(MIN('Weekly Log'!$A$5:$A$5000)+7*(ROW()-10)&gt;MAX('Weekly Log'!$A$5:$A$5000),"",MIN('Weekly Log'!$A$5:$A$5000)+7*(ROW()-10)))</f>
        <v/>
      </c>
    </row>
    <row r="202">
      <c r="A202">
        <f>IF($J202="","",YEAR($J202-WEEKDAY($J202,2)+4)&amp;"-W"&amp;TEXT(WEEKNUM($J202,21),"00"))</f>
        <v/>
      </c>
      <c r="B202">
        <f>IF($J202="","",SUMIFS('Weekly Log'!$C:$C,'Weekly Log'!$A:$A,"&gt;="&amp;$J202,'Weekly Log'!$A:$A,"&lt;"&amp;$J202+7))</f>
        <v/>
      </c>
      <c r="C202">
        <f>IF($J202="","",IFERROR(COUNTIFS('Weekly Log'!$G:$G,"Y",'Weekly Log'!$A:$A,"&gt;="&amp;$J202,'Weekly Log'!$A:$A,"&lt;"&amp;$J202+7)/COUNTIFS('Weekly Log'!$G:$G,"&lt;&gt;",'Weekly Log'!$A:$A,"&gt;="&amp;$J202,'Weekly Log'!$A:$A,"&lt;"&amp;$J202+7),0))</f>
        <v/>
      </c>
      <c r="D202">
        <f>IF($J202="","",IFERROR(COUNTIFS('Weekly Log'!$H:$H,"Y",'Weekly Log'!$A:$A,"&gt;="&amp;$J202,'Weekly Log'!$A:$A,"&lt;"&amp;$J202+7)/COUNTIFS('Weekly Log'!$H:$H,"&lt;&gt;",'Weekly Log'!$A:$A,"&gt;="&amp;$J202,'Weekly Log'!$A:$A,"&lt;"&amp;$J202+7),0))</f>
        <v/>
      </c>
      <c r="E202">
        <f>IF($J202="","",IFERROR(AVERAGEIFS('Weekly Log'!$F:$F,'Weekly Log'!$A:$A,"&gt;="&amp;$J202,'Weekly Log'!$A:$A,"&lt;"&amp;$J202+7),0))</f>
        <v/>
      </c>
      <c r="F202">
        <f>IF($J202="","",IFERROR(SUMIFS('Weekly Log'!$F:$F,'Weekly Log'!$A:$A,"&gt;="&amp;$J202,'Weekly Log'!$A:$A,"&lt;"&amp;$J202+7)/SUMIFS('Weekly Log'!$E:$E,'Weekly Log'!$A:$A,"&gt;="&amp;$J202,'Weekly Log'!$A:$A,"&lt;"&amp;$J202+7),0))</f>
        <v/>
      </c>
      <c r="G202">
        <f>IF($J202="","",IFERROR(LOOKUP(2,1/(('Weekly Log'!$A$5:$A$5000&gt;=$J202)*('Weekly Log'!$A$5:$A$5000&lt;$J202+7)*('Weekly Log'!$M$5:$M$5000&lt;&gt;"")),'Weekly Log'!$M$5:$M$5000),0))</f>
        <v/>
      </c>
      <c r="J202">
        <f>IF(COUNT('Weekly Log'!$A$5:$A$5000)=0,"",IF(MIN('Weekly Log'!$A$5:$A$5000)+7*(ROW()-10)&gt;MAX('Weekly Log'!$A$5:$A$5000),"",MIN('Weekly Log'!$A$5:$A$5000)+7*(ROW()-10)))</f>
        <v/>
      </c>
    </row>
    <row r="203">
      <c r="A203">
        <f>IF($J203="","",YEAR($J203-WEEKDAY($J203,2)+4)&amp;"-W"&amp;TEXT(WEEKNUM($J203,21),"00"))</f>
        <v/>
      </c>
      <c r="B203">
        <f>IF($J203="","",SUMIFS('Weekly Log'!$C:$C,'Weekly Log'!$A:$A,"&gt;="&amp;$J203,'Weekly Log'!$A:$A,"&lt;"&amp;$J203+7))</f>
        <v/>
      </c>
      <c r="C203">
        <f>IF($J203="","",IFERROR(COUNTIFS('Weekly Log'!$G:$G,"Y",'Weekly Log'!$A:$A,"&gt;="&amp;$J203,'Weekly Log'!$A:$A,"&lt;"&amp;$J203+7)/COUNTIFS('Weekly Log'!$G:$G,"&lt;&gt;",'Weekly Log'!$A:$A,"&gt;="&amp;$J203,'Weekly Log'!$A:$A,"&lt;"&amp;$J203+7),0))</f>
        <v/>
      </c>
      <c r="D203">
        <f>IF($J203="","",IFERROR(COUNTIFS('Weekly Log'!$H:$H,"Y",'Weekly Log'!$A:$A,"&gt;="&amp;$J203,'Weekly Log'!$A:$A,"&lt;"&amp;$J203+7)/COUNTIFS('Weekly Log'!$H:$H,"&lt;&gt;",'Weekly Log'!$A:$A,"&gt;="&amp;$J203,'Weekly Log'!$A:$A,"&lt;"&amp;$J203+7),0))</f>
        <v/>
      </c>
      <c r="E203">
        <f>IF($J203="","",IFERROR(AVERAGEIFS('Weekly Log'!$F:$F,'Weekly Log'!$A:$A,"&gt;="&amp;$J203,'Weekly Log'!$A:$A,"&lt;"&amp;$J203+7),0))</f>
        <v/>
      </c>
      <c r="F203">
        <f>IF($J203="","",IFERROR(SUMIFS('Weekly Log'!$F:$F,'Weekly Log'!$A:$A,"&gt;="&amp;$J203,'Weekly Log'!$A:$A,"&lt;"&amp;$J203+7)/SUMIFS('Weekly Log'!$E:$E,'Weekly Log'!$A:$A,"&gt;="&amp;$J203,'Weekly Log'!$A:$A,"&lt;"&amp;$J203+7),0))</f>
        <v/>
      </c>
      <c r="G203">
        <f>IF($J203="","",IFERROR(LOOKUP(2,1/(('Weekly Log'!$A$5:$A$5000&gt;=$J203)*('Weekly Log'!$A$5:$A$5000&lt;$J203+7)*('Weekly Log'!$M$5:$M$5000&lt;&gt;"")),'Weekly Log'!$M$5:$M$5000),0))</f>
        <v/>
      </c>
      <c r="J203">
        <f>IF(COUNT('Weekly Log'!$A$5:$A$5000)=0,"",IF(MIN('Weekly Log'!$A$5:$A$5000)+7*(ROW()-10)&gt;MAX('Weekly Log'!$A$5:$A$5000),"",MIN('Weekly Log'!$A$5:$A$5000)+7*(ROW()-10)))</f>
        <v/>
      </c>
    </row>
    <row r="204">
      <c r="A204">
        <f>IF($J204="","",YEAR($J204-WEEKDAY($J204,2)+4)&amp;"-W"&amp;TEXT(WEEKNUM($J204,21),"00"))</f>
        <v/>
      </c>
      <c r="B204">
        <f>IF($J204="","",SUMIFS('Weekly Log'!$C:$C,'Weekly Log'!$A:$A,"&gt;="&amp;$J204,'Weekly Log'!$A:$A,"&lt;"&amp;$J204+7))</f>
        <v/>
      </c>
      <c r="C204">
        <f>IF($J204="","",IFERROR(COUNTIFS('Weekly Log'!$G:$G,"Y",'Weekly Log'!$A:$A,"&gt;="&amp;$J204,'Weekly Log'!$A:$A,"&lt;"&amp;$J204+7)/COUNTIFS('Weekly Log'!$G:$G,"&lt;&gt;",'Weekly Log'!$A:$A,"&gt;="&amp;$J204,'Weekly Log'!$A:$A,"&lt;"&amp;$J204+7),0))</f>
        <v/>
      </c>
      <c r="D204">
        <f>IF($J204="","",IFERROR(COUNTIFS('Weekly Log'!$H:$H,"Y",'Weekly Log'!$A:$A,"&gt;="&amp;$J204,'Weekly Log'!$A:$A,"&lt;"&amp;$J204+7)/COUNTIFS('Weekly Log'!$H:$H,"&lt;&gt;",'Weekly Log'!$A:$A,"&gt;="&amp;$J204,'Weekly Log'!$A:$A,"&lt;"&amp;$J204+7),0))</f>
        <v/>
      </c>
      <c r="E204">
        <f>IF($J204="","",IFERROR(AVERAGEIFS('Weekly Log'!$F:$F,'Weekly Log'!$A:$A,"&gt;="&amp;$J204,'Weekly Log'!$A:$A,"&lt;"&amp;$J204+7),0))</f>
        <v/>
      </c>
      <c r="F204">
        <f>IF($J204="","",IFERROR(SUMIFS('Weekly Log'!$F:$F,'Weekly Log'!$A:$A,"&gt;="&amp;$J204,'Weekly Log'!$A:$A,"&lt;"&amp;$J204+7)/SUMIFS('Weekly Log'!$E:$E,'Weekly Log'!$A:$A,"&gt;="&amp;$J204,'Weekly Log'!$A:$A,"&lt;"&amp;$J204+7),0))</f>
        <v/>
      </c>
      <c r="G204">
        <f>IF($J204="","",IFERROR(LOOKUP(2,1/(('Weekly Log'!$A$5:$A$5000&gt;=$J204)*('Weekly Log'!$A$5:$A$5000&lt;$J204+7)*('Weekly Log'!$M$5:$M$5000&lt;&gt;"")),'Weekly Log'!$M$5:$M$5000),0))</f>
        <v/>
      </c>
      <c r="J204">
        <f>IF(COUNT('Weekly Log'!$A$5:$A$5000)=0,"",IF(MIN('Weekly Log'!$A$5:$A$5000)+7*(ROW()-10)&gt;MAX('Weekly Log'!$A$5:$A$5000),"",MIN('Weekly Log'!$A$5:$A$5000)+7*(ROW()-10)))</f>
        <v/>
      </c>
    </row>
    <row r="205">
      <c r="A205">
        <f>IF($J205="","",YEAR($J205-WEEKDAY($J205,2)+4)&amp;"-W"&amp;TEXT(WEEKNUM($J205,21),"00"))</f>
        <v/>
      </c>
      <c r="B205">
        <f>IF($J205="","",SUMIFS('Weekly Log'!$C:$C,'Weekly Log'!$A:$A,"&gt;="&amp;$J205,'Weekly Log'!$A:$A,"&lt;"&amp;$J205+7))</f>
        <v/>
      </c>
      <c r="C205">
        <f>IF($J205="","",IFERROR(COUNTIFS('Weekly Log'!$G:$G,"Y",'Weekly Log'!$A:$A,"&gt;="&amp;$J205,'Weekly Log'!$A:$A,"&lt;"&amp;$J205+7)/COUNTIFS('Weekly Log'!$G:$G,"&lt;&gt;",'Weekly Log'!$A:$A,"&gt;="&amp;$J205,'Weekly Log'!$A:$A,"&lt;"&amp;$J205+7),0))</f>
        <v/>
      </c>
      <c r="D205">
        <f>IF($J205="","",IFERROR(COUNTIFS('Weekly Log'!$H:$H,"Y",'Weekly Log'!$A:$A,"&gt;="&amp;$J205,'Weekly Log'!$A:$A,"&lt;"&amp;$J205+7)/COUNTIFS('Weekly Log'!$H:$H,"&lt;&gt;",'Weekly Log'!$A:$A,"&gt;="&amp;$J205,'Weekly Log'!$A:$A,"&lt;"&amp;$J205+7),0))</f>
        <v/>
      </c>
      <c r="E205">
        <f>IF($J205="","",IFERROR(AVERAGEIFS('Weekly Log'!$F:$F,'Weekly Log'!$A:$A,"&gt;="&amp;$J205,'Weekly Log'!$A:$A,"&lt;"&amp;$J205+7),0))</f>
        <v/>
      </c>
      <c r="F205">
        <f>IF($J205="","",IFERROR(SUMIFS('Weekly Log'!$F:$F,'Weekly Log'!$A:$A,"&gt;="&amp;$J205,'Weekly Log'!$A:$A,"&lt;"&amp;$J205+7)/SUMIFS('Weekly Log'!$E:$E,'Weekly Log'!$A:$A,"&gt;="&amp;$J205,'Weekly Log'!$A:$A,"&lt;"&amp;$J205+7),0))</f>
        <v/>
      </c>
      <c r="G205">
        <f>IF($J205="","",IFERROR(LOOKUP(2,1/(('Weekly Log'!$A$5:$A$5000&gt;=$J205)*('Weekly Log'!$A$5:$A$5000&lt;$J205+7)*('Weekly Log'!$M$5:$M$5000&lt;&gt;"")),'Weekly Log'!$M$5:$M$5000),0))</f>
        <v/>
      </c>
      <c r="J205">
        <f>IF(COUNT('Weekly Log'!$A$5:$A$5000)=0,"",IF(MIN('Weekly Log'!$A$5:$A$5000)+7*(ROW()-10)&gt;MAX('Weekly Log'!$A$5:$A$5000),"",MIN('Weekly Log'!$A$5:$A$5000)+7*(ROW()-10)))</f>
        <v/>
      </c>
    </row>
    <row r="206">
      <c r="A206">
        <f>IF($J206="","",YEAR($J206-WEEKDAY($J206,2)+4)&amp;"-W"&amp;TEXT(WEEKNUM($J206,21),"00"))</f>
        <v/>
      </c>
      <c r="B206">
        <f>IF($J206="","",SUMIFS('Weekly Log'!$C:$C,'Weekly Log'!$A:$A,"&gt;="&amp;$J206,'Weekly Log'!$A:$A,"&lt;"&amp;$J206+7))</f>
        <v/>
      </c>
      <c r="C206">
        <f>IF($J206="","",IFERROR(COUNTIFS('Weekly Log'!$G:$G,"Y",'Weekly Log'!$A:$A,"&gt;="&amp;$J206,'Weekly Log'!$A:$A,"&lt;"&amp;$J206+7)/COUNTIFS('Weekly Log'!$G:$G,"&lt;&gt;",'Weekly Log'!$A:$A,"&gt;="&amp;$J206,'Weekly Log'!$A:$A,"&lt;"&amp;$J206+7),0))</f>
        <v/>
      </c>
      <c r="D206">
        <f>IF($J206="","",IFERROR(COUNTIFS('Weekly Log'!$H:$H,"Y",'Weekly Log'!$A:$A,"&gt;="&amp;$J206,'Weekly Log'!$A:$A,"&lt;"&amp;$J206+7)/COUNTIFS('Weekly Log'!$H:$H,"&lt;&gt;",'Weekly Log'!$A:$A,"&gt;="&amp;$J206,'Weekly Log'!$A:$A,"&lt;"&amp;$J206+7),0))</f>
        <v/>
      </c>
      <c r="E206">
        <f>IF($J206="","",IFERROR(AVERAGEIFS('Weekly Log'!$F:$F,'Weekly Log'!$A:$A,"&gt;="&amp;$J206,'Weekly Log'!$A:$A,"&lt;"&amp;$J206+7),0))</f>
        <v/>
      </c>
      <c r="F206">
        <f>IF($J206="","",IFERROR(SUMIFS('Weekly Log'!$F:$F,'Weekly Log'!$A:$A,"&gt;="&amp;$J206,'Weekly Log'!$A:$A,"&lt;"&amp;$J206+7)/SUMIFS('Weekly Log'!$E:$E,'Weekly Log'!$A:$A,"&gt;="&amp;$J206,'Weekly Log'!$A:$A,"&lt;"&amp;$J206+7),0))</f>
        <v/>
      </c>
      <c r="G206">
        <f>IF($J206="","",IFERROR(LOOKUP(2,1/(('Weekly Log'!$A$5:$A$5000&gt;=$J206)*('Weekly Log'!$A$5:$A$5000&lt;$J206+7)*('Weekly Log'!$M$5:$M$5000&lt;&gt;"")),'Weekly Log'!$M$5:$M$5000),0))</f>
        <v/>
      </c>
      <c r="J206">
        <f>IF(COUNT('Weekly Log'!$A$5:$A$5000)=0,"",IF(MIN('Weekly Log'!$A$5:$A$5000)+7*(ROW()-10)&gt;MAX('Weekly Log'!$A$5:$A$5000),"",MIN('Weekly Log'!$A$5:$A$5000)+7*(ROW()-10)))</f>
        <v/>
      </c>
    </row>
    <row r="207">
      <c r="A207">
        <f>IF($J207="","",YEAR($J207-WEEKDAY($J207,2)+4)&amp;"-W"&amp;TEXT(WEEKNUM($J207,21),"00"))</f>
        <v/>
      </c>
      <c r="B207">
        <f>IF($J207="","",SUMIFS('Weekly Log'!$C:$C,'Weekly Log'!$A:$A,"&gt;="&amp;$J207,'Weekly Log'!$A:$A,"&lt;"&amp;$J207+7))</f>
        <v/>
      </c>
      <c r="C207">
        <f>IF($J207="","",IFERROR(COUNTIFS('Weekly Log'!$G:$G,"Y",'Weekly Log'!$A:$A,"&gt;="&amp;$J207,'Weekly Log'!$A:$A,"&lt;"&amp;$J207+7)/COUNTIFS('Weekly Log'!$G:$G,"&lt;&gt;",'Weekly Log'!$A:$A,"&gt;="&amp;$J207,'Weekly Log'!$A:$A,"&lt;"&amp;$J207+7),0))</f>
        <v/>
      </c>
      <c r="D207">
        <f>IF($J207="","",IFERROR(COUNTIFS('Weekly Log'!$H:$H,"Y",'Weekly Log'!$A:$A,"&gt;="&amp;$J207,'Weekly Log'!$A:$A,"&lt;"&amp;$J207+7)/COUNTIFS('Weekly Log'!$H:$H,"&lt;&gt;",'Weekly Log'!$A:$A,"&gt;="&amp;$J207,'Weekly Log'!$A:$A,"&lt;"&amp;$J207+7),0))</f>
        <v/>
      </c>
      <c r="E207">
        <f>IF($J207="","",IFERROR(AVERAGEIFS('Weekly Log'!$F:$F,'Weekly Log'!$A:$A,"&gt;="&amp;$J207,'Weekly Log'!$A:$A,"&lt;"&amp;$J207+7),0))</f>
        <v/>
      </c>
      <c r="F207">
        <f>IF($J207="","",IFERROR(SUMIFS('Weekly Log'!$F:$F,'Weekly Log'!$A:$A,"&gt;="&amp;$J207,'Weekly Log'!$A:$A,"&lt;"&amp;$J207+7)/SUMIFS('Weekly Log'!$E:$E,'Weekly Log'!$A:$A,"&gt;="&amp;$J207,'Weekly Log'!$A:$A,"&lt;"&amp;$J207+7),0))</f>
        <v/>
      </c>
      <c r="G207">
        <f>IF($J207="","",IFERROR(LOOKUP(2,1/(('Weekly Log'!$A$5:$A$5000&gt;=$J207)*('Weekly Log'!$A$5:$A$5000&lt;$J207+7)*('Weekly Log'!$M$5:$M$5000&lt;&gt;"")),'Weekly Log'!$M$5:$M$5000),0))</f>
        <v/>
      </c>
      <c r="J207">
        <f>IF(COUNT('Weekly Log'!$A$5:$A$5000)=0,"",IF(MIN('Weekly Log'!$A$5:$A$5000)+7*(ROW()-10)&gt;MAX('Weekly Log'!$A$5:$A$5000),"",MIN('Weekly Log'!$A$5:$A$5000)+7*(ROW()-10)))</f>
        <v/>
      </c>
    </row>
    <row r="208">
      <c r="A208">
        <f>IF($J208="","",YEAR($J208-WEEKDAY($J208,2)+4)&amp;"-W"&amp;TEXT(WEEKNUM($J208,21),"00"))</f>
        <v/>
      </c>
      <c r="B208">
        <f>IF($J208="","",SUMIFS('Weekly Log'!$C:$C,'Weekly Log'!$A:$A,"&gt;="&amp;$J208,'Weekly Log'!$A:$A,"&lt;"&amp;$J208+7))</f>
        <v/>
      </c>
      <c r="C208">
        <f>IF($J208="","",IFERROR(COUNTIFS('Weekly Log'!$G:$G,"Y",'Weekly Log'!$A:$A,"&gt;="&amp;$J208,'Weekly Log'!$A:$A,"&lt;"&amp;$J208+7)/COUNTIFS('Weekly Log'!$G:$G,"&lt;&gt;",'Weekly Log'!$A:$A,"&gt;="&amp;$J208,'Weekly Log'!$A:$A,"&lt;"&amp;$J208+7),0))</f>
        <v/>
      </c>
      <c r="D208">
        <f>IF($J208="","",IFERROR(COUNTIFS('Weekly Log'!$H:$H,"Y",'Weekly Log'!$A:$A,"&gt;="&amp;$J208,'Weekly Log'!$A:$A,"&lt;"&amp;$J208+7)/COUNTIFS('Weekly Log'!$H:$H,"&lt;&gt;",'Weekly Log'!$A:$A,"&gt;="&amp;$J208,'Weekly Log'!$A:$A,"&lt;"&amp;$J208+7),0))</f>
        <v/>
      </c>
      <c r="E208">
        <f>IF($J208="","",IFERROR(AVERAGEIFS('Weekly Log'!$F:$F,'Weekly Log'!$A:$A,"&gt;="&amp;$J208,'Weekly Log'!$A:$A,"&lt;"&amp;$J208+7),0))</f>
        <v/>
      </c>
      <c r="F208">
        <f>IF($J208="","",IFERROR(SUMIFS('Weekly Log'!$F:$F,'Weekly Log'!$A:$A,"&gt;="&amp;$J208,'Weekly Log'!$A:$A,"&lt;"&amp;$J208+7)/SUMIFS('Weekly Log'!$E:$E,'Weekly Log'!$A:$A,"&gt;="&amp;$J208,'Weekly Log'!$A:$A,"&lt;"&amp;$J208+7),0))</f>
        <v/>
      </c>
      <c r="G208">
        <f>IF($J208="","",IFERROR(LOOKUP(2,1/(('Weekly Log'!$A$5:$A$5000&gt;=$J208)*('Weekly Log'!$A$5:$A$5000&lt;$J208+7)*('Weekly Log'!$M$5:$M$5000&lt;&gt;"")),'Weekly Log'!$M$5:$M$5000),0))</f>
        <v/>
      </c>
      <c r="J208">
        <f>IF(COUNT('Weekly Log'!$A$5:$A$5000)=0,"",IF(MIN('Weekly Log'!$A$5:$A$5000)+7*(ROW()-10)&gt;MAX('Weekly Log'!$A$5:$A$5000),"",MIN('Weekly Log'!$A$5:$A$5000)+7*(ROW()-10)))</f>
        <v/>
      </c>
    </row>
    <row r="209">
      <c r="A209">
        <f>IF($J209="","",YEAR($J209-WEEKDAY($J209,2)+4)&amp;"-W"&amp;TEXT(WEEKNUM($J209,21),"00"))</f>
        <v/>
      </c>
      <c r="B209">
        <f>IF($J209="","",SUMIFS('Weekly Log'!$C:$C,'Weekly Log'!$A:$A,"&gt;="&amp;$J209,'Weekly Log'!$A:$A,"&lt;"&amp;$J209+7))</f>
        <v/>
      </c>
      <c r="C209">
        <f>IF($J209="","",IFERROR(COUNTIFS('Weekly Log'!$G:$G,"Y",'Weekly Log'!$A:$A,"&gt;="&amp;$J209,'Weekly Log'!$A:$A,"&lt;"&amp;$J209+7)/COUNTIFS('Weekly Log'!$G:$G,"&lt;&gt;",'Weekly Log'!$A:$A,"&gt;="&amp;$J209,'Weekly Log'!$A:$A,"&lt;"&amp;$J209+7),0))</f>
        <v/>
      </c>
      <c r="D209">
        <f>IF($J209="","",IFERROR(COUNTIFS('Weekly Log'!$H:$H,"Y",'Weekly Log'!$A:$A,"&gt;="&amp;$J209,'Weekly Log'!$A:$A,"&lt;"&amp;$J209+7)/COUNTIFS('Weekly Log'!$H:$H,"&lt;&gt;",'Weekly Log'!$A:$A,"&gt;="&amp;$J209,'Weekly Log'!$A:$A,"&lt;"&amp;$J209+7),0))</f>
        <v/>
      </c>
      <c r="E209">
        <f>IF($J209="","",IFERROR(AVERAGEIFS('Weekly Log'!$F:$F,'Weekly Log'!$A:$A,"&gt;="&amp;$J209,'Weekly Log'!$A:$A,"&lt;"&amp;$J209+7),0))</f>
        <v/>
      </c>
      <c r="F209">
        <f>IF($J209="","",IFERROR(SUMIFS('Weekly Log'!$F:$F,'Weekly Log'!$A:$A,"&gt;="&amp;$J209,'Weekly Log'!$A:$A,"&lt;"&amp;$J209+7)/SUMIFS('Weekly Log'!$E:$E,'Weekly Log'!$A:$A,"&gt;="&amp;$J209,'Weekly Log'!$A:$A,"&lt;"&amp;$J209+7),0))</f>
        <v/>
      </c>
      <c r="G209">
        <f>IF($J209="","",IFERROR(LOOKUP(2,1/(('Weekly Log'!$A$5:$A$5000&gt;=$J209)*('Weekly Log'!$A$5:$A$5000&lt;$J209+7)*('Weekly Log'!$M$5:$M$5000&lt;&gt;"")),'Weekly Log'!$M$5:$M$5000),0))</f>
        <v/>
      </c>
      <c r="J209">
        <f>IF(COUNT('Weekly Log'!$A$5:$A$5000)=0,"",IF(MIN('Weekly Log'!$A$5:$A$5000)+7*(ROW()-10)&gt;MAX('Weekly Log'!$A$5:$A$5000),"",MIN('Weekly Log'!$A$5:$A$5000)+7*(ROW()-10)))</f>
        <v/>
      </c>
    </row>
    <row r="210">
      <c r="A210">
        <f>IF($J210="","",YEAR($J210-WEEKDAY($J210,2)+4)&amp;"-W"&amp;TEXT(WEEKNUM($J210,21),"00"))</f>
        <v/>
      </c>
      <c r="B210">
        <f>IF($J210="","",SUMIFS('Weekly Log'!$C:$C,'Weekly Log'!$A:$A,"&gt;="&amp;$J210,'Weekly Log'!$A:$A,"&lt;"&amp;$J210+7))</f>
        <v/>
      </c>
      <c r="C210">
        <f>IF($J210="","",IFERROR(COUNTIFS('Weekly Log'!$G:$G,"Y",'Weekly Log'!$A:$A,"&gt;="&amp;$J210,'Weekly Log'!$A:$A,"&lt;"&amp;$J210+7)/COUNTIFS('Weekly Log'!$G:$G,"&lt;&gt;",'Weekly Log'!$A:$A,"&gt;="&amp;$J210,'Weekly Log'!$A:$A,"&lt;"&amp;$J210+7),0))</f>
        <v/>
      </c>
      <c r="D210">
        <f>IF($J210="","",IFERROR(COUNTIFS('Weekly Log'!$H:$H,"Y",'Weekly Log'!$A:$A,"&gt;="&amp;$J210,'Weekly Log'!$A:$A,"&lt;"&amp;$J210+7)/COUNTIFS('Weekly Log'!$H:$H,"&lt;&gt;",'Weekly Log'!$A:$A,"&gt;="&amp;$J210,'Weekly Log'!$A:$A,"&lt;"&amp;$J210+7),0))</f>
        <v/>
      </c>
      <c r="E210">
        <f>IF($J210="","",IFERROR(AVERAGEIFS('Weekly Log'!$F:$F,'Weekly Log'!$A:$A,"&gt;="&amp;$J210,'Weekly Log'!$A:$A,"&lt;"&amp;$J210+7),0))</f>
        <v/>
      </c>
      <c r="F210">
        <f>IF($J210="","",IFERROR(SUMIFS('Weekly Log'!$F:$F,'Weekly Log'!$A:$A,"&gt;="&amp;$J210,'Weekly Log'!$A:$A,"&lt;"&amp;$J210+7)/SUMIFS('Weekly Log'!$E:$E,'Weekly Log'!$A:$A,"&gt;="&amp;$J210,'Weekly Log'!$A:$A,"&lt;"&amp;$J210+7),0))</f>
        <v/>
      </c>
      <c r="G210">
        <f>IF($J210="","",IFERROR(LOOKUP(2,1/(('Weekly Log'!$A$5:$A$5000&gt;=$J210)*('Weekly Log'!$A$5:$A$5000&lt;$J210+7)*('Weekly Log'!$M$5:$M$5000&lt;&gt;"")),'Weekly Log'!$M$5:$M$5000),0))</f>
        <v/>
      </c>
      <c r="J210">
        <f>IF(COUNT('Weekly Log'!$A$5:$A$5000)=0,"",IF(MIN('Weekly Log'!$A$5:$A$5000)+7*(ROW()-10)&gt;MAX('Weekly Log'!$A$5:$A$5000),"",MIN('Weekly Log'!$A$5:$A$5000)+7*(ROW()-10)))</f>
        <v/>
      </c>
    </row>
    <row r="211">
      <c r="A211">
        <f>IF($J211="","",YEAR($J211-WEEKDAY($J211,2)+4)&amp;"-W"&amp;TEXT(WEEKNUM($J211,21),"00"))</f>
        <v/>
      </c>
      <c r="B211">
        <f>IF($J211="","",SUMIFS('Weekly Log'!$C:$C,'Weekly Log'!$A:$A,"&gt;="&amp;$J211,'Weekly Log'!$A:$A,"&lt;"&amp;$J211+7))</f>
        <v/>
      </c>
      <c r="C211">
        <f>IF($J211="","",IFERROR(COUNTIFS('Weekly Log'!$G:$G,"Y",'Weekly Log'!$A:$A,"&gt;="&amp;$J211,'Weekly Log'!$A:$A,"&lt;"&amp;$J211+7)/COUNTIFS('Weekly Log'!$G:$G,"&lt;&gt;",'Weekly Log'!$A:$A,"&gt;="&amp;$J211,'Weekly Log'!$A:$A,"&lt;"&amp;$J211+7),0))</f>
        <v/>
      </c>
      <c r="D211">
        <f>IF($J211="","",IFERROR(COUNTIFS('Weekly Log'!$H:$H,"Y",'Weekly Log'!$A:$A,"&gt;="&amp;$J211,'Weekly Log'!$A:$A,"&lt;"&amp;$J211+7)/COUNTIFS('Weekly Log'!$H:$H,"&lt;&gt;",'Weekly Log'!$A:$A,"&gt;="&amp;$J211,'Weekly Log'!$A:$A,"&lt;"&amp;$J211+7),0))</f>
        <v/>
      </c>
      <c r="E211">
        <f>IF($J211="","",IFERROR(AVERAGEIFS('Weekly Log'!$F:$F,'Weekly Log'!$A:$A,"&gt;="&amp;$J211,'Weekly Log'!$A:$A,"&lt;"&amp;$J211+7),0))</f>
        <v/>
      </c>
      <c r="F211">
        <f>IF($J211="","",IFERROR(SUMIFS('Weekly Log'!$F:$F,'Weekly Log'!$A:$A,"&gt;="&amp;$J211,'Weekly Log'!$A:$A,"&lt;"&amp;$J211+7)/SUMIFS('Weekly Log'!$E:$E,'Weekly Log'!$A:$A,"&gt;="&amp;$J211,'Weekly Log'!$A:$A,"&lt;"&amp;$J211+7),0))</f>
        <v/>
      </c>
      <c r="G211">
        <f>IF($J211="","",IFERROR(LOOKUP(2,1/(('Weekly Log'!$A$5:$A$5000&gt;=$J211)*('Weekly Log'!$A$5:$A$5000&lt;$J211+7)*('Weekly Log'!$M$5:$M$5000&lt;&gt;"")),'Weekly Log'!$M$5:$M$5000),0))</f>
        <v/>
      </c>
      <c r="J211">
        <f>IF(COUNT('Weekly Log'!$A$5:$A$5000)=0,"",IF(MIN('Weekly Log'!$A$5:$A$5000)+7*(ROW()-10)&gt;MAX('Weekly Log'!$A$5:$A$5000),"",MIN('Weekly Log'!$A$5:$A$5000)+7*(ROW()-10)))</f>
        <v/>
      </c>
    </row>
    <row r="212">
      <c r="A212">
        <f>IF($J212="","",YEAR($J212-WEEKDAY($J212,2)+4)&amp;"-W"&amp;TEXT(WEEKNUM($J212,21),"00"))</f>
        <v/>
      </c>
      <c r="B212">
        <f>IF($J212="","",SUMIFS('Weekly Log'!$C:$C,'Weekly Log'!$A:$A,"&gt;="&amp;$J212,'Weekly Log'!$A:$A,"&lt;"&amp;$J212+7))</f>
        <v/>
      </c>
      <c r="C212">
        <f>IF($J212="","",IFERROR(COUNTIFS('Weekly Log'!$G:$G,"Y",'Weekly Log'!$A:$A,"&gt;="&amp;$J212,'Weekly Log'!$A:$A,"&lt;"&amp;$J212+7)/COUNTIFS('Weekly Log'!$G:$G,"&lt;&gt;",'Weekly Log'!$A:$A,"&gt;="&amp;$J212,'Weekly Log'!$A:$A,"&lt;"&amp;$J212+7),0))</f>
        <v/>
      </c>
      <c r="D212">
        <f>IF($J212="","",IFERROR(COUNTIFS('Weekly Log'!$H:$H,"Y",'Weekly Log'!$A:$A,"&gt;="&amp;$J212,'Weekly Log'!$A:$A,"&lt;"&amp;$J212+7)/COUNTIFS('Weekly Log'!$H:$H,"&lt;&gt;",'Weekly Log'!$A:$A,"&gt;="&amp;$J212,'Weekly Log'!$A:$A,"&lt;"&amp;$J212+7),0))</f>
        <v/>
      </c>
      <c r="E212">
        <f>IF($J212="","",IFERROR(AVERAGEIFS('Weekly Log'!$F:$F,'Weekly Log'!$A:$A,"&gt;="&amp;$J212,'Weekly Log'!$A:$A,"&lt;"&amp;$J212+7),0))</f>
        <v/>
      </c>
      <c r="F212">
        <f>IF($J212="","",IFERROR(SUMIFS('Weekly Log'!$F:$F,'Weekly Log'!$A:$A,"&gt;="&amp;$J212,'Weekly Log'!$A:$A,"&lt;"&amp;$J212+7)/SUMIFS('Weekly Log'!$E:$E,'Weekly Log'!$A:$A,"&gt;="&amp;$J212,'Weekly Log'!$A:$A,"&lt;"&amp;$J212+7),0))</f>
        <v/>
      </c>
      <c r="G212">
        <f>IF($J212="","",IFERROR(LOOKUP(2,1/(('Weekly Log'!$A$5:$A$5000&gt;=$J212)*('Weekly Log'!$A$5:$A$5000&lt;$J212+7)*('Weekly Log'!$M$5:$M$5000&lt;&gt;"")),'Weekly Log'!$M$5:$M$5000),0))</f>
        <v/>
      </c>
      <c r="J212">
        <f>IF(COUNT('Weekly Log'!$A$5:$A$5000)=0,"",IF(MIN('Weekly Log'!$A$5:$A$5000)+7*(ROW()-10)&gt;MAX('Weekly Log'!$A$5:$A$5000),"",MIN('Weekly Log'!$A$5:$A$5000)+7*(ROW()-10)))</f>
        <v/>
      </c>
    </row>
    <row r="213">
      <c r="A213">
        <f>IF($J213="","",YEAR($J213-WEEKDAY($J213,2)+4)&amp;"-W"&amp;TEXT(WEEKNUM($J213,21),"00"))</f>
        <v/>
      </c>
      <c r="B213">
        <f>IF($J213="","",SUMIFS('Weekly Log'!$C:$C,'Weekly Log'!$A:$A,"&gt;="&amp;$J213,'Weekly Log'!$A:$A,"&lt;"&amp;$J213+7))</f>
        <v/>
      </c>
      <c r="C213">
        <f>IF($J213="","",IFERROR(COUNTIFS('Weekly Log'!$G:$G,"Y",'Weekly Log'!$A:$A,"&gt;="&amp;$J213,'Weekly Log'!$A:$A,"&lt;"&amp;$J213+7)/COUNTIFS('Weekly Log'!$G:$G,"&lt;&gt;",'Weekly Log'!$A:$A,"&gt;="&amp;$J213,'Weekly Log'!$A:$A,"&lt;"&amp;$J213+7),0))</f>
        <v/>
      </c>
      <c r="D213">
        <f>IF($J213="","",IFERROR(COUNTIFS('Weekly Log'!$H:$H,"Y",'Weekly Log'!$A:$A,"&gt;="&amp;$J213,'Weekly Log'!$A:$A,"&lt;"&amp;$J213+7)/COUNTIFS('Weekly Log'!$H:$H,"&lt;&gt;",'Weekly Log'!$A:$A,"&gt;="&amp;$J213,'Weekly Log'!$A:$A,"&lt;"&amp;$J213+7),0))</f>
        <v/>
      </c>
      <c r="E213">
        <f>IF($J213="","",IFERROR(AVERAGEIFS('Weekly Log'!$F:$F,'Weekly Log'!$A:$A,"&gt;="&amp;$J213,'Weekly Log'!$A:$A,"&lt;"&amp;$J213+7),0))</f>
        <v/>
      </c>
      <c r="F213">
        <f>IF($J213="","",IFERROR(SUMIFS('Weekly Log'!$F:$F,'Weekly Log'!$A:$A,"&gt;="&amp;$J213,'Weekly Log'!$A:$A,"&lt;"&amp;$J213+7)/SUMIFS('Weekly Log'!$E:$E,'Weekly Log'!$A:$A,"&gt;="&amp;$J213,'Weekly Log'!$A:$A,"&lt;"&amp;$J213+7),0))</f>
        <v/>
      </c>
      <c r="G213">
        <f>IF($J213="","",IFERROR(LOOKUP(2,1/(('Weekly Log'!$A$5:$A$5000&gt;=$J213)*('Weekly Log'!$A$5:$A$5000&lt;$J213+7)*('Weekly Log'!$M$5:$M$5000&lt;&gt;"")),'Weekly Log'!$M$5:$M$5000),0))</f>
        <v/>
      </c>
      <c r="J213">
        <f>IF(COUNT('Weekly Log'!$A$5:$A$5000)=0,"",IF(MIN('Weekly Log'!$A$5:$A$5000)+7*(ROW()-10)&gt;MAX('Weekly Log'!$A$5:$A$5000),"",MIN('Weekly Log'!$A$5:$A$5000)+7*(ROW()-10)))</f>
        <v/>
      </c>
    </row>
    <row r="214">
      <c r="A214">
        <f>IF($J214="","",YEAR($J214-WEEKDAY($J214,2)+4)&amp;"-W"&amp;TEXT(WEEKNUM($J214,21),"00"))</f>
        <v/>
      </c>
      <c r="B214">
        <f>IF($J214="","",SUMIFS('Weekly Log'!$C:$C,'Weekly Log'!$A:$A,"&gt;="&amp;$J214,'Weekly Log'!$A:$A,"&lt;"&amp;$J214+7))</f>
        <v/>
      </c>
      <c r="C214">
        <f>IF($J214="","",IFERROR(COUNTIFS('Weekly Log'!$G:$G,"Y",'Weekly Log'!$A:$A,"&gt;="&amp;$J214,'Weekly Log'!$A:$A,"&lt;"&amp;$J214+7)/COUNTIFS('Weekly Log'!$G:$G,"&lt;&gt;",'Weekly Log'!$A:$A,"&gt;="&amp;$J214,'Weekly Log'!$A:$A,"&lt;"&amp;$J214+7),0))</f>
        <v/>
      </c>
      <c r="D214">
        <f>IF($J214="","",IFERROR(COUNTIFS('Weekly Log'!$H:$H,"Y",'Weekly Log'!$A:$A,"&gt;="&amp;$J214,'Weekly Log'!$A:$A,"&lt;"&amp;$J214+7)/COUNTIFS('Weekly Log'!$H:$H,"&lt;&gt;",'Weekly Log'!$A:$A,"&gt;="&amp;$J214,'Weekly Log'!$A:$A,"&lt;"&amp;$J214+7),0))</f>
        <v/>
      </c>
      <c r="E214">
        <f>IF($J214="","",IFERROR(AVERAGEIFS('Weekly Log'!$F:$F,'Weekly Log'!$A:$A,"&gt;="&amp;$J214,'Weekly Log'!$A:$A,"&lt;"&amp;$J214+7),0))</f>
        <v/>
      </c>
      <c r="F214">
        <f>IF($J214="","",IFERROR(SUMIFS('Weekly Log'!$F:$F,'Weekly Log'!$A:$A,"&gt;="&amp;$J214,'Weekly Log'!$A:$A,"&lt;"&amp;$J214+7)/SUMIFS('Weekly Log'!$E:$E,'Weekly Log'!$A:$A,"&gt;="&amp;$J214,'Weekly Log'!$A:$A,"&lt;"&amp;$J214+7),0))</f>
        <v/>
      </c>
      <c r="G214">
        <f>IF($J214="","",IFERROR(LOOKUP(2,1/(('Weekly Log'!$A$5:$A$5000&gt;=$J214)*('Weekly Log'!$A$5:$A$5000&lt;$J214+7)*('Weekly Log'!$M$5:$M$5000&lt;&gt;"")),'Weekly Log'!$M$5:$M$5000),0))</f>
        <v/>
      </c>
      <c r="J214">
        <f>IF(COUNT('Weekly Log'!$A$5:$A$5000)=0,"",IF(MIN('Weekly Log'!$A$5:$A$5000)+7*(ROW()-10)&gt;MAX('Weekly Log'!$A$5:$A$5000),"",MIN('Weekly Log'!$A$5:$A$5000)+7*(ROW()-10)))</f>
        <v/>
      </c>
    </row>
    <row r="215">
      <c r="A215">
        <f>IF($J215="","",YEAR($J215-WEEKDAY($J215,2)+4)&amp;"-W"&amp;TEXT(WEEKNUM($J215,21),"00"))</f>
        <v/>
      </c>
      <c r="B215">
        <f>IF($J215="","",SUMIFS('Weekly Log'!$C:$C,'Weekly Log'!$A:$A,"&gt;="&amp;$J215,'Weekly Log'!$A:$A,"&lt;"&amp;$J215+7))</f>
        <v/>
      </c>
      <c r="C215">
        <f>IF($J215="","",IFERROR(COUNTIFS('Weekly Log'!$G:$G,"Y",'Weekly Log'!$A:$A,"&gt;="&amp;$J215,'Weekly Log'!$A:$A,"&lt;"&amp;$J215+7)/COUNTIFS('Weekly Log'!$G:$G,"&lt;&gt;",'Weekly Log'!$A:$A,"&gt;="&amp;$J215,'Weekly Log'!$A:$A,"&lt;"&amp;$J215+7),0))</f>
        <v/>
      </c>
      <c r="D215">
        <f>IF($J215="","",IFERROR(COUNTIFS('Weekly Log'!$H:$H,"Y",'Weekly Log'!$A:$A,"&gt;="&amp;$J215,'Weekly Log'!$A:$A,"&lt;"&amp;$J215+7)/COUNTIFS('Weekly Log'!$H:$H,"&lt;&gt;",'Weekly Log'!$A:$A,"&gt;="&amp;$J215,'Weekly Log'!$A:$A,"&lt;"&amp;$J215+7),0))</f>
        <v/>
      </c>
      <c r="E215">
        <f>IF($J215="","",IFERROR(AVERAGEIFS('Weekly Log'!$F:$F,'Weekly Log'!$A:$A,"&gt;="&amp;$J215,'Weekly Log'!$A:$A,"&lt;"&amp;$J215+7),0))</f>
        <v/>
      </c>
      <c r="F215">
        <f>IF($J215="","",IFERROR(SUMIFS('Weekly Log'!$F:$F,'Weekly Log'!$A:$A,"&gt;="&amp;$J215,'Weekly Log'!$A:$A,"&lt;"&amp;$J215+7)/SUMIFS('Weekly Log'!$E:$E,'Weekly Log'!$A:$A,"&gt;="&amp;$J215,'Weekly Log'!$A:$A,"&lt;"&amp;$J215+7),0))</f>
        <v/>
      </c>
      <c r="G215">
        <f>IF($J215="","",IFERROR(LOOKUP(2,1/(('Weekly Log'!$A$5:$A$5000&gt;=$J215)*('Weekly Log'!$A$5:$A$5000&lt;$J215+7)*('Weekly Log'!$M$5:$M$5000&lt;&gt;"")),'Weekly Log'!$M$5:$M$5000),0))</f>
        <v/>
      </c>
      <c r="J215">
        <f>IF(COUNT('Weekly Log'!$A$5:$A$5000)=0,"",IF(MIN('Weekly Log'!$A$5:$A$5000)+7*(ROW()-10)&gt;MAX('Weekly Log'!$A$5:$A$5000),"",MIN('Weekly Log'!$A$5:$A$5000)+7*(ROW()-10)))</f>
        <v/>
      </c>
    </row>
    <row r="216">
      <c r="A216">
        <f>IF($J216="","",YEAR($J216-WEEKDAY($J216,2)+4)&amp;"-W"&amp;TEXT(WEEKNUM($J216,21),"00"))</f>
        <v/>
      </c>
      <c r="B216">
        <f>IF($J216="","",SUMIFS('Weekly Log'!$C:$C,'Weekly Log'!$A:$A,"&gt;="&amp;$J216,'Weekly Log'!$A:$A,"&lt;"&amp;$J216+7))</f>
        <v/>
      </c>
      <c r="C216">
        <f>IF($J216="","",IFERROR(COUNTIFS('Weekly Log'!$G:$G,"Y",'Weekly Log'!$A:$A,"&gt;="&amp;$J216,'Weekly Log'!$A:$A,"&lt;"&amp;$J216+7)/COUNTIFS('Weekly Log'!$G:$G,"&lt;&gt;",'Weekly Log'!$A:$A,"&gt;="&amp;$J216,'Weekly Log'!$A:$A,"&lt;"&amp;$J216+7),0))</f>
        <v/>
      </c>
      <c r="D216">
        <f>IF($J216="","",IFERROR(COUNTIFS('Weekly Log'!$H:$H,"Y",'Weekly Log'!$A:$A,"&gt;="&amp;$J216,'Weekly Log'!$A:$A,"&lt;"&amp;$J216+7)/COUNTIFS('Weekly Log'!$H:$H,"&lt;&gt;",'Weekly Log'!$A:$A,"&gt;="&amp;$J216,'Weekly Log'!$A:$A,"&lt;"&amp;$J216+7),0))</f>
        <v/>
      </c>
      <c r="E216">
        <f>IF($J216="","",IFERROR(AVERAGEIFS('Weekly Log'!$F:$F,'Weekly Log'!$A:$A,"&gt;="&amp;$J216,'Weekly Log'!$A:$A,"&lt;"&amp;$J216+7),0))</f>
        <v/>
      </c>
      <c r="F216">
        <f>IF($J216="","",IFERROR(SUMIFS('Weekly Log'!$F:$F,'Weekly Log'!$A:$A,"&gt;="&amp;$J216,'Weekly Log'!$A:$A,"&lt;"&amp;$J216+7)/SUMIFS('Weekly Log'!$E:$E,'Weekly Log'!$A:$A,"&gt;="&amp;$J216,'Weekly Log'!$A:$A,"&lt;"&amp;$J216+7),0))</f>
        <v/>
      </c>
      <c r="G216">
        <f>IF($J216="","",IFERROR(LOOKUP(2,1/(('Weekly Log'!$A$5:$A$5000&gt;=$J216)*('Weekly Log'!$A$5:$A$5000&lt;$J216+7)*('Weekly Log'!$M$5:$M$5000&lt;&gt;"")),'Weekly Log'!$M$5:$M$5000),0))</f>
        <v/>
      </c>
      <c r="J216">
        <f>IF(COUNT('Weekly Log'!$A$5:$A$5000)=0,"",IF(MIN('Weekly Log'!$A$5:$A$5000)+7*(ROW()-10)&gt;MAX('Weekly Log'!$A$5:$A$5000),"",MIN('Weekly Log'!$A$5:$A$5000)+7*(ROW()-10)))</f>
        <v/>
      </c>
    </row>
    <row r="217">
      <c r="A217">
        <f>IF($J217="","",YEAR($J217-WEEKDAY($J217,2)+4)&amp;"-W"&amp;TEXT(WEEKNUM($J217,21),"00"))</f>
        <v/>
      </c>
      <c r="B217">
        <f>IF($J217="","",SUMIFS('Weekly Log'!$C:$C,'Weekly Log'!$A:$A,"&gt;="&amp;$J217,'Weekly Log'!$A:$A,"&lt;"&amp;$J217+7))</f>
        <v/>
      </c>
      <c r="C217">
        <f>IF($J217="","",IFERROR(COUNTIFS('Weekly Log'!$G:$G,"Y",'Weekly Log'!$A:$A,"&gt;="&amp;$J217,'Weekly Log'!$A:$A,"&lt;"&amp;$J217+7)/COUNTIFS('Weekly Log'!$G:$G,"&lt;&gt;",'Weekly Log'!$A:$A,"&gt;="&amp;$J217,'Weekly Log'!$A:$A,"&lt;"&amp;$J217+7),0))</f>
        <v/>
      </c>
      <c r="D217">
        <f>IF($J217="","",IFERROR(COUNTIFS('Weekly Log'!$H:$H,"Y",'Weekly Log'!$A:$A,"&gt;="&amp;$J217,'Weekly Log'!$A:$A,"&lt;"&amp;$J217+7)/COUNTIFS('Weekly Log'!$H:$H,"&lt;&gt;",'Weekly Log'!$A:$A,"&gt;="&amp;$J217,'Weekly Log'!$A:$A,"&lt;"&amp;$J217+7),0))</f>
        <v/>
      </c>
      <c r="E217">
        <f>IF($J217="","",IFERROR(AVERAGEIFS('Weekly Log'!$F:$F,'Weekly Log'!$A:$A,"&gt;="&amp;$J217,'Weekly Log'!$A:$A,"&lt;"&amp;$J217+7),0))</f>
        <v/>
      </c>
      <c r="F217">
        <f>IF($J217="","",IFERROR(SUMIFS('Weekly Log'!$F:$F,'Weekly Log'!$A:$A,"&gt;="&amp;$J217,'Weekly Log'!$A:$A,"&lt;"&amp;$J217+7)/SUMIFS('Weekly Log'!$E:$E,'Weekly Log'!$A:$A,"&gt;="&amp;$J217,'Weekly Log'!$A:$A,"&lt;"&amp;$J217+7),0))</f>
        <v/>
      </c>
      <c r="G217">
        <f>IF($J217="","",IFERROR(LOOKUP(2,1/(('Weekly Log'!$A$5:$A$5000&gt;=$J217)*('Weekly Log'!$A$5:$A$5000&lt;$J217+7)*('Weekly Log'!$M$5:$M$5000&lt;&gt;"")),'Weekly Log'!$M$5:$M$5000),0))</f>
        <v/>
      </c>
      <c r="J217">
        <f>IF(COUNT('Weekly Log'!$A$5:$A$5000)=0,"",IF(MIN('Weekly Log'!$A$5:$A$5000)+7*(ROW()-10)&gt;MAX('Weekly Log'!$A$5:$A$5000),"",MIN('Weekly Log'!$A$5:$A$5000)+7*(ROW()-10)))</f>
        <v/>
      </c>
    </row>
    <row r="218">
      <c r="A218">
        <f>IF($J218="","",YEAR($J218-WEEKDAY($J218,2)+4)&amp;"-W"&amp;TEXT(WEEKNUM($J218,21),"00"))</f>
        <v/>
      </c>
      <c r="B218">
        <f>IF($J218="","",SUMIFS('Weekly Log'!$C:$C,'Weekly Log'!$A:$A,"&gt;="&amp;$J218,'Weekly Log'!$A:$A,"&lt;"&amp;$J218+7))</f>
        <v/>
      </c>
      <c r="C218">
        <f>IF($J218="","",IFERROR(COUNTIFS('Weekly Log'!$G:$G,"Y",'Weekly Log'!$A:$A,"&gt;="&amp;$J218,'Weekly Log'!$A:$A,"&lt;"&amp;$J218+7)/COUNTIFS('Weekly Log'!$G:$G,"&lt;&gt;",'Weekly Log'!$A:$A,"&gt;="&amp;$J218,'Weekly Log'!$A:$A,"&lt;"&amp;$J218+7),0))</f>
        <v/>
      </c>
      <c r="D218">
        <f>IF($J218="","",IFERROR(COUNTIFS('Weekly Log'!$H:$H,"Y",'Weekly Log'!$A:$A,"&gt;="&amp;$J218,'Weekly Log'!$A:$A,"&lt;"&amp;$J218+7)/COUNTIFS('Weekly Log'!$H:$H,"&lt;&gt;",'Weekly Log'!$A:$A,"&gt;="&amp;$J218,'Weekly Log'!$A:$A,"&lt;"&amp;$J218+7),0))</f>
        <v/>
      </c>
      <c r="E218">
        <f>IF($J218="","",IFERROR(AVERAGEIFS('Weekly Log'!$F:$F,'Weekly Log'!$A:$A,"&gt;="&amp;$J218,'Weekly Log'!$A:$A,"&lt;"&amp;$J218+7),0))</f>
        <v/>
      </c>
      <c r="F218">
        <f>IF($J218="","",IFERROR(SUMIFS('Weekly Log'!$F:$F,'Weekly Log'!$A:$A,"&gt;="&amp;$J218,'Weekly Log'!$A:$A,"&lt;"&amp;$J218+7)/SUMIFS('Weekly Log'!$E:$E,'Weekly Log'!$A:$A,"&gt;="&amp;$J218,'Weekly Log'!$A:$A,"&lt;"&amp;$J218+7),0))</f>
        <v/>
      </c>
      <c r="G218">
        <f>IF($J218="","",IFERROR(LOOKUP(2,1/(('Weekly Log'!$A$5:$A$5000&gt;=$J218)*('Weekly Log'!$A$5:$A$5000&lt;$J218+7)*('Weekly Log'!$M$5:$M$5000&lt;&gt;"")),'Weekly Log'!$M$5:$M$5000),0))</f>
        <v/>
      </c>
      <c r="J218">
        <f>IF(COUNT('Weekly Log'!$A$5:$A$5000)=0,"",IF(MIN('Weekly Log'!$A$5:$A$5000)+7*(ROW()-10)&gt;MAX('Weekly Log'!$A$5:$A$5000),"",MIN('Weekly Log'!$A$5:$A$5000)+7*(ROW()-10)))</f>
        <v/>
      </c>
    </row>
    <row r="219">
      <c r="A219">
        <f>IF($J219="","",YEAR($J219-WEEKDAY($J219,2)+4)&amp;"-W"&amp;TEXT(WEEKNUM($J219,21),"00"))</f>
        <v/>
      </c>
      <c r="B219">
        <f>IF($J219="","",SUMIFS('Weekly Log'!$C:$C,'Weekly Log'!$A:$A,"&gt;="&amp;$J219,'Weekly Log'!$A:$A,"&lt;"&amp;$J219+7))</f>
        <v/>
      </c>
      <c r="C219">
        <f>IF($J219="","",IFERROR(COUNTIFS('Weekly Log'!$G:$G,"Y",'Weekly Log'!$A:$A,"&gt;="&amp;$J219,'Weekly Log'!$A:$A,"&lt;"&amp;$J219+7)/COUNTIFS('Weekly Log'!$G:$G,"&lt;&gt;",'Weekly Log'!$A:$A,"&gt;="&amp;$J219,'Weekly Log'!$A:$A,"&lt;"&amp;$J219+7),0))</f>
        <v/>
      </c>
      <c r="D219">
        <f>IF($J219="","",IFERROR(COUNTIFS('Weekly Log'!$H:$H,"Y",'Weekly Log'!$A:$A,"&gt;="&amp;$J219,'Weekly Log'!$A:$A,"&lt;"&amp;$J219+7)/COUNTIFS('Weekly Log'!$H:$H,"&lt;&gt;",'Weekly Log'!$A:$A,"&gt;="&amp;$J219,'Weekly Log'!$A:$A,"&lt;"&amp;$J219+7),0))</f>
        <v/>
      </c>
      <c r="E219">
        <f>IF($J219="","",IFERROR(AVERAGEIFS('Weekly Log'!$F:$F,'Weekly Log'!$A:$A,"&gt;="&amp;$J219,'Weekly Log'!$A:$A,"&lt;"&amp;$J219+7),0))</f>
        <v/>
      </c>
      <c r="F219">
        <f>IF($J219="","",IFERROR(SUMIFS('Weekly Log'!$F:$F,'Weekly Log'!$A:$A,"&gt;="&amp;$J219,'Weekly Log'!$A:$A,"&lt;"&amp;$J219+7)/SUMIFS('Weekly Log'!$E:$E,'Weekly Log'!$A:$A,"&gt;="&amp;$J219,'Weekly Log'!$A:$A,"&lt;"&amp;$J219+7),0))</f>
        <v/>
      </c>
      <c r="G219">
        <f>IF($J219="","",IFERROR(LOOKUP(2,1/(('Weekly Log'!$A$5:$A$5000&gt;=$J219)*('Weekly Log'!$A$5:$A$5000&lt;$J219+7)*('Weekly Log'!$M$5:$M$5000&lt;&gt;"")),'Weekly Log'!$M$5:$M$5000),0))</f>
        <v/>
      </c>
      <c r="J219">
        <f>IF(COUNT('Weekly Log'!$A$5:$A$5000)=0,"",IF(MIN('Weekly Log'!$A$5:$A$5000)+7*(ROW()-10)&gt;MAX('Weekly Log'!$A$5:$A$5000),"",MIN('Weekly Log'!$A$5:$A$5000)+7*(ROW()-10)))</f>
        <v/>
      </c>
    </row>
    <row r="220">
      <c r="A220">
        <f>IF($J220="","",YEAR($J220-WEEKDAY($J220,2)+4)&amp;"-W"&amp;TEXT(WEEKNUM($J220,21),"00"))</f>
        <v/>
      </c>
      <c r="B220">
        <f>IF($J220="","",SUMIFS('Weekly Log'!$C:$C,'Weekly Log'!$A:$A,"&gt;="&amp;$J220,'Weekly Log'!$A:$A,"&lt;"&amp;$J220+7))</f>
        <v/>
      </c>
      <c r="C220">
        <f>IF($J220="","",IFERROR(COUNTIFS('Weekly Log'!$G:$G,"Y",'Weekly Log'!$A:$A,"&gt;="&amp;$J220,'Weekly Log'!$A:$A,"&lt;"&amp;$J220+7)/COUNTIFS('Weekly Log'!$G:$G,"&lt;&gt;",'Weekly Log'!$A:$A,"&gt;="&amp;$J220,'Weekly Log'!$A:$A,"&lt;"&amp;$J220+7),0))</f>
        <v/>
      </c>
      <c r="D220">
        <f>IF($J220="","",IFERROR(COUNTIFS('Weekly Log'!$H:$H,"Y",'Weekly Log'!$A:$A,"&gt;="&amp;$J220,'Weekly Log'!$A:$A,"&lt;"&amp;$J220+7)/COUNTIFS('Weekly Log'!$H:$H,"&lt;&gt;",'Weekly Log'!$A:$A,"&gt;="&amp;$J220,'Weekly Log'!$A:$A,"&lt;"&amp;$J220+7),0))</f>
        <v/>
      </c>
      <c r="E220">
        <f>IF($J220="","",IFERROR(AVERAGEIFS('Weekly Log'!$F:$F,'Weekly Log'!$A:$A,"&gt;="&amp;$J220,'Weekly Log'!$A:$A,"&lt;"&amp;$J220+7),0))</f>
        <v/>
      </c>
      <c r="F220">
        <f>IF($J220="","",IFERROR(SUMIFS('Weekly Log'!$F:$F,'Weekly Log'!$A:$A,"&gt;="&amp;$J220,'Weekly Log'!$A:$A,"&lt;"&amp;$J220+7)/SUMIFS('Weekly Log'!$E:$E,'Weekly Log'!$A:$A,"&gt;="&amp;$J220,'Weekly Log'!$A:$A,"&lt;"&amp;$J220+7),0))</f>
        <v/>
      </c>
      <c r="G220">
        <f>IF($J220="","",IFERROR(LOOKUP(2,1/(('Weekly Log'!$A$5:$A$5000&gt;=$J220)*('Weekly Log'!$A$5:$A$5000&lt;$J220+7)*('Weekly Log'!$M$5:$M$5000&lt;&gt;"")),'Weekly Log'!$M$5:$M$5000),0))</f>
        <v/>
      </c>
      <c r="J220">
        <f>IF(COUNT('Weekly Log'!$A$5:$A$5000)=0,"",IF(MIN('Weekly Log'!$A$5:$A$5000)+7*(ROW()-10)&gt;MAX('Weekly Log'!$A$5:$A$5000),"",MIN('Weekly Log'!$A$5:$A$5000)+7*(ROW()-10)))</f>
        <v/>
      </c>
    </row>
    <row r="221">
      <c r="A221">
        <f>IF($J221="","",YEAR($J221-WEEKDAY($J221,2)+4)&amp;"-W"&amp;TEXT(WEEKNUM($J221,21),"00"))</f>
        <v/>
      </c>
      <c r="B221">
        <f>IF($J221="","",SUMIFS('Weekly Log'!$C:$C,'Weekly Log'!$A:$A,"&gt;="&amp;$J221,'Weekly Log'!$A:$A,"&lt;"&amp;$J221+7))</f>
        <v/>
      </c>
      <c r="C221">
        <f>IF($J221="","",IFERROR(COUNTIFS('Weekly Log'!$G:$G,"Y",'Weekly Log'!$A:$A,"&gt;="&amp;$J221,'Weekly Log'!$A:$A,"&lt;"&amp;$J221+7)/COUNTIFS('Weekly Log'!$G:$G,"&lt;&gt;",'Weekly Log'!$A:$A,"&gt;="&amp;$J221,'Weekly Log'!$A:$A,"&lt;"&amp;$J221+7),0))</f>
        <v/>
      </c>
      <c r="D221">
        <f>IF($J221="","",IFERROR(COUNTIFS('Weekly Log'!$H:$H,"Y",'Weekly Log'!$A:$A,"&gt;="&amp;$J221,'Weekly Log'!$A:$A,"&lt;"&amp;$J221+7)/COUNTIFS('Weekly Log'!$H:$H,"&lt;&gt;",'Weekly Log'!$A:$A,"&gt;="&amp;$J221,'Weekly Log'!$A:$A,"&lt;"&amp;$J221+7),0))</f>
        <v/>
      </c>
      <c r="E221">
        <f>IF($J221="","",IFERROR(AVERAGEIFS('Weekly Log'!$F:$F,'Weekly Log'!$A:$A,"&gt;="&amp;$J221,'Weekly Log'!$A:$A,"&lt;"&amp;$J221+7),0))</f>
        <v/>
      </c>
      <c r="F221">
        <f>IF($J221="","",IFERROR(SUMIFS('Weekly Log'!$F:$F,'Weekly Log'!$A:$A,"&gt;="&amp;$J221,'Weekly Log'!$A:$A,"&lt;"&amp;$J221+7)/SUMIFS('Weekly Log'!$E:$E,'Weekly Log'!$A:$A,"&gt;="&amp;$J221,'Weekly Log'!$A:$A,"&lt;"&amp;$J221+7),0))</f>
        <v/>
      </c>
      <c r="G221">
        <f>IF($J221="","",IFERROR(LOOKUP(2,1/(('Weekly Log'!$A$5:$A$5000&gt;=$J221)*('Weekly Log'!$A$5:$A$5000&lt;$J221+7)*('Weekly Log'!$M$5:$M$5000&lt;&gt;"")),'Weekly Log'!$M$5:$M$5000),0))</f>
        <v/>
      </c>
      <c r="J221">
        <f>IF(COUNT('Weekly Log'!$A$5:$A$5000)=0,"",IF(MIN('Weekly Log'!$A$5:$A$5000)+7*(ROW()-10)&gt;MAX('Weekly Log'!$A$5:$A$5000),"",MIN('Weekly Log'!$A$5:$A$5000)+7*(ROW()-10)))</f>
        <v/>
      </c>
    </row>
    <row r="222">
      <c r="A222">
        <f>IF($J222="","",YEAR($J222-WEEKDAY($J222,2)+4)&amp;"-W"&amp;TEXT(WEEKNUM($J222,21),"00"))</f>
        <v/>
      </c>
      <c r="B222">
        <f>IF($J222="","",SUMIFS('Weekly Log'!$C:$C,'Weekly Log'!$A:$A,"&gt;="&amp;$J222,'Weekly Log'!$A:$A,"&lt;"&amp;$J222+7))</f>
        <v/>
      </c>
      <c r="C222">
        <f>IF($J222="","",IFERROR(COUNTIFS('Weekly Log'!$G:$G,"Y",'Weekly Log'!$A:$A,"&gt;="&amp;$J222,'Weekly Log'!$A:$A,"&lt;"&amp;$J222+7)/COUNTIFS('Weekly Log'!$G:$G,"&lt;&gt;",'Weekly Log'!$A:$A,"&gt;="&amp;$J222,'Weekly Log'!$A:$A,"&lt;"&amp;$J222+7),0))</f>
        <v/>
      </c>
      <c r="D222">
        <f>IF($J222="","",IFERROR(COUNTIFS('Weekly Log'!$H:$H,"Y",'Weekly Log'!$A:$A,"&gt;="&amp;$J222,'Weekly Log'!$A:$A,"&lt;"&amp;$J222+7)/COUNTIFS('Weekly Log'!$H:$H,"&lt;&gt;",'Weekly Log'!$A:$A,"&gt;="&amp;$J222,'Weekly Log'!$A:$A,"&lt;"&amp;$J222+7),0))</f>
        <v/>
      </c>
      <c r="E222">
        <f>IF($J222="","",IFERROR(AVERAGEIFS('Weekly Log'!$F:$F,'Weekly Log'!$A:$A,"&gt;="&amp;$J222,'Weekly Log'!$A:$A,"&lt;"&amp;$J222+7),0))</f>
        <v/>
      </c>
      <c r="F222">
        <f>IF($J222="","",IFERROR(SUMIFS('Weekly Log'!$F:$F,'Weekly Log'!$A:$A,"&gt;="&amp;$J222,'Weekly Log'!$A:$A,"&lt;"&amp;$J222+7)/SUMIFS('Weekly Log'!$E:$E,'Weekly Log'!$A:$A,"&gt;="&amp;$J222,'Weekly Log'!$A:$A,"&lt;"&amp;$J222+7),0))</f>
        <v/>
      </c>
      <c r="G222">
        <f>IF($J222="","",IFERROR(LOOKUP(2,1/(('Weekly Log'!$A$5:$A$5000&gt;=$J222)*('Weekly Log'!$A$5:$A$5000&lt;$J222+7)*('Weekly Log'!$M$5:$M$5000&lt;&gt;"")),'Weekly Log'!$M$5:$M$5000),0))</f>
        <v/>
      </c>
      <c r="J222">
        <f>IF(COUNT('Weekly Log'!$A$5:$A$5000)=0,"",IF(MIN('Weekly Log'!$A$5:$A$5000)+7*(ROW()-10)&gt;MAX('Weekly Log'!$A$5:$A$5000),"",MIN('Weekly Log'!$A$5:$A$5000)+7*(ROW()-10)))</f>
        <v/>
      </c>
    </row>
    <row r="223">
      <c r="A223">
        <f>IF($J223="","",YEAR($J223-WEEKDAY($J223,2)+4)&amp;"-W"&amp;TEXT(WEEKNUM($J223,21),"00"))</f>
        <v/>
      </c>
      <c r="B223">
        <f>IF($J223="","",SUMIFS('Weekly Log'!$C:$C,'Weekly Log'!$A:$A,"&gt;="&amp;$J223,'Weekly Log'!$A:$A,"&lt;"&amp;$J223+7))</f>
        <v/>
      </c>
      <c r="C223">
        <f>IF($J223="","",IFERROR(COUNTIFS('Weekly Log'!$G:$G,"Y",'Weekly Log'!$A:$A,"&gt;="&amp;$J223,'Weekly Log'!$A:$A,"&lt;"&amp;$J223+7)/COUNTIFS('Weekly Log'!$G:$G,"&lt;&gt;",'Weekly Log'!$A:$A,"&gt;="&amp;$J223,'Weekly Log'!$A:$A,"&lt;"&amp;$J223+7),0))</f>
        <v/>
      </c>
      <c r="D223">
        <f>IF($J223="","",IFERROR(COUNTIFS('Weekly Log'!$H:$H,"Y",'Weekly Log'!$A:$A,"&gt;="&amp;$J223,'Weekly Log'!$A:$A,"&lt;"&amp;$J223+7)/COUNTIFS('Weekly Log'!$H:$H,"&lt;&gt;",'Weekly Log'!$A:$A,"&gt;="&amp;$J223,'Weekly Log'!$A:$A,"&lt;"&amp;$J223+7),0))</f>
        <v/>
      </c>
      <c r="E223">
        <f>IF($J223="","",IFERROR(AVERAGEIFS('Weekly Log'!$F:$F,'Weekly Log'!$A:$A,"&gt;="&amp;$J223,'Weekly Log'!$A:$A,"&lt;"&amp;$J223+7),0))</f>
        <v/>
      </c>
      <c r="F223">
        <f>IF($J223="","",IFERROR(SUMIFS('Weekly Log'!$F:$F,'Weekly Log'!$A:$A,"&gt;="&amp;$J223,'Weekly Log'!$A:$A,"&lt;"&amp;$J223+7)/SUMIFS('Weekly Log'!$E:$E,'Weekly Log'!$A:$A,"&gt;="&amp;$J223,'Weekly Log'!$A:$A,"&lt;"&amp;$J223+7),0))</f>
        <v/>
      </c>
      <c r="G223">
        <f>IF($J223="","",IFERROR(LOOKUP(2,1/(('Weekly Log'!$A$5:$A$5000&gt;=$J223)*('Weekly Log'!$A$5:$A$5000&lt;$J223+7)*('Weekly Log'!$M$5:$M$5000&lt;&gt;"")),'Weekly Log'!$M$5:$M$5000),0))</f>
        <v/>
      </c>
      <c r="J223">
        <f>IF(COUNT('Weekly Log'!$A$5:$A$5000)=0,"",IF(MIN('Weekly Log'!$A$5:$A$5000)+7*(ROW()-10)&gt;MAX('Weekly Log'!$A$5:$A$5000),"",MIN('Weekly Log'!$A$5:$A$5000)+7*(ROW()-10)))</f>
        <v/>
      </c>
    </row>
    <row r="224">
      <c r="A224">
        <f>IF($J224="","",YEAR($J224-WEEKDAY($J224,2)+4)&amp;"-W"&amp;TEXT(WEEKNUM($J224,21),"00"))</f>
        <v/>
      </c>
      <c r="B224">
        <f>IF($J224="","",SUMIFS('Weekly Log'!$C:$C,'Weekly Log'!$A:$A,"&gt;="&amp;$J224,'Weekly Log'!$A:$A,"&lt;"&amp;$J224+7))</f>
        <v/>
      </c>
      <c r="C224">
        <f>IF($J224="","",IFERROR(COUNTIFS('Weekly Log'!$G:$G,"Y",'Weekly Log'!$A:$A,"&gt;="&amp;$J224,'Weekly Log'!$A:$A,"&lt;"&amp;$J224+7)/COUNTIFS('Weekly Log'!$G:$G,"&lt;&gt;",'Weekly Log'!$A:$A,"&gt;="&amp;$J224,'Weekly Log'!$A:$A,"&lt;"&amp;$J224+7),0))</f>
        <v/>
      </c>
      <c r="D224">
        <f>IF($J224="","",IFERROR(COUNTIFS('Weekly Log'!$H:$H,"Y",'Weekly Log'!$A:$A,"&gt;="&amp;$J224,'Weekly Log'!$A:$A,"&lt;"&amp;$J224+7)/COUNTIFS('Weekly Log'!$H:$H,"&lt;&gt;",'Weekly Log'!$A:$A,"&gt;="&amp;$J224,'Weekly Log'!$A:$A,"&lt;"&amp;$J224+7),0))</f>
        <v/>
      </c>
      <c r="E224">
        <f>IF($J224="","",IFERROR(AVERAGEIFS('Weekly Log'!$F:$F,'Weekly Log'!$A:$A,"&gt;="&amp;$J224,'Weekly Log'!$A:$A,"&lt;"&amp;$J224+7),0))</f>
        <v/>
      </c>
      <c r="F224">
        <f>IF($J224="","",IFERROR(SUMIFS('Weekly Log'!$F:$F,'Weekly Log'!$A:$A,"&gt;="&amp;$J224,'Weekly Log'!$A:$A,"&lt;"&amp;$J224+7)/SUMIFS('Weekly Log'!$E:$E,'Weekly Log'!$A:$A,"&gt;="&amp;$J224,'Weekly Log'!$A:$A,"&lt;"&amp;$J224+7),0))</f>
        <v/>
      </c>
      <c r="G224">
        <f>IF($J224="","",IFERROR(LOOKUP(2,1/(('Weekly Log'!$A$5:$A$5000&gt;=$J224)*('Weekly Log'!$A$5:$A$5000&lt;$J224+7)*('Weekly Log'!$M$5:$M$5000&lt;&gt;"")),'Weekly Log'!$M$5:$M$5000),0))</f>
        <v/>
      </c>
      <c r="J224">
        <f>IF(COUNT('Weekly Log'!$A$5:$A$5000)=0,"",IF(MIN('Weekly Log'!$A$5:$A$5000)+7*(ROW()-10)&gt;MAX('Weekly Log'!$A$5:$A$5000),"",MIN('Weekly Log'!$A$5:$A$5000)+7*(ROW()-10)))</f>
        <v/>
      </c>
    </row>
    <row r="225">
      <c r="A225">
        <f>IF($J225="","",YEAR($J225-WEEKDAY($J225,2)+4)&amp;"-W"&amp;TEXT(WEEKNUM($J225,21),"00"))</f>
        <v/>
      </c>
      <c r="B225">
        <f>IF($J225="","",SUMIFS('Weekly Log'!$C:$C,'Weekly Log'!$A:$A,"&gt;="&amp;$J225,'Weekly Log'!$A:$A,"&lt;"&amp;$J225+7))</f>
        <v/>
      </c>
      <c r="C225">
        <f>IF($J225="","",IFERROR(COUNTIFS('Weekly Log'!$G:$G,"Y",'Weekly Log'!$A:$A,"&gt;="&amp;$J225,'Weekly Log'!$A:$A,"&lt;"&amp;$J225+7)/COUNTIFS('Weekly Log'!$G:$G,"&lt;&gt;",'Weekly Log'!$A:$A,"&gt;="&amp;$J225,'Weekly Log'!$A:$A,"&lt;"&amp;$J225+7),0))</f>
        <v/>
      </c>
      <c r="D225">
        <f>IF($J225="","",IFERROR(COUNTIFS('Weekly Log'!$H:$H,"Y",'Weekly Log'!$A:$A,"&gt;="&amp;$J225,'Weekly Log'!$A:$A,"&lt;"&amp;$J225+7)/COUNTIFS('Weekly Log'!$H:$H,"&lt;&gt;",'Weekly Log'!$A:$A,"&gt;="&amp;$J225,'Weekly Log'!$A:$A,"&lt;"&amp;$J225+7),0))</f>
        <v/>
      </c>
      <c r="E225">
        <f>IF($J225="","",IFERROR(AVERAGEIFS('Weekly Log'!$F:$F,'Weekly Log'!$A:$A,"&gt;="&amp;$J225,'Weekly Log'!$A:$A,"&lt;"&amp;$J225+7),0))</f>
        <v/>
      </c>
      <c r="F225">
        <f>IF($J225="","",IFERROR(SUMIFS('Weekly Log'!$F:$F,'Weekly Log'!$A:$A,"&gt;="&amp;$J225,'Weekly Log'!$A:$A,"&lt;"&amp;$J225+7)/SUMIFS('Weekly Log'!$E:$E,'Weekly Log'!$A:$A,"&gt;="&amp;$J225,'Weekly Log'!$A:$A,"&lt;"&amp;$J225+7),0))</f>
        <v/>
      </c>
      <c r="G225">
        <f>IF($J225="","",IFERROR(LOOKUP(2,1/(('Weekly Log'!$A$5:$A$5000&gt;=$J225)*('Weekly Log'!$A$5:$A$5000&lt;$J225+7)*('Weekly Log'!$M$5:$M$5000&lt;&gt;"")),'Weekly Log'!$M$5:$M$5000),0))</f>
        <v/>
      </c>
      <c r="J225">
        <f>IF(COUNT('Weekly Log'!$A$5:$A$5000)=0,"",IF(MIN('Weekly Log'!$A$5:$A$5000)+7*(ROW()-10)&gt;MAX('Weekly Log'!$A$5:$A$5000),"",MIN('Weekly Log'!$A$5:$A$5000)+7*(ROW()-10)))</f>
        <v/>
      </c>
    </row>
    <row r="226">
      <c r="A226">
        <f>IF($J226="","",YEAR($J226-WEEKDAY($J226,2)+4)&amp;"-W"&amp;TEXT(WEEKNUM($J226,21),"00"))</f>
        <v/>
      </c>
      <c r="B226">
        <f>IF($J226="","",SUMIFS('Weekly Log'!$C:$C,'Weekly Log'!$A:$A,"&gt;="&amp;$J226,'Weekly Log'!$A:$A,"&lt;"&amp;$J226+7))</f>
        <v/>
      </c>
      <c r="C226">
        <f>IF($J226="","",IFERROR(COUNTIFS('Weekly Log'!$G:$G,"Y",'Weekly Log'!$A:$A,"&gt;="&amp;$J226,'Weekly Log'!$A:$A,"&lt;"&amp;$J226+7)/COUNTIFS('Weekly Log'!$G:$G,"&lt;&gt;",'Weekly Log'!$A:$A,"&gt;="&amp;$J226,'Weekly Log'!$A:$A,"&lt;"&amp;$J226+7),0))</f>
        <v/>
      </c>
      <c r="D226">
        <f>IF($J226="","",IFERROR(COUNTIFS('Weekly Log'!$H:$H,"Y",'Weekly Log'!$A:$A,"&gt;="&amp;$J226,'Weekly Log'!$A:$A,"&lt;"&amp;$J226+7)/COUNTIFS('Weekly Log'!$H:$H,"&lt;&gt;",'Weekly Log'!$A:$A,"&gt;="&amp;$J226,'Weekly Log'!$A:$A,"&lt;"&amp;$J226+7),0))</f>
        <v/>
      </c>
      <c r="E226">
        <f>IF($J226="","",IFERROR(AVERAGEIFS('Weekly Log'!$F:$F,'Weekly Log'!$A:$A,"&gt;="&amp;$J226,'Weekly Log'!$A:$A,"&lt;"&amp;$J226+7),0))</f>
        <v/>
      </c>
      <c r="F226">
        <f>IF($J226="","",IFERROR(SUMIFS('Weekly Log'!$F:$F,'Weekly Log'!$A:$A,"&gt;="&amp;$J226,'Weekly Log'!$A:$A,"&lt;"&amp;$J226+7)/SUMIFS('Weekly Log'!$E:$E,'Weekly Log'!$A:$A,"&gt;="&amp;$J226,'Weekly Log'!$A:$A,"&lt;"&amp;$J226+7),0))</f>
        <v/>
      </c>
      <c r="G226">
        <f>IF($J226="","",IFERROR(LOOKUP(2,1/(('Weekly Log'!$A$5:$A$5000&gt;=$J226)*('Weekly Log'!$A$5:$A$5000&lt;$J226+7)*('Weekly Log'!$M$5:$M$5000&lt;&gt;"")),'Weekly Log'!$M$5:$M$5000),0))</f>
        <v/>
      </c>
      <c r="J226">
        <f>IF(COUNT('Weekly Log'!$A$5:$A$5000)=0,"",IF(MIN('Weekly Log'!$A$5:$A$5000)+7*(ROW()-10)&gt;MAX('Weekly Log'!$A$5:$A$5000),"",MIN('Weekly Log'!$A$5:$A$5000)+7*(ROW()-10)))</f>
        <v/>
      </c>
    </row>
    <row r="227">
      <c r="A227">
        <f>IF($J227="","",YEAR($J227-WEEKDAY($J227,2)+4)&amp;"-W"&amp;TEXT(WEEKNUM($J227,21),"00"))</f>
        <v/>
      </c>
      <c r="B227">
        <f>IF($J227="","",SUMIFS('Weekly Log'!$C:$C,'Weekly Log'!$A:$A,"&gt;="&amp;$J227,'Weekly Log'!$A:$A,"&lt;"&amp;$J227+7))</f>
        <v/>
      </c>
      <c r="C227">
        <f>IF($J227="","",IFERROR(COUNTIFS('Weekly Log'!$G:$G,"Y",'Weekly Log'!$A:$A,"&gt;="&amp;$J227,'Weekly Log'!$A:$A,"&lt;"&amp;$J227+7)/COUNTIFS('Weekly Log'!$G:$G,"&lt;&gt;",'Weekly Log'!$A:$A,"&gt;="&amp;$J227,'Weekly Log'!$A:$A,"&lt;"&amp;$J227+7),0))</f>
        <v/>
      </c>
      <c r="D227">
        <f>IF($J227="","",IFERROR(COUNTIFS('Weekly Log'!$H:$H,"Y",'Weekly Log'!$A:$A,"&gt;="&amp;$J227,'Weekly Log'!$A:$A,"&lt;"&amp;$J227+7)/COUNTIFS('Weekly Log'!$H:$H,"&lt;&gt;",'Weekly Log'!$A:$A,"&gt;="&amp;$J227,'Weekly Log'!$A:$A,"&lt;"&amp;$J227+7),0))</f>
        <v/>
      </c>
      <c r="E227">
        <f>IF($J227="","",IFERROR(AVERAGEIFS('Weekly Log'!$F:$F,'Weekly Log'!$A:$A,"&gt;="&amp;$J227,'Weekly Log'!$A:$A,"&lt;"&amp;$J227+7),0))</f>
        <v/>
      </c>
      <c r="F227">
        <f>IF($J227="","",IFERROR(SUMIFS('Weekly Log'!$F:$F,'Weekly Log'!$A:$A,"&gt;="&amp;$J227,'Weekly Log'!$A:$A,"&lt;"&amp;$J227+7)/SUMIFS('Weekly Log'!$E:$E,'Weekly Log'!$A:$A,"&gt;="&amp;$J227,'Weekly Log'!$A:$A,"&lt;"&amp;$J227+7),0))</f>
        <v/>
      </c>
      <c r="G227">
        <f>IF($J227="","",IFERROR(LOOKUP(2,1/(('Weekly Log'!$A$5:$A$5000&gt;=$J227)*('Weekly Log'!$A$5:$A$5000&lt;$J227+7)*('Weekly Log'!$M$5:$M$5000&lt;&gt;"")),'Weekly Log'!$M$5:$M$5000),0))</f>
        <v/>
      </c>
      <c r="J227">
        <f>IF(COUNT('Weekly Log'!$A$5:$A$5000)=0,"",IF(MIN('Weekly Log'!$A$5:$A$5000)+7*(ROW()-10)&gt;MAX('Weekly Log'!$A$5:$A$5000),"",MIN('Weekly Log'!$A$5:$A$5000)+7*(ROW()-10)))</f>
        <v/>
      </c>
    </row>
    <row r="228">
      <c r="A228">
        <f>IF($J228="","",YEAR($J228-WEEKDAY($J228,2)+4)&amp;"-W"&amp;TEXT(WEEKNUM($J228,21),"00"))</f>
        <v/>
      </c>
      <c r="B228">
        <f>IF($J228="","",SUMIFS('Weekly Log'!$C:$C,'Weekly Log'!$A:$A,"&gt;="&amp;$J228,'Weekly Log'!$A:$A,"&lt;"&amp;$J228+7))</f>
        <v/>
      </c>
      <c r="C228">
        <f>IF($J228="","",IFERROR(COUNTIFS('Weekly Log'!$G:$G,"Y",'Weekly Log'!$A:$A,"&gt;="&amp;$J228,'Weekly Log'!$A:$A,"&lt;"&amp;$J228+7)/COUNTIFS('Weekly Log'!$G:$G,"&lt;&gt;",'Weekly Log'!$A:$A,"&gt;="&amp;$J228,'Weekly Log'!$A:$A,"&lt;"&amp;$J228+7),0))</f>
        <v/>
      </c>
      <c r="D228">
        <f>IF($J228="","",IFERROR(COUNTIFS('Weekly Log'!$H:$H,"Y",'Weekly Log'!$A:$A,"&gt;="&amp;$J228,'Weekly Log'!$A:$A,"&lt;"&amp;$J228+7)/COUNTIFS('Weekly Log'!$H:$H,"&lt;&gt;",'Weekly Log'!$A:$A,"&gt;="&amp;$J228,'Weekly Log'!$A:$A,"&lt;"&amp;$J228+7),0))</f>
        <v/>
      </c>
      <c r="E228">
        <f>IF($J228="","",IFERROR(AVERAGEIFS('Weekly Log'!$F:$F,'Weekly Log'!$A:$A,"&gt;="&amp;$J228,'Weekly Log'!$A:$A,"&lt;"&amp;$J228+7),0))</f>
        <v/>
      </c>
      <c r="F228">
        <f>IF($J228="","",IFERROR(SUMIFS('Weekly Log'!$F:$F,'Weekly Log'!$A:$A,"&gt;="&amp;$J228,'Weekly Log'!$A:$A,"&lt;"&amp;$J228+7)/SUMIFS('Weekly Log'!$E:$E,'Weekly Log'!$A:$A,"&gt;="&amp;$J228,'Weekly Log'!$A:$A,"&lt;"&amp;$J228+7),0))</f>
        <v/>
      </c>
      <c r="G228">
        <f>IF($J228="","",IFERROR(LOOKUP(2,1/(('Weekly Log'!$A$5:$A$5000&gt;=$J228)*('Weekly Log'!$A$5:$A$5000&lt;$J228+7)*('Weekly Log'!$M$5:$M$5000&lt;&gt;"")),'Weekly Log'!$M$5:$M$5000),0))</f>
        <v/>
      </c>
      <c r="J228">
        <f>IF(COUNT('Weekly Log'!$A$5:$A$5000)=0,"",IF(MIN('Weekly Log'!$A$5:$A$5000)+7*(ROW()-10)&gt;MAX('Weekly Log'!$A$5:$A$5000),"",MIN('Weekly Log'!$A$5:$A$5000)+7*(ROW()-10)))</f>
        <v/>
      </c>
    </row>
    <row r="229">
      <c r="A229">
        <f>IF($J229="","",YEAR($J229-WEEKDAY($J229,2)+4)&amp;"-W"&amp;TEXT(WEEKNUM($J229,21),"00"))</f>
        <v/>
      </c>
      <c r="B229">
        <f>IF($J229="","",SUMIFS('Weekly Log'!$C:$C,'Weekly Log'!$A:$A,"&gt;="&amp;$J229,'Weekly Log'!$A:$A,"&lt;"&amp;$J229+7))</f>
        <v/>
      </c>
      <c r="C229">
        <f>IF($J229="","",IFERROR(COUNTIFS('Weekly Log'!$G:$G,"Y",'Weekly Log'!$A:$A,"&gt;="&amp;$J229,'Weekly Log'!$A:$A,"&lt;"&amp;$J229+7)/COUNTIFS('Weekly Log'!$G:$G,"&lt;&gt;",'Weekly Log'!$A:$A,"&gt;="&amp;$J229,'Weekly Log'!$A:$A,"&lt;"&amp;$J229+7),0))</f>
        <v/>
      </c>
      <c r="D229">
        <f>IF($J229="","",IFERROR(COUNTIFS('Weekly Log'!$H:$H,"Y",'Weekly Log'!$A:$A,"&gt;="&amp;$J229,'Weekly Log'!$A:$A,"&lt;"&amp;$J229+7)/COUNTIFS('Weekly Log'!$H:$H,"&lt;&gt;",'Weekly Log'!$A:$A,"&gt;="&amp;$J229,'Weekly Log'!$A:$A,"&lt;"&amp;$J229+7),0))</f>
        <v/>
      </c>
      <c r="E229">
        <f>IF($J229="","",IFERROR(AVERAGEIFS('Weekly Log'!$F:$F,'Weekly Log'!$A:$A,"&gt;="&amp;$J229,'Weekly Log'!$A:$A,"&lt;"&amp;$J229+7),0))</f>
        <v/>
      </c>
      <c r="F229">
        <f>IF($J229="","",IFERROR(SUMIFS('Weekly Log'!$F:$F,'Weekly Log'!$A:$A,"&gt;="&amp;$J229,'Weekly Log'!$A:$A,"&lt;"&amp;$J229+7)/SUMIFS('Weekly Log'!$E:$E,'Weekly Log'!$A:$A,"&gt;="&amp;$J229,'Weekly Log'!$A:$A,"&lt;"&amp;$J229+7),0))</f>
        <v/>
      </c>
      <c r="G229">
        <f>IF($J229="","",IFERROR(LOOKUP(2,1/(('Weekly Log'!$A$5:$A$5000&gt;=$J229)*('Weekly Log'!$A$5:$A$5000&lt;$J229+7)*('Weekly Log'!$M$5:$M$5000&lt;&gt;"")),'Weekly Log'!$M$5:$M$5000),0))</f>
        <v/>
      </c>
      <c r="J229">
        <f>IF(COUNT('Weekly Log'!$A$5:$A$5000)=0,"",IF(MIN('Weekly Log'!$A$5:$A$5000)+7*(ROW()-10)&gt;MAX('Weekly Log'!$A$5:$A$5000),"",MIN('Weekly Log'!$A$5:$A$5000)+7*(ROW()-10)))</f>
        <v/>
      </c>
    </row>
    <row r="230">
      <c r="A230">
        <f>IF($J230="","",YEAR($J230-WEEKDAY($J230,2)+4)&amp;"-W"&amp;TEXT(WEEKNUM($J230,21),"00"))</f>
        <v/>
      </c>
      <c r="B230">
        <f>IF($J230="","",SUMIFS('Weekly Log'!$C:$C,'Weekly Log'!$A:$A,"&gt;="&amp;$J230,'Weekly Log'!$A:$A,"&lt;"&amp;$J230+7))</f>
        <v/>
      </c>
      <c r="C230">
        <f>IF($J230="","",IFERROR(COUNTIFS('Weekly Log'!$G:$G,"Y",'Weekly Log'!$A:$A,"&gt;="&amp;$J230,'Weekly Log'!$A:$A,"&lt;"&amp;$J230+7)/COUNTIFS('Weekly Log'!$G:$G,"&lt;&gt;",'Weekly Log'!$A:$A,"&gt;="&amp;$J230,'Weekly Log'!$A:$A,"&lt;"&amp;$J230+7),0))</f>
        <v/>
      </c>
      <c r="D230">
        <f>IF($J230="","",IFERROR(COUNTIFS('Weekly Log'!$H:$H,"Y",'Weekly Log'!$A:$A,"&gt;="&amp;$J230,'Weekly Log'!$A:$A,"&lt;"&amp;$J230+7)/COUNTIFS('Weekly Log'!$H:$H,"&lt;&gt;",'Weekly Log'!$A:$A,"&gt;="&amp;$J230,'Weekly Log'!$A:$A,"&lt;"&amp;$J230+7),0))</f>
        <v/>
      </c>
      <c r="E230">
        <f>IF($J230="","",IFERROR(AVERAGEIFS('Weekly Log'!$F:$F,'Weekly Log'!$A:$A,"&gt;="&amp;$J230,'Weekly Log'!$A:$A,"&lt;"&amp;$J230+7),0))</f>
        <v/>
      </c>
      <c r="F230">
        <f>IF($J230="","",IFERROR(SUMIFS('Weekly Log'!$F:$F,'Weekly Log'!$A:$A,"&gt;="&amp;$J230,'Weekly Log'!$A:$A,"&lt;"&amp;$J230+7)/SUMIFS('Weekly Log'!$E:$E,'Weekly Log'!$A:$A,"&gt;="&amp;$J230,'Weekly Log'!$A:$A,"&lt;"&amp;$J230+7),0))</f>
        <v/>
      </c>
      <c r="G230">
        <f>IF($J230="","",IFERROR(LOOKUP(2,1/(('Weekly Log'!$A$5:$A$5000&gt;=$J230)*('Weekly Log'!$A$5:$A$5000&lt;$J230+7)*('Weekly Log'!$M$5:$M$5000&lt;&gt;"")),'Weekly Log'!$M$5:$M$5000),0))</f>
        <v/>
      </c>
      <c r="J230">
        <f>IF(COUNT('Weekly Log'!$A$5:$A$5000)=0,"",IF(MIN('Weekly Log'!$A$5:$A$5000)+7*(ROW()-10)&gt;MAX('Weekly Log'!$A$5:$A$5000),"",MIN('Weekly Log'!$A$5:$A$5000)+7*(ROW()-10)))</f>
        <v/>
      </c>
    </row>
    <row r="231">
      <c r="A231">
        <f>IF($J231="","",YEAR($J231-WEEKDAY($J231,2)+4)&amp;"-W"&amp;TEXT(WEEKNUM($J231,21),"00"))</f>
        <v/>
      </c>
      <c r="B231">
        <f>IF($J231="","",SUMIFS('Weekly Log'!$C:$C,'Weekly Log'!$A:$A,"&gt;="&amp;$J231,'Weekly Log'!$A:$A,"&lt;"&amp;$J231+7))</f>
        <v/>
      </c>
      <c r="C231">
        <f>IF($J231="","",IFERROR(COUNTIFS('Weekly Log'!$G:$G,"Y",'Weekly Log'!$A:$A,"&gt;="&amp;$J231,'Weekly Log'!$A:$A,"&lt;"&amp;$J231+7)/COUNTIFS('Weekly Log'!$G:$G,"&lt;&gt;",'Weekly Log'!$A:$A,"&gt;="&amp;$J231,'Weekly Log'!$A:$A,"&lt;"&amp;$J231+7),0))</f>
        <v/>
      </c>
      <c r="D231">
        <f>IF($J231="","",IFERROR(COUNTIFS('Weekly Log'!$H:$H,"Y",'Weekly Log'!$A:$A,"&gt;="&amp;$J231,'Weekly Log'!$A:$A,"&lt;"&amp;$J231+7)/COUNTIFS('Weekly Log'!$H:$H,"&lt;&gt;",'Weekly Log'!$A:$A,"&gt;="&amp;$J231,'Weekly Log'!$A:$A,"&lt;"&amp;$J231+7),0))</f>
        <v/>
      </c>
      <c r="E231">
        <f>IF($J231="","",IFERROR(AVERAGEIFS('Weekly Log'!$F:$F,'Weekly Log'!$A:$A,"&gt;="&amp;$J231,'Weekly Log'!$A:$A,"&lt;"&amp;$J231+7),0))</f>
        <v/>
      </c>
      <c r="F231">
        <f>IF($J231="","",IFERROR(SUMIFS('Weekly Log'!$F:$F,'Weekly Log'!$A:$A,"&gt;="&amp;$J231,'Weekly Log'!$A:$A,"&lt;"&amp;$J231+7)/SUMIFS('Weekly Log'!$E:$E,'Weekly Log'!$A:$A,"&gt;="&amp;$J231,'Weekly Log'!$A:$A,"&lt;"&amp;$J231+7),0))</f>
        <v/>
      </c>
      <c r="G231">
        <f>IF($J231="","",IFERROR(LOOKUP(2,1/(('Weekly Log'!$A$5:$A$5000&gt;=$J231)*('Weekly Log'!$A$5:$A$5000&lt;$J231+7)*('Weekly Log'!$M$5:$M$5000&lt;&gt;"")),'Weekly Log'!$M$5:$M$5000),0))</f>
        <v/>
      </c>
      <c r="J231">
        <f>IF(COUNT('Weekly Log'!$A$5:$A$5000)=0,"",IF(MIN('Weekly Log'!$A$5:$A$5000)+7*(ROW()-10)&gt;MAX('Weekly Log'!$A$5:$A$5000),"",MIN('Weekly Log'!$A$5:$A$5000)+7*(ROW()-10)))</f>
        <v/>
      </c>
    </row>
    <row r="232">
      <c r="A232">
        <f>IF($J232="","",YEAR($J232-WEEKDAY($J232,2)+4)&amp;"-W"&amp;TEXT(WEEKNUM($J232,21),"00"))</f>
        <v/>
      </c>
      <c r="B232">
        <f>IF($J232="","",SUMIFS('Weekly Log'!$C:$C,'Weekly Log'!$A:$A,"&gt;="&amp;$J232,'Weekly Log'!$A:$A,"&lt;"&amp;$J232+7))</f>
        <v/>
      </c>
      <c r="C232">
        <f>IF($J232="","",IFERROR(COUNTIFS('Weekly Log'!$G:$G,"Y",'Weekly Log'!$A:$A,"&gt;="&amp;$J232,'Weekly Log'!$A:$A,"&lt;"&amp;$J232+7)/COUNTIFS('Weekly Log'!$G:$G,"&lt;&gt;",'Weekly Log'!$A:$A,"&gt;="&amp;$J232,'Weekly Log'!$A:$A,"&lt;"&amp;$J232+7),0))</f>
        <v/>
      </c>
      <c r="D232">
        <f>IF($J232="","",IFERROR(COUNTIFS('Weekly Log'!$H:$H,"Y",'Weekly Log'!$A:$A,"&gt;="&amp;$J232,'Weekly Log'!$A:$A,"&lt;"&amp;$J232+7)/COUNTIFS('Weekly Log'!$H:$H,"&lt;&gt;",'Weekly Log'!$A:$A,"&gt;="&amp;$J232,'Weekly Log'!$A:$A,"&lt;"&amp;$J232+7),0))</f>
        <v/>
      </c>
      <c r="E232">
        <f>IF($J232="","",IFERROR(AVERAGEIFS('Weekly Log'!$F:$F,'Weekly Log'!$A:$A,"&gt;="&amp;$J232,'Weekly Log'!$A:$A,"&lt;"&amp;$J232+7),0))</f>
        <v/>
      </c>
      <c r="F232">
        <f>IF($J232="","",IFERROR(SUMIFS('Weekly Log'!$F:$F,'Weekly Log'!$A:$A,"&gt;="&amp;$J232,'Weekly Log'!$A:$A,"&lt;"&amp;$J232+7)/SUMIFS('Weekly Log'!$E:$E,'Weekly Log'!$A:$A,"&gt;="&amp;$J232,'Weekly Log'!$A:$A,"&lt;"&amp;$J232+7),0))</f>
        <v/>
      </c>
      <c r="G232">
        <f>IF($J232="","",IFERROR(LOOKUP(2,1/(('Weekly Log'!$A$5:$A$5000&gt;=$J232)*('Weekly Log'!$A$5:$A$5000&lt;$J232+7)*('Weekly Log'!$M$5:$M$5000&lt;&gt;"")),'Weekly Log'!$M$5:$M$5000),0))</f>
        <v/>
      </c>
      <c r="J232">
        <f>IF(COUNT('Weekly Log'!$A$5:$A$5000)=0,"",IF(MIN('Weekly Log'!$A$5:$A$5000)+7*(ROW()-10)&gt;MAX('Weekly Log'!$A$5:$A$5000),"",MIN('Weekly Log'!$A$5:$A$5000)+7*(ROW()-10)))</f>
        <v/>
      </c>
    </row>
    <row r="233">
      <c r="A233">
        <f>IF($J233="","",YEAR($J233-WEEKDAY($J233,2)+4)&amp;"-W"&amp;TEXT(WEEKNUM($J233,21),"00"))</f>
        <v/>
      </c>
      <c r="B233">
        <f>IF($J233="","",SUMIFS('Weekly Log'!$C:$C,'Weekly Log'!$A:$A,"&gt;="&amp;$J233,'Weekly Log'!$A:$A,"&lt;"&amp;$J233+7))</f>
        <v/>
      </c>
      <c r="C233">
        <f>IF($J233="","",IFERROR(COUNTIFS('Weekly Log'!$G:$G,"Y",'Weekly Log'!$A:$A,"&gt;="&amp;$J233,'Weekly Log'!$A:$A,"&lt;"&amp;$J233+7)/COUNTIFS('Weekly Log'!$G:$G,"&lt;&gt;",'Weekly Log'!$A:$A,"&gt;="&amp;$J233,'Weekly Log'!$A:$A,"&lt;"&amp;$J233+7),0))</f>
        <v/>
      </c>
      <c r="D233">
        <f>IF($J233="","",IFERROR(COUNTIFS('Weekly Log'!$H:$H,"Y",'Weekly Log'!$A:$A,"&gt;="&amp;$J233,'Weekly Log'!$A:$A,"&lt;"&amp;$J233+7)/COUNTIFS('Weekly Log'!$H:$H,"&lt;&gt;",'Weekly Log'!$A:$A,"&gt;="&amp;$J233,'Weekly Log'!$A:$A,"&lt;"&amp;$J233+7),0))</f>
        <v/>
      </c>
      <c r="E233">
        <f>IF($J233="","",IFERROR(AVERAGEIFS('Weekly Log'!$F:$F,'Weekly Log'!$A:$A,"&gt;="&amp;$J233,'Weekly Log'!$A:$A,"&lt;"&amp;$J233+7),0))</f>
        <v/>
      </c>
      <c r="F233">
        <f>IF($J233="","",IFERROR(SUMIFS('Weekly Log'!$F:$F,'Weekly Log'!$A:$A,"&gt;="&amp;$J233,'Weekly Log'!$A:$A,"&lt;"&amp;$J233+7)/SUMIFS('Weekly Log'!$E:$E,'Weekly Log'!$A:$A,"&gt;="&amp;$J233,'Weekly Log'!$A:$A,"&lt;"&amp;$J233+7),0))</f>
        <v/>
      </c>
      <c r="G233">
        <f>IF($J233="","",IFERROR(LOOKUP(2,1/(('Weekly Log'!$A$5:$A$5000&gt;=$J233)*('Weekly Log'!$A$5:$A$5000&lt;$J233+7)*('Weekly Log'!$M$5:$M$5000&lt;&gt;"")),'Weekly Log'!$M$5:$M$5000),0))</f>
        <v/>
      </c>
      <c r="J233">
        <f>IF(COUNT('Weekly Log'!$A$5:$A$5000)=0,"",IF(MIN('Weekly Log'!$A$5:$A$5000)+7*(ROW()-10)&gt;MAX('Weekly Log'!$A$5:$A$5000),"",MIN('Weekly Log'!$A$5:$A$5000)+7*(ROW()-10)))</f>
        <v/>
      </c>
    </row>
    <row r="234">
      <c r="A234">
        <f>IF($J234="","",YEAR($J234-WEEKDAY($J234,2)+4)&amp;"-W"&amp;TEXT(WEEKNUM($J234,21),"00"))</f>
        <v/>
      </c>
      <c r="B234">
        <f>IF($J234="","",SUMIFS('Weekly Log'!$C:$C,'Weekly Log'!$A:$A,"&gt;="&amp;$J234,'Weekly Log'!$A:$A,"&lt;"&amp;$J234+7))</f>
        <v/>
      </c>
      <c r="C234">
        <f>IF($J234="","",IFERROR(COUNTIFS('Weekly Log'!$G:$G,"Y",'Weekly Log'!$A:$A,"&gt;="&amp;$J234,'Weekly Log'!$A:$A,"&lt;"&amp;$J234+7)/COUNTIFS('Weekly Log'!$G:$G,"&lt;&gt;",'Weekly Log'!$A:$A,"&gt;="&amp;$J234,'Weekly Log'!$A:$A,"&lt;"&amp;$J234+7),0))</f>
        <v/>
      </c>
      <c r="D234">
        <f>IF($J234="","",IFERROR(COUNTIFS('Weekly Log'!$H:$H,"Y",'Weekly Log'!$A:$A,"&gt;="&amp;$J234,'Weekly Log'!$A:$A,"&lt;"&amp;$J234+7)/COUNTIFS('Weekly Log'!$H:$H,"&lt;&gt;",'Weekly Log'!$A:$A,"&gt;="&amp;$J234,'Weekly Log'!$A:$A,"&lt;"&amp;$J234+7),0))</f>
        <v/>
      </c>
      <c r="E234">
        <f>IF($J234="","",IFERROR(AVERAGEIFS('Weekly Log'!$F:$F,'Weekly Log'!$A:$A,"&gt;="&amp;$J234,'Weekly Log'!$A:$A,"&lt;"&amp;$J234+7),0))</f>
        <v/>
      </c>
      <c r="F234">
        <f>IF($J234="","",IFERROR(SUMIFS('Weekly Log'!$F:$F,'Weekly Log'!$A:$A,"&gt;="&amp;$J234,'Weekly Log'!$A:$A,"&lt;"&amp;$J234+7)/SUMIFS('Weekly Log'!$E:$E,'Weekly Log'!$A:$A,"&gt;="&amp;$J234,'Weekly Log'!$A:$A,"&lt;"&amp;$J234+7),0))</f>
        <v/>
      </c>
      <c r="G234">
        <f>IF($J234="","",IFERROR(LOOKUP(2,1/(('Weekly Log'!$A$5:$A$5000&gt;=$J234)*('Weekly Log'!$A$5:$A$5000&lt;$J234+7)*('Weekly Log'!$M$5:$M$5000&lt;&gt;"")),'Weekly Log'!$M$5:$M$5000),0))</f>
        <v/>
      </c>
      <c r="J234">
        <f>IF(COUNT('Weekly Log'!$A$5:$A$5000)=0,"",IF(MIN('Weekly Log'!$A$5:$A$5000)+7*(ROW()-10)&gt;MAX('Weekly Log'!$A$5:$A$5000),"",MIN('Weekly Log'!$A$5:$A$5000)+7*(ROW()-10)))</f>
        <v/>
      </c>
    </row>
    <row r="235">
      <c r="A235">
        <f>IF($J235="","",YEAR($J235-WEEKDAY($J235,2)+4)&amp;"-W"&amp;TEXT(WEEKNUM($J235,21),"00"))</f>
        <v/>
      </c>
      <c r="B235">
        <f>IF($J235="","",SUMIFS('Weekly Log'!$C:$C,'Weekly Log'!$A:$A,"&gt;="&amp;$J235,'Weekly Log'!$A:$A,"&lt;"&amp;$J235+7))</f>
        <v/>
      </c>
      <c r="C235">
        <f>IF($J235="","",IFERROR(COUNTIFS('Weekly Log'!$G:$G,"Y",'Weekly Log'!$A:$A,"&gt;="&amp;$J235,'Weekly Log'!$A:$A,"&lt;"&amp;$J235+7)/COUNTIFS('Weekly Log'!$G:$G,"&lt;&gt;",'Weekly Log'!$A:$A,"&gt;="&amp;$J235,'Weekly Log'!$A:$A,"&lt;"&amp;$J235+7),0))</f>
        <v/>
      </c>
      <c r="D235">
        <f>IF($J235="","",IFERROR(COUNTIFS('Weekly Log'!$H:$H,"Y",'Weekly Log'!$A:$A,"&gt;="&amp;$J235,'Weekly Log'!$A:$A,"&lt;"&amp;$J235+7)/COUNTIFS('Weekly Log'!$H:$H,"&lt;&gt;",'Weekly Log'!$A:$A,"&gt;="&amp;$J235,'Weekly Log'!$A:$A,"&lt;"&amp;$J235+7),0))</f>
        <v/>
      </c>
      <c r="E235">
        <f>IF($J235="","",IFERROR(AVERAGEIFS('Weekly Log'!$F:$F,'Weekly Log'!$A:$A,"&gt;="&amp;$J235,'Weekly Log'!$A:$A,"&lt;"&amp;$J235+7),0))</f>
        <v/>
      </c>
      <c r="F235">
        <f>IF($J235="","",IFERROR(SUMIFS('Weekly Log'!$F:$F,'Weekly Log'!$A:$A,"&gt;="&amp;$J235,'Weekly Log'!$A:$A,"&lt;"&amp;$J235+7)/SUMIFS('Weekly Log'!$E:$E,'Weekly Log'!$A:$A,"&gt;="&amp;$J235,'Weekly Log'!$A:$A,"&lt;"&amp;$J235+7),0))</f>
        <v/>
      </c>
      <c r="G235">
        <f>IF($J235="","",IFERROR(LOOKUP(2,1/(('Weekly Log'!$A$5:$A$5000&gt;=$J235)*('Weekly Log'!$A$5:$A$5000&lt;$J235+7)*('Weekly Log'!$M$5:$M$5000&lt;&gt;"")),'Weekly Log'!$M$5:$M$5000),0))</f>
        <v/>
      </c>
      <c r="J235">
        <f>IF(COUNT('Weekly Log'!$A$5:$A$5000)=0,"",IF(MIN('Weekly Log'!$A$5:$A$5000)+7*(ROW()-10)&gt;MAX('Weekly Log'!$A$5:$A$5000),"",MIN('Weekly Log'!$A$5:$A$5000)+7*(ROW()-10)))</f>
        <v/>
      </c>
    </row>
    <row r="236">
      <c r="A236">
        <f>IF($J236="","",YEAR($J236-WEEKDAY($J236,2)+4)&amp;"-W"&amp;TEXT(WEEKNUM($J236,21),"00"))</f>
        <v/>
      </c>
      <c r="B236">
        <f>IF($J236="","",SUMIFS('Weekly Log'!$C:$C,'Weekly Log'!$A:$A,"&gt;="&amp;$J236,'Weekly Log'!$A:$A,"&lt;"&amp;$J236+7))</f>
        <v/>
      </c>
      <c r="C236">
        <f>IF($J236="","",IFERROR(COUNTIFS('Weekly Log'!$G:$G,"Y",'Weekly Log'!$A:$A,"&gt;="&amp;$J236,'Weekly Log'!$A:$A,"&lt;"&amp;$J236+7)/COUNTIFS('Weekly Log'!$G:$G,"&lt;&gt;",'Weekly Log'!$A:$A,"&gt;="&amp;$J236,'Weekly Log'!$A:$A,"&lt;"&amp;$J236+7),0))</f>
        <v/>
      </c>
      <c r="D236">
        <f>IF($J236="","",IFERROR(COUNTIFS('Weekly Log'!$H:$H,"Y",'Weekly Log'!$A:$A,"&gt;="&amp;$J236,'Weekly Log'!$A:$A,"&lt;"&amp;$J236+7)/COUNTIFS('Weekly Log'!$H:$H,"&lt;&gt;",'Weekly Log'!$A:$A,"&gt;="&amp;$J236,'Weekly Log'!$A:$A,"&lt;"&amp;$J236+7),0))</f>
        <v/>
      </c>
      <c r="E236">
        <f>IF($J236="","",IFERROR(AVERAGEIFS('Weekly Log'!$F:$F,'Weekly Log'!$A:$A,"&gt;="&amp;$J236,'Weekly Log'!$A:$A,"&lt;"&amp;$J236+7),0))</f>
        <v/>
      </c>
      <c r="F236">
        <f>IF($J236="","",IFERROR(SUMIFS('Weekly Log'!$F:$F,'Weekly Log'!$A:$A,"&gt;="&amp;$J236,'Weekly Log'!$A:$A,"&lt;"&amp;$J236+7)/SUMIFS('Weekly Log'!$E:$E,'Weekly Log'!$A:$A,"&gt;="&amp;$J236,'Weekly Log'!$A:$A,"&lt;"&amp;$J236+7),0))</f>
        <v/>
      </c>
      <c r="G236">
        <f>IF($J236="","",IFERROR(LOOKUP(2,1/(('Weekly Log'!$A$5:$A$5000&gt;=$J236)*('Weekly Log'!$A$5:$A$5000&lt;$J236+7)*('Weekly Log'!$M$5:$M$5000&lt;&gt;"")),'Weekly Log'!$M$5:$M$5000),0))</f>
        <v/>
      </c>
      <c r="J236">
        <f>IF(COUNT('Weekly Log'!$A$5:$A$5000)=0,"",IF(MIN('Weekly Log'!$A$5:$A$5000)+7*(ROW()-10)&gt;MAX('Weekly Log'!$A$5:$A$5000),"",MIN('Weekly Log'!$A$5:$A$5000)+7*(ROW()-10)))</f>
        <v/>
      </c>
    </row>
    <row r="237">
      <c r="A237">
        <f>IF($J237="","",YEAR($J237-WEEKDAY($J237,2)+4)&amp;"-W"&amp;TEXT(WEEKNUM($J237,21),"00"))</f>
        <v/>
      </c>
      <c r="B237">
        <f>IF($J237="","",SUMIFS('Weekly Log'!$C:$C,'Weekly Log'!$A:$A,"&gt;="&amp;$J237,'Weekly Log'!$A:$A,"&lt;"&amp;$J237+7))</f>
        <v/>
      </c>
      <c r="C237">
        <f>IF($J237="","",IFERROR(COUNTIFS('Weekly Log'!$G:$G,"Y",'Weekly Log'!$A:$A,"&gt;="&amp;$J237,'Weekly Log'!$A:$A,"&lt;"&amp;$J237+7)/COUNTIFS('Weekly Log'!$G:$G,"&lt;&gt;",'Weekly Log'!$A:$A,"&gt;="&amp;$J237,'Weekly Log'!$A:$A,"&lt;"&amp;$J237+7),0))</f>
        <v/>
      </c>
      <c r="D237">
        <f>IF($J237="","",IFERROR(COUNTIFS('Weekly Log'!$H:$H,"Y",'Weekly Log'!$A:$A,"&gt;="&amp;$J237,'Weekly Log'!$A:$A,"&lt;"&amp;$J237+7)/COUNTIFS('Weekly Log'!$H:$H,"&lt;&gt;",'Weekly Log'!$A:$A,"&gt;="&amp;$J237,'Weekly Log'!$A:$A,"&lt;"&amp;$J237+7),0))</f>
        <v/>
      </c>
      <c r="E237">
        <f>IF($J237="","",IFERROR(AVERAGEIFS('Weekly Log'!$F:$F,'Weekly Log'!$A:$A,"&gt;="&amp;$J237,'Weekly Log'!$A:$A,"&lt;"&amp;$J237+7),0))</f>
        <v/>
      </c>
      <c r="F237">
        <f>IF($J237="","",IFERROR(SUMIFS('Weekly Log'!$F:$F,'Weekly Log'!$A:$A,"&gt;="&amp;$J237,'Weekly Log'!$A:$A,"&lt;"&amp;$J237+7)/SUMIFS('Weekly Log'!$E:$E,'Weekly Log'!$A:$A,"&gt;="&amp;$J237,'Weekly Log'!$A:$A,"&lt;"&amp;$J237+7),0))</f>
        <v/>
      </c>
      <c r="G237">
        <f>IF($J237="","",IFERROR(LOOKUP(2,1/(('Weekly Log'!$A$5:$A$5000&gt;=$J237)*('Weekly Log'!$A$5:$A$5000&lt;$J237+7)*('Weekly Log'!$M$5:$M$5000&lt;&gt;"")),'Weekly Log'!$M$5:$M$5000),0))</f>
        <v/>
      </c>
      <c r="J237">
        <f>IF(COUNT('Weekly Log'!$A$5:$A$5000)=0,"",IF(MIN('Weekly Log'!$A$5:$A$5000)+7*(ROW()-10)&gt;MAX('Weekly Log'!$A$5:$A$5000),"",MIN('Weekly Log'!$A$5:$A$5000)+7*(ROW()-10)))</f>
        <v/>
      </c>
    </row>
    <row r="238">
      <c r="A238">
        <f>IF($J238="","",YEAR($J238-WEEKDAY($J238,2)+4)&amp;"-W"&amp;TEXT(WEEKNUM($J238,21),"00"))</f>
        <v/>
      </c>
      <c r="B238">
        <f>IF($J238="","",SUMIFS('Weekly Log'!$C:$C,'Weekly Log'!$A:$A,"&gt;="&amp;$J238,'Weekly Log'!$A:$A,"&lt;"&amp;$J238+7))</f>
        <v/>
      </c>
      <c r="C238">
        <f>IF($J238="","",IFERROR(COUNTIFS('Weekly Log'!$G:$G,"Y",'Weekly Log'!$A:$A,"&gt;="&amp;$J238,'Weekly Log'!$A:$A,"&lt;"&amp;$J238+7)/COUNTIFS('Weekly Log'!$G:$G,"&lt;&gt;",'Weekly Log'!$A:$A,"&gt;="&amp;$J238,'Weekly Log'!$A:$A,"&lt;"&amp;$J238+7),0))</f>
        <v/>
      </c>
      <c r="D238">
        <f>IF($J238="","",IFERROR(COUNTIFS('Weekly Log'!$H:$H,"Y",'Weekly Log'!$A:$A,"&gt;="&amp;$J238,'Weekly Log'!$A:$A,"&lt;"&amp;$J238+7)/COUNTIFS('Weekly Log'!$H:$H,"&lt;&gt;",'Weekly Log'!$A:$A,"&gt;="&amp;$J238,'Weekly Log'!$A:$A,"&lt;"&amp;$J238+7),0))</f>
        <v/>
      </c>
      <c r="E238">
        <f>IF($J238="","",IFERROR(AVERAGEIFS('Weekly Log'!$F:$F,'Weekly Log'!$A:$A,"&gt;="&amp;$J238,'Weekly Log'!$A:$A,"&lt;"&amp;$J238+7),0))</f>
        <v/>
      </c>
      <c r="F238">
        <f>IF($J238="","",IFERROR(SUMIFS('Weekly Log'!$F:$F,'Weekly Log'!$A:$A,"&gt;="&amp;$J238,'Weekly Log'!$A:$A,"&lt;"&amp;$J238+7)/SUMIFS('Weekly Log'!$E:$E,'Weekly Log'!$A:$A,"&gt;="&amp;$J238,'Weekly Log'!$A:$A,"&lt;"&amp;$J238+7),0))</f>
        <v/>
      </c>
      <c r="G238">
        <f>IF($J238="","",IFERROR(LOOKUP(2,1/(('Weekly Log'!$A$5:$A$5000&gt;=$J238)*('Weekly Log'!$A$5:$A$5000&lt;$J238+7)*('Weekly Log'!$M$5:$M$5000&lt;&gt;"")),'Weekly Log'!$M$5:$M$5000),0))</f>
        <v/>
      </c>
      <c r="J238">
        <f>IF(COUNT('Weekly Log'!$A$5:$A$5000)=0,"",IF(MIN('Weekly Log'!$A$5:$A$5000)+7*(ROW()-10)&gt;MAX('Weekly Log'!$A$5:$A$5000),"",MIN('Weekly Log'!$A$5:$A$5000)+7*(ROW()-10)))</f>
        <v/>
      </c>
    </row>
    <row r="239">
      <c r="A239">
        <f>IF($J239="","",YEAR($J239-WEEKDAY($J239,2)+4)&amp;"-W"&amp;TEXT(WEEKNUM($J239,21),"00"))</f>
        <v/>
      </c>
      <c r="B239">
        <f>IF($J239="","",SUMIFS('Weekly Log'!$C:$C,'Weekly Log'!$A:$A,"&gt;="&amp;$J239,'Weekly Log'!$A:$A,"&lt;"&amp;$J239+7))</f>
        <v/>
      </c>
      <c r="C239">
        <f>IF($J239="","",IFERROR(COUNTIFS('Weekly Log'!$G:$G,"Y",'Weekly Log'!$A:$A,"&gt;="&amp;$J239,'Weekly Log'!$A:$A,"&lt;"&amp;$J239+7)/COUNTIFS('Weekly Log'!$G:$G,"&lt;&gt;",'Weekly Log'!$A:$A,"&gt;="&amp;$J239,'Weekly Log'!$A:$A,"&lt;"&amp;$J239+7),0))</f>
        <v/>
      </c>
      <c r="D239">
        <f>IF($J239="","",IFERROR(COUNTIFS('Weekly Log'!$H:$H,"Y",'Weekly Log'!$A:$A,"&gt;="&amp;$J239,'Weekly Log'!$A:$A,"&lt;"&amp;$J239+7)/COUNTIFS('Weekly Log'!$H:$H,"&lt;&gt;",'Weekly Log'!$A:$A,"&gt;="&amp;$J239,'Weekly Log'!$A:$A,"&lt;"&amp;$J239+7),0))</f>
        <v/>
      </c>
      <c r="E239">
        <f>IF($J239="","",IFERROR(AVERAGEIFS('Weekly Log'!$F:$F,'Weekly Log'!$A:$A,"&gt;="&amp;$J239,'Weekly Log'!$A:$A,"&lt;"&amp;$J239+7),0))</f>
        <v/>
      </c>
      <c r="F239">
        <f>IF($J239="","",IFERROR(SUMIFS('Weekly Log'!$F:$F,'Weekly Log'!$A:$A,"&gt;="&amp;$J239,'Weekly Log'!$A:$A,"&lt;"&amp;$J239+7)/SUMIFS('Weekly Log'!$E:$E,'Weekly Log'!$A:$A,"&gt;="&amp;$J239,'Weekly Log'!$A:$A,"&lt;"&amp;$J239+7),0))</f>
        <v/>
      </c>
      <c r="G239">
        <f>IF($J239="","",IFERROR(LOOKUP(2,1/(('Weekly Log'!$A$5:$A$5000&gt;=$J239)*('Weekly Log'!$A$5:$A$5000&lt;$J239+7)*('Weekly Log'!$M$5:$M$5000&lt;&gt;"")),'Weekly Log'!$M$5:$M$5000),0))</f>
        <v/>
      </c>
      <c r="J239">
        <f>IF(COUNT('Weekly Log'!$A$5:$A$5000)=0,"",IF(MIN('Weekly Log'!$A$5:$A$5000)+7*(ROW()-10)&gt;MAX('Weekly Log'!$A$5:$A$5000),"",MIN('Weekly Log'!$A$5:$A$5000)+7*(ROW()-10)))</f>
        <v/>
      </c>
    </row>
    <row r="240">
      <c r="A240">
        <f>IF($J240="","",YEAR($J240-WEEKDAY($J240,2)+4)&amp;"-W"&amp;TEXT(WEEKNUM($J240,21),"00"))</f>
        <v/>
      </c>
      <c r="B240">
        <f>IF($J240="","",SUMIFS('Weekly Log'!$C:$C,'Weekly Log'!$A:$A,"&gt;="&amp;$J240,'Weekly Log'!$A:$A,"&lt;"&amp;$J240+7))</f>
        <v/>
      </c>
      <c r="C240">
        <f>IF($J240="","",IFERROR(COUNTIFS('Weekly Log'!$G:$G,"Y",'Weekly Log'!$A:$A,"&gt;="&amp;$J240,'Weekly Log'!$A:$A,"&lt;"&amp;$J240+7)/COUNTIFS('Weekly Log'!$G:$G,"&lt;&gt;",'Weekly Log'!$A:$A,"&gt;="&amp;$J240,'Weekly Log'!$A:$A,"&lt;"&amp;$J240+7),0))</f>
        <v/>
      </c>
      <c r="D240">
        <f>IF($J240="","",IFERROR(COUNTIFS('Weekly Log'!$H:$H,"Y",'Weekly Log'!$A:$A,"&gt;="&amp;$J240,'Weekly Log'!$A:$A,"&lt;"&amp;$J240+7)/COUNTIFS('Weekly Log'!$H:$H,"&lt;&gt;",'Weekly Log'!$A:$A,"&gt;="&amp;$J240,'Weekly Log'!$A:$A,"&lt;"&amp;$J240+7),0))</f>
        <v/>
      </c>
      <c r="E240">
        <f>IF($J240="","",IFERROR(AVERAGEIFS('Weekly Log'!$F:$F,'Weekly Log'!$A:$A,"&gt;="&amp;$J240,'Weekly Log'!$A:$A,"&lt;"&amp;$J240+7),0))</f>
        <v/>
      </c>
      <c r="F240">
        <f>IF($J240="","",IFERROR(SUMIFS('Weekly Log'!$F:$F,'Weekly Log'!$A:$A,"&gt;="&amp;$J240,'Weekly Log'!$A:$A,"&lt;"&amp;$J240+7)/SUMIFS('Weekly Log'!$E:$E,'Weekly Log'!$A:$A,"&gt;="&amp;$J240,'Weekly Log'!$A:$A,"&lt;"&amp;$J240+7),0))</f>
        <v/>
      </c>
      <c r="G240">
        <f>IF($J240="","",IFERROR(LOOKUP(2,1/(('Weekly Log'!$A$5:$A$5000&gt;=$J240)*('Weekly Log'!$A$5:$A$5000&lt;$J240+7)*('Weekly Log'!$M$5:$M$5000&lt;&gt;"")),'Weekly Log'!$M$5:$M$5000),0))</f>
        <v/>
      </c>
      <c r="J240">
        <f>IF(COUNT('Weekly Log'!$A$5:$A$5000)=0,"",IF(MIN('Weekly Log'!$A$5:$A$5000)+7*(ROW()-10)&gt;MAX('Weekly Log'!$A$5:$A$5000),"",MIN('Weekly Log'!$A$5:$A$5000)+7*(ROW()-10)))</f>
        <v/>
      </c>
    </row>
    <row r="241">
      <c r="A241">
        <f>IF($J241="","",YEAR($J241-WEEKDAY($J241,2)+4)&amp;"-W"&amp;TEXT(WEEKNUM($J241,21),"00"))</f>
        <v/>
      </c>
      <c r="B241">
        <f>IF($J241="","",SUMIFS('Weekly Log'!$C:$C,'Weekly Log'!$A:$A,"&gt;="&amp;$J241,'Weekly Log'!$A:$A,"&lt;"&amp;$J241+7))</f>
        <v/>
      </c>
      <c r="C241">
        <f>IF($J241="","",IFERROR(COUNTIFS('Weekly Log'!$G:$G,"Y",'Weekly Log'!$A:$A,"&gt;="&amp;$J241,'Weekly Log'!$A:$A,"&lt;"&amp;$J241+7)/COUNTIFS('Weekly Log'!$G:$G,"&lt;&gt;",'Weekly Log'!$A:$A,"&gt;="&amp;$J241,'Weekly Log'!$A:$A,"&lt;"&amp;$J241+7),0))</f>
        <v/>
      </c>
      <c r="D241">
        <f>IF($J241="","",IFERROR(COUNTIFS('Weekly Log'!$H:$H,"Y",'Weekly Log'!$A:$A,"&gt;="&amp;$J241,'Weekly Log'!$A:$A,"&lt;"&amp;$J241+7)/COUNTIFS('Weekly Log'!$H:$H,"&lt;&gt;",'Weekly Log'!$A:$A,"&gt;="&amp;$J241,'Weekly Log'!$A:$A,"&lt;"&amp;$J241+7),0))</f>
        <v/>
      </c>
      <c r="E241">
        <f>IF($J241="","",IFERROR(AVERAGEIFS('Weekly Log'!$F:$F,'Weekly Log'!$A:$A,"&gt;="&amp;$J241,'Weekly Log'!$A:$A,"&lt;"&amp;$J241+7),0))</f>
        <v/>
      </c>
      <c r="F241">
        <f>IF($J241="","",IFERROR(SUMIFS('Weekly Log'!$F:$F,'Weekly Log'!$A:$A,"&gt;="&amp;$J241,'Weekly Log'!$A:$A,"&lt;"&amp;$J241+7)/SUMIFS('Weekly Log'!$E:$E,'Weekly Log'!$A:$A,"&gt;="&amp;$J241,'Weekly Log'!$A:$A,"&lt;"&amp;$J241+7),0))</f>
        <v/>
      </c>
      <c r="G241">
        <f>IF($J241="","",IFERROR(LOOKUP(2,1/(('Weekly Log'!$A$5:$A$5000&gt;=$J241)*('Weekly Log'!$A$5:$A$5000&lt;$J241+7)*('Weekly Log'!$M$5:$M$5000&lt;&gt;"")),'Weekly Log'!$M$5:$M$5000),0))</f>
        <v/>
      </c>
      <c r="J241">
        <f>IF(COUNT('Weekly Log'!$A$5:$A$5000)=0,"",IF(MIN('Weekly Log'!$A$5:$A$5000)+7*(ROW()-10)&gt;MAX('Weekly Log'!$A$5:$A$5000),"",MIN('Weekly Log'!$A$5:$A$5000)+7*(ROW()-10)))</f>
        <v/>
      </c>
    </row>
    <row r="242">
      <c r="A242">
        <f>IF($J242="","",YEAR($J242-WEEKDAY($J242,2)+4)&amp;"-W"&amp;TEXT(WEEKNUM($J242,21),"00"))</f>
        <v/>
      </c>
      <c r="B242">
        <f>IF($J242="","",SUMIFS('Weekly Log'!$C:$C,'Weekly Log'!$A:$A,"&gt;="&amp;$J242,'Weekly Log'!$A:$A,"&lt;"&amp;$J242+7))</f>
        <v/>
      </c>
      <c r="C242">
        <f>IF($J242="","",IFERROR(COUNTIFS('Weekly Log'!$G:$G,"Y",'Weekly Log'!$A:$A,"&gt;="&amp;$J242,'Weekly Log'!$A:$A,"&lt;"&amp;$J242+7)/COUNTIFS('Weekly Log'!$G:$G,"&lt;&gt;",'Weekly Log'!$A:$A,"&gt;="&amp;$J242,'Weekly Log'!$A:$A,"&lt;"&amp;$J242+7),0))</f>
        <v/>
      </c>
      <c r="D242">
        <f>IF($J242="","",IFERROR(COUNTIFS('Weekly Log'!$H:$H,"Y",'Weekly Log'!$A:$A,"&gt;="&amp;$J242,'Weekly Log'!$A:$A,"&lt;"&amp;$J242+7)/COUNTIFS('Weekly Log'!$H:$H,"&lt;&gt;",'Weekly Log'!$A:$A,"&gt;="&amp;$J242,'Weekly Log'!$A:$A,"&lt;"&amp;$J242+7),0))</f>
        <v/>
      </c>
      <c r="E242">
        <f>IF($J242="","",IFERROR(AVERAGEIFS('Weekly Log'!$F:$F,'Weekly Log'!$A:$A,"&gt;="&amp;$J242,'Weekly Log'!$A:$A,"&lt;"&amp;$J242+7),0))</f>
        <v/>
      </c>
      <c r="F242">
        <f>IF($J242="","",IFERROR(SUMIFS('Weekly Log'!$F:$F,'Weekly Log'!$A:$A,"&gt;="&amp;$J242,'Weekly Log'!$A:$A,"&lt;"&amp;$J242+7)/SUMIFS('Weekly Log'!$E:$E,'Weekly Log'!$A:$A,"&gt;="&amp;$J242,'Weekly Log'!$A:$A,"&lt;"&amp;$J242+7),0))</f>
        <v/>
      </c>
      <c r="G242">
        <f>IF($J242="","",IFERROR(LOOKUP(2,1/(('Weekly Log'!$A$5:$A$5000&gt;=$J242)*('Weekly Log'!$A$5:$A$5000&lt;$J242+7)*('Weekly Log'!$M$5:$M$5000&lt;&gt;"")),'Weekly Log'!$M$5:$M$5000),0))</f>
        <v/>
      </c>
      <c r="J242">
        <f>IF(COUNT('Weekly Log'!$A$5:$A$5000)=0,"",IF(MIN('Weekly Log'!$A$5:$A$5000)+7*(ROW()-10)&gt;MAX('Weekly Log'!$A$5:$A$5000),"",MIN('Weekly Log'!$A$5:$A$5000)+7*(ROW()-10)))</f>
        <v/>
      </c>
    </row>
    <row r="243">
      <c r="A243">
        <f>IF($J243="","",YEAR($J243-WEEKDAY($J243,2)+4)&amp;"-W"&amp;TEXT(WEEKNUM($J243,21),"00"))</f>
        <v/>
      </c>
      <c r="B243">
        <f>IF($J243="","",SUMIFS('Weekly Log'!$C:$C,'Weekly Log'!$A:$A,"&gt;="&amp;$J243,'Weekly Log'!$A:$A,"&lt;"&amp;$J243+7))</f>
        <v/>
      </c>
      <c r="C243">
        <f>IF($J243="","",IFERROR(COUNTIFS('Weekly Log'!$G:$G,"Y",'Weekly Log'!$A:$A,"&gt;="&amp;$J243,'Weekly Log'!$A:$A,"&lt;"&amp;$J243+7)/COUNTIFS('Weekly Log'!$G:$G,"&lt;&gt;",'Weekly Log'!$A:$A,"&gt;="&amp;$J243,'Weekly Log'!$A:$A,"&lt;"&amp;$J243+7),0))</f>
        <v/>
      </c>
      <c r="D243">
        <f>IF($J243="","",IFERROR(COUNTIFS('Weekly Log'!$H:$H,"Y",'Weekly Log'!$A:$A,"&gt;="&amp;$J243,'Weekly Log'!$A:$A,"&lt;"&amp;$J243+7)/COUNTIFS('Weekly Log'!$H:$H,"&lt;&gt;",'Weekly Log'!$A:$A,"&gt;="&amp;$J243,'Weekly Log'!$A:$A,"&lt;"&amp;$J243+7),0))</f>
        <v/>
      </c>
      <c r="E243">
        <f>IF($J243="","",IFERROR(AVERAGEIFS('Weekly Log'!$F:$F,'Weekly Log'!$A:$A,"&gt;="&amp;$J243,'Weekly Log'!$A:$A,"&lt;"&amp;$J243+7),0))</f>
        <v/>
      </c>
      <c r="F243">
        <f>IF($J243="","",IFERROR(SUMIFS('Weekly Log'!$F:$F,'Weekly Log'!$A:$A,"&gt;="&amp;$J243,'Weekly Log'!$A:$A,"&lt;"&amp;$J243+7)/SUMIFS('Weekly Log'!$E:$E,'Weekly Log'!$A:$A,"&gt;="&amp;$J243,'Weekly Log'!$A:$A,"&lt;"&amp;$J243+7),0))</f>
        <v/>
      </c>
      <c r="G243">
        <f>IF($J243="","",IFERROR(LOOKUP(2,1/(('Weekly Log'!$A$5:$A$5000&gt;=$J243)*('Weekly Log'!$A$5:$A$5000&lt;$J243+7)*('Weekly Log'!$M$5:$M$5000&lt;&gt;"")),'Weekly Log'!$M$5:$M$5000),0))</f>
        <v/>
      </c>
      <c r="J243">
        <f>IF(COUNT('Weekly Log'!$A$5:$A$5000)=0,"",IF(MIN('Weekly Log'!$A$5:$A$5000)+7*(ROW()-10)&gt;MAX('Weekly Log'!$A$5:$A$5000),"",MIN('Weekly Log'!$A$5:$A$5000)+7*(ROW()-10)))</f>
        <v/>
      </c>
    </row>
    <row r="244">
      <c r="A244">
        <f>IF($J244="","",YEAR($J244-WEEKDAY($J244,2)+4)&amp;"-W"&amp;TEXT(WEEKNUM($J244,21),"00"))</f>
        <v/>
      </c>
      <c r="B244">
        <f>IF($J244="","",SUMIFS('Weekly Log'!$C:$C,'Weekly Log'!$A:$A,"&gt;="&amp;$J244,'Weekly Log'!$A:$A,"&lt;"&amp;$J244+7))</f>
        <v/>
      </c>
      <c r="C244">
        <f>IF($J244="","",IFERROR(COUNTIFS('Weekly Log'!$G:$G,"Y",'Weekly Log'!$A:$A,"&gt;="&amp;$J244,'Weekly Log'!$A:$A,"&lt;"&amp;$J244+7)/COUNTIFS('Weekly Log'!$G:$G,"&lt;&gt;",'Weekly Log'!$A:$A,"&gt;="&amp;$J244,'Weekly Log'!$A:$A,"&lt;"&amp;$J244+7),0))</f>
        <v/>
      </c>
      <c r="D244">
        <f>IF($J244="","",IFERROR(COUNTIFS('Weekly Log'!$H:$H,"Y",'Weekly Log'!$A:$A,"&gt;="&amp;$J244,'Weekly Log'!$A:$A,"&lt;"&amp;$J244+7)/COUNTIFS('Weekly Log'!$H:$H,"&lt;&gt;",'Weekly Log'!$A:$A,"&gt;="&amp;$J244,'Weekly Log'!$A:$A,"&lt;"&amp;$J244+7),0))</f>
        <v/>
      </c>
      <c r="E244">
        <f>IF($J244="","",IFERROR(AVERAGEIFS('Weekly Log'!$F:$F,'Weekly Log'!$A:$A,"&gt;="&amp;$J244,'Weekly Log'!$A:$A,"&lt;"&amp;$J244+7),0))</f>
        <v/>
      </c>
      <c r="F244">
        <f>IF($J244="","",IFERROR(SUMIFS('Weekly Log'!$F:$F,'Weekly Log'!$A:$A,"&gt;="&amp;$J244,'Weekly Log'!$A:$A,"&lt;"&amp;$J244+7)/SUMIFS('Weekly Log'!$E:$E,'Weekly Log'!$A:$A,"&gt;="&amp;$J244,'Weekly Log'!$A:$A,"&lt;"&amp;$J244+7),0))</f>
        <v/>
      </c>
      <c r="G244">
        <f>IF($J244="","",IFERROR(LOOKUP(2,1/(('Weekly Log'!$A$5:$A$5000&gt;=$J244)*('Weekly Log'!$A$5:$A$5000&lt;$J244+7)*('Weekly Log'!$M$5:$M$5000&lt;&gt;"")),'Weekly Log'!$M$5:$M$5000),0))</f>
        <v/>
      </c>
      <c r="J244">
        <f>IF(COUNT('Weekly Log'!$A$5:$A$5000)=0,"",IF(MIN('Weekly Log'!$A$5:$A$5000)+7*(ROW()-10)&gt;MAX('Weekly Log'!$A$5:$A$5000),"",MIN('Weekly Log'!$A$5:$A$5000)+7*(ROW()-10)))</f>
        <v/>
      </c>
    </row>
    <row r="245">
      <c r="A245">
        <f>IF($J245="","",YEAR($J245-WEEKDAY($J245,2)+4)&amp;"-W"&amp;TEXT(WEEKNUM($J245,21),"00"))</f>
        <v/>
      </c>
      <c r="B245">
        <f>IF($J245="","",SUMIFS('Weekly Log'!$C:$C,'Weekly Log'!$A:$A,"&gt;="&amp;$J245,'Weekly Log'!$A:$A,"&lt;"&amp;$J245+7))</f>
        <v/>
      </c>
      <c r="C245">
        <f>IF($J245="","",IFERROR(COUNTIFS('Weekly Log'!$G:$G,"Y",'Weekly Log'!$A:$A,"&gt;="&amp;$J245,'Weekly Log'!$A:$A,"&lt;"&amp;$J245+7)/COUNTIFS('Weekly Log'!$G:$G,"&lt;&gt;",'Weekly Log'!$A:$A,"&gt;="&amp;$J245,'Weekly Log'!$A:$A,"&lt;"&amp;$J245+7),0))</f>
        <v/>
      </c>
      <c r="D245">
        <f>IF($J245="","",IFERROR(COUNTIFS('Weekly Log'!$H:$H,"Y",'Weekly Log'!$A:$A,"&gt;="&amp;$J245,'Weekly Log'!$A:$A,"&lt;"&amp;$J245+7)/COUNTIFS('Weekly Log'!$H:$H,"&lt;&gt;",'Weekly Log'!$A:$A,"&gt;="&amp;$J245,'Weekly Log'!$A:$A,"&lt;"&amp;$J245+7),0))</f>
        <v/>
      </c>
      <c r="E245">
        <f>IF($J245="","",IFERROR(AVERAGEIFS('Weekly Log'!$F:$F,'Weekly Log'!$A:$A,"&gt;="&amp;$J245,'Weekly Log'!$A:$A,"&lt;"&amp;$J245+7),0))</f>
        <v/>
      </c>
      <c r="F245">
        <f>IF($J245="","",IFERROR(SUMIFS('Weekly Log'!$F:$F,'Weekly Log'!$A:$A,"&gt;="&amp;$J245,'Weekly Log'!$A:$A,"&lt;"&amp;$J245+7)/SUMIFS('Weekly Log'!$E:$E,'Weekly Log'!$A:$A,"&gt;="&amp;$J245,'Weekly Log'!$A:$A,"&lt;"&amp;$J245+7),0))</f>
        <v/>
      </c>
      <c r="G245">
        <f>IF($J245="","",IFERROR(LOOKUP(2,1/(('Weekly Log'!$A$5:$A$5000&gt;=$J245)*('Weekly Log'!$A$5:$A$5000&lt;$J245+7)*('Weekly Log'!$M$5:$M$5000&lt;&gt;"")),'Weekly Log'!$M$5:$M$5000),0))</f>
        <v/>
      </c>
      <c r="J245">
        <f>IF(COUNT('Weekly Log'!$A$5:$A$5000)=0,"",IF(MIN('Weekly Log'!$A$5:$A$5000)+7*(ROW()-10)&gt;MAX('Weekly Log'!$A$5:$A$5000),"",MIN('Weekly Log'!$A$5:$A$5000)+7*(ROW()-10)))</f>
        <v/>
      </c>
    </row>
    <row r="246">
      <c r="A246">
        <f>IF($J246="","",YEAR($J246-WEEKDAY($J246,2)+4)&amp;"-W"&amp;TEXT(WEEKNUM($J246,21),"00"))</f>
        <v/>
      </c>
      <c r="B246">
        <f>IF($J246="","",SUMIFS('Weekly Log'!$C:$C,'Weekly Log'!$A:$A,"&gt;="&amp;$J246,'Weekly Log'!$A:$A,"&lt;"&amp;$J246+7))</f>
        <v/>
      </c>
      <c r="C246">
        <f>IF($J246="","",IFERROR(COUNTIFS('Weekly Log'!$G:$G,"Y",'Weekly Log'!$A:$A,"&gt;="&amp;$J246,'Weekly Log'!$A:$A,"&lt;"&amp;$J246+7)/COUNTIFS('Weekly Log'!$G:$G,"&lt;&gt;",'Weekly Log'!$A:$A,"&gt;="&amp;$J246,'Weekly Log'!$A:$A,"&lt;"&amp;$J246+7),0))</f>
        <v/>
      </c>
      <c r="D246">
        <f>IF($J246="","",IFERROR(COUNTIFS('Weekly Log'!$H:$H,"Y",'Weekly Log'!$A:$A,"&gt;="&amp;$J246,'Weekly Log'!$A:$A,"&lt;"&amp;$J246+7)/COUNTIFS('Weekly Log'!$H:$H,"&lt;&gt;",'Weekly Log'!$A:$A,"&gt;="&amp;$J246,'Weekly Log'!$A:$A,"&lt;"&amp;$J246+7),0))</f>
        <v/>
      </c>
      <c r="E246">
        <f>IF($J246="","",IFERROR(AVERAGEIFS('Weekly Log'!$F:$F,'Weekly Log'!$A:$A,"&gt;="&amp;$J246,'Weekly Log'!$A:$A,"&lt;"&amp;$J246+7),0))</f>
        <v/>
      </c>
      <c r="F246">
        <f>IF($J246="","",IFERROR(SUMIFS('Weekly Log'!$F:$F,'Weekly Log'!$A:$A,"&gt;="&amp;$J246,'Weekly Log'!$A:$A,"&lt;"&amp;$J246+7)/SUMIFS('Weekly Log'!$E:$E,'Weekly Log'!$A:$A,"&gt;="&amp;$J246,'Weekly Log'!$A:$A,"&lt;"&amp;$J246+7),0))</f>
        <v/>
      </c>
      <c r="G246">
        <f>IF($J246="","",IFERROR(LOOKUP(2,1/(('Weekly Log'!$A$5:$A$5000&gt;=$J246)*('Weekly Log'!$A$5:$A$5000&lt;$J246+7)*('Weekly Log'!$M$5:$M$5000&lt;&gt;"")),'Weekly Log'!$M$5:$M$5000),0))</f>
        <v/>
      </c>
      <c r="J246">
        <f>IF(COUNT('Weekly Log'!$A$5:$A$5000)=0,"",IF(MIN('Weekly Log'!$A$5:$A$5000)+7*(ROW()-10)&gt;MAX('Weekly Log'!$A$5:$A$5000),"",MIN('Weekly Log'!$A$5:$A$5000)+7*(ROW()-10)))</f>
        <v/>
      </c>
    </row>
    <row r="247">
      <c r="A247">
        <f>IF($J247="","",YEAR($J247-WEEKDAY($J247,2)+4)&amp;"-W"&amp;TEXT(WEEKNUM($J247,21),"00"))</f>
        <v/>
      </c>
      <c r="B247">
        <f>IF($J247="","",SUMIFS('Weekly Log'!$C:$C,'Weekly Log'!$A:$A,"&gt;="&amp;$J247,'Weekly Log'!$A:$A,"&lt;"&amp;$J247+7))</f>
        <v/>
      </c>
      <c r="C247">
        <f>IF($J247="","",IFERROR(COUNTIFS('Weekly Log'!$G:$G,"Y",'Weekly Log'!$A:$A,"&gt;="&amp;$J247,'Weekly Log'!$A:$A,"&lt;"&amp;$J247+7)/COUNTIFS('Weekly Log'!$G:$G,"&lt;&gt;",'Weekly Log'!$A:$A,"&gt;="&amp;$J247,'Weekly Log'!$A:$A,"&lt;"&amp;$J247+7),0))</f>
        <v/>
      </c>
      <c r="D247">
        <f>IF($J247="","",IFERROR(COUNTIFS('Weekly Log'!$H:$H,"Y",'Weekly Log'!$A:$A,"&gt;="&amp;$J247,'Weekly Log'!$A:$A,"&lt;"&amp;$J247+7)/COUNTIFS('Weekly Log'!$H:$H,"&lt;&gt;",'Weekly Log'!$A:$A,"&gt;="&amp;$J247,'Weekly Log'!$A:$A,"&lt;"&amp;$J247+7),0))</f>
        <v/>
      </c>
      <c r="E247">
        <f>IF($J247="","",IFERROR(AVERAGEIFS('Weekly Log'!$F:$F,'Weekly Log'!$A:$A,"&gt;="&amp;$J247,'Weekly Log'!$A:$A,"&lt;"&amp;$J247+7),0))</f>
        <v/>
      </c>
      <c r="F247">
        <f>IF($J247="","",IFERROR(SUMIFS('Weekly Log'!$F:$F,'Weekly Log'!$A:$A,"&gt;="&amp;$J247,'Weekly Log'!$A:$A,"&lt;"&amp;$J247+7)/SUMIFS('Weekly Log'!$E:$E,'Weekly Log'!$A:$A,"&gt;="&amp;$J247,'Weekly Log'!$A:$A,"&lt;"&amp;$J247+7),0))</f>
        <v/>
      </c>
      <c r="G247">
        <f>IF($J247="","",IFERROR(LOOKUP(2,1/(('Weekly Log'!$A$5:$A$5000&gt;=$J247)*('Weekly Log'!$A$5:$A$5000&lt;$J247+7)*('Weekly Log'!$M$5:$M$5000&lt;&gt;"")),'Weekly Log'!$M$5:$M$5000),0))</f>
        <v/>
      </c>
      <c r="J247">
        <f>IF(COUNT('Weekly Log'!$A$5:$A$5000)=0,"",IF(MIN('Weekly Log'!$A$5:$A$5000)+7*(ROW()-10)&gt;MAX('Weekly Log'!$A$5:$A$5000),"",MIN('Weekly Log'!$A$5:$A$5000)+7*(ROW()-10)))</f>
        <v/>
      </c>
    </row>
    <row r="248">
      <c r="A248">
        <f>IF($J248="","",YEAR($J248-WEEKDAY($J248,2)+4)&amp;"-W"&amp;TEXT(WEEKNUM($J248,21),"00"))</f>
        <v/>
      </c>
      <c r="B248">
        <f>IF($J248="","",SUMIFS('Weekly Log'!$C:$C,'Weekly Log'!$A:$A,"&gt;="&amp;$J248,'Weekly Log'!$A:$A,"&lt;"&amp;$J248+7))</f>
        <v/>
      </c>
      <c r="C248">
        <f>IF($J248="","",IFERROR(COUNTIFS('Weekly Log'!$G:$G,"Y",'Weekly Log'!$A:$A,"&gt;="&amp;$J248,'Weekly Log'!$A:$A,"&lt;"&amp;$J248+7)/COUNTIFS('Weekly Log'!$G:$G,"&lt;&gt;",'Weekly Log'!$A:$A,"&gt;="&amp;$J248,'Weekly Log'!$A:$A,"&lt;"&amp;$J248+7),0))</f>
        <v/>
      </c>
      <c r="D248">
        <f>IF($J248="","",IFERROR(COUNTIFS('Weekly Log'!$H:$H,"Y",'Weekly Log'!$A:$A,"&gt;="&amp;$J248,'Weekly Log'!$A:$A,"&lt;"&amp;$J248+7)/COUNTIFS('Weekly Log'!$H:$H,"&lt;&gt;",'Weekly Log'!$A:$A,"&gt;="&amp;$J248,'Weekly Log'!$A:$A,"&lt;"&amp;$J248+7),0))</f>
        <v/>
      </c>
      <c r="E248">
        <f>IF($J248="","",IFERROR(AVERAGEIFS('Weekly Log'!$F:$F,'Weekly Log'!$A:$A,"&gt;="&amp;$J248,'Weekly Log'!$A:$A,"&lt;"&amp;$J248+7),0))</f>
        <v/>
      </c>
      <c r="F248">
        <f>IF($J248="","",IFERROR(SUMIFS('Weekly Log'!$F:$F,'Weekly Log'!$A:$A,"&gt;="&amp;$J248,'Weekly Log'!$A:$A,"&lt;"&amp;$J248+7)/SUMIFS('Weekly Log'!$E:$E,'Weekly Log'!$A:$A,"&gt;="&amp;$J248,'Weekly Log'!$A:$A,"&lt;"&amp;$J248+7),0))</f>
        <v/>
      </c>
      <c r="G248">
        <f>IF($J248="","",IFERROR(LOOKUP(2,1/(('Weekly Log'!$A$5:$A$5000&gt;=$J248)*('Weekly Log'!$A$5:$A$5000&lt;$J248+7)*('Weekly Log'!$M$5:$M$5000&lt;&gt;"")),'Weekly Log'!$M$5:$M$5000),0))</f>
        <v/>
      </c>
      <c r="J248">
        <f>IF(COUNT('Weekly Log'!$A$5:$A$5000)=0,"",IF(MIN('Weekly Log'!$A$5:$A$5000)+7*(ROW()-10)&gt;MAX('Weekly Log'!$A$5:$A$5000),"",MIN('Weekly Log'!$A$5:$A$5000)+7*(ROW()-10)))</f>
        <v/>
      </c>
    </row>
    <row r="249">
      <c r="A249">
        <f>IF($J249="","",YEAR($J249-WEEKDAY($J249,2)+4)&amp;"-W"&amp;TEXT(WEEKNUM($J249,21),"00"))</f>
        <v/>
      </c>
      <c r="B249">
        <f>IF($J249="","",SUMIFS('Weekly Log'!$C:$C,'Weekly Log'!$A:$A,"&gt;="&amp;$J249,'Weekly Log'!$A:$A,"&lt;"&amp;$J249+7))</f>
        <v/>
      </c>
      <c r="C249">
        <f>IF($J249="","",IFERROR(COUNTIFS('Weekly Log'!$G:$G,"Y",'Weekly Log'!$A:$A,"&gt;="&amp;$J249,'Weekly Log'!$A:$A,"&lt;"&amp;$J249+7)/COUNTIFS('Weekly Log'!$G:$G,"&lt;&gt;",'Weekly Log'!$A:$A,"&gt;="&amp;$J249,'Weekly Log'!$A:$A,"&lt;"&amp;$J249+7),0))</f>
        <v/>
      </c>
      <c r="D249">
        <f>IF($J249="","",IFERROR(COUNTIFS('Weekly Log'!$H:$H,"Y",'Weekly Log'!$A:$A,"&gt;="&amp;$J249,'Weekly Log'!$A:$A,"&lt;"&amp;$J249+7)/COUNTIFS('Weekly Log'!$H:$H,"&lt;&gt;",'Weekly Log'!$A:$A,"&gt;="&amp;$J249,'Weekly Log'!$A:$A,"&lt;"&amp;$J249+7),0))</f>
        <v/>
      </c>
      <c r="E249">
        <f>IF($J249="","",IFERROR(AVERAGEIFS('Weekly Log'!$F:$F,'Weekly Log'!$A:$A,"&gt;="&amp;$J249,'Weekly Log'!$A:$A,"&lt;"&amp;$J249+7),0))</f>
        <v/>
      </c>
      <c r="F249">
        <f>IF($J249="","",IFERROR(SUMIFS('Weekly Log'!$F:$F,'Weekly Log'!$A:$A,"&gt;="&amp;$J249,'Weekly Log'!$A:$A,"&lt;"&amp;$J249+7)/SUMIFS('Weekly Log'!$E:$E,'Weekly Log'!$A:$A,"&gt;="&amp;$J249,'Weekly Log'!$A:$A,"&lt;"&amp;$J249+7),0))</f>
        <v/>
      </c>
      <c r="G249">
        <f>IF($J249="","",IFERROR(LOOKUP(2,1/(('Weekly Log'!$A$5:$A$5000&gt;=$J249)*('Weekly Log'!$A$5:$A$5000&lt;$J249+7)*('Weekly Log'!$M$5:$M$5000&lt;&gt;"")),'Weekly Log'!$M$5:$M$5000),0))</f>
        <v/>
      </c>
      <c r="J249">
        <f>IF(COUNT('Weekly Log'!$A$5:$A$5000)=0,"",IF(MIN('Weekly Log'!$A$5:$A$5000)+7*(ROW()-10)&gt;MAX('Weekly Log'!$A$5:$A$5000),"",MIN('Weekly Log'!$A$5:$A$5000)+7*(ROW()-10)))</f>
        <v/>
      </c>
    </row>
    <row r="250">
      <c r="A250">
        <f>IF($J250="","",YEAR($J250-WEEKDAY($J250,2)+4)&amp;"-W"&amp;TEXT(WEEKNUM($J250,21),"00"))</f>
        <v/>
      </c>
      <c r="B250">
        <f>IF($J250="","",SUMIFS('Weekly Log'!$C:$C,'Weekly Log'!$A:$A,"&gt;="&amp;$J250,'Weekly Log'!$A:$A,"&lt;"&amp;$J250+7))</f>
        <v/>
      </c>
      <c r="C250">
        <f>IF($J250="","",IFERROR(COUNTIFS('Weekly Log'!$G:$G,"Y",'Weekly Log'!$A:$A,"&gt;="&amp;$J250,'Weekly Log'!$A:$A,"&lt;"&amp;$J250+7)/COUNTIFS('Weekly Log'!$G:$G,"&lt;&gt;",'Weekly Log'!$A:$A,"&gt;="&amp;$J250,'Weekly Log'!$A:$A,"&lt;"&amp;$J250+7),0))</f>
        <v/>
      </c>
      <c r="D250">
        <f>IF($J250="","",IFERROR(COUNTIFS('Weekly Log'!$H:$H,"Y",'Weekly Log'!$A:$A,"&gt;="&amp;$J250,'Weekly Log'!$A:$A,"&lt;"&amp;$J250+7)/COUNTIFS('Weekly Log'!$H:$H,"&lt;&gt;",'Weekly Log'!$A:$A,"&gt;="&amp;$J250,'Weekly Log'!$A:$A,"&lt;"&amp;$J250+7),0))</f>
        <v/>
      </c>
      <c r="E250">
        <f>IF($J250="","",IFERROR(AVERAGEIFS('Weekly Log'!$F:$F,'Weekly Log'!$A:$A,"&gt;="&amp;$J250,'Weekly Log'!$A:$A,"&lt;"&amp;$J250+7),0))</f>
        <v/>
      </c>
      <c r="F250">
        <f>IF($J250="","",IFERROR(SUMIFS('Weekly Log'!$F:$F,'Weekly Log'!$A:$A,"&gt;="&amp;$J250,'Weekly Log'!$A:$A,"&lt;"&amp;$J250+7)/SUMIFS('Weekly Log'!$E:$E,'Weekly Log'!$A:$A,"&gt;="&amp;$J250,'Weekly Log'!$A:$A,"&lt;"&amp;$J250+7),0))</f>
        <v/>
      </c>
      <c r="G250">
        <f>IF($J250="","",IFERROR(LOOKUP(2,1/(('Weekly Log'!$A$5:$A$5000&gt;=$J250)*('Weekly Log'!$A$5:$A$5000&lt;$J250+7)*('Weekly Log'!$M$5:$M$5000&lt;&gt;"")),'Weekly Log'!$M$5:$M$5000),0))</f>
        <v/>
      </c>
      <c r="J250">
        <f>IF(COUNT('Weekly Log'!$A$5:$A$5000)=0,"",IF(MIN('Weekly Log'!$A$5:$A$5000)+7*(ROW()-10)&gt;MAX('Weekly Log'!$A$5:$A$5000),"",MIN('Weekly Log'!$A$5:$A$5000)+7*(ROW()-10)))</f>
        <v/>
      </c>
    </row>
    <row r="251">
      <c r="A251">
        <f>IF($J251="","",YEAR($J251-WEEKDAY($J251,2)+4)&amp;"-W"&amp;TEXT(WEEKNUM($J251,21),"00"))</f>
        <v/>
      </c>
      <c r="B251">
        <f>IF($J251="","",SUMIFS('Weekly Log'!$C:$C,'Weekly Log'!$A:$A,"&gt;="&amp;$J251,'Weekly Log'!$A:$A,"&lt;"&amp;$J251+7))</f>
        <v/>
      </c>
      <c r="C251">
        <f>IF($J251="","",IFERROR(COUNTIFS('Weekly Log'!$G:$G,"Y",'Weekly Log'!$A:$A,"&gt;="&amp;$J251,'Weekly Log'!$A:$A,"&lt;"&amp;$J251+7)/COUNTIFS('Weekly Log'!$G:$G,"&lt;&gt;",'Weekly Log'!$A:$A,"&gt;="&amp;$J251,'Weekly Log'!$A:$A,"&lt;"&amp;$J251+7),0))</f>
        <v/>
      </c>
      <c r="D251">
        <f>IF($J251="","",IFERROR(COUNTIFS('Weekly Log'!$H:$H,"Y",'Weekly Log'!$A:$A,"&gt;="&amp;$J251,'Weekly Log'!$A:$A,"&lt;"&amp;$J251+7)/COUNTIFS('Weekly Log'!$H:$H,"&lt;&gt;",'Weekly Log'!$A:$A,"&gt;="&amp;$J251,'Weekly Log'!$A:$A,"&lt;"&amp;$J251+7),0))</f>
        <v/>
      </c>
      <c r="E251">
        <f>IF($J251="","",IFERROR(AVERAGEIFS('Weekly Log'!$F:$F,'Weekly Log'!$A:$A,"&gt;="&amp;$J251,'Weekly Log'!$A:$A,"&lt;"&amp;$J251+7),0))</f>
        <v/>
      </c>
      <c r="F251">
        <f>IF($J251="","",IFERROR(SUMIFS('Weekly Log'!$F:$F,'Weekly Log'!$A:$A,"&gt;="&amp;$J251,'Weekly Log'!$A:$A,"&lt;"&amp;$J251+7)/SUMIFS('Weekly Log'!$E:$E,'Weekly Log'!$A:$A,"&gt;="&amp;$J251,'Weekly Log'!$A:$A,"&lt;"&amp;$J251+7),0))</f>
        <v/>
      </c>
      <c r="G251">
        <f>IF($J251="","",IFERROR(LOOKUP(2,1/(('Weekly Log'!$A$5:$A$5000&gt;=$J251)*('Weekly Log'!$A$5:$A$5000&lt;$J251+7)*('Weekly Log'!$M$5:$M$5000&lt;&gt;"")),'Weekly Log'!$M$5:$M$5000),0))</f>
        <v/>
      </c>
      <c r="J251">
        <f>IF(COUNT('Weekly Log'!$A$5:$A$5000)=0,"",IF(MIN('Weekly Log'!$A$5:$A$5000)+7*(ROW()-10)&gt;MAX('Weekly Log'!$A$5:$A$5000),"",MIN('Weekly Log'!$A$5:$A$5000)+7*(ROW()-10)))</f>
        <v/>
      </c>
    </row>
    <row r="252">
      <c r="A252">
        <f>IF($J252="","",YEAR($J252-WEEKDAY($J252,2)+4)&amp;"-W"&amp;TEXT(WEEKNUM($J252,21),"00"))</f>
        <v/>
      </c>
      <c r="B252">
        <f>IF($J252="","",SUMIFS('Weekly Log'!$C:$C,'Weekly Log'!$A:$A,"&gt;="&amp;$J252,'Weekly Log'!$A:$A,"&lt;"&amp;$J252+7))</f>
        <v/>
      </c>
      <c r="C252">
        <f>IF($J252="","",IFERROR(COUNTIFS('Weekly Log'!$G:$G,"Y",'Weekly Log'!$A:$A,"&gt;="&amp;$J252,'Weekly Log'!$A:$A,"&lt;"&amp;$J252+7)/COUNTIFS('Weekly Log'!$G:$G,"&lt;&gt;",'Weekly Log'!$A:$A,"&gt;="&amp;$J252,'Weekly Log'!$A:$A,"&lt;"&amp;$J252+7),0))</f>
        <v/>
      </c>
      <c r="D252">
        <f>IF($J252="","",IFERROR(COUNTIFS('Weekly Log'!$H:$H,"Y",'Weekly Log'!$A:$A,"&gt;="&amp;$J252,'Weekly Log'!$A:$A,"&lt;"&amp;$J252+7)/COUNTIFS('Weekly Log'!$H:$H,"&lt;&gt;",'Weekly Log'!$A:$A,"&gt;="&amp;$J252,'Weekly Log'!$A:$A,"&lt;"&amp;$J252+7),0))</f>
        <v/>
      </c>
      <c r="E252">
        <f>IF($J252="","",IFERROR(AVERAGEIFS('Weekly Log'!$F:$F,'Weekly Log'!$A:$A,"&gt;="&amp;$J252,'Weekly Log'!$A:$A,"&lt;"&amp;$J252+7),0))</f>
        <v/>
      </c>
      <c r="F252">
        <f>IF($J252="","",IFERROR(SUMIFS('Weekly Log'!$F:$F,'Weekly Log'!$A:$A,"&gt;="&amp;$J252,'Weekly Log'!$A:$A,"&lt;"&amp;$J252+7)/SUMIFS('Weekly Log'!$E:$E,'Weekly Log'!$A:$A,"&gt;="&amp;$J252,'Weekly Log'!$A:$A,"&lt;"&amp;$J252+7),0))</f>
        <v/>
      </c>
      <c r="G252">
        <f>IF($J252="","",IFERROR(LOOKUP(2,1/(('Weekly Log'!$A$5:$A$5000&gt;=$J252)*('Weekly Log'!$A$5:$A$5000&lt;$J252+7)*('Weekly Log'!$M$5:$M$5000&lt;&gt;"")),'Weekly Log'!$M$5:$M$5000),0))</f>
        <v/>
      </c>
      <c r="J252">
        <f>IF(COUNT('Weekly Log'!$A$5:$A$5000)=0,"",IF(MIN('Weekly Log'!$A$5:$A$5000)+7*(ROW()-10)&gt;MAX('Weekly Log'!$A$5:$A$5000),"",MIN('Weekly Log'!$A$5:$A$5000)+7*(ROW()-10)))</f>
        <v/>
      </c>
    </row>
    <row r="253">
      <c r="A253">
        <f>IF($J253="","",YEAR($J253-WEEKDAY($J253,2)+4)&amp;"-W"&amp;TEXT(WEEKNUM($J253,21),"00"))</f>
        <v/>
      </c>
      <c r="B253">
        <f>IF($J253="","",SUMIFS('Weekly Log'!$C:$C,'Weekly Log'!$A:$A,"&gt;="&amp;$J253,'Weekly Log'!$A:$A,"&lt;"&amp;$J253+7))</f>
        <v/>
      </c>
      <c r="C253">
        <f>IF($J253="","",IFERROR(COUNTIFS('Weekly Log'!$G:$G,"Y",'Weekly Log'!$A:$A,"&gt;="&amp;$J253,'Weekly Log'!$A:$A,"&lt;"&amp;$J253+7)/COUNTIFS('Weekly Log'!$G:$G,"&lt;&gt;",'Weekly Log'!$A:$A,"&gt;="&amp;$J253,'Weekly Log'!$A:$A,"&lt;"&amp;$J253+7),0))</f>
        <v/>
      </c>
      <c r="D253">
        <f>IF($J253="","",IFERROR(COUNTIFS('Weekly Log'!$H:$H,"Y",'Weekly Log'!$A:$A,"&gt;="&amp;$J253,'Weekly Log'!$A:$A,"&lt;"&amp;$J253+7)/COUNTIFS('Weekly Log'!$H:$H,"&lt;&gt;",'Weekly Log'!$A:$A,"&gt;="&amp;$J253,'Weekly Log'!$A:$A,"&lt;"&amp;$J253+7),0))</f>
        <v/>
      </c>
      <c r="E253">
        <f>IF($J253="","",IFERROR(AVERAGEIFS('Weekly Log'!$F:$F,'Weekly Log'!$A:$A,"&gt;="&amp;$J253,'Weekly Log'!$A:$A,"&lt;"&amp;$J253+7),0))</f>
        <v/>
      </c>
      <c r="F253">
        <f>IF($J253="","",IFERROR(SUMIFS('Weekly Log'!$F:$F,'Weekly Log'!$A:$A,"&gt;="&amp;$J253,'Weekly Log'!$A:$A,"&lt;"&amp;$J253+7)/SUMIFS('Weekly Log'!$E:$E,'Weekly Log'!$A:$A,"&gt;="&amp;$J253,'Weekly Log'!$A:$A,"&lt;"&amp;$J253+7),0))</f>
        <v/>
      </c>
      <c r="G253">
        <f>IF($J253="","",IFERROR(LOOKUP(2,1/(('Weekly Log'!$A$5:$A$5000&gt;=$J253)*('Weekly Log'!$A$5:$A$5000&lt;$J253+7)*('Weekly Log'!$M$5:$M$5000&lt;&gt;"")),'Weekly Log'!$M$5:$M$5000),0))</f>
        <v/>
      </c>
      <c r="J253">
        <f>IF(COUNT('Weekly Log'!$A$5:$A$5000)=0,"",IF(MIN('Weekly Log'!$A$5:$A$5000)+7*(ROW()-10)&gt;MAX('Weekly Log'!$A$5:$A$5000),"",MIN('Weekly Log'!$A$5:$A$5000)+7*(ROW()-10)))</f>
        <v/>
      </c>
    </row>
    <row r="254">
      <c r="A254">
        <f>IF($J254="","",YEAR($J254-WEEKDAY($J254,2)+4)&amp;"-W"&amp;TEXT(WEEKNUM($J254,21),"00"))</f>
        <v/>
      </c>
      <c r="B254">
        <f>IF($J254="","",SUMIFS('Weekly Log'!$C:$C,'Weekly Log'!$A:$A,"&gt;="&amp;$J254,'Weekly Log'!$A:$A,"&lt;"&amp;$J254+7))</f>
        <v/>
      </c>
      <c r="C254">
        <f>IF($J254="","",IFERROR(COUNTIFS('Weekly Log'!$G:$G,"Y",'Weekly Log'!$A:$A,"&gt;="&amp;$J254,'Weekly Log'!$A:$A,"&lt;"&amp;$J254+7)/COUNTIFS('Weekly Log'!$G:$G,"&lt;&gt;",'Weekly Log'!$A:$A,"&gt;="&amp;$J254,'Weekly Log'!$A:$A,"&lt;"&amp;$J254+7),0))</f>
        <v/>
      </c>
      <c r="D254">
        <f>IF($J254="","",IFERROR(COUNTIFS('Weekly Log'!$H:$H,"Y",'Weekly Log'!$A:$A,"&gt;="&amp;$J254,'Weekly Log'!$A:$A,"&lt;"&amp;$J254+7)/COUNTIFS('Weekly Log'!$H:$H,"&lt;&gt;",'Weekly Log'!$A:$A,"&gt;="&amp;$J254,'Weekly Log'!$A:$A,"&lt;"&amp;$J254+7),0))</f>
        <v/>
      </c>
      <c r="E254">
        <f>IF($J254="","",IFERROR(AVERAGEIFS('Weekly Log'!$F:$F,'Weekly Log'!$A:$A,"&gt;="&amp;$J254,'Weekly Log'!$A:$A,"&lt;"&amp;$J254+7),0))</f>
        <v/>
      </c>
      <c r="F254">
        <f>IF($J254="","",IFERROR(SUMIFS('Weekly Log'!$F:$F,'Weekly Log'!$A:$A,"&gt;="&amp;$J254,'Weekly Log'!$A:$A,"&lt;"&amp;$J254+7)/SUMIFS('Weekly Log'!$E:$E,'Weekly Log'!$A:$A,"&gt;="&amp;$J254,'Weekly Log'!$A:$A,"&lt;"&amp;$J254+7),0))</f>
        <v/>
      </c>
      <c r="G254">
        <f>IF($J254="","",IFERROR(LOOKUP(2,1/(('Weekly Log'!$A$5:$A$5000&gt;=$J254)*('Weekly Log'!$A$5:$A$5000&lt;$J254+7)*('Weekly Log'!$M$5:$M$5000&lt;&gt;"")),'Weekly Log'!$M$5:$M$5000),0))</f>
        <v/>
      </c>
      <c r="J254">
        <f>IF(COUNT('Weekly Log'!$A$5:$A$5000)=0,"",IF(MIN('Weekly Log'!$A$5:$A$5000)+7*(ROW()-10)&gt;MAX('Weekly Log'!$A$5:$A$5000),"",MIN('Weekly Log'!$A$5:$A$5000)+7*(ROW()-10)))</f>
        <v/>
      </c>
    </row>
    <row r="255">
      <c r="A255">
        <f>IF($J255="","",YEAR($J255-WEEKDAY($J255,2)+4)&amp;"-W"&amp;TEXT(WEEKNUM($J255,21),"00"))</f>
        <v/>
      </c>
      <c r="B255">
        <f>IF($J255="","",SUMIFS('Weekly Log'!$C:$C,'Weekly Log'!$A:$A,"&gt;="&amp;$J255,'Weekly Log'!$A:$A,"&lt;"&amp;$J255+7))</f>
        <v/>
      </c>
      <c r="C255">
        <f>IF($J255="","",IFERROR(COUNTIFS('Weekly Log'!$G:$G,"Y",'Weekly Log'!$A:$A,"&gt;="&amp;$J255,'Weekly Log'!$A:$A,"&lt;"&amp;$J255+7)/COUNTIFS('Weekly Log'!$G:$G,"&lt;&gt;",'Weekly Log'!$A:$A,"&gt;="&amp;$J255,'Weekly Log'!$A:$A,"&lt;"&amp;$J255+7),0))</f>
        <v/>
      </c>
      <c r="D255">
        <f>IF($J255="","",IFERROR(COUNTIFS('Weekly Log'!$H:$H,"Y",'Weekly Log'!$A:$A,"&gt;="&amp;$J255,'Weekly Log'!$A:$A,"&lt;"&amp;$J255+7)/COUNTIFS('Weekly Log'!$H:$H,"&lt;&gt;",'Weekly Log'!$A:$A,"&gt;="&amp;$J255,'Weekly Log'!$A:$A,"&lt;"&amp;$J255+7),0))</f>
        <v/>
      </c>
      <c r="E255">
        <f>IF($J255="","",IFERROR(AVERAGEIFS('Weekly Log'!$F:$F,'Weekly Log'!$A:$A,"&gt;="&amp;$J255,'Weekly Log'!$A:$A,"&lt;"&amp;$J255+7),0))</f>
        <v/>
      </c>
      <c r="F255">
        <f>IF($J255="","",IFERROR(SUMIFS('Weekly Log'!$F:$F,'Weekly Log'!$A:$A,"&gt;="&amp;$J255,'Weekly Log'!$A:$A,"&lt;"&amp;$J255+7)/SUMIFS('Weekly Log'!$E:$E,'Weekly Log'!$A:$A,"&gt;="&amp;$J255,'Weekly Log'!$A:$A,"&lt;"&amp;$J255+7),0))</f>
        <v/>
      </c>
      <c r="G255">
        <f>IF($J255="","",IFERROR(LOOKUP(2,1/(('Weekly Log'!$A$5:$A$5000&gt;=$J255)*('Weekly Log'!$A$5:$A$5000&lt;$J255+7)*('Weekly Log'!$M$5:$M$5000&lt;&gt;"")),'Weekly Log'!$M$5:$M$5000),0))</f>
        <v/>
      </c>
      <c r="J255">
        <f>IF(COUNT('Weekly Log'!$A$5:$A$5000)=0,"",IF(MIN('Weekly Log'!$A$5:$A$5000)+7*(ROW()-10)&gt;MAX('Weekly Log'!$A$5:$A$5000),"",MIN('Weekly Log'!$A$5:$A$5000)+7*(ROW()-10)))</f>
        <v/>
      </c>
    </row>
    <row r="256">
      <c r="A256">
        <f>IF($J256="","",YEAR($J256-WEEKDAY($J256,2)+4)&amp;"-W"&amp;TEXT(WEEKNUM($J256,21),"00"))</f>
        <v/>
      </c>
      <c r="B256">
        <f>IF($J256="","",SUMIFS('Weekly Log'!$C:$C,'Weekly Log'!$A:$A,"&gt;="&amp;$J256,'Weekly Log'!$A:$A,"&lt;"&amp;$J256+7))</f>
        <v/>
      </c>
      <c r="C256">
        <f>IF($J256="","",IFERROR(COUNTIFS('Weekly Log'!$G:$G,"Y",'Weekly Log'!$A:$A,"&gt;="&amp;$J256,'Weekly Log'!$A:$A,"&lt;"&amp;$J256+7)/COUNTIFS('Weekly Log'!$G:$G,"&lt;&gt;",'Weekly Log'!$A:$A,"&gt;="&amp;$J256,'Weekly Log'!$A:$A,"&lt;"&amp;$J256+7),0))</f>
        <v/>
      </c>
      <c r="D256">
        <f>IF($J256="","",IFERROR(COUNTIFS('Weekly Log'!$H:$H,"Y",'Weekly Log'!$A:$A,"&gt;="&amp;$J256,'Weekly Log'!$A:$A,"&lt;"&amp;$J256+7)/COUNTIFS('Weekly Log'!$H:$H,"&lt;&gt;",'Weekly Log'!$A:$A,"&gt;="&amp;$J256,'Weekly Log'!$A:$A,"&lt;"&amp;$J256+7),0))</f>
        <v/>
      </c>
      <c r="E256">
        <f>IF($J256="","",IFERROR(AVERAGEIFS('Weekly Log'!$F:$F,'Weekly Log'!$A:$A,"&gt;="&amp;$J256,'Weekly Log'!$A:$A,"&lt;"&amp;$J256+7),0))</f>
        <v/>
      </c>
      <c r="F256">
        <f>IF($J256="","",IFERROR(SUMIFS('Weekly Log'!$F:$F,'Weekly Log'!$A:$A,"&gt;="&amp;$J256,'Weekly Log'!$A:$A,"&lt;"&amp;$J256+7)/SUMIFS('Weekly Log'!$E:$E,'Weekly Log'!$A:$A,"&gt;="&amp;$J256,'Weekly Log'!$A:$A,"&lt;"&amp;$J256+7),0))</f>
        <v/>
      </c>
      <c r="G256">
        <f>IF($J256="","",IFERROR(LOOKUP(2,1/(('Weekly Log'!$A$5:$A$5000&gt;=$J256)*('Weekly Log'!$A$5:$A$5000&lt;$J256+7)*('Weekly Log'!$M$5:$M$5000&lt;&gt;"")),'Weekly Log'!$M$5:$M$5000),0))</f>
        <v/>
      </c>
      <c r="J256">
        <f>IF(COUNT('Weekly Log'!$A$5:$A$5000)=0,"",IF(MIN('Weekly Log'!$A$5:$A$5000)+7*(ROW()-10)&gt;MAX('Weekly Log'!$A$5:$A$5000),"",MIN('Weekly Log'!$A$5:$A$5000)+7*(ROW()-10)))</f>
        <v/>
      </c>
    </row>
    <row r="257">
      <c r="A257">
        <f>IF($J257="","",YEAR($J257-WEEKDAY($J257,2)+4)&amp;"-W"&amp;TEXT(WEEKNUM($J257,21),"00"))</f>
        <v/>
      </c>
      <c r="B257">
        <f>IF($J257="","",SUMIFS('Weekly Log'!$C:$C,'Weekly Log'!$A:$A,"&gt;="&amp;$J257,'Weekly Log'!$A:$A,"&lt;"&amp;$J257+7))</f>
        <v/>
      </c>
      <c r="C257">
        <f>IF($J257="","",IFERROR(COUNTIFS('Weekly Log'!$G:$G,"Y",'Weekly Log'!$A:$A,"&gt;="&amp;$J257,'Weekly Log'!$A:$A,"&lt;"&amp;$J257+7)/COUNTIFS('Weekly Log'!$G:$G,"&lt;&gt;",'Weekly Log'!$A:$A,"&gt;="&amp;$J257,'Weekly Log'!$A:$A,"&lt;"&amp;$J257+7),0))</f>
        <v/>
      </c>
      <c r="D257">
        <f>IF($J257="","",IFERROR(COUNTIFS('Weekly Log'!$H:$H,"Y",'Weekly Log'!$A:$A,"&gt;="&amp;$J257,'Weekly Log'!$A:$A,"&lt;"&amp;$J257+7)/COUNTIFS('Weekly Log'!$H:$H,"&lt;&gt;",'Weekly Log'!$A:$A,"&gt;="&amp;$J257,'Weekly Log'!$A:$A,"&lt;"&amp;$J257+7),0))</f>
        <v/>
      </c>
      <c r="E257">
        <f>IF($J257="","",IFERROR(AVERAGEIFS('Weekly Log'!$F:$F,'Weekly Log'!$A:$A,"&gt;="&amp;$J257,'Weekly Log'!$A:$A,"&lt;"&amp;$J257+7),0))</f>
        <v/>
      </c>
      <c r="F257">
        <f>IF($J257="","",IFERROR(SUMIFS('Weekly Log'!$F:$F,'Weekly Log'!$A:$A,"&gt;="&amp;$J257,'Weekly Log'!$A:$A,"&lt;"&amp;$J257+7)/SUMIFS('Weekly Log'!$E:$E,'Weekly Log'!$A:$A,"&gt;="&amp;$J257,'Weekly Log'!$A:$A,"&lt;"&amp;$J257+7),0))</f>
        <v/>
      </c>
      <c r="G257">
        <f>IF($J257="","",IFERROR(LOOKUP(2,1/(('Weekly Log'!$A$5:$A$5000&gt;=$J257)*('Weekly Log'!$A$5:$A$5000&lt;$J257+7)*('Weekly Log'!$M$5:$M$5000&lt;&gt;"")),'Weekly Log'!$M$5:$M$5000),0))</f>
        <v/>
      </c>
      <c r="J257">
        <f>IF(COUNT('Weekly Log'!$A$5:$A$5000)=0,"",IF(MIN('Weekly Log'!$A$5:$A$5000)+7*(ROW()-10)&gt;MAX('Weekly Log'!$A$5:$A$5000),"",MIN('Weekly Log'!$A$5:$A$5000)+7*(ROW()-10)))</f>
        <v/>
      </c>
    </row>
    <row r="258">
      <c r="A258">
        <f>IF($J258="","",YEAR($J258-WEEKDAY($J258,2)+4)&amp;"-W"&amp;TEXT(WEEKNUM($J258,21),"00"))</f>
        <v/>
      </c>
      <c r="B258">
        <f>IF($J258="","",SUMIFS('Weekly Log'!$C:$C,'Weekly Log'!$A:$A,"&gt;="&amp;$J258,'Weekly Log'!$A:$A,"&lt;"&amp;$J258+7))</f>
        <v/>
      </c>
      <c r="C258">
        <f>IF($J258="","",IFERROR(COUNTIFS('Weekly Log'!$G:$G,"Y",'Weekly Log'!$A:$A,"&gt;="&amp;$J258,'Weekly Log'!$A:$A,"&lt;"&amp;$J258+7)/COUNTIFS('Weekly Log'!$G:$G,"&lt;&gt;",'Weekly Log'!$A:$A,"&gt;="&amp;$J258,'Weekly Log'!$A:$A,"&lt;"&amp;$J258+7),0))</f>
        <v/>
      </c>
      <c r="D258">
        <f>IF($J258="","",IFERROR(COUNTIFS('Weekly Log'!$H:$H,"Y",'Weekly Log'!$A:$A,"&gt;="&amp;$J258,'Weekly Log'!$A:$A,"&lt;"&amp;$J258+7)/COUNTIFS('Weekly Log'!$H:$H,"&lt;&gt;",'Weekly Log'!$A:$A,"&gt;="&amp;$J258,'Weekly Log'!$A:$A,"&lt;"&amp;$J258+7),0))</f>
        <v/>
      </c>
      <c r="E258">
        <f>IF($J258="","",IFERROR(AVERAGEIFS('Weekly Log'!$F:$F,'Weekly Log'!$A:$A,"&gt;="&amp;$J258,'Weekly Log'!$A:$A,"&lt;"&amp;$J258+7),0))</f>
        <v/>
      </c>
      <c r="F258">
        <f>IF($J258="","",IFERROR(SUMIFS('Weekly Log'!$F:$F,'Weekly Log'!$A:$A,"&gt;="&amp;$J258,'Weekly Log'!$A:$A,"&lt;"&amp;$J258+7)/SUMIFS('Weekly Log'!$E:$E,'Weekly Log'!$A:$A,"&gt;="&amp;$J258,'Weekly Log'!$A:$A,"&lt;"&amp;$J258+7),0))</f>
        <v/>
      </c>
      <c r="G258">
        <f>IF($J258="","",IFERROR(LOOKUP(2,1/(('Weekly Log'!$A$5:$A$5000&gt;=$J258)*('Weekly Log'!$A$5:$A$5000&lt;$J258+7)*('Weekly Log'!$M$5:$M$5000&lt;&gt;"")),'Weekly Log'!$M$5:$M$5000),0))</f>
        <v/>
      </c>
      <c r="J258">
        <f>IF(COUNT('Weekly Log'!$A$5:$A$5000)=0,"",IF(MIN('Weekly Log'!$A$5:$A$5000)+7*(ROW()-10)&gt;MAX('Weekly Log'!$A$5:$A$5000),"",MIN('Weekly Log'!$A$5:$A$5000)+7*(ROW()-10)))</f>
        <v/>
      </c>
    </row>
    <row r="259">
      <c r="A259">
        <f>IF($J259="","",YEAR($J259-WEEKDAY($J259,2)+4)&amp;"-W"&amp;TEXT(WEEKNUM($J259,21),"00"))</f>
        <v/>
      </c>
      <c r="B259">
        <f>IF($J259="","",SUMIFS('Weekly Log'!$C:$C,'Weekly Log'!$A:$A,"&gt;="&amp;$J259,'Weekly Log'!$A:$A,"&lt;"&amp;$J259+7))</f>
        <v/>
      </c>
      <c r="C259">
        <f>IF($J259="","",IFERROR(COUNTIFS('Weekly Log'!$G:$G,"Y",'Weekly Log'!$A:$A,"&gt;="&amp;$J259,'Weekly Log'!$A:$A,"&lt;"&amp;$J259+7)/COUNTIFS('Weekly Log'!$G:$G,"&lt;&gt;",'Weekly Log'!$A:$A,"&gt;="&amp;$J259,'Weekly Log'!$A:$A,"&lt;"&amp;$J259+7),0))</f>
        <v/>
      </c>
      <c r="D259">
        <f>IF($J259="","",IFERROR(COUNTIFS('Weekly Log'!$H:$H,"Y",'Weekly Log'!$A:$A,"&gt;="&amp;$J259,'Weekly Log'!$A:$A,"&lt;"&amp;$J259+7)/COUNTIFS('Weekly Log'!$H:$H,"&lt;&gt;",'Weekly Log'!$A:$A,"&gt;="&amp;$J259,'Weekly Log'!$A:$A,"&lt;"&amp;$J259+7),0))</f>
        <v/>
      </c>
      <c r="E259">
        <f>IF($J259="","",IFERROR(AVERAGEIFS('Weekly Log'!$F:$F,'Weekly Log'!$A:$A,"&gt;="&amp;$J259,'Weekly Log'!$A:$A,"&lt;"&amp;$J259+7),0))</f>
        <v/>
      </c>
      <c r="F259">
        <f>IF($J259="","",IFERROR(SUMIFS('Weekly Log'!$F:$F,'Weekly Log'!$A:$A,"&gt;="&amp;$J259,'Weekly Log'!$A:$A,"&lt;"&amp;$J259+7)/SUMIFS('Weekly Log'!$E:$E,'Weekly Log'!$A:$A,"&gt;="&amp;$J259,'Weekly Log'!$A:$A,"&lt;"&amp;$J259+7),0))</f>
        <v/>
      </c>
      <c r="G259">
        <f>IF($J259="","",IFERROR(LOOKUP(2,1/(('Weekly Log'!$A$5:$A$5000&gt;=$J259)*('Weekly Log'!$A$5:$A$5000&lt;$J259+7)*('Weekly Log'!$M$5:$M$5000&lt;&gt;"")),'Weekly Log'!$M$5:$M$5000),0))</f>
        <v/>
      </c>
      <c r="J259">
        <f>IF(COUNT('Weekly Log'!$A$5:$A$5000)=0,"",IF(MIN('Weekly Log'!$A$5:$A$5000)+7*(ROW()-10)&gt;MAX('Weekly Log'!$A$5:$A$5000),"",MIN('Weekly Log'!$A$5:$A$5000)+7*(ROW()-10)))</f>
        <v/>
      </c>
    </row>
    <row r="260">
      <c r="A260">
        <f>IF($J260="","",YEAR($J260-WEEKDAY($J260,2)+4)&amp;"-W"&amp;TEXT(WEEKNUM($J260,21),"00"))</f>
        <v/>
      </c>
      <c r="B260">
        <f>IF($J260="","",SUMIFS('Weekly Log'!$C:$C,'Weekly Log'!$A:$A,"&gt;="&amp;$J260,'Weekly Log'!$A:$A,"&lt;"&amp;$J260+7))</f>
        <v/>
      </c>
      <c r="C260">
        <f>IF($J260="","",IFERROR(COUNTIFS('Weekly Log'!$G:$G,"Y",'Weekly Log'!$A:$A,"&gt;="&amp;$J260,'Weekly Log'!$A:$A,"&lt;"&amp;$J260+7)/COUNTIFS('Weekly Log'!$G:$G,"&lt;&gt;",'Weekly Log'!$A:$A,"&gt;="&amp;$J260,'Weekly Log'!$A:$A,"&lt;"&amp;$J260+7),0))</f>
        <v/>
      </c>
      <c r="D260">
        <f>IF($J260="","",IFERROR(COUNTIFS('Weekly Log'!$H:$H,"Y",'Weekly Log'!$A:$A,"&gt;="&amp;$J260,'Weekly Log'!$A:$A,"&lt;"&amp;$J260+7)/COUNTIFS('Weekly Log'!$H:$H,"&lt;&gt;",'Weekly Log'!$A:$A,"&gt;="&amp;$J260,'Weekly Log'!$A:$A,"&lt;"&amp;$J260+7),0))</f>
        <v/>
      </c>
      <c r="E260">
        <f>IF($J260="","",IFERROR(AVERAGEIFS('Weekly Log'!$F:$F,'Weekly Log'!$A:$A,"&gt;="&amp;$J260,'Weekly Log'!$A:$A,"&lt;"&amp;$J260+7),0))</f>
        <v/>
      </c>
      <c r="F260">
        <f>IF($J260="","",IFERROR(SUMIFS('Weekly Log'!$F:$F,'Weekly Log'!$A:$A,"&gt;="&amp;$J260,'Weekly Log'!$A:$A,"&lt;"&amp;$J260+7)/SUMIFS('Weekly Log'!$E:$E,'Weekly Log'!$A:$A,"&gt;="&amp;$J260,'Weekly Log'!$A:$A,"&lt;"&amp;$J260+7),0))</f>
        <v/>
      </c>
      <c r="G260">
        <f>IF($J260="","",IFERROR(LOOKUP(2,1/(('Weekly Log'!$A$5:$A$5000&gt;=$J260)*('Weekly Log'!$A$5:$A$5000&lt;$J260+7)*('Weekly Log'!$M$5:$M$5000&lt;&gt;"")),'Weekly Log'!$M$5:$M$5000),0))</f>
        <v/>
      </c>
      <c r="J260">
        <f>IF(COUNT('Weekly Log'!$A$5:$A$5000)=0,"",IF(MIN('Weekly Log'!$A$5:$A$5000)+7*(ROW()-10)&gt;MAX('Weekly Log'!$A$5:$A$5000),"",MIN('Weekly Log'!$A$5:$A$5000)+7*(ROW()-10)))</f>
        <v/>
      </c>
    </row>
    <row r="261">
      <c r="A261">
        <f>IF($J261="","",YEAR($J261-WEEKDAY($J261,2)+4)&amp;"-W"&amp;TEXT(WEEKNUM($J261,21),"00"))</f>
        <v/>
      </c>
      <c r="B261">
        <f>IF($J261="","",SUMIFS('Weekly Log'!$C:$C,'Weekly Log'!$A:$A,"&gt;="&amp;$J261,'Weekly Log'!$A:$A,"&lt;"&amp;$J261+7))</f>
        <v/>
      </c>
      <c r="C261">
        <f>IF($J261="","",IFERROR(COUNTIFS('Weekly Log'!$G:$G,"Y",'Weekly Log'!$A:$A,"&gt;="&amp;$J261,'Weekly Log'!$A:$A,"&lt;"&amp;$J261+7)/COUNTIFS('Weekly Log'!$G:$G,"&lt;&gt;",'Weekly Log'!$A:$A,"&gt;="&amp;$J261,'Weekly Log'!$A:$A,"&lt;"&amp;$J261+7),0))</f>
        <v/>
      </c>
      <c r="D261">
        <f>IF($J261="","",IFERROR(COUNTIFS('Weekly Log'!$H:$H,"Y",'Weekly Log'!$A:$A,"&gt;="&amp;$J261,'Weekly Log'!$A:$A,"&lt;"&amp;$J261+7)/COUNTIFS('Weekly Log'!$H:$H,"&lt;&gt;",'Weekly Log'!$A:$A,"&gt;="&amp;$J261,'Weekly Log'!$A:$A,"&lt;"&amp;$J261+7),0))</f>
        <v/>
      </c>
      <c r="E261">
        <f>IF($J261="","",IFERROR(AVERAGEIFS('Weekly Log'!$F:$F,'Weekly Log'!$A:$A,"&gt;="&amp;$J261,'Weekly Log'!$A:$A,"&lt;"&amp;$J261+7),0))</f>
        <v/>
      </c>
      <c r="F261">
        <f>IF($J261="","",IFERROR(SUMIFS('Weekly Log'!$F:$F,'Weekly Log'!$A:$A,"&gt;="&amp;$J261,'Weekly Log'!$A:$A,"&lt;"&amp;$J261+7)/SUMIFS('Weekly Log'!$E:$E,'Weekly Log'!$A:$A,"&gt;="&amp;$J261,'Weekly Log'!$A:$A,"&lt;"&amp;$J261+7),0))</f>
        <v/>
      </c>
      <c r="G261">
        <f>IF($J261="","",IFERROR(LOOKUP(2,1/(('Weekly Log'!$A$5:$A$5000&gt;=$J261)*('Weekly Log'!$A$5:$A$5000&lt;$J261+7)*('Weekly Log'!$M$5:$M$5000&lt;&gt;"")),'Weekly Log'!$M$5:$M$5000),0))</f>
        <v/>
      </c>
      <c r="J261">
        <f>IF(COUNT('Weekly Log'!$A$5:$A$5000)=0,"",IF(MIN('Weekly Log'!$A$5:$A$5000)+7*(ROW()-10)&gt;MAX('Weekly Log'!$A$5:$A$5000),"",MIN('Weekly Log'!$A$5:$A$5000)+7*(ROW()-10)))</f>
        <v/>
      </c>
    </row>
    <row r="262">
      <c r="A262">
        <f>IF($J262="","",YEAR($J262-WEEKDAY($J262,2)+4)&amp;"-W"&amp;TEXT(WEEKNUM($J262,21),"00"))</f>
        <v/>
      </c>
      <c r="B262">
        <f>IF($J262="","",SUMIFS('Weekly Log'!$C:$C,'Weekly Log'!$A:$A,"&gt;="&amp;$J262,'Weekly Log'!$A:$A,"&lt;"&amp;$J262+7))</f>
        <v/>
      </c>
      <c r="C262">
        <f>IF($J262="","",IFERROR(COUNTIFS('Weekly Log'!$G:$G,"Y",'Weekly Log'!$A:$A,"&gt;="&amp;$J262,'Weekly Log'!$A:$A,"&lt;"&amp;$J262+7)/COUNTIFS('Weekly Log'!$G:$G,"&lt;&gt;",'Weekly Log'!$A:$A,"&gt;="&amp;$J262,'Weekly Log'!$A:$A,"&lt;"&amp;$J262+7),0))</f>
        <v/>
      </c>
      <c r="D262">
        <f>IF($J262="","",IFERROR(COUNTIFS('Weekly Log'!$H:$H,"Y",'Weekly Log'!$A:$A,"&gt;="&amp;$J262,'Weekly Log'!$A:$A,"&lt;"&amp;$J262+7)/COUNTIFS('Weekly Log'!$H:$H,"&lt;&gt;",'Weekly Log'!$A:$A,"&gt;="&amp;$J262,'Weekly Log'!$A:$A,"&lt;"&amp;$J262+7),0))</f>
        <v/>
      </c>
      <c r="E262">
        <f>IF($J262="","",IFERROR(AVERAGEIFS('Weekly Log'!$F:$F,'Weekly Log'!$A:$A,"&gt;="&amp;$J262,'Weekly Log'!$A:$A,"&lt;"&amp;$J262+7),0))</f>
        <v/>
      </c>
      <c r="F262">
        <f>IF($J262="","",IFERROR(SUMIFS('Weekly Log'!$F:$F,'Weekly Log'!$A:$A,"&gt;="&amp;$J262,'Weekly Log'!$A:$A,"&lt;"&amp;$J262+7)/SUMIFS('Weekly Log'!$E:$E,'Weekly Log'!$A:$A,"&gt;="&amp;$J262,'Weekly Log'!$A:$A,"&lt;"&amp;$J262+7),0))</f>
        <v/>
      </c>
      <c r="G262">
        <f>IF($J262="","",IFERROR(LOOKUP(2,1/(('Weekly Log'!$A$5:$A$5000&gt;=$J262)*('Weekly Log'!$A$5:$A$5000&lt;$J262+7)*('Weekly Log'!$M$5:$M$5000&lt;&gt;"")),'Weekly Log'!$M$5:$M$5000),0))</f>
        <v/>
      </c>
      <c r="J262">
        <f>IF(COUNT('Weekly Log'!$A$5:$A$5000)=0,"",IF(MIN('Weekly Log'!$A$5:$A$5000)+7*(ROW()-10)&gt;MAX('Weekly Log'!$A$5:$A$5000),"",MIN('Weekly Log'!$A$5:$A$5000)+7*(ROW()-10)))</f>
        <v/>
      </c>
    </row>
    <row r="263">
      <c r="A263">
        <f>IF($J263="","",YEAR($J263-WEEKDAY($J263,2)+4)&amp;"-W"&amp;TEXT(WEEKNUM($J263,21),"00"))</f>
        <v/>
      </c>
      <c r="B263">
        <f>IF($J263="","",SUMIFS('Weekly Log'!$C:$C,'Weekly Log'!$A:$A,"&gt;="&amp;$J263,'Weekly Log'!$A:$A,"&lt;"&amp;$J263+7))</f>
        <v/>
      </c>
      <c r="C263">
        <f>IF($J263="","",IFERROR(COUNTIFS('Weekly Log'!$G:$G,"Y",'Weekly Log'!$A:$A,"&gt;="&amp;$J263,'Weekly Log'!$A:$A,"&lt;"&amp;$J263+7)/COUNTIFS('Weekly Log'!$G:$G,"&lt;&gt;",'Weekly Log'!$A:$A,"&gt;="&amp;$J263,'Weekly Log'!$A:$A,"&lt;"&amp;$J263+7),0))</f>
        <v/>
      </c>
      <c r="D263">
        <f>IF($J263="","",IFERROR(COUNTIFS('Weekly Log'!$H:$H,"Y",'Weekly Log'!$A:$A,"&gt;="&amp;$J263,'Weekly Log'!$A:$A,"&lt;"&amp;$J263+7)/COUNTIFS('Weekly Log'!$H:$H,"&lt;&gt;",'Weekly Log'!$A:$A,"&gt;="&amp;$J263,'Weekly Log'!$A:$A,"&lt;"&amp;$J263+7),0))</f>
        <v/>
      </c>
      <c r="E263">
        <f>IF($J263="","",IFERROR(AVERAGEIFS('Weekly Log'!$F:$F,'Weekly Log'!$A:$A,"&gt;="&amp;$J263,'Weekly Log'!$A:$A,"&lt;"&amp;$J263+7),0))</f>
        <v/>
      </c>
      <c r="F263">
        <f>IF($J263="","",IFERROR(SUMIFS('Weekly Log'!$F:$F,'Weekly Log'!$A:$A,"&gt;="&amp;$J263,'Weekly Log'!$A:$A,"&lt;"&amp;$J263+7)/SUMIFS('Weekly Log'!$E:$E,'Weekly Log'!$A:$A,"&gt;="&amp;$J263,'Weekly Log'!$A:$A,"&lt;"&amp;$J263+7),0))</f>
        <v/>
      </c>
      <c r="G263">
        <f>IF($J263="","",IFERROR(LOOKUP(2,1/(('Weekly Log'!$A$5:$A$5000&gt;=$J263)*('Weekly Log'!$A$5:$A$5000&lt;$J263+7)*('Weekly Log'!$M$5:$M$5000&lt;&gt;"")),'Weekly Log'!$M$5:$M$5000),0))</f>
        <v/>
      </c>
      <c r="J263">
        <f>IF(COUNT('Weekly Log'!$A$5:$A$5000)=0,"",IF(MIN('Weekly Log'!$A$5:$A$5000)+7*(ROW()-10)&gt;MAX('Weekly Log'!$A$5:$A$5000),"",MIN('Weekly Log'!$A$5:$A$5000)+7*(ROW()-10)))</f>
        <v/>
      </c>
    </row>
    <row r="264">
      <c r="A264">
        <f>IF($J264="","",YEAR($J264-WEEKDAY($J264,2)+4)&amp;"-W"&amp;TEXT(WEEKNUM($J264,21),"00"))</f>
        <v/>
      </c>
      <c r="B264">
        <f>IF($J264="","",SUMIFS('Weekly Log'!$C:$C,'Weekly Log'!$A:$A,"&gt;="&amp;$J264,'Weekly Log'!$A:$A,"&lt;"&amp;$J264+7))</f>
        <v/>
      </c>
      <c r="C264">
        <f>IF($J264="","",IFERROR(COUNTIFS('Weekly Log'!$G:$G,"Y",'Weekly Log'!$A:$A,"&gt;="&amp;$J264,'Weekly Log'!$A:$A,"&lt;"&amp;$J264+7)/COUNTIFS('Weekly Log'!$G:$G,"&lt;&gt;",'Weekly Log'!$A:$A,"&gt;="&amp;$J264,'Weekly Log'!$A:$A,"&lt;"&amp;$J264+7),0))</f>
        <v/>
      </c>
      <c r="D264">
        <f>IF($J264="","",IFERROR(COUNTIFS('Weekly Log'!$H:$H,"Y",'Weekly Log'!$A:$A,"&gt;="&amp;$J264,'Weekly Log'!$A:$A,"&lt;"&amp;$J264+7)/COUNTIFS('Weekly Log'!$H:$H,"&lt;&gt;",'Weekly Log'!$A:$A,"&gt;="&amp;$J264,'Weekly Log'!$A:$A,"&lt;"&amp;$J264+7),0))</f>
        <v/>
      </c>
      <c r="E264">
        <f>IF($J264="","",IFERROR(AVERAGEIFS('Weekly Log'!$F:$F,'Weekly Log'!$A:$A,"&gt;="&amp;$J264,'Weekly Log'!$A:$A,"&lt;"&amp;$J264+7),0))</f>
        <v/>
      </c>
      <c r="F264">
        <f>IF($J264="","",IFERROR(SUMIFS('Weekly Log'!$F:$F,'Weekly Log'!$A:$A,"&gt;="&amp;$J264,'Weekly Log'!$A:$A,"&lt;"&amp;$J264+7)/SUMIFS('Weekly Log'!$E:$E,'Weekly Log'!$A:$A,"&gt;="&amp;$J264,'Weekly Log'!$A:$A,"&lt;"&amp;$J264+7),0))</f>
        <v/>
      </c>
      <c r="G264">
        <f>IF($J264="","",IFERROR(LOOKUP(2,1/(('Weekly Log'!$A$5:$A$5000&gt;=$J264)*('Weekly Log'!$A$5:$A$5000&lt;$J264+7)*('Weekly Log'!$M$5:$M$5000&lt;&gt;"")),'Weekly Log'!$M$5:$M$5000),0))</f>
        <v/>
      </c>
      <c r="J264">
        <f>IF(COUNT('Weekly Log'!$A$5:$A$5000)=0,"",IF(MIN('Weekly Log'!$A$5:$A$5000)+7*(ROW()-10)&gt;MAX('Weekly Log'!$A$5:$A$5000),"",MIN('Weekly Log'!$A$5:$A$5000)+7*(ROW()-10)))</f>
        <v/>
      </c>
    </row>
    <row r="265">
      <c r="A265">
        <f>IF($J265="","",YEAR($J265-WEEKDAY($J265,2)+4)&amp;"-W"&amp;TEXT(WEEKNUM($J265,21),"00"))</f>
        <v/>
      </c>
      <c r="B265">
        <f>IF($J265="","",SUMIFS('Weekly Log'!$C:$C,'Weekly Log'!$A:$A,"&gt;="&amp;$J265,'Weekly Log'!$A:$A,"&lt;"&amp;$J265+7))</f>
        <v/>
      </c>
      <c r="C265">
        <f>IF($J265="","",IFERROR(COUNTIFS('Weekly Log'!$G:$G,"Y",'Weekly Log'!$A:$A,"&gt;="&amp;$J265,'Weekly Log'!$A:$A,"&lt;"&amp;$J265+7)/COUNTIFS('Weekly Log'!$G:$G,"&lt;&gt;",'Weekly Log'!$A:$A,"&gt;="&amp;$J265,'Weekly Log'!$A:$A,"&lt;"&amp;$J265+7),0))</f>
        <v/>
      </c>
      <c r="D265">
        <f>IF($J265="","",IFERROR(COUNTIFS('Weekly Log'!$H:$H,"Y",'Weekly Log'!$A:$A,"&gt;="&amp;$J265,'Weekly Log'!$A:$A,"&lt;"&amp;$J265+7)/COUNTIFS('Weekly Log'!$H:$H,"&lt;&gt;",'Weekly Log'!$A:$A,"&gt;="&amp;$J265,'Weekly Log'!$A:$A,"&lt;"&amp;$J265+7),0))</f>
        <v/>
      </c>
      <c r="E265">
        <f>IF($J265="","",IFERROR(AVERAGEIFS('Weekly Log'!$F:$F,'Weekly Log'!$A:$A,"&gt;="&amp;$J265,'Weekly Log'!$A:$A,"&lt;"&amp;$J265+7),0))</f>
        <v/>
      </c>
      <c r="F265">
        <f>IF($J265="","",IFERROR(SUMIFS('Weekly Log'!$F:$F,'Weekly Log'!$A:$A,"&gt;="&amp;$J265,'Weekly Log'!$A:$A,"&lt;"&amp;$J265+7)/SUMIFS('Weekly Log'!$E:$E,'Weekly Log'!$A:$A,"&gt;="&amp;$J265,'Weekly Log'!$A:$A,"&lt;"&amp;$J265+7),0))</f>
        <v/>
      </c>
      <c r="G265">
        <f>IF($J265="","",IFERROR(LOOKUP(2,1/(('Weekly Log'!$A$5:$A$5000&gt;=$J265)*('Weekly Log'!$A$5:$A$5000&lt;$J265+7)*('Weekly Log'!$M$5:$M$5000&lt;&gt;"")),'Weekly Log'!$M$5:$M$5000),0))</f>
        <v/>
      </c>
      <c r="J265">
        <f>IF(COUNT('Weekly Log'!$A$5:$A$5000)=0,"",IF(MIN('Weekly Log'!$A$5:$A$5000)+7*(ROW()-10)&gt;MAX('Weekly Log'!$A$5:$A$5000),"",MIN('Weekly Log'!$A$5:$A$5000)+7*(ROW()-10)))</f>
        <v/>
      </c>
    </row>
    <row r="266">
      <c r="A266">
        <f>IF($J266="","",YEAR($J266-WEEKDAY($J266,2)+4)&amp;"-W"&amp;TEXT(WEEKNUM($J266,21),"00"))</f>
        <v/>
      </c>
      <c r="B266">
        <f>IF($J266="","",SUMIFS('Weekly Log'!$C:$C,'Weekly Log'!$A:$A,"&gt;="&amp;$J266,'Weekly Log'!$A:$A,"&lt;"&amp;$J266+7))</f>
        <v/>
      </c>
      <c r="C266">
        <f>IF($J266="","",IFERROR(COUNTIFS('Weekly Log'!$G:$G,"Y",'Weekly Log'!$A:$A,"&gt;="&amp;$J266,'Weekly Log'!$A:$A,"&lt;"&amp;$J266+7)/COUNTIFS('Weekly Log'!$G:$G,"&lt;&gt;",'Weekly Log'!$A:$A,"&gt;="&amp;$J266,'Weekly Log'!$A:$A,"&lt;"&amp;$J266+7),0))</f>
        <v/>
      </c>
      <c r="D266">
        <f>IF($J266="","",IFERROR(COUNTIFS('Weekly Log'!$H:$H,"Y",'Weekly Log'!$A:$A,"&gt;="&amp;$J266,'Weekly Log'!$A:$A,"&lt;"&amp;$J266+7)/COUNTIFS('Weekly Log'!$H:$H,"&lt;&gt;",'Weekly Log'!$A:$A,"&gt;="&amp;$J266,'Weekly Log'!$A:$A,"&lt;"&amp;$J266+7),0))</f>
        <v/>
      </c>
      <c r="E266">
        <f>IF($J266="","",IFERROR(AVERAGEIFS('Weekly Log'!$F:$F,'Weekly Log'!$A:$A,"&gt;="&amp;$J266,'Weekly Log'!$A:$A,"&lt;"&amp;$J266+7),0))</f>
        <v/>
      </c>
      <c r="F266">
        <f>IF($J266="","",IFERROR(SUMIFS('Weekly Log'!$F:$F,'Weekly Log'!$A:$A,"&gt;="&amp;$J266,'Weekly Log'!$A:$A,"&lt;"&amp;$J266+7)/SUMIFS('Weekly Log'!$E:$E,'Weekly Log'!$A:$A,"&gt;="&amp;$J266,'Weekly Log'!$A:$A,"&lt;"&amp;$J266+7),0))</f>
        <v/>
      </c>
      <c r="G266">
        <f>IF($J266="","",IFERROR(LOOKUP(2,1/(('Weekly Log'!$A$5:$A$5000&gt;=$J266)*('Weekly Log'!$A$5:$A$5000&lt;$J266+7)*('Weekly Log'!$M$5:$M$5000&lt;&gt;"")),'Weekly Log'!$M$5:$M$5000),0))</f>
        <v/>
      </c>
      <c r="J266">
        <f>IF(COUNT('Weekly Log'!$A$5:$A$5000)=0,"",IF(MIN('Weekly Log'!$A$5:$A$5000)+7*(ROW()-10)&gt;MAX('Weekly Log'!$A$5:$A$5000),"",MIN('Weekly Log'!$A$5:$A$5000)+7*(ROW()-10)))</f>
        <v/>
      </c>
    </row>
    <row r="267">
      <c r="A267">
        <f>IF($J267="","",YEAR($J267-WEEKDAY($J267,2)+4)&amp;"-W"&amp;TEXT(WEEKNUM($J267,21),"00"))</f>
        <v/>
      </c>
      <c r="B267">
        <f>IF($J267="","",SUMIFS('Weekly Log'!$C:$C,'Weekly Log'!$A:$A,"&gt;="&amp;$J267,'Weekly Log'!$A:$A,"&lt;"&amp;$J267+7))</f>
        <v/>
      </c>
      <c r="C267">
        <f>IF($J267="","",IFERROR(COUNTIFS('Weekly Log'!$G:$G,"Y",'Weekly Log'!$A:$A,"&gt;="&amp;$J267,'Weekly Log'!$A:$A,"&lt;"&amp;$J267+7)/COUNTIFS('Weekly Log'!$G:$G,"&lt;&gt;",'Weekly Log'!$A:$A,"&gt;="&amp;$J267,'Weekly Log'!$A:$A,"&lt;"&amp;$J267+7),0))</f>
        <v/>
      </c>
      <c r="D267">
        <f>IF($J267="","",IFERROR(COUNTIFS('Weekly Log'!$H:$H,"Y",'Weekly Log'!$A:$A,"&gt;="&amp;$J267,'Weekly Log'!$A:$A,"&lt;"&amp;$J267+7)/COUNTIFS('Weekly Log'!$H:$H,"&lt;&gt;",'Weekly Log'!$A:$A,"&gt;="&amp;$J267,'Weekly Log'!$A:$A,"&lt;"&amp;$J267+7),0))</f>
        <v/>
      </c>
      <c r="E267">
        <f>IF($J267="","",IFERROR(AVERAGEIFS('Weekly Log'!$F:$F,'Weekly Log'!$A:$A,"&gt;="&amp;$J267,'Weekly Log'!$A:$A,"&lt;"&amp;$J267+7),0))</f>
        <v/>
      </c>
      <c r="F267">
        <f>IF($J267="","",IFERROR(SUMIFS('Weekly Log'!$F:$F,'Weekly Log'!$A:$A,"&gt;="&amp;$J267,'Weekly Log'!$A:$A,"&lt;"&amp;$J267+7)/SUMIFS('Weekly Log'!$E:$E,'Weekly Log'!$A:$A,"&gt;="&amp;$J267,'Weekly Log'!$A:$A,"&lt;"&amp;$J267+7),0))</f>
        <v/>
      </c>
      <c r="G267">
        <f>IF($J267="","",IFERROR(LOOKUP(2,1/(('Weekly Log'!$A$5:$A$5000&gt;=$J267)*('Weekly Log'!$A$5:$A$5000&lt;$J267+7)*('Weekly Log'!$M$5:$M$5000&lt;&gt;"")),'Weekly Log'!$M$5:$M$5000),0))</f>
        <v/>
      </c>
      <c r="J267">
        <f>IF(COUNT('Weekly Log'!$A$5:$A$5000)=0,"",IF(MIN('Weekly Log'!$A$5:$A$5000)+7*(ROW()-10)&gt;MAX('Weekly Log'!$A$5:$A$5000),"",MIN('Weekly Log'!$A$5:$A$5000)+7*(ROW()-10)))</f>
        <v/>
      </c>
    </row>
    <row r="268">
      <c r="A268">
        <f>IF($J268="","",YEAR($J268-WEEKDAY($J268,2)+4)&amp;"-W"&amp;TEXT(WEEKNUM($J268,21),"00"))</f>
        <v/>
      </c>
      <c r="B268">
        <f>IF($J268="","",SUMIFS('Weekly Log'!$C:$C,'Weekly Log'!$A:$A,"&gt;="&amp;$J268,'Weekly Log'!$A:$A,"&lt;"&amp;$J268+7))</f>
        <v/>
      </c>
      <c r="C268">
        <f>IF($J268="","",IFERROR(COUNTIFS('Weekly Log'!$G:$G,"Y",'Weekly Log'!$A:$A,"&gt;="&amp;$J268,'Weekly Log'!$A:$A,"&lt;"&amp;$J268+7)/COUNTIFS('Weekly Log'!$G:$G,"&lt;&gt;",'Weekly Log'!$A:$A,"&gt;="&amp;$J268,'Weekly Log'!$A:$A,"&lt;"&amp;$J268+7),0))</f>
        <v/>
      </c>
      <c r="D268">
        <f>IF($J268="","",IFERROR(COUNTIFS('Weekly Log'!$H:$H,"Y",'Weekly Log'!$A:$A,"&gt;="&amp;$J268,'Weekly Log'!$A:$A,"&lt;"&amp;$J268+7)/COUNTIFS('Weekly Log'!$H:$H,"&lt;&gt;",'Weekly Log'!$A:$A,"&gt;="&amp;$J268,'Weekly Log'!$A:$A,"&lt;"&amp;$J268+7),0))</f>
        <v/>
      </c>
      <c r="E268">
        <f>IF($J268="","",IFERROR(AVERAGEIFS('Weekly Log'!$F:$F,'Weekly Log'!$A:$A,"&gt;="&amp;$J268,'Weekly Log'!$A:$A,"&lt;"&amp;$J268+7),0))</f>
        <v/>
      </c>
      <c r="F268">
        <f>IF($J268="","",IFERROR(SUMIFS('Weekly Log'!$F:$F,'Weekly Log'!$A:$A,"&gt;="&amp;$J268,'Weekly Log'!$A:$A,"&lt;"&amp;$J268+7)/SUMIFS('Weekly Log'!$E:$E,'Weekly Log'!$A:$A,"&gt;="&amp;$J268,'Weekly Log'!$A:$A,"&lt;"&amp;$J268+7),0))</f>
        <v/>
      </c>
      <c r="G268">
        <f>IF($J268="","",IFERROR(LOOKUP(2,1/(('Weekly Log'!$A$5:$A$5000&gt;=$J268)*('Weekly Log'!$A$5:$A$5000&lt;$J268+7)*('Weekly Log'!$M$5:$M$5000&lt;&gt;"")),'Weekly Log'!$M$5:$M$5000),0))</f>
        <v/>
      </c>
      <c r="J268">
        <f>IF(COUNT('Weekly Log'!$A$5:$A$5000)=0,"",IF(MIN('Weekly Log'!$A$5:$A$5000)+7*(ROW()-10)&gt;MAX('Weekly Log'!$A$5:$A$5000),"",MIN('Weekly Log'!$A$5:$A$5000)+7*(ROW()-10)))</f>
        <v/>
      </c>
    </row>
    <row r="269">
      <c r="A269">
        <f>IF($J269="","",YEAR($J269-WEEKDAY($J269,2)+4)&amp;"-W"&amp;TEXT(WEEKNUM($J269,21),"00"))</f>
        <v/>
      </c>
      <c r="B269">
        <f>IF($J269="","",SUMIFS('Weekly Log'!$C:$C,'Weekly Log'!$A:$A,"&gt;="&amp;$J269,'Weekly Log'!$A:$A,"&lt;"&amp;$J269+7))</f>
        <v/>
      </c>
      <c r="C269">
        <f>IF($J269="","",IFERROR(COUNTIFS('Weekly Log'!$G:$G,"Y",'Weekly Log'!$A:$A,"&gt;="&amp;$J269,'Weekly Log'!$A:$A,"&lt;"&amp;$J269+7)/COUNTIFS('Weekly Log'!$G:$G,"&lt;&gt;",'Weekly Log'!$A:$A,"&gt;="&amp;$J269,'Weekly Log'!$A:$A,"&lt;"&amp;$J269+7),0))</f>
        <v/>
      </c>
      <c r="D269">
        <f>IF($J269="","",IFERROR(COUNTIFS('Weekly Log'!$H:$H,"Y",'Weekly Log'!$A:$A,"&gt;="&amp;$J269,'Weekly Log'!$A:$A,"&lt;"&amp;$J269+7)/COUNTIFS('Weekly Log'!$H:$H,"&lt;&gt;",'Weekly Log'!$A:$A,"&gt;="&amp;$J269,'Weekly Log'!$A:$A,"&lt;"&amp;$J269+7),0))</f>
        <v/>
      </c>
      <c r="E269">
        <f>IF($J269="","",IFERROR(AVERAGEIFS('Weekly Log'!$F:$F,'Weekly Log'!$A:$A,"&gt;="&amp;$J269,'Weekly Log'!$A:$A,"&lt;"&amp;$J269+7),0))</f>
        <v/>
      </c>
      <c r="F269">
        <f>IF($J269="","",IFERROR(SUMIFS('Weekly Log'!$F:$F,'Weekly Log'!$A:$A,"&gt;="&amp;$J269,'Weekly Log'!$A:$A,"&lt;"&amp;$J269+7)/SUMIFS('Weekly Log'!$E:$E,'Weekly Log'!$A:$A,"&gt;="&amp;$J269,'Weekly Log'!$A:$A,"&lt;"&amp;$J269+7),0))</f>
        <v/>
      </c>
      <c r="G269">
        <f>IF($J269="","",IFERROR(LOOKUP(2,1/(('Weekly Log'!$A$5:$A$5000&gt;=$J269)*('Weekly Log'!$A$5:$A$5000&lt;$J269+7)*('Weekly Log'!$M$5:$M$5000&lt;&gt;"")),'Weekly Log'!$M$5:$M$5000),0))</f>
        <v/>
      </c>
      <c r="J269">
        <f>IF(COUNT('Weekly Log'!$A$5:$A$5000)=0,"",IF(MIN('Weekly Log'!$A$5:$A$5000)+7*(ROW()-10)&gt;MAX('Weekly Log'!$A$5:$A$5000),"",MIN('Weekly Log'!$A$5:$A$5000)+7*(ROW()-10)))</f>
        <v/>
      </c>
    </row>
    <row r="270">
      <c r="A270">
        <f>IF($J270="","",YEAR($J270-WEEKDAY($J270,2)+4)&amp;"-W"&amp;TEXT(WEEKNUM($J270,21),"00"))</f>
        <v/>
      </c>
      <c r="B270">
        <f>IF($J270="","",SUMIFS('Weekly Log'!$C:$C,'Weekly Log'!$A:$A,"&gt;="&amp;$J270,'Weekly Log'!$A:$A,"&lt;"&amp;$J270+7))</f>
        <v/>
      </c>
      <c r="C270">
        <f>IF($J270="","",IFERROR(COUNTIFS('Weekly Log'!$G:$G,"Y",'Weekly Log'!$A:$A,"&gt;="&amp;$J270,'Weekly Log'!$A:$A,"&lt;"&amp;$J270+7)/COUNTIFS('Weekly Log'!$G:$G,"&lt;&gt;",'Weekly Log'!$A:$A,"&gt;="&amp;$J270,'Weekly Log'!$A:$A,"&lt;"&amp;$J270+7),0))</f>
        <v/>
      </c>
      <c r="D270">
        <f>IF($J270="","",IFERROR(COUNTIFS('Weekly Log'!$H:$H,"Y",'Weekly Log'!$A:$A,"&gt;="&amp;$J270,'Weekly Log'!$A:$A,"&lt;"&amp;$J270+7)/COUNTIFS('Weekly Log'!$H:$H,"&lt;&gt;",'Weekly Log'!$A:$A,"&gt;="&amp;$J270,'Weekly Log'!$A:$A,"&lt;"&amp;$J270+7),0))</f>
        <v/>
      </c>
      <c r="E270">
        <f>IF($J270="","",IFERROR(AVERAGEIFS('Weekly Log'!$F:$F,'Weekly Log'!$A:$A,"&gt;="&amp;$J270,'Weekly Log'!$A:$A,"&lt;"&amp;$J270+7),0))</f>
        <v/>
      </c>
      <c r="F270">
        <f>IF($J270="","",IFERROR(SUMIFS('Weekly Log'!$F:$F,'Weekly Log'!$A:$A,"&gt;="&amp;$J270,'Weekly Log'!$A:$A,"&lt;"&amp;$J270+7)/SUMIFS('Weekly Log'!$E:$E,'Weekly Log'!$A:$A,"&gt;="&amp;$J270,'Weekly Log'!$A:$A,"&lt;"&amp;$J270+7),0))</f>
        <v/>
      </c>
      <c r="G270">
        <f>IF($J270="","",IFERROR(LOOKUP(2,1/(('Weekly Log'!$A$5:$A$5000&gt;=$J270)*('Weekly Log'!$A$5:$A$5000&lt;$J270+7)*('Weekly Log'!$M$5:$M$5000&lt;&gt;"")),'Weekly Log'!$M$5:$M$5000),0))</f>
        <v/>
      </c>
      <c r="J270">
        <f>IF(COUNT('Weekly Log'!$A$5:$A$5000)=0,"",IF(MIN('Weekly Log'!$A$5:$A$5000)+7*(ROW()-10)&gt;MAX('Weekly Log'!$A$5:$A$5000),"",MIN('Weekly Log'!$A$5:$A$5000)+7*(ROW()-10)))</f>
        <v/>
      </c>
    </row>
    <row r="271">
      <c r="A271">
        <f>IF($J271="","",YEAR($J271-WEEKDAY($J271,2)+4)&amp;"-W"&amp;TEXT(WEEKNUM($J271,21),"00"))</f>
        <v/>
      </c>
      <c r="B271">
        <f>IF($J271="","",SUMIFS('Weekly Log'!$C:$C,'Weekly Log'!$A:$A,"&gt;="&amp;$J271,'Weekly Log'!$A:$A,"&lt;"&amp;$J271+7))</f>
        <v/>
      </c>
      <c r="C271">
        <f>IF($J271="","",IFERROR(COUNTIFS('Weekly Log'!$G:$G,"Y",'Weekly Log'!$A:$A,"&gt;="&amp;$J271,'Weekly Log'!$A:$A,"&lt;"&amp;$J271+7)/COUNTIFS('Weekly Log'!$G:$G,"&lt;&gt;",'Weekly Log'!$A:$A,"&gt;="&amp;$J271,'Weekly Log'!$A:$A,"&lt;"&amp;$J271+7),0))</f>
        <v/>
      </c>
      <c r="D271">
        <f>IF($J271="","",IFERROR(COUNTIFS('Weekly Log'!$H:$H,"Y",'Weekly Log'!$A:$A,"&gt;="&amp;$J271,'Weekly Log'!$A:$A,"&lt;"&amp;$J271+7)/COUNTIFS('Weekly Log'!$H:$H,"&lt;&gt;",'Weekly Log'!$A:$A,"&gt;="&amp;$J271,'Weekly Log'!$A:$A,"&lt;"&amp;$J271+7),0))</f>
        <v/>
      </c>
      <c r="E271">
        <f>IF($J271="","",IFERROR(AVERAGEIFS('Weekly Log'!$F:$F,'Weekly Log'!$A:$A,"&gt;="&amp;$J271,'Weekly Log'!$A:$A,"&lt;"&amp;$J271+7),0))</f>
        <v/>
      </c>
      <c r="F271">
        <f>IF($J271="","",IFERROR(SUMIFS('Weekly Log'!$F:$F,'Weekly Log'!$A:$A,"&gt;="&amp;$J271,'Weekly Log'!$A:$A,"&lt;"&amp;$J271+7)/SUMIFS('Weekly Log'!$E:$E,'Weekly Log'!$A:$A,"&gt;="&amp;$J271,'Weekly Log'!$A:$A,"&lt;"&amp;$J271+7),0))</f>
        <v/>
      </c>
      <c r="G271">
        <f>IF($J271="","",IFERROR(LOOKUP(2,1/(('Weekly Log'!$A$5:$A$5000&gt;=$J271)*('Weekly Log'!$A$5:$A$5000&lt;$J271+7)*('Weekly Log'!$M$5:$M$5000&lt;&gt;"")),'Weekly Log'!$M$5:$M$5000),0))</f>
        <v/>
      </c>
      <c r="J271">
        <f>IF(COUNT('Weekly Log'!$A$5:$A$5000)=0,"",IF(MIN('Weekly Log'!$A$5:$A$5000)+7*(ROW()-10)&gt;MAX('Weekly Log'!$A$5:$A$5000),"",MIN('Weekly Log'!$A$5:$A$5000)+7*(ROW()-10)))</f>
        <v/>
      </c>
    </row>
    <row r="272">
      <c r="A272">
        <f>IF($J272="","",YEAR($J272-WEEKDAY($J272,2)+4)&amp;"-W"&amp;TEXT(WEEKNUM($J272,21),"00"))</f>
        <v/>
      </c>
      <c r="B272">
        <f>IF($J272="","",SUMIFS('Weekly Log'!$C:$C,'Weekly Log'!$A:$A,"&gt;="&amp;$J272,'Weekly Log'!$A:$A,"&lt;"&amp;$J272+7))</f>
        <v/>
      </c>
      <c r="C272">
        <f>IF($J272="","",IFERROR(COUNTIFS('Weekly Log'!$G:$G,"Y",'Weekly Log'!$A:$A,"&gt;="&amp;$J272,'Weekly Log'!$A:$A,"&lt;"&amp;$J272+7)/COUNTIFS('Weekly Log'!$G:$G,"&lt;&gt;",'Weekly Log'!$A:$A,"&gt;="&amp;$J272,'Weekly Log'!$A:$A,"&lt;"&amp;$J272+7),0))</f>
        <v/>
      </c>
      <c r="D272">
        <f>IF($J272="","",IFERROR(COUNTIFS('Weekly Log'!$H:$H,"Y",'Weekly Log'!$A:$A,"&gt;="&amp;$J272,'Weekly Log'!$A:$A,"&lt;"&amp;$J272+7)/COUNTIFS('Weekly Log'!$H:$H,"&lt;&gt;",'Weekly Log'!$A:$A,"&gt;="&amp;$J272,'Weekly Log'!$A:$A,"&lt;"&amp;$J272+7),0))</f>
        <v/>
      </c>
      <c r="E272">
        <f>IF($J272="","",IFERROR(AVERAGEIFS('Weekly Log'!$F:$F,'Weekly Log'!$A:$A,"&gt;="&amp;$J272,'Weekly Log'!$A:$A,"&lt;"&amp;$J272+7),0))</f>
        <v/>
      </c>
      <c r="F272">
        <f>IF($J272="","",IFERROR(SUMIFS('Weekly Log'!$F:$F,'Weekly Log'!$A:$A,"&gt;="&amp;$J272,'Weekly Log'!$A:$A,"&lt;"&amp;$J272+7)/SUMIFS('Weekly Log'!$E:$E,'Weekly Log'!$A:$A,"&gt;="&amp;$J272,'Weekly Log'!$A:$A,"&lt;"&amp;$J272+7),0))</f>
        <v/>
      </c>
      <c r="G272">
        <f>IF($J272="","",IFERROR(LOOKUP(2,1/(('Weekly Log'!$A$5:$A$5000&gt;=$J272)*('Weekly Log'!$A$5:$A$5000&lt;$J272+7)*('Weekly Log'!$M$5:$M$5000&lt;&gt;"")),'Weekly Log'!$M$5:$M$5000),0))</f>
        <v/>
      </c>
      <c r="J272">
        <f>IF(COUNT('Weekly Log'!$A$5:$A$5000)=0,"",IF(MIN('Weekly Log'!$A$5:$A$5000)+7*(ROW()-10)&gt;MAX('Weekly Log'!$A$5:$A$5000),"",MIN('Weekly Log'!$A$5:$A$5000)+7*(ROW()-10)))</f>
        <v/>
      </c>
    </row>
    <row r="273">
      <c r="A273">
        <f>IF($J273="","",YEAR($J273-WEEKDAY($J273,2)+4)&amp;"-W"&amp;TEXT(WEEKNUM($J273,21),"00"))</f>
        <v/>
      </c>
      <c r="B273">
        <f>IF($J273="","",SUMIFS('Weekly Log'!$C:$C,'Weekly Log'!$A:$A,"&gt;="&amp;$J273,'Weekly Log'!$A:$A,"&lt;"&amp;$J273+7))</f>
        <v/>
      </c>
      <c r="C273">
        <f>IF($J273="","",IFERROR(COUNTIFS('Weekly Log'!$G:$G,"Y",'Weekly Log'!$A:$A,"&gt;="&amp;$J273,'Weekly Log'!$A:$A,"&lt;"&amp;$J273+7)/COUNTIFS('Weekly Log'!$G:$G,"&lt;&gt;",'Weekly Log'!$A:$A,"&gt;="&amp;$J273,'Weekly Log'!$A:$A,"&lt;"&amp;$J273+7),0))</f>
        <v/>
      </c>
      <c r="D273">
        <f>IF($J273="","",IFERROR(COUNTIFS('Weekly Log'!$H:$H,"Y",'Weekly Log'!$A:$A,"&gt;="&amp;$J273,'Weekly Log'!$A:$A,"&lt;"&amp;$J273+7)/COUNTIFS('Weekly Log'!$H:$H,"&lt;&gt;",'Weekly Log'!$A:$A,"&gt;="&amp;$J273,'Weekly Log'!$A:$A,"&lt;"&amp;$J273+7),0))</f>
        <v/>
      </c>
      <c r="E273">
        <f>IF($J273="","",IFERROR(AVERAGEIFS('Weekly Log'!$F:$F,'Weekly Log'!$A:$A,"&gt;="&amp;$J273,'Weekly Log'!$A:$A,"&lt;"&amp;$J273+7),0))</f>
        <v/>
      </c>
      <c r="F273">
        <f>IF($J273="","",IFERROR(SUMIFS('Weekly Log'!$F:$F,'Weekly Log'!$A:$A,"&gt;="&amp;$J273,'Weekly Log'!$A:$A,"&lt;"&amp;$J273+7)/SUMIFS('Weekly Log'!$E:$E,'Weekly Log'!$A:$A,"&gt;="&amp;$J273,'Weekly Log'!$A:$A,"&lt;"&amp;$J273+7),0))</f>
        <v/>
      </c>
      <c r="G273">
        <f>IF($J273="","",IFERROR(LOOKUP(2,1/(('Weekly Log'!$A$5:$A$5000&gt;=$J273)*('Weekly Log'!$A$5:$A$5000&lt;$J273+7)*('Weekly Log'!$M$5:$M$5000&lt;&gt;"")),'Weekly Log'!$M$5:$M$5000),0))</f>
        <v/>
      </c>
      <c r="J273">
        <f>IF(COUNT('Weekly Log'!$A$5:$A$5000)=0,"",IF(MIN('Weekly Log'!$A$5:$A$5000)+7*(ROW()-10)&gt;MAX('Weekly Log'!$A$5:$A$5000),"",MIN('Weekly Log'!$A$5:$A$5000)+7*(ROW()-10)))</f>
        <v/>
      </c>
    </row>
    <row r="274">
      <c r="A274">
        <f>IF($J274="","",YEAR($J274-WEEKDAY($J274,2)+4)&amp;"-W"&amp;TEXT(WEEKNUM($J274,21),"00"))</f>
        <v/>
      </c>
      <c r="B274">
        <f>IF($J274="","",SUMIFS('Weekly Log'!$C:$C,'Weekly Log'!$A:$A,"&gt;="&amp;$J274,'Weekly Log'!$A:$A,"&lt;"&amp;$J274+7))</f>
        <v/>
      </c>
      <c r="C274">
        <f>IF($J274="","",IFERROR(COUNTIFS('Weekly Log'!$G:$G,"Y",'Weekly Log'!$A:$A,"&gt;="&amp;$J274,'Weekly Log'!$A:$A,"&lt;"&amp;$J274+7)/COUNTIFS('Weekly Log'!$G:$G,"&lt;&gt;",'Weekly Log'!$A:$A,"&gt;="&amp;$J274,'Weekly Log'!$A:$A,"&lt;"&amp;$J274+7),0))</f>
        <v/>
      </c>
      <c r="D274">
        <f>IF($J274="","",IFERROR(COUNTIFS('Weekly Log'!$H:$H,"Y",'Weekly Log'!$A:$A,"&gt;="&amp;$J274,'Weekly Log'!$A:$A,"&lt;"&amp;$J274+7)/COUNTIFS('Weekly Log'!$H:$H,"&lt;&gt;",'Weekly Log'!$A:$A,"&gt;="&amp;$J274,'Weekly Log'!$A:$A,"&lt;"&amp;$J274+7),0))</f>
        <v/>
      </c>
      <c r="E274">
        <f>IF($J274="","",IFERROR(AVERAGEIFS('Weekly Log'!$F:$F,'Weekly Log'!$A:$A,"&gt;="&amp;$J274,'Weekly Log'!$A:$A,"&lt;"&amp;$J274+7),0))</f>
        <v/>
      </c>
      <c r="F274">
        <f>IF($J274="","",IFERROR(SUMIFS('Weekly Log'!$F:$F,'Weekly Log'!$A:$A,"&gt;="&amp;$J274,'Weekly Log'!$A:$A,"&lt;"&amp;$J274+7)/SUMIFS('Weekly Log'!$E:$E,'Weekly Log'!$A:$A,"&gt;="&amp;$J274,'Weekly Log'!$A:$A,"&lt;"&amp;$J274+7),0))</f>
        <v/>
      </c>
      <c r="G274">
        <f>IF($J274="","",IFERROR(LOOKUP(2,1/(('Weekly Log'!$A$5:$A$5000&gt;=$J274)*('Weekly Log'!$A$5:$A$5000&lt;$J274+7)*('Weekly Log'!$M$5:$M$5000&lt;&gt;"")),'Weekly Log'!$M$5:$M$5000),0))</f>
        <v/>
      </c>
      <c r="J274">
        <f>IF(COUNT('Weekly Log'!$A$5:$A$5000)=0,"",IF(MIN('Weekly Log'!$A$5:$A$5000)+7*(ROW()-10)&gt;MAX('Weekly Log'!$A$5:$A$5000),"",MIN('Weekly Log'!$A$5:$A$5000)+7*(ROW()-10)))</f>
        <v/>
      </c>
    </row>
    <row r="275">
      <c r="A275">
        <f>IF($J275="","",YEAR($J275-WEEKDAY($J275,2)+4)&amp;"-W"&amp;TEXT(WEEKNUM($J275,21),"00"))</f>
        <v/>
      </c>
      <c r="B275">
        <f>IF($J275="","",SUMIFS('Weekly Log'!$C:$C,'Weekly Log'!$A:$A,"&gt;="&amp;$J275,'Weekly Log'!$A:$A,"&lt;"&amp;$J275+7))</f>
        <v/>
      </c>
      <c r="C275">
        <f>IF($J275="","",IFERROR(COUNTIFS('Weekly Log'!$G:$G,"Y",'Weekly Log'!$A:$A,"&gt;="&amp;$J275,'Weekly Log'!$A:$A,"&lt;"&amp;$J275+7)/COUNTIFS('Weekly Log'!$G:$G,"&lt;&gt;",'Weekly Log'!$A:$A,"&gt;="&amp;$J275,'Weekly Log'!$A:$A,"&lt;"&amp;$J275+7),0))</f>
        <v/>
      </c>
      <c r="D275">
        <f>IF($J275="","",IFERROR(COUNTIFS('Weekly Log'!$H:$H,"Y",'Weekly Log'!$A:$A,"&gt;="&amp;$J275,'Weekly Log'!$A:$A,"&lt;"&amp;$J275+7)/COUNTIFS('Weekly Log'!$H:$H,"&lt;&gt;",'Weekly Log'!$A:$A,"&gt;="&amp;$J275,'Weekly Log'!$A:$A,"&lt;"&amp;$J275+7),0))</f>
        <v/>
      </c>
      <c r="E275">
        <f>IF($J275="","",IFERROR(AVERAGEIFS('Weekly Log'!$F:$F,'Weekly Log'!$A:$A,"&gt;="&amp;$J275,'Weekly Log'!$A:$A,"&lt;"&amp;$J275+7),0))</f>
        <v/>
      </c>
      <c r="F275">
        <f>IF($J275="","",IFERROR(SUMIFS('Weekly Log'!$F:$F,'Weekly Log'!$A:$A,"&gt;="&amp;$J275,'Weekly Log'!$A:$A,"&lt;"&amp;$J275+7)/SUMIFS('Weekly Log'!$E:$E,'Weekly Log'!$A:$A,"&gt;="&amp;$J275,'Weekly Log'!$A:$A,"&lt;"&amp;$J275+7),0))</f>
        <v/>
      </c>
      <c r="G275">
        <f>IF($J275="","",IFERROR(LOOKUP(2,1/(('Weekly Log'!$A$5:$A$5000&gt;=$J275)*('Weekly Log'!$A$5:$A$5000&lt;$J275+7)*('Weekly Log'!$M$5:$M$5000&lt;&gt;"")),'Weekly Log'!$M$5:$M$5000),0))</f>
        <v/>
      </c>
      <c r="J275">
        <f>IF(COUNT('Weekly Log'!$A$5:$A$5000)=0,"",IF(MIN('Weekly Log'!$A$5:$A$5000)+7*(ROW()-10)&gt;MAX('Weekly Log'!$A$5:$A$5000),"",MIN('Weekly Log'!$A$5:$A$5000)+7*(ROW()-10)))</f>
        <v/>
      </c>
    </row>
    <row r="276">
      <c r="A276">
        <f>IF($J276="","",YEAR($J276-WEEKDAY($J276,2)+4)&amp;"-W"&amp;TEXT(WEEKNUM($J276,21),"00"))</f>
        <v/>
      </c>
      <c r="B276">
        <f>IF($J276="","",SUMIFS('Weekly Log'!$C:$C,'Weekly Log'!$A:$A,"&gt;="&amp;$J276,'Weekly Log'!$A:$A,"&lt;"&amp;$J276+7))</f>
        <v/>
      </c>
      <c r="C276">
        <f>IF($J276="","",IFERROR(COUNTIFS('Weekly Log'!$G:$G,"Y",'Weekly Log'!$A:$A,"&gt;="&amp;$J276,'Weekly Log'!$A:$A,"&lt;"&amp;$J276+7)/COUNTIFS('Weekly Log'!$G:$G,"&lt;&gt;",'Weekly Log'!$A:$A,"&gt;="&amp;$J276,'Weekly Log'!$A:$A,"&lt;"&amp;$J276+7),0))</f>
        <v/>
      </c>
      <c r="D276">
        <f>IF($J276="","",IFERROR(COUNTIFS('Weekly Log'!$H:$H,"Y",'Weekly Log'!$A:$A,"&gt;="&amp;$J276,'Weekly Log'!$A:$A,"&lt;"&amp;$J276+7)/COUNTIFS('Weekly Log'!$H:$H,"&lt;&gt;",'Weekly Log'!$A:$A,"&gt;="&amp;$J276,'Weekly Log'!$A:$A,"&lt;"&amp;$J276+7),0))</f>
        <v/>
      </c>
      <c r="E276">
        <f>IF($J276="","",IFERROR(AVERAGEIFS('Weekly Log'!$F:$F,'Weekly Log'!$A:$A,"&gt;="&amp;$J276,'Weekly Log'!$A:$A,"&lt;"&amp;$J276+7),0))</f>
        <v/>
      </c>
      <c r="F276">
        <f>IF($J276="","",IFERROR(SUMIFS('Weekly Log'!$F:$F,'Weekly Log'!$A:$A,"&gt;="&amp;$J276,'Weekly Log'!$A:$A,"&lt;"&amp;$J276+7)/SUMIFS('Weekly Log'!$E:$E,'Weekly Log'!$A:$A,"&gt;="&amp;$J276,'Weekly Log'!$A:$A,"&lt;"&amp;$J276+7),0))</f>
        <v/>
      </c>
      <c r="G276">
        <f>IF($J276="","",IFERROR(LOOKUP(2,1/(('Weekly Log'!$A$5:$A$5000&gt;=$J276)*('Weekly Log'!$A$5:$A$5000&lt;$J276+7)*('Weekly Log'!$M$5:$M$5000&lt;&gt;"")),'Weekly Log'!$M$5:$M$5000),0))</f>
        <v/>
      </c>
      <c r="J276">
        <f>IF(COUNT('Weekly Log'!$A$5:$A$5000)=0,"",IF(MIN('Weekly Log'!$A$5:$A$5000)+7*(ROW()-10)&gt;MAX('Weekly Log'!$A$5:$A$5000),"",MIN('Weekly Log'!$A$5:$A$5000)+7*(ROW()-10)))</f>
        <v/>
      </c>
    </row>
    <row r="277">
      <c r="A277">
        <f>IF($J277="","",YEAR($J277-WEEKDAY($J277,2)+4)&amp;"-W"&amp;TEXT(WEEKNUM($J277,21),"00"))</f>
        <v/>
      </c>
      <c r="B277">
        <f>IF($J277="","",SUMIFS('Weekly Log'!$C:$C,'Weekly Log'!$A:$A,"&gt;="&amp;$J277,'Weekly Log'!$A:$A,"&lt;"&amp;$J277+7))</f>
        <v/>
      </c>
      <c r="C277">
        <f>IF($J277="","",IFERROR(COUNTIFS('Weekly Log'!$G:$G,"Y",'Weekly Log'!$A:$A,"&gt;="&amp;$J277,'Weekly Log'!$A:$A,"&lt;"&amp;$J277+7)/COUNTIFS('Weekly Log'!$G:$G,"&lt;&gt;",'Weekly Log'!$A:$A,"&gt;="&amp;$J277,'Weekly Log'!$A:$A,"&lt;"&amp;$J277+7),0))</f>
        <v/>
      </c>
      <c r="D277">
        <f>IF($J277="","",IFERROR(COUNTIFS('Weekly Log'!$H:$H,"Y",'Weekly Log'!$A:$A,"&gt;="&amp;$J277,'Weekly Log'!$A:$A,"&lt;"&amp;$J277+7)/COUNTIFS('Weekly Log'!$H:$H,"&lt;&gt;",'Weekly Log'!$A:$A,"&gt;="&amp;$J277,'Weekly Log'!$A:$A,"&lt;"&amp;$J277+7),0))</f>
        <v/>
      </c>
      <c r="E277">
        <f>IF($J277="","",IFERROR(AVERAGEIFS('Weekly Log'!$F:$F,'Weekly Log'!$A:$A,"&gt;="&amp;$J277,'Weekly Log'!$A:$A,"&lt;"&amp;$J277+7),0))</f>
        <v/>
      </c>
      <c r="F277">
        <f>IF($J277="","",IFERROR(SUMIFS('Weekly Log'!$F:$F,'Weekly Log'!$A:$A,"&gt;="&amp;$J277,'Weekly Log'!$A:$A,"&lt;"&amp;$J277+7)/SUMIFS('Weekly Log'!$E:$E,'Weekly Log'!$A:$A,"&gt;="&amp;$J277,'Weekly Log'!$A:$A,"&lt;"&amp;$J277+7),0))</f>
        <v/>
      </c>
      <c r="G277">
        <f>IF($J277="","",IFERROR(LOOKUP(2,1/(('Weekly Log'!$A$5:$A$5000&gt;=$J277)*('Weekly Log'!$A$5:$A$5000&lt;$J277+7)*('Weekly Log'!$M$5:$M$5000&lt;&gt;"")),'Weekly Log'!$M$5:$M$5000),0))</f>
        <v/>
      </c>
      <c r="J277">
        <f>IF(COUNT('Weekly Log'!$A$5:$A$5000)=0,"",IF(MIN('Weekly Log'!$A$5:$A$5000)+7*(ROW()-10)&gt;MAX('Weekly Log'!$A$5:$A$5000),"",MIN('Weekly Log'!$A$5:$A$5000)+7*(ROW()-10)))</f>
        <v/>
      </c>
    </row>
    <row r="278">
      <c r="A278">
        <f>IF($J278="","",YEAR($J278-WEEKDAY($J278,2)+4)&amp;"-W"&amp;TEXT(WEEKNUM($J278,21),"00"))</f>
        <v/>
      </c>
      <c r="B278">
        <f>IF($J278="","",SUMIFS('Weekly Log'!$C:$C,'Weekly Log'!$A:$A,"&gt;="&amp;$J278,'Weekly Log'!$A:$A,"&lt;"&amp;$J278+7))</f>
        <v/>
      </c>
      <c r="C278">
        <f>IF($J278="","",IFERROR(COUNTIFS('Weekly Log'!$G:$G,"Y",'Weekly Log'!$A:$A,"&gt;="&amp;$J278,'Weekly Log'!$A:$A,"&lt;"&amp;$J278+7)/COUNTIFS('Weekly Log'!$G:$G,"&lt;&gt;",'Weekly Log'!$A:$A,"&gt;="&amp;$J278,'Weekly Log'!$A:$A,"&lt;"&amp;$J278+7),0))</f>
        <v/>
      </c>
      <c r="D278">
        <f>IF($J278="","",IFERROR(COUNTIFS('Weekly Log'!$H:$H,"Y",'Weekly Log'!$A:$A,"&gt;="&amp;$J278,'Weekly Log'!$A:$A,"&lt;"&amp;$J278+7)/COUNTIFS('Weekly Log'!$H:$H,"&lt;&gt;",'Weekly Log'!$A:$A,"&gt;="&amp;$J278,'Weekly Log'!$A:$A,"&lt;"&amp;$J278+7),0))</f>
        <v/>
      </c>
      <c r="E278">
        <f>IF($J278="","",IFERROR(AVERAGEIFS('Weekly Log'!$F:$F,'Weekly Log'!$A:$A,"&gt;="&amp;$J278,'Weekly Log'!$A:$A,"&lt;"&amp;$J278+7),0))</f>
        <v/>
      </c>
      <c r="F278">
        <f>IF($J278="","",IFERROR(SUMIFS('Weekly Log'!$F:$F,'Weekly Log'!$A:$A,"&gt;="&amp;$J278,'Weekly Log'!$A:$A,"&lt;"&amp;$J278+7)/SUMIFS('Weekly Log'!$E:$E,'Weekly Log'!$A:$A,"&gt;="&amp;$J278,'Weekly Log'!$A:$A,"&lt;"&amp;$J278+7),0))</f>
        <v/>
      </c>
      <c r="G278">
        <f>IF($J278="","",IFERROR(LOOKUP(2,1/(('Weekly Log'!$A$5:$A$5000&gt;=$J278)*('Weekly Log'!$A$5:$A$5000&lt;$J278+7)*('Weekly Log'!$M$5:$M$5000&lt;&gt;"")),'Weekly Log'!$M$5:$M$5000),0))</f>
        <v/>
      </c>
      <c r="J278">
        <f>IF(COUNT('Weekly Log'!$A$5:$A$5000)=0,"",IF(MIN('Weekly Log'!$A$5:$A$5000)+7*(ROW()-10)&gt;MAX('Weekly Log'!$A$5:$A$5000),"",MIN('Weekly Log'!$A$5:$A$5000)+7*(ROW()-10)))</f>
        <v/>
      </c>
    </row>
    <row r="279">
      <c r="A279">
        <f>IF($J279="","",YEAR($J279-WEEKDAY($J279,2)+4)&amp;"-W"&amp;TEXT(WEEKNUM($J279,21),"00"))</f>
        <v/>
      </c>
      <c r="B279">
        <f>IF($J279="","",SUMIFS('Weekly Log'!$C:$C,'Weekly Log'!$A:$A,"&gt;="&amp;$J279,'Weekly Log'!$A:$A,"&lt;"&amp;$J279+7))</f>
        <v/>
      </c>
      <c r="C279">
        <f>IF($J279="","",IFERROR(COUNTIFS('Weekly Log'!$G:$G,"Y",'Weekly Log'!$A:$A,"&gt;="&amp;$J279,'Weekly Log'!$A:$A,"&lt;"&amp;$J279+7)/COUNTIFS('Weekly Log'!$G:$G,"&lt;&gt;",'Weekly Log'!$A:$A,"&gt;="&amp;$J279,'Weekly Log'!$A:$A,"&lt;"&amp;$J279+7),0))</f>
        <v/>
      </c>
      <c r="D279">
        <f>IF($J279="","",IFERROR(COUNTIFS('Weekly Log'!$H:$H,"Y",'Weekly Log'!$A:$A,"&gt;="&amp;$J279,'Weekly Log'!$A:$A,"&lt;"&amp;$J279+7)/COUNTIFS('Weekly Log'!$H:$H,"&lt;&gt;",'Weekly Log'!$A:$A,"&gt;="&amp;$J279,'Weekly Log'!$A:$A,"&lt;"&amp;$J279+7),0))</f>
        <v/>
      </c>
      <c r="E279">
        <f>IF($J279="","",IFERROR(AVERAGEIFS('Weekly Log'!$F:$F,'Weekly Log'!$A:$A,"&gt;="&amp;$J279,'Weekly Log'!$A:$A,"&lt;"&amp;$J279+7),0))</f>
        <v/>
      </c>
      <c r="F279">
        <f>IF($J279="","",IFERROR(SUMIFS('Weekly Log'!$F:$F,'Weekly Log'!$A:$A,"&gt;="&amp;$J279,'Weekly Log'!$A:$A,"&lt;"&amp;$J279+7)/SUMIFS('Weekly Log'!$E:$E,'Weekly Log'!$A:$A,"&gt;="&amp;$J279,'Weekly Log'!$A:$A,"&lt;"&amp;$J279+7),0))</f>
        <v/>
      </c>
      <c r="G279">
        <f>IF($J279="","",IFERROR(LOOKUP(2,1/(('Weekly Log'!$A$5:$A$5000&gt;=$J279)*('Weekly Log'!$A$5:$A$5000&lt;$J279+7)*('Weekly Log'!$M$5:$M$5000&lt;&gt;"")),'Weekly Log'!$M$5:$M$5000),0))</f>
        <v/>
      </c>
      <c r="J279">
        <f>IF(COUNT('Weekly Log'!$A$5:$A$5000)=0,"",IF(MIN('Weekly Log'!$A$5:$A$5000)+7*(ROW()-10)&gt;MAX('Weekly Log'!$A$5:$A$5000),"",MIN('Weekly Log'!$A$5:$A$5000)+7*(ROW()-10)))</f>
        <v/>
      </c>
    </row>
    <row r="280">
      <c r="A280">
        <f>IF($J280="","",YEAR($J280-WEEKDAY($J280,2)+4)&amp;"-W"&amp;TEXT(WEEKNUM($J280,21),"00"))</f>
        <v/>
      </c>
      <c r="B280">
        <f>IF($J280="","",SUMIFS('Weekly Log'!$C:$C,'Weekly Log'!$A:$A,"&gt;="&amp;$J280,'Weekly Log'!$A:$A,"&lt;"&amp;$J280+7))</f>
        <v/>
      </c>
      <c r="C280">
        <f>IF($J280="","",IFERROR(COUNTIFS('Weekly Log'!$G:$G,"Y",'Weekly Log'!$A:$A,"&gt;="&amp;$J280,'Weekly Log'!$A:$A,"&lt;"&amp;$J280+7)/COUNTIFS('Weekly Log'!$G:$G,"&lt;&gt;",'Weekly Log'!$A:$A,"&gt;="&amp;$J280,'Weekly Log'!$A:$A,"&lt;"&amp;$J280+7),0))</f>
        <v/>
      </c>
      <c r="D280">
        <f>IF($J280="","",IFERROR(COUNTIFS('Weekly Log'!$H:$H,"Y",'Weekly Log'!$A:$A,"&gt;="&amp;$J280,'Weekly Log'!$A:$A,"&lt;"&amp;$J280+7)/COUNTIFS('Weekly Log'!$H:$H,"&lt;&gt;",'Weekly Log'!$A:$A,"&gt;="&amp;$J280,'Weekly Log'!$A:$A,"&lt;"&amp;$J280+7),0))</f>
        <v/>
      </c>
      <c r="E280">
        <f>IF($J280="","",IFERROR(AVERAGEIFS('Weekly Log'!$F:$F,'Weekly Log'!$A:$A,"&gt;="&amp;$J280,'Weekly Log'!$A:$A,"&lt;"&amp;$J280+7),0))</f>
        <v/>
      </c>
      <c r="F280">
        <f>IF($J280="","",IFERROR(SUMIFS('Weekly Log'!$F:$F,'Weekly Log'!$A:$A,"&gt;="&amp;$J280,'Weekly Log'!$A:$A,"&lt;"&amp;$J280+7)/SUMIFS('Weekly Log'!$E:$E,'Weekly Log'!$A:$A,"&gt;="&amp;$J280,'Weekly Log'!$A:$A,"&lt;"&amp;$J280+7),0))</f>
        <v/>
      </c>
      <c r="G280">
        <f>IF($J280="","",IFERROR(LOOKUP(2,1/(('Weekly Log'!$A$5:$A$5000&gt;=$J280)*('Weekly Log'!$A$5:$A$5000&lt;$J280+7)*('Weekly Log'!$M$5:$M$5000&lt;&gt;"")),'Weekly Log'!$M$5:$M$5000),0))</f>
        <v/>
      </c>
      <c r="J280">
        <f>IF(COUNT('Weekly Log'!$A$5:$A$5000)=0,"",IF(MIN('Weekly Log'!$A$5:$A$5000)+7*(ROW()-10)&gt;MAX('Weekly Log'!$A$5:$A$5000),"",MIN('Weekly Log'!$A$5:$A$5000)+7*(ROW()-10)))</f>
        <v/>
      </c>
    </row>
    <row r="281">
      <c r="A281">
        <f>IF($J281="","",YEAR($J281-WEEKDAY($J281,2)+4)&amp;"-W"&amp;TEXT(WEEKNUM($J281,21),"00"))</f>
        <v/>
      </c>
      <c r="B281">
        <f>IF($J281="","",SUMIFS('Weekly Log'!$C:$C,'Weekly Log'!$A:$A,"&gt;="&amp;$J281,'Weekly Log'!$A:$A,"&lt;"&amp;$J281+7))</f>
        <v/>
      </c>
      <c r="C281">
        <f>IF($J281="","",IFERROR(COUNTIFS('Weekly Log'!$G:$G,"Y",'Weekly Log'!$A:$A,"&gt;="&amp;$J281,'Weekly Log'!$A:$A,"&lt;"&amp;$J281+7)/COUNTIFS('Weekly Log'!$G:$G,"&lt;&gt;",'Weekly Log'!$A:$A,"&gt;="&amp;$J281,'Weekly Log'!$A:$A,"&lt;"&amp;$J281+7),0))</f>
        <v/>
      </c>
      <c r="D281">
        <f>IF($J281="","",IFERROR(COUNTIFS('Weekly Log'!$H:$H,"Y",'Weekly Log'!$A:$A,"&gt;="&amp;$J281,'Weekly Log'!$A:$A,"&lt;"&amp;$J281+7)/COUNTIFS('Weekly Log'!$H:$H,"&lt;&gt;",'Weekly Log'!$A:$A,"&gt;="&amp;$J281,'Weekly Log'!$A:$A,"&lt;"&amp;$J281+7),0))</f>
        <v/>
      </c>
      <c r="E281">
        <f>IF($J281="","",IFERROR(AVERAGEIFS('Weekly Log'!$F:$F,'Weekly Log'!$A:$A,"&gt;="&amp;$J281,'Weekly Log'!$A:$A,"&lt;"&amp;$J281+7),0))</f>
        <v/>
      </c>
      <c r="F281">
        <f>IF($J281="","",IFERROR(SUMIFS('Weekly Log'!$F:$F,'Weekly Log'!$A:$A,"&gt;="&amp;$J281,'Weekly Log'!$A:$A,"&lt;"&amp;$J281+7)/SUMIFS('Weekly Log'!$E:$E,'Weekly Log'!$A:$A,"&gt;="&amp;$J281,'Weekly Log'!$A:$A,"&lt;"&amp;$J281+7),0))</f>
        <v/>
      </c>
      <c r="G281">
        <f>IF($J281="","",IFERROR(LOOKUP(2,1/(('Weekly Log'!$A$5:$A$5000&gt;=$J281)*('Weekly Log'!$A$5:$A$5000&lt;$J281+7)*('Weekly Log'!$M$5:$M$5000&lt;&gt;"")),'Weekly Log'!$M$5:$M$5000),0))</f>
        <v/>
      </c>
      <c r="J281">
        <f>IF(COUNT('Weekly Log'!$A$5:$A$5000)=0,"",IF(MIN('Weekly Log'!$A$5:$A$5000)+7*(ROW()-10)&gt;MAX('Weekly Log'!$A$5:$A$5000),"",MIN('Weekly Log'!$A$5:$A$5000)+7*(ROW()-10)))</f>
        <v/>
      </c>
    </row>
    <row r="282">
      <c r="A282">
        <f>IF($J282="","",YEAR($J282-WEEKDAY($J282,2)+4)&amp;"-W"&amp;TEXT(WEEKNUM($J282,21),"00"))</f>
        <v/>
      </c>
      <c r="B282">
        <f>IF($J282="","",SUMIFS('Weekly Log'!$C:$C,'Weekly Log'!$A:$A,"&gt;="&amp;$J282,'Weekly Log'!$A:$A,"&lt;"&amp;$J282+7))</f>
        <v/>
      </c>
      <c r="C282">
        <f>IF($J282="","",IFERROR(COUNTIFS('Weekly Log'!$G:$G,"Y",'Weekly Log'!$A:$A,"&gt;="&amp;$J282,'Weekly Log'!$A:$A,"&lt;"&amp;$J282+7)/COUNTIFS('Weekly Log'!$G:$G,"&lt;&gt;",'Weekly Log'!$A:$A,"&gt;="&amp;$J282,'Weekly Log'!$A:$A,"&lt;"&amp;$J282+7),0))</f>
        <v/>
      </c>
      <c r="D282">
        <f>IF($J282="","",IFERROR(COUNTIFS('Weekly Log'!$H:$H,"Y",'Weekly Log'!$A:$A,"&gt;="&amp;$J282,'Weekly Log'!$A:$A,"&lt;"&amp;$J282+7)/COUNTIFS('Weekly Log'!$H:$H,"&lt;&gt;",'Weekly Log'!$A:$A,"&gt;="&amp;$J282,'Weekly Log'!$A:$A,"&lt;"&amp;$J282+7),0))</f>
        <v/>
      </c>
      <c r="E282">
        <f>IF($J282="","",IFERROR(AVERAGEIFS('Weekly Log'!$F:$F,'Weekly Log'!$A:$A,"&gt;="&amp;$J282,'Weekly Log'!$A:$A,"&lt;"&amp;$J282+7),0))</f>
        <v/>
      </c>
      <c r="F282">
        <f>IF($J282="","",IFERROR(SUMIFS('Weekly Log'!$F:$F,'Weekly Log'!$A:$A,"&gt;="&amp;$J282,'Weekly Log'!$A:$A,"&lt;"&amp;$J282+7)/SUMIFS('Weekly Log'!$E:$E,'Weekly Log'!$A:$A,"&gt;="&amp;$J282,'Weekly Log'!$A:$A,"&lt;"&amp;$J282+7),0))</f>
        <v/>
      </c>
      <c r="G282">
        <f>IF($J282="","",IFERROR(LOOKUP(2,1/(('Weekly Log'!$A$5:$A$5000&gt;=$J282)*('Weekly Log'!$A$5:$A$5000&lt;$J282+7)*('Weekly Log'!$M$5:$M$5000&lt;&gt;"")),'Weekly Log'!$M$5:$M$5000),0))</f>
        <v/>
      </c>
      <c r="J282">
        <f>IF(COUNT('Weekly Log'!$A$5:$A$5000)=0,"",IF(MIN('Weekly Log'!$A$5:$A$5000)+7*(ROW()-10)&gt;MAX('Weekly Log'!$A$5:$A$5000),"",MIN('Weekly Log'!$A$5:$A$5000)+7*(ROW()-10)))</f>
        <v/>
      </c>
    </row>
    <row r="283">
      <c r="A283">
        <f>IF($J283="","",YEAR($J283-WEEKDAY($J283,2)+4)&amp;"-W"&amp;TEXT(WEEKNUM($J283,21),"00"))</f>
        <v/>
      </c>
      <c r="B283">
        <f>IF($J283="","",SUMIFS('Weekly Log'!$C:$C,'Weekly Log'!$A:$A,"&gt;="&amp;$J283,'Weekly Log'!$A:$A,"&lt;"&amp;$J283+7))</f>
        <v/>
      </c>
      <c r="C283">
        <f>IF($J283="","",IFERROR(COUNTIFS('Weekly Log'!$G:$G,"Y",'Weekly Log'!$A:$A,"&gt;="&amp;$J283,'Weekly Log'!$A:$A,"&lt;"&amp;$J283+7)/COUNTIFS('Weekly Log'!$G:$G,"&lt;&gt;",'Weekly Log'!$A:$A,"&gt;="&amp;$J283,'Weekly Log'!$A:$A,"&lt;"&amp;$J283+7),0))</f>
        <v/>
      </c>
      <c r="D283">
        <f>IF($J283="","",IFERROR(COUNTIFS('Weekly Log'!$H:$H,"Y",'Weekly Log'!$A:$A,"&gt;="&amp;$J283,'Weekly Log'!$A:$A,"&lt;"&amp;$J283+7)/COUNTIFS('Weekly Log'!$H:$H,"&lt;&gt;",'Weekly Log'!$A:$A,"&gt;="&amp;$J283,'Weekly Log'!$A:$A,"&lt;"&amp;$J283+7),0))</f>
        <v/>
      </c>
      <c r="E283">
        <f>IF($J283="","",IFERROR(AVERAGEIFS('Weekly Log'!$F:$F,'Weekly Log'!$A:$A,"&gt;="&amp;$J283,'Weekly Log'!$A:$A,"&lt;"&amp;$J283+7),0))</f>
        <v/>
      </c>
      <c r="F283">
        <f>IF($J283="","",IFERROR(SUMIFS('Weekly Log'!$F:$F,'Weekly Log'!$A:$A,"&gt;="&amp;$J283,'Weekly Log'!$A:$A,"&lt;"&amp;$J283+7)/SUMIFS('Weekly Log'!$E:$E,'Weekly Log'!$A:$A,"&gt;="&amp;$J283,'Weekly Log'!$A:$A,"&lt;"&amp;$J283+7),0))</f>
        <v/>
      </c>
      <c r="G283">
        <f>IF($J283="","",IFERROR(LOOKUP(2,1/(('Weekly Log'!$A$5:$A$5000&gt;=$J283)*('Weekly Log'!$A$5:$A$5000&lt;$J283+7)*('Weekly Log'!$M$5:$M$5000&lt;&gt;"")),'Weekly Log'!$M$5:$M$5000),0))</f>
        <v/>
      </c>
      <c r="J283">
        <f>IF(COUNT('Weekly Log'!$A$5:$A$5000)=0,"",IF(MIN('Weekly Log'!$A$5:$A$5000)+7*(ROW()-10)&gt;MAX('Weekly Log'!$A$5:$A$5000),"",MIN('Weekly Log'!$A$5:$A$5000)+7*(ROW()-10)))</f>
        <v/>
      </c>
    </row>
    <row r="284">
      <c r="A284">
        <f>IF($J284="","",YEAR($J284-WEEKDAY($J284,2)+4)&amp;"-W"&amp;TEXT(WEEKNUM($J284,21),"00"))</f>
        <v/>
      </c>
      <c r="B284">
        <f>IF($J284="","",SUMIFS('Weekly Log'!$C:$C,'Weekly Log'!$A:$A,"&gt;="&amp;$J284,'Weekly Log'!$A:$A,"&lt;"&amp;$J284+7))</f>
        <v/>
      </c>
      <c r="C284">
        <f>IF($J284="","",IFERROR(COUNTIFS('Weekly Log'!$G:$G,"Y",'Weekly Log'!$A:$A,"&gt;="&amp;$J284,'Weekly Log'!$A:$A,"&lt;"&amp;$J284+7)/COUNTIFS('Weekly Log'!$G:$G,"&lt;&gt;",'Weekly Log'!$A:$A,"&gt;="&amp;$J284,'Weekly Log'!$A:$A,"&lt;"&amp;$J284+7),0))</f>
        <v/>
      </c>
      <c r="D284">
        <f>IF($J284="","",IFERROR(COUNTIFS('Weekly Log'!$H:$H,"Y",'Weekly Log'!$A:$A,"&gt;="&amp;$J284,'Weekly Log'!$A:$A,"&lt;"&amp;$J284+7)/COUNTIFS('Weekly Log'!$H:$H,"&lt;&gt;",'Weekly Log'!$A:$A,"&gt;="&amp;$J284,'Weekly Log'!$A:$A,"&lt;"&amp;$J284+7),0))</f>
        <v/>
      </c>
      <c r="E284">
        <f>IF($J284="","",IFERROR(AVERAGEIFS('Weekly Log'!$F:$F,'Weekly Log'!$A:$A,"&gt;="&amp;$J284,'Weekly Log'!$A:$A,"&lt;"&amp;$J284+7),0))</f>
        <v/>
      </c>
      <c r="F284">
        <f>IF($J284="","",IFERROR(SUMIFS('Weekly Log'!$F:$F,'Weekly Log'!$A:$A,"&gt;="&amp;$J284,'Weekly Log'!$A:$A,"&lt;"&amp;$J284+7)/SUMIFS('Weekly Log'!$E:$E,'Weekly Log'!$A:$A,"&gt;="&amp;$J284,'Weekly Log'!$A:$A,"&lt;"&amp;$J284+7),0))</f>
        <v/>
      </c>
      <c r="G284">
        <f>IF($J284="","",IFERROR(LOOKUP(2,1/(('Weekly Log'!$A$5:$A$5000&gt;=$J284)*('Weekly Log'!$A$5:$A$5000&lt;$J284+7)*('Weekly Log'!$M$5:$M$5000&lt;&gt;"")),'Weekly Log'!$M$5:$M$5000),0))</f>
        <v/>
      </c>
      <c r="J284">
        <f>IF(COUNT('Weekly Log'!$A$5:$A$5000)=0,"",IF(MIN('Weekly Log'!$A$5:$A$5000)+7*(ROW()-10)&gt;MAX('Weekly Log'!$A$5:$A$5000),"",MIN('Weekly Log'!$A$5:$A$5000)+7*(ROW()-10)))</f>
        <v/>
      </c>
    </row>
    <row r="285">
      <c r="A285">
        <f>IF($J285="","",YEAR($J285-WEEKDAY($J285,2)+4)&amp;"-W"&amp;TEXT(WEEKNUM($J285,21),"00"))</f>
        <v/>
      </c>
      <c r="B285">
        <f>IF($J285="","",SUMIFS('Weekly Log'!$C:$C,'Weekly Log'!$A:$A,"&gt;="&amp;$J285,'Weekly Log'!$A:$A,"&lt;"&amp;$J285+7))</f>
        <v/>
      </c>
      <c r="C285">
        <f>IF($J285="","",IFERROR(COUNTIFS('Weekly Log'!$G:$G,"Y",'Weekly Log'!$A:$A,"&gt;="&amp;$J285,'Weekly Log'!$A:$A,"&lt;"&amp;$J285+7)/COUNTIFS('Weekly Log'!$G:$G,"&lt;&gt;",'Weekly Log'!$A:$A,"&gt;="&amp;$J285,'Weekly Log'!$A:$A,"&lt;"&amp;$J285+7),0))</f>
        <v/>
      </c>
      <c r="D285">
        <f>IF($J285="","",IFERROR(COUNTIFS('Weekly Log'!$H:$H,"Y",'Weekly Log'!$A:$A,"&gt;="&amp;$J285,'Weekly Log'!$A:$A,"&lt;"&amp;$J285+7)/COUNTIFS('Weekly Log'!$H:$H,"&lt;&gt;",'Weekly Log'!$A:$A,"&gt;="&amp;$J285,'Weekly Log'!$A:$A,"&lt;"&amp;$J285+7),0))</f>
        <v/>
      </c>
      <c r="E285">
        <f>IF($J285="","",IFERROR(AVERAGEIFS('Weekly Log'!$F:$F,'Weekly Log'!$A:$A,"&gt;="&amp;$J285,'Weekly Log'!$A:$A,"&lt;"&amp;$J285+7),0))</f>
        <v/>
      </c>
      <c r="F285">
        <f>IF($J285="","",IFERROR(SUMIFS('Weekly Log'!$F:$F,'Weekly Log'!$A:$A,"&gt;="&amp;$J285,'Weekly Log'!$A:$A,"&lt;"&amp;$J285+7)/SUMIFS('Weekly Log'!$E:$E,'Weekly Log'!$A:$A,"&gt;="&amp;$J285,'Weekly Log'!$A:$A,"&lt;"&amp;$J285+7),0))</f>
        <v/>
      </c>
      <c r="G285">
        <f>IF($J285="","",IFERROR(LOOKUP(2,1/(('Weekly Log'!$A$5:$A$5000&gt;=$J285)*('Weekly Log'!$A$5:$A$5000&lt;$J285+7)*('Weekly Log'!$M$5:$M$5000&lt;&gt;"")),'Weekly Log'!$M$5:$M$5000),0))</f>
        <v/>
      </c>
      <c r="J285">
        <f>IF(COUNT('Weekly Log'!$A$5:$A$5000)=0,"",IF(MIN('Weekly Log'!$A$5:$A$5000)+7*(ROW()-10)&gt;MAX('Weekly Log'!$A$5:$A$5000),"",MIN('Weekly Log'!$A$5:$A$5000)+7*(ROW()-10)))</f>
        <v/>
      </c>
    </row>
    <row r="286">
      <c r="A286">
        <f>IF($J286="","",YEAR($J286-WEEKDAY($J286,2)+4)&amp;"-W"&amp;TEXT(WEEKNUM($J286,21),"00"))</f>
        <v/>
      </c>
      <c r="B286">
        <f>IF($J286="","",SUMIFS('Weekly Log'!$C:$C,'Weekly Log'!$A:$A,"&gt;="&amp;$J286,'Weekly Log'!$A:$A,"&lt;"&amp;$J286+7))</f>
        <v/>
      </c>
      <c r="C286">
        <f>IF($J286="","",IFERROR(COUNTIFS('Weekly Log'!$G:$G,"Y",'Weekly Log'!$A:$A,"&gt;="&amp;$J286,'Weekly Log'!$A:$A,"&lt;"&amp;$J286+7)/COUNTIFS('Weekly Log'!$G:$G,"&lt;&gt;",'Weekly Log'!$A:$A,"&gt;="&amp;$J286,'Weekly Log'!$A:$A,"&lt;"&amp;$J286+7),0))</f>
        <v/>
      </c>
      <c r="D286">
        <f>IF($J286="","",IFERROR(COUNTIFS('Weekly Log'!$H:$H,"Y",'Weekly Log'!$A:$A,"&gt;="&amp;$J286,'Weekly Log'!$A:$A,"&lt;"&amp;$J286+7)/COUNTIFS('Weekly Log'!$H:$H,"&lt;&gt;",'Weekly Log'!$A:$A,"&gt;="&amp;$J286,'Weekly Log'!$A:$A,"&lt;"&amp;$J286+7),0))</f>
        <v/>
      </c>
      <c r="E286">
        <f>IF($J286="","",IFERROR(AVERAGEIFS('Weekly Log'!$F:$F,'Weekly Log'!$A:$A,"&gt;="&amp;$J286,'Weekly Log'!$A:$A,"&lt;"&amp;$J286+7),0))</f>
        <v/>
      </c>
      <c r="F286">
        <f>IF($J286="","",IFERROR(SUMIFS('Weekly Log'!$F:$F,'Weekly Log'!$A:$A,"&gt;="&amp;$J286,'Weekly Log'!$A:$A,"&lt;"&amp;$J286+7)/SUMIFS('Weekly Log'!$E:$E,'Weekly Log'!$A:$A,"&gt;="&amp;$J286,'Weekly Log'!$A:$A,"&lt;"&amp;$J286+7),0))</f>
        <v/>
      </c>
      <c r="G286">
        <f>IF($J286="","",IFERROR(LOOKUP(2,1/(('Weekly Log'!$A$5:$A$5000&gt;=$J286)*('Weekly Log'!$A$5:$A$5000&lt;$J286+7)*('Weekly Log'!$M$5:$M$5000&lt;&gt;"")),'Weekly Log'!$M$5:$M$5000),0))</f>
        <v/>
      </c>
      <c r="J286">
        <f>IF(COUNT('Weekly Log'!$A$5:$A$5000)=0,"",IF(MIN('Weekly Log'!$A$5:$A$5000)+7*(ROW()-10)&gt;MAX('Weekly Log'!$A$5:$A$5000),"",MIN('Weekly Log'!$A$5:$A$5000)+7*(ROW()-10)))</f>
        <v/>
      </c>
    </row>
    <row r="287">
      <c r="A287">
        <f>IF($J287="","",YEAR($J287-WEEKDAY($J287,2)+4)&amp;"-W"&amp;TEXT(WEEKNUM($J287,21),"00"))</f>
        <v/>
      </c>
      <c r="B287">
        <f>IF($J287="","",SUMIFS('Weekly Log'!$C:$C,'Weekly Log'!$A:$A,"&gt;="&amp;$J287,'Weekly Log'!$A:$A,"&lt;"&amp;$J287+7))</f>
        <v/>
      </c>
      <c r="C287">
        <f>IF($J287="","",IFERROR(COUNTIFS('Weekly Log'!$G:$G,"Y",'Weekly Log'!$A:$A,"&gt;="&amp;$J287,'Weekly Log'!$A:$A,"&lt;"&amp;$J287+7)/COUNTIFS('Weekly Log'!$G:$G,"&lt;&gt;",'Weekly Log'!$A:$A,"&gt;="&amp;$J287,'Weekly Log'!$A:$A,"&lt;"&amp;$J287+7),0))</f>
        <v/>
      </c>
      <c r="D287">
        <f>IF($J287="","",IFERROR(COUNTIFS('Weekly Log'!$H:$H,"Y",'Weekly Log'!$A:$A,"&gt;="&amp;$J287,'Weekly Log'!$A:$A,"&lt;"&amp;$J287+7)/COUNTIFS('Weekly Log'!$H:$H,"&lt;&gt;",'Weekly Log'!$A:$A,"&gt;="&amp;$J287,'Weekly Log'!$A:$A,"&lt;"&amp;$J287+7),0))</f>
        <v/>
      </c>
      <c r="E287">
        <f>IF($J287="","",IFERROR(AVERAGEIFS('Weekly Log'!$F:$F,'Weekly Log'!$A:$A,"&gt;="&amp;$J287,'Weekly Log'!$A:$A,"&lt;"&amp;$J287+7),0))</f>
        <v/>
      </c>
      <c r="F287">
        <f>IF($J287="","",IFERROR(SUMIFS('Weekly Log'!$F:$F,'Weekly Log'!$A:$A,"&gt;="&amp;$J287,'Weekly Log'!$A:$A,"&lt;"&amp;$J287+7)/SUMIFS('Weekly Log'!$E:$E,'Weekly Log'!$A:$A,"&gt;="&amp;$J287,'Weekly Log'!$A:$A,"&lt;"&amp;$J287+7),0))</f>
        <v/>
      </c>
      <c r="G287">
        <f>IF($J287="","",IFERROR(LOOKUP(2,1/(('Weekly Log'!$A$5:$A$5000&gt;=$J287)*('Weekly Log'!$A$5:$A$5000&lt;$J287+7)*('Weekly Log'!$M$5:$M$5000&lt;&gt;"")),'Weekly Log'!$M$5:$M$5000),0))</f>
        <v/>
      </c>
      <c r="J287">
        <f>IF(COUNT('Weekly Log'!$A$5:$A$5000)=0,"",IF(MIN('Weekly Log'!$A$5:$A$5000)+7*(ROW()-10)&gt;MAX('Weekly Log'!$A$5:$A$5000),"",MIN('Weekly Log'!$A$5:$A$5000)+7*(ROW()-10)))</f>
        <v/>
      </c>
    </row>
    <row r="288">
      <c r="A288">
        <f>IF($J288="","",YEAR($J288-WEEKDAY($J288,2)+4)&amp;"-W"&amp;TEXT(WEEKNUM($J288,21),"00"))</f>
        <v/>
      </c>
      <c r="B288">
        <f>IF($J288="","",SUMIFS('Weekly Log'!$C:$C,'Weekly Log'!$A:$A,"&gt;="&amp;$J288,'Weekly Log'!$A:$A,"&lt;"&amp;$J288+7))</f>
        <v/>
      </c>
      <c r="C288">
        <f>IF($J288="","",IFERROR(COUNTIFS('Weekly Log'!$G:$G,"Y",'Weekly Log'!$A:$A,"&gt;="&amp;$J288,'Weekly Log'!$A:$A,"&lt;"&amp;$J288+7)/COUNTIFS('Weekly Log'!$G:$G,"&lt;&gt;",'Weekly Log'!$A:$A,"&gt;="&amp;$J288,'Weekly Log'!$A:$A,"&lt;"&amp;$J288+7),0))</f>
        <v/>
      </c>
      <c r="D288">
        <f>IF($J288="","",IFERROR(COUNTIFS('Weekly Log'!$H:$H,"Y",'Weekly Log'!$A:$A,"&gt;="&amp;$J288,'Weekly Log'!$A:$A,"&lt;"&amp;$J288+7)/COUNTIFS('Weekly Log'!$H:$H,"&lt;&gt;",'Weekly Log'!$A:$A,"&gt;="&amp;$J288,'Weekly Log'!$A:$A,"&lt;"&amp;$J288+7),0))</f>
        <v/>
      </c>
      <c r="E288">
        <f>IF($J288="","",IFERROR(AVERAGEIFS('Weekly Log'!$F:$F,'Weekly Log'!$A:$A,"&gt;="&amp;$J288,'Weekly Log'!$A:$A,"&lt;"&amp;$J288+7),0))</f>
        <v/>
      </c>
      <c r="F288">
        <f>IF($J288="","",IFERROR(SUMIFS('Weekly Log'!$F:$F,'Weekly Log'!$A:$A,"&gt;="&amp;$J288,'Weekly Log'!$A:$A,"&lt;"&amp;$J288+7)/SUMIFS('Weekly Log'!$E:$E,'Weekly Log'!$A:$A,"&gt;="&amp;$J288,'Weekly Log'!$A:$A,"&lt;"&amp;$J288+7),0))</f>
        <v/>
      </c>
      <c r="G288">
        <f>IF($J288="","",IFERROR(LOOKUP(2,1/(('Weekly Log'!$A$5:$A$5000&gt;=$J288)*('Weekly Log'!$A$5:$A$5000&lt;$J288+7)*('Weekly Log'!$M$5:$M$5000&lt;&gt;"")),'Weekly Log'!$M$5:$M$5000),0))</f>
        <v/>
      </c>
      <c r="J288">
        <f>IF(COUNT('Weekly Log'!$A$5:$A$5000)=0,"",IF(MIN('Weekly Log'!$A$5:$A$5000)+7*(ROW()-10)&gt;MAX('Weekly Log'!$A$5:$A$5000),"",MIN('Weekly Log'!$A$5:$A$5000)+7*(ROW()-10)))</f>
        <v/>
      </c>
    </row>
    <row r="289">
      <c r="A289">
        <f>IF($J289="","",YEAR($J289-WEEKDAY($J289,2)+4)&amp;"-W"&amp;TEXT(WEEKNUM($J289,21),"00"))</f>
        <v/>
      </c>
      <c r="B289">
        <f>IF($J289="","",SUMIFS('Weekly Log'!$C:$C,'Weekly Log'!$A:$A,"&gt;="&amp;$J289,'Weekly Log'!$A:$A,"&lt;"&amp;$J289+7))</f>
        <v/>
      </c>
      <c r="C289">
        <f>IF($J289="","",IFERROR(COUNTIFS('Weekly Log'!$G:$G,"Y",'Weekly Log'!$A:$A,"&gt;="&amp;$J289,'Weekly Log'!$A:$A,"&lt;"&amp;$J289+7)/COUNTIFS('Weekly Log'!$G:$G,"&lt;&gt;",'Weekly Log'!$A:$A,"&gt;="&amp;$J289,'Weekly Log'!$A:$A,"&lt;"&amp;$J289+7),0))</f>
        <v/>
      </c>
      <c r="D289">
        <f>IF($J289="","",IFERROR(COUNTIFS('Weekly Log'!$H:$H,"Y",'Weekly Log'!$A:$A,"&gt;="&amp;$J289,'Weekly Log'!$A:$A,"&lt;"&amp;$J289+7)/COUNTIFS('Weekly Log'!$H:$H,"&lt;&gt;",'Weekly Log'!$A:$A,"&gt;="&amp;$J289,'Weekly Log'!$A:$A,"&lt;"&amp;$J289+7),0))</f>
        <v/>
      </c>
      <c r="E289">
        <f>IF($J289="","",IFERROR(AVERAGEIFS('Weekly Log'!$F:$F,'Weekly Log'!$A:$A,"&gt;="&amp;$J289,'Weekly Log'!$A:$A,"&lt;"&amp;$J289+7),0))</f>
        <v/>
      </c>
      <c r="F289">
        <f>IF($J289="","",IFERROR(SUMIFS('Weekly Log'!$F:$F,'Weekly Log'!$A:$A,"&gt;="&amp;$J289,'Weekly Log'!$A:$A,"&lt;"&amp;$J289+7)/SUMIFS('Weekly Log'!$E:$E,'Weekly Log'!$A:$A,"&gt;="&amp;$J289,'Weekly Log'!$A:$A,"&lt;"&amp;$J289+7),0))</f>
        <v/>
      </c>
      <c r="G289">
        <f>IF($J289="","",IFERROR(LOOKUP(2,1/(('Weekly Log'!$A$5:$A$5000&gt;=$J289)*('Weekly Log'!$A$5:$A$5000&lt;$J289+7)*('Weekly Log'!$M$5:$M$5000&lt;&gt;"")),'Weekly Log'!$M$5:$M$5000),0))</f>
        <v/>
      </c>
      <c r="J289">
        <f>IF(COUNT('Weekly Log'!$A$5:$A$5000)=0,"",IF(MIN('Weekly Log'!$A$5:$A$5000)+7*(ROW()-10)&gt;MAX('Weekly Log'!$A$5:$A$5000),"",MIN('Weekly Log'!$A$5:$A$5000)+7*(ROW()-10)))</f>
        <v/>
      </c>
    </row>
    <row r="290">
      <c r="A290">
        <f>IF($J290="","",YEAR($J290-WEEKDAY($J290,2)+4)&amp;"-W"&amp;TEXT(WEEKNUM($J290,21),"00"))</f>
        <v/>
      </c>
      <c r="B290">
        <f>IF($J290="","",SUMIFS('Weekly Log'!$C:$C,'Weekly Log'!$A:$A,"&gt;="&amp;$J290,'Weekly Log'!$A:$A,"&lt;"&amp;$J290+7))</f>
        <v/>
      </c>
      <c r="C290">
        <f>IF($J290="","",IFERROR(COUNTIFS('Weekly Log'!$G:$G,"Y",'Weekly Log'!$A:$A,"&gt;="&amp;$J290,'Weekly Log'!$A:$A,"&lt;"&amp;$J290+7)/COUNTIFS('Weekly Log'!$G:$G,"&lt;&gt;",'Weekly Log'!$A:$A,"&gt;="&amp;$J290,'Weekly Log'!$A:$A,"&lt;"&amp;$J290+7),0))</f>
        <v/>
      </c>
      <c r="D290">
        <f>IF($J290="","",IFERROR(COUNTIFS('Weekly Log'!$H:$H,"Y",'Weekly Log'!$A:$A,"&gt;="&amp;$J290,'Weekly Log'!$A:$A,"&lt;"&amp;$J290+7)/COUNTIFS('Weekly Log'!$H:$H,"&lt;&gt;",'Weekly Log'!$A:$A,"&gt;="&amp;$J290,'Weekly Log'!$A:$A,"&lt;"&amp;$J290+7),0))</f>
        <v/>
      </c>
      <c r="E290">
        <f>IF($J290="","",IFERROR(AVERAGEIFS('Weekly Log'!$F:$F,'Weekly Log'!$A:$A,"&gt;="&amp;$J290,'Weekly Log'!$A:$A,"&lt;"&amp;$J290+7),0))</f>
        <v/>
      </c>
      <c r="F290">
        <f>IF($J290="","",IFERROR(SUMIFS('Weekly Log'!$F:$F,'Weekly Log'!$A:$A,"&gt;="&amp;$J290,'Weekly Log'!$A:$A,"&lt;"&amp;$J290+7)/SUMIFS('Weekly Log'!$E:$E,'Weekly Log'!$A:$A,"&gt;="&amp;$J290,'Weekly Log'!$A:$A,"&lt;"&amp;$J290+7),0))</f>
        <v/>
      </c>
      <c r="G290">
        <f>IF($J290="","",IFERROR(LOOKUP(2,1/(('Weekly Log'!$A$5:$A$5000&gt;=$J290)*('Weekly Log'!$A$5:$A$5000&lt;$J290+7)*('Weekly Log'!$M$5:$M$5000&lt;&gt;"")),'Weekly Log'!$M$5:$M$5000),0))</f>
        <v/>
      </c>
      <c r="J290">
        <f>IF(COUNT('Weekly Log'!$A$5:$A$5000)=0,"",IF(MIN('Weekly Log'!$A$5:$A$5000)+7*(ROW()-10)&gt;MAX('Weekly Log'!$A$5:$A$5000),"",MIN('Weekly Log'!$A$5:$A$5000)+7*(ROW()-10)))</f>
        <v/>
      </c>
    </row>
    <row r="291">
      <c r="A291">
        <f>IF($J291="","",YEAR($J291-WEEKDAY($J291,2)+4)&amp;"-W"&amp;TEXT(WEEKNUM($J291,21),"00"))</f>
        <v/>
      </c>
      <c r="B291">
        <f>IF($J291="","",SUMIFS('Weekly Log'!$C:$C,'Weekly Log'!$A:$A,"&gt;="&amp;$J291,'Weekly Log'!$A:$A,"&lt;"&amp;$J291+7))</f>
        <v/>
      </c>
      <c r="C291">
        <f>IF($J291="","",IFERROR(COUNTIFS('Weekly Log'!$G:$G,"Y",'Weekly Log'!$A:$A,"&gt;="&amp;$J291,'Weekly Log'!$A:$A,"&lt;"&amp;$J291+7)/COUNTIFS('Weekly Log'!$G:$G,"&lt;&gt;",'Weekly Log'!$A:$A,"&gt;="&amp;$J291,'Weekly Log'!$A:$A,"&lt;"&amp;$J291+7),0))</f>
        <v/>
      </c>
      <c r="D291">
        <f>IF($J291="","",IFERROR(COUNTIFS('Weekly Log'!$H:$H,"Y",'Weekly Log'!$A:$A,"&gt;="&amp;$J291,'Weekly Log'!$A:$A,"&lt;"&amp;$J291+7)/COUNTIFS('Weekly Log'!$H:$H,"&lt;&gt;",'Weekly Log'!$A:$A,"&gt;="&amp;$J291,'Weekly Log'!$A:$A,"&lt;"&amp;$J291+7),0))</f>
        <v/>
      </c>
      <c r="E291">
        <f>IF($J291="","",IFERROR(AVERAGEIFS('Weekly Log'!$F:$F,'Weekly Log'!$A:$A,"&gt;="&amp;$J291,'Weekly Log'!$A:$A,"&lt;"&amp;$J291+7),0))</f>
        <v/>
      </c>
      <c r="F291">
        <f>IF($J291="","",IFERROR(SUMIFS('Weekly Log'!$F:$F,'Weekly Log'!$A:$A,"&gt;="&amp;$J291,'Weekly Log'!$A:$A,"&lt;"&amp;$J291+7)/SUMIFS('Weekly Log'!$E:$E,'Weekly Log'!$A:$A,"&gt;="&amp;$J291,'Weekly Log'!$A:$A,"&lt;"&amp;$J291+7),0))</f>
        <v/>
      </c>
      <c r="G291">
        <f>IF($J291="","",IFERROR(LOOKUP(2,1/(('Weekly Log'!$A$5:$A$5000&gt;=$J291)*('Weekly Log'!$A$5:$A$5000&lt;$J291+7)*('Weekly Log'!$M$5:$M$5000&lt;&gt;"")),'Weekly Log'!$M$5:$M$5000),0))</f>
        <v/>
      </c>
      <c r="J291">
        <f>IF(COUNT('Weekly Log'!$A$5:$A$5000)=0,"",IF(MIN('Weekly Log'!$A$5:$A$5000)+7*(ROW()-10)&gt;MAX('Weekly Log'!$A$5:$A$5000),"",MIN('Weekly Log'!$A$5:$A$5000)+7*(ROW()-10)))</f>
        <v/>
      </c>
    </row>
    <row r="292">
      <c r="A292">
        <f>IF($J292="","",YEAR($J292-WEEKDAY($J292,2)+4)&amp;"-W"&amp;TEXT(WEEKNUM($J292,21),"00"))</f>
        <v/>
      </c>
      <c r="B292">
        <f>IF($J292="","",SUMIFS('Weekly Log'!$C:$C,'Weekly Log'!$A:$A,"&gt;="&amp;$J292,'Weekly Log'!$A:$A,"&lt;"&amp;$J292+7))</f>
        <v/>
      </c>
      <c r="C292">
        <f>IF($J292="","",IFERROR(COUNTIFS('Weekly Log'!$G:$G,"Y",'Weekly Log'!$A:$A,"&gt;="&amp;$J292,'Weekly Log'!$A:$A,"&lt;"&amp;$J292+7)/COUNTIFS('Weekly Log'!$G:$G,"&lt;&gt;",'Weekly Log'!$A:$A,"&gt;="&amp;$J292,'Weekly Log'!$A:$A,"&lt;"&amp;$J292+7),0))</f>
        <v/>
      </c>
      <c r="D292">
        <f>IF($J292="","",IFERROR(COUNTIFS('Weekly Log'!$H:$H,"Y",'Weekly Log'!$A:$A,"&gt;="&amp;$J292,'Weekly Log'!$A:$A,"&lt;"&amp;$J292+7)/COUNTIFS('Weekly Log'!$H:$H,"&lt;&gt;",'Weekly Log'!$A:$A,"&gt;="&amp;$J292,'Weekly Log'!$A:$A,"&lt;"&amp;$J292+7),0))</f>
        <v/>
      </c>
      <c r="E292">
        <f>IF($J292="","",IFERROR(AVERAGEIFS('Weekly Log'!$F:$F,'Weekly Log'!$A:$A,"&gt;="&amp;$J292,'Weekly Log'!$A:$A,"&lt;"&amp;$J292+7),0))</f>
        <v/>
      </c>
      <c r="F292">
        <f>IF($J292="","",IFERROR(SUMIFS('Weekly Log'!$F:$F,'Weekly Log'!$A:$A,"&gt;="&amp;$J292,'Weekly Log'!$A:$A,"&lt;"&amp;$J292+7)/SUMIFS('Weekly Log'!$E:$E,'Weekly Log'!$A:$A,"&gt;="&amp;$J292,'Weekly Log'!$A:$A,"&lt;"&amp;$J292+7),0))</f>
        <v/>
      </c>
      <c r="G292">
        <f>IF($J292="","",IFERROR(LOOKUP(2,1/(('Weekly Log'!$A$5:$A$5000&gt;=$J292)*('Weekly Log'!$A$5:$A$5000&lt;$J292+7)*('Weekly Log'!$M$5:$M$5000&lt;&gt;"")),'Weekly Log'!$M$5:$M$5000),0))</f>
        <v/>
      </c>
      <c r="J292">
        <f>IF(COUNT('Weekly Log'!$A$5:$A$5000)=0,"",IF(MIN('Weekly Log'!$A$5:$A$5000)+7*(ROW()-10)&gt;MAX('Weekly Log'!$A$5:$A$5000),"",MIN('Weekly Log'!$A$5:$A$5000)+7*(ROW()-10)))</f>
        <v/>
      </c>
    </row>
    <row r="293">
      <c r="A293">
        <f>IF($J293="","",YEAR($J293-WEEKDAY($J293,2)+4)&amp;"-W"&amp;TEXT(WEEKNUM($J293,21),"00"))</f>
        <v/>
      </c>
      <c r="B293">
        <f>IF($J293="","",SUMIFS('Weekly Log'!$C:$C,'Weekly Log'!$A:$A,"&gt;="&amp;$J293,'Weekly Log'!$A:$A,"&lt;"&amp;$J293+7))</f>
        <v/>
      </c>
      <c r="C293">
        <f>IF($J293="","",IFERROR(COUNTIFS('Weekly Log'!$G:$G,"Y",'Weekly Log'!$A:$A,"&gt;="&amp;$J293,'Weekly Log'!$A:$A,"&lt;"&amp;$J293+7)/COUNTIFS('Weekly Log'!$G:$G,"&lt;&gt;",'Weekly Log'!$A:$A,"&gt;="&amp;$J293,'Weekly Log'!$A:$A,"&lt;"&amp;$J293+7),0))</f>
        <v/>
      </c>
      <c r="D293">
        <f>IF($J293="","",IFERROR(COUNTIFS('Weekly Log'!$H:$H,"Y",'Weekly Log'!$A:$A,"&gt;="&amp;$J293,'Weekly Log'!$A:$A,"&lt;"&amp;$J293+7)/COUNTIFS('Weekly Log'!$H:$H,"&lt;&gt;",'Weekly Log'!$A:$A,"&gt;="&amp;$J293,'Weekly Log'!$A:$A,"&lt;"&amp;$J293+7),0))</f>
        <v/>
      </c>
      <c r="E293">
        <f>IF($J293="","",IFERROR(AVERAGEIFS('Weekly Log'!$F:$F,'Weekly Log'!$A:$A,"&gt;="&amp;$J293,'Weekly Log'!$A:$A,"&lt;"&amp;$J293+7),0))</f>
        <v/>
      </c>
      <c r="F293">
        <f>IF($J293="","",IFERROR(SUMIFS('Weekly Log'!$F:$F,'Weekly Log'!$A:$A,"&gt;="&amp;$J293,'Weekly Log'!$A:$A,"&lt;"&amp;$J293+7)/SUMIFS('Weekly Log'!$E:$E,'Weekly Log'!$A:$A,"&gt;="&amp;$J293,'Weekly Log'!$A:$A,"&lt;"&amp;$J293+7),0))</f>
        <v/>
      </c>
      <c r="G293">
        <f>IF($J293="","",IFERROR(LOOKUP(2,1/(('Weekly Log'!$A$5:$A$5000&gt;=$J293)*('Weekly Log'!$A$5:$A$5000&lt;$J293+7)*('Weekly Log'!$M$5:$M$5000&lt;&gt;"")),'Weekly Log'!$M$5:$M$5000),0))</f>
        <v/>
      </c>
      <c r="J293">
        <f>IF(COUNT('Weekly Log'!$A$5:$A$5000)=0,"",IF(MIN('Weekly Log'!$A$5:$A$5000)+7*(ROW()-10)&gt;MAX('Weekly Log'!$A$5:$A$5000),"",MIN('Weekly Log'!$A$5:$A$5000)+7*(ROW()-10)))</f>
        <v/>
      </c>
    </row>
    <row r="294">
      <c r="A294">
        <f>IF($J294="","",YEAR($J294-WEEKDAY($J294,2)+4)&amp;"-W"&amp;TEXT(WEEKNUM($J294,21),"00"))</f>
        <v/>
      </c>
      <c r="B294">
        <f>IF($J294="","",SUMIFS('Weekly Log'!$C:$C,'Weekly Log'!$A:$A,"&gt;="&amp;$J294,'Weekly Log'!$A:$A,"&lt;"&amp;$J294+7))</f>
        <v/>
      </c>
      <c r="C294">
        <f>IF($J294="","",IFERROR(COUNTIFS('Weekly Log'!$G:$G,"Y",'Weekly Log'!$A:$A,"&gt;="&amp;$J294,'Weekly Log'!$A:$A,"&lt;"&amp;$J294+7)/COUNTIFS('Weekly Log'!$G:$G,"&lt;&gt;",'Weekly Log'!$A:$A,"&gt;="&amp;$J294,'Weekly Log'!$A:$A,"&lt;"&amp;$J294+7),0))</f>
        <v/>
      </c>
      <c r="D294">
        <f>IF($J294="","",IFERROR(COUNTIFS('Weekly Log'!$H:$H,"Y",'Weekly Log'!$A:$A,"&gt;="&amp;$J294,'Weekly Log'!$A:$A,"&lt;"&amp;$J294+7)/COUNTIFS('Weekly Log'!$H:$H,"&lt;&gt;",'Weekly Log'!$A:$A,"&gt;="&amp;$J294,'Weekly Log'!$A:$A,"&lt;"&amp;$J294+7),0))</f>
        <v/>
      </c>
      <c r="E294">
        <f>IF($J294="","",IFERROR(AVERAGEIFS('Weekly Log'!$F:$F,'Weekly Log'!$A:$A,"&gt;="&amp;$J294,'Weekly Log'!$A:$A,"&lt;"&amp;$J294+7),0))</f>
        <v/>
      </c>
      <c r="F294">
        <f>IF($J294="","",IFERROR(SUMIFS('Weekly Log'!$F:$F,'Weekly Log'!$A:$A,"&gt;="&amp;$J294,'Weekly Log'!$A:$A,"&lt;"&amp;$J294+7)/SUMIFS('Weekly Log'!$E:$E,'Weekly Log'!$A:$A,"&gt;="&amp;$J294,'Weekly Log'!$A:$A,"&lt;"&amp;$J294+7),0))</f>
        <v/>
      </c>
      <c r="G294">
        <f>IF($J294="","",IFERROR(LOOKUP(2,1/(('Weekly Log'!$A$5:$A$5000&gt;=$J294)*('Weekly Log'!$A$5:$A$5000&lt;$J294+7)*('Weekly Log'!$M$5:$M$5000&lt;&gt;"")),'Weekly Log'!$M$5:$M$5000),0))</f>
        <v/>
      </c>
      <c r="J294">
        <f>IF(COUNT('Weekly Log'!$A$5:$A$5000)=0,"",IF(MIN('Weekly Log'!$A$5:$A$5000)+7*(ROW()-10)&gt;MAX('Weekly Log'!$A$5:$A$5000),"",MIN('Weekly Log'!$A$5:$A$5000)+7*(ROW()-10)))</f>
        <v/>
      </c>
    </row>
    <row r="295">
      <c r="A295">
        <f>IF($J295="","",YEAR($J295-WEEKDAY($J295,2)+4)&amp;"-W"&amp;TEXT(WEEKNUM($J295,21),"00"))</f>
        <v/>
      </c>
      <c r="B295">
        <f>IF($J295="","",SUMIFS('Weekly Log'!$C:$C,'Weekly Log'!$A:$A,"&gt;="&amp;$J295,'Weekly Log'!$A:$A,"&lt;"&amp;$J295+7))</f>
        <v/>
      </c>
      <c r="C295">
        <f>IF($J295="","",IFERROR(COUNTIFS('Weekly Log'!$G:$G,"Y",'Weekly Log'!$A:$A,"&gt;="&amp;$J295,'Weekly Log'!$A:$A,"&lt;"&amp;$J295+7)/COUNTIFS('Weekly Log'!$G:$G,"&lt;&gt;",'Weekly Log'!$A:$A,"&gt;="&amp;$J295,'Weekly Log'!$A:$A,"&lt;"&amp;$J295+7),0))</f>
        <v/>
      </c>
      <c r="D295">
        <f>IF($J295="","",IFERROR(COUNTIFS('Weekly Log'!$H:$H,"Y",'Weekly Log'!$A:$A,"&gt;="&amp;$J295,'Weekly Log'!$A:$A,"&lt;"&amp;$J295+7)/COUNTIFS('Weekly Log'!$H:$H,"&lt;&gt;",'Weekly Log'!$A:$A,"&gt;="&amp;$J295,'Weekly Log'!$A:$A,"&lt;"&amp;$J295+7),0))</f>
        <v/>
      </c>
      <c r="E295">
        <f>IF($J295="","",IFERROR(AVERAGEIFS('Weekly Log'!$F:$F,'Weekly Log'!$A:$A,"&gt;="&amp;$J295,'Weekly Log'!$A:$A,"&lt;"&amp;$J295+7),0))</f>
        <v/>
      </c>
      <c r="F295">
        <f>IF($J295="","",IFERROR(SUMIFS('Weekly Log'!$F:$F,'Weekly Log'!$A:$A,"&gt;="&amp;$J295,'Weekly Log'!$A:$A,"&lt;"&amp;$J295+7)/SUMIFS('Weekly Log'!$E:$E,'Weekly Log'!$A:$A,"&gt;="&amp;$J295,'Weekly Log'!$A:$A,"&lt;"&amp;$J295+7),0))</f>
        <v/>
      </c>
      <c r="G295">
        <f>IF($J295="","",IFERROR(LOOKUP(2,1/(('Weekly Log'!$A$5:$A$5000&gt;=$J295)*('Weekly Log'!$A$5:$A$5000&lt;$J295+7)*('Weekly Log'!$M$5:$M$5000&lt;&gt;"")),'Weekly Log'!$M$5:$M$5000),0))</f>
        <v/>
      </c>
      <c r="J295">
        <f>IF(COUNT('Weekly Log'!$A$5:$A$5000)=0,"",IF(MIN('Weekly Log'!$A$5:$A$5000)+7*(ROW()-10)&gt;MAX('Weekly Log'!$A$5:$A$5000),"",MIN('Weekly Log'!$A$5:$A$5000)+7*(ROW()-10)))</f>
        <v/>
      </c>
    </row>
    <row r="296">
      <c r="A296">
        <f>IF($J296="","",YEAR($J296-WEEKDAY($J296,2)+4)&amp;"-W"&amp;TEXT(WEEKNUM($J296,21),"00"))</f>
        <v/>
      </c>
      <c r="B296">
        <f>IF($J296="","",SUMIFS('Weekly Log'!$C:$C,'Weekly Log'!$A:$A,"&gt;="&amp;$J296,'Weekly Log'!$A:$A,"&lt;"&amp;$J296+7))</f>
        <v/>
      </c>
      <c r="C296">
        <f>IF($J296="","",IFERROR(COUNTIFS('Weekly Log'!$G:$G,"Y",'Weekly Log'!$A:$A,"&gt;="&amp;$J296,'Weekly Log'!$A:$A,"&lt;"&amp;$J296+7)/COUNTIFS('Weekly Log'!$G:$G,"&lt;&gt;",'Weekly Log'!$A:$A,"&gt;="&amp;$J296,'Weekly Log'!$A:$A,"&lt;"&amp;$J296+7),0))</f>
        <v/>
      </c>
      <c r="D296">
        <f>IF($J296="","",IFERROR(COUNTIFS('Weekly Log'!$H:$H,"Y",'Weekly Log'!$A:$A,"&gt;="&amp;$J296,'Weekly Log'!$A:$A,"&lt;"&amp;$J296+7)/COUNTIFS('Weekly Log'!$H:$H,"&lt;&gt;",'Weekly Log'!$A:$A,"&gt;="&amp;$J296,'Weekly Log'!$A:$A,"&lt;"&amp;$J296+7),0))</f>
        <v/>
      </c>
      <c r="E296">
        <f>IF($J296="","",IFERROR(AVERAGEIFS('Weekly Log'!$F:$F,'Weekly Log'!$A:$A,"&gt;="&amp;$J296,'Weekly Log'!$A:$A,"&lt;"&amp;$J296+7),0))</f>
        <v/>
      </c>
      <c r="F296">
        <f>IF($J296="","",IFERROR(SUMIFS('Weekly Log'!$F:$F,'Weekly Log'!$A:$A,"&gt;="&amp;$J296,'Weekly Log'!$A:$A,"&lt;"&amp;$J296+7)/SUMIFS('Weekly Log'!$E:$E,'Weekly Log'!$A:$A,"&gt;="&amp;$J296,'Weekly Log'!$A:$A,"&lt;"&amp;$J296+7),0))</f>
        <v/>
      </c>
      <c r="G296">
        <f>IF($J296="","",IFERROR(LOOKUP(2,1/(('Weekly Log'!$A$5:$A$5000&gt;=$J296)*('Weekly Log'!$A$5:$A$5000&lt;$J296+7)*('Weekly Log'!$M$5:$M$5000&lt;&gt;"")),'Weekly Log'!$M$5:$M$5000),0))</f>
        <v/>
      </c>
      <c r="J296">
        <f>IF(COUNT('Weekly Log'!$A$5:$A$5000)=0,"",IF(MIN('Weekly Log'!$A$5:$A$5000)+7*(ROW()-10)&gt;MAX('Weekly Log'!$A$5:$A$5000),"",MIN('Weekly Log'!$A$5:$A$5000)+7*(ROW()-10)))</f>
        <v/>
      </c>
    </row>
    <row r="297">
      <c r="A297">
        <f>IF($J297="","",YEAR($J297-WEEKDAY($J297,2)+4)&amp;"-W"&amp;TEXT(WEEKNUM($J297,21),"00"))</f>
        <v/>
      </c>
      <c r="B297">
        <f>IF($J297="","",SUMIFS('Weekly Log'!$C:$C,'Weekly Log'!$A:$A,"&gt;="&amp;$J297,'Weekly Log'!$A:$A,"&lt;"&amp;$J297+7))</f>
        <v/>
      </c>
      <c r="C297">
        <f>IF($J297="","",IFERROR(COUNTIFS('Weekly Log'!$G:$G,"Y",'Weekly Log'!$A:$A,"&gt;="&amp;$J297,'Weekly Log'!$A:$A,"&lt;"&amp;$J297+7)/COUNTIFS('Weekly Log'!$G:$G,"&lt;&gt;",'Weekly Log'!$A:$A,"&gt;="&amp;$J297,'Weekly Log'!$A:$A,"&lt;"&amp;$J297+7),0))</f>
        <v/>
      </c>
      <c r="D297">
        <f>IF($J297="","",IFERROR(COUNTIFS('Weekly Log'!$H:$H,"Y",'Weekly Log'!$A:$A,"&gt;="&amp;$J297,'Weekly Log'!$A:$A,"&lt;"&amp;$J297+7)/COUNTIFS('Weekly Log'!$H:$H,"&lt;&gt;",'Weekly Log'!$A:$A,"&gt;="&amp;$J297,'Weekly Log'!$A:$A,"&lt;"&amp;$J297+7),0))</f>
        <v/>
      </c>
      <c r="E297">
        <f>IF($J297="","",IFERROR(AVERAGEIFS('Weekly Log'!$F:$F,'Weekly Log'!$A:$A,"&gt;="&amp;$J297,'Weekly Log'!$A:$A,"&lt;"&amp;$J297+7),0))</f>
        <v/>
      </c>
      <c r="F297">
        <f>IF($J297="","",IFERROR(SUMIFS('Weekly Log'!$F:$F,'Weekly Log'!$A:$A,"&gt;="&amp;$J297,'Weekly Log'!$A:$A,"&lt;"&amp;$J297+7)/SUMIFS('Weekly Log'!$E:$E,'Weekly Log'!$A:$A,"&gt;="&amp;$J297,'Weekly Log'!$A:$A,"&lt;"&amp;$J297+7),0))</f>
        <v/>
      </c>
      <c r="G297">
        <f>IF($J297="","",IFERROR(LOOKUP(2,1/(('Weekly Log'!$A$5:$A$5000&gt;=$J297)*('Weekly Log'!$A$5:$A$5000&lt;$J297+7)*('Weekly Log'!$M$5:$M$5000&lt;&gt;"")),'Weekly Log'!$M$5:$M$5000),0))</f>
        <v/>
      </c>
      <c r="J297">
        <f>IF(COUNT('Weekly Log'!$A$5:$A$5000)=0,"",IF(MIN('Weekly Log'!$A$5:$A$5000)+7*(ROW()-10)&gt;MAX('Weekly Log'!$A$5:$A$5000),"",MIN('Weekly Log'!$A$5:$A$5000)+7*(ROW()-10)))</f>
        <v/>
      </c>
    </row>
    <row r="298">
      <c r="A298">
        <f>IF($J298="","",YEAR($J298-WEEKDAY($J298,2)+4)&amp;"-W"&amp;TEXT(WEEKNUM($J298,21),"00"))</f>
        <v/>
      </c>
      <c r="B298">
        <f>IF($J298="","",SUMIFS('Weekly Log'!$C:$C,'Weekly Log'!$A:$A,"&gt;="&amp;$J298,'Weekly Log'!$A:$A,"&lt;"&amp;$J298+7))</f>
        <v/>
      </c>
      <c r="C298">
        <f>IF($J298="","",IFERROR(COUNTIFS('Weekly Log'!$G:$G,"Y",'Weekly Log'!$A:$A,"&gt;="&amp;$J298,'Weekly Log'!$A:$A,"&lt;"&amp;$J298+7)/COUNTIFS('Weekly Log'!$G:$G,"&lt;&gt;",'Weekly Log'!$A:$A,"&gt;="&amp;$J298,'Weekly Log'!$A:$A,"&lt;"&amp;$J298+7),0))</f>
        <v/>
      </c>
      <c r="D298">
        <f>IF($J298="","",IFERROR(COUNTIFS('Weekly Log'!$H:$H,"Y",'Weekly Log'!$A:$A,"&gt;="&amp;$J298,'Weekly Log'!$A:$A,"&lt;"&amp;$J298+7)/COUNTIFS('Weekly Log'!$H:$H,"&lt;&gt;",'Weekly Log'!$A:$A,"&gt;="&amp;$J298,'Weekly Log'!$A:$A,"&lt;"&amp;$J298+7),0))</f>
        <v/>
      </c>
      <c r="E298">
        <f>IF($J298="","",IFERROR(AVERAGEIFS('Weekly Log'!$F:$F,'Weekly Log'!$A:$A,"&gt;="&amp;$J298,'Weekly Log'!$A:$A,"&lt;"&amp;$J298+7),0))</f>
        <v/>
      </c>
      <c r="F298">
        <f>IF($J298="","",IFERROR(SUMIFS('Weekly Log'!$F:$F,'Weekly Log'!$A:$A,"&gt;="&amp;$J298,'Weekly Log'!$A:$A,"&lt;"&amp;$J298+7)/SUMIFS('Weekly Log'!$E:$E,'Weekly Log'!$A:$A,"&gt;="&amp;$J298,'Weekly Log'!$A:$A,"&lt;"&amp;$J298+7),0))</f>
        <v/>
      </c>
      <c r="G298">
        <f>IF($J298="","",IFERROR(LOOKUP(2,1/(('Weekly Log'!$A$5:$A$5000&gt;=$J298)*('Weekly Log'!$A$5:$A$5000&lt;$J298+7)*('Weekly Log'!$M$5:$M$5000&lt;&gt;"")),'Weekly Log'!$M$5:$M$5000),0))</f>
        <v/>
      </c>
      <c r="J298">
        <f>IF(COUNT('Weekly Log'!$A$5:$A$5000)=0,"",IF(MIN('Weekly Log'!$A$5:$A$5000)+7*(ROW()-10)&gt;MAX('Weekly Log'!$A$5:$A$5000),"",MIN('Weekly Log'!$A$5:$A$5000)+7*(ROW()-10)))</f>
        <v/>
      </c>
    </row>
    <row r="299">
      <c r="A299">
        <f>IF($J299="","",YEAR($J299-WEEKDAY($J299,2)+4)&amp;"-W"&amp;TEXT(WEEKNUM($J299,21),"00"))</f>
        <v/>
      </c>
      <c r="B299">
        <f>IF($J299="","",SUMIFS('Weekly Log'!$C:$C,'Weekly Log'!$A:$A,"&gt;="&amp;$J299,'Weekly Log'!$A:$A,"&lt;"&amp;$J299+7))</f>
        <v/>
      </c>
      <c r="C299">
        <f>IF($J299="","",IFERROR(COUNTIFS('Weekly Log'!$G:$G,"Y",'Weekly Log'!$A:$A,"&gt;="&amp;$J299,'Weekly Log'!$A:$A,"&lt;"&amp;$J299+7)/COUNTIFS('Weekly Log'!$G:$G,"&lt;&gt;",'Weekly Log'!$A:$A,"&gt;="&amp;$J299,'Weekly Log'!$A:$A,"&lt;"&amp;$J299+7),0))</f>
        <v/>
      </c>
      <c r="D299">
        <f>IF($J299="","",IFERROR(COUNTIFS('Weekly Log'!$H:$H,"Y",'Weekly Log'!$A:$A,"&gt;="&amp;$J299,'Weekly Log'!$A:$A,"&lt;"&amp;$J299+7)/COUNTIFS('Weekly Log'!$H:$H,"&lt;&gt;",'Weekly Log'!$A:$A,"&gt;="&amp;$J299,'Weekly Log'!$A:$A,"&lt;"&amp;$J299+7),0))</f>
        <v/>
      </c>
      <c r="E299">
        <f>IF($J299="","",IFERROR(AVERAGEIFS('Weekly Log'!$F:$F,'Weekly Log'!$A:$A,"&gt;="&amp;$J299,'Weekly Log'!$A:$A,"&lt;"&amp;$J299+7),0))</f>
        <v/>
      </c>
      <c r="F299">
        <f>IF($J299="","",IFERROR(SUMIFS('Weekly Log'!$F:$F,'Weekly Log'!$A:$A,"&gt;="&amp;$J299,'Weekly Log'!$A:$A,"&lt;"&amp;$J299+7)/SUMIFS('Weekly Log'!$E:$E,'Weekly Log'!$A:$A,"&gt;="&amp;$J299,'Weekly Log'!$A:$A,"&lt;"&amp;$J299+7),0))</f>
        <v/>
      </c>
      <c r="G299">
        <f>IF($J299="","",IFERROR(LOOKUP(2,1/(('Weekly Log'!$A$5:$A$5000&gt;=$J299)*('Weekly Log'!$A$5:$A$5000&lt;$J299+7)*('Weekly Log'!$M$5:$M$5000&lt;&gt;"")),'Weekly Log'!$M$5:$M$5000),0))</f>
        <v/>
      </c>
      <c r="J299">
        <f>IF(COUNT('Weekly Log'!$A$5:$A$5000)=0,"",IF(MIN('Weekly Log'!$A$5:$A$5000)+7*(ROW()-10)&gt;MAX('Weekly Log'!$A$5:$A$5000),"",MIN('Weekly Log'!$A$5:$A$5000)+7*(ROW()-10)))</f>
        <v/>
      </c>
    </row>
    <row r="300">
      <c r="A300">
        <f>IF($J300="","",YEAR($J300-WEEKDAY($J300,2)+4)&amp;"-W"&amp;TEXT(WEEKNUM($J300,21),"00"))</f>
        <v/>
      </c>
      <c r="B300">
        <f>IF($J300="","",SUMIFS('Weekly Log'!$C:$C,'Weekly Log'!$A:$A,"&gt;="&amp;$J300,'Weekly Log'!$A:$A,"&lt;"&amp;$J300+7))</f>
        <v/>
      </c>
      <c r="C300">
        <f>IF($J300="","",IFERROR(COUNTIFS('Weekly Log'!$G:$G,"Y",'Weekly Log'!$A:$A,"&gt;="&amp;$J300,'Weekly Log'!$A:$A,"&lt;"&amp;$J300+7)/COUNTIFS('Weekly Log'!$G:$G,"&lt;&gt;",'Weekly Log'!$A:$A,"&gt;="&amp;$J300,'Weekly Log'!$A:$A,"&lt;"&amp;$J300+7),0))</f>
        <v/>
      </c>
      <c r="D300">
        <f>IF($J300="","",IFERROR(COUNTIFS('Weekly Log'!$H:$H,"Y",'Weekly Log'!$A:$A,"&gt;="&amp;$J300,'Weekly Log'!$A:$A,"&lt;"&amp;$J300+7)/COUNTIFS('Weekly Log'!$H:$H,"&lt;&gt;",'Weekly Log'!$A:$A,"&gt;="&amp;$J300,'Weekly Log'!$A:$A,"&lt;"&amp;$J300+7),0))</f>
        <v/>
      </c>
      <c r="E300">
        <f>IF($J300="","",IFERROR(AVERAGEIFS('Weekly Log'!$F:$F,'Weekly Log'!$A:$A,"&gt;="&amp;$J300,'Weekly Log'!$A:$A,"&lt;"&amp;$J300+7),0))</f>
        <v/>
      </c>
      <c r="F300">
        <f>IF($J300="","",IFERROR(SUMIFS('Weekly Log'!$F:$F,'Weekly Log'!$A:$A,"&gt;="&amp;$J300,'Weekly Log'!$A:$A,"&lt;"&amp;$J300+7)/SUMIFS('Weekly Log'!$E:$E,'Weekly Log'!$A:$A,"&gt;="&amp;$J300,'Weekly Log'!$A:$A,"&lt;"&amp;$J300+7),0))</f>
        <v/>
      </c>
      <c r="G300">
        <f>IF($J300="","",IFERROR(LOOKUP(2,1/(('Weekly Log'!$A$5:$A$5000&gt;=$J300)*('Weekly Log'!$A$5:$A$5000&lt;$J300+7)*('Weekly Log'!$M$5:$M$5000&lt;&gt;"")),'Weekly Log'!$M$5:$M$5000),0))</f>
        <v/>
      </c>
      <c r="J300">
        <f>IF(COUNT('Weekly Log'!$A$5:$A$5000)=0,"",IF(MIN('Weekly Log'!$A$5:$A$5000)+7*(ROW()-10)&gt;MAX('Weekly Log'!$A$5:$A$5000),"",MIN('Weekly Log'!$A$5:$A$5000)+7*(ROW()-10)))</f>
        <v/>
      </c>
    </row>
    <row r="301">
      <c r="A301">
        <f>IF($J301="","",YEAR($J301-WEEKDAY($J301,2)+4)&amp;"-W"&amp;TEXT(WEEKNUM($J301,21),"00"))</f>
        <v/>
      </c>
      <c r="B301">
        <f>IF($J301="","",SUMIFS('Weekly Log'!$C:$C,'Weekly Log'!$A:$A,"&gt;="&amp;$J301,'Weekly Log'!$A:$A,"&lt;"&amp;$J301+7))</f>
        <v/>
      </c>
      <c r="C301">
        <f>IF($J301="","",IFERROR(COUNTIFS('Weekly Log'!$G:$G,"Y",'Weekly Log'!$A:$A,"&gt;="&amp;$J301,'Weekly Log'!$A:$A,"&lt;"&amp;$J301+7)/COUNTIFS('Weekly Log'!$G:$G,"&lt;&gt;",'Weekly Log'!$A:$A,"&gt;="&amp;$J301,'Weekly Log'!$A:$A,"&lt;"&amp;$J301+7),0))</f>
        <v/>
      </c>
      <c r="D301">
        <f>IF($J301="","",IFERROR(COUNTIFS('Weekly Log'!$H:$H,"Y",'Weekly Log'!$A:$A,"&gt;="&amp;$J301,'Weekly Log'!$A:$A,"&lt;"&amp;$J301+7)/COUNTIFS('Weekly Log'!$H:$H,"&lt;&gt;",'Weekly Log'!$A:$A,"&gt;="&amp;$J301,'Weekly Log'!$A:$A,"&lt;"&amp;$J301+7),0))</f>
        <v/>
      </c>
      <c r="E301">
        <f>IF($J301="","",IFERROR(AVERAGEIFS('Weekly Log'!$F:$F,'Weekly Log'!$A:$A,"&gt;="&amp;$J301,'Weekly Log'!$A:$A,"&lt;"&amp;$J301+7),0))</f>
        <v/>
      </c>
      <c r="F301">
        <f>IF($J301="","",IFERROR(SUMIFS('Weekly Log'!$F:$F,'Weekly Log'!$A:$A,"&gt;="&amp;$J301,'Weekly Log'!$A:$A,"&lt;"&amp;$J301+7)/SUMIFS('Weekly Log'!$E:$E,'Weekly Log'!$A:$A,"&gt;="&amp;$J301,'Weekly Log'!$A:$A,"&lt;"&amp;$J301+7),0))</f>
        <v/>
      </c>
      <c r="G301">
        <f>IF($J301="","",IFERROR(LOOKUP(2,1/(('Weekly Log'!$A$5:$A$5000&gt;=$J301)*('Weekly Log'!$A$5:$A$5000&lt;$J301+7)*('Weekly Log'!$M$5:$M$5000&lt;&gt;"")),'Weekly Log'!$M$5:$M$5000),0))</f>
        <v/>
      </c>
      <c r="J301">
        <f>IF(COUNT('Weekly Log'!$A$5:$A$5000)=0,"",IF(MIN('Weekly Log'!$A$5:$A$5000)+7*(ROW()-10)&gt;MAX('Weekly Log'!$A$5:$A$5000),"",MIN('Weekly Log'!$A$5:$A$5000)+7*(ROW()-10)))</f>
        <v/>
      </c>
    </row>
    <row r="302">
      <c r="A302">
        <f>IF($J302="","",YEAR($J302-WEEKDAY($J302,2)+4)&amp;"-W"&amp;TEXT(WEEKNUM($J302,21),"00"))</f>
        <v/>
      </c>
      <c r="B302">
        <f>IF($J302="","",SUMIFS('Weekly Log'!$C:$C,'Weekly Log'!$A:$A,"&gt;="&amp;$J302,'Weekly Log'!$A:$A,"&lt;"&amp;$J302+7))</f>
        <v/>
      </c>
      <c r="C302">
        <f>IF($J302="","",IFERROR(COUNTIFS('Weekly Log'!$G:$G,"Y",'Weekly Log'!$A:$A,"&gt;="&amp;$J302,'Weekly Log'!$A:$A,"&lt;"&amp;$J302+7)/COUNTIFS('Weekly Log'!$G:$G,"&lt;&gt;",'Weekly Log'!$A:$A,"&gt;="&amp;$J302,'Weekly Log'!$A:$A,"&lt;"&amp;$J302+7),0))</f>
        <v/>
      </c>
      <c r="D302">
        <f>IF($J302="","",IFERROR(COUNTIFS('Weekly Log'!$H:$H,"Y",'Weekly Log'!$A:$A,"&gt;="&amp;$J302,'Weekly Log'!$A:$A,"&lt;"&amp;$J302+7)/COUNTIFS('Weekly Log'!$H:$H,"&lt;&gt;",'Weekly Log'!$A:$A,"&gt;="&amp;$J302,'Weekly Log'!$A:$A,"&lt;"&amp;$J302+7),0))</f>
        <v/>
      </c>
      <c r="E302">
        <f>IF($J302="","",IFERROR(AVERAGEIFS('Weekly Log'!$F:$F,'Weekly Log'!$A:$A,"&gt;="&amp;$J302,'Weekly Log'!$A:$A,"&lt;"&amp;$J302+7),0))</f>
        <v/>
      </c>
      <c r="F302">
        <f>IF($J302="","",IFERROR(SUMIFS('Weekly Log'!$F:$F,'Weekly Log'!$A:$A,"&gt;="&amp;$J302,'Weekly Log'!$A:$A,"&lt;"&amp;$J302+7)/SUMIFS('Weekly Log'!$E:$E,'Weekly Log'!$A:$A,"&gt;="&amp;$J302,'Weekly Log'!$A:$A,"&lt;"&amp;$J302+7),0))</f>
        <v/>
      </c>
      <c r="G302">
        <f>IF($J302="","",IFERROR(LOOKUP(2,1/(('Weekly Log'!$A$5:$A$5000&gt;=$J302)*('Weekly Log'!$A$5:$A$5000&lt;$J302+7)*('Weekly Log'!$M$5:$M$5000&lt;&gt;"")),'Weekly Log'!$M$5:$M$5000),0))</f>
        <v/>
      </c>
      <c r="J302">
        <f>IF(COUNT('Weekly Log'!$A$5:$A$5000)=0,"",IF(MIN('Weekly Log'!$A$5:$A$5000)+7*(ROW()-10)&gt;MAX('Weekly Log'!$A$5:$A$5000),"",MIN('Weekly Log'!$A$5:$A$5000)+7*(ROW()-10)))</f>
        <v/>
      </c>
    </row>
    <row r="303">
      <c r="A303">
        <f>IF($J303="","",YEAR($J303-WEEKDAY($J303,2)+4)&amp;"-W"&amp;TEXT(WEEKNUM($J303,21),"00"))</f>
        <v/>
      </c>
      <c r="B303">
        <f>IF($J303="","",SUMIFS('Weekly Log'!$C:$C,'Weekly Log'!$A:$A,"&gt;="&amp;$J303,'Weekly Log'!$A:$A,"&lt;"&amp;$J303+7))</f>
        <v/>
      </c>
      <c r="C303">
        <f>IF($J303="","",IFERROR(COUNTIFS('Weekly Log'!$G:$G,"Y",'Weekly Log'!$A:$A,"&gt;="&amp;$J303,'Weekly Log'!$A:$A,"&lt;"&amp;$J303+7)/COUNTIFS('Weekly Log'!$G:$G,"&lt;&gt;",'Weekly Log'!$A:$A,"&gt;="&amp;$J303,'Weekly Log'!$A:$A,"&lt;"&amp;$J303+7),0))</f>
        <v/>
      </c>
      <c r="D303">
        <f>IF($J303="","",IFERROR(COUNTIFS('Weekly Log'!$H:$H,"Y",'Weekly Log'!$A:$A,"&gt;="&amp;$J303,'Weekly Log'!$A:$A,"&lt;"&amp;$J303+7)/COUNTIFS('Weekly Log'!$H:$H,"&lt;&gt;",'Weekly Log'!$A:$A,"&gt;="&amp;$J303,'Weekly Log'!$A:$A,"&lt;"&amp;$J303+7),0))</f>
        <v/>
      </c>
      <c r="E303">
        <f>IF($J303="","",IFERROR(AVERAGEIFS('Weekly Log'!$F:$F,'Weekly Log'!$A:$A,"&gt;="&amp;$J303,'Weekly Log'!$A:$A,"&lt;"&amp;$J303+7),0))</f>
        <v/>
      </c>
      <c r="F303">
        <f>IF($J303="","",IFERROR(SUMIFS('Weekly Log'!$F:$F,'Weekly Log'!$A:$A,"&gt;="&amp;$J303,'Weekly Log'!$A:$A,"&lt;"&amp;$J303+7)/SUMIFS('Weekly Log'!$E:$E,'Weekly Log'!$A:$A,"&gt;="&amp;$J303,'Weekly Log'!$A:$A,"&lt;"&amp;$J303+7),0))</f>
        <v/>
      </c>
      <c r="G303">
        <f>IF($J303="","",IFERROR(LOOKUP(2,1/(('Weekly Log'!$A$5:$A$5000&gt;=$J303)*('Weekly Log'!$A$5:$A$5000&lt;$J303+7)*('Weekly Log'!$M$5:$M$5000&lt;&gt;"")),'Weekly Log'!$M$5:$M$5000),0))</f>
        <v/>
      </c>
      <c r="J303">
        <f>IF(COUNT('Weekly Log'!$A$5:$A$5000)=0,"",IF(MIN('Weekly Log'!$A$5:$A$5000)+7*(ROW()-10)&gt;MAX('Weekly Log'!$A$5:$A$5000),"",MIN('Weekly Log'!$A$5:$A$5000)+7*(ROW()-10)))</f>
        <v/>
      </c>
    </row>
    <row r="304">
      <c r="A304">
        <f>IF($J304="","",YEAR($J304-WEEKDAY($J304,2)+4)&amp;"-W"&amp;TEXT(WEEKNUM($J304,21),"00"))</f>
        <v/>
      </c>
      <c r="B304">
        <f>IF($J304="","",SUMIFS('Weekly Log'!$C:$C,'Weekly Log'!$A:$A,"&gt;="&amp;$J304,'Weekly Log'!$A:$A,"&lt;"&amp;$J304+7))</f>
        <v/>
      </c>
      <c r="C304">
        <f>IF($J304="","",IFERROR(COUNTIFS('Weekly Log'!$G:$G,"Y",'Weekly Log'!$A:$A,"&gt;="&amp;$J304,'Weekly Log'!$A:$A,"&lt;"&amp;$J304+7)/COUNTIFS('Weekly Log'!$G:$G,"&lt;&gt;",'Weekly Log'!$A:$A,"&gt;="&amp;$J304,'Weekly Log'!$A:$A,"&lt;"&amp;$J304+7),0))</f>
        <v/>
      </c>
      <c r="D304">
        <f>IF($J304="","",IFERROR(COUNTIFS('Weekly Log'!$H:$H,"Y",'Weekly Log'!$A:$A,"&gt;="&amp;$J304,'Weekly Log'!$A:$A,"&lt;"&amp;$J304+7)/COUNTIFS('Weekly Log'!$H:$H,"&lt;&gt;",'Weekly Log'!$A:$A,"&gt;="&amp;$J304,'Weekly Log'!$A:$A,"&lt;"&amp;$J304+7),0))</f>
        <v/>
      </c>
      <c r="E304">
        <f>IF($J304="","",IFERROR(AVERAGEIFS('Weekly Log'!$F:$F,'Weekly Log'!$A:$A,"&gt;="&amp;$J304,'Weekly Log'!$A:$A,"&lt;"&amp;$J304+7),0))</f>
        <v/>
      </c>
      <c r="F304">
        <f>IF($J304="","",IFERROR(SUMIFS('Weekly Log'!$F:$F,'Weekly Log'!$A:$A,"&gt;="&amp;$J304,'Weekly Log'!$A:$A,"&lt;"&amp;$J304+7)/SUMIFS('Weekly Log'!$E:$E,'Weekly Log'!$A:$A,"&gt;="&amp;$J304,'Weekly Log'!$A:$A,"&lt;"&amp;$J304+7),0))</f>
        <v/>
      </c>
      <c r="G304">
        <f>IF($J304="","",IFERROR(LOOKUP(2,1/(('Weekly Log'!$A$5:$A$5000&gt;=$J304)*('Weekly Log'!$A$5:$A$5000&lt;$J304+7)*('Weekly Log'!$M$5:$M$5000&lt;&gt;"")),'Weekly Log'!$M$5:$M$5000),0))</f>
        <v/>
      </c>
      <c r="J304">
        <f>IF(COUNT('Weekly Log'!$A$5:$A$5000)=0,"",IF(MIN('Weekly Log'!$A$5:$A$5000)+7*(ROW()-10)&gt;MAX('Weekly Log'!$A$5:$A$5000),"",MIN('Weekly Log'!$A$5:$A$5000)+7*(ROW()-10)))</f>
        <v/>
      </c>
    </row>
    <row r="305">
      <c r="A305">
        <f>IF($J305="","",YEAR($J305-WEEKDAY($J305,2)+4)&amp;"-W"&amp;TEXT(WEEKNUM($J305,21),"00"))</f>
        <v/>
      </c>
      <c r="B305">
        <f>IF($J305="","",SUMIFS('Weekly Log'!$C:$C,'Weekly Log'!$A:$A,"&gt;="&amp;$J305,'Weekly Log'!$A:$A,"&lt;"&amp;$J305+7))</f>
        <v/>
      </c>
      <c r="C305">
        <f>IF($J305="","",IFERROR(COUNTIFS('Weekly Log'!$G:$G,"Y",'Weekly Log'!$A:$A,"&gt;="&amp;$J305,'Weekly Log'!$A:$A,"&lt;"&amp;$J305+7)/COUNTIFS('Weekly Log'!$G:$G,"&lt;&gt;",'Weekly Log'!$A:$A,"&gt;="&amp;$J305,'Weekly Log'!$A:$A,"&lt;"&amp;$J305+7),0))</f>
        <v/>
      </c>
      <c r="D305">
        <f>IF($J305="","",IFERROR(COUNTIFS('Weekly Log'!$H:$H,"Y",'Weekly Log'!$A:$A,"&gt;="&amp;$J305,'Weekly Log'!$A:$A,"&lt;"&amp;$J305+7)/COUNTIFS('Weekly Log'!$H:$H,"&lt;&gt;",'Weekly Log'!$A:$A,"&gt;="&amp;$J305,'Weekly Log'!$A:$A,"&lt;"&amp;$J305+7),0))</f>
        <v/>
      </c>
      <c r="E305">
        <f>IF($J305="","",IFERROR(AVERAGEIFS('Weekly Log'!$F:$F,'Weekly Log'!$A:$A,"&gt;="&amp;$J305,'Weekly Log'!$A:$A,"&lt;"&amp;$J305+7),0))</f>
        <v/>
      </c>
      <c r="F305">
        <f>IF($J305="","",IFERROR(SUMIFS('Weekly Log'!$F:$F,'Weekly Log'!$A:$A,"&gt;="&amp;$J305,'Weekly Log'!$A:$A,"&lt;"&amp;$J305+7)/SUMIFS('Weekly Log'!$E:$E,'Weekly Log'!$A:$A,"&gt;="&amp;$J305,'Weekly Log'!$A:$A,"&lt;"&amp;$J305+7),0))</f>
        <v/>
      </c>
      <c r="G305">
        <f>IF($J305="","",IFERROR(LOOKUP(2,1/(('Weekly Log'!$A$5:$A$5000&gt;=$J305)*('Weekly Log'!$A$5:$A$5000&lt;$J305+7)*('Weekly Log'!$M$5:$M$5000&lt;&gt;"")),'Weekly Log'!$M$5:$M$5000),0))</f>
        <v/>
      </c>
      <c r="J305">
        <f>IF(COUNT('Weekly Log'!$A$5:$A$5000)=0,"",IF(MIN('Weekly Log'!$A$5:$A$5000)+7*(ROW()-10)&gt;MAX('Weekly Log'!$A$5:$A$5000),"",MIN('Weekly Log'!$A$5:$A$5000)+7*(ROW()-10)))</f>
        <v/>
      </c>
    </row>
    <row r="306">
      <c r="A306">
        <f>IF($J306="","",YEAR($J306-WEEKDAY($J306,2)+4)&amp;"-W"&amp;TEXT(WEEKNUM($J306,21),"00"))</f>
        <v/>
      </c>
      <c r="B306">
        <f>IF($J306="","",SUMIFS('Weekly Log'!$C:$C,'Weekly Log'!$A:$A,"&gt;="&amp;$J306,'Weekly Log'!$A:$A,"&lt;"&amp;$J306+7))</f>
        <v/>
      </c>
      <c r="C306">
        <f>IF($J306="","",IFERROR(COUNTIFS('Weekly Log'!$G:$G,"Y",'Weekly Log'!$A:$A,"&gt;="&amp;$J306,'Weekly Log'!$A:$A,"&lt;"&amp;$J306+7)/COUNTIFS('Weekly Log'!$G:$G,"&lt;&gt;",'Weekly Log'!$A:$A,"&gt;="&amp;$J306,'Weekly Log'!$A:$A,"&lt;"&amp;$J306+7),0))</f>
        <v/>
      </c>
      <c r="D306">
        <f>IF($J306="","",IFERROR(COUNTIFS('Weekly Log'!$H:$H,"Y",'Weekly Log'!$A:$A,"&gt;="&amp;$J306,'Weekly Log'!$A:$A,"&lt;"&amp;$J306+7)/COUNTIFS('Weekly Log'!$H:$H,"&lt;&gt;",'Weekly Log'!$A:$A,"&gt;="&amp;$J306,'Weekly Log'!$A:$A,"&lt;"&amp;$J306+7),0))</f>
        <v/>
      </c>
      <c r="E306">
        <f>IF($J306="","",IFERROR(AVERAGEIFS('Weekly Log'!$F:$F,'Weekly Log'!$A:$A,"&gt;="&amp;$J306,'Weekly Log'!$A:$A,"&lt;"&amp;$J306+7),0))</f>
        <v/>
      </c>
      <c r="F306">
        <f>IF($J306="","",IFERROR(SUMIFS('Weekly Log'!$F:$F,'Weekly Log'!$A:$A,"&gt;="&amp;$J306,'Weekly Log'!$A:$A,"&lt;"&amp;$J306+7)/SUMIFS('Weekly Log'!$E:$E,'Weekly Log'!$A:$A,"&gt;="&amp;$J306,'Weekly Log'!$A:$A,"&lt;"&amp;$J306+7),0))</f>
        <v/>
      </c>
      <c r="G306">
        <f>IF($J306="","",IFERROR(LOOKUP(2,1/(('Weekly Log'!$A$5:$A$5000&gt;=$J306)*('Weekly Log'!$A$5:$A$5000&lt;$J306+7)*('Weekly Log'!$M$5:$M$5000&lt;&gt;"")),'Weekly Log'!$M$5:$M$5000),0))</f>
        <v/>
      </c>
      <c r="J306">
        <f>IF(COUNT('Weekly Log'!$A$5:$A$5000)=0,"",IF(MIN('Weekly Log'!$A$5:$A$5000)+7*(ROW()-10)&gt;MAX('Weekly Log'!$A$5:$A$5000),"",MIN('Weekly Log'!$A$5:$A$5000)+7*(ROW()-10)))</f>
        <v/>
      </c>
    </row>
    <row r="307">
      <c r="A307">
        <f>IF($J307="","",YEAR($J307-WEEKDAY($J307,2)+4)&amp;"-W"&amp;TEXT(WEEKNUM($J307,21),"00"))</f>
        <v/>
      </c>
      <c r="B307">
        <f>IF($J307="","",SUMIFS('Weekly Log'!$C:$C,'Weekly Log'!$A:$A,"&gt;="&amp;$J307,'Weekly Log'!$A:$A,"&lt;"&amp;$J307+7))</f>
        <v/>
      </c>
      <c r="C307">
        <f>IF($J307="","",IFERROR(COUNTIFS('Weekly Log'!$G:$G,"Y",'Weekly Log'!$A:$A,"&gt;="&amp;$J307,'Weekly Log'!$A:$A,"&lt;"&amp;$J307+7)/COUNTIFS('Weekly Log'!$G:$G,"&lt;&gt;",'Weekly Log'!$A:$A,"&gt;="&amp;$J307,'Weekly Log'!$A:$A,"&lt;"&amp;$J307+7),0))</f>
        <v/>
      </c>
      <c r="D307">
        <f>IF($J307="","",IFERROR(COUNTIFS('Weekly Log'!$H:$H,"Y",'Weekly Log'!$A:$A,"&gt;="&amp;$J307,'Weekly Log'!$A:$A,"&lt;"&amp;$J307+7)/COUNTIFS('Weekly Log'!$H:$H,"&lt;&gt;",'Weekly Log'!$A:$A,"&gt;="&amp;$J307,'Weekly Log'!$A:$A,"&lt;"&amp;$J307+7),0))</f>
        <v/>
      </c>
      <c r="E307">
        <f>IF($J307="","",IFERROR(AVERAGEIFS('Weekly Log'!$F:$F,'Weekly Log'!$A:$A,"&gt;="&amp;$J307,'Weekly Log'!$A:$A,"&lt;"&amp;$J307+7),0))</f>
        <v/>
      </c>
      <c r="F307">
        <f>IF($J307="","",IFERROR(SUMIFS('Weekly Log'!$F:$F,'Weekly Log'!$A:$A,"&gt;="&amp;$J307,'Weekly Log'!$A:$A,"&lt;"&amp;$J307+7)/SUMIFS('Weekly Log'!$E:$E,'Weekly Log'!$A:$A,"&gt;="&amp;$J307,'Weekly Log'!$A:$A,"&lt;"&amp;$J307+7),0))</f>
        <v/>
      </c>
      <c r="G307">
        <f>IF($J307="","",IFERROR(LOOKUP(2,1/(('Weekly Log'!$A$5:$A$5000&gt;=$J307)*('Weekly Log'!$A$5:$A$5000&lt;$J307+7)*('Weekly Log'!$M$5:$M$5000&lt;&gt;"")),'Weekly Log'!$M$5:$M$5000),0))</f>
        <v/>
      </c>
      <c r="J307">
        <f>IF(COUNT('Weekly Log'!$A$5:$A$5000)=0,"",IF(MIN('Weekly Log'!$A$5:$A$5000)+7*(ROW()-10)&gt;MAX('Weekly Log'!$A$5:$A$5000),"",MIN('Weekly Log'!$A$5:$A$5000)+7*(ROW()-10)))</f>
        <v/>
      </c>
    </row>
    <row r="308">
      <c r="A308">
        <f>IF($J308="","",YEAR($J308-WEEKDAY($J308,2)+4)&amp;"-W"&amp;TEXT(WEEKNUM($J308,21),"00"))</f>
        <v/>
      </c>
      <c r="B308">
        <f>IF($J308="","",SUMIFS('Weekly Log'!$C:$C,'Weekly Log'!$A:$A,"&gt;="&amp;$J308,'Weekly Log'!$A:$A,"&lt;"&amp;$J308+7))</f>
        <v/>
      </c>
      <c r="C308">
        <f>IF($J308="","",IFERROR(COUNTIFS('Weekly Log'!$G:$G,"Y",'Weekly Log'!$A:$A,"&gt;="&amp;$J308,'Weekly Log'!$A:$A,"&lt;"&amp;$J308+7)/COUNTIFS('Weekly Log'!$G:$G,"&lt;&gt;",'Weekly Log'!$A:$A,"&gt;="&amp;$J308,'Weekly Log'!$A:$A,"&lt;"&amp;$J308+7),0))</f>
        <v/>
      </c>
      <c r="D308">
        <f>IF($J308="","",IFERROR(COUNTIFS('Weekly Log'!$H:$H,"Y",'Weekly Log'!$A:$A,"&gt;="&amp;$J308,'Weekly Log'!$A:$A,"&lt;"&amp;$J308+7)/COUNTIFS('Weekly Log'!$H:$H,"&lt;&gt;",'Weekly Log'!$A:$A,"&gt;="&amp;$J308,'Weekly Log'!$A:$A,"&lt;"&amp;$J308+7),0))</f>
        <v/>
      </c>
      <c r="E308">
        <f>IF($J308="","",IFERROR(AVERAGEIFS('Weekly Log'!$F:$F,'Weekly Log'!$A:$A,"&gt;="&amp;$J308,'Weekly Log'!$A:$A,"&lt;"&amp;$J308+7),0))</f>
        <v/>
      </c>
      <c r="F308">
        <f>IF($J308="","",IFERROR(SUMIFS('Weekly Log'!$F:$F,'Weekly Log'!$A:$A,"&gt;="&amp;$J308,'Weekly Log'!$A:$A,"&lt;"&amp;$J308+7)/SUMIFS('Weekly Log'!$E:$E,'Weekly Log'!$A:$A,"&gt;="&amp;$J308,'Weekly Log'!$A:$A,"&lt;"&amp;$J308+7),0))</f>
        <v/>
      </c>
      <c r="G308">
        <f>IF($J308="","",IFERROR(LOOKUP(2,1/(('Weekly Log'!$A$5:$A$5000&gt;=$J308)*('Weekly Log'!$A$5:$A$5000&lt;$J308+7)*('Weekly Log'!$M$5:$M$5000&lt;&gt;"")),'Weekly Log'!$M$5:$M$5000),0))</f>
        <v/>
      </c>
      <c r="J308">
        <f>IF(COUNT('Weekly Log'!$A$5:$A$5000)=0,"",IF(MIN('Weekly Log'!$A$5:$A$5000)+7*(ROW()-10)&gt;MAX('Weekly Log'!$A$5:$A$5000),"",MIN('Weekly Log'!$A$5:$A$5000)+7*(ROW()-10)))</f>
        <v/>
      </c>
    </row>
    <row r="309">
      <c r="A309">
        <f>IF($J309="","",YEAR($J309-WEEKDAY($J309,2)+4)&amp;"-W"&amp;TEXT(WEEKNUM($J309,21),"00"))</f>
        <v/>
      </c>
      <c r="B309">
        <f>IF($J309="","",SUMIFS('Weekly Log'!$C:$C,'Weekly Log'!$A:$A,"&gt;="&amp;$J309,'Weekly Log'!$A:$A,"&lt;"&amp;$J309+7))</f>
        <v/>
      </c>
      <c r="C309">
        <f>IF($J309="","",IFERROR(COUNTIFS('Weekly Log'!$G:$G,"Y",'Weekly Log'!$A:$A,"&gt;="&amp;$J309,'Weekly Log'!$A:$A,"&lt;"&amp;$J309+7)/COUNTIFS('Weekly Log'!$G:$G,"&lt;&gt;",'Weekly Log'!$A:$A,"&gt;="&amp;$J309,'Weekly Log'!$A:$A,"&lt;"&amp;$J309+7),0))</f>
        <v/>
      </c>
      <c r="D309">
        <f>IF($J309="","",IFERROR(COUNTIFS('Weekly Log'!$H:$H,"Y",'Weekly Log'!$A:$A,"&gt;="&amp;$J309,'Weekly Log'!$A:$A,"&lt;"&amp;$J309+7)/COUNTIFS('Weekly Log'!$H:$H,"&lt;&gt;",'Weekly Log'!$A:$A,"&gt;="&amp;$J309,'Weekly Log'!$A:$A,"&lt;"&amp;$J309+7),0))</f>
        <v/>
      </c>
      <c r="E309">
        <f>IF($J309="","",IFERROR(AVERAGEIFS('Weekly Log'!$F:$F,'Weekly Log'!$A:$A,"&gt;="&amp;$J309,'Weekly Log'!$A:$A,"&lt;"&amp;$J309+7),0))</f>
        <v/>
      </c>
      <c r="F309">
        <f>IF($J309="","",IFERROR(SUMIFS('Weekly Log'!$F:$F,'Weekly Log'!$A:$A,"&gt;="&amp;$J309,'Weekly Log'!$A:$A,"&lt;"&amp;$J309+7)/SUMIFS('Weekly Log'!$E:$E,'Weekly Log'!$A:$A,"&gt;="&amp;$J309,'Weekly Log'!$A:$A,"&lt;"&amp;$J309+7),0))</f>
        <v/>
      </c>
      <c r="G309">
        <f>IF($J309="","",IFERROR(LOOKUP(2,1/(('Weekly Log'!$A$5:$A$5000&gt;=$J309)*('Weekly Log'!$A$5:$A$5000&lt;$J309+7)*('Weekly Log'!$M$5:$M$5000&lt;&gt;"")),'Weekly Log'!$M$5:$M$5000),0))</f>
        <v/>
      </c>
      <c r="J309">
        <f>IF(COUNT('Weekly Log'!$A$5:$A$5000)=0,"",IF(MIN('Weekly Log'!$A$5:$A$5000)+7*(ROW()-10)&gt;MAX('Weekly Log'!$A$5:$A$5000),"",MIN('Weekly Log'!$A$5:$A$5000)+7*(ROW()-10)))</f>
        <v/>
      </c>
    </row>
    <row r="310">
      <c r="A310">
        <f>IF($J310="","",YEAR($J310-WEEKDAY($J310,2)+4)&amp;"-W"&amp;TEXT(WEEKNUM($J310,21),"00"))</f>
        <v/>
      </c>
      <c r="B310">
        <f>IF($J310="","",SUMIFS('Weekly Log'!$C:$C,'Weekly Log'!$A:$A,"&gt;="&amp;$J310,'Weekly Log'!$A:$A,"&lt;"&amp;$J310+7))</f>
        <v/>
      </c>
      <c r="C310">
        <f>IF($J310="","",IFERROR(COUNTIFS('Weekly Log'!$G:$G,"Y",'Weekly Log'!$A:$A,"&gt;="&amp;$J310,'Weekly Log'!$A:$A,"&lt;"&amp;$J310+7)/COUNTIFS('Weekly Log'!$G:$G,"&lt;&gt;",'Weekly Log'!$A:$A,"&gt;="&amp;$J310,'Weekly Log'!$A:$A,"&lt;"&amp;$J310+7),0))</f>
        <v/>
      </c>
      <c r="D310">
        <f>IF($J310="","",IFERROR(COUNTIFS('Weekly Log'!$H:$H,"Y",'Weekly Log'!$A:$A,"&gt;="&amp;$J310,'Weekly Log'!$A:$A,"&lt;"&amp;$J310+7)/COUNTIFS('Weekly Log'!$H:$H,"&lt;&gt;",'Weekly Log'!$A:$A,"&gt;="&amp;$J310,'Weekly Log'!$A:$A,"&lt;"&amp;$J310+7),0))</f>
        <v/>
      </c>
      <c r="E310">
        <f>IF($J310="","",IFERROR(AVERAGEIFS('Weekly Log'!$F:$F,'Weekly Log'!$A:$A,"&gt;="&amp;$J310,'Weekly Log'!$A:$A,"&lt;"&amp;$J310+7),0))</f>
        <v/>
      </c>
      <c r="F310">
        <f>IF($J310="","",IFERROR(SUMIFS('Weekly Log'!$F:$F,'Weekly Log'!$A:$A,"&gt;="&amp;$J310,'Weekly Log'!$A:$A,"&lt;"&amp;$J310+7)/SUMIFS('Weekly Log'!$E:$E,'Weekly Log'!$A:$A,"&gt;="&amp;$J310,'Weekly Log'!$A:$A,"&lt;"&amp;$J310+7),0))</f>
        <v/>
      </c>
      <c r="G310">
        <f>IF($J310="","",IFERROR(LOOKUP(2,1/(('Weekly Log'!$A$5:$A$5000&gt;=$J310)*('Weekly Log'!$A$5:$A$5000&lt;$J310+7)*('Weekly Log'!$M$5:$M$5000&lt;&gt;"")),'Weekly Log'!$M$5:$M$5000),0))</f>
        <v/>
      </c>
      <c r="J310">
        <f>IF(COUNT('Weekly Log'!$A$5:$A$5000)=0,"",IF(MIN('Weekly Log'!$A$5:$A$5000)+7*(ROW()-10)&gt;MAX('Weekly Log'!$A$5:$A$5000),"",MIN('Weekly Log'!$A$5:$A$5000)+7*(ROW()-10)))</f>
        <v/>
      </c>
    </row>
    <row r="311">
      <c r="A311">
        <f>IF($J311="","",YEAR($J311-WEEKDAY($J311,2)+4)&amp;"-W"&amp;TEXT(WEEKNUM($J311,21),"00"))</f>
        <v/>
      </c>
      <c r="B311">
        <f>IF($J311="","",SUMIFS('Weekly Log'!$C:$C,'Weekly Log'!$A:$A,"&gt;="&amp;$J311,'Weekly Log'!$A:$A,"&lt;"&amp;$J311+7))</f>
        <v/>
      </c>
      <c r="C311">
        <f>IF($J311="","",IFERROR(COUNTIFS('Weekly Log'!$G:$G,"Y",'Weekly Log'!$A:$A,"&gt;="&amp;$J311,'Weekly Log'!$A:$A,"&lt;"&amp;$J311+7)/COUNTIFS('Weekly Log'!$G:$G,"&lt;&gt;",'Weekly Log'!$A:$A,"&gt;="&amp;$J311,'Weekly Log'!$A:$A,"&lt;"&amp;$J311+7),0))</f>
        <v/>
      </c>
      <c r="D311">
        <f>IF($J311="","",IFERROR(COUNTIFS('Weekly Log'!$H:$H,"Y",'Weekly Log'!$A:$A,"&gt;="&amp;$J311,'Weekly Log'!$A:$A,"&lt;"&amp;$J311+7)/COUNTIFS('Weekly Log'!$H:$H,"&lt;&gt;",'Weekly Log'!$A:$A,"&gt;="&amp;$J311,'Weekly Log'!$A:$A,"&lt;"&amp;$J311+7),0))</f>
        <v/>
      </c>
      <c r="E311">
        <f>IF($J311="","",IFERROR(AVERAGEIFS('Weekly Log'!$F:$F,'Weekly Log'!$A:$A,"&gt;="&amp;$J311,'Weekly Log'!$A:$A,"&lt;"&amp;$J311+7),0))</f>
        <v/>
      </c>
      <c r="F311">
        <f>IF($J311="","",IFERROR(SUMIFS('Weekly Log'!$F:$F,'Weekly Log'!$A:$A,"&gt;="&amp;$J311,'Weekly Log'!$A:$A,"&lt;"&amp;$J311+7)/SUMIFS('Weekly Log'!$E:$E,'Weekly Log'!$A:$A,"&gt;="&amp;$J311,'Weekly Log'!$A:$A,"&lt;"&amp;$J311+7),0))</f>
        <v/>
      </c>
      <c r="G311">
        <f>IF($J311="","",IFERROR(LOOKUP(2,1/(('Weekly Log'!$A$5:$A$5000&gt;=$J311)*('Weekly Log'!$A$5:$A$5000&lt;$J311+7)*('Weekly Log'!$M$5:$M$5000&lt;&gt;"")),'Weekly Log'!$M$5:$M$5000),0))</f>
        <v/>
      </c>
      <c r="J311">
        <f>IF(COUNT('Weekly Log'!$A$5:$A$5000)=0,"",IF(MIN('Weekly Log'!$A$5:$A$5000)+7*(ROW()-10)&gt;MAX('Weekly Log'!$A$5:$A$5000),"",MIN('Weekly Log'!$A$5:$A$5000)+7*(ROW()-10)))</f>
        <v/>
      </c>
    </row>
    <row r="312">
      <c r="A312">
        <f>IF($J312="","",YEAR($J312-WEEKDAY($J312,2)+4)&amp;"-W"&amp;TEXT(WEEKNUM($J312,21),"00"))</f>
        <v/>
      </c>
      <c r="B312">
        <f>IF($J312="","",SUMIFS('Weekly Log'!$C:$C,'Weekly Log'!$A:$A,"&gt;="&amp;$J312,'Weekly Log'!$A:$A,"&lt;"&amp;$J312+7))</f>
        <v/>
      </c>
      <c r="C312">
        <f>IF($J312="","",IFERROR(COUNTIFS('Weekly Log'!$G:$G,"Y",'Weekly Log'!$A:$A,"&gt;="&amp;$J312,'Weekly Log'!$A:$A,"&lt;"&amp;$J312+7)/COUNTIFS('Weekly Log'!$G:$G,"&lt;&gt;",'Weekly Log'!$A:$A,"&gt;="&amp;$J312,'Weekly Log'!$A:$A,"&lt;"&amp;$J312+7),0))</f>
        <v/>
      </c>
      <c r="D312">
        <f>IF($J312="","",IFERROR(COUNTIFS('Weekly Log'!$H:$H,"Y",'Weekly Log'!$A:$A,"&gt;="&amp;$J312,'Weekly Log'!$A:$A,"&lt;"&amp;$J312+7)/COUNTIFS('Weekly Log'!$H:$H,"&lt;&gt;",'Weekly Log'!$A:$A,"&gt;="&amp;$J312,'Weekly Log'!$A:$A,"&lt;"&amp;$J312+7),0))</f>
        <v/>
      </c>
      <c r="E312">
        <f>IF($J312="","",IFERROR(AVERAGEIFS('Weekly Log'!$F:$F,'Weekly Log'!$A:$A,"&gt;="&amp;$J312,'Weekly Log'!$A:$A,"&lt;"&amp;$J312+7),0))</f>
        <v/>
      </c>
      <c r="F312">
        <f>IF($J312="","",IFERROR(SUMIFS('Weekly Log'!$F:$F,'Weekly Log'!$A:$A,"&gt;="&amp;$J312,'Weekly Log'!$A:$A,"&lt;"&amp;$J312+7)/SUMIFS('Weekly Log'!$E:$E,'Weekly Log'!$A:$A,"&gt;="&amp;$J312,'Weekly Log'!$A:$A,"&lt;"&amp;$J312+7),0))</f>
        <v/>
      </c>
      <c r="G312">
        <f>IF($J312="","",IFERROR(LOOKUP(2,1/(('Weekly Log'!$A$5:$A$5000&gt;=$J312)*('Weekly Log'!$A$5:$A$5000&lt;$J312+7)*('Weekly Log'!$M$5:$M$5000&lt;&gt;"")),'Weekly Log'!$M$5:$M$5000),0))</f>
        <v/>
      </c>
      <c r="J312">
        <f>IF(COUNT('Weekly Log'!$A$5:$A$5000)=0,"",IF(MIN('Weekly Log'!$A$5:$A$5000)+7*(ROW()-10)&gt;MAX('Weekly Log'!$A$5:$A$5000),"",MIN('Weekly Log'!$A$5:$A$5000)+7*(ROW()-10)))</f>
        <v/>
      </c>
    </row>
    <row r="313">
      <c r="A313">
        <f>IF($J313="","",YEAR($J313-WEEKDAY($J313,2)+4)&amp;"-W"&amp;TEXT(WEEKNUM($J313,21),"00"))</f>
        <v/>
      </c>
      <c r="B313">
        <f>IF($J313="","",SUMIFS('Weekly Log'!$C:$C,'Weekly Log'!$A:$A,"&gt;="&amp;$J313,'Weekly Log'!$A:$A,"&lt;"&amp;$J313+7))</f>
        <v/>
      </c>
      <c r="C313">
        <f>IF($J313="","",IFERROR(COUNTIFS('Weekly Log'!$G:$G,"Y",'Weekly Log'!$A:$A,"&gt;="&amp;$J313,'Weekly Log'!$A:$A,"&lt;"&amp;$J313+7)/COUNTIFS('Weekly Log'!$G:$G,"&lt;&gt;",'Weekly Log'!$A:$A,"&gt;="&amp;$J313,'Weekly Log'!$A:$A,"&lt;"&amp;$J313+7),0))</f>
        <v/>
      </c>
      <c r="D313">
        <f>IF($J313="","",IFERROR(COUNTIFS('Weekly Log'!$H:$H,"Y",'Weekly Log'!$A:$A,"&gt;="&amp;$J313,'Weekly Log'!$A:$A,"&lt;"&amp;$J313+7)/COUNTIFS('Weekly Log'!$H:$H,"&lt;&gt;",'Weekly Log'!$A:$A,"&gt;="&amp;$J313,'Weekly Log'!$A:$A,"&lt;"&amp;$J313+7),0))</f>
        <v/>
      </c>
      <c r="E313">
        <f>IF($J313="","",IFERROR(AVERAGEIFS('Weekly Log'!$F:$F,'Weekly Log'!$A:$A,"&gt;="&amp;$J313,'Weekly Log'!$A:$A,"&lt;"&amp;$J313+7),0))</f>
        <v/>
      </c>
      <c r="F313">
        <f>IF($J313="","",IFERROR(SUMIFS('Weekly Log'!$F:$F,'Weekly Log'!$A:$A,"&gt;="&amp;$J313,'Weekly Log'!$A:$A,"&lt;"&amp;$J313+7)/SUMIFS('Weekly Log'!$E:$E,'Weekly Log'!$A:$A,"&gt;="&amp;$J313,'Weekly Log'!$A:$A,"&lt;"&amp;$J313+7),0))</f>
        <v/>
      </c>
      <c r="G313">
        <f>IF($J313="","",IFERROR(LOOKUP(2,1/(('Weekly Log'!$A$5:$A$5000&gt;=$J313)*('Weekly Log'!$A$5:$A$5000&lt;$J313+7)*('Weekly Log'!$M$5:$M$5000&lt;&gt;"")),'Weekly Log'!$M$5:$M$5000),0))</f>
        <v/>
      </c>
      <c r="J313">
        <f>IF(COUNT('Weekly Log'!$A$5:$A$5000)=0,"",IF(MIN('Weekly Log'!$A$5:$A$5000)+7*(ROW()-10)&gt;MAX('Weekly Log'!$A$5:$A$5000),"",MIN('Weekly Log'!$A$5:$A$5000)+7*(ROW()-10)))</f>
        <v/>
      </c>
    </row>
    <row r="314">
      <c r="A314">
        <f>IF($J314="","",YEAR($J314-WEEKDAY($J314,2)+4)&amp;"-W"&amp;TEXT(WEEKNUM($J314,21),"00"))</f>
        <v/>
      </c>
      <c r="B314">
        <f>IF($J314="","",SUMIFS('Weekly Log'!$C:$C,'Weekly Log'!$A:$A,"&gt;="&amp;$J314,'Weekly Log'!$A:$A,"&lt;"&amp;$J314+7))</f>
        <v/>
      </c>
      <c r="C314">
        <f>IF($J314="","",IFERROR(COUNTIFS('Weekly Log'!$G:$G,"Y",'Weekly Log'!$A:$A,"&gt;="&amp;$J314,'Weekly Log'!$A:$A,"&lt;"&amp;$J314+7)/COUNTIFS('Weekly Log'!$G:$G,"&lt;&gt;",'Weekly Log'!$A:$A,"&gt;="&amp;$J314,'Weekly Log'!$A:$A,"&lt;"&amp;$J314+7),0))</f>
        <v/>
      </c>
      <c r="D314">
        <f>IF($J314="","",IFERROR(COUNTIFS('Weekly Log'!$H:$H,"Y",'Weekly Log'!$A:$A,"&gt;="&amp;$J314,'Weekly Log'!$A:$A,"&lt;"&amp;$J314+7)/COUNTIFS('Weekly Log'!$H:$H,"&lt;&gt;",'Weekly Log'!$A:$A,"&gt;="&amp;$J314,'Weekly Log'!$A:$A,"&lt;"&amp;$J314+7),0))</f>
        <v/>
      </c>
      <c r="E314">
        <f>IF($J314="","",IFERROR(AVERAGEIFS('Weekly Log'!$F:$F,'Weekly Log'!$A:$A,"&gt;="&amp;$J314,'Weekly Log'!$A:$A,"&lt;"&amp;$J314+7),0))</f>
        <v/>
      </c>
      <c r="F314">
        <f>IF($J314="","",IFERROR(SUMIFS('Weekly Log'!$F:$F,'Weekly Log'!$A:$A,"&gt;="&amp;$J314,'Weekly Log'!$A:$A,"&lt;"&amp;$J314+7)/SUMIFS('Weekly Log'!$E:$E,'Weekly Log'!$A:$A,"&gt;="&amp;$J314,'Weekly Log'!$A:$A,"&lt;"&amp;$J314+7),0))</f>
        <v/>
      </c>
      <c r="G314">
        <f>IF($J314="","",IFERROR(LOOKUP(2,1/(('Weekly Log'!$A$5:$A$5000&gt;=$J314)*('Weekly Log'!$A$5:$A$5000&lt;$J314+7)*('Weekly Log'!$M$5:$M$5000&lt;&gt;"")),'Weekly Log'!$M$5:$M$5000),0))</f>
        <v/>
      </c>
      <c r="J314">
        <f>IF(COUNT('Weekly Log'!$A$5:$A$5000)=0,"",IF(MIN('Weekly Log'!$A$5:$A$5000)+7*(ROW()-10)&gt;MAX('Weekly Log'!$A$5:$A$5000),"",MIN('Weekly Log'!$A$5:$A$5000)+7*(ROW()-10)))</f>
        <v/>
      </c>
    </row>
    <row r="315">
      <c r="A315">
        <f>IF($J315="","",YEAR($J315-WEEKDAY($J315,2)+4)&amp;"-W"&amp;TEXT(WEEKNUM($J315,21),"00"))</f>
        <v/>
      </c>
      <c r="B315">
        <f>IF($J315="","",SUMIFS('Weekly Log'!$C:$C,'Weekly Log'!$A:$A,"&gt;="&amp;$J315,'Weekly Log'!$A:$A,"&lt;"&amp;$J315+7))</f>
        <v/>
      </c>
      <c r="C315">
        <f>IF($J315="","",IFERROR(COUNTIFS('Weekly Log'!$G:$G,"Y",'Weekly Log'!$A:$A,"&gt;="&amp;$J315,'Weekly Log'!$A:$A,"&lt;"&amp;$J315+7)/COUNTIFS('Weekly Log'!$G:$G,"&lt;&gt;",'Weekly Log'!$A:$A,"&gt;="&amp;$J315,'Weekly Log'!$A:$A,"&lt;"&amp;$J315+7),0))</f>
        <v/>
      </c>
      <c r="D315">
        <f>IF($J315="","",IFERROR(COUNTIFS('Weekly Log'!$H:$H,"Y",'Weekly Log'!$A:$A,"&gt;="&amp;$J315,'Weekly Log'!$A:$A,"&lt;"&amp;$J315+7)/COUNTIFS('Weekly Log'!$H:$H,"&lt;&gt;",'Weekly Log'!$A:$A,"&gt;="&amp;$J315,'Weekly Log'!$A:$A,"&lt;"&amp;$J315+7),0))</f>
        <v/>
      </c>
      <c r="E315">
        <f>IF($J315="","",IFERROR(AVERAGEIFS('Weekly Log'!$F:$F,'Weekly Log'!$A:$A,"&gt;="&amp;$J315,'Weekly Log'!$A:$A,"&lt;"&amp;$J315+7),0))</f>
        <v/>
      </c>
      <c r="F315">
        <f>IF($J315="","",IFERROR(SUMIFS('Weekly Log'!$F:$F,'Weekly Log'!$A:$A,"&gt;="&amp;$J315,'Weekly Log'!$A:$A,"&lt;"&amp;$J315+7)/SUMIFS('Weekly Log'!$E:$E,'Weekly Log'!$A:$A,"&gt;="&amp;$J315,'Weekly Log'!$A:$A,"&lt;"&amp;$J315+7),0))</f>
        <v/>
      </c>
      <c r="G315">
        <f>IF($J315="","",IFERROR(LOOKUP(2,1/(('Weekly Log'!$A$5:$A$5000&gt;=$J315)*('Weekly Log'!$A$5:$A$5000&lt;$J315+7)*('Weekly Log'!$M$5:$M$5000&lt;&gt;"")),'Weekly Log'!$M$5:$M$5000),0))</f>
        <v/>
      </c>
      <c r="J315">
        <f>IF(COUNT('Weekly Log'!$A$5:$A$5000)=0,"",IF(MIN('Weekly Log'!$A$5:$A$5000)+7*(ROW()-10)&gt;MAX('Weekly Log'!$A$5:$A$5000),"",MIN('Weekly Log'!$A$5:$A$5000)+7*(ROW()-10)))</f>
        <v/>
      </c>
    </row>
    <row r="316">
      <c r="A316">
        <f>IF($J316="","",YEAR($J316-WEEKDAY($J316,2)+4)&amp;"-W"&amp;TEXT(WEEKNUM($J316,21),"00"))</f>
        <v/>
      </c>
      <c r="B316">
        <f>IF($J316="","",SUMIFS('Weekly Log'!$C:$C,'Weekly Log'!$A:$A,"&gt;="&amp;$J316,'Weekly Log'!$A:$A,"&lt;"&amp;$J316+7))</f>
        <v/>
      </c>
      <c r="C316">
        <f>IF($J316="","",IFERROR(COUNTIFS('Weekly Log'!$G:$G,"Y",'Weekly Log'!$A:$A,"&gt;="&amp;$J316,'Weekly Log'!$A:$A,"&lt;"&amp;$J316+7)/COUNTIFS('Weekly Log'!$G:$G,"&lt;&gt;",'Weekly Log'!$A:$A,"&gt;="&amp;$J316,'Weekly Log'!$A:$A,"&lt;"&amp;$J316+7),0))</f>
        <v/>
      </c>
      <c r="D316">
        <f>IF($J316="","",IFERROR(COUNTIFS('Weekly Log'!$H:$H,"Y",'Weekly Log'!$A:$A,"&gt;="&amp;$J316,'Weekly Log'!$A:$A,"&lt;"&amp;$J316+7)/COUNTIFS('Weekly Log'!$H:$H,"&lt;&gt;",'Weekly Log'!$A:$A,"&gt;="&amp;$J316,'Weekly Log'!$A:$A,"&lt;"&amp;$J316+7),0))</f>
        <v/>
      </c>
      <c r="E316">
        <f>IF($J316="","",IFERROR(AVERAGEIFS('Weekly Log'!$F:$F,'Weekly Log'!$A:$A,"&gt;="&amp;$J316,'Weekly Log'!$A:$A,"&lt;"&amp;$J316+7),0))</f>
        <v/>
      </c>
      <c r="F316">
        <f>IF($J316="","",IFERROR(SUMIFS('Weekly Log'!$F:$F,'Weekly Log'!$A:$A,"&gt;="&amp;$J316,'Weekly Log'!$A:$A,"&lt;"&amp;$J316+7)/SUMIFS('Weekly Log'!$E:$E,'Weekly Log'!$A:$A,"&gt;="&amp;$J316,'Weekly Log'!$A:$A,"&lt;"&amp;$J316+7),0))</f>
        <v/>
      </c>
      <c r="G316">
        <f>IF($J316="","",IFERROR(LOOKUP(2,1/(('Weekly Log'!$A$5:$A$5000&gt;=$J316)*('Weekly Log'!$A$5:$A$5000&lt;$J316+7)*('Weekly Log'!$M$5:$M$5000&lt;&gt;"")),'Weekly Log'!$M$5:$M$5000),0))</f>
        <v/>
      </c>
      <c r="J316">
        <f>IF(COUNT('Weekly Log'!$A$5:$A$5000)=0,"",IF(MIN('Weekly Log'!$A$5:$A$5000)+7*(ROW()-10)&gt;MAX('Weekly Log'!$A$5:$A$5000),"",MIN('Weekly Log'!$A$5:$A$5000)+7*(ROW()-10)))</f>
        <v/>
      </c>
    </row>
    <row r="317">
      <c r="A317">
        <f>IF($J317="","",YEAR($J317-WEEKDAY($J317,2)+4)&amp;"-W"&amp;TEXT(WEEKNUM($J317,21),"00"))</f>
        <v/>
      </c>
      <c r="B317">
        <f>IF($J317="","",SUMIFS('Weekly Log'!$C:$C,'Weekly Log'!$A:$A,"&gt;="&amp;$J317,'Weekly Log'!$A:$A,"&lt;"&amp;$J317+7))</f>
        <v/>
      </c>
      <c r="C317">
        <f>IF($J317="","",IFERROR(COUNTIFS('Weekly Log'!$G:$G,"Y",'Weekly Log'!$A:$A,"&gt;="&amp;$J317,'Weekly Log'!$A:$A,"&lt;"&amp;$J317+7)/COUNTIFS('Weekly Log'!$G:$G,"&lt;&gt;",'Weekly Log'!$A:$A,"&gt;="&amp;$J317,'Weekly Log'!$A:$A,"&lt;"&amp;$J317+7),0))</f>
        <v/>
      </c>
      <c r="D317">
        <f>IF($J317="","",IFERROR(COUNTIFS('Weekly Log'!$H:$H,"Y",'Weekly Log'!$A:$A,"&gt;="&amp;$J317,'Weekly Log'!$A:$A,"&lt;"&amp;$J317+7)/COUNTIFS('Weekly Log'!$H:$H,"&lt;&gt;",'Weekly Log'!$A:$A,"&gt;="&amp;$J317,'Weekly Log'!$A:$A,"&lt;"&amp;$J317+7),0))</f>
        <v/>
      </c>
      <c r="E317">
        <f>IF($J317="","",IFERROR(AVERAGEIFS('Weekly Log'!$F:$F,'Weekly Log'!$A:$A,"&gt;="&amp;$J317,'Weekly Log'!$A:$A,"&lt;"&amp;$J317+7),0))</f>
        <v/>
      </c>
      <c r="F317">
        <f>IF($J317="","",IFERROR(SUMIFS('Weekly Log'!$F:$F,'Weekly Log'!$A:$A,"&gt;="&amp;$J317,'Weekly Log'!$A:$A,"&lt;"&amp;$J317+7)/SUMIFS('Weekly Log'!$E:$E,'Weekly Log'!$A:$A,"&gt;="&amp;$J317,'Weekly Log'!$A:$A,"&lt;"&amp;$J317+7),0))</f>
        <v/>
      </c>
      <c r="G317">
        <f>IF($J317="","",IFERROR(LOOKUP(2,1/(('Weekly Log'!$A$5:$A$5000&gt;=$J317)*('Weekly Log'!$A$5:$A$5000&lt;$J317+7)*('Weekly Log'!$M$5:$M$5000&lt;&gt;"")),'Weekly Log'!$M$5:$M$5000),0))</f>
        <v/>
      </c>
      <c r="J317">
        <f>IF(COUNT('Weekly Log'!$A$5:$A$5000)=0,"",IF(MIN('Weekly Log'!$A$5:$A$5000)+7*(ROW()-10)&gt;MAX('Weekly Log'!$A$5:$A$5000),"",MIN('Weekly Log'!$A$5:$A$5000)+7*(ROW()-10)))</f>
        <v/>
      </c>
    </row>
    <row r="318">
      <c r="A318">
        <f>IF($J318="","",YEAR($J318-WEEKDAY($J318,2)+4)&amp;"-W"&amp;TEXT(WEEKNUM($J318,21),"00"))</f>
        <v/>
      </c>
      <c r="B318">
        <f>IF($J318="","",SUMIFS('Weekly Log'!$C:$C,'Weekly Log'!$A:$A,"&gt;="&amp;$J318,'Weekly Log'!$A:$A,"&lt;"&amp;$J318+7))</f>
        <v/>
      </c>
      <c r="C318">
        <f>IF($J318="","",IFERROR(COUNTIFS('Weekly Log'!$G:$G,"Y",'Weekly Log'!$A:$A,"&gt;="&amp;$J318,'Weekly Log'!$A:$A,"&lt;"&amp;$J318+7)/COUNTIFS('Weekly Log'!$G:$G,"&lt;&gt;",'Weekly Log'!$A:$A,"&gt;="&amp;$J318,'Weekly Log'!$A:$A,"&lt;"&amp;$J318+7),0))</f>
        <v/>
      </c>
      <c r="D318">
        <f>IF($J318="","",IFERROR(COUNTIFS('Weekly Log'!$H:$H,"Y",'Weekly Log'!$A:$A,"&gt;="&amp;$J318,'Weekly Log'!$A:$A,"&lt;"&amp;$J318+7)/COUNTIFS('Weekly Log'!$H:$H,"&lt;&gt;",'Weekly Log'!$A:$A,"&gt;="&amp;$J318,'Weekly Log'!$A:$A,"&lt;"&amp;$J318+7),0))</f>
        <v/>
      </c>
      <c r="E318">
        <f>IF($J318="","",IFERROR(AVERAGEIFS('Weekly Log'!$F:$F,'Weekly Log'!$A:$A,"&gt;="&amp;$J318,'Weekly Log'!$A:$A,"&lt;"&amp;$J318+7),0))</f>
        <v/>
      </c>
      <c r="F318">
        <f>IF($J318="","",IFERROR(SUMIFS('Weekly Log'!$F:$F,'Weekly Log'!$A:$A,"&gt;="&amp;$J318,'Weekly Log'!$A:$A,"&lt;"&amp;$J318+7)/SUMIFS('Weekly Log'!$E:$E,'Weekly Log'!$A:$A,"&gt;="&amp;$J318,'Weekly Log'!$A:$A,"&lt;"&amp;$J318+7),0))</f>
        <v/>
      </c>
      <c r="G318">
        <f>IF($J318="","",IFERROR(LOOKUP(2,1/(('Weekly Log'!$A$5:$A$5000&gt;=$J318)*('Weekly Log'!$A$5:$A$5000&lt;$J318+7)*('Weekly Log'!$M$5:$M$5000&lt;&gt;"")),'Weekly Log'!$M$5:$M$5000),0))</f>
        <v/>
      </c>
      <c r="J318">
        <f>IF(COUNT('Weekly Log'!$A$5:$A$5000)=0,"",IF(MIN('Weekly Log'!$A$5:$A$5000)+7*(ROW()-10)&gt;MAX('Weekly Log'!$A$5:$A$5000),"",MIN('Weekly Log'!$A$5:$A$5000)+7*(ROW()-10)))</f>
        <v/>
      </c>
    </row>
    <row r="319">
      <c r="A319">
        <f>IF($J319="","",YEAR($J319-WEEKDAY($J319,2)+4)&amp;"-W"&amp;TEXT(WEEKNUM($J319,21),"00"))</f>
        <v/>
      </c>
      <c r="B319">
        <f>IF($J319="","",SUMIFS('Weekly Log'!$C:$C,'Weekly Log'!$A:$A,"&gt;="&amp;$J319,'Weekly Log'!$A:$A,"&lt;"&amp;$J319+7))</f>
        <v/>
      </c>
      <c r="C319">
        <f>IF($J319="","",IFERROR(COUNTIFS('Weekly Log'!$G:$G,"Y",'Weekly Log'!$A:$A,"&gt;="&amp;$J319,'Weekly Log'!$A:$A,"&lt;"&amp;$J319+7)/COUNTIFS('Weekly Log'!$G:$G,"&lt;&gt;",'Weekly Log'!$A:$A,"&gt;="&amp;$J319,'Weekly Log'!$A:$A,"&lt;"&amp;$J319+7),0))</f>
        <v/>
      </c>
      <c r="D319">
        <f>IF($J319="","",IFERROR(COUNTIFS('Weekly Log'!$H:$H,"Y",'Weekly Log'!$A:$A,"&gt;="&amp;$J319,'Weekly Log'!$A:$A,"&lt;"&amp;$J319+7)/COUNTIFS('Weekly Log'!$H:$H,"&lt;&gt;",'Weekly Log'!$A:$A,"&gt;="&amp;$J319,'Weekly Log'!$A:$A,"&lt;"&amp;$J319+7),0))</f>
        <v/>
      </c>
      <c r="E319">
        <f>IF($J319="","",IFERROR(AVERAGEIFS('Weekly Log'!$F:$F,'Weekly Log'!$A:$A,"&gt;="&amp;$J319,'Weekly Log'!$A:$A,"&lt;"&amp;$J319+7),0))</f>
        <v/>
      </c>
      <c r="F319">
        <f>IF($J319="","",IFERROR(SUMIFS('Weekly Log'!$F:$F,'Weekly Log'!$A:$A,"&gt;="&amp;$J319,'Weekly Log'!$A:$A,"&lt;"&amp;$J319+7)/SUMIFS('Weekly Log'!$E:$E,'Weekly Log'!$A:$A,"&gt;="&amp;$J319,'Weekly Log'!$A:$A,"&lt;"&amp;$J319+7),0))</f>
        <v/>
      </c>
      <c r="G319">
        <f>IF($J319="","",IFERROR(LOOKUP(2,1/(('Weekly Log'!$A$5:$A$5000&gt;=$J319)*('Weekly Log'!$A$5:$A$5000&lt;$J319+7)*('Weekly Log'!$M$5:$M$5000&lt;&gt;"")),'Weekly Log'!$M$5:$M$5000),0))</f>
        <v/>
      </c>
      <c r="J319">
        <f>IF(COUNT('Weekly Log'!$A$5:$A$5000)=0,"",IF(MIN('Weekly Log'!$A$5:$A$5000)+7*(ROW()-10)&gt;MAX('Weekly Log'!$A$5:$A$5000),"",MIN('Weekly Log'!$A$5:$A$5000)+7*(ROW()-10)))</f>
        <v/>
      </c>
    </row>
    <row r="320">
      <c r="A320">
        <f>IF($J320="","",YEAR($J320-WEEKDAY($J320,2)+4)&amp;"-W"&amp;TEXT(WEEKNUM($J320,21),"00"))</f>
        <v/>
      </c>
      <c r="B320">
        <f>IF($J320="","",SUMIFS('Weekly Log'!$C:$C,'Weekly Log'!$A:$A,"&gt;="&amp;$J320,'Weekly Log'!$A:$A,"&lt;"&amp;$J320+7))</f>
        <v/>
      </c>
      <c r="C320">
        <f>IF($J320="","",IFERROR(COUNTIFS('Weekly Log'!$G:$G,"Y",'Weekly Log'!$A:$A,"&gt;="&amp;$J320,'Weekly Log'!$A:$A,"&lt;"&amp;$J320+7)/COUNTIFS('Weekly Log'!$G:$G,"&lt;&gt;",'Weekly Log'!$A:$A,"&gt;="&amp;$J320,'Weekly Log'!$A:$A,"&lt;"&amp;$J320+7),0))</f>
        <v/>
      </c>
      <c r="D320">
        <f>IF($J320="","",IFERROR(COUNTIFS('Weekly Log'!$H:$H,"Y",'Weekly Log'!$A:$A,"&gt;="&amp;$J320,'Weekly Log'!$A:$A,"&lt;"&amp;$J320+7)/COUNTIFS('Weekly Log'!$H:$H,"&lt;&gt;",'Weekly Log'!$A:$A,"&gt;="&amp;$J320,'Weekly Log'!$A:$A,"&lt;"&amp;$J320+7),0))</f>
        <v/>
      </c>
      <c r="E320">
        <f>IF($J320="","",IFERROR(AVERAGEIFS('Weekly Log'!$F:$F,'Weekly Log'!$A:$A,"&gt;="&amp;$J320,'Weekly Log'!$A:$A,"&lt;"&amp;$J320+7),0))</f>
        <v/>
      </c>
      <c r="F320">
        <f>IF($J320="","",IFERROR(SUMIFS('Weekly Log'!$F:$F,'Weekly Log'!$A:$A,"&gt;="&amp;$J320,'Weekly Log'!$A:$A,"&lt;"&amp;$J320+7)/SUMIFS('Weekly Log'!$E:$E,'Weekly Log'!$A:$A,"&gt;="&amp;$J320,'Weekly Log'!$A:$A,"&lt;"&amp;$J320+7),0))</f>
        <v/>
      </c>
      <c r="G320">
        <f>IF($J320="","",IFERROR(LOOKUP(2,1/(('Weekly Log'!$A$5:$A$5000&gt;=$J320)*('Weekly Log'!$A$5:$A$5000&lt;$J320+7)*('Weekly Log'!$M$5:$M$5000&lt;&gt;"")),'Weekly Log'!$M$5:$M$5000),0))</f>
        <v/>
      </c>
      <c r="J320">
        <f>IF(COUNT('Weekly Log'!$A$5:$A$5000)=0,"",IF(MIN('Weekly Log'!$A$5:$A$5000)+7*(ROW()-10)&gt;MAX('Weekly Log'!$A$5:$A$5000),"",MIN('Weekly Log'!$A$5:$A$5000)+7*(ROW()-10)))</f>
        <v/>
      </c>
    </row>
    <row r="321">
      <c r="A321">
        <f>IF($J321="","",YEAR($J321-WEEKDAY($J321,2)+4)&amp;"-W"&amp;TEXT(WEEKNUM($J321,21),"00"))</f>
        <v/>
      </c>
      <c r="B321">
        <f>IF($J321="","",SUMIFS('Weekly Log'!$C:$C,'Weekly Log'!$A:$A,"&gt;="&amp;$J321,'Weekly Log'!$A:$A,"&lt;"&amp;$J321+7))</f>
        <v/>
      </c>
      <c r="C321">
        <f>IF($J321="","",IFERROR(COUNTIFS('Weekly Log'!$G:$G,"Y",'Weekly Log'!$A:$A,"&gt;="&amp;$J321,'Weekly Log'!$A:$A,"&lt;"&amp;$J321+7)/COUNTIFS('Weekly Log'!$G:$G,"&lt;&gt;",'Weekly Log'!$A:$A,"&gt;="&amp;$J321,'Weekly Log'!$A:$A,"&lt;"&amp;$J321+7),0))</f>
        <v/>
      </c>
      <c r="D321">
        <f>IF($J321="","",IFERROR(COUNTIFS('Weekly Log'!$H:$H,"Y",'Weekly Log'!$A:$A,"&gt;="&amp;$J321,'Weekly Log'!$A:$A,"&lt;"&amp;$J321+7)/COUNTIFS('Weekly Log'!$H:$H,"&lt;&gt;",'Weekly Log'!$A:$A,"&gt;="&amp;$J321,'Weekly Log'!$A:$A,"&lt;"&amp;$J321+7),0))</f>
        <v/>
      </c>
      <c r="E321">
        <f>IF($J321="","",IFERROR(AVERAGEIFS('Weekly Log'!$F:$F,'Weekly Log'!$A:$A,"&gt;="&amp;$J321,'Weekly Log'!$A:$A,"&lt;"&amp;$J321+7),0))</f>
        <v/>
      </c>
      <c r="F321">
        <f>IF($J321="","",IFERROR(SUMIFS('Weekly Log'!$F:$F,'Weekly Log'!$A:$A,"&gt;="&amp;$J321,'Weekly Log'!$A:$A,"&lt;"&amp;$J321+7)/SUMIFS('Weekly Log'!$E:$E,'Weekly Log'!$A:$A,"&gt;="&amp;$J321,'Weekly Log'!$A:$A,"&lt;"&amp;$J321+7),0))</f>
        <v/>
      </c>
      <c r="G321">
        <f>IF($J321="","",IFERROR(LOOKUP(2,1/(('Weekly Log'!$A$5:$A$5000&gt;=$J321)*('Weekly Log'!$A$5:$A$5000&lt;$J321+7)*('Weekly Log'!$M$5:$M$5000&lt;&gt;"")),'Weekly Log'!$M$5:$M$5000),0))</f>
        <v/>
      </c>
      <c r="J321">
        <f>IF(COUNT('Weekly Log'!$A$5:$A$5000)=0,"",IF(MIN('Weekly Log'!$A$5:$A$5000)+7*(ROW()-10)&gt;MAX('Weekly Log'!$A$5:$A$5000),"",MIN('Weekly Log'!$A$5:$A$5000)+7*(ROW()-10)))</f>
        <v/>
      </c>
    </row>
    <row r="322">
      <c r="A322">
        <f>IF($J322="","",YEAR($J322-WEEKDAY($J322,2)+4)&amp;"-W"&amp;TEXT(WEEKNUM($J322,21),"00"))</f>
        <v/>
      </c>
      <c r="B322">
        <f>IF($J322="","",SUMIFS('Weekly Log'!$C:$C,'Weekly Log'!$A:$A,"&gt;="&amp;$J322,'Weekly Log'!$A:$A,"&lt;"&amp;$J322+7))</f>
        <v/>
      </c>
      <c r="C322">
        <f>IF($J322="","",IFERROR(COUNTIFS('Weekly Log'!$G:$G,"Y",'Weekly Log'!$A:$A,"&gt;="&amp;$J322,'Weekly Log'!$A:$A,"&lt;"&amp;$J322+7)/COUNTIFS('Weekly Log'!$G:$G,"&lt;&gt;",'Weekly Log'!$A:$A,"&gt;="&amp;$J322,'Weekly Log'!$A:$A,"&lt;"&amp;$J322+7),0))</f>
        <v/>
      </c>
      <c r="D322">
        <f>IF($J322="","",IFERROR(COUNTIFS('Weekly Log'!$H:$H,"Y",'Weekly Log'!$A:$A,"&gt;="&amp;$J322,'Weekly Log'!$A:$A,"&lt;"&amp;$J322+7)/COUNTIFS('Weekly Log'!$H:$H,"&lt;&gt;",'Weekly Log'!$A:$A,"&gt;="&amp;$J322,'Weekly Log'!$A:$A,"&lt;"&amp;$J322+7),0))</f>
        <v/>
      </c>
      <c r="E322">
        <f>IF($J322="","",IFERROR(AVERAGEIFS('Weekly Log'!$F:$F,'Weekly Log'!$A:$A,"&gt;="&amp;$J322,'Weekly Log'!$A:$A,"&lt;"&amp;$J322+7),0))</f>
        <v/>
      </c>
      <c r="F322">
        <f>IF($J322="","",IFERROR(SUMIFS('Weekly Log'!$F:$F,'Weekly Log'!$A:$A,"&gt;="&amp;$J322,'Weekly Log'!$A:$A,"&lt;"&amp;$J322+7)/SUMIFS('Weekly Log'!$E:$E,'Weekly Log'!$A:$A,"&gt;="&amp;$J322,'Weekly Log'!$A:$A,"&lt;"&amp;$J322+7),0))</f>
        <v/>
      </c>
      <c r="G322">
        <f>IF($J322="","",IFERROR(LOOKUP(2,1/(('Weekly Log'!$A$5:$A$5000&gt;=$J322)*('Weekly Log'!$A$5:$A$5000&lt;$J322+7)*('Weekly Log'!$M$5:$M$5000&lt;&gt;"")),'Weekly Log'!$M$5:$M$5000),0))</f>
        <v/>
      </c>
      <c r="J322">
        <f>IF(COUNT('Weekly Log'!$A$5:$A$5000)=0,"",IF(MIN('Weekly Log'!$A$5:$A$5000)+7*(ROW()-10)&gt;MAX('Weekly Log'!$A$5:$A$5000),"",MIN('Weekly Log'!$A$5:$A$5000)+7*(ROW()-10)))</f>
        <v/>
      </c>
    </row>
    <row r="323">
      <c r="A323">
        <f>IF($J323="","",YEAR($J323-WEEKDAY($J323,2)+4)&amp;"-W"&amp;TEXT(WEEKNUM($J323,21),"00"))</f>
        <v/>
      </c>
      <c r="B323">
        <f>IF($J323="","",SUMIFS('Weekly Log'!$C:$C,'Weekly Log'!$A:$A,"&gt;="&amp;$J323,'Weekly Log'!$A:$A,"&lt;"&amp;$J323+7))</f>
        <v/>
      </c>
      <c r="C323">
        <f>IF($J323="","",IFERROR(COUNTIFS('Weekly Log'!$G:$G,"Y",'Weekly Log'!$A:$A,"&gt;="&amp;$J323,'Weekly Log'!$A:$A,"&lt;"&amp;$J323+7)/COUNTIFS('Weekly Log'!$G:$G,"&lt;&gt;",'Weekly Log'!$A:$A,"&gt;="&amp;$J323,'Weekly Log'!$A:$A,"&lt;"&amp;$J323+7),0))</f>
        <v/>
      </c>
      <c r="D323">
        <f>IF($J323="","",IFERROR(COUNTIFS('Weekly Log'!$H:$H,"Y",'Weekly Log'!$A:$A,"&gt;="&amp;$J323,'Weekly Log'!$A:$A,"&lt;"&amp;$J323+7)/COUNTIFS('Weekly Log'!$H:$H,"&lt;&gt;",'Weekly Log'!$A:$A,"&gt;="&amp;$J323,'Weekly Log'!$A:$A,"&lt;"&amp;$J323+7),0))</f>
        <v/>
      </c>
      <c r="E323">
        <f>IF($J323="","",IFERROR(AVERAGEIFS('Weekly Log'!$F:$F,'Weekly Log'!$A:$A,"&gt;="&amp;$J323,'Weekly Log'!$A:$A,"&lt;"&amp;$J323+7),0))</f>
        <v/>
      </c>
      <c r="F323">
        <f>IF($J323="","",IFERROR(SUMIFS('Weekly Log'!$F:$F,'Weekly Log'!$A:$A,"&gt;="&amp;$J323,'Weekly Log'!$A:$A,"&lt;"&amp;$J323+7)/SUMIFS('Weekly Log'!$E:$E,'Weekly Log'!$A:$A,"&gt;="&amp;$J323,'Weekly Log'!$A:$A,"&lt;"&amp;$J323+7),0))</f>
        <v/>
      </c>
      <c r="G323">
        <f>IF($J323="","",IFERROR(LOOKUP(2,1/(('Weekly Log'!$A$5:$A$5000&gt;=$J323)*('Weekly Log'!$A$5:$A$5000&lt;$J323+7)*('Weekly Log'!$M$5:$M$5000&lt;&gt;"")),'Weekly Log'!$M$5:$M$5000),0))</f>
        <v/>
      </c>
      <c r="J323">
        <f>IF(COUNT('Weekly Log'!$A$5:$A$5000)=0,"",IF(MIN('Weekly Log'!$A$5:$A$5000)+7*(ROW()-10)&gt;MAX('Weekly Log'!$A$5:$A$5000),"",MIN('Weekly Log'!$A$5:$A$5000)+7*(ROW()-10)))</f>
        <v/>
      </c>
    </row>
    <row r="324">
      <c r="A324">
        <f>IF($J324="","",YEAR($J324-WEEKDAY($J324,2)+4)&amp;"-W"&amp;TEXT(WEEKNUM($J324,21),"00"))</f>
        <v/>
      </c>
      <c r="B324">
        <f>IF($J324="","",SUMIFS('Weekly Log'!$C:$C,'Weekly Log'!$A:$A,"&gt;="&amp;$J324,'Weekly Log'!$A:$A,"&lt;"&amp;$J324+7))</f>
        <v/>
      </c>
      <c r="C324">
        <f>IF($J324="","",IFERROR(COUNTIFS('Weekly Log'!$G:$G,"Y",'Weekly Log'!$A:$A,"&gt;="&amp;$J324,'Weekly Log'!$A:$A,"&lt;"&amp;$J324+7)/COUNTIFS('Weekly Log'!$G:$G,"&lt;&gt;",'Weekly Log'!$A:$A,"&gt;="&amp;$J324,'Weekly Log'!$A:$A,"&lt;"&amp;$J324+7),0))</f>
        <v/>
      </c>
      <c r="D324">
        <f>IF($J324="","",IFERROR(COUNTIFS('Weekly Log'!$H:$H,"Y",'Weekly Log'!$A:$A,"&gt;="&amp;$J324,'Weekly Log'!$A:$A,"&lt;"&amp;$J324+7)/COUNTIFS('Weekly Log'!$H:$H,"&lt;&gt;",'Weekly Log'!$A:$A,"&gt;="&amp;$J324,'Weekly Log'!$A:$A,"&lt;"&amp;$J324+7),0))</f>
        <v/>
      </c>
      <c r="E324">
        <f>IF($J324="","",IFERROR(AVERAGEIFS('Weekly Log'!$F:$F,'Weekly Log'!$A:$A,"&gt;="&amp;$J324,'Weekly Log'!$A:$A,"&lt;"&amp;$J324+7),0))</f>
        <v/>
      </c>
      <c r="F324">
        <f>IF($J324="","",IFERROR(SUMIFS('Weekly Log'!$F:$F,'Weekly Log'!$A:$A,"&gt;="&amp;$J324,'Weekly Log'!$A:$A,"&lt;"&amp;$J324+7)/SUMIFS('Weekly Log'!$E:$E,'Weekly Log'!$A:$A,"&gt;="&amp;$J324,'Weekly Log'!$A:$A,"&lt;"&amp;$J324+7),0))</f>
        <v/>
      </c>
      <c r="G324">
        <f>IF($J324="","",IFERROR(LOOKUP(2,1/(('Weekly Log'!$A$5:$A$5000&gt;=$J324)*('Weekly Log'!$A$5:$A$5000&lt;$J324+7)*('Weekly Log'!$M$5:$M$5000&lt;&gt;"")),'Weekly Log'!$M$5:$M$5000),0))</f>
        <v/>
      </c>
      <c r="J324">
        <f>IF(COUNT('Weekly Log'!$A$5:$A$5000)=0,"",IF(MIN('Weekly Log'!$A$5:$A$5000)+7*(ROW()-10)&gt;MAX('Weekly Log'!$A$5:$A$5000),"",MIN('Weekly Log'!$A$5:$A$5000)+7*(ROW()-10)))</f>
        <v/>
      </c>
    </row>
    <row r="325">
      <c r="A325">
        <f>IF($J325="","",YEAR($J325-WEEKDAY($J325,2)+4)&amp;"-W"&amp;TEXT(WEEKNUM($J325,21),"00"))</f>
        <v/>
      </c>
      <c r="B325">
        <f>IF($J325="","",SUMIFS('Weekly Log'!$C:$C,'Weekly Log'!$A:$A,"&gt;="&amp;$J325,'Weekly Log'!$A:$A,"&lt;"&amp;$J325+7))</f>
        <v/>
      </c>
      <c r="C325">
        <f>IF($J325="","",IFERROR(COUNTIFS('Weekly Log'!$G:$G,"Y",'Weekly Log'!$A:$A,"&gt;="&amp;$J325,'Weekly Log'!$A:$A,"&lt;"&amp;$J325+7)/COUNTIFS('Weekly Log'!$G:$G,"&lt;&gt;",'Weekly Log'!$A:$A,"&gt;="&amp;$J325,'Weekly Log'!$A:$A,"&lt;"&amp;$J325+7),0))</f>
        <v/>
      </c>
      <c r="D325">
        <f>IF($J325="","",IFERROR(COUNTIFS('Weekly Log'!$H:$H,"Y",'Weekly Log'!$A:$A,"&gt;="&amp;$J325,'Weekly Log'!$A:$A,"&lt;"&amp;$J325+7)/COUNTIFS('Weekly Log'!$H:$H,"&lt;&gt;",'Weekly Log'!$A:$A,"&gt;="&amp;$J325,'Weekly Log'!$A:$A,"&lt;"&amp;$J325+7),0))</f>
        <v/>
      </c>
      <c r="E325">
        <f>IF($J325="","",IFERROR(AVERAGEIFS('Weekly Log'!$F:$F,'Weekly Log'!$A:$A,"&gt;="&amp;$J325,'Weekly Log'!$A:$A,"&lt;"&amp;$J325+7),0))</f>
        <v/>
      </c>
      <c r="F325">
        <f>IF($J325="","",IFERROR(SUMIFS('Weekly Log'!$F:$F,'Weekly Log'!$A:$A,"&gt;="&amp;$J325,'Weekly Log'!$A:$A,"&lt;"&amp;$J325+7)/SUMIFS('Weekly Log'!$E:$E,'Weekly Log'!$A:$A,"&gt;="&amp;$J325,'Weekly Log'!$A:$A,"&lt;"&amp;$J325+7),0))</f>
        <v/>
      </c>
      <c r="G325">
        <f>IF($J325="","",IFERROR(LOOKUP(2,1/(('Weekly Log'!$A$5:$A$5000&gt;=$J325)*('Weekly Log'!$A$5:$A$5000&lt;$J325+7)*('Weekly Log'!$M$5:$M$5000&lt;&gt;"")),'Weekly Log'!$M$5:$M$5000),0))</f>
        <v/>
      </c>
      <c r="J325">
        <f>IF(COUNT('Weekly Log'!$A$5:$A$5000)=0,"",IF(MIN('Weekly Log'!$A$5:$A$5000)+7*(ROW()-10)&gt;MAX('Weekly Log'!$A$5:$A$5000),"",MIN('Weekly Log'!$A$5:$A$5000)+7*(ROW()-10)))</f>
        <v/>
      </c>
    </row>
    <row r="326">
      <c r="A326">
        <f>IF($J326="","",YEAR($J326-WEEKDAY($J326,2)+4)&amp;"-W"&amp;TEXT(WEEKNUM($J326,21),"00"))</f>
        <v/>
      </c>
      <c r="B326">
        <f>IF($J326="","",SUMIFS('Weekly Log'!$C:$C,'Weekly Log'!$A:$A,"&gt;="&amp;$J326,'Weekly Log'!$A:$A,"&lt;"&amp;$J326+7))</f>
        <v/>
      </c>
      <c r="C326">
        <f>IF($J326="","",IFERROR(COUNTIFS('Weekly Log'!$G:$G,"Y",'Weekly Log'!$A:$A,"&gt;="&amp;$J326,'Weekly Log'!$A:$A,"&lt;"&amp;$J326+7)/COUNTIFS('Weekly Log'!$G:$G,"&lt;&gt;",'Weekly Log'!$A:$A,"&gt;="&amp;$J326,'Weekly Log'!$A:$A,"&lt;"&amp;$J326+7),0))</f>
        <v/>
      </c>
      <c r="D326">
        <f>IF($J326="","",IFERROR(COUNTIFS('Weekly Log'!$H:$H,"Y",'Weekly Log'!$A:$A,"&gt;="&amp;$J326,'Weekly Log'!$A:$A,"&lt;"&amp;$J326+7)/COUNTIFS('Weekly Log'!$H:$H,"&lt;&gt;",'Weekly Log'!$A:$A,"&gt;="&amp;$J326,'Weekly Log'!$A:$A,"&lt;"&amp;$J326+7),0))</f>
        <v/>
      </c>
      <c r="E326">
        <f>IF($J326="","",IFERROR(AVERAGEIFS('Weekly Log'!$F:$F,'Weekly Log'!$A:$A,"&gt;="&amp;$J326,'Weekly Log'!$A:$A,"&lt;"&amp;$J326+7),0))</f>
        <v/>
      </c>
      <c r="F326">
        <f>IF($J326="","",IFERROR(SUMIFS('Weekly Log'!$F:$F,'Weekly Log'!$A:$A,"&gt;="&amp;$J326,'Weekly Log'!$A:$A,"&lt;"&amp;$J326+7)/SUMIFS('Weekly Log'!$E:$E,'Weekly Log'!$A:$A,"&gt;="&amp;$J326,'Weekly Log'!$A:$A,"&lt;"&amp;$J326+7),0))</f>
        <v/>
      </c>
      <c r="G326">
        <f>IF($J326="","",IFERROR(LOOKUP(2,1/(('Weekly Log'!$A$5:$A$5000&gt;=$J326)*('Weekly Log'!$A$5:$A$5000&lt;$J326+7)*('Weekly Log'!$M$5:$M$5000&lt;&gt;"")),'Weekly Log'!$M$5:$M$5000),0))</f>
        <v/>
      </c>
      <c r="J326">
        <f>IF(COUNT('Weekly Log'!$A$5:$A$5000)=0,"",IF(MIN('Weekly Log'!$A$5:$A$5000)+7*(ROW()-10)&gt;MAX('Weekly Log'!$A$5:$A$5000),"",MIN('Weekly Log'!$A$5:$A$5000)+7*(ROW()-10)))</f>
        <v/>
      </c>
    </row>
    <row r="327">
      <c r="A327">
        <f>IF($J327="","",YEAR($J327-WEEKDAY($J327,2)+4)&amp;"-W"&amp;TEXT(WEEKNUM($J327,21),"00"))</f>
        <v/>
      </c>
      <c r="B327">
        <f>IF($J327="","",SUMIFS('Weekly Log'!$C:$C,'Weekly Log'!$A:$A,"&gt;="&amp;$J327,'Weekly Log'!$A:$A,"&lt;"&amp;$J327+7))</f>
        <v/>
      </c>
      <c r="C327">
        <f>IF($J327="","",IFERROR(COUNTIFS('Weekly Log'!$G:$G,"Y",'Weekly Log'!$A:$A,"&gt;="&amp;$J327,'Weekly Log'!$A:$A,"&lt;"&amp;$J327+7)/COUNTIFS('Weekly Log'!$G:$G,"&lt;&gt;",'Weekly Log'!$A:$A,"&gt;="&amp;$J327,'Weekly Log'!$A:$A,"&lt;"&amp;$J327+7),0))</f>
        <v/>
      </c>
      <c r="D327">
        <f>IF($J327="","",IFERROR(COUNTIFS('Weekly Log'!$H:$H,"Y",'Weekly Log'!$A:$A,"&gt;="&amp;$J327,'Weekly Log'!$A:$A,"&lt;"&amp;$J327+7)/COUNTIFS('Weekly Log'!$H:$H,"&lt;&gt;",'Weekly Log'!$A:$A,"&gt;="&amp;$J327,'Weekly Log'!$A:$A,"&lt;"&amp;$J327+7),0))</f>
        <v/>
      </c>
      <c r="E327">
        <f>IF($J327="","",IFERROR(AVERAGEIFS('Weekly Log'!$F:$F,'Weekly Log'!$A:$A,"&gt;="&amp;$J327,'Weekly Log'!$A:$A,"&lt;"&amp;$J327+7),0))</f>
        <v/>
      </c>
      <c r="F327">
        <f>IF($J327="","",IFERROR(SUMIFS('Weekly Log'!$F:$F,'Weekly Log'!$A:$A,"&gt;="&amp;$J327,'Weekly Log'!$A:$A,"&lt;"&amp;$J327+7)/SUMIFS('Weekly Log'!$E:$E,'Weekly Log'!$A:$A,"&gt;="&amp;$J327,'Weekly Log'!$A:$A,"&lt;"&amp;$J327+7),0))</f>
        <v/>
      </c>
      <c r="G327">
        <f>IF($J327="","",IFERROR(LOOKUP(2,1/(('Weekly Log'!$A$5:$A$5000&gt;=$J327)*('Weekly Log'!$A$5:$A$5000&lt;$J327+7)*('Weekly Log'!$M$5:$M$5000&lt;&gt;"")),'Weekly Log'!$M$5:$M$5000),0))</f>
        <v/>
      </c>
      <c r="J327">
        <f>IF(COUNT('Weekly Log'!$A$5:$A$5000)=0,"",IF(MIN('Weekly Log'!$A$5:$A$5000)+7*(ROW()-10)&gt;MAX('Weekly Log'!$A$5:$A$5000),"",MIN('Weekly Log'!$A$5:$A$5000)+7*(ROW()-10)))</f>
        <v/>
      </c>
    </row>
    <row r="328">
      <c r="A328">
        <f>IF($J328="","",YEAR($J328-WEEKDAY($J328,2)+4)&amp;"-W"&amp;TEXT(WEEKNUM($J328,21),"00"))</f>
        <v/>
      </c>
      <c r="B328">
        <f>IF($J328="","",SUMIFS('Weekly Log'!$C:$C,'Weekly Log'!$A:$A,"&gt;="&amp;$J328,'Weekly Log'!$A:$A,"&lt;"&amp;$J328+7))</f>
        <v/>
      </c>
      <c r="C328">
        <f>IF($J328="","",IFERROR(COUNTIFS('Weekly Log'!$G:$G,"Y",'Weekly Log'!$A:$A,"&gt;="&amp;$J328,'Weekly Log'!$A:$A,"&lt;"&amp;$J328+7)/COUNTIFS('Weekly Log'!$G:$G,"&lt;&gt;",'Weekly Log'!$A:$A,"&gt;="&amp;$J328,'Weekly Log'!$A:$A,"&lt;"&amp;$J328+7),0))</f>
        <v/>
      </c>
      <c r="D328">
        <f>IF($J328="","",IFERROR(COUNTIFS('Weekly Log'!$H:$H,"Y",'Weekly Log'!$A:$A,"&gt;="&amp;$J328,'Weekly Log'!$A:$A,"&lt;"&amp;$J328+7)/COUNTIFS('Weekly Log'!$H:$H,"&lt;&gt;",'Weekly Log'!$A:$A,"&gt;="&amp;$J328,'Weekly Log'!$A:$A,"&lt;"&amp;$J328+7),0))</f>
        <v/>
      </c>
      <c r="E328">
        <f>IF($J328="","",IFERROR(AVERAGEIFS('Weekly Log'!$F:$F,'Weekly Log'!$A:$A,"&gt;="&amp;$J328,'Weekly Log'!$A:$A,"&lt;"&amp;$J328+7),0))</f>
        <v/>
      </c>
      <c r="F328">
        <f>IF($J328="","",IFERROR(SUMIFS('Weekly Log'!$F:$F,'Weekly Log'!$A:$A,"&gt;="&amp;$J328,'Weekly Log'!$A:$A,"&lt;"&amp;$J328+7)/SUMIFS('Weekly Log'!$E:$E,'Weekly Log'!$A:$A,"&gt;="&amp;$J328,'Weekly Log'!$A:$A,"&lt;"&amp;$J328+7),0))</f>
        <v/>
      </c>
      <c r="G328">
        <f>IF($J328="","",IFERROR(LOOKUP(2,1/(('Weekly Log'!$A$5:$A$5000&gt;=$J328)*('Weekly Log'!$A$5:$A$5000&lt;$J328+7)*('Weekly Log'!$M$5:$M$5000&lt;&gt;"")),'Weekly Log'!$M$5:$M$5000),0))</f>
        <v/>
      </c>
      <c r="J328">
        <f>IF(COUNT('Weekly Log'!$A$5:$A$5000)=0,"",IF(MIN('Weekly Log'!$A$5:$A$5000)+7*(ROW()-10)&gt;MAX('Weekly Log'!$A$5:$A$5000),"",MIN('Weekly Log'!$A$5:$A$5000)+7*(ROW()-10)))</f>
        <v/>
      </c>
    </row>
    <row r="329">
      <c r="A329">
        <f>IF($J329="","",YEAR($J329-WEEKDAY($J329,2)+4)&amp;"-W"&amp;TEXT(WEEKNUM($J329,21),"00"))</f>
        <v/>
      </c>
      <c r="B329">
        <f>IF($J329="","",SUMIFS('Weekly Log'!$C:$C,'Weekly Log'!$A:$A,"&gt;="&amp;$J329,'Weekly Log'!$A:$A,"&lt;"&amp;$J329+7))</f>
        <v/>
      </c>
      <c r="C329">
        <f>IF($J329="","",IFERROR(COUNTIFS('Weekly Log'!$G:$G,"Y",'Weekly Log'!$A:$A,"&gt;="&amp;$J329,'Weekly Log'!$A:$A,"&lt;"&amp;$J329+7)/COUNTIFS('Weekly Log'!$G:$G,"&lt;&gt;",'Weekly Log'!$A:$A,"&gt;="&amp;$J329,'Weekly Log'!$A:$A,"&lt;"&amp;$J329+7),0))</f>
        <v/>
      </c>
      <c r="D329">
        <f>IF($J329="","",IFERROR(COUNTIFS('Weekly Log'!$H:$H,"Y",'Weekly Log'!$A:$A,"&gt;="&amp;$J329,'Weekly Log'!$A:$A,"&lt;"&amp;$J329+7)/COUNTIFS('Weekly Log'!$H:$H,"&lt;&gt;",'Weekly Log'!$A:$A,"&gt;="&amp;$J329,'Weekly Log'!$A:$A,"&lt;"&amp;$J329+7),0))</f>
        <v/>
      </c>
      <c r="E329">
        <f>IF($J329="","",IFERROR(AVERAGEIFS('Weekly Log'!$F:$F,'Weekly Log'!$A:$A,"&gt;="&amp;$J329,'Weekly Log'!$A:$A,"&lt;"&amp;$J329+7),0))</f>
        <v/>
      </c>
      <c r="F329">
        <f>IF($J329="","",IFERROR(SUMIFS('Weekly Log'!$F:$F,'Weekly Log'!$A:$A,"&gt;="&amp;$J329,'Weekly Log'!$A:$A,"&lt;"&amp;$J329+7)/SUMIFS('Weekly Log'!$E:$E,'Weekly Log'!$A:$A,"&gt;="&amp;$J329,'Weekly Log'!$A:$A,"&lt;"&amp;$J329+7),0))</f>
        <v/>
      </c>
      <c r="G329">
        <f>IF($J329="","",IFERROR(LOOKUP(2,1/(('Weekly Log'!$A$5:$A$5000&gt;=$J329)*('Weekly Log'!$A$5:$A$5000&lt;$J329+7)*('Weekly Log'!$M$5:$M$5000&lt;&gt;"")),'Weekly Log'!$M$5:$M$5000),0))</f>
        <v/>
      </c>
      <c r="J329">
        <f>IF(COUNT('Weekly Log'!$A$5:$A$5000)=0,"",IF(MIN('Weekly Log'!$A$5:$A$5000)+7*(ROW()-10)&gt;MAX('Weekly Log'!$A$5:$A$5000),"",MIN('Weekly Log'!$A$5:$A$5000)+7*(ROW()-10)))</f>
        <v/>
      </c>
    </row>
    <row r="330">
      <c r="A330">
        <f>IF($J330="","",YEAR($J330-WEEKDAY($J330,2)+4)&amp;"-W"&amp;TEXT(WEEKNUM($J330,21),"00"))</f>
        <v/>
      </c>
      <c r="B330">
        <f>IF($J330="","",SUMIFS('Weekly Log'!$C:$C,'Weekly Log'!$A:$A,"&gt;="&amp;$J330,'Weekly Log'!$A:$A,"&lt;"&amp;$J330+7))</f>
        <v/>
      </c>
      <c r="C330">
        <f>IF($J330="","",IFERROR(COUNTIFS('Weekly Log'!$G:$G,"Y",'Weekly Log'!$A:$A,"&gt;="&amp;$J330,'Weekly Log'!$A:$A,"&lt;"&amp;$J330+7)/COUNTIFS('Weekly Log'!$G:$G,"&lt;&gt;",'Weekly Log'!$A:$A,"&gt;="&amp;$J330,'Weekly Log'!$A:$A,"&lt;"&amp;$J330+7),0))</f>
        <v/>
      </c>
      <c r="D330">
        <f>IF($J330="","",IFERROR(COUNTIFS('Weekly Log'!$H:$H,"Y",'Weekly Log'!$A:$A,"&gt;="&amp;$J330,'Weekly Log'!$A:$A,"&lt;"&amp;$J330+7)/COUNTIFS('Weekly Log'!$H:$H,"&lt;&gt;",'Weekly Log'!$A:$A,"&gt;="&amp;$J330,'Weekly Log'!$A:$A,"&lt;"&amp;$J330+7),0))</f>
        <v/>
      </c>
      <c r="E330">
        <f>IF($J330="","",IFERROR(AVERAGEIFS('Weekly Log'!$F:$F,'Weekly Log'!$A:$A,"&gt;="&amp;$J330,'Weekly Log'!$A:$A,"&lt;"&amp;$J330+7),0))</f>
        <v/>
      </c>
      <c r="F330">
        <f>IF($J330="","",IFERROR(SUMIFS('Weekly Log'!$F:$F,'Weekly Log'!$A:$A,"&gt;="&amp;$J330,'Weekly Log'!$A:$A,"&lt;"&amp;$J330+7)/SUMIFS('Weekly Log'!$E:$E,'Weekly Log'!$A:$A,"&gt;="&amp;$J330,'Weekly Log'!$A:$A,"&lt;"&amp;$J330+7),0))</f>
        <v/>
      </c>
      <c r="G330">
        <f>IF($J330="","",IFERROR(LOOKUP(2,1/(('Weekly Log'!$A$5:$A$5000&gt;=$J330)*('Weekly Log'!$A$5:$A$5000&lt;$J330+7)*('Weekly Log'!$M$5:$M$5000&lt;&gt;"")),'Weekly Log'!$M$5:$M$5000),0))</f>
        <v/>
      </c>
      <c r="J330">
        <f>IF(COUNT('Weekly Log'!$A$5:$A$5000)=0,"",IF(MIN('Weekly Log'!$A$5:$A$5000)+7*(ROW()-10)&gt;MAX('Weekly Log'!$A$5:$A$5000),"",MIN('Weekly Log'!$A$5:$A$5000)+7*(ROW()-10)))</f>
        <v/>
      </c>
    </row>
    <row r="331">
      <c r="A331">
        <f>IF($J331="","",YEAR($J331-WEEKDAY($J331,2)+4)&amp;"-W"&amp;TEXT(WEEKNUM($J331,21),"00"))</f>
        <v/>
      </c>
      <c r="B331">
        <f>IF($J331="","",SUMIFS('Weekly Log'!$C:$C,'Weekly Log'!$A:$A,"&gt;="&amp;$J331,'Weekly Log'!$A:$A,"&lt;"&amp;$J331+7))</f>
        <v/>
      </c>
      <c r="C331">
        <f>IF($J331="","",IFERROR(COUNTIFS('Weekly Log'!$G:$G,"Y",'Weekly Log'!$A:$A,"&gt;="&amp;$J331,'Weekly Log'!$A:$A,"&lt;"&amp;$J331+7)/COUNTIFS('Weekly Log'!$G:$G,"&lt;&gt;",'Weekly Log'!$A:$A,"&gt;="&amp;$J331,'Weekly Log'!$A:$A,"&lt;"&amp;$J331+7),0))</f>
        <v/>
      </c>
      <c r="D331">
        <f>IF($J331="","",IFERROR(COUNTIFS('Weekly Log'!$H:$H,"Y",'Weekly Log'!$A:$A,"&gt;="&amp;$J331,'Weekly Log'!$A:$A,"&lt;"&amp;$J331+7)/COUNTIFS('Weekly Log'!$H:$H,"&lt;&gt;",'Weekly Log'!$A:$A,"&gt;="&amp;$J331,'Weekly Log'!$A:$A,"&lt;"&amp;$J331+7),0))</f>
        <v/>
      </c>
      <c r="E331">
        <f>IF($J331="","",IFERROR(AVERAGEIFS('Weekly Log'!$F:$F,'Weekly Log'!$A:$A,"&gt;="&amp;$J331,'Weekly Log'!$A:$A,"&lt;"&amp;$J331+7),0))</f>
        <v/>
      </c>
      <c r="F331">
        <f>IF($J331="","",IFERROR(SUMIFS('Weekly Log'!$F:$F,'Weekly Log'!$A:$A,"&gt;="&amp;$J331,'Weekly Log'!$A:$A,"&lt;"&amp;$J331+7)/SUMIFS('Weekly Log'!$E:$E,'Weekly Log'!$A:$A,"&gt;="&amp;$J331,'Weekly Log'!$A:$A,"&lt;"&amp;$J331+7),0))</f>
        <v/>
      </c>
      <c r="G331">
        <f>IF($J331="","",IFERROR(LOOKUP(2,1/(('Weekly Log'!$A$5:$A$5000&gt;=$J331)*('Weekly Log'!$A$5:$A$5000&lt;$J331+7)*('Weekly Log'!$M$5:$M$5000&lt;&gt;"")),'Weekly Log'!$M$5:$M$5000),0))</f>
        <v/>
      </c>
      <c r="J331">
        <f>IF(COUNT('Weekly Log'!$A$5:$A$5000)=0,"",IF(MIN('Weekly Log'!$A$5:$A$5000)+7*(ROW()-10)&gt;MAX('Weekly Log'!$A$5:$A$5000),"",MIN('Weekly Log'!$A$5:$A$5000)+7*(ROW()-10)))</f>
        <v/>
      </c>
    </row>
    <row r="332">
      <c r="A332">
        <f>IF($J332="","",YEAR($J332-WEEKDAY($J332,2)+4)&amp;"-W"&amp;TEXT(WEEKNUM($J332,21),"00"))</f>
        <v/>
      </c>
      <c r="B332">
        <f>IF($J332="","",SUMIFS('Weekly Log'!$C:$C,'Weekly Log'!$A:$A,"&gt;="&amp;$J332,'Weekly Log'!$A:$A,"&lt;"&amp;$J332+7))</f>
        <v/>
      </c>
      <c r="C332">
        <f>IF($J332="","",IFERROR(COUNTIFS('Weekly Log'!$G:$G,"Y",'Weekly Log'!$A:$A,"&gt;="&amp;$J332,'Weekly Log'!$A:$A,"&lt;"&amp;$J332+7)/COUNTIFS('Weekly Log'!$G:$G,"&lt;&gt;",'Weekly Log'!$A:$A,"&gt;="&amp;$J332,'Weekly Log'!$A:$A,"&lt;"&amp;$J332+7),0))</f>
        <v/>
      </c>
      <c r="D332">
        <f>IF($J332="","",IFERROR(COUNTIFS('Weekly Log'!$H:$H,"Y",'Weekly Log'!$A:$A,"&gt;="&amp;$J332,'Weekly Log'!$A:$A,"&lt;"&amp;$J332+7)/COUNTIFS('Weekly Log'!$H:$H,"&lt;&gt;",'Weekly Log'!$A:$A,"&gt;="&amp;$J332,'Weekly Log'!$A:$A,"&lt;"&amp;$J332+7),0))</f>
        <v/>
      </c>
      <c r="E332">
        <f>IF($J332="","",IFERROR(AVERAGEIFS('Weekly Log'!$F:$F,'Weekly Log'!$A:$A,"&gt;="&amp;$J332,'Weekly Log'!$A:$A,"&lt;"&amp;$J332+7),0))</f>
        <v/>
      </c>
      <c r="F332">
        <f>IF($J332="","",IFERROR(SUMIFS('Weekly Log'!$F:$F,'Weekly Log'!$A:$A,"&gt;="&amp;$J332,'Weekly Log'!$A:$A,"&lt;"&amp;$J332+7)/SUMIFS('Weekly Log'!$E:$E,'Weekly Log'!$A:$A,"&gt;="&amp;$J332,'Weekly Log'!$A:$A,"&lt;"&amp;$J332+7),0))</f>
        <v/>
      </c>
      <c r="G332">
        <f>IF($J332="","",IFERROR(LOOKUP(2,1/(('Weekly Log'!$A$5:$A$5000&gt;=$J332)*('Weekly Log'!$A$5:$A$5000&lt;$J332+7)*('Weekly Log'!$M$5:$M$5000&lt;&gt;"")),'Weekly Log'!$M$5:$M$5000),0))</f>
        <v/>
      </c>
      <c r="J332">
        <f>IF(COUNT('Weekly Log'!$A$5:$A$5000)=0,"",IF(MIN('Weekly Log'!$A$5:$A$5000)+7*(ROW()-10)&gt;MAX('Weekly Log'!$A$5:$A$5000),"",MIN('Weekly Log'!$A$5:$A$5000)+7*(ROW()-10)))</f>
        <v/>
      </c>
    </row>
    <row r="333">
      <c r="A333">
        <f>IF($J333="","",YEAR($J333-WEEKDAY($J333,2)+4)&amp;"-W"&amp;TEXT(WEEKNUM($J333,21),"00"))</f>
        <v/>
      </c>
      <c r="B333">
        <f>IF($J333="","",SUMIFS('Weekly Log'!$C:$C,'Weekly Log'!$A:$A,"&gt;="&amp;$J333,'Weekly Log'!$A:$A,"&lt;"&amp;$J333+7))</f>
        <v/>
      </c>
      <c r="C333">
        <f>IF($J333="","",IFERROR(COUNTIFS('Weekly Log'!$G:$G,"Y",'Weekly Log'!$A:$A,"&gt;="&amp;$J333,'Weekly Log'!$A:$A,"&lt;"&amp;$J333+7)/COUNTIFS('Weekly Log'!$G:$G,"&lt;&gt;",'Weekly Log'!$A:$A,"&gt;="&amp;$J333,'Weekly Log'!$A:$A,"&lt;"&amp;$J333+7),0))</f>
        <v/>
      </c>
      <c r="D333">
        <f>IF($J333="","",IFERROR(COUNTIFS('Weekly Log'!$H:$H,"Y",'Weekly Log'!$A:$A,"&gt;="&amp;$J333,'Weekly Log'!$A:$A,"&lt;"&amp;$J333+7)/COUNTIFS('Weekly Log'!$H:$H,"&lt;&gt;",'Weekly Log'!$A:$A,"&gt;="&amp;$J333,'Weekly Log'!$A:$A,"&lt;"&amp;$J333+7),0))</f>
        <v/>
      </c>
      <c r="E333">
        <f>IF($J333="","",IFERROR(AVERAGEIFS('Weekly Log'!$F:$F,'Weekly Log'!$A:$A,"&gt;="&amp;$J333,'Weekly Log'!$A:$A,"&lt;"&amp;$J333+7),0))</f>
        <v/>
      </c>
      <c r="F333">
        <f>IF($J333="","",IFERROR(SUMIFS('Weekly Log'!$F:$F,'Weekly Log'!$A:$A,"&gt;="&amp;$J333,'Weekly Log'!$A:$A,"&lt;"&amp;$J333+7)/SUMIFS('Weekly Log'!$E:$E,'Weekly Log'!$A:$A,"&gt;="&amp;$J333,'Weekly Log'!$A:$A,"&lt;"&amp;$J333+7),0))</f>
        <v/>
      </c>
      <c r="G333">
        <f>IF($J333="","",IFERROR(LOOKUP(2,1/(('Weekly Log'!$A$5:$A$5000&gt;=$J333)*('Weekly Log'!$A$5:$A$5000&lt;$J333+7)*('Weekly Log'!$M$5:$M$5000&lt;&gt;"")),'Weekly Log'!$M$5:$M$5000),0))</f>
        <v/>
      </c>
      <c r="J333">
        <f>IF(COUNT('Weekly Log'!$A$5:$A$5000)=0,"",IF(MIN('Weekly Log'!$A$5:$A$5000)+7*(ROW()-10)&gt;MAX('Weekly Log'!$A$5:$A$5000),"",MIN('Weekly Log'!$A$5:$A$5000)+7*(ROW()-10)))</f>
        <v/>
      </c>
    </row>
    <row r="334">
      <c r="A334">
        <f>IF($J334="","",YEAR($J334-WEEKDAY($J334,2)+4)&amp;"-W"&amp;TEXT(WEEKNUM($J334,21),"00"))</f>
        <v/>
      </c>
      <c r="B334">
        <f>IF($J334="","",SUMIFS('Weekly Log'!$C:$C,'Weekly Log'!$A:$A,"&gt;="&amp;$J334,'Weekly Log'!$A:$A,"&lt;"&amp;$J334+7))</f>
        <v/>
      </c>
      <c r="C334">
        <f>IF($J334="","",IFERROR(COUNTIFS('Weekly Log'!$G:$G,"Y",'Weekly Log'!$A:$A,"&gt;="&amp;$J334,'Weekly Log'!$A:$A,"&lt;"&amp;$J334+7)/COUNTIFS('Weekly Log'!$G:$G,"&lt;&gt;",'Weekly Log'!$A:$A,"&gt;="&amp;$J334,'Weekly Log'!$A:$A,"&lt;"&amp;$J334+7),0))</f>
        <v/>
      </c>
      <c r="D334">
        <f>IF($J334="","",IFERROR(COUNTIFS('Weekly Log'!$H:$H,"Y",'Weekly Log'!$A:$A,"&gt;="&amp;$J334,'Weekly Log'!$A:$A,"&lt;"&amp;$J334+7)/COUNTIFS('Weekly Log'!$H:$H,"&lt;&gt;",'Weekly Log'!$A:$A,"&gt;="&amp;$J334,'Weekly Log'!$A:$A,"&lt;"&amp;$J334+7),0))</f>
        <v/>
      </c>
      <c r="E334">
        <f>IF($J334="","",IFERROR(AVERAGEIFS('Weekly Log'!$F:$F,'Weekly Log'!$A:$A,"&gt;="&amp;$J334,'Weekly Log'!$A:$A,"&lt;"&amp;$J334+7),0))</f>
        <v/>
      </c>
      <c r="F334">
        <f>IF($J334="","",IFERROR(SUMIFS('Weekly Log'!$F:$F,'Weekly Log'!$A:$A,"&gt;="&amp;$J334,'Weekly Log'!$A:$A,"&lt;"&amp;$J334+7)/SUMIFS('Weekly Log'!$E:$E,'Weekly Log'!$A:$A,"&gt;="&amp;$J334,'Weekly Log'!$A:$A,"&lt;"&amp;$J334+7),0))</f>
        <v/>
      </c>
      <c r="G334">
        <f>IF($J334="","",IFERROR(LOOKUP(2,1/(('Weekly Log'!$A$5:$A$5000&gt;=$J334)*('Weekly Log'!$A$5:$A$5000&lt;$J334+7)*('Weekly Log'!$M$5:$M$5000&lt;&gt;"")),'Weekly Log'!$M$5:$M$5000),0))</f>
        <v/>
      </c>
      <c r="J334">
        <f>IF(COUNT('Weekly Log'!$A$5:$A$5000)=0,"",IF(MIN('Weekly Log'!$A$5:$A$5000)+7*(ROW()-10)&gt;MAX('Weekly Log'!$A$5:$A$5000),"",MIN('Weekly Log'!$A$5:$A$5000)+7*(ROW()-10)))</f>
        <v/>
      </c>
    </row>
    <row r="335">
      <c r="A335">
        <f>IF($J335="","",YEAR($J335-WEEKDAY($J335,2)+4)&amp;"-W"&amp;TEXT(WEEKNUM($J335,21),"00"))</f>
        <v/>
      </c>
      <c r="B335">
        <f>IF($J335="","",SUMIFS('Weekly Log'!$C:$C,'Weekly Log'!$A:$A,"&gt;="&amp;$J335,'Weekly Log'!$A:$A,"&lt;"&amp;$J335+7))</f>
        <v/>
      </c>
      <c r="C335">
        <f>IF($J335="","",IFERROR(COUNTIFS('Weekly Log'!$G:$G,"Y",'Weekly Log'!$A:$A,"&gt;="&amp;$J335,'Weekly Log'!$A:$A,"&lt;"&amp;$J335+7)/COUNTIFS('Weekly Log'!$G:$G,"&lt;&gt;",'Weekly Log'!$A:$A,"&gt;="&amp;$J335,'Weekly Log'!$A:$A,"&lt;"&amp;$J335+7),0))</f>
        <v/>
      </c>
      <c r="D335">
        <f>IF($J335="","",IFERROR(COUNTIFS('Weekly Log'!$H:$H,"Y",'Weekly Log'!$A:$A,"&gt;="&amp;$J335,'Weekly Log'!$A:$A,"&lt;"&amp;$J335+7)/COUNTIFS('Weekly Log'!$H:$H,"&lt;&gt;",'Weekly Log'!$A:$A,"&gt;="&amp;$J335,'Weekly Log'!$A:$A,"&lt;"&amp;$J335+7),0))</f>
        <v/>
      </c>
      <c r="E335">
        <f>IF($J335="","",IFERROR(AVERAGEIFS('Weekly Log'!$F:$F,'Weekly Log'!$A:$A,"&gt;="&amp;$J335,'Weekly Log'!$A:$A,"&lt;"&amp;$J335+7),0))</f>
        <v/>
      </c>
      <c r="F335">
        <f>IF($J335="","",IFERROR(SUMIFS('Weekly Log'!$F:$F,'Weekly Log'!$A:$A,"&gt;="&amp;$J335,'Weekly Log'!$A:$A,"&lt;"&amp;$J335+7)/SUMIFS('Weekly Log'!$E:$E,'Weekly Log'!$A:$A,"&gt;="&amp;$J335,'Weekly Log'!$A:$A,"&lt;"&amp;$J335+7),0))</f>
        <v/>
      </c>
      <c r="G335">
        <f>IF($J335="","",IFERROR(LOOKUP(2,1/(('Weekly Log'!$A$5:$A$5000&gt;=$J335)*('Weekly Log'!$A$5:$A$5000&lt;$J335+7)*('Weekly Log'!$M$5:$M$5000&lt;&gt;"")),'Weekly Log'!$M$5:$M$5000),0))</f>
        <v/>
      </c>
      <c r="J335">
        <f>IF(COUNT('Weekly Log'!$A$5:$A$5000)=0,"",IF(MIN('Weekly Log'!$A$5:$A$5000)+7*(ROW()-10)&gt;MAX('Weekly Log'!$A$5:$A$5000),"",MIN('Weekly Log'!$A$5:$A$5000)+7*(ROW()-10)))</f>
        <v/>
      </c>
    </row>
    <row r="336">
      <c r="A336">
        <f>IF($J336="","",YEAR($J336-WEEKDAY($J336,2)+4)&amp;"-W"&amp;TEXT(WEEKNUM($J336,21),"00"))</f>
        <v/>
      </c>
      <c r="B336">
        <f>IF($J336="","",SUMIFS('Weekly Log'!$C:$C,'Weekly Log'!$A:$A,"&gt;="&amp;$J336,'Weekly Log'!$A:$A,"&lt;"&amp;$J336+7))</f>
        <v/>
      </c>
      <c r="C336">
        <f>IF($J336="","",IFERROR(COUNTIFS('Weekly Log'!$G:$G,"Y",'Weekly Log'!$A:$A,"&gt;="&amp;$J336,'Weekly Log'!$A:$A,"&lt;"&amp;$J336+7)/COUNTIFS('Weekly Log'!$G:$G,"&lt;&gt;",'Weekly Log'!$A:$A,"&gt;="&amp;$J336,'Weekly Log'!$A:$A,"&lt;"&amp;$J336+7),0))</f>
        <v/>
      </c>
      <c r="D336">
        <f>IF($J336="","",IFERROR(COUNTIFS('Weekly Log'!$H:$H,"Y",'Weekly Log'!$A:$A,"&gt;="&amp;$J336,'Weekly Log'!$A:$A,"&lt;"&amp;$J336+7)/COUNTIFS('Weekly Log'!$H:$H,"&lt;&gt;",'Weekly Log'!$A:$A,"&gt;="&amp;$J336,'Weekly Log'!$A:$A,"&lt;"&amp;$J336+7),0))</f>
        <v/>
      </c>
      <c r="E336">
        <f>IF($J336="","",IFERROR(AVERAGEIFS('Weekly Log'!$F:$F,'Weekly Log'!$A:$A,"&gt;="&amp;$J336,'Weekly Log'!$A:$A,"&lt;"&amp;$J336+7),0))</f>
        <v/>
      </c>
      <c r="F336">
        <f>IF($J336="","",IFERROR(SUMIFS('Weekly Log'!$F:$F,'Weekly Log'!$A:$A,"&gt;="&amp;$J336,'Weekly Log'!$A:$A,"&lt;"&amp;$J336+7)/SUMIFS('Weekly Log'!$E:$E,'Weekly Log'!$A:$A,"&gt;="&amp;$J336,'Weekly Log'!$A:$A,"&lt;"&amp;$J336+7),0))</f>
        <v/>
      </c>
      <c r="G336">
        <f>IF($J336="","",IFERROR(LOOKUP(2,1/(('Weekly Log'!$A$5:$A$5000&gt;=$J336)*('Weekly Log'!$A$5:$A$5000&lt;$J336+7)*('Weekly Log'!$M$5:$M$5000&lt;&gt;"")),'Weekly Log'!$M$5:$M$5000),0))</f>
        <v/>
      </c>
      <c r="J336">
        <f>IF(COUNT('Weekly Log'!$A$5:$A$5000)=0,"",IF(MIN('Weekly Log'!$A$5:$A$5000)+7*(ROW()-10)&gt;MAX('Weekly Log'!$A$5:$A$5000),"",MIN('Weekly Log'!$A$5:$A$5000)+7*(ROW()-10)))</f>
        <v/>
      </c>
    </row>
    <row r="337">
      <c r="A337">
        <f>IF($J337="","",YEAR($J337-WEEKDAY($J337,2)+4)&amp;"-W"&amp;TEXT(WEEKNUM($J337,21),"00"))</f>
        <v/>
      </c>
      <c r="B337">
        <f>IF($J337="","",SUMIFS('Weekly Log'!$C:$C,'Weekly Log'!$A:$A,"&gt;="&amp;$J337,'Weekly Log'!$A:$A,"&lt;"&amp;$J337+7))</f>
        <v/>
      </c>
      <c r="C337">
        <f>IF($J337="","",IFERROR(COUNTIFS('Weekly Log'!$G:$G,"Y",'Weekly Log'!$A:$A,"&gt;="&amp;$J337,'Weekly Log'!$A:$A,"&lt;"&amp;$J337+7)/COUNTIFS('Weekly Log'!$G:$G,"&lt;&gt;",'Weekly Log'!$A:$A,"&gt;="&amp;$J337,'Weekly Log'!$A:$A,"&lt;"&amp;$J337+7),0))</f>
        <v/>
      </c>
      <c r="D337">
        <f>IF($J337="","",IFERROR(COUNTIFS('Weekly Log'!$H:$H,"Y",'Weekly Log'!$A:$A,"&gt;="&amp;$J337,'Weekly Log'!$A:$A,"&lt;"&amp;$J337+7)/COUNTIFS('Weekly Log'!$H:$H,"&lt;&gt;",'Weekly Log'!$A:$A,"&gt;="&amp;$J337,'Weekly Log'!$A:$A,"&lt;"&amp;$J337+7),0))</f>
        <v/>
      </c>
      <c r="E337">
        <f>IF($J337="","",IFERROR(AVERAGEIFS('Weekly Log'!$F:$F,'Weekly Log'!$A:$A,"&gt;="&amp;$J337,'Weekly Log'!$A:$A,"&lt;"&amp;$J337+7),0))</f>
        <v/>
      </c>
      <c r="F337">
        <f>IF($J337="","",IFERROR(SUMIFS('Weekly Log'!$F:$F,'Weekly Log'!$A:$A,"&gt;="&amp;$J337,'Weekly Log'!$A:$A,"&lt;"&amp;$J337+7)/SUMIFS('Weekly Log'!$E:$E,'Weekly Log'!$A:$A,"&gt;="&amp;$J337,'Weekly Log'!$A:$A,"&lt;"&amp;$J337+7),0))</f>
        <v/>
      </c>
      <c r="G337">
        <f>IF($J337="","",IFERROR(LOOKUP(2,1/(('Weekly Log'!$A$5:$A$5000&gt;=$J337)*('Weekly Log'!$A$5:$A$5000&lt;$J337+7)*('Weekly Log'!$M$5:$M$5000&lt;&gt;"")),'Weekly Log'!$M$5:$M$5000),0))</f>
        <v/>
      </c>
      <c r="J337">
        <f>IF(COUNT('Weekly Log'!$A$5:$A$5000)=0,"",IF(MIN('Weekly Log'!$A$5:$A$5000)+7*(ROW()-10)&gt;MAX('Weekly Log'!$A$5:$A$5000),"",MIN('Weekly Log'!$A$5:$A$5000)+7*(ROW()-10)))</f>
        <v/>
      </c>
    </row>
    <row r="338">
      <c r="A338">
        <f>IF($J338="","",YEAR($J338-WEEKDAY($J338,2)+4)&amp;"-W"&amp;TEXT(WEEKNUM($J338,21),"00"))</f>
        <v/>
      </c>
      <c r="B338">
        <f>IF($J338="","",SUMIFS('Weekly Log'!$C:$C,'Weekly Log'!$A:$A,"&gt;="&amp;$J338,'Weekly Log'!$A:$A,"&lt;"&amp;$J338+7))</f>
        <v/>
      </c>
      <c r="C338">
        <f>IF($J338="","",IFERROR(COUNTIFS('Weekly Log'!$G:$G,"Y",'Weekly Log'!$A:$A,"&gt;="&amp;$J338,'Weekly Log'!$A:$A,"&lt;"&amp;$J338+7)/COUNTIFS('Weekly Log'!$G:$G,"&lt;&gt;",'Weekly Log'!$A:$A,"&gt;="&amp;$J338,'Weekly Log'!$A:$A,"&lt;"&amp;$J338+7),0))</f>
        <v/>
      </c>
      <c r="D338">
        <f>IF($J338="","",IFERROR(COUNTIFS('Weekly Log'!$H:$H,"Y",'Weekly Log'!$A:$A,"&gt;="&amp;$J338,'Weekly Log'!$A:$A,"&lt;"&amp;$J338+7)/COUNTIFS('Weekly Log'!$H:$H,"&lt;&gt;",'Weekly Log'!$A:$A,"&gt;="&amp;$J338,'Weekly Log'!$A:$A,"&lt;"&amp;$J338+7),0))</f>
        <v/>
      </c>
      <c r="E338">
        <f>IF($J338="","",IFERROR(AVERAGEIFS('Weekly Log'!$F:$F,'Weekly Log'!$A:$A,"&gt;="&amp;$J338,'Weekly Log'!$A:$A,"&lt;"&amp;$J338+7),0))</f>
        <v/>
      </c>
      <c r="F338">
        <f>IF($J338="","",IFERROR(SUMIFS('Weekly Log'!$F:$F,'Weekly Log'!$A:$A,"&gt;="&amp;$J338,'Weekly Log'!$A:$A,"&lt;"&amp;$J338+7)/SUMIFS('Weekly Log'!$E:$E,'Weekly Log'!$A:$A,"&gt;="&amp;$J338,'Weekly Log'!$A:$A,"&lt;"&amp;$J338+7),0))</f>
        <v/>
      </c>
      <c r="G338">
        <f>IF($J338="","",IFERROR(LOOKUP(2,1/(('Weekly Log'!$A$5:$A$5000&gt;=$J338)*('Weekly Log'!$A$5:$A$5000&lt;$J338+7)*('Weekly Log'!$M$5:$M$5000&lt;&gt;"")),'Weekly Log'!$M$5:$M$5000),0))</f>
        <v/>
      </c>
      <c r="J338">
        <f>IF(COUNT('Weekly Log'!$A$5:$A$5000)=0,"",IF(MIN('Weekly Log'!$A$5:$A$5000)+7*(ROW()-10)&gt;MAX('Weekly Log'!$A$5:$A$5000),"",MIN('Weekly Log'!$A$5:$A$5000)+7*(ROW()-10)))</f>
        <v/>
      </c>
    </row>
    <row r="339">
      <c r="A339">
        <f>IF($J339="","",YEAR($J339-WEEKDAY($J339,2)+4)&amp;"-W"&amp;TEXT(WEEKNUM($J339,21),"00"))</f>
        <v/>
      </c>
      <c r="B339">
        <f>IF($J339="","",SUMIFS('Weekly Log'!$C:$C,'Weekly Log'!$A:$A,"&gt;="&amp;$J339,'Weekly Log'!$A:$A,"&lt;"&amp;$J339+7))</f>
        <v/>
      </c>
      <c r="C339">
        <f>IF($J339="","",IFERROR(COUNTIFS('Weekly Log'!$G:$G,"Y",'Weekly Log'!$A:$A,"&gt;="&amp;$J339,'Weekly Log'!$A:$A,"&lt;"&amp;$J339+7)/COUNTIFS('Weekly Log'!$G:$G,"&lt;&gt;",'Weekly Log'!$A:$A,"&gt;="&amp;$J339,'Weekly Log'!$A:$A,"&lt;"&amp;$J339+7),0))</f>
        <v/>
      </c>
      <c r="D339">
        <f>IF($J339="","",IFERROR(COUNTIFS('Weekly Log'!$H:$H,"Y",'Weekly Log'!$A:$A,"&gt;="&amp;$J339,'Weekly Log'!$A:$A,"&lt;"&amp;$J339+7)/COUNTIFS('Weekly Log'!$H:$H,"&lt;&gt;",'Weekly Log'!$A:$A,"&gt;="&amp;$J339,'Weekly Log'!$A:$A,"&lt;"&amp;$J339+7),0))</f>
        <v/>
      </c>
      <c r="E339">
        <f>IF($J339="","",IFERROR(AVERAGEIFS('Weekly Log'!$F:$F,'Weekly Log'!$A:$A,"&gt;="&amp;$J339,'Weekly Log'!$A:$A,"&lt;"&amp;$J339+7),0))</f>
        <v/>
      </c>
      <c r="F339">
        <f>IF($J339="","",IFERROR(SUMIFS('Weekly Log'!$F:$F,'Weekly Log'!$A:$A,"&gt;="&amp;$J339,'Weekly Log'!$A:$A,"&lt;"&amp;$J339+7)/SUMIFS('Weekly Log'!$E:$E,'Weekly Log'!$A:$A,"&gt;="&amp;$J339,'Weekly Log'!$A:$A,"&lt;"&amp;$J339+7),0))</f>
        <v/>
      </c>
      <c r="G339">
        <f>IF($J339="","",IFERROR(LOOKUP(2,1/(('Weekly Log'!$A$5:$A$5000&gt;=$J339)*('Weekly Log'!$A$5:$A$5000&lt;$J339+7)*('Weekly Log'!$M$5:$M$5000&lt;&gt;"")),'Weekly Log'!$M$5:$M$5000),0))</f>
        <v/>
      </c>
      <c r="J339">
        <f>IF(COUNT('Weekly Log'!$A$5:$A$5000)=0,"",IF(MIN('Weekly Log'!$A$5:$A$5000)+7*(ROW()-10)&gt;MAX('Weekly Log'!$A$5:$A$5000),"",MIN('Weekly Log'!$A$5:$A$5000)+7*(ROW()-10)))</f>
        <v/>
      </c>
    </row>
    <row r="340">
      <c r="A340">
        <f>IF($J340="","",YEAR($J340-WEEKDAY($J340,2)+4)&amp;"-W"&amp;TEXT(WEEKNUM($J340,21),"00"))</f>
        <v/>
      </c>
      <c r="B340">
        <f>IF($J340="","",SUMIFS('Weekly Log'!$C:$C,'Weekly Log'!$A:$A,"&gt;="&amp;$J340,'Weekly Log'!$A:$A,"&lt;"&amp;$J340+7))</f>
        <v/>
      </c>
      <c r="C340">
        <f>IF($J340="","",IFERROR(COUNTIFS('Weekly Log'!$G:$G,"Y",'Weekly Log'!$A:$A,"&gt;="&amp;$J340,'Weekly Log'!$A:$A,"&lt;"&amp;$J340+7)/COUNTIFS('Weekly Log'!$G:$G,"&lt;&gt;",'Weekly Log'!$A:$A,"&gt;="&amp;$J340,'Weekly Log'!$A:$A,"&lt;"&amp;$J340+7),0))</f>
        <v/>
      </c>
      <c r="D340">
        <f>IF($J340="","",IFERROR(COUNTIFS('Weekly Log'!$H:$H,"Y",'Weekly Log'!$A:$A,"&gt;="&amp;$J340,'Weekly Log'!$A:$A,"&lt;"&amp;$J340+7)/COUNTIFS('Weekly Log'!$H:$H,"&lt;&gt;",'Weekly Log'!$A:$A,"&gt;="&amp;$J340,'Weekly Log'!$A:$A,"&lt;"&amp;$J340+7),0))</f>
        <v/>
      </c>
      <c r="E340">
        <f>IF($J340="","",IFERROR(AVERAGEIFS('Weekly Log'!$F:$F,'Weekly Log'!$A:$A,"&gt;="&amp;$J340,'Weekly Log'!$A:$A,"&lt;"&amp;$J340+7),0))</f>
        <v/>
      </c>
      <c r="F340">
        <f>IF($J340="","",IFERROR(SUMIFS('Weekly Log'!$F:$F,'Weekly Log'!$A:$A,"&gt;="&amp;$J340,'Weekly Log'!$A:$A,"&lt;"&amp;$J340+7)/SUMIFS('Weekly Log'!$E:$E,'Weekly Log'!$A:$A,"&gt;="&amp;$J340,'Weekly Log'!$A:$A,"&lt;"&amp;$J340+7),0))</f>
        <v/>
      </c>
      <c r="G340">
        <f>IF($J340="","",IFERROR(LOOKUP(2,1/(('Weekly Log'!$A$5:$A$5000&gt;=$J340)*('Weekly Log'!$A$5:$A$5000&lt;$J340+7)*('Weekly Log'!$M$5:$M$5000&lt;&gt;"")),'Weekly Log'!$M$5:$M$5000),0))</f>
        <v/>
      </c>
      <c r="J340">
        <f>IF(COUNT('Weekly Log'!$A$5:$A$5000)=0,"",IF(MIN('Weekly Log'!$A$5:$A$5000)+7*(ROW()-10)&gt;MAX('Weekly Log'!$A$5:$A$5000),"",MIN('Weekly Log'!$A$5:$A$5000)+7*(ROW()-10)))</f>
        <v/>
      </c>
    </row>
    <row r="341">
      <c r="A341">
        <f>IF($J341="","",YEAR($J341-WEEKDAY($J341,2)+4)&amp;"-W"&amp;TEXT(WEEKNUM($J341,21),"00"))</f>
        <v/>
      </c>
      <c r="B341">
        <f>IF($J341="","",SUMIFS('Weekly Log'!$C:$C,'Weekly Log'!$A:$A,"&gt;="&amp;$J341,'Weekly Log'!$A:$A,"&lt;"&amp;$J341+7))</f>
        <v/>
      </c>
      <c r="C341">
        <f>IF($J341="","",IFERROR(COUNTIFS('Weekly Log'!$G:$G,"Y",'Weekly Log'!$A:$A,"&gt;="&amp;$J341,'Weekly Log'!$A:$A,"&lt;"&amp;$J341+7)/COUNTIFS('Weekly Log'!$G:$G,"&lt;&gt;",'Weekly Log'!$A:$A,"&gt;="&amp;$J341,'Weekly Log'!$A:$A,"&lt;"&amp;$J341+7),0))</f>
        <v/>
      </c>
      <c r="D341">
        <f>IF($J341="","",IFERROR(COUNTIFS('Weekly Log'!$H:$H,"Y",'Weekly Log'!$A:$A,"&gt;="&amp;$J341,'Weekly Log'!$A:$A,"&lt;"&amp;$J341+7)/COUNTIFS('Weekly Log'!$H:$H,"&lt;&gt;",'Weekly Log'!$A:$A,"&gt;="&amp;$J341,'Weekly Log'!$A:$A,"&lt;"&amp;$J341+7),0))</f>
        <v/>
      </c>
      <c r="E341">
        <f>IF($J341="","",IFERROR(AVERAGEIFS('Weekly Log'!$F:$F,'Weekly Log'!$A:$A,"&gt;="&amp;$J341,'Weekly Log'!$A:$A,"&lt;"&amp;$J341+7),0))</f>
        <v/>
      </c>
      <c r="F341">
        <f>IF($J341="","",IFERROR(SUMIFS('Weekly Log'!$F:$F,'Weekly Log'!$A:$A,"&gt;="&amp;$J341,'Weekly Log'!$A:$A,"&lt;"&amp;$J341+7)/SUMIFS('Weekly Log'!$E:$E,'Weekly Log'!$A:$A,"&gt;="&amp;$J341,'Weekly Log'!$A:$A,"&lt;"&amp;$J341+7),0))</f>
        <v/>
      </c>
      <c r="G341">
        <f>IF($J341="","",IFERROR(LOOKUP(2,1/(('Weekly Log'!$A$5:$A$5000&gt;=$J341)*('Weekly Log'!$A$5:$A$5000&lt;$J341+7)*('Weekly Log'!$M$5:$M$5000&lt;&gt;"")),'Weekly Log'!$M$5:$M$5000),0))</f>
        <v/>
      </c>
      <c r="J341">
        <f>IF(COUNT('Weekly Log'!$A$5:$A$5000)=0,"",IF(MIN('Weekly Log'!$A$5:$A$5000)+7*(ROW()-10)&gt;MAX('Weekly Log'!$A$5:$A$5000),"",MIN('Weekly Log'!$A$5:$A$5000)+7*(ROW()-10)))</f>
        <v/>
      </c>
    </row>
    <row r="342">
      <c r="A342">
        <f>IF($J342="","",YEAR($J342-WEEKDAY($J342,2)+4)&amp;"-W"&amp;TEXT(WEEKNUM($J342,21),"00"))</f>
        <v/>
      </c>
      <c r="B342">
        <f>IF($J342="","",SUMIFS('Weekly Log'!$C:$C,'Weekly Log'!$A:$A,"&gt;="&amp;$J342,'Weekly Log'!$A:$A,"&lt;"&amp;$J342+7))</f>
        <v/>
      </c>
      <c r="C342">
        <f>IF($J342="","",IFERROR(COUNTIFS('Weekly Log'!$G:$G,"Y",'Weekly Log'!$A:$A,"&gt;="&amp;$J342,'Weekly Log'!$A:$A,"&lt;"&amp;$J342+7)/COUNTIFS('Weekly Log'!$G:$G,"&lt;&gt;",'Weekly Log'!$A:$A,"&gt;="&amp;$J342,'Weekly Log'!$A:$A,"&lt;"&amp;$J342+7),0))</f>
        <v/>
      </c>
      <c r="D342">
        <f>IF($J342="","",IFERROR(COUNTIFS('Weekly Log'!$H:$H,"Y",'Weekly Log'!$A:$A,"&gt;="&amp;$J342,'Weekly Log'!$A:$A,"&lt;"&amp;$J342+7)/COUNTIFS('Weekly Log'!$H:$H,"&lt;&gt;",'Weekly Log'!$A:$A,"&gt;="&amp;$J342,'Weekly Log'!$A:$A,"&lt;"&amp;$J342+7),0))</f>
        <v/>
      </c>
      <c r="E342">
        <f>IF($J342="","",IFERROR(AVERAGEIFS('Weekly Log'!$F:$F,'Weekly Log'!$A:$A,"&gt;="&amp;$J342,'Weekly Log'!$A:$A,"&lt;"&amp;$J342+7),0))</f>
        <v/>
      </c>
      <c r="F342">
        <f>IF($J342="","",IFERROR(SUMIFS('Weekly Log'!$F:$F,'Weekly Log'!$A:$A,"&gt;="&amp;$J342,'Weekly Log'!$A:$A,"&lt;"&amp;$J342+7)/SUMIFS('Weekly Log'!$E:$E,'Weekly Log'!$A:$A,"&gt;="&amp;$J342,'Weekly Log'!$A:$A,"&lt;"&amp;$J342+7),0))</f>
        <v/>
      </c>
      <c r="G342">
        <f>IF($J342="","",IFERROR(LOOKUP(2,1/(('Weekly Log'!$A$5:$A$5000&gt;=$J342)*('Weekly Log'!$A$5:$A$5000&lt;$J342+7)*('Weekly Log'!$M$5:$M$5000&lt;&gt;"")),'Weekly Log'!$M$5:$M$5000),0))</f>
        <v/>
      </c>
      <c r="J342">
        <f>IF(COUNT('Weekly Log'!$A$5:$A$5000)=0,"",IF(MIN('Weekly Log'!$A$5:$A$5000)+7*(ROW()-10)&gt;MAX('Weekly Log'!$A$5:$A$5000),"",MIN('Weekly Log'!$A$5:$A$5000)+7*(ROW()-10)))</f>
        <v/>
      </c>
    </row>
    <row r="343">
      <c r="A343">
        <f>IF($J343="","",YEAR($J343-WEEKDAY($J343,2)+4)&amp;"-W"&amp;TEXT(WEEKNUM($J343,21),"00"))</f>
        <v/>
      </c>
      <c r="B343">
        <f>IF($J343="","",SUMIFS('Weekly Log'!$C:$C,'Weekly Log'!$A:$A,"&gt;="&amp;$J343,'Weekly Log'!$A:$A,"&lt;"&amp;$J343+7))</f>
        <v/>
      </c>
      <c r="C343">
        <f>IF($J343="","",IFERROR(COUNTIFS('Weekly Log'!$G:$G,"Y",'Weekly Log'!$A:$A,"&gt;="&amp;$J343,'Weekly Log'!$A:$A,"&lt;"&amp;$J343+7)/COUNTIFS('Weekly Log'!$G:$G,"&lt;&gt;",'Weekly Log'!$A:$A,"&gt;="&amp;$J343,'Weekly Log'!$A:$A,"&lt;"&amp;$J343+7),0))</f>
        <v/>
      </c>
      <c r="D343">
        <f>IF($J343="","",IFERROR(COUNTIFS('Weekly Log'!$H:$H,"Y",'Weekly Log'!$A:$A,"&gt;="&amp;$J343,'Weekly Log'!$A:$A,"&lt;"&amp;$J343+7)/COUNTIFS('Weekly Log'!$H:$H,"&lt;&gt;",'Weekly Log'!$A:$A,"&gt;="&amp;$J343,'Weekly Log'!$A:$A,"&lt;"&amp;$J343+7),0))</f>
        <v/>
      </c>
      <c r="E343">
        <f>IF($J343="","",IFERROR(AVERAGEIFS('Weekly Log'!$F:$F,'Weekly Log'!$A:$A,"&gt;="&amp;$J343,'Weekly Log'!$A:$A,"&lt;"&amp;$J343+7),0))</f>
        <v/>
      </c>
      <c r="F343">
        <f>IF($J343="","",IFERROR(SUMIFS('Weekly Log'!$F:$F,'Weekly Log'!$A:$A,"&gt;="&amp;$J343,'Weekly Log'!$A:$A,"&lt;"&amp;$J343+7)/SUMIFS('Weekly Log'!$E:$E,'Weekly Log'!$A:$A,"&gt;="&amp;$J343,'Weekly Log'!$A:$A,"&lt;"&amp;$J343+7),0))</f>
        <v/>
      </c>
      <c r="G343">
        <f>IF($J343="","",IFERROR(LOOKUP(2,1/(('Weekly Log'!$A$5:$A$5000&gt;=$J343)*('Weekly Log'!$A$5:$A$5000&lt;$J343+7)*('Weekly Log'!$M$5:$M$5000&lt;&gt;"")),'Weekly Log'!$M$5:$M$5000),0))</f>
        <v/>
      </c>
      <c r="J343">
        <f>IF(COUNT('Weekly Log'!$A$5:$A$5000)=0,"",IF(MIN('Weekly Log'!$A$5:$A$5000)+7*(ROW()-10)&gt;MAX('Weekly Log'!$A$5:$A$5000),"",MIN('Weekly Log'!$A$5:$A$5000)+7*(ROW()-10)))</f>
        <v/>
      </c>
    </row>
    <row r="344">
      <c r="A344">
        <f>IF($J344="","",YEAR($J344-WEEKDAY($J344,2)+4)&amp;"-W"&amp;TEXT(WEEKNUM($J344,21),"00"))</f>
        <v/>
      </c>
      <c r="B344">
        <f>IF($J344="","",SUMIFS('Weekly Log'!$C:$C,'Weekly Log'!$A:$A,"&gt;="&amp;$J344,'Weekly Log'!$A:$A,"&lt;"&amp;$J344+7))</f>
        <v/>
      </c>
      <c r="C344">
        <f>IF($J344="","",IFERROR(COUNTIFS('Weekly Log'!$G:$G,"Y",'Weekly Log'!$A:$A,"&gt;="&amp;$J344,'Weekly Log'!$A:$A,"&lt;"&amp;$J344+7)/COUNTIFS('Weekly Log'!$G:$G,"&lt;&gt;",'Weekly Log'!$A:$A,"&gt;="&amp;$J344,'Weekly Log'!$A:$A,"&lt;"&amp;$J344+7),0))</f>
        <v/>
      </c>
      <c r="D344">
        <f>IF($J344="","",IFERROR(COUNTIFS('Weekly Log'!$H:$H,"Y",'Weekly Log'!$A:$A,"&gt;="&amp;$J344,'Weekly Log'!$A:$A,"&lt;"&amp;$J344+7)/COUNTIFS('Weekly Log'!$H:$H,"&lt;&gt;",'Weekly Log'!$A:$A,"&gt;="&amp;$J344,'Weekly Log'!$A:$A,"&lt;"&amp;$J344+7),0))</f>
        <v/>
      </c>
      <c r="E344">
        <f>IF($J344="","",IFERROR(AVERAGEIFS('Weekly Log'!$F:$F,'Weekly Log'!$A:$A,"&gt;="&amp;$J344,'Weekly Log'!$A:$A,"&lt;"&amp;$J344+7),0))</f>
        <v/>
      </c>
      <c r="F344">
        <f>IF($J344="","",IFERROR(SUMIFS('Weekly Log'!$F:$F,'Weekly Log'!$A:$A,"&gt;="&amp;$J344,'Weekly Log'!$A:$A,"&lt;"&amp;$J344+7)/SUMIFS('Weekly Log'!$E:$E,'Weekly Log'!$A:$A,"&gt;="&amp;$J344,'Weekly Log'!$A:$A,"&lt;"&amp;$J344+7),0))</f>
        <v/>
      </c>
      <c r="G344">
        <f>IF($J344="","",IFERROR(LOOKUP(2,1/(('Weekly Log'!$A$5:$A$5000&gt;=$J344)*('Weekly Log'!$A$5:$A$5000&lt;$J344+7)*('Weekly Log'!$M$5:$M$5000&lt;&gt;"")),'Weekly Log'!$M$5:$M$5000),0))</f>
        <v/>
      </c>
      <c r="J344">
        <f>IF(COUNT('Weekly Log'!$A$5:$A$5000)=0,"",IF(MIN('Weekly Log'!$A$5:$A$5000)+7*(ROW()-10)&gt;MAX('Weekly Log'!$A$5:$A$5000),"",MIN('Weekly Log'!$A$5:$A$5000)+7*(ROW()-10)))</f>
        <v/>
      </c>
    </row>
    <row r="345">
      <c r="A345">
        <f>IF($J345="","",YEAR($J345-WEEKDAY($J345,2)+4)&amp;"-W"&amp;TEXT(WEEKNUM($J345,21),"00"))</f>
        <v/>
      </c>
      <c r="B345">
        <f>IF($J345="","",SUMIFS('Weekly Log'!$C:$C,'Weekly Log'!$A:$A,"&gt;="&amp;$J345,'Weekly Log'!$A:$A,"&lt;"&amp;$J345+7))</f>
        <v/>
      </c>
      <c r="C345">
        <f>IF($J345="","",IFERROR(COUNTIFS('Weekly Log'!$G:$G,"Y",'Weekly Log'!$A:$A,"&gt;="&amp;$J345,'Weekly Log'!$A:$A,"&lt;"&amp;$J345+7)/COUNTIFS('Weekly Log'!$G:$G,"&lt;&gt;",'Weekly Log'!$A:$A,"&gt;="&amp;$J345,'Weekly Log'!$A:$A,"&lt;"&amp;$J345+7),0))</f>
        <v/>
      </c>
      <c r="D345">
        <f>IF($J345="","",IFERROR(COUNTIFS('Weekly Log'!$H:$H,"Y",'Weekly Log'!$A:$A,"&gt;="&amp;$J345,'Weekly Log'!$A:$A,"&lt;"&amp;$J345+7)/COUNTIFS('Weekly Log'!$H:$H,"&lt;&gt;",'Weekly Log'!$A:$A,"&gt;="&amp;$J345,'Weekly Log'!$A:$A,"&lt;"&amp;$J345+7),0))</f>
        <v/>
      </c>
      <c r="E345">
        <f>IF($J345="","",IFERROR(AVERAGEIFS('Weekly Log'!$F:$F,'Weekly Log'!$A:$A,"&gt;="&amp;$J345,'Weekly Log'!$A:$A,"&lt;"&amp;$J345+7),0))</f>
        <v/>
      </c>
      <c r="F345">
        <f>IF($J345="","",IFERROR(SUMIFS('Weekly Log'!$F:$F,'Weekly Log'!$A:$A,"&gt;="&amp;$J345,'Weekly Log'!$A:$A,"&lt;"&amp;$J345+7)/SUMIFS('Weekly Log'!$E:$E,'Weekly Log'!$A:$A,"&gt;="&amp;$J345,'Weekly Log'!$A:$A,"&lt;"&amp;$J345+7),0))</f>
        <v/>
      </c>
      <c r="G345">
        <f>IF($J345="","",IFERROR(LOOKUP(2,1/(('Weekly Log'!$A$5:$A$5000&gt;=$J345)*('Weekly Log'!$A$5:$A$5000&lt;$J345+7)*('Weekly Log'!$M$5:$M$5000&lt;&gt;"")),'Weekly Log'!$M$5:$M$5000),0))</f>
        <v/>
      </c>
      <c r="J345">
        <f>IF(COUNT('Weekly Log'!$A$5:$A$5000)=0,"",IF(MIN('Weekly Log'!$A$5:$A$5000)+7*(ROW()-10)&gt;MAX('Weekly Log'!$A$5:$A$5000),"",MIN('Weekly Log'!$A$5:$A$5000)+7*(ROW()-10)))</f>
        <v/>
      </c>
    </row>
    <row r="346">
      <c r="A346">
        <f>IF($J346="","",YEAR($J346-WEEKDAY($J346,2)+4)&amp;"-W"&amp;TEXT(WEEKNUM($J346,21),"00"))</f>
        <v/>
      </c>
      <c r="B346">
        <f>IF($J346="","",SUMIFS('Weekly Log'!$C:$C,'Weekly Log'!$A:$A,"&gt;="&amp;$J346,'Weekly Log'!$A:$A,"&lt;"&amp;$J346+7))</f>
        <v/>
      </c>
      <c r="C346">
        <f>IF($J346="","",IFERROR(COUNTIFS('Weekly Log'!$G:$G,"Y",'Weekly Log'!$A:$A,"&gt;="&amp;$J346,'Weekly Log'!$A:$A,"&lt;"&amp;$J346+7)/COUNTIFS('Weekly Log'!$G:$G,"&lt;&gt;",'Weekly Log'!$A:$A,"&gt;="&amp;$J346,'Weekly Log'!$A:$A,"&lt;"&amp;$J346+7),0))</f>
        <v/>
      </c>
      <c r="D346">
        <f>IF($J346="","",IFERROR(COUNTIFS('Weekly Log'!$H:$H,"Y",'Weekly Log'!$A:$A,"&gt;="&amp;$J346,'Weekly Log'!$A:$A,"&lt;"&amp;$J346+7)/COUNTIFS('Weekly Log'!$H:$H,"&lt;&gt;",'Weekly Log'!$A:$A,"&gt;="&amp;$J346,'Weekly Log'!$A:$A,"&lt;"&amp;$J346+7),0))</f>
        <v/>
      </c>
      <c r="E346">
        <f>IF($J346="","",IFERROR(AVERAGEIFS('Weekly Log'!$F:$F,'Weekly Log'!$A:$A,"&gt;="&amp;$J346,'Weekly Log'!$A:$A,"&lt;"&amp;$J346+7),0))</f>
        <v/>
      </c>
      <c r="F346">
        <f>IF($J346="","",IFERROR(SUMIFS('Weekly Log'!$F:$F,'Weekly Log'!$A:$A,"&gt;="&amp;$J346,'Weekly Log'!$A:$A,"&lt;"&amp;$J346+7)/SUMIFS('Weekly Log'!$E:$E,'Weekly Log'!$A:$A,"&gt;="&amp;$J346,'Weekly Log'!$A:$A,"&lt;"&amp;$J346+7),0))</f>
        <v/>
      </c>
      <c r="G346">
        <f>IF($J346="","",IFERROR(LOOKUP(2,1/(('Weekly Log'!$A$5:$A$5000&gt;=$J346)*('Weekly Log'!$A$5:$A$5000&lt;$J346+7)*('Weekly Log'!$M$5:$M$5000&lt;&gt;"")),'Weekly Log'!$M$5:$M$5000),0))</f>
        <v/>
      </c>
      <c r="J346">
        <f>IF(COUNT('Weekly Log'!$A$5:$A$5000)=0,"",IF(MIN('Weekly Log'!$A$5:$A$5000)+7*(ROW()-10)&gt;MAX('Weekly Log'!$A$5:$A$5000),"",MIN('Weekly Log'!$A$5:$A$5000)+7*(ROW()-10)))</f>
        <v/>
      </c>
    </row>
    <row r="347">
      <c r="A347">
        <f>IF($J347="","",YEAR($J347-WEEKDAY($J347,2)+4)&amp;"-W"&amp;TEXT(WEEKNUM($J347,21),"00"))</f>
        <v/>
      </c>
      <c r="B347">
        <f>IF($J347="","",SUMIFS('Weekly Log'!$C:$C,'Weekly Log'!$A:$A,"&gt;="&amp;$J347,'Weekly Log'!$A:$A,"&lt;"&amp;$J347+7))</f>
        <v/>
      </c>
      <c r="C347">
        <f>IF($J347="","",IFERROR(COUNTIFS('Weekly Log'!$G:$G,"Y",'Weekly Log'!$A:$A,"&gt;="&amp;$J347,'Weekly Log'!$A:$A,"&lt;"&amp;$J347+7)/COUNTIFS('Weekly Log'!$G:$G,"&lt;&gt;",'Weekly Log'!$A:$A,"&gt;="&amp;$J347,'Weekly Log'!$A:$A,"&lt;"&amp;$J347+7),0))</f>
        <v/>
      </c>
      <c r="D347">
        <f>IF($J347="","",IFERROR(COUNTIFS('Weekly Log'!$H:$H,"Y",'Weekly Log'!$A:$A,"&gt;="&amp;$J347,'Weekly Log'!$A:$A,"&lt;"&amp;$J347+7)/COUNTIFS('Weekly Log'!$H:$H,"&lt;&gt;",'Weekly Log'!$A:$A,"&gt;="&amp;$J347,'Weekly Log'!$A:$A,"&lt;"&amp;$J347+7),0))</f>
        <v/>
      </c>
      <c r="E347">
        <f>IF($J347="","",IFERROR(AVERAGEIFS('Weekly Log'!$F:$F,'Weekly Log'!$A:$A,"&gt;="&amp;$J347,'Weekly Log'!$A:$A,"&lt;"&amp;$J347+7),0))</f>
        <v/>
      </c>
      <c r="F347">
        <f>IF($J347="","",IFERROR(SUMIFS('Weekly Log'!$F:$F,'Weekly Log'!$A:$A,"&gt;="&amp;$J347,'Weekly Log'!$A:$A,"&lt;"&amp;$J347+7)/SUMIFS('Weekly Log'!$E:$E,'Weekly Log'!$A:$A,"&gt;="&amp;$J347,'Weekly Log'!$A:$A,"&lt;"&amp;$J347+7),0))</f>
        <v/>
      </c>
      <c r="G347">
        <f>IF($J347="","",IFERROR(LOOKUP(2,1/(('Weekly Log'!$A$5:$A$5000&gt;=$J347)*('Weekly Log'!$A$5:$A$5000&lt;$J347+7)*('Weekly Log'!$M$5:$M$5000&lt;&gt;"")),'Weekly Log'!$M$5:$M$5000),0))</f>
        <v/>
      </c>
      <c r="J347">
        <f>IF(COUNT('Weekly Log'!$A$5:$A$5000)=0,"",IF(MIN('Weekly Log'!$A$5:$A$5000)+7*(ROW()-10)&gt;MAX('Weekly Log'!$A$5:$A$5000),"",MIN('Weekly Log'!$A$5:$A$5000)+7*(ROW()-10)))</f>
        <v/>
      </c>
    </row>
    <row r="348">
      <c r="A348">
        <f>IF($J348="","",YEAR($J348-WEEKDAY($J348,2)+4)&amp;"-W"&amp;TEXT(WEEKNUM($J348,21),"00"))</f>
        <v/>
      </c>
      <c r="B348">
        <f>IF($J348="","",SUMIFS('Weekly Log'!$C:$C,'Weekly Log'!$A:$A,"&gt;="&amp;$J348,'Weekly Log'!$A:$A,"&lt;"&amp;$J348+7))</f>
        <v/>
      </c>
      <c r="C348">
        <f>IF($J348="","",IFERROR(COUNTIFS('Weekly Log'!$G:$G,"Y",'Weekly Log'!$A:$A,"&gt;="&amp;$J348,'Weekly Log'!$A:$A,"&lt;"&amp;$J348+7)/COUNTIFS('Weekly Log'!$G:$G,"&lt;&gt;",'Weekly Log'!$A:$A,"&gt;="&amp;$J348,'Weekly Log'!$A:$A,"&lt;"&amp;$J348+7),0))</f>
        <v/>
      </c>
      <c r="D348">
        <f>IF($J348="","",IFERROR(COUNTIFS('Weekly Log'!$H:$H,"Y",'Weekly Log'!$A:$A,"&gt;="&amp;$J348,'Weekly Log'!$A:$A,"&lt;"&amp;$J348+7)/COUNTIFS('Weekly Log'!$H:$H,"&lt;&gt;",'Weekly Log'!$A:$A,"&gt;="&amp;$J348,'Weekly Log'!$A:$A,"&lt;"&amp;$J348+7),0))</f>
        <v/>
      </c>
      <c r="E348">
        <f>IF($J348="","",IFERROR(AVERAGEIFS('Weekly Log'!$F:$F,'Weekly Log'!$A:$A,"&gt;="&amp;$J348,'Weekly Log'!$A:$A,"&lt;"&amp;$J348+7),0))</f>
        <v/>
      </c>
      <c r="F348">
        <f>IF($J348="","",IFERROR(SUMIFS('Weekly Log'!$F:$F,'Weekly Log'!$A:$A,"&gt;="&amp;$J348,'Weekly Log'!$A:$A,"&lt;"&amp;$J348+7)/SUMIFS('Weekly Log'!$E:$E,'Weekly Log'!$A:$A,"&gt;="&amp;$J348,'Weekly Log'!$A:$A,"&lt;"&amp;$J348+7),0))</f>
        <v/>
      </c>
      <c r="G348">
        <f>IF($J348="","",IFERROR(LOOKUP(2,1/(('Weekly Log'!$A$5:$A$5000&gt;=$J348)*('Weekly Log'!$A$5:$A$5000&lt;$J348+7)*('Weekly Log'!$M$5:$M$5000&lt;&gt;"")),'Weekly Log'!$M$5:$M$5000),0))</f>
        <v/>
      </c>
      <c r="J348">
        <f>IF(COUNT('Weekly Log'!$A$5:$A$5000)=0,"",IF(MIN('Weekly Log'!$A$5:$A$5000)+7*(ROW()-10)&gt;MAX('Weekly Log'!$A$5:$A$5000),"",MIN('Weekly Log'!$A$5:$A$5000)+7*(ROW()-10)))</f>
        <v/>
      </c>
    </row>
    <row r="349">
      <c r="A349">
        <f>IF($J349="","",YEAR($J349-WEEKDAY($J349,2)+4)&amp;"-W"&amp;TEXT(WEEKNUM($J349,21),"00"))</f>
        <v/>
      </c>
      <c r="B349">
        <f>IF($J349="","",SUMIFS('Weekly Log'!$C:$C,'Weekly Log'!$A:$A,"&gt;="&amp;$J349,'Weekly Log'!$A:$A,"&lt;"&amp;$J349+7))</f>
        <v/>
      </c>
      <c r="C349">
        <f>IF($J349="","",IFERROR(COUNTIFS('Weekly Log'!$G:$G,"Y",'Weekly Log'!$A:$A,"&gt;="&amp;$J349,'Weekly Log'!$A:$A,"&lt;"&amp;$J349+7)/COUNTIFS('Weekly Log'!$G:$G,"&lt;&gt;",'Weekly Log'!$A:$A,"&gt;="&amp;$J349,'Weekly Log'!$A:$A,"&lt;"&amp;$J349+7),0))</f>
        <v/>
      </c>
      <c r="D349">
        <f>IF($J349="","",IFERROR(COUNTIFS('Weekly Log'!$H:$H,"Y",'Weekly Log'!$A:$A,"&gt;="&amp;$J349,'Weekly Log'!$A:$A,"&lt;"&amp;$J349+7)/COUNTIFS('Weekly Log'!$H:$H,"&lt;&gt;",'Weekly Log'!$A:$A,"&gt;="&amp;$J349,'Weekly Log'!$A:$A,"&lt;"&amp;$J349+7),0))</f>
        <v/>
      </c>
      <c r="E349">
        <f>IF($J349="","",IFERROR(AVERAGEIFS('Weekly Log'!$F:$F,'Weekly Log'!$A:$A,"&gt;="&amp;$J349,'Weekly Log'!$A:$A,"&lt;"&amp;$J349+7),0))</f>
        <v/>
      </c>
      <c r="F349">
        <f>IF($J349="","",IFERROR(SUMIFS('Weekly Log'!$F:$F,'Weekly Log'!$A:$A,"&gt;="&amp;$J349,'Weekly Log'!$A:$A,"&lt;"&amp;$J349+7)/SUMIFS('Weekly Log'!$E:$E,'Weekly Log'!$A:$A,"&gt;="&amp;$J349,'Weekly Log'!$A:$A,"&lt;"&amp;$J349+7),0))</f>
        <v/>
      </c>
      <c r="G349">
        <f>IF($J349="","",IFERROR(LOOKUP(2,1/(('Weekly Log'!$A$5:$A$5000&gt;=$J349)*('Weekly Log'!$A$5:$A$5000&lt;$J349+7)*('Weekly Log'!$M$5:$M$5000&lt;&gt;"")),'Weekly Log'!$M$5:$M$5000),0))</f>
        <v/>
      </c>
      <c r="J349">
        <f>IF(COUNT('Weekly Log'!$A$5:$A$5000)=0,"",IF(MIN('Weekly Log'!$A$5:$A$5000)+7*(ROW()-10)&gt;MAX('Weekly Log'!$A$5:$A$5000),"",MIN('Weekly Log'!$A$5:$A$5000)+7*(ROW()-10)))</f>
        <v/>
      </c>
    </row>
    <row r="350">
      <c r="A350">
        <f>IF($J350="","",YEAR($J350-WEEKDAY($J350,2)+4)&amp;"-W"&amp;TEXT(WEEKNUM($J350,21),"00"))</f>
        <v/>
      </c>
      <c r="B350">
        <f>IF($J350="","",SUMIFS('Weekly Log'!$C:$C,'Weekly Log'!$A:$A,"&gt;="&amp;$J350,'Weekly Log'!$A:$A,"&lt;"&amp;$J350+7))</f>
        <v/>
      </c>
      <c r="C350">
        <f>IF($J350="","",IFERROR(COUNTIFS('Weekly Log'!$G:$G,"Y",'Weekly Log'!$A:$A,"&gt;="&amp;$J350,'Weekly Log'!$A:$A,"&lt;"&amp;$J350+7)/COUNTIFS('Weekly Log'!$G:$G,"&lt;&gt;",'Weekly Log'!$A:$A,"&gt;="&amp;$J350,'Weekly Log'!$A:$A,"&lt;"&amp;$J350+7),0))</f>
        <v/>
      </c>
      <c r="D350">
        <f>IF($J350="","",IFERROR(COUNTIFS('Weekly Log'!$H:$H,"Y",'Weekly Log'!$A:$A,"&gt;="&amp;$J350,'Weekly Log'!$A:$A,"&lt;"&amp;$J350+7)/COUNTIFS('Weekly Log'!$H:$H,"&lt;&gt;",'Weekly Log'!$A:$A,"&gt;="&amp;$J350,'Weekly Log'!$A:$A,"&lt;"&amp;$J350+7),0))</f>
        <v/>
      </c>
      <c r="E350">
        <f>IF($J350="","",IFERROR(AVERAGEIFS('Weekly Log'!$F:$F,'Weekly Log'!$A:$A,"&gt;="&amp;$J350,'Weekly Log'!$A:$A,"&lt;"&amp;$J350+7),0))</f>
        <v/>
      </c>
      <c r="F350">
        <f>IF($J350="","",IFERROR(SUMIFS('Weekly Log'!$F:$F,'Weekly Log'!$A:$A,"&gt;="&amp;$J350,'Weekly Log'!$A:$A,"&lt;"&amp;$J350+7)/SUMIFS('Weekly Log'!$E:$E,'Weekly Log'!$A:$A,"&gt;="&amp;$J350,'Weekly Log'!$A:$A,"&lt;"&amp;$J350+7),0))</f>
        <v/>
      </c>
      <c r="G350">
        <f>IF($J350="","",IFERROR(LOOKUP(2,1/(('Weekly Log'!$A$5:$A$5000&gt;=$J350)*('Weekly Log'!$A$5:$A$5000&lt;$J350+7)*('Weekly Log'!$M$5:$M$5000&lt;&gt;"")),'Weekly Log'!$M$5:$M$5000),0))</f>
        <v/>
      </c>
      <c r="J350">
        <f>IF(COUNT('Weekly Log'!$A$5:$A$5000)=0,"",IF(MIN('Weekly Log'!$A$5:$A$5000)+7*(ROW()-10)&gt;MAX('Weekly Log'!$A$5:$A$5000),"",MIN('Weekly Log'!$A$5:$A$5000)+7*(ROW()-10)))</f>
        <v/>
      </c>
    </row>
    <row r="351">
      <c r="A351">
        <f>IF($J351="","",YEAR($J351-WEEKDAY($J351,2)+4)&amp;"-W"&amp;TEXT(WEEKNUM($J351,21),"00"))</f>
        <v/>
      </c>
      <c r="B351">
        <f>IF($J351="","",SUMIFS('Weekly Log'!$C:$C,'Weekly Log'!$A:$A,"&gt;="&amp;$J351,'Weekly Log'!$A:$A,"&lt;"&amp;$J351+7))</f>
        <v/>
      </c>
      <c r="C351">
        <f>IF($J351="","",IFERROR(COUNTIFS('Weekly Log'!$G:$G,"Y",'Weekly Log'!$A:$A,"&gt;="&amp;$J351,'Weekly Log'!$A:$A,"&lt;"&amp;$J351+7)/COUNTIFS('Weekly Log'!$G:$G,"&lt;&gt;",'Weekly Log'!$A:$A,"&gt;="&amp;$J351,'Weekly Log'!$A:$A,"&lt;"&amp;$J351+7),0))</f>
        <v/>
      </c>
      <c r="D351">
        <f>IF($J351="","",IFERROR(COUNTIFS('Weekly Log'!$H:$H,"Y",'Weekly Log'!$A:$A,"&gt;="&amp;$J351,'Weekly Log'!$A:$A,"&lt;"&amp;$J351+7)/COUNTIFS('Weekly Log'!$H:$H,"&lt;&gt;",'Weekly Log'!$A:$A,"&gt;="&amp;$J351,'Weekly Log'!$A:$A,"&lt;"&amp;$J351+7),0))</f>
        <v/>
      </c>
      <c r="E351">
        <f>IF($J351="","",IFERROR(AVERAGEIFS('Weekly Log'!$F:$F,'Weekly Log'!$A:$A,"&gt;="&amp;$J351,'Weekly Log'!$A:$A,"&lt;"&amp;$J351+7),0))</f>
        <v/>
      </c>
      <c r="F351">
        <f>IF($J351="","",IFERROR(SUMIFS('Weekly Log'!$F:$F,'Weekly Log'!$A:$A,"&gt;="&amp;$J351,'Weekly Log'!$A:$A,"&lt;"&amp;$J351+7)/SUMIFS('Weekly Log'!$E:$E,'Weekly Log'!$A:$A,"&gt;="&amp;$J351,'Weekly Log'!$A:$A,"&lt;"&amp;$J351+7),0))</f>
        <v/>
      </c>
      <c r="G351">
        <f>IF($J351="","",IFERROR(LOOKUP(2,1/(('Weekly Log'!$A$5:$A$5000&gt;=$J351)*('Weekly Log'!$A$5:$A$5000&lt;$J351+7)*('Weekly Log'!$M$5:$M$5000&lt;&gt;"")),'Weekly Log'!$M$5:$M$5000),0))</f>
        <v/>
      </c>
      <c r="J351">
        <f>IF(COUNT('Weekly Log'!$A$5:$A$5000)=0,"",IF(MIN('Weekly Log'!$A$5:$A$5000)+7*(ROW()-10)&gt;MAX('Weekly Log'!$A$5:$A$5000),"",MIN('Weekly Log'!$A$5:$A$5000)+7*(ROW()-10)))</f>
        <v/>
      </c>
    </row>
    <row r="352">
      <c r="A352">
        <f>IF($J352="","",YEAR($J352-WEEKDAY($J352,2)+4)&amp;"-W"&amp;TEXT(WEEKNUM($J352,21),"00"))</f>
        <v/>
      </c>
      <c r="B352">
        <f>IF($J352="","",SUMIFS('Weekly Log'!$C:$C,'Weekly Log'!$A:$A,"&gt;="&amp;$J352,'Weekly Log'!$A:$A,"&lt;"&amp;$J352+7))</f>
        <v/>
      </c>
      <c r="C352">
        <f>IF($J352="","",IFERROR(COUNTIFS('Weekly Log'!$G:$G,"Y",'Weekly Log'!$A:$A,"&gt;="&amp;$J352,'Weekly Log'!$A:$A,"&lt;"&amp;$J352+7)/COUNTIFS('Weekly Log'!$G:$G,"&lt;&gt;",'Weekly Log'!$A:$A,"&gt;="&amp;$J352,'Weekly Log'!$A:$A,"&lt;"&amp;$J352+7),0))</f>
        <v/>
      </c>
      <c r="D352">
        <f>IF($J352="","",IFERROR(COUNTIFS('Weekly Log'!$H:$H,"Y",'Weekly Log'!$A:$A,"&gt;="&amp;$J352,'Weekly Log'!$A:$A,"&lt;"&amp;$J352+7)/COUNTIFS('Weekly Log'!$H:$H,"&lt;&gt;",'Weekly Log'!$A:$A,"&gt;="&amp;$J352,'Weekly Log'!$A:$A,"&lt;"&amp;$J352+7),0))</f>
        <v/>
      </c>
      <c r="E352">
        <f>IF($J352="","",IFERROR(AVERAGEIFS('Weekly Log'!$F:$F,'Weekly Log'!$A:$A,"&gt;="&amp;$J352,'Weekly Log'!$A:$A,"&lt;"&amp;$J352+7),0))</f>
        <v/>
      </c>
      <c r="F352">
        <f>IF($J352="","",IFERROR(SUMIFS('Weekly Log'!$F:$F,'Weekly Log'!$A:$A,"&gt;="&amp;$J352,'Weekly Log'!$A:$A,"&lt;"&amp;$J352+7)/SUMIFS('Weekly Log'!$E:$E,'Weekly Log'!$A:$A,"&gt;="&amp;$J352,'Weekly Log'!$A:$A,"&lt;"&amp;$J352+7),0))</f>
        <v/>
      </c>
      <c r="G352">
        <f>IF($J352="","",IFERROR(LOOKUP(2,1/(('Weekly Log'!$A$5:$A$5000&gt;=$J352)*('Weekly Log'!$A$5:$A$5000&lt;$J352+7)*('Weekly Log'!$M$5:$M$5000&lt;&gt;"")),'Weekly Log'!$M$5:$M$5000),0))</f>
        <v/>
      </c>
      <c r="J352">
        <f>IF(COUNT('Weekly Log'!$A$5:$A$5000)=0,"",IF(MIN('Weekly Log'!$A$5:$A$5000)+7*(ROW()-10)&gt;MAX('Weekly Log'!$A$5:$A$5000),"",MIN('Weekly Log'!$A$5:$A$5000)+7*(ROW()-10)))</f>
        <v/>
      </c>
    </row>
    <row r="353">
      <c r="A353">
        <f>IF($J353="","",YEAR($J353-WEEKDAY($J353,2)+4)&amp;"-W"&amp;TEXT(WEEKNUM($J353,21),"00"))</f>
        <v/>
      </c>
      <c r="B353">
        <f>IF($J353="","",SUMIFS('Weekly Log'!$C:$C,'Weekly Log'!$A:$A,"&gt;="&amp;$J353,'Weekly Log'!$A:$A,"&lt;"&amp;$J353+7))</f>
        <v/>
      </c>
      <c r="C353">
        <f>IF($J353="","",IFERROR(COUNTIFS('Weekly Log'!$G:$G,"Y",'Weekly Log'!$A:$A,"&gt;="&amp;$J353,'Weekly Log'!$A:$A,"&lt;"&amp;$J353+7)/COUNTIFS('Weekly Log'!$G:$G,"&lt;&gt;",'Weekly Log'!$A:$A,"&gt;="&amp;$J353,'Weekly Log'!$A:$A,"&lt;"&amp;$J353+7),0))</f>
        <v/>
      </c>
      <c r="D353">
        <f>IF($J353="","",IFERROR(COUNTIFS('Weekly Log'!$H:$H,"Y",'Weekly Log'!$A:$A,"&gt;="&amp;$J353,'Weekly Log'!$A:$A,"&lt;"&amp;$J353+7)/COUNTIFS('Weekly Log'!$H:$H,"&lt;&gt;",'Weekly Log'!$A:$A,"&gt;="&amp;$J353,'Weekly Log'!$A:$A,"&lt;"&amp;$J353+7),0))</f>
        <v/>
      </c>
      <c r="E353">
        <f>IF($J353="","",IFERROR(AVERAGEIFS('Weekly Log'!$F:$F,'Weekly Log'!$A:$A,"&gt;="&amp;$J353,'Weekly Log'!$A:$A,"&lt;"&amp;$J353+7),0))</f>
        <v/>
      </c>
      <c r="F353">
        <f>IF($J353="","",IFERROR(SUMIFS('Weekly Log'!$F:$F,'Weekly Log'!$A:$A,"&gt;="&amp;$J353,'Weekly Log'!$A:$A,"&lt;"&amp;$J353+7)/SUMIFS('Weekly Log'!$E:$E,'Weekly Log'!$A:$A,"&gt;="&amp;$J353,'Weekly Log'!$A:$A,"&lt;"&amp;$J353+7),0))</f>
        <v/>
      </c>
      <c r="G353">
        <f>IF($J353="","",IFERROR(LOOKUP(2,1/(('Weekly Log'!$A$5:$A$5000&gt;=$J353)*('Weekly Log'!$A$5:$A$5000&lt;$J353+7)*('Weekly Log'!$M$5:$M$5000&lt;&gt;"")),'Weekly Log'!$M$5:$M$5000),0))</f>
        <v/>
      </c>
      <c r="J353">
        <f>IF(COUNT('Weekly Log'!$A$5:$A$5000)=0,"",IF(MIN('Weekly Log'!$A$5:$A$5000)+7*(ROW()-10)&gt;MAX('Weekly Log'!$A$5:$A$5000),"",MIN('Weekly Log'!$A$5:$A$5000)+7*(ROW()-10)))</f>
        <v/>
      </c>
    </row>
    <row r="354">
      <c r="A354">
        <f>IF($J354="","",YEAR($J354-WEEKDAY($J354,2)+4)&amp;"-W"&amp;TEXT(WEEKNUM($J354,21),"00"))</f>
        <v/>
      </c>
      <c r="B354">
        <f>IF($J354="","",SUMIFS('Weekly Log'!$C:$C,'Weekly Log'!$A:$A,"&gt;="&amp;$J354,'Weekly Log'!$A:$A,"&lt;"&amp;$J354+7))</f>
        <v/>
      </c>
      <c r="C354">
        <f>IF($J354="","",IFERROR(COUNTIFS('Weekly Log'!$G:$G,"Y",'Weekly Log'!$A:$A,"&gt;="&amp;$J354,'Weekly Log'!$A:$A,"&lt;"&amp;$J354+7)/COUNTIFS('Weekly Log'!$G:$G,"&lt;&gt;",'Weekly Log'!$A:$A,"&gt;="&amp;$J354,'Weekly Log'!$A:$A,"&lt;"&amp;$J354+7),0))</f>
        <v/>
      </c>
      <c r="D354">
        <f>IF($J354="","",IFERROR(COUNTIFS('Weekly Log'!$H:$H,"Y",'Weekly Log'!$A:$A,"&gt;="&amp;$J354,'Weekly Log'!$A:$A,"&lt;"&amp;$J354+7)/COUNTIFS('Weekly Log'!$H:$H,"&lt;&gt;",'Weekly Log'!$A:$A,"&gt;="&amp;$J354,'Weekly Log'!$A:$A,"&lt;"&amp;$J354+7),0))</f>
        <v/>
      </c>
      <c r="E354">
        <f>IF($J354="","",IFERROR(AVERAGEIFS('Weekly Log'!$F:$F,'Weekly Log'!$A:$A,"&gt;="&amp;$J354,'Weekly Log'!$A:$A,"&lt;"&amp;$J354+7),0))</f>
        <v/>
      </c>
      <c r="F354">
        <f>IF($J354="","",IFERROR(SUMIFS('Weekly Log'!$F:$F,'Weekly Log'!$A:$A,"&gt;="&amp;$J354,'Weekly Log'!$A:$A,"&lt;"&amp;$J354+7)/SUMIFS('Weekly Log'!$E:$E,'Weekly Log'!$A:$A,"&gt;="&amp;$J354,'Weekly Log'!$A:$A,"&lt;"&amp;$J354+7),0))</f>
        <v/>
      </c>
      <c r="G354">
        <f>IF($J354="","",IFERROR(LOOKUP(2,1/(('Weekly Log'!$A$5:$A$5000&gt;=$J354)*('Weekly Log'!$A$5:$A$5000&lt;$J354+7)*('Weekly Log'!$M$5:$M$5000&lt;&gt;"")),'Weekly Log'!$M$5:$M$5000),0))</f>
        <v/>
      </c>
      <c r="J354">
        <f>IF(COUNT('Weekly Log'!$A$5:$A$5000)=0,"",IF(MIN('Weekly Log'!$A$5:$A$5000)+7*(ROW()-10)&gt;MAX('Weekly Log'!$A$5:$A$5000),"",MIN('Weekly Log'!$A$5:$A$5000)+7*(ROW()-10)))</f>
        <v/>
      </c>
    </row>
    <row r="355">
      <c r="A355">
        <f>IF($J355="","",YEAR($J355-WEEKDAY($J355,2)+4)&amp;"-W"&amp;TEXT(WEEKNUM($J355,21),"00"))</f>
        <v/>
      </c>
      <c r="B355">
        <f>IF($J355="","",SUMIFS('Weekly Log'!$C:$C,'Weekly Log'!$A:$A,"&gt;="&amp;$J355,'Weekly Log'!$A:$A,"&lt;"&amp;$J355+7))</f>
        <v/>
      </c>
      <c r="C355">
        <f>IF($J355="","",IFERROR(COUNTIFS('Weekly Log'!$G:$G,"Y",'Weekly Log'!$A:$A,"&gt;="&amp;$J355,'Weekly Log'!$A:$A,"&lt;"&amp;$J355+7)/COUNTIFS('Weekly Log'!$G:$G,"&lt;&gt;",'Weekly Log'!$A:$A,"&gt;="&amp;$J355,'Weekly Log'!$A:$A,"&lt;"&amp;$J355+7),0))</f>
        <v/>
      </c>
      <c r="D355">
        <f>IF($J355="","",IFERROR(COUNTIFS('Weekly Log'!$H:$H,"Y",'Weekly Log'!$A:$A,"&gt;="&amp;$J355,'Weekly Log'!$A:$A,"&lt;"&amp;$J355+7)/COUNTIFS('Weekly Log'!$H:$H,"&lt;&gt;",'Weekly Log'!$A:$A,"&gt;="&amp;$J355,'Weekly Log'!$A:$A,"&lt;"&amp;$J355+7),0))</f>
        <v/>
      </c>
      <c r="E355">
        <f>IF($J355="","",IFERROR(AVERAGEIFS('Weekly Log'!$F:$F,'Weekly Log'!$A:$A,"&gt;="&amp;$J355,'Weekly Log'!$A:$A,"&lt;"&amp;$J355+7),0))</f>
        <v/>
      </c>
      <c r="F355">
        <f>IF($J355="","",IFERROR(SUMIFS('Weekly Log'!$F:$F,'Weekly Log'!$A:$A,"&gt;="&amp;$J355,'Weekly Log'!$A:$A,"&lt;"&amp;$J355+7)/SUMIFS('Weekly Log'!$E:$E,'Weekly Log'!$A:$A,"&gt;="&amp;$J355,'Weekly Log'!$A:$A,"&lt;"&amp;$J355+7),0))</f>
        <v/>
      </c>
      <c r="G355">
        <f>IF($J355="","",IFERROR(LOOKUP(2,1/(('Weekly Log'!$A$5:$A$5000&gt;=$J355)*('Weekly Log'!$A$5:$A$5000&lt;$J355+7)*('Weekly Log'!$M$5:$M$5000&lt;&gt;"")),'Weekly Log'!$M$5:$M$5000),0))</f>
        <v/>
      </c>
      <c r="J355">
        <f>IF(COUNT('Weekly Log'!$A$5:$A$5000)=0,"",IF(MIN('Weekly Log'!$A$5:$A$5000)+7*(ROW()-10)&gt;MAX('Weekly Log'!$A$5:$A$5000),"",MIN('Weekly Log'!$A$5:$A$5000)+7*(ROW()-10)))</f>
        <v/>
      </c>
    </row>
    <row r="356">
      <c r="A356">
        <f>IF($J356="","",YEAR($J356-WEEKDAY($J356,2)+4)&amp;"-W"&amp;TEXT(WEEKNUM($J356,21),"00"))</f>
        <v/>
      </c>
      <c r="B356">
        <f>IF($J356="","",SUMIFS('Weekly Log'!$C:$C,'Weekly Log'!$A:$A,"&gt;="&amp;$J356,'Weekly Log'!$A:$A,"&lt;"&amp;$J356+7))</f>
        <v/>
      </c>
      <c r="C356">
        <f>IF($J356="","",IFERROR(COUNTIFS('Weekly Log'!$G:$G,"Y",'Weekly Log'!$A:$A,"&gt;="&amp;$J356,'Weekly Log'!$A:$A,"&lt;"&amp;$J356+7)/COUNTIFS('Weekly Log'!$G:$G,"&lt;&gt;",'Weekly Log'!$A:$A,"&gt;="&amp;$J356,'Weekly Log'!$A:$A,"&lt;"&amp;$J356+7),0))</f>
        <v/>
      </c>
      <c r="D356">
        <f>IF($J356="","",IFERROR(COUNTIFS('Weekly Log'!$H:$H,"Y",'Weekly Log'!$A:$A,"&gt;="&amp;$J356,'Weekly Log'!$A:$A,"&lt;"&amp;$J356+7)/COUNTIFS('Weekly Log'!$H:$H,"&lt;&gt;",'Weekly Log'!$A:$A,"&gt;="&amp;$J356,'Weekly Log'!$A:$A,"&lt;"&amp;$J356+7),0))</f>
        <v/>
      </c>
      <c r="E356">
        <f>IF($J356="","",IFERROR(AVERAGEIFS('Weekly Log'!$F:$F,'Weekly Log'!$A:$A,"&gt;="&amp;$J356,'Weekly Log'!$A:$A,"&lt;"&amp;$J356+7),0))</f>
        <v/>
      </c>
      <c r="F356">
        <f>IF($J356="","",IFERROR(SUMIFS('Weekly Log'!$F:$F,'Weekly Log'!$A:$A,"&gt;="&amp;$J356,'Weekly Log'!$A:$A,"&lt;"&amp;$J356+7)/SUMIFS('Weekly Log'!$E:$E,'Weekly Log'!$A:$A,"&gt;="&amp;$J356,'Weekly Log'!$A:$A,"&lt;"&amp;$J356+7),0))</f>
        <v/>
      </c>
      <c r="G356">
        <f>IF($J356="","",IFERROR(LOOKUP(2,1/(('Weekly Log'!$A$5:$A$5000&gt;=$J356)*('Weekly Log'!$A$5:$A$5000&lt;$J356+7)*('Weekly Log'!$M$5:$M$5000&lt;&gt;"")),'Weekly Log'!$M$5:$M$5000),0))</f>
        <v/>
      </c>
      <c r="J356">
        <f>IF(COUNT('Weekly Log'!$A$5:$A$5000)=0,"",IF(MIN('Weekly Log'!$A$5:$A$5000)+7*(ROW()-10)&gt;MAX('Weekly Log'!$A$5:$A$5000),"",MIN('Weekly Log'!$A$5:$A$5000)+7*(ROW()-10)))</f>
        <v/>
      </c>
    </row>
    <row r="357">
      <c r="A357">
        <f>IF($J357="","",YEAR($J357-WEEKDAY($J357,2)+4)&amp;"-W"&amp;TEXT(WEEKNUM($J357,21),"00"))</f>
        <v/>
      </c>
      <c r="B357">
        <f>IF($J357="","",SUMIFS('Weekly Log'!$C:$C,'Weekly Log'!$A:$A,"&gt;="&amp;$J357,'Weekly Log'!$A:$A,"&lt;"&amp;$J357+7))</f>
        <v/>
      </c>
      <c r="C357">
        <f>IF($J357="","",IFERROR(COUNTIFS('Weekly Log'!$G:$G,"Y",'Weekly Log'!$A:$A,"&gt;="&amp;$J357,'Weekly Log'!$A:$A,"&lt;"&amp;$J357+7)/COUNTIFS('Weekly Log'!$G:$G,"&lt;&gt;",'Weekly Log'!$A:$A,"&gt;="&amp;$J357,'Weekly Log'!$A:$A,"&lt;"&amp;$J357+7),0))</f>
        <v/>
      </c>
      <c r="D357">
        <f>IF($J357="","",IFERROR(COUNTIFS('Weekly Log'!$H:$H,"Y",'Weekly Log'!$A:$A,"&gt;="&amp;$J357,'Weekly Log'!$A:$A,"&lt;"&amp;$J357+7)/COUNTIFS('Weekly Log'!$H:$H,"&lt;&gt;",'Weekly Log'!$A:$A,"&gt;="&amp;$J357,'Weekly Log'!$A:$A,"&lt;"&amp;$J357+7),0))</f>
        <v/>
      </c>
      <c r="E357">
        <f>IF($J357="","",IFERROR(AVERAGEIFS('Weekly Log'!$F:$F,'Weekly Log'!$A:$A,"&gt;="&amp;$J357,'Weekly Log'!$A:$A,"&lt;"&amp;$J357+7),0))</f>
        <v/>
      </c>
      <c r="F357">
        <f>IF($J357="","",IFERROR(SUMIFS('Weekly Log'!$F:$F,'Weekly Log'!$A:$A,"&gt;="&amp;$J357,'Weekly Log'!$A:$A,"&lt;"&amp;$J357+7)/SUMIFS('Weekly Log'!$E:$E,'Weekly Log'!$A:$A,"&gt;="&amp;$J357,'Weekly Log'!$A:$A,"&lt;"&amp;$J357+7),0))</f>
        <v/>
      </c>
      <c r="G357">
        <f>IF($J357="","",IFERROR(LOOKUP(2,1/(('Weekly Log'!$A$5:$A$5000&gt;=$J357)*('Weekly Log'!$A$5:$A$5000&lt;$J357+7)*('Weekly Log'!$M$5:$M$5000&lt;&gt;"")),'Weekly Log'!$M$5:$M$5000),0))</f>
        <v/>
      </c>
      <c r="J357">
        <f>IF(COUNT('Weekly Log'!$A$5:$A$5000)=0,"",IF(MIN('Weekly Log'!$A$5:$A$5000)+7*(ROW()-10)&gt;MAX('Weekly Log'!$A$5:$A$5000),"",MIN('Weekly Log'!$A$5:$A$5000)+7*(ROW()-10)))</f>
        <v/>
      </c>
    </row>
    <row r="358">
      <c r="A358">
        <f>IF($J358="","",YEAR($J358-WEEKDAY($J358,2)+4)&amp;"-W"&amp;TEXT(WEEKNUM($J358,21),"00"))</f>
        <v/>
      </c>
      <c r="B358">
        <f>IF($J358="","",SUMIFS('Weekly Log'!$C:$C,'Weekly Log'!$A:$A,"&gt;="&amp;$J358,'Weekly Log'!$A:$A,"&lt;"&amp;$J358+7))</f>
        <v/>
      </c>
      <c r="C358">
        <f>IF($J358="","",IFERROR(COUNTIFS('Weekly Log'!$G:$G,"Y",'Weekly Log'!$A:$A,"&gt;="&amp;$J358,'Weekly Log'!$A:$A,"&lt;"&amp;$J358+7)/COUNTIFS('Weekly Log'!$G:$G,"&lt;&gt;",'Weekly Log'!$A:$A,"&gt;="&amp;$J358,'Weekly Log'!$A:$A,"&lt;"&amp;$J358+7),0))</f>
        <v/>
      </c>
      <c r="D358">
        <f>IF($J358="","",IFERROR(COUNTIFS('Weekly Log'!$H:$H,"Y",'Weekly Log'!$A:$A,"&gt;="&amp;$J358,'Weekly Log'!$A:$A,"&lt;"&amp;$J358+7)/COUNTIFS('Weekly Log'!$H:$H,"&lt;&gt;",'Weekly Log'!$A:$A,"&gt;="&amp;$J358,'Weekly Log'!$A:$A,"&lt;"&amp;$J358+7),0))</f>
        <v/>
      </c>
      <c r="E358">
        <f>IF($J358="","",IFERROR(AVERAGEIFS('Weekly Log'!$F:$F,'Weekly Log'!$A:$A,"&gt;="&amp;$J358,'Weekly Log'!$A:$A,"&lt;"&amp;$J358+7),0))</f>
        <v/>
      </c>
      <c r="F358">
        <f>IF($J358="","",IFERROR(SUMIFS('Weekly Log'!$F:$F,'Weekly Log'!$A:$A,"&gt;="&amp;$J358,'Weekly Log'!$A:$A,"&lt;"&amp;$J358+7)/SUMIFS('Weekly Log'!$E:$E,'Weekly Log'!$A:$A,"&gt;="&amp;$J358,'Weekly Log'!$A:$A,"&lt;"&amp;$J358+7),0))</f>
        <v/>
      </c>
      <c r="G358">
        <f>IF($J358="","",IFERROR(LOOKUP(2,1/(('Weekly Log'!$A$5:$A$5000&gt;=$J358)*('Weekly Log'!$A$5:$A$5000&lt;$J358+7)*('Weekly Log'!$M$5:$M$5000&lt;&gt;"")),'Weekly Log'!$M$5:$M$5000),0))</f>
        <v/>
      </c>
      <c r="J358">
        <f>IF(COUNT('Weekly Log'!$A$5:$A$5000)=0,"",IF(MIN('Weekly Log'!$A$5:$A$5000)+7*(ROW()-10)&gt;MAX('Weekly Log'!$A$5:$A$5000),"",MIN('Weekly Log'!$A$5:$A$5000)+7*(ROW()-10)))</f>
        <v/>
      </c>
    </row>
    <row r="359">
      <c r="A359">
        <f>IF($J359="","",YEAR($J359-WEEKDAY($J359,2)+4)&amp;"-W"&amp;TEXT(WEEKNUM($J359,21),"00"))</f>
        <v/>
      </c>
      <c r="B359">
        <f>IF($J359="","",SUMIFS('Weekly Log'!$C:$C,'Weekly Log'!$A:$A,"&gt;="&amp;$J359,'Weekly Log'!$A:$A,"&lt;"&amp;$J359+7))</f>
        <v/>
      </c>
      <c r="C359">
        <f>IF($J359="","",IFERROR(COUNTIFS('Weekly Log'!$G:$G,"Y",'Weekly Log'!$A:$A,"&gt;="&amp;$J359,'Weekly Log'!$A:$A,"&lt;"&amp;$J359+7)/COUNTIFS('Weekly Log'!$G:$G,"&lt;&gt;",'Weekly Log'!$A:$A,"&gt;="&amp;$J359,'Weekly Log'!$A:$A,"&lt;"&amp;$J359+7),0))</f>
        <v/>
      </c>
      <c r="D359">
        <f>IF($J359="","",IFERROR(COUNTIFS('Weekly Log'!$H:$H,"Y",'Weekly Log'!$A:$A,"&gt;="&amp;$J359,'Weekly Log'!$A:$A,"&lt;"&amp;$J359+7)/COUNTIFS('Weekly Log'!$H:$H,"&lt;&gt;",'Weekly Log'!$A:$A,"&gt;="&amp;$J359,'Weekly Log'!$A:$A,"&lt;"&amp;$J359+7),0))</f>
        <v/>
      </c>
      <c r="E359">
        <f>IF($J359="","",IFERROR(AVERAGEIFS('Weekly Log'!$F:$F,'Weekly Log'!$A:$A,"&gt;="&amp;$J359,'Weekly Log'!$A:$A,"&lt;"&amp;$J359+7),0))</f>
        <v/>
      </c>
      <c r="F359">
        <f>IF($J359="","",IFERROR(SUMIFS('Weekly Log'!$F:$F,'Weekly Log'!$A:$A,"&gt;="&amp;$J359,'Weekly Log'!$A:$A,"&lt;"&amp;$J359+7)/SUMIFS('Weekly Log'!$E:$E,'Weekly Log'!$A:$A,"&gt;="&amp;$J359,'Weekly Log'!$A:$A,"&lt;"&amp;$J359+7),0))</f>
        <v/>
      </c>
      <c r="G359">
        <f>IF($J359="","",IFERROR(LOOKUP(2,1/(('Weekly Log'!$A$5:$A$5000&gt;=$J359)*('Weekly Log'!$A$5:$A$5000&lt;$J359+7)*('Weekly Log'!$M$5:$M$5000&lt;&gt;"")),'Weekly Log'!$M$5:$M$5000),0))</f>
        <v/>
      </c>
      <c r="J359">
        <f>IF(COUNT('Weekly Log'!$A$5:$A$5000)=0,"",IF(MIN('Weekly Log'!$A$5:$A$5000)+7*(ROW()-10)&gt;MAX('Weekly Log'!$A$5:$A$5000),"",MIN('Weekly Log'!$A$5:$A$5000)+7*(ROW()-10)))</f>
        <v/>
      </c>
    </row>
    <row r="360">
      <c r="A360">
        <f>IF($J360="","",YEAR($J360-WEEKDAY($J360,2)+4)&amp;"-W"&amp;TEXT(WEEKNUM($J360,21),"00"))</f>
        <v/>
      </c>
      <c r="B360">
        <f>IF($J360="","",SUMIFS('Weekly Log'!$C:$C,'Weekly Log'!$A:$A,"&gt;="&amp;$J360,'Weekly Log'!$A:$A,"&lt;"&amp;$J360+7))</f>
        <v/>
      </c>
      <c r="C360">
        <f>IF($J360="","",IFERROR(COUNTIFS('Weekly Log'!$G:$G,"Y",'Weekly Log'!$A:$A,"&gt;="&amp;$J360,'Weekly Log'!$A:$A,"&lt;"&amp;$J360+7)/COUNTIFS('Weekly Log'!$G:$G,"&lt;&gt;",'Weekly Log'!$A:$A,"&gt;="&amp;$J360,'Weekly Log'!$A:$A,"&lt;"&amp;$J360+7),0))</f>
        <v/>
      </c>
      <c r="D360">
        <f>IF($J360="","",IFERROR(COUNTIFS('Weekly Log'!$H:$H,"Y",'Weekly Log'!$A:$A,"&gt;="&amp;$J360,'Weekly Log'!$A:$A,"&lt;"&amp;$J360+7)/COUNTIFS('Weekly Log'!$H:$H,"&lt;&gt;",'Weekly Log'!$A:$A,"&gt;="&amp;$J360,'Weekly Log'!$A:$A,"&lt;"&amp;$J360+7),0))</f>
        <v/>
      </c>
      <c r="E360">
        <f>IF($J360="","",IFERROR(AVERAGEIFS('Weekly Log'!$F:$F,'Weekly Log'!$A:$A,"&gt;="&amp;$J360,'Weekly Log'!$A:$A,"&lt;"&amp;$J360+7),0))</f>
        <v/>
      </c>
      <c r="F360">
        <f>IF($J360="","",IFERROR(SUMIFS('Weekly Log'!$F:$F,'Weekly Log'!$A:$A,"&gt;="&amp;$J360,'Weekly Log'!$A:$A,"&lt;"&amp;$J360+7)/SUMIFS('Weekly Log'!$E:$E,'Weekly Log'!$A:$A,"&gt;="&amp;$J360,'Weekly Log'!$A:$A,"&lt;"&amp;$J360+7),0))</f>
        <v/>
      </c>
      <c r="G360">
        <f>IF($J360="","",IFERROR(LOOKUP(2,1/(('Weekly Log'!$A$5:$A$5000&gt;=$J360)*('Weekly Log'!$A$5:$A$5000&lt;$J360+7)*('Weekly Log'!$M$5:$M$5000&lt;&gt;"")),'Weekly Log'!$M$5:$M$5000),0))</f>
        <v/>
      </c>
      <c r="J360">
        <f>IF(COUNT('Weekly Log'!$A$5:$A$5000)=0,"",IF(MIN('Weekly Log'!$A$5:$A$5000)+7*(ROW()-10)&gt;MAX('Weekly Log'!$A$5:$A$5000),"",MIN('Weekly Log'!$A$5:$A$5000)+7*(ROW()-10)))</f>
        <v/>
      </c>
    </row>
    <row r="361">
      <c r="A361">
        <f>IF($J361="","",YEAR($J361-WEEKDAY($J361,2)+4)&amp;"-W"&amp;TEXT(WEEKNUM($J361,21),"00"))</f>
        <v/>
      </c>
      <c r="B361">
        <f>IF($J361="","",SUMIFS('Weekly Log'!$C:$C,'Weekly Log'!$A:$A,"&gt;="&amp;$J361,'Weekly Log'!$A:$A,"&lt;"&amp;$J361+7))</f>
        <v/>
      </c>
      <c r="C361">
        <f>IF($J361="","",IFERROR(COUNTIFS('Weekly Log'!$G:$G,"Y",'Weekly Log'!$A:$A,"&gt;="&amp;$J361,'Weekly Log'!$A:$A,"&lt;"&amp;$J361+7)/COUNTIFS('Weekly Log'!$G:$G,"&lt;&gt;",'Weekly Log'!$A:$A,"&gt;="&amp;$J361,'Weekly Log'!$A:$A,"&lt;"&amp;$J361+7),0))</f>
        <v/>
      </c>
      <c r="D361">
        <f>IF($J361="","",IFERROR(COUNTIFS('Weekly Log'!$H:$H,"Y",'Weekly Log'!$A:$A,"&gt;="&amp;$J361,'Weekly Log'!$A:$A,"&lt;"&amp;$J361+7)/COUNTIFS('Weekly Log'!$H:$H,"&lt;&gt;",'Weekly Log'!$A:$A,"&gt;="&amp;$J361,'Weekly Log'!$A:$A,"&lt;"&amp;$J361+7),0))</f>
        <v/>
      </c>
      <c r="E361">
        <f>IF($J361="","",IFERROR(AVERAGEIFS('Weekly Log'!$F:$F,'Weekly Log'!$A:$A,"&gt;="&amp;$J361,'Weekly Log'!$A:$A,"&lt;"&amp;$J361+7),0))</f>
        <v/>
      </c>
      <c r="F361">
        <f>IF($J361="","",IFERROR(SUMIFS('Weekly Log'!$F:$F,'Weekly Log'!$A:$A,"&gt;="&amp;$J361,'Weekly Log'!$A:$A,"&lt;"&amp;$J361+7)/SUMIFS('Weekly Log'!$E:$E,'Weekly Log'!$A:$A,"&gt;="&amp;$J361,'Weekly Log'!$A:$A,"&lt;"&amp;$J361+7),0))</f>
        <v/>
      </c>
      <c r="G361">
        <f>IF($J361="","",IFERROR(LOOKUP(2,1/(('Weekly Log'!$A$5:$A$5000&gt;=$J361)*('Weekly Log'!$A$5:$A$5000&lt;$J361+7)*('Weekly Log'!$M$5:$M$5000&lt;&gt;"")),'Weekly Log'!$M$5:$M$5000),0))</f>
        <v/>
      </c>
      <c r="J361">
        <f>IF(COUNT('Weekly Log'!$A$5:$A$5000)=0,"",IF(MIN('Weekly Log'!$A$5:$A$5000)+7*(ROW()-10)&gt;MAX('Weekly Log'!$A$5:$A$5000),"",MIN('Weekly Log'!$A$5:$A$5000)+7*(ROW()-10)))</f>
        <v/>
      </c>
    </row>
    <row r="362">
      <c r="A362">
        <f>IF($J362="","",YEAR($J362-WEEKDAY($J362,2)+4)&amp;"-W"&amp;TEXT(WEEKNUM($J362,21),"00"))</f>
        <v/>
      </c>
      <c r="B362">
        <f>IF($J362="","",SUMIFS('Weekly Log'!$C:$C,'Weekly Log'!$A:$A,"&gt;="&amp;$J362,'Weekly Log'!$A:$A,"&lt;"&amp;$J362+7))</f>
        <v/>
      </c>
      <c r="C362">
        <f>IF($J362="","",IFERROR(COUNTIFS('Weekly Log'!$G:$G,"Y",'Weekly Log'!$A:$A,"&gt;="&amp;$J362,'Weekly Log'!$A:$A,"&lt;"&amp;$J362+7)/COUNTIFS('Weekly Log'!$G:$G,"&lt;&gt;",'Weekly Log'!$A:$A,"&gt;="&amp;$J362,'Weekly Log'!$A:$A,"&lt;"&amp;$J362+7),0))</f>
        <v/>
      </c>
      <c r="D362">
        <f>IF($J362="","",IFERROR(COUNTIFS('Weekly Log'!$H:$H,"Y",'Weekly Log'!$A:$A,"&gt;="&amp;$J362,'Weekly Log'!$A:$A,"&lt;"&amp;$J362+7)/COUNTIFS('Weekly Log'!$H:$H,"&lt;&gt;",'Weekly Log'!$A:$A,"&gt;="&amp;$J362,'Weekly Log'!$A:$A,"&lt;"&amp;$J362+7),0))</f>
        <v/>
      </c>
      <c r="E362">
        <f>IF($J362="","",IFERROR(AVERAGEIFS('Weekly Log'!$F:$F,'Weekly Log'!$A:$A,"&gt;="&amp;$J362,'Weekly Log'!$A:$A,"&lt;"&amp;$J362+7),0))</f>
        <v/>
      </c>
      <c r="F362">
        <f>IF($J362="","",IFERROR(SUMIFS('Weekly Log'!$F:$F,'Weekly Log'!$A:$A,"&gt;="&amp;$J362,'Weekly Log'!$A:$A,"&lt;"&amp;$J362+7)/SUMIFS('Weekly Log'!$E:$E,'Weekly Log'!$A:$A,"&gt;="&amp;$J362,'Weekly Log'!$A:$A,"&lt;"&amp;$J362+7),0))</f>
        <v/>
      </c>
      <c r="G362">
        <f>IF($J362="","",IFERROR(LOOKUP(2,1/(('Weekly Log'!$A$5:$A$5000&gt;=$J362)*('Weekly Log'!$A$5:$A$5000&lt;$J362+7)*('Weekly Log'!$M$5:$M$5000&lt;&gt;"")),'Weekly Log'!$M$5:$M$5000),0))</f>
        <v/>
      </c>
      <c r="J362">
        <f>IF(COUNT('Weekly Log'!$A$5:$A$5000)=0,"",IF(MIN('Weekly Log'!$A$5:$A$5000)+7*(ROW()-10)&gt;MAX('Weekly Log'!$A$5:$A$5000),"",MIN('Weekly Log'!$A$5:$A$5000)+7*(ROW()-10)))</f>
        <v/>
      </c>
    </row>
    <row r="363">
      <c r="A363">
        <f>IF($J363="","",YEAR($J363-WEEKDAY($J363,2)+4)&amp;"-W"&amp;TEXT(WEEKNUM($J363,21),"00"))</f>
        <v/>
      </c>
      <c r="B363">
        <f>IF($J363="","",SUMIFS('Weekly Log'!$C:$C,'Weekly Log'!$A:$A,"&gt;="&amp;$J363,'Weekly Log'!$A:$A,"&lt;"&amp;$J363+7))</f>
        <v/>
      </c>
      <c r="C363">
        <f>IF($J363="","",IFERROR(COUNTIFS('Weekly Log'!$G:$G,"Y",'Weekly Log'!$A:$A,"&gt;="&amp;$J363,'Weekly Log'!$A:$A,"&lt;"&amp;$J363+7)/COUNTIFS('Weekly Log'!$G:$G,"&lt;&gt;",'Weekly Log'!$A:$A,"&gt;="&amp;$J363,'Weekly Log'!$A:$A,"&lt;"&amp;$J363+7),0))</f>
        <v/>
      </c>
      <c r="D363">
        <f>IF($J363="","",IFERROR(COUNTIFS('Weekly Log'!$H:$H,"Y",'Weekly Log'!$A:$A,"&gt;="&amp;$J363,'Weekly Log'!$A:$A,"&lt;"&amp;$J363+7)/COUNTIFS('Weekly Log'!$H:$H,"&lt;&gt;",'Weekly Log'!$A:$A,"&gt;="&amp;$J363,'Weekly Log'!$A:$A,"&lt;"&amp;$J363+7),0))</f>
        <v/>
      </c>
      <c r="E363">
        <f>IF($J363="","",IFERROR(AVERAGEIFS('Weekly Log'!$F:$F,'Weekly Log'!$A:$A,"&gt;="&amp;$J363,'Weekly Log'!$A:$A,"&lt;"&amp;$J363+7),0))</f>
        <v/>
      </c>
      <c r="F363">
        <f>IF($J363="","",IFERROR(SUMIFS('Weekly Log'!$F:$F,'Weekly Log'!$A:$A,"&gt;="&amp;$J363,'Weekly Log'!$A:$A,"&lt;"&amp;$J363+7)/SUMIFS('Weekly Log'!$E:$E,'Weekly Log'!$A:$A,"&gt;="&amp;$J363,'Weekly Log'!$A:$A,"&lt;"&amp;$J363+7),0))</f>
        <v/>
      </c>
      <c r="G363">
        <f>IF($J363="","",IFERROR(LOOKUP(2,1/(('Weekly Log'!$A$5:$A$5000&gt;=$J363)*('Weekly Log'!$A$5:$A$5000&lt;$J363+7)*('Weekly Log'!$M$5:$M$5000&lt;&gt;"")),'Weekly Log'!$M$5:$M$5000),0))</f>
        <v/>
      </c>
      <c r="J363">
        <f>IF(COUNT('Weekly Log'!$A$5:$A$5000)=0,"",IF(MIN('Weekly Log'!$A$5:$A$5000)+7*(ROW()-10)&gt;MAX('Weekly Log'!$A$5:$A$5000),"",MIN('Weekly Log'!$A$5:$A$5000)+7*(ROW()-10)))</f>
        <v/>
      </c>
    </row>
    <row r="364">
      <c r="A364">
        <f>IF($J364="","",YEAR($J364-WEEKDAY($J364,2)+4)&amp;"-W"&amp;TEXT(WEEKNUM($J364,21),"00"))</f>
        <v/>
      </c>
      <c r="B364">
        <f>IF($J364="","",SUMIFS('Weekly Log'!$C:$C,'Weekly Log'!$A:$A,"&gt;="&amp;$J364,'Weekly Log'!$A:$A,"&lt;"&amp;$J364+7))</f>
        <v/>
      </c>
      <c r="C364">
        <f>IF($J364="","",IFERROR(COUNTIFS('Weekly Log'!$G:$G,"Y",'Weekly Log'!$A:$A,"&gt;="&amp;$J364,'Weekly Log'!$A:$A,"&lt;"&amp;$J364+7)/COUNTIFS('Weekly Log'!$G:$G,"&lt;&gt;",'Weekly Log'!$A:$A,"&gt;="&amp;$J364,'Weekly Log'!$A:$A,"&lt;"&amp;$J364+7),0))</f>
        <v/>
      </c>
      <c r="D364">
        <f>IF($J364="","",IFERROR(COUNTIFS('Weekly Log'!$H:$H,"Y",'Weekly Log'!$A:$A,"&gt;="&amp;$J364,'Weekly Log'!$A:$A,"&lt;"&amp;$J364+7)/COUNTIFS('Weekly Log'!$H:$H,"&lt;&gt;",'Weekly Log'!$A:$A,"&gt;="&amp;$J364,'Weekly Log'!$A:$A,"&lt;"&amp;$J364+7),0))</f>
        <v/>
      </c>
      <c r="E364">
        <f>IF($J364="","",IFERROR(AVERAGEIFS('Weekly Log'!$F:$F,'Weekly Log'!$A:$A,"&gt;="&amp;$J364,'Weekly Log'!$A:$A,"&lt;"&amp;$J364+7),0))</f>
        <v/>
      </c>
      <c r="F364">
        <f>IF($J364="","",IFERROR(SUMIFS('Weekly Log'!$F:$F,'Weekly Log'!$A:$A,"&gt;="&amp;$J364,'Weekly Log'!$A:$A,"&lt;"&amp;$J364+7)/SUMIFS('Weekly Log'!$E:$E,'Weekly Log'!$A:$A,"&gt;="&amp;$J364,'Weekly Log'!$A:$A,"&lt;"&amp;$J364+7),0))</f>
        <v/>
      </c>
      <c r="G364">
        <f>IF($J364="","",IFERROR(LOOKUP(2,1/(('Weekly Log'!$A$5:$A$5000&gt;=$J364)*('Weekly Log'!$A$5:$A$5000&lt;$J364+7)*('Weekly Log'!$M$5:$M$5000&lt;&gt;"")),'Weekly Log'!$M$5:$M$5000),0))</f>
        <v/>
      </c>
      <c r="J364">
        <f>IF(COUNT('Weekly Log'!$A$5:$A$5000)=0,"",IF(MIN('Weekly Log'!$A$5:$A$5000)+7*(ROW()-10)&gt;MAX('Weekly Log'!$A$5:$A$5000),"",MIN('Weekly Log'!$A$5:$A$5000)+7*(ROW()-10)))</f>
        <v/>
      </c>
    </row>
    <row r="365">
      <c r="A365">
        <f>IF($J365="","",YEAR($J365-WEEKDAY($J365,2)+4)&amp;"-W"&amp;TEXT(WEEKNUM($J365,21),"00"))</f>
        <v/>
      </c>
      <c r="B365">
        <f>IF($J365="","",SUMIFS('Weekly Log'!$C:$C,'Weekly Log'!$A:$A,"&gt;="&amp;$J365,'Weekly Log'!$A:$A,"&lt;"&amp;$J365+7))</f>
        <v/>
      </c>
      <c r="C365">
        <f>IF($J365="","",IFERROR(COUNTIFS('Weekly Log'!$G:$G,"Y",'Weekly Log'!$A:$A,"&gt;="&amp;$J365,'Weekly Log'!$A:$A,"&lt;"&amp;$J365+7)/COUNTIFS('Weekly Log'!$G:$G,"&lt;&gt;",'Weekly Log'!$A:$A,"&gt;="&amp;$J365,'Weekly Log'!$A:$A,"&lt;"&amp;$J365+7),0))</f>
        <v/>
      </c>
      <c r="D365">
        <f>IF($J365="","",IFERROR(COUNTIFS('Weekly Log'!$H:$H,"Y",'Weekly Log'!$A:$A,"&gt;="&amp;$J365,'Weekly Log'!$A:$A,"&lt;"&amp;$J365+7)/COUNTIFS('Weekly Log'!$H:$H,"&lt;&gt;",'Weekly Log'!$A:$A,"&gt;="&amp;$J365,'Weekly Log'!$A:$A,"&lt;"&amp;$J365+7),0))</f>
        <v/>
      </c>
      <c r="E365">
        <f>IF($J365="","",IFERROR(AVERAGEIFS('Weekly Log'!$F:$F,'Weekly Log'!$A:$A,"&gt;="&amp;$J365,'Weekly Log'!$A:$A,"&lt;"&amp;$J365+7),0))</f>
        <v/>
      </c>
      <c r="F365">
        <f>IF($J365="","",IFERROR(SUMIFS('Weekly Log'!$F:$F,'Weekly Log'!$A:$A,"&gt;="&amp;$J365,'Weekly Log'!$A:$A,"&lt;"&amp;$J365+7)/SUMIFS('Weekly Log'!$E:$E,'Weekly Log'!$A:$A,"&gt;="&amp;$J365,'Weekly Log'!$A:$A,"&lt;"&amp;$J365+7),0))</f>
        <v/>
      </c>
      <c r="G365">
        <f>IF($J365="","",IFERROR(LOOKUP(2,1/(('Weekly Log'!$A$5:$A$5000&gt;=$J365)*('Weekly Log'!$A$5:$A$5000&lt;$J365+7)*('Weekly Log'!$M$5:$M$5000&lt;&gt;"")),'Weekly Log'!$M$5:$M$5000),0))</f>
        <v/>
      </c>
      <c r="J365">
        <f>IF(COUNT('Weekly Log'!$A$5:$A$5000)=0,"",IF(MIN('Weekly Log'!$A$5:$A$5000)+7*(ROW()-10)&gt;MAX('Weekly Log'!$A$5:$A$5000),"",MIN('Weekly Log'!$A$5:$A$5000)+7*(ROW()-10)))</f>
        <v/>
      </c>
    </row>
    <row r="366">
      <c r="A366">
        <f>IF($J366="","",YEAR($J366-WEEKDAY($J366,2)+4)&amp;"-W"&amp;TEXT(WEEKNUM($J366,21),"00"))</f>
        <v/>
      </c>
      <c r="B366">
        <f>IF($J366="","",SUMIFS('Weekly Log'!$C:$C,'Weekly Log'!$A:$A,"&gt;="&amp;$J366,'Weekly Log'!$A:$A,"&lt;"&amp;$J366+7))</f>
        <v/>
      </c>
      <c r="C366">
        <f>IF($J366="","",IFERROR(COUNTIFS('Weekly Log'!$G:$G,"Y",'Weekly Log'!$A:$A,"&gt;="&amp;$J366,'Weekly Log'!$A:$A,"&lt;"&amp;$J366+7)/COUNTIFS('Weekly Log'!$G:$G,"&lt;&gt;",'Weekly Log'!$A:$A,"&gt;="&amp;$J366,'Weekly Log'!$A:$A,"&lt;"&amp;$J366+7),0))</f>
        <v/>
      </c>
      <c r="D366">
        <f>IF($J366="","",IFERROR(COUNTIFS('Weekly Log'!$H:$H,"Y",'Weekly Log'!$A:$A,"&gt;="&amp;$J366,'Weekly Log'!$A:$A,"&lt;"&amp;$J366+7)/COUNTIFS('Weekly Log'!$H:$H,"&lt;&gt;",'Weekly Log'!$A:$A,"&gt;="&amp;$J366,'Weekly Log'!$A:$A,"&lt;"&amp;$J366+7),0))</f>
        <v/>
      </c>
      <c r="E366">
        <f>IF($J366="","",IFERROR(AVERAGEIFS('Weekly Log'!$F:$F,'Weekly Log'!$A:$A,"&gt;="&amp;$J366,'Weekly Log'!$A:$A,"&lt;"&amp;$J366+7),0))</f>
        <v/>
      </c>
      <c r="F366">
        <f>IF($J366="","",IFERROR(SUMIFS('Weekly Log'!$F:$F,'Weekly Log'!$A:$A,"&gt;="&amp;$J366,'Weekly Log'!$A:$A,"&lt;"&amp;$J366+7)/SUMIFS('Weekly Log'!$E:$E,'Weekly Log'!$A:$A,"&gt;="&amp;$J366,'Weekly Log'!$A:$A,"&lt;"&amp;$J366+7),0))</f>
        <v/>
      </c>
      <c r="G366">
        <f>IF($J366="","",IFERROR(LOOKUP(2,1/(('Weekly Log'!$A$5:$A$5000&gt;=$J366)*('Weekly Log'!$A$5:$A$5000&lt;$J366+7)*('Weekly Log'!$M$5:$M$5000&lt;&gt;"")),'Weekly Log'!$M$5:$M$5000),0))</f>
        <v/>
      </c>
      <c r="J366">
        <f>IF(COUNT('Weekly Log'!$A$5:$A$5000)=0,"",IF(MIN('Weekly Log'!$A$5:$A$5000)+7*(ROW()-10)&gt;MAX('Weekly Log'!$A$5:$A$5000),"",MIN('Weekly Log'!$A$5:$A$5000)+7*(ROW()-10)))</f>
        <v/>
      </c>
    </row>
    <row r="367">
      <c r="A367">
        <f>IF($J367="","",YEAR($J367-WEEKDAY($J367,2)+4)&amp;"-W"&amp;TEXT(WEEKNUM($J367,21),"00"))</f>
        <v/>
      </c>
      <c r="B367">
        <f>IF($J367="","",SUMIFS('Weekly Log'!$C:$C,'Weekly Log'!$A:$A,"&gt;="&amp;$J367,'Weekly Log'!$A:$A,"&lt;"&amp;$J367+7))</f>
        <v/>
      </c>
      <c r="C367">
        <f>IF($J367="","",IFERROR(COUNTIFS('Weekly Log'!$G:$G,"Y",'Weekly Log'!$A:$A,"&gt;="&amp;$J367,'Weekly Log'!$A:$A,"&lt;"&amp;$J367+7)/COUNTIFS('Weekly Log'!$G:$G,"&lt;&gt;",'Weekly Log'!$A:$A,"&gt;="&amp;$J367,'Weekly Log'!$A:$A,"&lt;"&amp;$J367+7),0))</f>
        <v/>
      </c>
      <c r="D367">
        <f>IF($J367="","",IFERROR(COUNTIFS('Weekly Log'!$H:$H,"Y",'Weekly Log'!$A:$A,"&gt;="&amp;$J367,'Weekly Log'!$A:$A,"&lt;"&amp;$J367+7)/COUNTIFS('Weekly Log'!$H:$H,"&lt;&gt;",'Weekly Log'!$A:$A,"&gt;="&amp;$J367,'Weekly Log'!$A:$A,"&lt;"&amp;$J367+7),0))</f>
        <v/>
      </c>
      <c r="E367">
        <f>IF($J367="","",IFERROR(AVERAGEIFS('Weekly Log'!$F:$F,'Weekly Log'!$A:$A,"&gt;="&amp;$J367,'Weekly Log'!$A:$A,"&lt;"&amp;$J367+7),0))</f>
        <v/>
      </c>
      <c r="F367">
        <f>IF($J367="","",IFERROR(SUMIFS('Weekly Log'!$F:$F,'Weekly Log'!$A:$A,"&gt;="&amp;$J367,'Weekly Log'!$A:$A,"&lt;"&amp;$J367+7)/SUMIFS('Weekly Log'!$E:$E,'Weekly Log'!$A:$A,"&gt;="&amp;$J367,'Weekly Log'!$A:$A,"&lt;"&amp;$J367+7),0))</f>
        <v/>
      </c>
      <c r="G367">
        <f>IF($J367="","",IFERROR(LOOKUP(2,1/(('Weekly Log'!$A$5:$A$5000&gt;=$J367)*('Weekly Log'!$A$5:$A$5000&lt;$J367+7)*('Weekly Log'!$M$5:$M$5000&lt;&gt;"")),'Weekly Log'!$M$5:$M$5000),0))</f>
        <v/>
      </c>
      <c r="J367">
        <f>IF(COUNT('Weekly Log'!$A$5:$A$5000)=0,"",IF(MIN('Weekly Log'!$A$5:$A$5000)+7*(ROW()-10)&gt;MAX('Weekly Log'!$A$5:$A$5000),"",MIN('Weekly Log'!$A$5:$A$5000)+7*(ROW()-10)))</f>
        <v/>
      </c>
    </row>
    <row r="368">
      <c r="A368">
        <f>IF($J368="","",YEAR($J368-WEEKDAY($J368,2)+4)&amp;"-W"&amp;TEXT(WEEKNUM($J368,21),"00"))</f>
        <v/>
      </c>
      <c r="B368">
        <f>IF($J368="","",SUMIFS('Weekly Log'!$C:$C,'Weekly Log'!$A:$A,"&gt;="&amp;$J368,'Weekly Log'!$A:$A,"&lt;"&amp;$J368+7))</f>
        <v/>
      </c>
      <c r="C368">
        <f>IF($J368="","",IFERROR(COUNTIFS('Weekly Log'!$G:$G,"Y",'Weekly Log'!$A:$A,"&gt;="&amp;$J368,'Weekly Log'!$A:$A,"&lt;"&amp;$J368+7)/COUNTIFS('Weekly Log'!$G:$G,"&lt;&gt;",'Weekly Log'!$A:$A,"&gt;="&amp;$J368,'Weekly Log'!$A:$A,"&lt;"&amp;$J368+7),0))</f>
        <v/>
      </c>
      <c r="D368">
        <f>IF($J368="","",IFERROR(COUNTIFS('Weekly Log'!$H:$H,"Y",'Weekly Log'!$A:$A,"&gt;="&amp;$J368,'Weekly Log'!$A:$A,"&lt;"&amp;$J368+7)/COUNTIFS('Weekly Log'!$H:$H,"&lt;&gt;",'Weekly Log'!$A:$A,"&gt;="&amp;$J368,'Weekly Log'!$A:$A,"&lt;"&amp;$J368+7),0))</f>
        <v/>
      </c>
      <c r="E368">
        <f>IF($J368="","",IFERROR(AVERAGEIFS('Weekly Log'!$F:$F,'Weekly Log'!$A:$A,"&gt;="&amp;$J368,'Weekly Log'!$A:$A,"&lt;"&amp;$J368+7),0))</f>
        <v/>
      </c>
      <c r="F368">
        <f>IF($J368="","",IFERROR(SUMIFS('Weekly Log'!$F:$F,'Weekly Log'!$A:$A,"&gt;="&amp;$J368,'Weekly Log'!$A:$A,"&lt;"&amp;$J368+7)/SUMIFS('Weekly Log'!$E:$E,'Weekly Log'!$A:$A,"&gt;="&amp;$J368,'Weekly Log'!$A:$A,"&lt;"&amp;$J368+7),0))</f>
        <v/>
      </c>
      <c r="G368">
        <f>IF($J368="","",IFERROR(LOOKUP(2,1/(('Weekly Log'!$A$5:$A$5000&gt;=$J368)*('Weekly Log'!$A$5:$A$5000&lt;$J368+7)*('Weekly Log'!$M$5:$M$5000&lt;&gt;"")),'Weekly Log'!$M$5:$M$5000),0))</f>
        <v/>
      </c>
      <c r="J368">
        <f>IF(COUNT('Weekly Log'!$A$5:$A$5000)=0,"",IF(MIN('Weekly Log'!$A$5:$A$5000)+7*(ROW()-10)&gt;MAX('Weekly Log'!$A$5:$A$5000),"",MIN('Weekly Log'!$A$5:$A$5000)+7*(ROW()-10)))</f>
        <v/>
      </c>
    </row>
    <row r="369">
      <c r="A369">
        <f>IF($J369="","",YEAR($J369-WEEKDAY($J369,2)+4)&amp;"-W"&amp;TEXT(WEEKNUM($J369,21),"00"))</f>
        <v/>
      </c>
      <c r="B369">
        <f>IF($J369="","",SUMIFS('Weekly Log'!$C:$C,'Weekly Log'!$A:$A,"&gt;="&amp;$J369,'Weekly Log'!$A:$A,"&lt;"&amp;$J369+7))</f>
        <v/>
      </c>
      <c r="C369">
        <f>IF($J369="","",IFERROR(COUNTIFS('Weekly Log'!$G:$G,"Y",'Weekly Log'!$A:$A,"&gt;="&amp;$J369,'Weekly Log'!$A:$A,"&lt;"&amp;$J369+7)/COUNTIFS('Weekly Log'!$G:$G,"&lt;&gt;",'Weekly Log'!$A:$A,"&gt;="&amp;$J369,'Weekly Log'!$A:$A,"&lt;"&amp;$J369+7),0))</f>
        <v/>
      </c>
      <c r="D369">
        <f>IF($J369="","",IFERROR(COUNTIFS('Weekly Log'!$H:$H,"Y",'Weekly Log'!$A:$A,"&gt;="&amp;$J369,'Weekly Log'!$A:$A,"&lt;"&amp;$J369+7)/COUNTIFS('Weekly Log'!$H:$H,"&lt;&gt;",'Weekly Log'!$A:$A,"&gt;="&amp;$J369,'Weekly Log'!$A:$A,"&lt;"&amp;$J369+7),0))</f>
        <v/>
      </c>
      <c r="E369">
        <f>IF($J369="","",IFERROR(AVERAGEIFS('Weekly Log'!$F:$F,'Weekly Log'!$A:$A,"&gt;="&amp;$J369,'Weekly Log'!$A:$A,"&lt;"&amp;$J369+7),0))</f>
        <v/>
      </c>
      <c r="F369">
        <f>IF($J369="","",IFERROR(SUMIFS('Weekly Log'!$F:$F,'Weekly Log'!$A:$A,"&gt;="&amp;$J369,'Weekly Log'!$A:$A,"&lt;"&amp;$J369+7)/SUMIFS('Weekly Log'!$E:$E,'Weekly Log'!$A:$A,"&gt;="&amp;$J369,'Weekly Log'!$A:$A,"&lt;"&amp;$J369+7),0))</f>
        <v/>
      </c>
      <c r="G369">
        <f>IF($J369="","",IFERROR(LOOKUP(2,1/(('Weekly Log'!$A$5:$A$5000&gt;=$J369)*('Weekly Log'!$A$5:$A$5000&lt;$J369+7)*('Weekly Log'!$M$5:$M$5000&lt;&gt;"")),'Weekly Log'!$M$5:$M$5000),0))</f>
        <v/>
      </c>
      <c r="J369">
        <f>IF(COUNT('Weekly Log'!$A$5:$A$5000)=0,"",IF(MIN('Weekly Log'!$A$5:$A$5000)+7*(ROW()-10)&gt;MAX('Weekly Log'!$A$5:$A$5000),"",MIN('Weekly Log'!$A$5:$A$5000)+7*(ROW()-10)))</f>
        <v/>
      </c>
    </row>
    <row r="370">
      <c r="A370">
        <f>IF($J370="","",YEAR($J370-WEEKDAY($J370,2)+4)&amp;"-W"&amp;TEXT(WEEKNUM($J370,21),"00"))</f>
        <v/>
      </c>
      <c r="B370">
        <f>IF($J370="","",SUMIFS('Weekly Log'!$C:$C,'Weekly Log'!$A:$A,"&gt;="&amp;$J370,'Weekly Log'!$A:$A,"&lt;"&amp;$J370+7))</f>
        <v/>
      </c>
      <c r="C370">
        <f>IF($J370="","",IFERROR(COUNTIFS('Weekly Log'!$G:$G,"Y",'Weekly Log'!$A:$A,"&gt;="&amp;$J370,'Weekly Log'!$A:$A,"&lt;"&amp;$J370+7)/COUNTIFS('Weekly Log'!$G:$G,"&lt;&gt;",'Weekly Log'!$A:$A,"&gt;="&amp;$J370,'Weekly Log'!$A:$A,"&lt;"&amp;$J370+7),0))</f>
        <v/>
      </c>
      <c r="D370">
        <f>IF($J370="","",IFERROR(COUNTIFS('Weekly Log'!$H:$H,"Y",'Weekly Log'!$A:$A,"&gt;="&amp;$J370,'Weekly Log'!$A:$A,"&lt;"&amp;$J370+7)/COUNTIFS('Weekly Log'!$H:$H,"&lt;&gt;",'Weekly Log'!$A:$A,"&gt;="&amp;$J370,'Weekly Log'!$A:$A,"&lt;"&amp;$J370+7),0))</f>
        <v/>
      </c>
      <c r="E370">
        <f>IF($J370="","",IFERROR(AVERAGEIFS('Weekly Log'!$F:$F,'Weekly Log'!$A:$A,"&gt;="&amp;$J370,'Weekly Log'!$A:$A,"&lt;"&amp;$J370+7),0))</f>
        <v/>
      </c>
      <c r="F370">
        <f>IF($J370="","",IFERROR(SUMIFS('Weekly Log'!$F:$F,'Weekly Log'!$A:$A,"&gt;="&amp;$J370,'Weekly Log'!$A:$A,"&lt;"&amp;$J370+7)/SUMIFS('Weekly Log'!$E:$E,'Weekly Log'!$A:$A,"&gt;="&amp;$J370,'Weekly Log'!$A:$A,"&lt;"&amp;$J370+7),0))</f>
        <v/>
      </c>
      <c r="G370">
        <f>IF($J370="","",IFERROR(LOOKUP(2,1/(('Weekly Log'!$A$5:$A$5000&gt;=$J370)*('Weekly Log'!$A$5:$A$5000&lt;$J370+7)*('Weekly Log'!$M$5:$M$5000&lt;&gt;"")),'Weekly Log'!$M$5:$M$5000),0))</f>
        <v/>
      </c>
      <c r="J370">
        <f>IF(COUNT('Weekly Log'!$A$5:$A$5000)=0,"",IF(MIN('Weekly Log'!$A$5:$A$5000)+7*(ROW()-10)&gt;MAX('Weekly Log'!$A$5:$A$5000),"",MIN('Weekly Log'!$A$5:$A$5000)+7*(ROW()-10)))</f>
        <v/>
      </c>
    </row>
    <row r="371">
      <c r="A371">
        <f>IF($J371="","",YEAR($J371-WEEKDAY($J371,2)+4)&amp;"-W"&amp;TEXT(WEEKNUM($J371,21),"00"))</f>
        <v/>
      </c>
      <c r="B371">
        <f>IF($J371="","",SUMIFS('Weekly Log'!$C:$C,'Weekly Log'!$A:$A,"&gt;="&amp;$J371,'Weekly Log'!$A:$A,"&lt;"&amp;$J371+7))</f>
        <v/>
      </c>
      <c r="C371">
        <f>IF($J371="","",IFERROR(COUNTIFS('Weekly Log'!$G:$G,"Y",'Weekly Log'!$A:$A,"&gt;="&amp;$J371,'Weekly Log'!$A:$A,"&lt;"&amp;$J371+7)/COUNTIFS('Weekly Log'!$G:$G,"&lt;&gt;",'Weekly Log'!$A:$A,"&gt;="&amp;$J371,'Weekly Log'!$A:$A,"&lt;"&amp;$J371+7),0))</f>
        <v/>
      </c>
      <c r="D371">
        <f>IF($J371="","",IFERROR(COUNTIFS('Weekly Log'!$H:$H,"Y",'Weekly Log'!$A:$A,"&gt;="&amp;$J371,'Weekly Log'!$A:$A,"&lt;"&amp;$J371+7)/COUNTIFS('Weekly Log'!$H:$H,"&lt;&gt;",'Weekly Log'!$A:$A,"&gt;="&amp;$J371,'Weekly Log'!$A:$A,"&lt;"&amp;$J371+7),0))</f>
        <v/>
      </c>
      <c r="E371">
        <f>IF($J371="","",IFERROR(AVERAGEIFS('Weekly Log'!$F:$F,'Weekly Log'!$A:$A,"&gt;="&amp;$J371,'Weekly Log'!$A:$A,"&lt;"&amp;$J371+7),0))</f>
        <v/>
      </c>
      <c r="F371">
        <f>IF($J371="","",IFERROR(SUMIFS('Weekly Log'!$F:$F,'Weekly Log'!$A:$A,"&gt;="&amp;$J371,'Weekly Log'!$A:$A,"&lt;"&amp;$J371+7)/SUMIFS('Weekly Log'!$E:$E,'Weekly Log'!$A:$A,"&gt;="&amp;$J371,'Weekly Log'!$A:$A,"&lt;"&amp;$J371+7),0))</f>
        <v/>
      </c>
      <c r="G371">
        <f>IF($J371="","",IFERROR(LOOKUP(2,1/(('Weekly Log'!$A$5:$A$5000&gt;=$J371)*('Weekly Log'!$A$5:$A$5000&lt;$J371+7)*('Weekly Log'!$M$5:$M$5000&lt;&gt;"")),'Weekly Log'!$M$5:$M$5000),0))</f>
        <v/>
      </c>
      <c r="J371">
        <f>IF(COUNT('Weekly Log'!$A$5:$A$5000)=0,"",IF(MIN('Weekly Log'!$A$5:$A$5000)+7*(ROW()-10)&gt;MAX('Weekly Log'!$A$5:$A$5000),"",MIN('Weekly Log'!$A$5:$A$5000)+7*(ROW()-10)))</f>
        <v/>
      </c>
    </row>
    <row r="372">
      <c r="A372">
        <f>IF($J372="","",YEAR($J372-WEEKDAY($J372,2)+4)&amp;"-W"&amp;TEXT(WEEKNUM($J372,21),"00"))</f>
        <v/>
      </c>
      <c r="B372">
        <f>IF($J372="","",SUMIFS('Weekly Log'!$C:$C,'Weekly Log'!$A:$A,"&gt;="&amp;$J372,'Weekly Log'!$A:$A,"&lt;"&amp;$J372+7))</f>
        <v/>
      </c>
      <c r="C372">
        <f>IF($J372="","",IFERROR(COUNTIFS('Weekly Log'!$G:$G,"Y",'Weekly Log'!$A:$A,"&gt;="&amp;$J372,'Weekly Log'!$A:$A,"&lt;"&amp;$J372+7)/COUNTIFS('Weekly Log'!$G:$G,"&lt;&gt;",'Weekly Log'!$A:$A,"&gt;="&amp;$J372,'Weekly Log'!$A:$A,"&lt;"&amp;$J372+7),0))</f>
        <v/>
      </c>
      <c r="D372">
        <f>IF($J372="","",IFERROR(COUNTIFS('Weekly Log'!$H:$H,"Y",'Weekly Log'!$A:$A,"&gt;="&amp;$J372,'Weekly Log'!$A:$A,"&lt;"&amp;$J372+7)/COUNTIFS('Weekly Log'!$H:$H,"&lt;&gt;",'Weekly Log'!$A:$A,"&gt;="&amp;$J372,'Weekly Log'!$A:$A,"&lt;"&amp;$J372+7),0))</f>
        <v/>
      </c>
      <c r="E372">
        <f>IF($J372="","",IFERROR(AVERAGEIFS('Weekly Log'!$F:$F,'Weekly Log'!$A:$A,"&gt;="&amp;$J372,'Weekly Log'!$A:$A,"&lt;"&amp;$J372+7),0))</f>
        <v/>
      </c>
      <c r="F372">
        <f>IF($J372="","",IFERROR(SUMIFS('Weekly Log'!$F:$F,'Weekly Log'!$A:$A,"&gt;="&amp;$J372,'Weekly Log'!$A:$A,"&lt;"&amp;$J372+7)/SUMIFS('Weekly Log'!$E:$E,'Weekly Log'!$A:$A,"&gt;="&amp;$J372,'Weekly Log'!$A:$A,"&lt;"&amp;$J372+7),0))</f>
        <v/>
      </c>
      <c r="G372">
        <f>IF($J372="","",IFERROR(LOOKUP(2,1/(('Weekly Log'!$A$5:$A$5000&gt;=$J372)*('Weekly Log'!$A$5:$A$5000&lt;$J372+7)*('Weekly Log'!$M$5:$M$5000&lt;&gt;"")),'Weekly Log'!$M$5:$M$5000),0))</f>
        <v/>
      </c>
      <c r="J372">
        <f>IF(COUNT('Weekly Log'!$A$5:$A$5000)=0,"",IF(MIN('Weekly Log'!$A$5:$A$5000)+7*(ROW()-10)&gt;MAX('Weekly Log'!$A$5:$A$5000),"",MIN('Weekly Log'!$A$5:$A$5000)+7*(ROW()-10)))</f>
        <v/>
      </c>
    </row>
    <row r="373">
      <c r="A373">
        <f>IF($J373="","",YEAR($J373-WEEKDAY($J373,2)+4)&amp;"-W"&amp;TEXT(WEEKNUM($J373,21),"00"))</f>
        <v/>
      </c>
      <c r="B373">
        <f>IF($J373="","",SUMIFS('Weekly Log'!$C:$C,'Weekly Log'!$A:$A,"&gt;="&amp;$J373,'Weekly Log'!$A:$A,"&lt;"&amp;$J373+7))</f>
        <v/>
      </c>
      <c r="C373">
        <f>IF($J373="","",IFERROR(COUNTIFS('Weekly Log'!$G:$G,"Y",'Weekly Log'!$A:$A,"&gt;="&amp;$J373,'Weekly Log'!$A:$A,"&lt;"&amp;$J373+7)/COUNTIFS('Weekly Log'!$G:$G,"&lt;&gt;",'Weekly Log'!$A:$A,"&gt;="&amp;$J373,'Weekly Log'!$A:$A,"&lt;"&amp;$J373+7),0))</f>
        <v/>
      </c>
      <c r="D373">
        <f>IF($J373="","",IFERROR(COUNTIFS('Weekly Log'!$H:$H,"Y",'Weekly Log'!$A:$A,"&gt;="&amp;$J373,'Weekly Log'!$A:$A,"&lt;"&amp;$J373+7)/COUNTIFS('Weekly Log'!$H:$H,"&lt;&gt;",'Weekly Log'!$A:$A,"&gt;="&amp;$J373,'Weekly Log'!$A:$A,"&lt;"&amp;$J373+7),0))</f>
        <v/>
      </c>
      <c r="E373">
        <f>IF($J373="","",IFERROR(AVERAGEIFS('Weekly Log'!$F:$F,'Weekly Log'!$A:$A,"&gt;="&amp;$J373,'Weekly Log'!$A:$A,"&lt;"&amp;$J373+7),0))</f>
        <v/>
      </c>
      <c r="F373">
        <f>IF($J373="","",IFERROR(SUMIFS('Weekly Log'!$F:$F,'Weekly Log'!$A:$A,"&gt;="&amp;$J373,'Weekly Log'!$A:$A,"&lt;"&amp;$J373+7)/SUMIFS('Weekly Log'!$E:$E,'Weekly Log'!$A:$A,"&gt;="&amp;$J373,'Weekly Log'!$A:$A,"&lt;"&amp;$J373+7),0))</f>
        <v/>
      </c>
      <c r="G373">
        <f>IF($J373="","",IFERROR(LOOKUP(2,1/(('Weekly Log'!$A$5:$A$5000&gt;=$J373)*('Weekly Log'!$A$5:$A$5000&lt;$J373+7)*('Weekly Log'!$M$5:$M$5000&lt;&gt;"")),'Weekly Log'!$M$5:$M$5000),0))</f>
        <v/>
      </c>
      <c r="J373">
        <f>IF(COUNT('Weekly Log'!$A$5:$A$5000)=0,"",IF(MIN('Weekly Log'!$A$5:$A$5000)+7*(ROW()-10)&gt;MAX('Weekly Log'!$A$5:$A$5000),"",MIN('Weekly Log'!$A$5:$A$5000)+7*(ROW()-10)))</f>
        <v/>
      </c>
    </row>
    <row r="374">
      <c r="A374">
        <f>IF($J374="","",YEAR($J374-WEEKDAY($J374,2)+4)&amp;"-W"&amp;TEXT(WEEKNUM($J374,21),"00"))</f>
        <v/>
      </c>
      <c r="B374">
        <f>IF($J374="","",SUMIFS('Weekly Log'!$C:$C,'Weekly Log'!$A:$A,"&gt;="&amp;$J374,'Weekly Log'!$A:$A,"&lt;"&amp;$J374+7))</f>
        <v/>
      </c>
      <c r="C374">
        <f>IF($J374="","",IFERROR(COUNTIFS('Weekly Log'!$G:$G,"Y",'Weekly Log'!$A:$A,"&gt;="&amp;$J374,'Weekly Log'!$A:$A,"&lt;"&amp;$J374+7)/COUNTIFS('Weekly Log'!$G:$G,"&lt;&gt;",'Weekly Log'!$A:$A,"&gt;="&amp;$J374,'Weekly Log'!$A:$A,"&lt;"&amp;$J374+7),0))</f>
        <v/>
      </c>
      <c r="D374">
        <f>IF($J374="","",IFERROR(COUNTIFS('Weekly Log'!$H:$H,"Y",'Weekly Log'!$A:$A,"&gt;="&amp;$J374,'Weekly Log'!$A:$A,"&lt;"&amp;$J374+7)/COUNTIFS('Weekly Log'!$H:$H,"&lt;&gt;",'Weekly Log'!$A:$A,"&gt;="&amp;$J374,'Weekly Log'!$A:$A,"&lt;"&amp;$J374+7),0))</f>
        <v/>
      </c>
      <c r="E374">
        <f>IF($J374="","",IFERROR(AVERAGEIFS('Weekly Log'!$F:$F,'Weekly Log'!$A:$A,"&gt;="&amp;$J374,'Weekly Log'!$A:$A,"&lt;"&amp;$J374+7),0))</f>
        <v/>
      </c>
      <c r="F374">
        <f>IF($J374="","",IFERROR(SUMIFS('Weekly Log'!$F:$F,'Weekly Log'!$A:$A,"&gt;="&amp;$J374,'Weekly Log'!$A:$A,"&lt;"&amp;$J374+7)/SUMIFS('Weekly Log'!$E:$E,'Weekly Log'!$A:$A,"&gt;="&amp;$J374,'Weekly Log'!$A:$A,"&lt;"&amp;$J374+7),0))</f>
        <v/>
      </c>
      <c r="G374">
        <f>IF($J374="","",IFERROR(LOOKUP(2,1/(('Weekly Log'!$A$5:$A$5000&gt;=$J374)*('Weekly Log'!$A$5:$A$5000&lt;$J374+7)*('Weekly Log'!$M$5:$M$5000&lt;&gt;"")),'Weekly Log'!$M$5:$M$5000),0))</f>
        <v/>
      </c>
      <c r="J374">
        <f>IF(COUNT('Weekly Log'!$A$5:$A$5000)=0,"",IF(MIN('Weekly Log'!$A$5:$A$5000)+7*(ROW()-10)&gt;MAX('Weekly Log'!$A$5:$A$5000),"",MIN('Weekly Log'!$A$5:$A$5000)+7*(ROW()-10)))</f>
        <v/>
      </c>
    </row>
    <row r="375">
      <c r="A375">
        <f>IF($J375="","",YEAR($J375-WEEKDAY($J375,2)+4)&amp;"-W"&amp;TEXT(WEEKNUM($J375,21),"00"))</f>
        <v/>
      </c>
      <c r="B375">
        <f>IF($J375="","",SUMIFS('Weekly Log'!$C:$C,'Weekly Log'!$A:$A,"&gt;="&amp;$J375,'Weekly Log'!$A:$A,"&lt;"&amp;$J375+7))</f>
        <v/>
      </c>
      <c r="C375">
        <f>IF($J375="","",IFERROR(COUNTIFS('Weekly Log'!$G:$G,"Y",'Weekly Log'!$A:$A,"&gt;="&amp;$J375,'Weekly Log'!$A:$A,"&lt;"&amp;$J375+7)/COUNTIFS('Weekly Log'!$G:$G,"&lt;&gt;",'Weekly Log'!$A:$A,"&gt;="&amp;$J375,'Weekly Log'!$A:$A,"&lt;"&amp;$J375+7),0))</f>
        <v/>
      </c>
      <c r="D375">
        <f>IF($J375="","",IFERROR(COUNTIFS('Weekly Log'!$H:$H,"Y",'Weekly Log'!$A:$A,"&gt;="&amp;$J375,'Weekly Log'!$A:$A,"&lt;"&amp;$J375+7)/COUNTIFS('Weekly Log'!$H:$H,"&lt;&gt;",'Weekly Log'!$A:$A,"&gt;="&amp;$J375,'Weekly Log'!$A:$A,"&lt;"&amp;$J375+7),0))</f>
        <v/>
      </c>
      <c r="E375">
        <f>IF($J375="","",IFERROR(AVERAGEIFS('Weekly Log'!$F:$F,'Weekly Log'!$A:$A,"&gt;="&amp;$J375,'Weekly Log'!$A:$A,"&lt;"&amp;$J375+7),0))</f>
        <v/>
      </c>
      <c r="F375">
        <f>IF($J375="","",IFERROR(SUMIFS('Weekly Log'!$F:$F,'Weekly Log'!$A:$A,"&gt;="&amp;$J375,'Weekly Log'!$A:$A,"&lt;"&amp;$J375+7)/SUMIFS('Weekly Log'!$E:$E,'Weekly Log'!$A:$A,"&gt;="&amp;$J375,'Weekly Log'!$A:$A,"&lt;"&amp;$J375+7),0))</f>
        <v/>
      </c>
      <c r="G375">
        <f>IF($J375="","",IFERROR(LOOKUP(2,1/(('Weekly Log'!$A$5:$A$5000&gt;=$J375)*('Weekly Log'!$A$5:$A$5000&lt;$J375+7)*('Weekly Log'!$M$5:$M$5000&lt;&gt;"")),'Weekly Log'!$M$5:$M$5000),0))</f>
        <v/>
      </c>
      <c r="J375">
        <f>IF(COUNT('Weekly Log'!$A$5:$A$5000)=0,"",IF(MIN('Weekly Log'!$A$5:$A$5000)+7*(ROW()-10)&gt;MAX('Weekly Log'!$A$5:$A$5000),"",MIN('Weekly Log'!$A$5:$A$5000)+7*(ROW()-10)))</f>
        <v/>
      </c>
    </row>
    <row r="376">
      <c r="A376">
        <f>IF($J376="","",YEAR($J376-WEEKDAY($J376,2)+4)&amp;"-W"&amp;TEXT(WEEKNUM($J376,21),"00"))</f>
        <v/>
      </c>
      <c r="B376">
        <f>IF($J376="","",SUMIFS('Weekly Log'!$C:$C,'Weekly Log'!$A:$A,"&gt;="&amp;$J376,'Weekly Log'!$A:$A,"&lt;"&amp;$J376+7))</f>
        <v/>
      </c>
      <c r="C376">
        <f>IF($J376="","",IFERROR(COUNTIFS('Weekly Log'!$G:$G,"Y",'Weekly Log'!$A:$A,"&gt;="&amp;$J376,'Weekly Log'!$A:$A,"&lt;"&amp;$J376+7)/COUNTIFS('Weekly Log'!$G:$G,"&lt;&gt;",'Weekly Log'!$A:$A,"&gt;="&amp;$J376,'Weekly Log'!$A:$A,"&lt;"&amp;$J376+7),0))</f>
        <v/>
      </c>
      <c r="D376">
        <f>IF($J376="","",IFERROR(COUNTIFS('Weekly Log'!$H:$H,"Y",'Weekly Log'!$A:$A,"&gt;="&amp;$J376,'Weekly Log'!$A:$A,"&lt;"&amp;$J376+7)/COUNTIFS('Weekly Log'!$H:$H,"&lt;&gt;",'Weekly Log'!$A:$A,"&gt;="&amp;$J376,'Weekly Log'!$A:$A,"&lt;"&amp;$J376+7),0))</f>
        <v/>
      </c>
      <c r="E376">
        <f>IF($J376="","",IFERROR(AVERAGEIFS('Weekly Log'!$F:$F,'Weekly Log'!$A:$A,"&gt;="&amp;$J376,'Weekly Log'!$A:$A,"&lt;"&amp;$J376+7),0))</f>
        <v/>
      </c>
      <c r="F376">
        <f>IF($J376="","",IFERROR(SUMIFS('Weekly Log'!$F:$F,'Weekly Log'!$A:$A,"&gt;="&amp;$J376,'Weekly Log'!$A:$A,"&lt;"&amp;$J376+7)/SUMIFS('Weekly Log'!$E:$E,'Weekly Log'!$A:$A,"&gt;="&amp;$J376,'Weekly Log'!$A:$A,"&lt;"&amp;$J376+7),0))</f>
        <v/>
      </c>
      <c r="G376">
        <f>IF($J376="","",IFERROR(LOOKUP(2,1/(('Weekly Log'!$A$5:$A$5000&gt;=$J376)*('Weekly Log'!$A$5:$A$5000&lt;$J376+7)*('Weekly Log'!$M$5:$M$5000&lt;&gt;"")),'Weekly Log'!$M$5:$M$5000),0))</f>
        <v/>
      </c>
      <c r="J376">
        <f>IF(COUNT('Weekly Log'!$A$5:$A$5000)=0,"",IF(MIN('Weekly Log'!$A$5:$A$5000)+7*(ROW()-10)&gt;MAX('Weekly Log'!$A$5:$A$5000),"",MIN('Weekly Log'!$A$5:$A$5000)+7*(ROW()-10)))</f>
        <v/>
      </c>
    </row>
    <row r="377">
      <c r="A377">
        <f>IF($J377="","",YEAR($J377-WEEKDAY($J377,2)+4)&amp;"-W"&amp;TEXT(WEEKNUM($J377,21),"00"))</f>
        <v/>
      </c>
      <c r="B377">
        <f>IF($J377="","",SUMIFS('Weekly Log'!$C:$C,'Weekly Log'!$A:$A,"&gt;="&amp;$J377,'Weekly Log'!$A:$A,"&lt;"&amp;$J377+7))</f>
        <v/>
      </c>
      <c r="C377">
        <f>IF($J377="","",IFERROR(COUNTIFS('Weekly Log'!$G:$G,"Y",'Weekly Log'!$A:$A,"&gt;="&amp;$J377,'Weekly Log'!$A:$A,"&lt;"&amp;$J377+7)/COUNTIFS('Weekly Log'!$G:$G,"&lt;&gt;",'Weekly Log'!$A:$A,"&gt;="&amp;$J377,'Weekly Log'!$A:$A,"&lt;"&amp;$J377+7),0))</f>
        <v/>
      </c>
      <c r="D377">
        <f>IF($J377="","",IFERROR(COUNTIFS('Weekly Log'!$H:$H,"Y",'Weekly Log'!$A:$A,"&gt;="&amp;$J377,'Weekly Log'!$A:$A,"&lt;"&amp;$J377+7)/COUNTIFS('Weekly Log'!$H:$H,"&lt;&gt;",'Weekly Log'!$A:$A,"&gt;="&amp;$J377,'Weekly Log'!$A:$A,"&lt;"&amp;$J377+7),0))</f>
        <v/>
      </c>
      <c r="E377">
        <f>IF($J377="","",IFERROR(AVERAGEIFS('Weekly Log'!$F:$F,'Weekly Log'!$A:$A,"&gt;="&amp;$J377,'Weekly Log'!$A:$A,"&lt;"&amp;$J377+7),0))</f>
        <v/>
      </c>
      <c r="F377">
        <f>IF($J377="","",IFERROR(SUMIFS('Weekly Log'!$F:$F,'Weekly Log'!$A:$A,"&gt;="&amp;$J377,'Weekly Log'!$A:$A,"&lt;"&amp;$J377+7)/SUMIFS('Weekly Log'!$E:$E,'Weekly Log'!$A:$A,"&gt;="&amp;$J377,'Weekly Log'!$A:$A,"&lt;"&amp;$J377+7),0))</f>
        <v/>
      </c>
      <c r="G377">
        <f>IF($J377="","",IFERROR(LOOKUP(2,1/(('Weekly Log'!$A$5:$A$5000&gt;=$J377)*('Weekly Log'!$A$5:$A$5000&lt;$J377+7)*('Weekly Log'!$M$5:$M$5000&lt;&gt;"")),'Weekly Log'!$M$5:$M$5000),0))</f>
        <v/>
      </c>
      <c r="J377">
        <f>IF(COUNT('Weekly Log'!$A$5:$A$5000)=0,"",IF(MIN('Weekly Log'!$A$5:$A$5000)+7*(ROW()-10)&gt;MAX('Weekly Log'!$A$5:$A$5000),"",MIN('Weekly Log'!$A$5:$A$5000)+7*(ROW()-10)))</f>
        <v/>
      </c>
    </row>
    <row r="378">
      <c r="A378">
        <f>IF($J378="","",YEAR($J378-WEEKDAY($J378,2)+4)&amp;"-W"&amp;TEXT(WEEKNUM($J378,21),"00"))</f>
        <v/>
      </c>
      <c r="B378">
        <f>IF($J378="","",SUMIFS('Weekly Log'!$C:$C,'Weekly Log'!$A:$A,"&gt;="&amp;$J378,'Weekly Log'!$A:$A,"&lt;"&amp;$J378+7))</f>
        <v/>
      </c>
      <c r="C378">
        <f>IF($J378="","",IFERROR(COUNTIFS('Weekly Log'!$G:$G,"Y",'Weekly Log'!$A:$A,"&gt;="&amp;$J378,'Weekly Log'!$A:$A,"&lt;"&amp;$J378+7)/COUNTIFS('Weekly Log'!$G:$G,"&lt;&gt;",'Weekly Log'!$A:$A,"&gt;="&amp;$J378,'Weekly Log'!$A:$A,"&lt;"&amp;$J378+7),0))</f>
        <v/>
      </c>
      <c r="D378">
        <f>IF($J378="","",IFERROR(COUNTIFS('Weekly Log'!$H:$H,"Y",'Weekly Log'!$A:$A,"&gt;="&amp;$J378,'Weekly Log'!$A:$A,"&lt;"&amp;$J378+7)/COUNTIFS('Weekly Log'!$H:$H,"&lt;&gt;",'Weekly Log'!$A:$A,"&gt;="&amp;$J378,'Weekly Log'!$A:$A,"&lt;"&amp;$J378+7),0))</f>
        <v/>
      </c>
      <c r="E378">
        <f>IF($J378="","",IFERROR(AVERAGEIFS('Weekly Log'!$F:$F,'Weekly Log'!$A:$A,"&gt;="&amp;$J378,'Weekly Log'!$A:$A,"&lt;"&amp;$J378+7),0))</f>
        <v/>
      </c>
      <c r="F378">
        <f>IF($J378="","",IFERROR(SUMIFS('Weekly Log'!$F:$F,'Weekly Log'!$A:$A,"&gt;="&amp;$J378,'Weekly Log'!$A:$A,"&lt;"&amp;$J378+7)/SUMIFS('Weekly Log'!$E:$E,'Weekly Log'!$A:$A,"&gt;="&amp;$J378,'Weekly Log'!$A:$A,"&lt;"&amp;$J378+7),0))</f>
        <v/>
      </c>
      <c r="G378">
        <f>IF($J378="","",IFERROR(LOOKUP(2,1/(('Weekly Log'!$A$5:$A$5000&gt;=$J378)*('Weekly Log'!$A$5:$A$5000&lt;$J378+7)*('Weekly Log'!$M$5:$M$5000&lt;&gt;"")),'Weekly Log'!$M$5:$M$5000),0))</f>
        <v/>
      </c>
      <c r="J378">
        <f>IF(COUNT('Weekly Log'!$A$5:$A$5000)=0,"",IF(MIN('Weekly Log'!$A$5:$A$5000)+7*(ROW()-10)&gt;MAX('Weekly Log'!$A$5:$A$5000),"",MIN('Weekly Log'!$A$5:$A$5000)+7*(ROW()-10)))</f>
        <v/>
      </c>
    </row>
    <row r="379">
      <c r="A379">
        <f>IF($J379="","",YEAR($J379-WEEKDAY($J379,2)+4)&amp;"-W"&amp;TEXT(WEEKNUM($J379,21),"00"))</f>
        <v/>
      </c>
      <c r="B379">
        <f>IF($J379="","",SUMIFS('Weekly Log'!$C:$C,'Weekly Log'!$A:$A,"&gt;="&amp;$J379,'Weekly Log'!$A:$A,"&lt;"&amp;$J379+7))</f>
        <v/>
      </c>
      <c r="C379">
        <f>IF($J379="","",IFERROR(COUNTIFS('Weekly Log'!$G:$G,"Y",'Weekly Log'!$A:$A,"&gt;="&amp;$J379,'Weekly Log'!$A:$A,"&lt;"&amp;$J379+7)/COUNTIFS('Weekly Log'!$G:$G,"&lt;&gt;",'Weekly Log'!$A:$A,"&gt;="&amp;$J379,'Weekly Log'!$A:$A,"&lt;"&amp;$J379+7),0))</f>
        <v/>
      </c>
      <c r="D379">
        <f>IF($J379="","",IFERROR(COUNTIFS('Weekly Log'!$H:$H,"Y",'Weekly Log'!$A:$A,"&gt;="&amp;$J379,'Weekly Log'!$A:$A,"&lt;"&amp;$J379+7)/COUNTIFS('Weekly Log'!$H:$H,"&lt;&gt;",'Weekly Log'!$A:$A,"&gt;="&amp;$J379,'Weekly Log'!$A:$A,"&lt;"&amp;$J379+7),0))</f>
        <v/>
      </c>
      <c r="E379">
        <f>IF($J379="","",IFERROR(AVERAGEIFS('Weekly Log'!$F:$F,'Weekly Log'!$A:$A,"&gt;="&amp;$J379,'Weekly Log'!$A:$A,"&lt;"&amp;$J379+7),0))</f>
        <v/>
      </c>
      <c r="F379">
        <f>IF($J379="","",IFERROR(SUMIFS('Weekly Log'!$F:$F,'Weekly Log'!$A:$A,"&gt;="&amp;$J379,'Weekly Log'!$A:$A,"&lt;"&amp;$J379+7)/SUMIFS('Weekly Log'!$E:$E,'Weekly Log'!$A:$A,"&gt;="&amp;$J379,'Weekly Log'!$A:$A,"&lt;"&amp;$J379+7),0))</f>
        <v/>
      </c>
      <c r="G379">
        <f>IF($J379="","",IFERROR(LOOKUP(2,1/(('Weekly Log'!$A$5:$A$5000&gt;=$J379)*('Weekly Log'!$A$5:$A$5000&lt;$J379+7)*('Weekly Log'!$M$5:$M$5000&lt;&gt;"")),'Weekly Log'!$M$5:$M$5000),0))</f>
        <v/>
      </c>
      <c r="J379">
        <f>IF(COUNT('Weekly Log'!$A$5:$A$5000)=0,"",IF(MIN('Weekly Log'!$A$5:$A$5000)+7*(ROW()-10)&gt;MAX('Weekly Log'!$A$5:$A$5000),"",MIN('Weekly Log'!$A$5:$A$5000)+7*(ROW()-10)))</f>
        <v/>
      </c>
    </row>
    <row r="380">
      <c r="A380">
        <f>IF($J380="","",YEAR($J380-WEEKDAY($J380,2)+4)&amp;"-W"&amp;TEXT(WEEKNUM($J380,21),"00"))</f>
        <v/>
      </c>
      <c r="B380">
        <f>IF($J380="","",SUMIFS('Weekly Log'!$C:$C,'Weekly Log'!$A:$A,"&gt;="&amp;$J380,'Weekly Log'!$A:$A,"&lt;"&amp;$J380+7))</f>
        <v/>
      </c>
      <c r="C380">
        <f>IF($J380="","",IFERROR(COUNTIFS('Weekly Log'!$G:$G,"Y",'Weekly Log'!$A:$A,"&gt;="&amp;$J380,'Weekly Log'!$A:$A,"&lt;"&amp;$J380+7)/COUNTIFS('Weekly Log'!$G:$G,"&lt;&gt;",'Weekly Log'!$A:$A,"&gt;="&amp;$J380,'Weekly Log'!$A:$A,"&lt;"&amp;$J380+7),0))</f>
        <v/>
      </c>
      <c r="D380">
        <f>IF($J380="","",IFERROR(COUNTIFS('Weekly Log'!$H:$H,"Y",'Weekly Log'!$A:$A,"&gt;="&amp;$J380,'Weekly Log'!$A:$A,"&lt;"&amp;$J380+7)/COUNTIFS('Weekly Log'!$H:$H,"&lt;&gt;",'Weekly Log'!$A:$A,"&gt;="&amp;$J380,'Weekly Log'!$A:$A,"&lt;"&amp;$J380+7),0))</f>
        <v/>
      </c>
      <c r="E380">
        <f>IF($J380="","",IFERROR(AVERAGEIFS('Weekly Log'!$F:$F,'Weekly Log'!$A:$A,"&gt;="&amp;$J380,'Weekly Log'!$A:$A,"&lt;"&amp;$J380+7),0))</f>
        <v/>
      </c>
      <c r="F380">
        <f>IF($J380="","",IFERROR(SUMIFS('Weekly Log'!$F:$F,'Weekly Log'!$A:$A,"&gt;="&amp;$J380,'Weekly Log'!$A:$A,"&lt;"&amp;$J380+7)/SUMIFS('Weekly Log'!$E:$E,'Weekly Log'!$A:$A,"&gt;="&amp;$J380,'Weekly Log'!$A:$A,"&lt;"&amp;$J380+7),0))</f>
        <v/>
      </c>
      <c r="G380">
        <f>IF($J380="","",IFERROR(LOOKUP(2,1/(('Weekly Log'!$A$5:$A$5000&gt;=$J380)*('Weekly Log'!$A$5:$A$5000&lt;$J380+7)*('Weekly Log'!$M$5:$M$5000&lt;&gt;"")),'Weekly Log'!$M$5:$M$5000),0))</f>
        <v/>
      </c>
      <c r="J380">
        <f>IF(COUNT('Weekly Log'!$A$5:$A$5000)=0,"",IF(MIN('Weekly Log'!$A$5:$A$5000)+7*(ROW()-10)&gt;MAX('Weekly Log'!$A$5:$A$5000),"",MIN('Weekly Log'!$A$5:$A$5000)+7*(ROW()-10)))</f>
        <v/>
      </c>
    </row>
    <row r="381">
      <c r="A381">
        <f>IF($J381="","",YEAR($J381-WEEKDAY($J381,2)+4)&amp;"-W"&amp;TEXT(WEEKNUM($J381,21),"00"))</f>
        <v/>
      </c>
      <c r="B381">
        <f>IF($J381="","",SUMIFS('Weekly Log'!$C:$C,'Weekly Log'!$A:$A,"&gt;="&amp;$J381,'Weekly Log'!$A:$A,"&lt;"&amp;$J381+7))</f>
        <v/>
      </c>
      <c r="C381">
        <f>IF($J381="","",IFERROR(COUNTIFS('Weekly Log'!$G:$G,"Y",'Weekly Log'!$A:$A,"&gt;="&amp;$J381,'Weekly Log'!$A:$A,"&lt;"&amp;$J381+7)/COUNTIFS('Weekly Log'!$G:$G,"&lt;&gt;",'Weekly Log'!$A:$A,"&gt;="&amp;$J381,'Weekly Log'!$A:$A,"&lt;"&amp;$J381+7),0))</f>
        <v/>
      </c>
      <c r="D381">
        <f>IF($J381="","",IFERROR(COUNTIFS('Weekly Log'!$H:$H,"Y",'Weekly Log'!$A:$A,"&gt;="&amp;$J381,'Weekly Log'!$A:$A,"&lt;"&amp;$J381+7)/COUNTIFS('Weekly Log'!$H:$H,"&lt;&gt;",'Weekly Log'!$A:$A,"&gt;="&amp;$J381,'Weekly Log'!$A:$A,"&lt;"&amp;$J381+7),0))</f>
        <v/>
      </c>
      <c r="E381">
        <f>IF($J381="","",IFERROR(AVERAGEIFS('Weekly Log'!$F:$F,'Weekly Log'!$A:$A,"&gt;="&amp;$J381,'Weekly Log'!$A:$A,"&lt;"&amp;$J381+7),0))</f>
        <v/>
      </c>
      <c r="F381">
        <f>IF($J381="","",IFERROR(SUMIFS('Weekly Log'!$F:$F,'Weekly Log'!$A:$A,"&gt;="&amp;$J381,'Weekly Log'!$A:$A,"&lt;"&amp;$J381+7)/SUMIFS('Weekly Log'!$E:$E,'Weekly Log'!$A:$A,"&gt;="&amp;$J381,'Weekly Log'!$A:$A,"&lt;"&amp;$J381+7),0))</f>
        <v/>
      </c>
      <c r="G381">
        <f>IF($J381="","",IFERROR(LOOKUP(2,1/(('Weekly Log'!$A$5:$A$5000&gt;=$J381)*('Weekly Log'!$A$5:$A$5000&lt;$J381+7)*('Weekly Log'!$M$5:$M$5000&lt;&gt;"")),'Weekly Log'!$M$5:$M$5000),0))</f>
        <v/>
      </c>
      <c r="J381">
        <f>IF(COUNT('Weekly Log'!$A$5:$A$5000)=0,"",IF(MIN('Weekly Log'!$A$5:$A$5000)+7*(ROW()-10)&gt;MAX('Weekly Log'!$A$5:$A$5000),"",MIN('Weekly Log'!$A$5:$A$5000)+7*(ROW()-10)))</f>
        <v/>
      </c>
    </row>
    <row r="382">
      <c r="A382">
        <f>IF($J382="","",YEAR($J382-WEEKDAY($J382,2)+4)&amp;"-W"&amp;TEXT(WEEKNUM($J382,21),"00"))</f>
        <v/>
      </c>
      <c r="B382">
        <f>IF($J382="","",SUMIFS('Weekly Log'!$C:$C,'Weekly Log'!$A:$A,"&gt;="&amp;$J382,'Weekly Log'!$A:$A,"&lt;"&amp;$J382+7))</f>
        <v/>
      </c>
      <c r="C382">
        <f>IF($J382="","",IFERROR(COUNTIFS('Weekly Log'!$G:$G,"Y",'Weekly Log'!$A:$A,"&gt;="&amp;$J382,'Weekly Log'!$A:$A,"&lt;"&amp;$J382+7)/COUNTIFS('Weekly Log'!$G:$G,"&lt;&gt;",'Weekly Log'!$A:$A,"&gt;="&amp;$J382,'Weekly Log'!$A:$A,"&lt;"&amp;$J382+7),0))</f>
        <v/>
      </c>
      <c r="D382">
        <f>IF($J382="","",IFERROR(COUNTIFS('Weekly Log'!$H:$H,"Y",'Weekly Log'!$A:$A,"&gt;="&amp;$J382,'Weekly Log'!$A:$A,"&lt;"&amp;$J382+7)/COUNTIFS('Weekly Log'!$H:$H,"&lt;&gt;",'Weekly Log'!$A:$A,"&gt;="&amp;$J382,'Weekly Log'!$A:$A,"&lt;"&amp;$J382+7),0))</f>
        <v/>
      </c>
      <c r="E382">
        <f>IF($J382="","",IFERROR(AVERAGEIFS('Weekly Log'!$F:$F,'Weekly Log'!$A:$A,"&gt;="&amp;$J382,'Weekly Log'!$A:$A,"&lt;"&amp;$J382+7),0))</f>
        <v/>
      </c>
      <c r="F382">
        <f>IF($J382="","",IFERROR(SUMIFS('Weekly Log'!$F:$F,'Weekly Log'!$A:$A,"&gt;="&amp;$J382,'Weekly Log'!$A:$A,"&lt;"&amp;$J382+7)/SUMIFS('Weekly Log'!$E:$E,'Weekly Log'!$A:$A,"&gt;="&amp;$J382,'Weekly Log'!$A:$A,"&lt;"&amp;$J382+7),0))</f>
        <v/>
      </c>
      <c r="G382">
        <f>IF($J382="","",IFERROR(LOOKUP(2,1/(('Weekly Log'!$A$5:$A$5000&gt;=$J382)*('Weekly Log'!$A$5:$A$5000&lt;$J382+7)*('Weekly Log'!$M$5:$M$5000&lt;&gt;"")),'Weekly Log'!$M$5:$M$5000),0))</f>
        <v/>
      </c>
      <c r="J382">
        <f>IF(COUNT('Weekly Log'!$A$5:$A$5000)=0,"",IF(MIN('Weekly Log'!$A$5:$A$5000)+7*(ROW()-10)&gt;MAX('Weekly Log'!$A$5:$A$5000),"",MIN('Weekly Log'!$A$5:$A$5000)+7*(ROW()-10)))</f>
        <v/>
      </c>
    </row>
    <row r="383">
      <c r="A383">
        <f>IF($J383="","",YEAR($J383-WEEKDAY($J383,2)+4)&amp;"-W"&amp;TEXT(WEEKNUM($J383,21),"00"))</f>
        <v/>
      </c>
      <c r="B383">
        <f>IF($J383="","",SUMIFS('Weekly Log'!$C:$C,'Weekly Log'!$A:$A,"&gt;="&amp;$J383,'Weekly Log'!$A:$A,"&lt;"&amp;$J383+7))</f>
        <v/>
      </c>
      <c r="C383">
        <f>IF($J383="","",IFERROR(COUNTIFS('Weekly Log'!$G:$G,"Y",'Weekly Log'!$A:$A,"&gt;="&amp;$J383,'Weekly Log'!$A:$A,"&lt;"&amp;$J383+7)/COUNTIFS('Weekly Log'!$G:$G,"&lt;&gt;",'Weekly Log'!$A:$A,"&gt;="&amp;$J383,'Weekly Log'!$A:$A,"&lt;"&amp;$J383+7),0))</f>
        <v/>
      </c>
      <c r="D383">
        <f>IF($J383="","",IFERROR(COUNTIFS('Weekly Log'!$H:$H,"Y",'Weekly Log'!$A:$A,"&gt;="&amp;$J383,'Weekly Log'!$A:$A,"&lt;"&amp;$J383+7)/COUNTIFS('Weekly Log'!$H:$H,"&lt;&gt;",'Weekly Log'!$A:$A,"&gt;="&amp;$J383,'Weekly Log'!$A:$A,"&lt;"&amp;$J383+7),0))</f>
        <v/>
      </c>
      <c r="E383">
        <f>IF($J383="","",IFERROR(AVERAGEIFS('Weekly Log'!$F:$F,'Weekly Log'!$A:$A,"&gt;="&amp;$J383,'Weekly Log'!$A:$A,"&lt;"&amp;$J383+7),0))</f>
        <v/>
      </c>
      <c r="F383">
        <f>IF($J383="","",IFERROR(SUMIFS('Weekly Log'!$F:$F,'Weekly Log'!$A:$A,"&gt;="&amp;$J383,'Weekly Log'!$A:$A,"&lt;"&amp;$J383+7)/SUMIFS('Weekly Log'!$E:$E,'Weekly Log'!$A:$A,"&gt;="&amp;$J383,'Weekly Log'!$A:$A,"&lt;"&amp;$J383+7),0))</f>
        <v/>
      </c>
      <c r="G383">
        <f>IF($J383="","",IFERROR(LOOKUP(2,1/(('Weekly Log'!$A$5:$A$5000&gt;=$J383)*('Weekly Log'!$A$5:$A$5000&lt;$J383+7)*('Weekly Log'!$M$5:$M$5000&lt;&gt;"")),'Weekly Log'!$M$5:$M$5000),0))</f>
        <v/>
      </c>
      <c r="J383">
        <f>IF(COUNT('Weekly Log'!$A$5:$A$5000)=0,"",IF(MIN('Weekly Log'!$A$5:$A$5000)+7*(ROW()-10)&gt;MAX('Weekly Log'!$A$5:$A$5000),"",MIN('Weekly Log'!$A$5:$A$5000)+7*(ROW()-10)))</f>
        <v/>
      </c>
    </row>
    <row r="384">
      <c r="A384">
        <f>IF($J384="","",YEAR($J384-WEEKDAY($J384,2)+4)&amp;"-W"&amp;TEXT(WEEKNUM($J384,21),"00"))</f>
        <v/>
      </c>
      <c r="B384">
        <f>IF($J384="","",SUMIFS('Weekly Log'!$C:$C,'Weekly Log'!$A:$A,"&gt;="&amp;$J384,'Weekly Log'!$A:$A,"&lt;"&amp;$J384+7))</f>
        <v/>
      </c>
      <c r="C384">
        <f>IF($J384="","",IFERROR(COUNTIFS('Weekly Log'!$G:$G,"Y",'Weekly Log'!$A:$A,"&gt;="&amp;$J384,'Weekly Log'!$A:$A,"&lt;"&amp;$J384+7)/COUNTIFS('Weekly Log'!$G:$G,"&lt;&gt;",'Weekly Log'!$A:$A,"&gt;="&amp;$J384,'Weekly Log'!$A:$A,"&lt;"&amp;$J384+7),0))</f>
        <v/>
      </c>
      <c r="D384">
        <f>IF($J384="","",IFERROR(COUNTIFS('Weekly Log'!$H:$H,"Y",'Weekly Log'!$A:$A,"&gt;="&amp;$J384,'Weekly Log'!$A:$A,"&lt;"&amp;$J384+7)/COUNTIFS('Weekly Log'!$H:$H,"&lt;&gt;",'Weekly Log'!$A:$A,"&gt;="&amp;$J384,'Weekly Log'!$A:$A,"&lt;"&amp;$J384+7),0))</f>
        <v/>
      </c>
      <c r="E384">
        <f>IF($J384="","",IFERROR(AVERAGEIFS('Weekly Log'!$F:$F,'Weekly Log'!$A:$A,"&gt;="&amp;$J384,'Weekly Log'!$A:$A,"&lt;"&amp;$J384+7),0))</f>
        <v/>
      </c>
      <c r="F384">
        <f>IF($J384="","",IFERROR(SUMIFS('Weekly Log'!$F:$F,'Weekly Log'!$A:$A,"&gt;="&amp;$J384,'Weekly Log'!$A:$A,"&lt;"&amp;$J384+7)/SUMIFS('Weekly Log'!$E:$E,'Weekly Log'!$A:$A,"&gt;="&amp;$J384,'Weekly Log'!$A:$A,"&lt;"&amp;$J384+7),0))</f>
        <v/>
      </c>
      <c r="G384">
        <f>IF($J384="","",IFERROR(LOOKUP(2,1/(('Weekly Log'!$A$5:$A$5000&gt;=$J384)*('Weekly Log'!$A$5:$A$5000&lt;$J384+7)*('Weekly Log'!$M$5:$M$5000&lt;&gt;"")),'Weekly Log'!$M$5:$M$5000),0))</f>
        <v/>
      </c>
      <c r="J384">
        <f>IF(COUNT('Weekly Log'!$A$5:$A$5000)=0,"",IF(MIN('Weekly Log'!$A$5:$A$5000)+7*(ROW()-10)&gt;MAX('Weekly Log'!$A$5:$A$5000),"",MIN('Weekly Log'!$A$5:$A$5000)+7*(ROW()-10)))</f>
        <v/>
      </c>
    </row>
    <row r="385">
      <c r="A385">
        <f>IF($J385="","",YEAR($J385-WEEKDAY($J385,2)+4)&amp;"-W"&amp;TEXT(WEEKNUM($J385,21),"00"))</f>
        <v/>
      </c>
      <c r="B385">
        <f>IF($J385="","",SUMIFS('Weekly Log'!$C:$C,'Weekly Log'!$A:$A,"&gt;="&amp;$J385,'Weekly Log'!$A:$A,"&lt;"&amp;$J385+7))</f>
        <v/>
      </c>
      <c r="C385">
        <f>IF($J385="","",IFERROR(COUNTIFS('Weekly Log'!$G:$G,"Y",'Weekly Log'!$A:$A,"&gt;="&amp;$J385,'Weekly Log'!$A:$A,"&lt;"&amp;$J385+7)/COUNTIFS('Weekly Log'!$G:$G,"&lt;&gt;",'Weekly Log'!$A:$A,"&gt;="&amp;$J385,'Weekly Log'!$A:$A,"&lt;"&amp;$J385+7),0))</f>
        <v/>
      </c>
      <c r="D385">
        <f>IF($J385="","",IFERROR(COUNTIFS('Weekly Log'!$H:$H,"Y",'Weekly Log'!$A:$A,"&gt;="&amp;$J385,'Weekly Log'!$A:$A,"&lt;"&amp;$J385+7)/COUNTIFS('Weekly Log'!$H:$H,"&lt;&gt;",'Weekly Log'!$A:$A,"&gt;="&amp;$J385,'Weekly Log'!$A:$A,"&lt;"&amp;$J385+7),0))</f>
        <v/>
      </c>
      <c r="E385">
        <f>IF($J385="","",IFERROR(AVERAGEIFS('Weekly Log'!$F:$F,'Weekly Log'!$A:$A,"&gt;="&amp;$J385,'Weekly Log'!$A:$A,"&lt;"&amp;$J385+7),0))</f>
        <v/>
      </c>
      <c r="F385">
        <f>IF($J385="","",IFERROR(SUMIFS('Weekly Log'!$F:$F,'Weekly Log'!$A:$A,"&gt;="&amp;$J385,'Weekly Log'!$A:$A,"&lt;"&amp;$J385+7)/SUMIFS('Weekly Log'!$E:$E,'Weekly Log'!$A:$A,"&gt;="&amp;$J385,'Weekly Log'!$A:$A,"&lt;"&amp;$J385+7),0))</f>
        <v/>
      </c>
      <c r="G385">
        <f>IF($J385="","",IFERROR(LOOKUP(2,1/(('Weekly Log'!$A$5:$A$5000&gt;=$J385)*('Weekly Log'!$A$5:$A$5000&lt;$J385+7)*('Weekly Log'!$M$5:$M$5000&lt;&gt;"")),'Weekly Log'!$M$5:$M$5000),0))</f>
        <v/>
      </c>
      <c r="J385">
        <f>IF(COUNT('Weekly Log'!$A$5:$A$5000)=0,"",IF(MIN('Weekly Log'!$A$5:$A$5000)+7*(ROW()-10)&gt;MAX('Weekly Log'!$A$5:$A$5000),"",MIN('Weekly Log'!$A$5:$A$5000)+7*(ROW()-10)))</f>
        <v/>
      </c>
    </row>
    <row r="386">
      <c r="A386">
        <f>IF($J386="","",YEAR($J386-WEEKDAY($J386,2)+4)&amp;"-W"&amp;TEXT(WEEKNUM($J386,21),"00"))</f>
        <v/>
      </c>
      <c r="B386">
        <f>IF($J386="","",SUMIFS('Weekly Log'!$C:$C,'Weekly Log'!$A:$A,"&gt;="&amp;$J386,'Weekly Log'!$A:$A,"&lt;"&amp;$J386+7))</f>
        <v/>
      </c>
      <c r="C386">
        <f>IF($J386="","",IFERROR(COUNTIFS('Weekly Log'!$G:$G,"Y",'Weekly Log'!$A:$A,"&gt;="&amp;$J386,'Weekly Log'!$A:$A,"&lt;"&amp;$J386+7)/COUNTIFS('Weekly Log'!$G:$G,"&lt;&gt;",'Weekly Log'!$A:$A,"&gt;="&amp;$J386,'Weekly Log'!$A:$A,"&lt;"&amp;$J386+7),0))</f>
        <v/>
      </c>
      <c r="D386">
        <f>IF($J386="","",IFERROR(COUNTIFS('Weekly Log'!$H:$H,"Y",'Weekly Log'!$A:$A,"&gt;="&amp;$J386,'Weekly Log'!$A:$A,"&lt;"&amp;$J386+7)/COUNTIFS('Weekly Log'!$H:$H,"&lt;&gt;",'Weekly Log'!$A:$A,"&gt;="&amp;$J386,'Weekly Log'!$A:$A,"&lt;"&amp;$J386+7),0))</f>
        <v/>
      </c>
      <c r="E386">
        <f>IF($J386="","",IFERROR(AVERAGEIFS('Weekly Log'!$F:$F,'Weekly Log'!$A:$A,"&gt;="&amp;$J386,'Weekly Log'!$A:$A,"&lt;"&amp;$J386+7),0))</f>
        <v/>
      </c>
      <c r="F386">
        <f>IF($J386="","",IFERROR(SUMIFS('Weekly Log'!$F:$F,'Weekly Log'!$A:$A,"&gt;="&amp;$J386,'Weekly Log'!$A:$A,"&lt;"&amp;$J386+7)/SUMIFS('Weekly Log'!$E:$E,'Weekly Log'!$A:$A,"&gt;="&amp;$J386,'Weekly Log'!$A:$A,"&lt;"&amp;$J386+7),0))</f>
        <v/>
      </c>
      <c r="G386">
        <f>IF($J386="","",IFERROR(LOOKUP(2,1/(('Weekly Log'!$A$5:$A$5000&gt;=$J386)*('Weekly Log'!$A$5:$A$5000&lt;$J386+7)*('Weekly Log'!$M$5:$M$5000&lt;&gt;"")),'Weekly Log'!$M$5:$M$5000),0))</f>
        <v/>
      </c>
      <c r="J386">
        <f>IF(COUNT('Weekly Log'!$A$5:$A$5000)=0,"",IF(MIN('Weekly Log'!$A$5:$A$5000)+7*(ROW()-10)&gt;MAX('Weekly Log'!$A$5:$A$5000),"",MIN('Weekly Log'!$A$5:$A$5000)+7*(ROW()-10)))</f>
        <v/>
      </c>
    </row>
    <row r="387">
      <c r="A387">
        <f>IF($J387="","",YEAR($J387-WEEKDAY($J387,2)+4)&amp;"-W"&amp;TEXT(WEEKNUM($J387,21),"00"))</f>
        <v/>
      </c>
      <c r="B387">
        <f>IF($J387="","",SUMIFS('Weekly Log'!$C:$C,'Weekly Log'!$A:$A,"&gt;="&amp;$J387,'Weekly Log'!$A:$A,"&lt;"&amp;$J387+7))</f>
        <v/>
      </c>
      <c r="C387">
        <f>IF($J387="","",IFERROR(COUNTIFS('Weekly Log'!$G:$G,"Y",'Weekly Log'!$A:$A,"&gt;="&amp;$J387,'Weekly Log'!$A:$A,"&lt;"&amp;$J387+7)/COUNTIFS('Weekly Log'!$G:$G,"&lt;&gt;",'Weekly Log'!$A:$A,"&gt;="&amp;$J387,'Weekly Log'!$A:$A,"&lt;"&amp;$J387+7),0))</f>
        <v/>
      </c>
      <c r="D387">
        <f>IF($J387="","",IFERROR(COUNTIFS('Weekly Log'!$H:$H,"Y",'Weekly Log'!$A:$A,"&gt;="&amp;$J387,'Weekly Log'!$A:$A,"&lt;"&amp;$J387+7)/COUNTIFS('Weekly Log'!$H:$H,"&lt;&gt;",'Weekly Log'!$A:$A,"&gt;="&amp;$J387,'Weekly Log'!$A:$A,"&lt;"&amp;$J387+7),0))</f>
        <v/>
      </c>
      <c r="E387">
        <f>IF($J387="","",IFERROR(AVERAGEIFS('Weekly Log'!$F:$F,'Weekly Log'!$A:$A,"&gt;="&amp;$J387,'Weekly Log'!$A:$A,"&lt;"&amp;$J387+7),0))</f>
        <v/>
      </c>
      <c r="F387">
        <f>IF($J387="","",IFERROR(SUMIFS('Weekly Log'!$F:$F,'Weekly Log'!$A:$A,"&gt;="&amp;$J387,'Weekly Log'!$A:$A,"&lt;"&amp;$J387+7)/SUMIFS('Weekly Log'!$E:$E,'Weekly Log'!$A:$A,"&gt;="&amp;$J387,'Weekly Log'!$A:$A,"&lt;"&amp;$J387+7),0))</f>
        <v/>
      </c>
      <c r="G387">
        <f>IF($J387="","",IFERROR(LOOKUP(2,1/(('Weekly Log'!$A$5:$A$5000&gt;=$J387)*('Weekly Log'!$A$5:$A$5000&lt;$J387+7)*('Weekly Log'!$M$5:$M$5000&lt;&gt;"")),'Weekly Log'!$M$5:$M$5000),0))</f>
        <v/>
      </c>
      <c r="J387">
        <f>IF(COUNT('Weekly Log'!$A$5:$A$5000)=0,"",IF(MIN('Weekly Log'!$A$5:$A$5000)+7*(ROW()-10)&gt;MAX('Weekly Log'!$A$5:$A$5000),"",MIN('Weekly Log'!$A$5:$A$5000)+7*(ROW()-10)))</f>
        <v/>
      </c>
    </row>
    <row r="388">
      <c r="A388">
        <f>IF($J388="","",YEAR($J388-WEEKDAY($J388,2)+4)&amp;"-W"&amp;TEXT(WEEKNUM($J388,21),"00"))</f>
        <v/>
      </c>
      <c r="B388">
        <f>IF($J388="","",SUMIFS('Weekly Log'!$C:$C,'Weekly Log'!$A:$A,"&gt;="&amp;$J388,'Weekly Log'!$A:$A,"&lt;"&amp;$J388+7))</f>
        <v/>
      </c>
      <c r="C388">
        <f>IF($J388="","",IFERROR(COUNTIFS('Weekly Log'!$G:$G,"Y",'Weekly Log'!$A:$A,"&gt;="&amp;$J388,'Weekly Log'!$A:$A,"&lt;"&amp;$J388+7)/COUNTIFS('Weekly Log'!$G:$G,"&lt;&gt;",'Weekly Log'!$A:$A,"&gt;="&amp;$J388,'Weekly Log'!$A:$A,"&lt;"&amp;$J388+7),0))</f>
        <v/>
      </c>
      <c r="D388">
        <f>IF($J388="","",IFERROR(COUNTIFS('Weekly Log'!$H:$H,"Y",'Weekly Log'!$A:$A,"&gt;="&amp;$J388,'Weekly Log'!$A:$A,"&lt;"&amp;$J388+7)/COUNTIFS('Weekly Log'!$H:$H,"&lt;&gt;",'Weekly Log'!$A:$A,"&gt;="&amp;$J388,'Weekly Log'!$A:$A,"&lt;"&amp;$J388+7),0))</f>
        <v/>
      </c>
      <c r="E388">
        <f>IF($J388="","",IFERROR(AVERAGEIFS('Weekly Log'!$F:$F,'Weekly Log'!$A:$A,"&gt;="&amp;$J388,'Weekly Log'!$A:$A,"&lt;"&amp;$J388+7),0))</f>
        <v/>
      </c>
      <c r="F388">
        <f>IF($J388="","",IFERROR(SUMIFS('Weekly Log'!$F:$F,'Weekly Log'!$A:$A,"&gt;="&amp;$J388,'Weekly Log'!$A:$A,"&lt;"&amp;$J388+7)/SUMIFS('Weekly Log'!$E:$E,'Weekly Log'!$A:$A,"&gt;="&amp;$J388,'Weekly Log'!$A:$A,"&lt;"&amp;$J388+7),0))</f>
        <v/>
      </c>
      <c r="G388">
        <f>IF($J388="","",IFERROR(LOOKUP(2,1/(('Weekly Log'!$A$5:$A$5000&gt;=$J388)*('Weekly Log'!$A$5:$A$5000&lt;$J388+7)*('Weekly Log'!$M$5:$M$5000&lt;&gt;"")),'Weekly Log'!$M$5:$M$5000),0))</f>
        <v/>
      </c>
      <c r="J388">
        <f>IF(COUNT('Weekly Log'!$A$5:$A$5000)=0,"",IF(MIN('Weekly Log'!$A$5:$A$5000)+7*(ROW()-10)&gt;MAX('Weekly Log'!$A$5:$A$5000),"",MIN('Weekly Log'!$A$5:$A$5000)+7*(ROW()-10)))</f>
        <v/>
      </c>
    </row>
    <row r="389">
      <c r="A389">
        <f>IF($J389="","",YEAR($J389-WEEKDAY($J389,2)+4)&amp;"-W"&amp;TEXT(WEEKNUM($J389,21),"00"))</f>
        <v/>
      </c>
      <c r="B389">
        <f>IF($J389="","",SUMIFS('Weekly Log'!$C:$C,'Weekly Log'!$A:$A,"&gt;="&amp;$J389,'Weekly Log'!$A:$A,"&lt;"&amp;$J389+7))</f>
        <v/>
      </c>
      <c r="C389">
        <f>IF($J389="","",IFERROR(COUNTIFS('Weekly Log'!$G:$G,"Y",'Weekly Log'!$A:$A,"&gt;="&amp;$J389,'Weekly Log'!$A:$A,"&lt;"&amp;$J389+7)/COUNTIFS('Weekly Log'!$G:$G,"&lt;&gt;",'Weekly Log'!$A:$A,"&gt;="&amp;$J389,'Weekly Log'!$A:$A,"&lt;"&amp;$J389+7),0))</f>
        <v/>
      </c>
      <c r="D389">
        <f>IF($J389="","",IFERROR(COUNTIFS('Weekly Log'!$H:$H,"Y",'Weekly Log'!$A:$A,"&gt;="&amp;$J389,'Weekly Log'!$A:$A,"&lt;"&amp;$J389+7)/COUNTIFS('Weekly Log'!$H:$H,"&lt;&gt;",'Weekly Log'!$A:$A,"&gt;="&amp;$J389,'Weekly Log'!$A:$A,"&lt;"&amp;$J389+7),0))</f>
        <v/>
      </c>
      <c r="E389">
        <f>IF($J389="","",IFERROR(AVERAGEIFS('Weekly Log'!$F:$F,'Weekly Log'!$A:$A,"&gt;="&amp;$J389,'Weekly Log'!$A:$A,"&lt;"&amp;$J389+7),0))</f>
        <v/>
      </c>
      <c r="F389">
        <f>IF($J389="","",IFERROR(SUMIFS('Weekly Log'!$F:$F,'Weekly Log'!$A:$A,"&gt;="&amp;$J389,'Weekly Log'!$A:$A,"&lt;"&amp;$J389+7)/SUMIFS('Weekly Log'!$E:$E,'Weekly Log'!$A:$A,"&gt;="&amp;$J389,'Weekly Log'!$A:$A,"&lt;"&amp;$J389+7),0))</f>
        <v/>
      </c>
      <c r="G389">
        <f>IF($J389="","",IFERROR(LOOKUP(2,1/(('Weekly Log'!$A$5:$A$5000&gt;=$J389)*('Weekly Log'!$A$5:$A$5000&lt;$J389+7)*('Weekly Log'!$M$5:$M$5000&lt;&gt;"")),'Weekly Log'!$M$5:$M$5000),0))</f>
        <v/>
      </c>
      <c r="J389">
        <f>IF(COUNT('Weekly Log'!$A$5:$A$5000)=0,"",IF(MIN('Weekly Log'!$A$5:$A$5000)+7*(ROW()-10)&gt;MAX('Weekly Log'!$A$5:$A$5000),"",MIN('Weekly Log'!$A$5:$A$5000)+7*(ROW()-10)))</f>
        <v/>
      </c>
    </row>
    <row r="390">
      <c r="A390">
        <f>IF($J390="","",YEAR($J390-WEEKDAY($J390,2)+4)&amp;"-W"&amp;TEXT(WEEKNUM($J390,21),"00"))</f>
        <v/>
      </c>
      <c r="B390">
        <f>IF($J390="","",SUMIFS('Weekly Log'!$C:$C,'Weekly Log'!$A:$A,"&gt;="&amp;$J390,'Weekly Log'!$A:$A,"&lt;"&amp;$J390+7))</f>
        <v/>
      </c>
      <c r="C390">
        <f>IF($J390="","",IFERROR(COUNTIFS('Weekly Log'!$G:$G,"Y",'Weekly Log'!$A:$A,"&gt;="&amp;$J390,'Weekly Log'!$A:$A,"&lt;"&amp;$J390+7)/COUNTIFS('Weekly Log'!$G:$G,"&lt;&gt;",'Weekly Log'!$A:$A,"&gt;="&amp;$J390,'Weekly Log'!$A:$A,"&lt;"&amp;$J390+7),0))</f>
        <v/>
      </c>
      <c r="D390">
        <f>IF($J390="","",IFERROR(COUNTIFS('Weekly Log'!$H:$H,"Y",'Weekly Log'!$A:$A,"&gt;="&amp;$J390,'Weekly Log'!$A:$A,"&lt;"&amp;$J390+7)/COUNTIFS('Weekly Log'!$H:$H,"&lt;&gt;",'Weekly Log'!$A:$A,"&gt;="&amp;$J390,'Weekly Log'!$A:$A,"&lt;"&amp;$J390+7),0))</f>
        <v/>
      </c>
      <c r="E390">
        <f>IF($J390="","",IFERROR(AVERAGEIFS('Weekly Log'!$F:$F,'Weekly Log'!$A:$A,"&gt;="&amp;$J390,'Weekly Log'!$A:$A,"&lt;"&amp;$J390+7),0))</f>
        <v/>
      </c>
      <c r="F390">
        <f>IF($J390="","",IFERROR(SUMIFS('Weekly Log'!$F:$F,'Weekly Log'!$A:$A,"&gt;="&amp;$J390,'Weekly Log'!$A:$A,"&lt;"&amp;$J390+7)/SUMIFS('Weekly Log'!$E:$E,'Weekly Log'!$A:$A,"&gt;="&amp;$J390,'Weekly Log'!$A:$A,"&lt;"&amp;$J390+7),0))</f>
        <v/>
      </c>
      <c r="G390">
        <f>IF($J390="","",IFERROR(LOOKUP(2,1/(('Weekly Log'!$A$5:$A$5000&gt;=$J390)*('Weekly Log'!$A$5:$A$5000&lt;$J390+7)*('Weekly Log'!$M$5:$M$5000&lt;&gt;"")),'Weekly Log'!$M$5:$M$5000),0))</f>
        <v/>
      </c>
      <c r="J390">
        <f>IF(COUNT('Weekly Log'!$A$5:$A$5000)=0,"",IF(MIN('Weekly Log'!$A$5:$A$5000)+7*(ROW()-10)&gt;MAX('Weekly Log'!$A$5:$A$5000),"",MIN('Weekly Log'!$A$5:$A$5000)+7*(ROW()-10)))</f>
        <v/>
      </c>
    </row>
    <row r="391">
      <c r="A391">
        <f>IF($J391="","",YEAR($J391-WEEKDAY($J391,2)+4)&amp;"-W"&amp;TEXT(WEEKNUM($J391,21),"00"))</f>
        <v/>
      </c>
      <c r="B391">
        <f>IF($J391="","",SUMIFS('Weekly Log'!$C:$C,'Weekly Log'!$A:$A,"&gt;="&amp;$J391,'Weekly Log'!$A:$A,"&lt;"&amp;$J391+7))</f>
        <v/>
      </c>
      <c r="C391">
        <f>IF($J391="","",IFERROR(COUNTIFS('Weekly Log'!$G:$G,"Y",'Weekly Log'!$A:$A,"&gt;="&amp;$J391,'Weekly Log'!$A:$A,"&lt;"&amp;$J391+7)/COUNTIFS('Weekly Log'!$G:$G,"&lt;&gt;",'Weekly Log'!$A:$A,"&gt;="&amp;$J391,'Weekly Log'!$A:$A,"&lt;"&amp;$J391+7),0))</f>
        <v/>
      </c>
      <c r="D391">
        <f>IF($J391="","",IFERROR(COUNTIFS('Weekly Log'!$H:$H,"Y",'Weekly Log'!$A:$A,"&gt;="&amp;$J391,'Weekly Log'!$A:$A,"&lt;"&amp;$J391+7)/COUNTIFS('Weekly Log'!$H:$H,"&lt;&gt;",'Weekly Log'!$A:$A,"&gt;="&amp;$J391,'Weekly Log'!$A:$A,"&lt;"&amp;$J391+7),0))</f>
        <v/>
      </c>
      <c r="E391">
        <f>IF($J391="","",IFERROR(AVERAGEIFS('Weekly Log'!$F:$F,'Weekly Log'!$A:$A,"&gt;="&amp;$J391,'Weekly Log'!$A:$A,"&lt;"&amp;$J391+7),0))</f>
        <v/>
      </c>
      <c r="F391">
        <f>IF($J391="","",IFERROR(SUMIFS('Weekly Log'!$F:$F,'Weekly Log'!$A:$A,"&gt;="&amp;$J391,'Weekly Log'!$A:$A,"&lt;"&amp;$J391+7)/SUMIFS('Weekly Log'!$E:$E,'Weekly Log'!$A:$A,"&gt;="&amp;$J391,'Weekly Log'!$A:$A,"&lt;"&amp;$J391+7),0))</f>
        <v/>
      </c>
      <c r="G391">
        <f>IF($J391="","",IFERROR(LOOKUP(2,1/(('Weekly Log'!$A$5:$A$5000&gt;=$J391)*('Weekly Log'!$A$5:$A$5000&lt;$J391+7)*('Weekly Log'!$M$5:$M$5000&lt;&gt;"")),'Weekly Log'!$M$5:$M$5000),0))</f>
        <v/>
      </c>
      <c r="J391">
        <f>IF(COUNT('Weekly Log'!$A$5:$A$5000)=0,"",IF(MIN('Weekly Log'!$A$5:$A$5000)+7*(ROW()-10)&gt;MAX('Weekly Log'!$A$5:$A$5000),"",MIN('Weekly Log'!$A$5:$A$5000)+7*(ROW()-10)))</f>
        <v/>
      </c>
    </row>
    <row r="392">
      <c r="A392">
        <f>IF($J392="","",YEAR($J392-WEEKDAY($J392,2)+4)&amp;"-W"&amp;TEXT(WEEKNUM($J392,21),"00"))</f>
        <v/>
      </c>
      <c r="B392">
        <f>IF($J392="","",SUMIFS('Weekly Log'!$C:$C,'Weekly Log'!$A:$A,"&gt;="&amp;$J392,'Weekly Log'!$A:$A,"&lt;"&amp;$J392+7))</f>
        <v/>
      </c>
      <c r="C392">
        <f>IF($J392="","",IFERROR(COUNTIFS('Weekly Log'!$G:$G,"Y",'Weekly Log'!$A:$A,"&gt;="&amp;$J392,'Weekly Log'!$A:$A,"&lt;"&amp;$J392+7)/COUNTIFS('Weekly Log'!$G:$G,"&lt;&gt;",'Weekly Log'!$A:$A,"&gt;="&amp;$J392,'Weekly Log'!$A:$A,"&lt;"&amp;$J392+7),0))</f>
        <v/>
      </c>
      <c r="D392">
        <f>IF($J392="","",IFERROR(COUNTIFS('Weekly Log'!$H:$H,"Y",'Weekly Log'!$A:$A,"&gt;="&amp;$J392,'Weekly Log'!$A:$A,"&lt;"&amp;$J392+7)/COUNTIFS('Weekly Log'!$H:$H,"&lt;&gt;",'Weekly Log'!$A:$A,"&gt;="&amp;$J392,'Weekly Log'!$A:$A,"&lt;"&amp;$J392+7),0))</f>
        <v/>
      </c>
      <c r="E392">
        <f>IF($J392="","",IFERROR(AVERAGEIFS('Weekly Log'!$F:$F,'Weekly Log'!$A:$A,"&gt;="&amp;$J392,'Weekly Log'!$A:$A,"&lt;"&amp;$J392+7),0))</f>
        <v/>
      </c>
      <c r="F392">
        <f>IF($J392="","",IFERROR(SUMIFS('Weekly Log'!$F:$F,'Weekly Log'!$A:$A,"&gt;="&amp;$J392,'Weekly Log'!$A:$A,"&lt;"&amp;$J392+7)/SUMIFS('Weekly Log'!$E:$E,'Weekly Log'!$A:$A,"&gt;="&amp;$J392,'Weekly Log'!$A:$A,"&lt;"&amp;$J392+7),0))</f>
        <v/>
      </c>
      <c r="G392">
        <f>IF($J392="","",IFERROR(LOOKUP(2,1/(('Weekly Log'!$A$5:$A$5000&gt;=$J392)*('Weekly Log'!$A$5:$A$5000&lt;$J392+7)*('Weekly Log'!$M$5:$M$5000&lt;&gt;"")),'Weekly Log'!$M$5:$M$5000),0))</f>
        <v/>
      </c>
      <c r="J392">
        <f>IF(COUNT('Weekly Log'!$A$5:$A$5000)=0,"",IF(MIN('Weekly Log'!$A$5:$A$5000)+7*(ROW()-10)&gt;MAX('Weekly Log'!$A$5:$A$5000),"",MIN('Weekly Log'!$A$5:$A$5000)+7*(ROW()-10)))</f>
        <v/>
      </c>
    </row>
    <row r="393">
      <c r="A393">
        <f>IF($J393="","",YEAR($J393-WEEKDAY($J393,2)+4)&amp;"-W"&amp;TEXT(WEEKNUM($J393,21),"00"))</f>
        <v/>
      </c>
      <c r="B393">
        <f>IF($J393="","",SUMIFS('Weekly Log'!$C:$C,'Weekly Log'!$A:$A,"&gt;="&amp;$J393,'Weekly Log'!$A:$A,"&lt;"&amp;$J393+7))</f>
        <v/>
      </c>
      <c r="C393">
        <f>IF($J393="","",IFERROR(COUNTIFS('Weekly Log'!$G:$G,"Y",'Weekly Log'!$A:$A,"&gt;="&amp;$J393,'Weekly Log'!$A:$A,"&lt;"&amp;$J393+7)/COUNTIFS('Weekly Log'!$G:$G,"&lt;&gt;",'Weekly Log'!$A:$A,"&gt;="&amp;$J393,'Weekly Log'!$A:$A,"&lt;"&amp;$J393+7),0))</f>
        <v/>
      </c>
      <c r="D393">
        <f>IF($J393="","",IFERROR(COUNTIFS('Weekly Log'!$H:$H,"Y",'Weekly Log'!$A:$A,"&gt;="&amp;$J393,'Weekly Log'!$A:$A,"&lt;"&amp;$J393+7)/COUNTIFS('Weekly Log'!$H:$H,"&lt;&gt;",'Weekly Log'!$A:$A,"&gt;="&amp;$J393,'Weekly Log'!$A:$A,"&lt;"&amp;$J393+7),0))</f>
        <v/>
      </c>
      <c r="E393">
        <f>IF($J393="","",IFERROR(AVERAGEIFS('Weekly Log'!$F:$F,'Weekly Log'!$A:$A,"&gt;="&amp;$J393,'Weekly Log'!$A:$A,"&lt;"&amp;$J393+7),0))</f>
        <v/>
      </c>
      <c r="F393">
        <f>IF($J393="","",IFERROR(SUMIFS('Weekly Log'!$F:$F,'Weekly Log'!$A:$A,"&gt;="&amp;$J393,'Weekly Log'!$A:$A,"&lt;"&amp;$J393+7)/SUMIFS('Weekly Log'!$E:$E,'Weekly Log'!$A:$A,"&gt;="&amp;$J393,'Weekly Log'!$A:$A,"&lt;"&amp;$J393+7),0))</f>
        <v/>
      </c>
      <c r="G393">
        <f>IF($J393="","",IFERROR(LOOKUP(2,1/(('Weekly Log'!$A$5:$A$5000&gt;=$J393)*('Weekly Log'!$A$5:$A$5000&lt;$J393+7)*('Weekly Log'!$M$5:$M$5000&lt;&gt;"")),'Weekly Log'!$M$5:$M$5000),0))</f>
        <v/>
      </c>
      <c r="J393">
        <f>IF(COUNT('Weekly Log'!$A$5:$A$5000)=0,"",IF(MIN('Weekly Log'!$A$5:$A$5000)+7*(ROW()-10)&gt;MAX('Weekly Log'!$A$5:$A$5000),"",MIN('Weekly Log'!$A$5:$A$5000)+7*(ROW()-10)))</f>
        <v/>
      </c>
    </row>
    <row r="394">
      <c r="A394">
        <f>IF($J394="","",YEAR($J394-WEEKDAY($J394,2)+4)&amp;"-W"&amp;TEXT(WEEKNUM($J394,21),"00"))</f>
        <v/>
      </c>
      <c r="B394">
        <f>IF($J394="","",SUMIFS('Weekly Log'!$C:$C,'Weekly Log'!$A:$A,"&gt;="&amp;$J394,'Weekly Log'!$A:$A,"&lt;"&amp;$J394+7))</f>
        <v/>
      </c>
      <c r="C394">
        <f>IF($J394="","",IFERROR(COUNTIFS('Weekly Log'!$G:$G,"Y",'Weekly Log'!$A:$A,"&gt;="&amp;$J394,'Weekly Log'!$A:$A,"&lt;"&amp;$J394+7)/COUNTIFS('Weekly Log'!$G:$G,"&lt;&gt;",'Weekly Log'!$A:$A,"&gt;="&amp;$J394,'Weekly Log'!$A:$A,"&lt;"&amp;$J394+7),0))</f>
        <v/>
      </c>
      <c r="D394">
        <f>IF($J394="","",IFERROR(COUNTIFS('Weekly Log'!$H:$H,"Y",'Weekly Log'!$A:$A,"&gt;="&amp;$J394,'Weekly Log'!$A:$A,"&lt;"&amp;$J394+7)/COUNTIFS('Weekly Log'!$H:$H,"&lt;&gt;",'Weekly Log'!$A:$A,"&gt;="&amp;$J394,'Weekly Log'!$A:$A,"&lt;"&amp;$J394+7),0))</f>
        <v/>
      </c>
      <c r="E394">
        <f>IF($J394="","",IFERROR(AVERAGEIFS('Weekly Log'!$F:$F,'Weekly Log'!$A:$A,"&gt;="&amp;$J394,'Weekly Log'!$A:$A,"&lt;"&amp;$J394+7),0))</f>
        <v/>
      </c>
      <c r="F394">
        <f>IF($J394="","",IFERROR(SUMIFS('Weekly Log'!$F:$F,'Weekly Log'!$A:$A,"&gt;="&amp;$J394,'Weekly Log'!$A:$A,"&lt;"&amp;$J394+7)/SUMIFS('Weekly Log'!$E:$E,'Weekly Log'!$A:$A,"&gt;="&amp;$J394,'Weekly Log'!$A:$A,"&lt;"&amp;$J394+7),0))</f>
        <v/>
      </c>
      <c r="G394">
        <f>IF($J394="","",IFERROR(LOOKUP(2,1/(('Weekly Log'!$A$5:$A$5000&gt;=$J394)*('Weekly Log'!$A$5:$A$5000&lt;$J394+7)*('Weekly Log'!$M$5:$M$5000&lt;&gt;"")),'Weekly Log'!$M$5:$M$5000),0))</f>
        <v/>
      </c>
      <c r="J394">
        <f>IF(COUNT('Weekly Log'!$A$5:$A$5000)=0,"",IF(MIN('Weekly Log'!$A$5:$A$5000)+7*(ROW()-10)&gt;MAX('Weekly Log'!$A$5:$A$5000),"",MIN('Weekly Log'!$A$5:$A$5000)+7*(ROW()-10)))</f>
        <v/>
      </c>
    </row>
    <row r="395">
      <c r="A395">
        <f>IF($J395="","",YEAR($J395-WEEKDAY($J395,2)+4)&amp;"-W"&amp;TEXT(WEEKNUM($J395,21),"00"))</f>
        <v/>
      </c>
      <c r="B395">
        <f>IF($J395="","",SUMIFS('Weekly Log'!$C:$C,'Weekly Log'!$A:$A,"&gt;="&amp;$J395,'Weekly Log'!$A:$A,"&lt;"&amp;$J395+7))</f>
        <v/>
      </c>
      <c r="C395">
        <f>IF($J395="","",IFERROR(COUNTIFS('Weekly Log'!$G:$G,"Y",'Weekly Log'!$A:$A,"&gt;="&amp;$J395,'Weekly Log'!$A:$A,"&lt;"&amp;$J395+7)/COUNTIFS('Weekly Log'!$G:$G,"&lt;&gt;",'Weekly Log'!$A:$A,"&gt;="&amp;$J395,'Weekly Log'!$A:$A,"&lt;"&amp;$J395+7),0))</f>
        <v/>
      </c>
      <c r="D395">
        <f>IF($J395="","",IFERROR(COUNTIFS('Weekly Log'!$H:$H,"Y",'Weekly Log'!$A:$A,"&gt;="&amp;$J395,'Weekly Log'!$A:$A,"&lt;"&amp;$J395+7)/COUNTIFS('Weekly Log'!$H:$H,"&lt;&gt;",'Weekly Log'!$A:$A,"&gt;="&amp;$J395,'Weekly Log'!$A:$A,"&lt;"&amp;$J395+7),0))</f>
        <v/>
      </c>
      <c r="E395">
        <f>IF($J395="","",IFERROR(AVERAGEIFS('Weekly Log'!$F:$F,'Weekly Log'!$A:$A,"&gt;="&amp;$J395,'Weekly Log'!$A:$A,"&lt;"&amp;$J395+7),0))</f>
        <v/>
      </c>
      <c r="F395">
        <f>IF($J395="","",IFERROR(SUMIFS('Weekly Log'!$F:$F,'Weekly Log'!$A:$A,"&gt;="&amp;$J395,'Weekly Log'!$A:$A,"&lt;"&amp;$J395+7)/SUMIFS('Weekly Log'!$E:$E,'Weekly Log'!$A:$A,"&gt;="&amp;$J395,'Weekly Log'!$A:$A,"&lt;"&amp;$J395+7),0))</f>
        <v/>
      </c>
      <c r="G395">
        <f>IF($J395="","",IFERROR(LOOKUP(2,1/(('Weekly Log'!$A$5:$A$5000&gt;=$J395)*('Weekly Log'!$A$5:$A$5000&lt;$J395+7)*('Weekly Log'!$M$5:$M$5000&lt;&gt;"")),'Weekly Log'!$M$5:$M$5000),0))</f>
        <v/>
      </c>
      <c r="J395">
        <f>IF(COUNT('Weekly Log'!$A$5:$A$5000)=0,"",IF(MIN('Weekly Log'!$A$5:$A$5000)+7*(ROW()-10)&gt;MAX('Weekly Log'!$A$5:$A$5000),"",MIN('Weekly Log'!$A$5:$A$5000)+7*(ROW()-10)))</f>
        <v/>
      </c>
    </row>
    <row r="396">
      <c r="A396">
        <f>IF($J396="","",YEAR($J396-WEEKDAY($J396,2)+4)&amp;"-W"&amp;TEXT(WEEKNUM($J396,21),"00"))</f>
        <v/>
      </c>
      <c r="B396">
        <f>IF($J396="","",SUMIFS('Weekly Log'!$C:$C,'Weekly Log'!$A:$A,"&gt;="&amp;$J396,'Weekly Log'!$A:$A,"&lt;"&amp;$J396+7))</f>
        <v/>
      </c>
      <c r="C396">
        <f>IF($J396="","",IFERROR(COUNTIFS('Weekly Log'!$G:$G,"Y",'Weekly Log'!$A:$A,"&gt;="&amp;$J396,'Weekly Log'!$A:$A,"&lt;"&amp;$J396+7)/COUNTIFS('Weekly Log'!$G:$G,"&lt;&gt;",'Weekly Log'!$A:$A,"&gt;="&amp;$J396,'Weekly Log'!$A:$A,"&lt;"&amp;$J396+7),0))</f>
        <v/>
      </c>
      <c r="D396">
        <f>IF($J396="","",IFERROR(COUNTIFS('Weekly Log'!$H:$H,"Y",'Weekly Log'!$A:$A,"&gt;="&amp;$J396,'Weekly Log'!$A:$A,"&lt;"&amp;$J396+7)/COUNTIFS('Weekly Log'!$H:$H,"&lt;&gt;",'Weekly Log'!$A:$A,"&gt;="&amp;$J396,'Weekly Log'!$A:$A,"&lt;"&amp;$J396+7),0))</f>
        <v/>
      </c>
      <c r="E396">
        <f>IF($J396="","",IFERROR(AVERAGEIFS('Weekly Log'!$F:$F,'Weekly Log'!$A:$A,"&gt;="&amp;$J396,'Weekly Log'!$A:$A,"&lt;"&amp;$J396+7),0))</f>
        <v/>
      </c>
      <c r="F396">
        <f>IF($J396="","",IFERROR(SUMIFS('Weekly Log'!$F:$F,'Weekly Log'!$A:$A,"&gt;="&amp;$J396,'Weekly Log'!$A:$A,"&lt;"&amp;$J396+7)/SUMIFS('Weekly Log'!$E:$E,'Weekly Log'!$A:$A,"&gt;="&amp;$J396,'Weekly Log'!$A:$A,"&lt;"&amp;$J396+7),0))</f>
        <v/>
      </c>
      <c r="G396">
        <f>IF($J396="","",IFERROR(LOOKUP(2,1/(('Weekly Log'!$A$5:$A$5000&gt;=$J396)*('Weekly Log'!$A$5:$A$5000&lt;$J396+7)*('Weekly Log'!$M$5:$M$5000&lt;&gt;"")),'Weekly Log'!$M$5:$M$5000),0))</f>
        <v/>
      </c>
      <c r="J396">
        <f>IF(COUNT('Weekly Log'!$A$5:$A$5000)=0,"",IF(MIN('Weekly Log'!$A$5:$A$5000)+7*(ROW()-10)&gt;MAX('Weekly Log'!$A$5:$A$5000),"",MIN('Weekly Log'!$A$5:$A$5000)+7*(ROW()-10)))</f>
        <v/>
      </c>
    </row>
    <row r="397">
      <c r="A397">
        <f>IF($J397="","",YEAR($J397-WEEKDAY($J397,2)+4)&amp;"-W"&amp;TEXT(WEEKNUM($J397,21),"00"))</f>
        <v/>
      </c>
      <c r="B397">
        <f>IF($J397="","",SUMIFS('Weekly Log'!$C:$C,'Weekly Log'!$A:$A,"&gt;="&amp;$J397,'Weekly Log'!$A:$A,"&lt;"&amp;$J397+7))</f>
        <v/>
      </c>
      <c r="C397">
        <f>IF($J397="","",IFERROR(COUNTIFS('Weekly Log'!$G:$G,"Y",'Weekly Log'!$A:$A,"&gt;="&amp;$J397,'Weekly Log'!$A:$A,"&lt;"&amp;$J397+7)/COUNTIFS('Weekly Log'!$G:$G,"&lt;&gt;",'Weekly Log'!$A:$A,"&gt;="&amp;$J397,'Weekly Log'!$A:$A,"&lt;"&amp;$J397+7),0))</f>
        <v/>
      </c>
      <c r="D397">
        <f>IF($J397="","",IFERROR(COUNTIFS('Weekly Log'!$H:$H,"Y",'Weekly Log'!$A:$A,"&gt;="&amp;$J397,'Weekly Log'!$A:$A,"&lt;"&amp;$J397+7)/COUNTIFS('Weekly Log'!$H:$H,"&lt;&gt;",'Weekly Log'!$A:$A,"&gt;="&amp;$J397,'Weekly Log'!$A:$A,"&lt;"&amp;$J397+7),0))</f>
        <v/>
      </c>
      <c r="E397">
        <f>IF($J397="","",IFERROR(AVERAGEIFS('Weekly Log'!$F:$F,'Weekly Log'!$A:$A,"&gt;="&amp;$J397,'Weekly Log'!$A:$A,"&lt;"&amp;$J397+7),0))</f>
        <v/>
      </c>
      <c r="F397">
        <f>IF($J397="","",IFERROR(SUMIFS('Weekly Log'!$F:$F,'Weekly Log'!$A:$A,"&gt;="&amp;$J397,'Weekly Log'!$A:$A,"&lt;"&amp;$J397+7)/SUMIFS('Weekly Log'!$E:$E,'Weekly Log'!$A:$A,"&gt;="&amp;$J397,'Weekly Log'!$A:$A,"&lt;"&amp;$J397+7),0))</f>
        <v/>
      </c>
      <c r="G397">
        <f>IF($J397="","",IFERROR(LOOKUP(2,1/(('Weekly Log'!$A$5:$A$5000&gt;=$J397)*('Weekly Log'!$A$5:$A$5000&lt;$J397+7)*('Weekly Log'!$M$5:$M$5000&lt;&gt;"")),'Weekly Log'!$M$5:$M$5000),0))</f>
        <v/>
      </c>
      <c r="J397">
        <f>IF(COUNT('Weekly Log'!$A$5:$A$5000)=0,"",IF(MIN('Weekly Log'!$A$5:$A$5000)+7*(ROW()-10)&gt;MAX('Weekly Log'!$A$5:$A$5000),"",MIN('Weekly Log'!$A$5:$A$5000)+7*(ROW()-10)))</f>
        <v/>
      </c>
    </row>
    <row r="398">
      <c r="A398">
        <f>IF($J398="","",YEAR($J398-WEEKDAY($J398,2)+4)&amp;"-W"&amp;TEXT(WEEKNUM($J398,21),"00"))</f>
        <v/>
      </c>
      <c r="B398">
        <f>IF($J398="","",SUMIFS('Weekly Log'!$C:$C,'Weekly Log'!$A:$A,"&gt;="&amp;$J398,'Weekly Log'!$A:$A,"&lt;"&amp;$J398+7))</f>
        <v/>
      </c>
      <c r="C398">
        <f>IF($J398="","",IFERROR(COUNTIFS('Weekly Log'!$G:$G,"Y",'Weekly Log'!$A:$A,"&gt;="&amp;$J398,'Weekly Log'!$A:$A,"&lt;"&amp;$J398+7)/COUNTIFS('Weekly Log'!$G:$G,"&lt;&gt;",'Weekly Log'!$A:$A,"&gt;="&amp;$J398,'Weekly Log'!$A:$A,"&lt;"&amp;$J398+7),0))</f>
        <v/>
      </c>
      <c r="D398">
        <f>IF($J398="","",IFERROR(COUNTIFS('Weekly Log'!$H:$H,"Y",'Weekly Log'!$A:$A,"&gt;="&amp;$J398,'Weekly Log'!$A:$A,"&lt;"&amp;$J398+7)/COUNTIFS('Weekly Log'!$H:$H,"&lt;&gt;",'Weekly Log'!$A:$A,"&gt;="&amp;$J398,'Weekly Log'!$A:$A,"&lt;"&amp;$J398+7),0))</f>
        <v/>
      </c>
      <c r="E398">
        <f>IF($J398="","",IFERROR(AVERAGEIFS('Weekly Log'!$F:$F,'Weekly Log'!$A:$A,"&gt;="&amp;$J398,'Weekly Log'!$A:$A,"&lt;"&amp;$J398+7),0))</f>
        <v/>
      </c>
      <c r="F398">
        <f>IF($J398="","",IFERROR(SUMIFS('Weekly Log'!$F:$F,'Weekly Log'!$A:$A,"&gt;="&amp;$J398,'Weekly Log'!$A:$A,"&lt;"&amp;$J398+7)/SUMIFS('Weekly Log'!$E:$E,'Weekly Log'!$A:$A,"&gt;="&amp;$J398,'Weekly Log'!$A:$A,"&lt;"&amp;$J398+7),0))</f>
        <v/>
      </c>
      <c r="G398">
        <f>IF($J398="","",IFERROR(LOOKUP(2,1/(('Weekly Log'!$A$5:$A$5000&gt;=$J398)*('Weekly Log'!$A$5:$A$5000&lt;$J398+7)*('Weekly Log'!$M$5:$M$5000&lt;&gt;"")),'Weekly Log'!$M$5:$M$5000),0))</f>
        <v/>
      </c>
      <c r="J398">
        <f>IF(COUNT('Weekly Log'!$A$5:$A$5000)=0,"",IF(MIN('Weekly Log'!$A$5:$A$5000)+7*(ROW()-10)&gt;MAX('Weekly Log'!$A$5:$A$5000),"",MIN('Weekly Log'!$A$5:$A$5000)+7*(ROW()-10)))</f>
        <v/>
      </c>
    </row>
    <row r="399">
      <c r="A399">
        <f>IF($J399="","",YEAR($J399-WEEKDAY($J399,2)+4)&amp;"-W"&amp;TEXT(WEEKNUM($J399,21),"00"))</f>
        <v/>
      </c>
      <c r="B399">
        <f>IF($J399="","",SUMIFS('Weekly Log'!$C:$C,'Weekly Log'!$A:$A,"&gt;="&amp;$J399,'Weekly Log'!$A:$A,"&lt;"&amp;$J399+7))</f>
        <v/>
      </c>
      <c r="C399">
        <f>IF($J399="","",IFERROR(COUNTIFS('Weekly Log'!$G:$G,"Y",'Weekly Log'!$A:$A,"&gt;="&amp;$J399,'Weekly Log'!$A:$A,"&lt;"&amp;$J399+7)/COUNTIFS('Weekly Log'!$G:$G,"&lt;&gt;",'Weekly Log'!$A:$A,"&gt;="&amp;$J399,'Weekly Log'!$A:$A,"&lt;"&amp;$J399+7),0))</f>
        <v/>
      </c>
      <c r="D399">
        <f>IF($J399="","",IFERROR(COUNTIFS('Weekly Log'!$H:$H,"Y",'Weekly Log'!$A:$A,"&gt;="&amp;$J399,'Weekly Log'!$A:$A,"&lt;"&amp;$J399+7)/COUNTIFS('Weekly Log'!$H:$H,"&lt;&gt;",'Weekly Log'!$A:$A,"&gt;="&amp;$J399,'Weekly Log'!$A:$A,"&lt;"&amp;$J399+7),0))</f>
        <v/>
      </c>
      <c r="E399">
        <f>IF($J399="","",IFERROR(AVERAGEIFS('Weekly Log'!$F:$F,'Weekly Log'!$A:$A,"&gt;="&amp;$J399,'Weekly Log'!$A:$A,"&lt;"&amp;$J399+7),0))</f>
        <v/>
      </c>
      <c r="F399">
        <f>IF($J399="","",IFERROR(SUMIFS('Weekly Log'!$F:$F,'Weekly Log'!$A:$A,"&gt;="&amp;$J399,'Weekly Log'!$A:$A,"&lt;"&amp;$J399+7)/SUMIFS('Weekly Log'!$E:$E,'Weekly Log'!$A:$A,"&gt;="&amp;$J399,'Weekly Log'!$A:$A,"&lt;"&amp;$J399+7),0))</f>
        <v/>
      </c>
      <c r="G399">
        <f>IF($J399="","",IFERROR(LOOKUP(2,1/(('Weekly Log'!$A$5:$A$5000&gt;=$J399)*('Weekly Log'!$A$5:$A$5000&lt;$J399+7)*('Weekly Log'!$M$5:$M$5000&lt;&gt;"")),'Weekly Log'!$M$5:$M$5000),0))</f>
        <v/>
      </c>
      <c r="J399">
        <f>IF(COUNT('Weekly Log'!$A$5:$A$5000)=0,"",IF(MIN('Weekly Log'!$A$5:$A$5000)+7*(ROW()-10)&gt;MAX('Weekly Log'!$A$5:$A$5000),"",MIN('Weekly Log'!$A$5:$A$5000)+7*(ROW()-10)))</f>
        <v/>
      </c>
    </row>
    <row r="400">
      <c r="A400">
        <f>IF($J400="","",YEAR($J400-WEEKDAY($J400,2)+4)&amp;"-W"&amp;TEXT(WEEKNUM($J400,21),"00"))</f>
        <v/>
      </c>
      <c r="B400">
        <f>IF($J400="","",SUMIFS('Weekly Log'!$C:$C,'Weekly Log'!$A:$A,"&gt;="&amp;$J400,'Weekly Log'!$A:$A,"&lt;"&amp;$J400+7))</f>
        <v/>
      </c>
      <c r="C400">
        <f>IF($J400="","",IFERROR(COUNTIFS('Weekly Log'!$G:$G,"Y",'Weekly Log'!$A:$A,"&gt;="&amp;$J400,'Weekly Log'!$A:$A,"&lt;"&amp;$J400+7)/COUNTIFS('Weekly Log'!$G:$G,"&lt;&gt;",'Weekly Log'!$A:$A,"&gt;="&amp;$J400,'Weekly Log'!$A:$A,"&lt;"&amp;$J400+7),0))</f>
        <v/>
      </c>
      <c r="D400">
        <f>IF($J400="","",IFERROR(COUNTIFS('Weekly Log'!$H:$H,"Y",'Weekly Log'!$A:$A,"&gt;="&amp;$J400,'Weekly Log'!$A:$A,"&lt;"&amp;$J400+7)/COUNTIFS('Weekly Log'!$H:$H,"&lt;&gt;",'Weekly Log'!$A:$A,"&gt;="&amp;$J400,'Weekly Log'!$A:$A,"&lt;"&amp;$J400+7),0))</f>
        <v/>
      </c>
      <c r="E400">
        <f>IF($J400="","",IFERROR(AVERAGEIFS('Weekly Log'!$F:$F,'Weekly Log'!$A:$A,"&gt;="&amp;$J400,'Weekly Log'!$A:$A,"&lt;"&amp;$J400+7),0))</f>
        <v/>
      </c>
      <c r="F400">
        <f>IF($J400="","",IFERROR(SUMIFS('Weekly Log'!$F:$F,'Weekly Log'!$A:$A,"&gt;="&amp;$J400,'Weekly Log'!$A:$A,"&lt;"&amp;$J400+7)/SUMIFS('Weekly Log'!$E:$E,'Weekly Log'!$A:$A,"&gt;="&amp;$J400,'Weekly Log'!$A:$A,"&lt;"&amp;$J400+7),0))</f>
        <v/>
      </c>
      <c r="G400">
        <f>IF($J400="","",IFERROR(LOOKUP(2,1/(('Weekly Log'!$A$5:$A$5000&gt;=$J400)*('Weekly Log'!$A$5:$A$5000&lt;$J400+7)*('Weekly Log'!$M$5:$M$5000&lt;&gt;"")),'Weekly Log'!$M$5:$M$5000),0))</f>
        <v/>
      </c>
      <c r="J400">
        <f>IF(COUNT('Weekly Log'!$A$5:$A$5000)=0,"",IF(MIN('Weekly Log'!$A$5:$A$5000)+7*(ROW()-10)&gt;MAX('Weekly Log'!$A$5:$A$5000),"",MIN('Weekly Log'!$A$5:$A$5000)+7*(ROW()-10)))</f>
        <v/>
      </c>
    </row>
    <row r="401">
      <c r="A401">
        <f>IF($J401="","",YEAR($J401-WEEKDAY($J401,2)+4)&amp;"-W"&amp;TEXT(WEEKNUM($J401,21),"00"))</f>
        <v/>
      </c>
      <c r="B401">
        <f>IF($J401="","",SUMIFS('Weekly Log'!$C:$C,'Weekly Log'!$A:$A,"&gt;="&amp;$J401,'Weekly Log'!$A:$A,"&lt;"&amp;$J401+7))</f>
        <v/>
      </c>
      <c r="C401">
        <f>IF($J401="","",IFERROR(COUNTIFS('Weekly Log'!$G:$G,"Y",'Weekly Log'!$A:$A,"&gt;="&amp;$J401,'Weekly Log'!$A:$A,"&lt;"&amp;$J401+7)/COUNTIFS('Weekly Log'!$G:$G,"&lt;&gt;",'Weekly Log'!$A:$A,"&gt;="&amp;$J401,'Weekly Log'!$A:$A,"&lt;"&amp;$J401+7),0))</f>
        <v/>
      </c>
      <c r="D401">
        <f>IF($J401="","",IFERROR(COUNTIFS('Weekly Log'!$H:$H,"Y",'Weekly Log'!$A:$A,"&gt;="&amp;$J401,'Weekly Log'!$A:$A,"&lt;"&amp;$J401+7)/COUNTIFS('Weekly Log'!$H:$H,"&lt;&gt;",'Weekly Log'!$A:$A,"&gt;="&amp;$J401,'Weekly Log'!$A:$A,"&lt;"&amp;$J401+7),0))</f>
        <v/>
      </c>
      <c r="E401">
        <f>IF($J401="","",IFERROR(AVERAGEIFS('Weekly Log'!$F:$F,'Weekly Log'!$A:$A,"&gt;="&amp;$J401,'Weekly Log'!$A:$A,"&lt;"&amp;$J401+7),0))</f>
        <v/>
      </c>
      <c r="F401">
        <f>IF($J401="","",IFERROR(SUMIFS('Weekly Log'!$F:$F,'Weekly Log'!$A:$A,"&gt;="&amp;$J401,'Weekly Log'!$A:$A,"&lt;"&amp;$J401+7)/SUMIFS('Weekly Log'!$E:$E,'Weekly Log'!$A:$A,"&gt;="&amp;$J401,'Weekly Log'!$A:$A,"&lt;"&amp;$J401+7),0))</f>
        <v/>
      </c>
      <c r="G401">
        <f>IF($J401="","",IFERROR(LOOKUP(2,1/(('Weekly Log'!$A$5:$A$5000&gt;=$J401)*('Weekly Log'!$A$5:$A$5000&lt;$J401+7)*('Weekly Log'!$M$5:$M$5000&lt;&gt;"")),'Weekly Log'!$M$5:$M$5000),0))</f>
        <v/>
      </c>
      <c r="J401">
        <f>IF(COUNT('Weekly Log'!$A$5:$A$5000)=0,"",IF(MIN('Weekly Log'!$A$5:$A$5000)+7*(ROW()-10)&gt;MAX('Weekly Log'!$A$5:$A$5000),"",MIN('Weekly Log'!$A$5:$A$5000)+7*(ROW()-10)))</f>
        <v/>
      </c>
    </row>
    <row r="402">
      <c r="A402">
        <f>IF($J402="","",YEAR($J402-WEEKDAY($J402,2)+4)&amp;"-W"&amp;TEXT(WEEKNUM($J402,21),"00"))</f>
        <v/>
      </c>
      <c r="B402">
        <f>IF($J402="","",SUMIFS('Weekly Log'!$C:$C,'Weekly Log'!$A:$A,"&gt;="&amp;$J402,'Weekly Log'!$A:$A,"&lt;"&amp;$J402+7))</f>
        <v/>
      </c>
      <c r="C402">
        <f>IF($J402="","",IFERROR(COUNTIFS('Weekly Log'!$G:$G,"Y",'Weekly Log'!$A:$A,"&gt;="&amp;$J402,'Weekly Log'!$A:$A,"&lt;"&amp;$J402+7)/COUNTIFS('Weekly Log'!$G:$G,"&lt;&gt;",'Weekly Log'!$A:$A,"&gt;="&amp;$J402,'Weekly Log'!$A:$A,"&lt;"&amp;$J402+7),0))</f>
        <v/>
      </c>
      <c r="D402">
        <f>IF($J402="","",IFERROR(COUNTIFS('Weekly Log'!$H:$H,"Y",'Weekly Log'!$A:$A,"&gt;="&amp;$J402,'Weekly Log'!$A:$A,"&lt;"&amp;$J402+7)/COUNTIFS('Weekly Log'!$H:$H,"&lt;&gt;",'Weekly Log'!$A:$A,"&gt;="&amp;$J402,'Weekly Log'!$A:$A,"&lt;"&amp;$J402+7),0))</f>
        <v/>
      </c>
      <c r="E402">
        <f>IF($J402="","",IFERROR(AVERAGEIFS('Weekly Log'!$F:$F,'Weekly Log'!$A:$A,"&gt;="&amp;$J402,'Weekly Log'!$A:$A,"&lt;"&amp;$J402+7),0))</f>
        <v/>
      </c>
      <c r="F402">
        <f>IF($J402="","",IFERROR(SUMIFS('Weekly Log'!$F:$F,'Weekly Log'!$A:$A,"&gt;="&amp;$J402,'Weekly Log'!$A:$A,"&lt;"&amp;$J402+7)/SUMIFS('Weekly Log'!$E:$E,'Weekly Log'!$A:$A,"&gt;="&amp;$J402,'Weekly Log'!$A:$A,"&lt;"&amp;$J402+7),0))</f>
        <v/>
      </c>
      <c r="G402">
        <f>IF($J402="","",IFERROR(LOOKUP(2,1/(('Weekly Log'!$A$5:$A$5000&gt;=$J402)*('Weekly Log'!$A$5:$A$5000&lt;$J402+7)*('Weekly Log'!$M$5:$M$5000&lt;&gt;"")),'Weekly Log'!$M$5:$M$5000),0))</f>
        <v/>
      </c>
      <c r="J402">
        <f>IF(COUNT('Weekly Log'!$A$5:$A$5000)=0,"",IF(MIN('Weekly Log'!$A$5:$A$5000)+7*(ROW()-10)&gt;MAX('Weekly Log'!$A$5:$A$5000),"",MIN('Weekly Log'!$A$5:$A$5000)+7*(ROW()-10)))</f>
        <v/>
      </c>
    </row>
    <row r="403">
      <c r="A403">
        <f>IF($J403="","",YEAR($J403-WEEKDAY($J403,2)+4)&amp;"-W"&amp;TEXT(WEEKNUM($J403,21),"00"))</f>
        <v/>
      </c>
      <c r="B403">
        <f>IF($J403="","",SUMIFS('Weekly Log'!$C:$C,'Weekly Log'!$A:$A,"&gt;="&amp;$J403,'Weekly Log'!$A:$A,"&lt;"&amp;$J403+7))</f>
        <v/>
      </c>
      <c r="C403">
        <f>IF($J403="","",IFERROR(COUNTIFS('Weekly Log'!$G:$G,"Y",'Weekly Log'!$A:$A,"&gt;="&amp;$J403,'Weekly Log'!$A:$A,"&lt;"&amp;$J403+7)/COUNTIFS('Weekly Log'!$G:$G,"&lt;&gt;",'Weekly Log'!$A:$A,"&gt;="&amp;$J403,'Weekly Log'!$A:$A,"&lt;"&amp;$J403+7),0))</f>
        <v/>
      </c>
      <c r="D403">
        <f>IF($J403="","",IFERROR(COUNTIFS('Weekly Log'!$H:$H,"Y",'Weekly Log'!$A:$A,"&gt;="&amp;$J403,'Weekly Log'!$A:$A,"&lt;"&amp;$J403+7)/COUNTIFS('Weekly Log'!$H:$H,"&lt;&gt;",'Weekly Log'!$A:$A,"&gt;="&amp;$J403,'Weekly Log'!$A:$A,"&lt;"&amp;$J403+7),0))</f>
        <v/>
      </c>
      <c r="E403">
        <f>IF($J403="","",IFERROR(AVERAGEIFS('Weekly Log'!$F:$F,'Weekly Log'!$A:$A,"&gt;="&amp;$J403,'Weekly Log'!$A:$A,"&lt;"&amp;$J403+7),0))</f>
        <v/>
      </c>
      <c r="F403">
        <f>IF($J403="","",IFERROR(SUMIFS('Weekly Log'!$F:$F,'Weekly Log'!$A:$A,"&gt;="&amp;$J403,'Weekly Log'!$A:$A,"&lt;"&amp;$J403+7)/SUMIFS('Weekly Log'!$E:$E,'Weekly Log'!$A:$A,"&gt;="&amp;$J403,'Weekly Log'!$A:$A,"&lt;"&amp;$J403+7),0))</f>
        <v/>
      </c>
      <c r="G403">
        <f>IF($J403="","",IFERROR(LOOKUP(2,1/(('Weekly Log'!$A$5:$A$5000&gt;=$J403)*('Weekly Log'!$A$5:$A$5000&lt;$J403+7)*('Weekly Log'!$M$5:$M$5000&lt;&gt;"")),'Weekly Log'!$M$5:$M$5000),0))</f>
        <v/>
      </c>
      <c r="J403">
        <f>IF(COUNT('Weekly Log'!$A$5:$A$5000)=0,"",IF(MIN('Weekly Log'!$A$5:$A$5000)+7*(ROW()-10)&gt;MAX('Weekly Log'!$A$5:$A$5000),"",MIN('Weekly Log'!$A$5:$A$5000)+7*(ROW()-10)))</f>
        <v/>
      </c>
    </row>
    <row r="404">
      <c r="A404">
        <f>IF($J404="","",YEAR($J404-WEEKDAY($J404,2)+4)&amp;"-W"&amp;TEXT(WEEKNUM($J404,21),"00"))</f>
        <v/>
      </c>
      <c r="B404">
        <f>IF($J404="","",SUMIFS('Weekly Log'!$C:$C,'Weekly Log'!$A:$A,"&gt;="&amp;$J404,'Weekly Log'!$A:$A,"&lt;"&amp;$J404+7))</f>
        <v/>
      </c>
      <c r="C404">
        <f>IF($J404="","",IFERROR(COUNTIFS('Weekly Log'!$G:$G,"Y",'Weekly Log'!$A:$A,"&gt;="&amp;$J404,'Weekly Log'!$A:$A,"&lt;"&amp;$J404+7)/COUNTIFS('Weekly Log'!$G:$G,"&lt;&gt;",'Weekly Log'!$A:$A,"&gt;="&amp;$J404,'Weekly Log'!$A:$A,"&lt;"&amp;$J404+7),0))</f>
        <v/>
      </c>
      <c r="D404">
        <f>IF($J404="","",IFERROR(COUNTIFS('Weekly Log'!$H:$H,"Y",'Weekly Log'!$A:$A,"&gt;="&amp;$J404,'Weekly Log'!$A:$A,"&lt;"&amp;$J404+7)/COUNTIFS('Weekly Log'!$H:$H,"&lt;&gt;",'Weekly Log'!$A:$A,"&gt;="&amp;$J404,'Weekly Log'!$A:$A,"&lt;"&amp;$J404+7),0))</f>
        <v/>
      </c>
      <c r="E404">
        <f>IF($J404="","",IFERROR(AVERAGEIFS('Weekly Log'!$F:$F,'Weekly Log'!$A:$A,"&gt;="&amp;$J404,'Weekly Log'!$A:$A,"&lt;"&amp;$J404+7),0))</f>
        <v/>
      </c>
      <c r="F404">
        <f>IF($J404="","",IFERROR(SUMIFS('Weekly Log'!$F:$F,'Weekly Log'!$A:$A,"&gt;="&amp;$J404,'Weekly Log'!$A:$A,"&lt;"&amp;$J404+7)/SUMIFS('Weekly Log'!$E:$E,'Weekly Log'!$A:$A,"&gt;="&amp;$J404,'Weekly Log'!$A:$A,"&lt;"&amp;$J404+7),0))</f>
        <v/>
      </c>
      <c r="G404">
        <f>IF($J404="","",IFERROR(LOOKUP(2,1/(('Weekly Log'!$A$5:$A$5000&gt;=$J404)*('Weekly Log'!$A$5:$A$5000&lt;$J404+7)*('Weekly Log'!$M$5:$M$5000&lt;&gt;"")),'Weekly Log'!$M$5:$M$5000),0))</f>
        <v/>
      </c>
      <c r="J404">
        <f>IF(COUNT('Weekly Log'!$A$5:$A$5000)=0,"",IF(MIN('Weekly Log'!$A$5:$A$5000)+7*(ROW()-10)&gt;MAX('Weekly Log'!$A$5:$A$5000),"",MIN('Weekly Log'!$A$5:$A$5000)+7*(ROW()-10)))</f>
        <v/>
      </c>
    </row>
    <row r="405">
      <c r="A405">
        <f>IF($J405="","",YEAR($J405-WEEKDAY($J405,2)+4)&amp;"-W"&amp;TEXT(WEEKNUM($J405,21),"00"))</f>
        <v/>
      </c>
      <c r="B405">
        <f>IF($J405="","",SUMIFS('Weekly Log'!$C:$C,'Weekly Log'!$A:$A,"&gt;="&amp;$J405,'Weekly Log'!$A:$A,"&lt;"&amp;$J405+7))</f>
        <v/>
      </c>
      <c r="C405">
        <f>IF($J405="","",IFERROR(COUNTIFS('Weekly Log'!$G:$G,"Y",'Weekly Log'!$A:$A,"&gt;="&amp;$J405,'Weekly Log'!$A:$A,"&lt;"&amp;$J405+7)/COUNTIFS('Weekly Log'!$G:$G,"&lt;&gt;",'Weekly Log'!$A:$A,"&gt;="&amp;$J405,'Weekly Log'!$A:$A,"&lt;"&amp;$J405+7),0))</f>
        <v/>
      </c>
      <c r="D405">
        <f>IF($J405="","",IFERROR(COUNTIFS('Weekly Log'!$H:$H,"Y",'Weekly Log'!$A:$A,"&gt;="&amp;$J405,'Weekly Log'!$A:$A,"&lt;"&amp;$J405+7)/COUNTIFS('Weekly Log'!$H:$H,"&lt;&gt;",'Weekly Log'!$A:$A,"&gt;="&amp;$J405,'Weekly Log'!$A:$A,"&lt;"&amp;$J405+7),0))</f>
        <v/>
      </c>
      <c r="E405">
        <f>IF($J405="","",IFERROR(AVERAGEIFS('Weekly Log'!$F:$F,'Weekly Log'!$A:$A,"&gt;="&amp;$J405,'Weekly Log'!$A:$A,"&lt;"&amp;$J405+7),0))</f>
        <v/>
      </c>
      <c r="F405">
        <f>IF($J405="","",IFERROR(SUMIFS('Weekly Log'!$F:$F,'Weekly Log'!$A:$A,"&gt;="&amp;$J405,'Weekly Log'!$A:$A,"&lt;"&amp;$J405+7)/SUMIFS('Weekly Log'!$E:$E,'Weekly Log'!$A:$A,"&gt;="&amp;$J405,'Weekly Log'!$A:$A,"&lt;"&amp;$J405+7),0))</f>
        <v/>
      </c>
      <c r="G405">
        <f>IF($J405="","",IFERROR(LOOKUP(2,1/(('Weekly Log'!$A$5:$A$5000&gt;=$J405)*('Weekly Log'!$A$5:$A$5000&lt;$J405+7)*('Weekly Log'!$M$5:$M$5000&lt;&gt;"")),'Weekly Log'!$M$5:$M$5000),0))</f>
        <v/>
      </c>
      <c r="J405">
        <f>IF(COUNT('Weekly Log'!$A$5:$A$5000)=0,"",IF(MIN('Weekly Log'!$A$5:$A$5000)+7*(ROW()-10)&gt;MAX('Weekly Log'!$A$5:$A$5000),"",MIN('Weekly Log'!$A$5:$A$5000)+7*(ROW()-10)))</f>
        <v/>
      </c>
    </row>
    <row r="406">
      <c r="A406">
        <f>IF($J406="","",YEAR($J406-WEEKDAY($J406,2)+4)&amp;"-W"&amp;TEXT(WEEKNUM($J406,21),"00"))</f>
        <v/>
      </c>
      <c r="B406">
        <f>IF($J406="","",SUMIFS('Weekly Log'!$C:$C,'Weekly Log'!$A:$A,"&gt;="&amp;$J406,'Weekly Log'!$A:$A,"&lt;"&amp;$J406+7))</f>
        <v/>
      </c>
      <c r="C406">
        <f>IF($J406="","",IFERROR(COUNTIFS('Weekly Log'!$G:$G,"Y",'Weekly Log'!$A:$A,"&gt;="&amp;$J406,'Weekly Log'!$A:$A,"&lt;"&amp;$J406+7)/COUNTIFS('Weekly Log'!$G:$G,"&lt;&gt;",'Weekly Log'!$A:$A,"&gt;="&amp;$J406,'Weekly Log'!$A:$A,"&lt;"&amp;$J406+7),0))</f>
        <v/>
      </c>
      <c r="D406">
        <f>IF($J406="","",IFERROR(COUNTIFS('Weekly Log'!$H:$H,"Y",'Weekly Log'!$A:$A,"&gt;="&amp;$J406,'Weekly Log'!$A:$A,"&lt;"&amp;$J406+7)/COUNTIFS('Weekly Log'!$H:$H,"&lt;&gt;",'Weekly Log'!$A:$A,"&gt;="&amp;$J406,'Weekly Log'!$A:$A,"&lt;"&amp;$J406+7),0))</f>
        <v/>
      </c>
      <c r="E406">
        <f>IF($J406="","",IFERROR(AVERAGEIFS('Weekly Log'!$F:$F,'Weekly Log'!$A:$A,"&gt;="&amp;$J406,'Weekly Log'!$A:$A,"&lt;"&amp;$J406+7),0))</f>
        <v/>
      </c>
      <c r="F406">
        <f>IF($J406="","",IFERROR(SUMIFS('Weekly Log'!$F:$F,'Weekly Log'!$A:$A,"&gt;="&amp;$J406,'Weekly Log'!$A:$A,"&lt;"&amp;$J406+7)/SUMIFS('Weekly Log'!$E:$E,'Weekly Log'!$A:$A,"&gt;="&amp;$J406,'Weekly Log'!$A:$A,"&lt;"&amp;$J406+7),0))</f>
        <v/>
      </c>
      <c r="G406">
        <f>IF($J406="","",IFERROR(LOOKUP(2,1/(('Weekly Log'!$A$5:$A$5000&gt;=$J406)*('Weekly Log'!$A$5:$A$5000&lt;$J406+7)*('Weekly Log'!$M$5:$M$5000&lt;&gt;"")),'Weekly Log'!$M$5:$M$5000),0))</f>
        <v/>
      </c>
      <c r="J406">
        <f>IF(COUNT('Weekly Log'!$A$5:$A$5000)=0,"",IF(MIN('Weekly Log'!$A$5:$A$5000)+7*(ROW()-10)&gt;MAX('Weekly Log'!$A$5:$A$5000),"",MIN('Weekly Log'!$A$5:$A$5000)+7*(ROW()-10)))</f>
        <v/>
      </c>
    </row>
    <row r="407">
      <c r="A407">
        <f>IF($J407="","",YEAR($J407-WEEKDAY($J407,2)+4)&amp;"-W"&amp;TEXT(WEEKNUM($J407,21),"00"))</f>
        <v/>
      </c>
      <c r="B407">
        <f>IF($J407="","",SUMIFS('Weekly Log'!$C:$C,'Weekly Log'!$A:$A,"&gt;="&amp;$J407,'Weekly Log'!$A:$A,"&lt;"&amp;$J407+7))</f>
        <v/>
      </c>
      <c r="C407">
        <f>IF($J407="","",IFERROR(COUNTIFS('Weekly Log'!$G:$G,"Y",'Weekly Log'!$A:$A,"&gt;="&amp;$J407,'Weekly Log'!$A:$A,"&lt;"&amp;$J407+7)/COUNTIFS('Weekly Log'!$G:$G,"&lt;&gt;",'Weekly Log'!$A:$A,"&gt;="&amp;$J407,'Weekly Log'!$A:$A,"&lt;"&amp;$J407+7),0))</f>
        <v/>
      </c>
      <c r="D407">
        <f>IF($J407="","",IFERROR(COUNTIFS('Weekly Log'!$H:$H,"Y",'Weekly Log'!$A:$A,"&gt;="&amp;$J407,'Weekly Log'!$A:$A,"&lt;"&amp;$J407+7)/COUNTIFS('Weekly Log'!$H:$H,"&lt;&gt;",'Weekly Log'!$A:$A,"&gt;="&amp;$J407,'Weekly Log'!$A:$A,"&lt;"&amp;$J407+7),0))</f>
        <v/>
      </c>
      <c r="E407">
        <f>IF($J407="","",IFERROR(AVERAGEIFS('Weekly Log'!$F:$F,'Weekly Log'!$A:$A,"&gt;="&amp;$J407,'Weekly Log'!$A:$A,"&lt;"&amp;$J407+7),0))</f>
        <v/>
      </c>
      <c r="F407">
        <f>IF($J407="","",IFERROR(SUMIFS('Weekly Log'!$F:$F,'Weekly Log'!$A:$A,"&gt;="&amp;$J407,'Weekly Log'!$A:$A,"&lt;"&amp;$J407+7)/SUMIFS('Weekly Log'!$E:$E,'Weekly Log'!$A:$A,"&gt;="&amp;$J407,'Weekly Log'!$A:$A,"&lt;"&amp;$J407+7),0))</f>
        <v/>
      </c>
      <c r="G407">
        <f>IF($J407="","",IFERROR(LOOKUP(2,1/(('Weekly Log'!$A$5:$A$5000&gt;=$J407)*('Weekly Log'!$A$5:$A$5000&lt;$J407+7)*('Weekly Log'!$M$5:$M$5000&lt;&gt;"")),'Weekly Log'!$M$5:$M$5000),0))</f>
        <v/>
      </c>
      <c r="J407">
        <f>IF(COUNT('Weekly Log'!$A$5:$A$5000)=0,"",IF(MIN('Weekly Log'!$A$5:$A$5000)+7*(ROW()-10)&gt;MAX('Weekly Log'!$A$5:$A$5000),"",MIN('Weekly Log'!$A$5:$A$5000)+7*(ROW()-10)))</f>
        <v/>
      </c>
    </row>
    <row r="408">
      <c r="A408">
        <f>IF($J408="","",YEAR($J408-WEEKDAY($J408,2)+4)&amp;"-W"&amp;TEXT(WEEKNUM($J408,21),"00"))</f>
        <v/>
      </c>
      <c r="B408">
        <f>IF($J408="","",SUMIFS('Weekly Log'!$C:$C,'Weekly Log'!$A:$A,"&gt;="&amp;$J408,'Weekly Log'!$A:$A,"&lt;"&amp;$J408+7))</f>
        <v/>
      </c>
      <c r="C408">
        <f>IF($J408="","",IFERROR(COUNTIFS('Weekly Log'!$G:$G,"Y",'Weekly Log'!$A:$A,"&gt;="&amp;$J408,'Weekly Log'!$A:$A,"&lt;"&amp;$J408+7)/COUNTIFS('Weekly Log'!$G:$G,"&lt;&gt;",'Weekly Log'!$A:$A,"&gt;="&amp;$J408,'Weekly Log'!$A:$A,"&lt;"&amp;$J408+7),0))</f>
        <v/>
      </c>
      <c r="D408">
        <f>IF($J408="","",IFERROR(COUNTIFS('Weekly Log'!$H:$H,"Y",'Weekly Log'!$A:$A,"&gt;="&amp;$J408,'Weekly Log'!$A:$A,"&lt;"&amp;$J408+7)/COUNTIFS('Weekly Log'!$H:$H,"&lt;&gt;",'Weekly Log'!$A:$A,"&gt;="&amp;$J408,'Weekly Log'!$A:$A,"&lt;"&amp;$J408+7),0))</f>
        <v/>
      </c>
      <c r="E408">
        <f>IF($J408="","",IFERROR(AVERAGEIFS('Weekly Log'!$F:$F,'Weekly Log'!$A:$A,"&gt;="&amp;$J408,'Weekly Log'!$A:$A,"&lt;"&amp;$J408+7),0))</f>
        <v/>
      </c>
      <c r="F408">
        <f>IF($J408="","",IFERROR(SUMIFS('Weekly Log'!$F:$F,'Weekly Log'!$A:$A,"&gt;="&amp;$J408,'Weekly Log'!$A:$A,"&lt;"&amp;$J408+7)/SUMIFS('Weekly Log'!$E:$E,'Weekly Log'!$A:$A,"&gt;="&amp;$J408,'Weekly Log'!$A:$A,"&lt;"&amp;$J408+7),0))</f>
        <v/>
      </c>
      <c r="G408">
        <f>IF($J408="","",IFERROR(LOOKUP(2,1/(('Weekly Log'!$A$5:$A$5000&gt;=$J408)*('Weekly Log'!$A$5:$A$5000&lt;$J408+7)*('Weekly Log'!$M$5:$M$5000&lt;&gt;"")),'Weekly Log'!$M$5:$M$5000),0))</f>
        <v/>
      </c>
      <c r="J408">
        <f>IF(COUNT('Weekly Log'!$A$5:$A$5000)=0,"",IF(MIN('Weekly Log'!$A$5:$A$5000)+7*(ROW()-10)&gt;MAX('Weekly Log'!$A$5:$A$5000),"",MIN('Weekly Log'!$A$5:$A$5000)+7*(ROW()-10)))</f>
        <v/>
      </c>
    </row>
    <row r="409">
      <c r="A409">
        <f>IF($J409="","",YEAR($J409-WEEKDAY($J409,2)+4)&amp;"-W"&amp;TEXT(WEEKNUM($J409,21),"00"))</f>
        <v/>
      </c>
      <c r="B409">
        <f>IF($J409="","",SUMIFS('Weekly Log'!$C:$C,'Weekly Log'!$A:$A,"&gt;="&amp;$J409,'Weekly Log'!$A:$A,"&lt;"&amp;$J409+7))</f>
        <v/>
      </c>
      <c r="C409">
        <f>IF($J409="","",IFERROR(COUNTIFS('Weekly Log'!$G:$G,"Y",'Weekly Log'!$A:$A,"&gt;="&amp;$J409,'Weekly Log'!$A:$A,"&lt;"&amp;$J409+7)/COUNTIFS('Weekly Log'!$G:$G,"&lt;&gt;",'Weekly Log'!$A:$A,"&gt;="&amp;$J409,'Weekly Log'!$A:$A,"&lt;"&amp;$J409+7),0))</f>
        <v/>
      </c>
      <c r="D409">
        <f>IF($J409="","",IFERROR(COUNTIFS('Weekly Log'!$H:$H,"Y",'Weekly Log'!$A:$A,"&gt;="&amp;$J409,'Weekly Log'!$A:$A,"&lt;"&amp;$J409+7)/COUNTIFS('Weekly Log'!$H:$H,"&lt;&gt;",'Weekly Log'!$A:$A,"&gt;="&amp;$J409,'Weekly Log'!$A:$A,"&lt;"&amp;$J409+7),0))</f>
        <v/>
      </c>
      <c r="E409">
        <f>IF($J409="","",IFERROR(AVERAGEIFS('Weekly Log'!$F:$F,'Weekly Log'!$A:$A,"&gt;="&amp;$J409,'Weekly Log'!$A:$A,"&lt;"&amp;$J409+7),0))</f>
        <v/>
      </c>
      <c r="F409">
        <f>IF($J409="","",IFERROR(SUMIFS('Weekly Log'!$F:$F,'Weekly Log'!$A:$A,"&gt;="&amp;$J409,'Weekly Log'!$A:$A,"&lt;"&amp;$J409+7)/SUMIFS('Weekly Log'!$E:$E,'Weekly Log'!$A:$A,"&gt;="&amp;$J409,'Weekly Log'!$A:$A,"&lt;"&amp;$J409+7),0))</f>
        <v/>
      </c>
      <c r="G409">
        <f>IF($J409="","",IFERROR(LOOKUP(2,1/(('Weekly Log'!$A$5:$A$5000&gt;=$J409)*('Weekly Log'!$A$5:$A$5000&lt;$J409+7)*('Weekly Log'!$M$5:$M$5000&lt;&gt;"")),'Weekly Log'!$M$5:$M$5000),0))</f>
        <v/>
      </c>
      <c r="J409">
        <f>IF(COUNT('Weekly Log'!$A$5:$A$5000)=0,"",IF(MIN('Weekly Log'!$A$5:$A$5000)+7*(ROW()-10)&gt;MAX('Weekly Log'!$A$5:$A$5000),"",MIN('Weekly Log'!$A$5:$A$5000)+7*(ROW()-10)))</f>
        <v/>
      </c>
    </row>
    <row r="410">
      <c r="A410">
        <f>IF($J410="","",YEAR($J410-WEEKDAY($J410,2)+4)&amp;"-W"&amp;TEXT(WEEKNUM($J410,21),"00"))</f>
        <v/>
      </c>
      <c r="B410">
        <f>IF($J410="","",SUMIFS('Weekly Log'!$C:$C,'Weekly Log'!$A:$A,"&gt;="&amp;$J410,'Weekly Log'!$A:$A,"&lt;"&amp;$J410+7))</f>
        <v/>
      </c>
      <c r="C410">
        <f>IF($J410="","",IFERROR(COUNTIFS('Weekly Log'!$G:$G,"Y",'Weekly Log'!$A:$A,"&gt;="&amp;$J410,'Weekly Log'!$A:$A,"&lt;"&amp;$J410+7)/COUNTIFS('Weekly Log'!$G:$G,"&lt;&gt;",'Weekly Log'!$A:$A,"&gt;="&amp;$J410,'Weekly Log'!$A:$A,"&lt;"&amp;$J410+7),0))</f>
        <v/>
      </c>
      <c r="D410">
        <f>IF($J410="","",IFERROR(COUNTIFS('Weekly Log'!$H:$H,"Y",'Weekly Log'!$A:$A,"&gt;="&amp;$J410,'Weekly Log'!$A:$A,"&lt;"&amp;$J410+7)/COUNTIFS('Weekly Log'!$H:$H,"&lt;&gt;",'Weekly Log'!$A:$A,"&gt;="&amp;$J410,'Weekly Log'!$A:$A,"&lt;"&amp;$J410+7),0))</f>
        <v/>
      </c>
      <c r="E410">
        <f>IF($J410="","",IFERROR(AVERAGEIFS('Weekly Log'!$F:$F,'Weekly Log'!$A:$A,"&gt;="&amp;$J410,'Weekly Log'!$A:$A,"&lt;"&amp;$J410+7),0))</f>
        <v/>
      </c>
      <c r="F410">
        <f>IF($J410="","",IFERROR(SUMIFS('Weekly Log'!$F:$F,'Weekly Log'!$A:$A,"&gt;="&amp;$J410,'Weekly Log'!$A:$A,"&lt;"&amp;$J410+7)/SUMIFS('Weekly Log'!$E:$E,'Weekly Log'!$A:$A,"&gt;="&amp;$J410,'Weekly Log'!$A:$A,"&lt;"&amp;$J410+7),0))</f>
        <v/>
      </c>
      <c r="G410">
        <f>IF($J410="","",IFERROR(LOOKUP(2,1/(('Weekly Log'!$A$5:$A$5000&gt;=$J410)*('Weekly Log'!$A$5:$A$5000&lt;$J410+7)*('Weekly Log'!$M$5:$M$5000&lt;&gt;"")),'Weekly Log'!$M$5:$M$5000),0))</f>
        <v/>
      </c>
      <c r="J410">
        <f>IF(COUNT('Weekly Log'!$A$5:$A$5000)=0,"",IF(MIN('Weekly Log'!$A$5:$A$5000)+7*(ROW()-10)&gt;MAX('Weekly Log'!$A$5:$A$5000),"",MIN('Weekly Log'!$A$5:$A$5000)+7*(ROW()-10)))</f>
        <v/>
      </c>
    </row>
    <row r="411">
      <c r="A411">
        <f>IF($J411="","",YEAR($J411-WEEKDAY($J411,2)+4)&amp;"-W"&amp;TEXT(WEEKNUM($J411,21),"00"))</f>
        <v/>
      </c>
      <c r="B411">
        <f>IF($J411="","",SUMIFS('Weekly Log'!$C:$C,'Weekly Log'!$A:$A,"&gt;="&amp;$J411,'Weekly Log'!$A:$A,"&lt;"&amp;$J411+7))</f>
        <v/>
      </c>
      <c r="C411">
        <f>IF($J411="","",IFERROR(COUNTIFS('Weekly Log'!$G:$G,"Y",'Weekly Log'!$A:$A,"&gt;="&amp;$J411,'Weekly Log'!$A:$A,"&lt;"&amp;$J411+7)/COUNTIFS('Weekly Log'!$G:$G,"&lt;&gt;",'Weekly Log'!$A:$A,"&gt;="&amp;$J411,'Weekly Log'!$A:$A,"&lt;"&amp;$J411+7),0))</f>
        <v/>
      </c>
      <c r="D411">
        <f>IF($J411="","",IFERROR(COUNTIFS('Weekly Log'!$H:$H,"Y",'Weekly Log'!$A:$A,"&gt;="&amp;$J411,'Weekly Log'!$A:$A,"&lt;"&amp;$J411+7)/COUNTIFS('Weekly Log'!$H:$H,"&lt;&gt;",'Weekly Log'!$A:$A,"&gt;="&amp;$J411,'Weekly Log'!$A:$A,"&lt;"&amp;$J411+7),0))</f>
        <v/>
      </c>
      <c r="E411">
        <f>IF($J411="","",IFERROR(AVERAGEIFS('Weekly Log'!$F:$F,'Weekly Log'!$A:$A,"&gt;="&amp;$J411,'Weekly Log'!$A:$A,"&lt;"&amp;$J411+7),0))</f>
        <v/>
      </c>
      <c r="F411">
        <f>IF($J411="","",IFERROR(SUMIFS('Weekly Log'!$F:$F,'Weekly Log'!$A:$A,"&gt;="&amp;$J411,'Weekly Log'!$A:$A,"&lt;"&amp;$J411+7)/SUMIFS('Weekly Log'!$E:$E,'Weekly Log'!$A:$A,"&gt;="&amp;$J411,'Weekly Log'!$A:$A,"&lt;"&amp;$J411+7),0))</f>
        <v/>
      </c>
      <c r="G411">
        <f>IF($J411="","",IFERROR(LOOKUP(2,1/(('Weekly Log'!$A$5:$A$5000&gt;=$J411)*('Weekly Log'!$A$5:$A$5000&lt;$J411+7)*('Weekly Log'!$M$5:$M$5000&lt;&gt;"")),'Weekly Log'!$M$5:$M$5000),0))</f>
        <v/>
      </c>
      <c r="J411">
        <f>IF(COUNT('Weekly Log'!$A$5:$A$5000)=0,"",IF(MIN('Weekly Log'!$A$5:$A$5000)+7*(ROW()-10)&gt;MAX('Weekly Log'!$A$5:$A$5000),"",MIN('Weekly Log'!$A$5:$A$5000)+7*(ROW()-10)))</f>
        <v/>
      </c>
    </row>
    <row r="412">
      <c r="A412">
        <f>IF($J412="","",YEAR($J412-WEEKDAY($J412,2)+4)&amp;"-W"&amp;TEXT(WEEKNUM($J412,21),"00"))</f>
        <v/>
      </c>
      <c r="B412">
        <f>IF($J412="","",SUMIFS('Weekly Log'!$C:$C,'Weekly Log'!$A:$A,"&gt;="&amp;$J412,'Weekly Log'!$A:$A,"&lt;"&amp;$J412+7))</f>
        <v/>
      </c>
      <c r="C412">
        <f>IF($J412="","",IFERROR(COUNTIFS('Weekly Log'!$G:$G,"Y",'Weekly Log'!$A:$A,"&gt;="&amp;$J412,'Weekly Log'!$A:$A,"&lt;"&amp;$J412+7)/COUNTIFS('Weekly Log'!$G:$G,"&lt;&gt;",'Weekly Log'!$A:$A,"&gt;="&amp;$J412,'Weekly Log'!$A:$A,"&lt;"&amp;$J412+7),0))</f>
        <v/>
      </c>
      <c r="D412">
        <f>IF($J412="","",IFERROR(COUNTIFS('Weekly Log'!$H:$H,"Y",'Weekly Log'!$A:$A,"&gt;="&amp;$J412,'Weekly Log'!$A:$A,"&lt;"&amp;$J412+7)/COUNTIFS('Weekly Log'!$H:$H,"&lt;&gt;",'Weekly Log'!$A:$A,"&gt;="&amp;$J412,'Weekly Log'!$A:$A,"&lt;"&amp;$J412+7),0))</f>
        <v/>
      </c>
      <c r="E412">
        <f>IF($J412="","",IFERROR(AVERAGEIFS('Weekly Log'!$F:$F,'Weekly Log'!$A:$A,"&gt;="&amp;$J412,'Weekly Log'!$A:$A,"&lt;"&amp;$J412+7),0))</f>
        <v/>
      </c>
      <c r="F412">
        <f>IF($J412="","",IFERROR(SUMIFS('Weekly Log'!$F:$F,'Weekly Log'!$A:$A,"&gt;="&amp;$J412,'Weekly Log'!$A:$A,"&lt;"&amp;$J412+7)/SUMIFS('Weekly Log'!$E:$E,'Weekly Log'!$A:$A,"&gt;="&amp;$J412,'Weekly Log'!$A:$A,"&lt;"&amp;$J412+7),0))</f>
        <v/>
      </c>
      <c r="G412">
        <f>IF($J412="","",IFERROR(LOOKUP(2,1/(('Weekly Log'!$A$5:$A$5000&gt;=$J412)*('Weekly Log'!$A$5:$A$5000&lt;$J412+7)*('Weekly Log'!$M$5:$M$5000&lt;&gt;"")),'Weekly Log'!$M$5:$M$5000),0))</f>
        <v/>
      </c>
      <c r="J412">
        <f>IF(COUNT('Weekly Log'!$A$5:$A$5000)=0,"",IF(MIN('Weekly Log'!$A$5:$A$5000)+7*(ROW()-10)&gt;MAX('Weekly Log'!$A$5:$A$5000),"",MIN('Weekly Log'!$A$5:$A$5000)+7*(ROW()-10)))</f>
        <v/>
      </c>
    </row>
    <row r="413">
      <c r="A413">
        <f>IF($J413="","",YEAR($J413-WEEKDAY($J413,2)+4)&amp;"-W"&amp;TEXT(WEEKNUM($J413,21),"00"))</f>
        <v/>
      </c>
      <c r="B413">
        <f>IF($J413="","",SUMIFS('Weekly Log'!$C:$C,'Weekly Log'!$A:$A,"&gt;="&amp;$J413,'Weekly Log'!$A:$A,"&lt;"&amp;$J413+7))</f>
        <v/>
      </c>
      <c r="C413">
        <f>IF($J413="","",IFERROR(COUNTIFS('Weekly Log'!$G:$G,"Y",'Weekly Log'!$A:$A,"&gt;="&amp;$J413,'Weekly Log'!$A:$A,"&lt;"&amp;$J413+7)/COUNTIFS('Weekly Log'!$G:$G,"&lt;&gt;",'Weekly Log'!$A:$A,"&gt;="&amp;$J413,'Weekly Log'!$A:$A,"&lt;"&amp;$J413+7),0))</f>
        <v/>
      </c>
      <c r="D413">
        <f>IF($J413="","",IFERROR(COUNTIFS('Weekly Log'!$H:$H,"Y",'Weekly Log'!$A:$A,"&gt;="&amp;$J413,'Weekly Log'!$A:$A,"&lt;"&amp;$J413+7)/COUNTIFS('Weekly Log'!$H:$H,"&lt;&gt;",'Weekly Log'!$A:$A,"&gt;="&amp;$J413,'Weekly Log'!$A:$A,"&lt;"&amp;$J413+7),0))</f>
        <v/>
      </c>
      <c r="E413">
        <f>IF($J413="","",IFERROR(AVERAGEIFS('Weekly Log'!$F:$F,'Weekly Log'!$A:$A,"&gt;="&amp;$J413,'Weekly Log'!$A:$A,"&lt;"&amp;$J413+7),0))</f>
        <v/>
      </c>
      <c r="F413">
        <f>IF($J413="","",IFERROR(SUMIFS('Weekly Log'!$F:$F,'Weekly Log'!$A:$A,"&gt;="&amp;$J413,'Weekly Log'!$A:$A,"&lt;"&amp;$J413+7)/SUMIFS('Weekly Log'!$E:$E,'Weekly Log'!$A:$A,"&gt;="&amp;$J413,'Weekly Log'!$A:$A,"&lt;"&amp;$J413+7),0))</f>
        <v/>
      </c>
      <c r="G413">
        <f>IF($J413="","",IFERROR(LOOKUP(2,1/(('Weekly Log'!$A$5:$A$5000&gt;=$J413)*('Weekly Log'!$A$5:$A$5000&lt;$J413+7)*('Weekly Log'!$M$5:$M$5000&lt;&gt;"")),'Weekly Log'!$M$5:$M$5000),0))</f>
        <v/>
      </c>
      <c r="J413">
        <f>IF(COUNT('Weekly Log'!$A$5:$A$5000)=0,"",IF(MIN('Weekly Log'!$A$5:$A$5000)+7*(ROW()-10)&gt;MAX('Weekly Log'!$A$5:$A$5000),"",MIN('Weekly Log'!$A$5:$A$5000)+7*(ROW()-10)))</f>
        <v/>
      </c>
    </row>
    <row r="414">
      <c r="A414">
        <f>IF($J414="","",YEAR($J414-WEEKDAY($J414,2)+4)&amp;"-W"&amp;TEXT(WEEKNUM($J414,21),"00"))</f>
        <v/>
      </c>
      <c r="B414">
        <f>IF($J414="","",SUMIFS('Weekly Log'!$C:$C,'Weekly Log'!$A:$A,"&gt;="&amp;$J414,'Weekly Log'!$A:$A,"&lt;"&amp;$J414+7))</f>
        <v/>
      </c>
      <c r="C414">
        <f>IF($J414="","",IFERROR(COUNTIFS('Weekly Log'!$G:$G,"Y",'Weekly Log'!$A:$A,"&gt;="&amp;$J414,'Weekly Log'!$A:$A,"&lt;"&amp;$J414+7)/COUNTIFS('Weekly Log'!$G:$G,"&lt;&gt;",'Weekly Log'!$A:$A,"&gt;="&amp;$J414,'Weekly Log'!$A:$A,"&lt;"&amp;$J414+7),0))</f>
        <v/>
      </c>
      <c r="D414">
        <f>IF($J414="","",IFERROR(COUNTIFS('Weekly Log'!$H:$H,"Y",'Weekly Log'!$A:$A,"&gt;="&amp;$J414,'Weekly Log'!$A:$A,"&lt;"&amp;$J414+7)/COUNTIFS('Weekly Log'!$H:$H,"&lt;&gt;",'Weekly Log'!$A:$A,"&gt;="&amp;$J414,'Weekly Log'!$A:$A,"&lt;"&amp;$J414+7),0))</f>
        <v/>
      </c>
      <c r="E414">
        <f>IF($J414="","",IFERROR(AVERAGEIFS('Weekly Log'!$F:$F,'Weekly Log'!$A:$A,"&gt;="&amp;$J414,'Weekly Log'!$A:$A,"&lt;"&amp;$J414+7),0))</f>
        <v/>
      </c>
      <c r="F414">
        <f>IF($J414="","",IFERROR(SUMIFS('Weekly Log'!$F:$F,'Weekly Log'!$A:$A,"&gt;="&amp;$J414,'Weekly Log'!$A:$A,"&lt;"&amp;$J414+7)/SUMIFS('Weekly Log'!$E:$E,'Weekly Log'!$A:$A,"&gt;="&amp;$J414,'Weekly Log'!$A:$A,"&lt;"&amp;$J414+7),0))</f>
        <v/>
      </c>
      <c r="G414">
        <f>IF($J414="","",IFERROR(LOOKUP(2,1/(('Weekly Log'!$A$5:$A$5000&gt;=$J414)*('Weekly Log'!$A$5:$A$5000&lt;$J414+7)*('Weekly Log'!$M$5:$M$5000&lt;&gt;"")),'Weekly Log'!$M$5:$M$5000),0))</f>
        <v/>
      </c>
      <c r="J414">
        <f>IF(COUNT('Weekly Log'!$A$5:$A$5000)=0,"",IF(MIN('Weekly Log'!$A$5:$A$5000)+7*(ROW()-10)&gt;MAX('Weekly Log'!$A$5:$A$5000),"",MIN('Weekly Log'!$A$5:$A$5000)+7*(ROW()-10)))</f>
        <v/>
      </c>
    </row>
    <row r="415">
      <c r="A415">
        <f>IF($J415="","",YEAR($J415-WEEKDAY($J415,2)+4)&amp;"-W"&amp;TEXT(WEEKNUM($J415,21),"00"))</f>
        <v/>
      </c>
      <c r="B415">
        <f>IF($J415="","",SUMIFS('Weekly Log'!$C:$C,'Weekly Log'!$A:$A,"&gt;="&amp;$J415,'Weekly Log'!$A:$A,"&lt;"&amp;$J415+7))</f>
        <v/>
      </c>
      <c r="C415">
        <f>IF($J415="","",IFERROR(COUNTIFS('Weekly Log'!$G:$G,"Y",'Weekly Log'!$A:$A,"&gt;="&amp;$J415,'Weekly Log'!$A:$A,"&lt;"&amp;$J415+7)/COUNTIFS('Weekly Log'!$G:$G,"&lt;&gt;",'Weekly Log'!$A:$A,"&gt;="&amp;$J415,'Weekly Log'!$A:$A,"&lt;"&amp;$J415+7),0))</f>
        <v/>
      </c>
      <c r="D415">
        <f>IF($J415="","",IFERROR(COUNTIFS('Weekly Log'!$H:$H,"Y",'Weekly Log'!$A:$A,"&gt;="&amp;$J415,'Weekly Log'!$A:$A,"&lt;"&amp;$J415+7)/COUNTIFS('Weekly Log'!$H:$H,"&lt;&gt;",'Weekly Log'!$A:$A,"&gt;="&amp;$J415,'Weekly Log'!$A:$A,"&lt;"&amp;$J415+7),0))</f>
        <v/>
      </c>
      <c r="E415">
        <f>IF($J415="","",IFERROR(AVERAGEIFS('Weekly Log'!$F:$F,'Weekly Log'!$A:$A,"&gt;="&amp;$J415,'Weekly Log'!$A:$A,"&lt;"&amp;$J415+7),0))</f>
        <v/>
      </c>
      <c r="F415">
        <f>IF($J415="","",IFERROR(SUMIFS('Weekly Log'!$F:$F,'Weekly Log'!$A:$A,"&gt;="&amp;$J415,'Weekly Log'!$A:$A,"&lt;"&amp;$J415+7)/SUMIFS('Weekly Log'!$E:$E,'Weekly Log'!$A:$A,"&gt;="&amp;$J415,'Weekly Log'!$A:$A,"&lt;"&amp;$J415+7),0))</f>
        <v/>
      </c>
      <c r="G415">
        <f>IF($J415="","",IFERROR(LOOKUP(2,1/(('Weekly Log'!$A$5:$A$5000&gt;=$J415)*('Weekly Log'!$A$5:$A$5000&lt;$J415+7)*('Weekly Log'!$M$5:$M$5000&lt;&gt;"")),'Weekly Log'!$M$5:$M$5000),0))</f>
        <v/>
      </c>
      <c r="J415">
        <f>IF(COUNT('Weekly Log'!$A$5:$A$5000)=0,"",IF(MIN('Weekly Log'!$A$5:$A$5000)+7*(ROW()-10)&gt;MAX('Weekly Log'!$A$5:$A$5000),"",MIN('Weekly Log'!$A$5:$A$5000)+7*(ROW()-10)))</f>
        <v/>
      </c>
    </row>
    <row r="416">
      <c r="A416">
        <f>IF($J416="","",YEAR($J416-WEEKDAY($J416,2)+4)&amp;"-W"&amp;TEXT(WEEKNUM($J416,21),"00"))</f>
        <v/>
      </c>
      <c r="B416">
        <f>IF($J416="","",SUMIFS('Weekly Log'!$C:$C,'Weekly Log'!$A:$A,"&gt;="&amp;$J416,'Weekly Log'!$A:$A,"&lt;"&amp;$J416+7))</f>
        <v/>
      </c>
      <c r="C416">
        <f>IF($J416="","",IFERROR(COUNTIFS('Weekly Log'!$G:$G,"Y",'Weekly Log'!$A:$A,"&gt;="&amp;$J416,'Weekly Log'!$A:$A,"&lt;"&amp;$J416+7)/COUNTIFS('Weekly Log'!$G:$G,"&lt;&gt;",'Weekly Log'!$A:$A,"&gt;="&amp;$J416,'Weekly Log'!$A:$A,"&lt;"&amp;$J416+7),0))</f>
        <v/>
      </c>
      <c r="D416">
        <f>IF($J416="","",IFERROR(COUNTIFS('Weekly Log'!$H:$H,"Y",'Weekly Log'!$A:$A,"&gt;="&amp;$J416,'Weekly Log'!$A:$A,"&lt;"&amp;$J416+7)/COUNTIFS('Weekly Log'!$H:$H,"&lt;&gt;",'Weekly Log'!$A:$A,"&gt;="&amp;$J416,'Weekly Log'!$A:$A,"&lt;"&amp;$J416+7),0))</f>
        <v/>
      </c>
      <c r="E416">
        <f>IF($J416="","",IFERROR(AVERAGEIFS('Weekly Log'!$F:$F,'Weekly Log'!$A:$A,"&gt;="&amp;$J416,'Weekly Log'!$A:$A,"&lt;"&amp;$J416+7),0))</f>
        <v/>
      </c>
      <c r="F416">
        <f>IF($J416="","",IFERROR(SUMIFS('Weekly Log'!$F:$F,'Weekly Log'!$A:$A,"&gt;="&amp;$J416,'Weekly Log'!$A:$A,"&lt;"&amp;$J416+7)/SUMIFS('Weekly Log'!$E:$E,'Weekly Log'!$A:$A,"&gt;="&amp;$J416,'Weekly Log'!$A:$A,"&lt;"&amp;$J416+7),0))</f>
        <v/>
      </c>
      <c r="G416">
        <f>IF($J416="","",IFERROR(LOOKUP(2,1/(('Weekly Log'!$A$5:$A$5000&gt;=$J416)*('Weekly Log'!$A$5:$A$5000&lt;$J416+7)*('Weekly Log'!$M$5:$M$5000&lt;&gt;"")),'Weekly Log'!$M$5:$M$5000),0))</f>
        <v/>
      </c>
      <c r="J416">
        <f>IF(COUNT('Weekly Log'!$A$5:$A$5000)=0,"",IF(MIN('Weekly Log'!$A$5:$A$5000)+7*(ROW()-10)&gt;MAX('Weekly Log'!$A$5:$A$5000),"",MIN('Weekly Log'!$A$5:$A$5000)+7*(ROW()-10)))</f>
        <v/>
      </c>
    </row>
    <row r="417">
      <c r="A417">
        <f>IF($J417="","",YEAR($J417-WEEKDAY($J417,2)+4)&amp;"-W"&amp;TEXT(WEEKNUM($J417,21),"00"))</f>
        <v/>
      </c>
      <c r="B417">
        <f>IF($J417="","",SUMIFS('Weekly Log'!$C:$C,'Weekly Log'!$A:$A,"&gt;="&amp;$J417,'Weekly Log'!$A:$A,"&lt;"&amp;$J417+7))</f>
        <v/>
      </c>
      <c r="C417">
        <f>IF($J417="","",IFERROR(COUNTIFS('Weekly Log'!$G:$G,"Y",'Weekly Log'!$A:$A,"&gt;="&amp;$J417,'Weekly Log'!$A:$A,"&lt;"&amp;$J417+7)/COUNTIFS('Weekly Log'!$G:$G,"&lt;&gt;",'Weekly Log'!$A:$A,"&gt;="&amp;$J417,'Weekly Log'!$A:$A,"&lt;"&amp;$J417+7),0))</f>
        <v/>
      </c>
      <c r="D417">
        <f>IF($J417="","",IFERROR(COUNTIFS('Weekly Log'!$H:$H,"Y",'Weekly Log'!$A:$A,"&gt;="&amp;$J417,'Weekly Log'!$A:$A,"&lt;"&amp;$J417+7)/COUNTIFS('Weekly Log'!$H:$H,"&lt;&gt;",'Weekly Log'!$A:$A,"&gt;="&amp;$J417,'Weekly Log'!$A:$A,"&lt;"&amp;$J417+7),0))</f>
        <v/>
      </c>
      <c r="E417">
        <f>IF($J417="","",IFERROR(AVERAGEIFS('Weekly Log'!$F:$F,'Weekly Log'!$A:$A,"&gt;="&amp;$J417,'Weekly Log'!$A:$A,"&lt;"&amp;$J417+7),0))</f>
        <v/>
      </c>
      <c r="F417">
        <f>IF($J417="","",IFERROR(SUMIFS('Weekly Log'!$F:$F,'Weekly Log'!$A:$A,"&gt;="&amp;$J417,'Weekly Log'!$A:$A,"&lt;"&amp;$J417+7)/SUMIFS('Weekly Log'!$E:$E,'Weekly Log'!$A:$A,"&gt;="&amp;$J417,'Weekly Log'!$A:$A,"&lt;"&amp;$J417+7),0))</f>
        <v/>
      </c>
      <c r="G417">
        <f>IF($J417="","",IFERROR(LOOKUP(2,1/(('Weekly Log'!$A$5:$A$5000&gt;=$J417)*('Weekly Log'!$A$5:$A$5000&lt;$J417+7)*('Weekly Log'!$M$5:$M$5000&lt;&gt;"")),'Weekly Log'!$M$5:$M$5000),0))</f>
        <v/>
      </c>
      <c r="J417">
        <f>IF(COUNT('Weekly Log'!$A$5:$A$5000)=0,"",IF(MIN('Weekly Log'!$A$5:$A$5000)+7*(ROW()-10)&gt;MAX('Weekly Log'!$A$5:$A$5000),"",MIN('Weekly Log'!$A$5:$A$5000)+7*(ROW()-10)))</f>
        <v/>
      </c>
    </row>
    <row r="418">
      <c r="A418">
        <f>IF($J418="","",YEAR($J418-WEEKDAY($J418,2)+4)&amp;"-W"&amp;TEXT(WEEKNUM($J418,21),"00"))</f>
        <v/>
      </c>
      <c r="B418">
        <f>IF($J418="","",SUMIFS('Weekly Log'!$C:$C,'Weekly Log'!$A:$A,"&gt;="&amp;$J418,'Weekly Log'!$A:$A,"&lt;"&amp;$J418+7))</f>
        <v/>
      </c>
      <c r="C418">
        <f>IF($J418="","",IFERROR(COUNTIFS('Weekly Log'!$G:$G,"Y",'Weekly Log'!$A:$A,"&gt;="&amp;$J418,'Weekly Log'!$A:$A,"&lt;"&amp;$J418+7)/COUNTIFS('Weekly Log'!$G:$G,"&lt;&gt;",'Weekly Log'!$A:$A,"&gt;="&amp;$J418,'Weekly Log'!$A:$A,"&lt;"&amp;$J418+7),0))</f>
        <v/>
      </c>
      <c r="D418">
        <f>IF($J418="","",IFERROR(COUNTIFS('Weekly Log'!$H:$H,"Y",'Weekly Log'!$A:$A,"&gt;="&amp;$J418,'Weekly Log'!$A:$A,"&lt;"&amp;$J418+7)/COUNTIFS('Weekly Log'!$H:$H,"&lt;&gt;",'Weekly Log'!$A:$A,"&gt;="&amp;$J418,'Weekly Log'!$A:$A,"&lt;"&amp;$J418+7),0))</f>
        <v/>
      </c>
      <c r="E418">
        <f>IF($J418="","",IFERROR(AVERAGEIFS('Weekly Log'!$F:$F,'Weekly Log'!$A:$A,"&gt;="&amp;$J418,'Weekly Log'!$A:$A,"&lt;"&amp;$J418+7),0))</f>
        <v/>
      </c>
      <c r="F418">
        <f>IF($J418="","",IFERROR(SUMIFS('Weekly Log'!$F:$F,'Weekly Log'!$A:$A,"&gt;="&amp;$J418,'Weekly Log'!$A:$A,"&lt;"&amp;$J418+7)/SUMIFS('Weekly Log'!$E:$E,'Weekly Log'!$A:$A,"&gt;="&amp;$J418,'Weekly Log'!$A:$A,"&lt;"&amp;$J418+7),0))</f>
        <v/>
      </c>
      <c r="G418">
        <f>IF($J418="","",IFERROR(LOOKUP(2,1/(('Weekly Log'!$A$5:$A$5000&gt;=$J418)*('Weekly Log'!$A$5:$A$5000&lt;$J418+7)*('Weekly Log'!$M$5:$M$5000&lt;&gt;"")),'Weekly Log'!$M$5:$M$5000),0))</f>
        <v/>
      </c>
      <c r="J418">
        <f>IF(COUNT('Weekly Log'!$A$5:$A$5000)=0,"",IF(MIN('Weekly Log'!$A$5:$A$5000)+7*(ROW()-10)&gt;MAX('Weekly Log'!$A$5:$A$5000),"",MIN('Weekly Log'!$A$5:$A$5000)+7*(ROW()-10)))</f>
        <v/>
      </c>
    </row>
    <row r="419">
      <c r="A419">
        <f>IF($J419="","",YEAR($J419-WEEKDAY($J419,2)+4)&amp;"-W"&amp;TEXT(WEEKNUM($J419,21),"00"))</f>
        <v/>
      </c>
      <c r="B419">
        <f>IF($J419="","",SUMIFS('Weekly Log'!$C:$C,'Weekly Log'!$A:$A,"&gt;="&amp;$J419,'Weekly Log'!$A:$A,"&lt;"&amp;$J419+7))</f>
        <v/>
      </c>
      <c r="C419">
        <f>IF($J419="","",IFERROR(COUNTIFS('Weekly Log'!$G:$G,"Y",'Weekly Log'!$A:$A,"&gt;="&amp;$J419,'Weekly Log'!$A:$A,"&lt;"&amp;$J419+7)/COUNTIFS('Weekly Log'!$G:$G,"&lt;&gt;",'Weekly Log'!$A:$A,"&gt;="&amp;$J419,'Weekly Log'!$A:$A,"&lt;"&amp;$J419+7),0))</f>
        <v/>
      </c>
      <c r="D419">
        <f>IF($J419="","",IFERROR(COUNTIFS('Weekly Log'!$H:$H,"Y",'Weekly Log'!$A:$A,"&gt;="&amp;$J419,'Weekly Log'!$A:$A,"&lt;"&amp;$J419+7)/COUNTIFS('Weekly Log'!$H:$H,"&lt;&gt;",'Weekly Log'!$A:$A,"&gt;="&amp;$J419,'Weekly Log'!$A:$A,"&lt;"&amp;$J419+7),0))</f>
        <v/>
      </c>
      <c r="E419">
        <f>IF($J419="","",IFERROR(AVERAGEIFS('Weekly Log'!$F:$F,'Weekly Log'!$A:$A,"&gt;="&amp;$J419,'Weekly Log'!$A:$A,"&lt;"&amp;$J419+7),0))</f>
        <v/>
      </c>
      <c r="F419">
        <f>IF($J419="","",IFERROR(SUMIFS('Weekly Log'!$F:$F,'Weekly Log'!$A:$A,"&gt;="&amp;$J419,'Weekly Log'!$A:$A,"&lt;"&amp;$J419+7)/SUMIFS('Weekly Log'!$E:$E,'Weekly Log'!$A:$A,"&gt;="&amp;$J419,'Weekly Log'!$A:$A,"&lt;"&amp;$J419+7),0))</f>
        <v/>
      </c>
      <c r="G419">
        <f>IF($J419="","",IFERROR(LOOKUP(2,1/(('Weekly Log'!$A$5:$A$5000&gt;=$J419)*('Weekly Log'!$A$5:$A$5000&lt;$J419+7)*('Weekly Log'!$M$5:$M$5000&lt;&gt;"")),'Weekly Log'!$M$5:$M$5000),0))</f>
        <v/>
      </c>
      <c r="J419">
        <f>IF(COUNT('Weekly Log'!$A$5:$A$5000)=0,"",IF(MIN('Weekly Log'!$A$5:$A$5000)+7*(ROW()-10)&gt;MAX('Weekly Log'!$A$5:$A$5000),"",MIN('Weekly Log'!$A$5:$A$5000)+7*(ROW()-10)))</f>
        <v/>
      </c>
    </row>
    <row r="420">
      <c r="A420">
        <f>IF($J420="","",YEAR($J420-WEEKDAY($J420,2)+4)&amp;"-W"&amp;TEXT(WEEKNUM($J420,21),"00"))</f>
        <v/>
      </c>
      <c r="B420">
        <f>IF($J420="","",SUMIFS('Weekly Log'!$C:$C,'Weekly Log'!$A:$A,"&gt;="&amp;$J420,'Weekly Log'!$A:$A,"&lt;"&amp;$J420+7))</f>
        <v/>
      </c>
      <c r="C420">
        <f>IF($J420="","",IFERROR(COUNTIFS('Weekly Log'!$G:$G,"Y",'Weekly Log'!$A:$A,"&gt;="&amp;$J420,'Weekly Log'!$A:$A,"&lt;"&amp;$J420+7)/COUNTIFS('Weekly Log'!$G:$G,"&lt;&gt;",'Weekly Log'!$A:$A,"&gt;="&amp;$J420,'Weekly Log'!$A:$A,"&lt;"&amp;$J420+7),0))</f>
        <v/>
      </c>
      <c r="D420">
        <f>IF($J420="","",IFERROR(COUNTIFS('Weekly Log'!$H:$H,"Y",'Weekly Log'!$A:$A,"&gt;="&amp;$J420,'Weekly Log'!$A:$A,"&lt;"&amp;$J420+7)/COUNTIFS('Weekly Log'!$H:$H,"&lt;&gt;",'Weekly Log'!$A:$A,"&gt;="&amp;$J420,'Weekly Log'!$A:$A,"&lt;"&amp;$J420+7),0))</f>
        <v/>
      </c>
      <c r="E420">
        <f>IF($J420="","",IFERROR(AVERAGEIFS('Weekly Log'!$F:$F,'Weekly Log'!$A:$A,"&gt;="&amp;$J420,'Weekly Log'!$A:$A,"&lt;"&amp;$J420+7),0))</f>
        <v/>
      </c>
      <c r="F420">
        <f>IF($J420="","",IFERROR(SUMIFS('Weekly Log'!$F:$F,'Weekly Log'!$A:$A,"&gt;="&amp;$J420,'Weekly Log'!$A:$A,"&lt;"&amp;$J420+7)/SUMIFS('Weekly Log'!$E:$E,'Weekly Log'!$A:$A,"&gt;="&amp;$J420,'Weekly Log'!$A:$A,"&lt;"&amp;$J420+7),0))</f>
        <v/>
      </c>
      <c r="G420">
        <f>IF($J420="","",IFERROR(LOOKUP(2,1/(('Weekly Log'!$A$5:$A$5000&gt;=$J420)*('Weekly Log'!$A$5:$A$5000&lt;$J420+7)*('Weekly Log'!$M$5:$M$5000&lt;&gt;"")),'Weekly Log'!$M$5:$M$5000),0))</f>
        <v/>
      </c>
      <c r="J420">
        <f>IF(COUNT('Weekly Log'!$A$5:$A$5000)=0,"",IF(MIN('Weekly Log'!$A$5:$A$5000)+7*(ROW()-10)&gt;MAX('Weekly Log'!$A$5:$A$5000),"",MIN('Weekly Log'!$A$5:$A$5000)+7*(ROW()-10)))</f>
        <v/>
      </c>
    </row>
    <row r="421">
      <c r="A421">
        <f>IF($J421="","",YEAR($J421-WEEKDAY($J421,2)+4)&amp;"-W"&amp;TEXT(WEEKNUM($J421,21),"00"))</f>
        <v/>
      </c>
      <c r="B421">
        <f>IF($J421="","",SUMIFS('Weekly Log'!$C:$C,'Weekly Log'!$A:$A,"&gt;="&amp;$J421,'Weekly Log'!$A:$A,"&lt;"&amp;$J421+7))</f>
        <v/>
      </c>
      <c r="C421">
        <f>IF($J421="","",IFERROR(COUNTIFS('Weekly Log'!$G:$G,"Y",'Weekly Log'!$A:$A,"&gt;="&amp;$J421,'Weekly Log'!$A:$A,"&lt;"&amp;$J421+7)/COUNTIFS('Weekly Log'!$G:$G,"&lt;&gt;",'Weekly Log'!$A:$A,"&gt;="&amp;$J421,'Weekly Log'!$A:$A,"&lt;"&amp;$J421+7),0))</f>
        <v/>
      </c>
      <c r="D421">
        <f>IF($J421="","",IFERROR(COUNTIFS('Weekly Log'!$H:$H,"Y",'Weekly Log'!$A:$A,"&gt;="&amp;$J421,'Weekly Log'!$A:$A,"&lt;"&amp;$J421+7)/COUNTIFS('Weekly Log'!$H:$H,"&lt;&gt;",'Weekly Log'!$A:$A,"&gt;="&amp;$J421,'Weekly Log'!$A:$A,"&lt;"&amp;$J421+7),0))</f>
        <v/>
      </c>
      <c r="E421">
        <f>IF($J421="","",IFERROR(AVERAGEIFS('Weekly Log'!$F:$F,'Weekly Log'!$A:$A,"&gt;="&amp;$J421,'Weekly Log'!$A:$A,"&lt;"&amp;$J421+7),0))</f>
        <v/>
      </c>
      <c r="F421">
        <f>IF($J421="","",IFERROR(SUMIFS('Weekly Log'!$F:$F,'Weekly Log'!$A:$A,"&gt;="&amp;$J421,'Weekly Log'!$A:$A,"&lt;"&amp;$J421+7)/SUMIFS('Weekly Log'!$E:$E,'Weekly Log'!$A:$A,"&gt;="&amp;$J421,'Weekly Log'!$A:$A,"&lt;"&amp;$J421+7),0))</f>
        <v/>
      </c>
      <c r="G421">
        <f>IF($J421="","",IFERROR(LOOKUP(2,1/(('Weekly Log'!$A$5:$A$5000&gt;=$J421)*('Weekly Log'!$A$5:$A$5000&lt;$J421+7)*('Weekly Log'!$M$5:$M$5000&lt;&gt;"")),'Weekly Log'!$M$5:$M$5000),0))</f>
        <v/>
      </c>
      <c r="J421">
        <f>IF(COUNT('Weekly Log'!$A$5:$A$5000)=0,"",IF(MIN('Weekly Log'!$A$5:$A$5000)+7*(ROW()-10)&gt;MAX('Weekly Log'!$A$5:$A$5000),"",MIN('Weekly Log'!$A$5:$A$5000)+7*(ROW()-10)))</f>
        <v/>
      </c>
    </row>
    <row r="422">
      <c r="A422">
        <f>IF($J422="","",YEAR($J422-WEEKDAY($J422,2)+4)&amp;"-W"&amp;TEXT(WEEKNUM($J422,21),"00"))</f>
        <v/>
      </c>
      <c r="B422">
        <f>IF($J422="","",SUMIFS('Weekly Log'!$C:$C,'Weekly Log'!$A:$A,"&gt;="&amp;$J422,'Weekly Log'!$A:$A,"&lt;"&amp;$J422+7))</f>
        <v/>
      </c>
      <c r="C422">
        <f>IF($J422="","",IFERROR(COUNTIFS('Weekly Log'!$G:$G,"Y",'Weekly Log'!$A:$A,"&gt;="&amp;$J422,'Weekly Log'!$A:$A,"&lt;"&amp;$J422+7)/COUNTIFS('Weekly Log'!$G:$G,"&lt;&gt;",'Weekly Log'!$A:$A,"&gt;="&amp;$J422,'Weekly Log'!$A:$A,"&lt;"&amp;$J422+7),0))</f>
        <v/>
      </c>
      <c r="D422">
        <f>IF($J422="","",IFERROR(COUNTIFS('Weekly Log'!$H:$H,"Y",'Weekly Log'!$A:$A,"&gt;="&amp;$J422,'Weekly Log'!$A:$A,"&lt;"&amp;$J422+7)/COUNTIFS('Weekly Log'!$H:$H,"&lt;&gt;",'Weekly Log'!$A:$A,"&gt;="&amp;$J422,'Weekly Log'!$A:$A,"&lt;"&amp;$J422+7),0))</f>
        <v/>
      </c>
      <c r="E422">
        <f>IF($J422="","",IFERROR(AVERAGEIFS('Weekly Log'!$F:$F,'Weekly Log'!$A:$A,"&gt;="&amp;$J422,'Weekly Log'!$A:$A,"&lt;"&amp;$J422+7),0))</f>
        <v/>
      </c>
      <c r="F422">
        <f>IF($J422="","",IFERROR(SUMIFS('Weekly Log'!$F:$F,'Weekly Log'!$A:$A,"&gt;="&amp;$J422,'Weekly Log'!$A:$A,"&lt;"&amp;$J422+7)/SUMIFS('Weekly Log'!$E:$E,'Weekly Log'!$A:$A,"&gt;="&amp;$J422,'Weekly Log'!$A:$A,"&lt;"&amp;$J422+7),0))</f>
        <v/>
      </c>
      <c r="G422">
        <f>IF($J422="","",IFERROR(LOOKUP(2,1/(('Weekly Log'!$A$5:$A$5000&gt;=$J422)*('Weekly Log'!$A$5:$A$5000&lt;$J422+7)*('Weekly Log'!$M$5:$M$5000&lt;&gt;"")),'Weekly Log'!$M$5:$M$5000),0))</f>
        <v/>
      </c>
      <c r="J422">
        <f>IF(COUNT('Weekly Log'!$A$5:$A$5000)=0,"",IF(MIN('Weekly Log'!$A$5:$A$5000)+7*(ROW()-10)&gt;MAX('Weekly Log'!$A$5:$A$5000),"",MIN('Weekly Log'!$A$5:$A$5000)+7*(ROW()-10)))</f>
        <v/>
      </c>
    </row>
    <row r="423">
      <c r="A423">
        <f>IF($J423="","",YEAR($J423-WEEKDAY($J423,2)+4)&amp;"-W"&amp;TEXT(WEEKNUM($J423,21),"00"))</f>
        <v/>
      </c>
      <c r="B423">
        <f>IF($J423="","",SUMIFS('Weekly Log'!$C:$C,'Weekly Log'!$A:$A,"&gt;="&amp;$J423,'Weekly Log'!$A:$A,"&lt;"&amp;$J423+7))</f>
        <v/>
      </c>
      <c r="C423">
        <f>IF($J423="","",IFERROR(COUNTIFS('Weekly Log'!$G:$G,"Y",'Weekly Log'!$A:$A,"&gt;="&amp;$J423,'Weekly Log'!$A:$A,"&lt;"&amp;$J423+7)/COUNTIFS('Weekly Log'!$G:$G,"&lt;&gt;",'Weekly Log'!$A:$A,"&gt;="&amp;$J423,'Weekly Log'!$A:$A,"&lt;"&amp;$J423+7),0))</f>
        <v/>
      </c>
      <c r="D423">
        <f>IF($J423="","",IFERROR(COUNTIFS('Weekly Log'!$H:$H,"Y",'Weekly Log'!$A:$A,"&gt;="&amp;$J423,'Weekly Log'!$A:$A,"&lt;"&amp;$J423+7)/COUNTIFS('Weekly Log'!$H:$H,"&lt;&gt;",'Weekly Log'!$A:$A,"&gt;="&amp;$J423,'Weekly Log'!$A:$A,"&lt;"&amp;$J423+7),0))</f>
        <v/>
      </c>
      <c r="E423">
        <f>IF($J423="","",IFERROR(AVERAGEIFS('Weekly Log'!$F:$F,'Weekly Log'!$A:$A,"&gt;="&amp;$J423,'Weekly Log'!$A:$A,"&lt;"&amp;$J423+7),0))</f>
        <v/>
      </c>
      <c r="F423">
        <f>IF($J423="","",IFERROR(SUMIFS('Weekly Log'!$F:$F,'Weekly Log'!$A:$A,"&gt;="&amp;$J423,'Weekly Log'!$A:$A,"&lt;"&amp;$J423+7)/SUMIFS('Weekly Log'!$E:$E,'Weekly Log'!$A:$A,"&gt;="&amp;$J423,'Weekly Log'!$A:$A,"&lt;"&amp;$J423+7),0))</f>
        <v/>
      </c>
      <c r="G423">
        <f>IF($J423="","",IFERROR(LOOKUP(2,1/(('Weekly Log'!$A$5:$A$5000&gt;=$J423)*('Weekly Log'!$A$5:$A$5000&lt;$J423+7)*('Weekly Log'!$M$5:$M$5000&lt;&gt;"")),'Weekly Log'!$M$5:$M$5000),0))</f>
        <v/>
      </c>
      <c r="J423">
        <f>IF(COUNT('Weekly Log'!$A$5:$A$5000)=0,"",IF(MIN('Weekly Log'!$A$5:$A$5000)+7*(ROW()-10)&gt;MAX('Weekly Log'!$A$5:$A$5000),"",MIN('Weekly Log'!$A$5:$A$5000)+7*(ROW()-10)))</f>
        <v/>
      </c>
    </row>
    <row r="424">
      <c r="A424">
        <f>IF($J424="","",YEAR($J424-WEEKDAY($J424,2)+4)&amp;"-W"&amp;TEXT(WEEKNUM($J424,21),"00"))</f>
        <v/>
      </c>
      <c r="B424">
        <f>IF($J424="","",SUMIFS('Weekly Log'!$C:$C,'Weekly Log'!$A:$A,"&gt;="&amp;$J424,'Weekly Log'!$A:$A,"&lt;"&amp;$J424+7))</f>
        <v/>
      </c>
      <c r="C424">
        <f>IF($J424="","",IFERROR(COUNTIFS('Weekly Log'!$G:$G,"Y",'Weekly Log'!$A:$A,"&gt;="&amp;$J424,'Weekly Log'!$A:$A,"&lt;"&amp;$J424+7)/COUNTIFS('Weekly Log'!$G:$G,"&lt;&gt;",'Weekly Log'!$A:$A,"&gt;="&amp;$J424,'Weekly Log'!$A:$A,"&lt;"&amp;$J424+7),0))</f>
        <v/>
      </c>
      <c r="D424">
        <f>IF($J424="","",IFERROR(COUNTIFS('Weekly Log'!$H:$H,"Y",'Weekly Log'!$A:$A,"&gt;="&amp;$J424,'Weekly Log'!$A:$A,"&lt;"&amp;$J424+7)/COUNTIFS('Weekly Log'!$H:$H,"&lt;&gt;",'Weekly Log'!$A:$A,"&gt;="&amp;$J424,'Weekly Log'!$A:$A,"&lt;"&amp;$J424+7),0))</f>
        <v/>
      </c>
      <c r="E424">
        <f>IF($J424="","",IFERROR(AVERAGEIFS('Weekly Log'!$F:$F,'Weekly Log'!$A:$A,"&gt;="&amp;$J424,'Weekly Log'!$A:$A,"&lt;"&amp;$J424+7),0))</f>
        <v/>
      </c>
      <c r="F424">
        <f>IF($J424="","",IFERROR(SUMIFS('Weekly Log'!$F:$F,'Weekly Log'!$A:$A,"&gt;="&amp;$J424,'Weekly Log'!$A:$A,"&lt;"&amp;$J424+7)/SUMIFS('Weekly Log'!$E:$E,'Weekly Log'!$A:$A,"&gt;="&amp;$J424,'Weekly Log'!$A:$A,"&lt;"&amp;$J424+7),0))</f>
        <v/>
      </c>
      <c r="G424">
        <f>IF($J424="","",IFERROR(LOOKUP(2,1/(('Weekly Log'!$A$5:$A$5000&gt;=$J424)*('Weekly Log'!$A$5:$A$5000&lt;$J424+7)*('Weekly Log'!$M$5:$M$5000&lt;&gt;"")),'Weekly Log'!$M$5:$M$5000),0))</f>
        <v/>
      </c>
      <c r="J424">
        <f>IF(COUNT('Weekly Log'!$A$5:$A$5000)=0,"",IF(MIN('Weekly Log'!$A$5:$A$5000)+7*(ROW()-10)&gt;MAX('Weekly Log'!$A$5:$A$5000),"",MIN('Weekly Log'!$A$5:$A$5000)+7*(ROW()-10)))</f>
        <v/>
      </c>
    </row>
    <row r="425">
      <c r="A425">
        <f>IF($J425="","",YEAR($J425-WEEKDAY($J425,2)+4)&amp;"-W"&amp;TEXT(WEEKNUM($J425,21),"00"))</f>
        <v/>
      </c>
      <c r="B425">
        <f>IF($J425="","",SUMIFS('Weekly Log'!$C:$C,'Weekly Log'!$A:$A,"&gt;="&amp;$J425,'Weekly Log'!$A:$A,"&lt;"&amp;$J425+7))</f>
        <v/>
      </c>
      <c r="C425">
        <f>IF($J425="","",IFERROR(COUNTIFS('Weekly Log'!$G:$G,"Y",'Weekly Log'!$A:$A,"&gt;="&amp;$J425,'Weekly Log'!$A:$A,"&lt;"&amp;$J425+7)/COUNTIFS('Weekly Log'!$G:$G,"&lt;&gt;",'Weekly Log'!$A:$A,"&gt;="&amp;$J425,'Weekly Log'!$A:$A,"&lt;"&amp;$J425+7),0))</f>
        <v/>
      </c>
      <c r="D425">
        <f>IF($J425="","",IFERROR(COUNTIFS('Weekly Log'!$H:$H,"Y",'Weekly Log'!$A:$A,"&gt;="&amp;$J425,'Weekly Log'!$A:$A,"&lt;"&amp;$J425+7)/COUNTIFS('Weekly Log'!$H:$H,"&lt;&gt;",'Weekly Log'!$A:$A,"&gt;="&amp;$J425,'Weekly Log'!$A:$A,"&lt;"&amp;$J425+7),0))</f>
        <v/>
      </c>
      <c r="E425">
        <f>IF($J425="","",IFERROR(AVERAGEIFS('Weekly Log'!$F:$F,'Weekly Log'!$A:$A,"&gt;="&amp;$J425,'Weekly Log'!$A:$A,"&lt;"&amp;$J425+7),0))</f>
        <v/>
      </c>
      <c r="F425">
        <f>IF($J425="","",IFERROR(SUMIFS('Weekly Log'!$F:$F,'Weekly Log'!$A:$A,"&gt;="&amp;$J425,'Weekly Log'!$A:$A,"&lt;"&amp;$J425+7)/SUMIFS('Weekly Log'!$E:$E,'Weekly Log'!$A:$A,"&gt;="&amp;$J425,'Weekly Log'!$A:$A,"&lt;"&amp;$J425+7),0))</f>
        <v/>
      </c>
      <c r="G425">
        <f>IF($J425="","",IFERROR(LOOKUP(2,1/(('Weekly Log'!$A$5:$A$5000&gt;=$J425)*('Weekly Log'!$A$5:$A$5000&lt;$J425+7)*('Weekly Log'!$M$5:$M$5000&lt;&gt;"")),'Weekly Log'!$M$5:$M$5000),0))</f>
        <v/>
      </c>
      <c r="J425">
        <f>IF(COUNT('Weekly Log'!$A$5:$A$5000)=0,"",IF(MIN('Weekly Log'!$A$5:$A$5000)+7*(ROW()-10)&gt;MAX('Weekly Log'!$A$5:$A$5000),"",MIN('Weekly Log'!$A$5:$A$5000)+7*(ROW()-10)))</f>
        <v/>
      </c>
    </row>
    <row r="426">
      <c r="A426">
        <f>IF($J426="","",YEAR($J426-WEEKDAY($J426,2)+4)&amp;"-W"&amp;TEXT(WEEKNUM($J426,21),"00"))</f>
        <v/>
      </c>
      <c r="B426">
        <f>IF($J426="","",SUMIFS('Weekly Log'!$C:$C,'Weekly Log'!$A:$A,"&gt;="&amp;$J426,'Weekly Log'!$A:$A,"&lt;"&amp;$J426+7))</f>
        <v/>
      </c>
      <c r="C426">
        <f>IF($J426="","",IFERROR(COUNTIFS('Weekly Log'!$G:$G,"Y",'Weekly Log'!$A:$A,"&gt;="&amp;$J426,'Weekly Log'!$A:$A,"&lt;"&amp;$J426+7)/COUNTIFS('Weekly Log'!$G:$G,"&lt;&gt;",'Weekly Log'!$A:$A,"&gt;="&amp;$J426,'Weekly Log'!$A:$A,"&lt;"&amp;$J426+7),0))</f>
        <v/>
      </c>
      <c r="D426">
        <f>IF($J426="","",IFERROR(COUNTIFS('Weekly Log'!$H:$H,"Y",'Weekly Log'!$A:$A,"&gt;="&amp;$J426,'Weekly Log'!$A:$A,"&lt;"&amp;$J426+7)/COUNTIFS('Weekly Log'!$H:$H,"&lt;&gt;",'Weekly Log'!$A:$A,"&gt;="&amp;$J426,'Weekly Log'!$A:$A,"&lt;"&amp;$J426+7),0))</f>
        <v/>
      </c>
      <c r="E426">
        <f>IF($J426="","",IFERROR(AVERAGEIFS('Weekly Log'!$F:$F,'Weekly Log'!$A:$A,"&gt;="&amp;$J426,'Weekly Log'!$A:$A,"&lt;"&amp;$J426+7),0))</f>
        <v/>
      </c>
      <c r="F426">
        <f>IF($J426="","",IFERROR(SUMIFS('Weekly Log'!$F:$F,'Weekly Log'!$A:$A,"&gt;="&amp;$J426,'Weekly Log'!$A:$A,"&lt;"&amp;$J426+7)/SUMIFS('Weekly Log'!$E:$E,'Weekly Log'!$A:$A,"&gt;="&amp;$J426,'Weekly Log'!$A:$A,"&lt;"&amp;$J426+7),0))</f>
        <v/>
      </c>
      <c r="G426">
        <f>IF($J426="","",IFERROR(LOOKUP(2,1/(('Weekly Log'!$A$5:$A$5000&gt;=$J426)*('Weekly Log'!$A$5:$A$5000&lt;$J426+7)*('Weekly Log'!$M$5:$M$5000&lt;&gt;"")),'Weekly Log'!$M$5:$M$5000),0))</f>
        <v/>
      </c>
      <c r="J426">
        <f>IF(COUNT('Weekly Log'!$A$5:$A$5000)=0,"",IF(MIN('Weekly Log'!$A$5:$A$5000)+7*(ROW()-10)&gt;MAX('Weekly Log'!$A$5:$A$5000),"",MIN('Weekly Log'!$A$5:$A$5000)+7*(ROW()-10)))</f>
        <v/>
      </c>
    </row>
    <row r="427">
      <c r="A427">
        <f>IF($J427="","",YEAR($J427-WEEKDAY($J427,2)+4)&amp;"-W"&amp;TEXT(WEEKNUM($J427,21),"00"))</f>
        <v/>
      </c>
      <c r="B427">
        <f>IF($J427="","",SUMIFS('Weekly Log'!$C:$C,'Weekly Log'!$A:$A,"&gt;="&amp;$J427,'Weekly Log'!$A:$A,"&lt;"&amp;$J427+7))</f>
        <v/>
      </c>
      <c r="C427">
        <f>IF($J427="","",IFERROR(COUNTIFS('Weekly Log'!$G:$G,"Y",'Weekly Log'!$A:$A,"&gt;="&amp;$J427,'Weekly Log'!$A:$A,"&lt;"&amp;$J427+7)/COUNTIFS('Weekly Log'!$G:$G,"&lt;&gt;",'Weekly Log'!$A:$A,"&gt;="&amp;$J427,'Weekly Log'!$A:$A,"&lt;"&amp;$J427+7),0))</f>
        <v/>
      </c>
      <c r="D427">
        <f>IF($J427="","",IFERROR(COUNTIFS('Weekly Log'!$H:$H,"Y",'Weekly Log'!$A:$A,"&gt;="&amp;$J427,'Weekly Log'!$A:$A,"&lt;"&amp;$J427+7)/COUNTIFS('Weekly Log'!$H:$H,"&lt;&gt;",'Weekly Log'!$A:$A,"&gt;="&amp;$J427,'Weekly Log'!$A:$A,"&lt;"&amp;$J427+7),0))</f>
        <v/>
      </c>
      <c r="E427">
        <f>IF($J427="","",IFERROR(AVERAGEIFS('Weekly Log'!$F:$F,'Weekly Log'!$A:$A,"&gt;="&amp;$J427,'Weekly Log'!$A:$A,"&lt;"&amp;$J427+7),0))</f>
        <v/>
      </c>
      <c r="F427">
        <f>IF($J427="","",IFERROR(SUMIFS('Weekly Log'!$F:$F,'Weekly Log'!$A:$A,"&gt;="&amp;$J427,'Weekly Log'!$A:$A,"&lt;"&amp;$J427+7)/SUMIFS('Weekly Log'!$E:$E,'Weekly Log'!$A:$A,"&gt;="&amp;$J427,'Weekly Log'!$A:$A,"&lt;"&amp;$J427+7),0))</f>
        <v/>
      </c>
      <c r="G427">
        <f>IF($J427="","",IFERROR(LOOKUP(2,1/(('Weekly Log'!$A$5:$A$5000&gt;=$J427)*('Weekly Log'!$A$5:$A$5000&lt;$J427+7)*('Weekly Log'!$M$5:$M$5000&lt;&gt;"")),'Weekly Log'!$M$5:$M$5000),0))</f>
        <v/>
      </c>
      <c r="J427">
        <f>IF(COUNT('Weekly Log'!$A$5:$A$5000)=0,"",IF(MIN('Weekly Log'!$A$5:$A$5000)+7*(ROW()-10)&gt;MAX('Weekly Log'!$A$5:$A$5000),"",MIN('Weekly Log'!$A$5:$A$5000)+7*(ROW()-10)))</f>
        <v/>
      </c>
    </row>
    <row r="428">
      <c r="A428">
        <f>IF($J428="","",YEAR($J428-WEEKDAY($J428,2)+4)&amp;"-W"&amp;TEXT(WEEKNUM($J428,21),"00"))</f>
        <v/>
      </c>
      <c r="B428">
        <f>IF($J428="","",SUMIFS('Weekly Log'!$C:$C,'Weekly Log'!$A:$A,"&gt;="&amp;$J428,'Weekly Log'!$A:$A,"&lt;"&amp;$J428+7))</f>
        <v/>
      </c>
      <c r="C428">
        <f>IF($J428="","",IFERROR(COUNTIFS('Weekly Log'!$G:$G,"Y",'Weekly Log'!$A:$A,"&gt;="&amp;$J428,'Weekly Log'!$A:$A,"&lt;"&amp;$J428+7)/COUNTIFS('Weekly Log'!$G:$G,"&lt;&gt;",'Weekly Log'!$A:$A,"&gt;="&amp;$J428,'Weekly Log'!$A:$A,"&lt;"&amp;$J428+7),0))</f>
        <v/>
      </c>
      <c r="D428">
        <f>IF($J428="","",IFERROR(COUNTIFS('Weekly Log'!$H:$H,"Y",'Weekly Log'!$A:$A,"&gt;="&amp;$J428,'Weekly Log'!$A:$A,"&lt;"&amp;$J428+7)/COUNTIFS('Weekly Log'!$H:$H,"&lt;&gt;",'Weekly Log'!$A:$A,"&gt;="&amp;$J428,'Weekly Log'!$A:$A,"&lt;"&amp;$J428+7),0))</f>
        <v/>
      </c>
      <c r="E428">
        <f>IF($J428="","",IFERROR(AVERAGEIFS('Weekly Log'!$F:$F,'Weekly Log'!$A:$A,"&gt;="&amp;$J428,'Weekly Log'!$A:$A,"&lt;"&amp;$J428+7),0))</f>
        <v/>
      </c>
      <c r="F428">
        <f>IF($J428="","",IFERROR(SUMIFS('Weekly Log'!$F:$F,'Weekly Log'!$A:$A,"&gt;="&amp;$J428,'Weekly Log'!$A:$A,"&lt;"&amp;$J428+7)/SUMIFS('Weekly Log'!$E:$E,'Weekly Log'!$A:$A,"&gt;="&amp;$J428,'Weekly Log'!$A:$A,"&lt;"&amp;$J428+7),0))</f>
        <v/>
      </c>
      <c r="G428">
        <f>IF($J428="","",IFERROR(LOOKUP(2,1/(('Weekly Log'!$A$5:$A$5000&gt;=$J428)*('Weekly Log'!$A$5:$A$5000&lt;$J428+7)*('Weekly Log'!$M$5:$M$5000&lt;&gt;"")),'Weekly Log'!$M$5:$M$5000),0))</f>
        <v/>
      </c>
      <c r="J428">
        <f>IF(COUNT('Weekly Log'!$A$5:$A$5000)=0,"",IF(MIN('Weekly Log'!$A$5:$A$5000)+7*(ROW()-10)&gt;MAX('Weekly Log'!$A$5:$A$5000),"",MIN('Weekly Log'!$A$5:$A$5000)+7*(ROW()-10)))</f>
        <v/>
      </c>
    </row>
    <row r="429">
      <c r="A429">
        <f>IF($J429="","",YEAR($J429-WEEKDAY($J429,2)+4)&amp;"-W"&amp;TEXT(WEEKNUM($J429,21),"00"))</f>
        <v/>
      </c>
      <c r="B429">
        <f>IF($J429="","",SUMIFS('Weekly Log'!$C:$C,'Weekly Log'!$A:$A,"&gt;="&amp;$J429,'Weekly Log'!$A:$A,"&lt;"&amp;$J429+7))</f>
        <v/>
      </c>
      <c r="C429">
        <f>IF($J429="","",IFERROR(COUNTIFS('Weekly Log'!$G:$G,"Y",'Weekly Log'!$A:$A,"&gt;="&amp;$J429,'Weekly Log'!$A:$A,"&lt;"&amp;$J429+7)/COUNTIFS('Weekly Log'!$G:$G,"&lt;&gt;",'Weekly Log'!$A:$A,"&gt;="&amp;$J429,'Weekly Log'!$A:$A,"&lt;"&amp;$J429+7),0))</f>
        <v/>
      </c>
      <c r="D429">
        <f>IF($J429="","",IFERROR(COUNTIFS('Weekly Log'!$H:$H,"Y",'Weekly Log'!$A:$A,"&gt;="&amp;$J429,'Weekly Log'!$A:$A,"&lt;"&amp;$J429+7)/COUNTIFS('Weekly Log'!$H:$H,"&lt;&gt;",'Weekly Log'!$A:$A,"&gt;="&amp;$J429,'Weekly Log'!$A:$A,"&lt;"&amp;$J429+7),0))</f>
        <v/>
      </c>
      <c r="E429">
        <f>IF($J429="","",IFERROR(AVERAGEIFS('Weekly Log'!$F:$F,'Weekly Log'!$A:$A,"&gt;="&amp;$J429,'Weekly Log'!$A:$A,"&lt;"&amp;$J429+7),0))</f>
        <v/>
      </c>
      <c r="F429">
        <f>IF($J429="","",IFERROR(SUMIFS('Weekly Log'!$F:$F,'Weekly Log'!$A:$A,"&gt;="&amp;$J429,'Weekly Log'!$A:$A,"&lt;"&amp;$J429+7)/SUMIFS('Weekly Log'!$E:$E,'Weekly Log'!$A:$A,"&gt;="&amp;$J429,'Weekly Log'!$A:$A,"&lt;"&amp;$J429+7),0))</f>
        <v/>
      </c>
      <c r="G429">
        <f>IF($J429="","",IFERROR(LOOKUP(2,1/(('Weekly Log'!$A$5:$A$5000&gt;=$J429)*('Weekly Log'!$A$5:$A$5000&lt;$J429+7)*('Weekly Log'!$M$5:$M$5000&lt;&gt;"")),'Weekly Log'!$M$5:$M$5000),0))</f>
        <v/>
      </c>
      <c r="J429">
        <f>IF(COUNT('Weekly Log'!$A$5:$A$5000)=0,"",IF(MIN('Weekly Log'!$A$5:$A$5000)+7*(ROW()-10)&gt;MAX('Weekly Log'!$A$5:$A$5000),"",MIN('Weekly Log'!$A$5:$A$5000)+7*(ROW()-10)))</f>
        <v/>
      </c>
    </row>
    <row r="430">
      <c r="A430">
        <f>IF($J430="","",YEAR($J430-WEEKDAY($J430,2)+4)&amp;"-W"&amp;TEXT(WEEKNUM($J430,21),"00"))</f>
        <v/>
      </c>
      <c r="B430">
        <f>IF($J430="","",SUMIFS('Weekly Log'!$C:$C,'Weekly Log'!$A:$A,"&gt;="&amp;$J430,'Weekly Log'!$A:$A,"&lt;"&amp;$J430+7))</f>
        <v/>
      </c>
      <c r="C430">
        <f>IF($J430="","",IFERROR(COUNTIFS('Weekly Log'!$G:$G,"Y",'Weekly Log'!$A:$A,"&gt;="&amp;$J430,'Weekly Log'!$A:$A,"&lt;"&amp;$J430+7)/COUNTIFS('Weekly Log'!$G:$G,"&lt;&gt;",'Weekly Log'!$A:$A,"&gt;="&amp;$J430,'Weekly Log'!$A:$A,"&lt;"&amp;$J430+7),0))</f>
        <v/>
      </c>
      <c r="D430">
        <f>IF($J430="","",IFERROR(COUNTIFS('Weekly Log'!$H:$H,"Y",'Weekly Log'!$A:$A,"&gt;="&amp;$J430,'Weekly Log'!$A:$A,"&lt;"&amp;$J430+7)/COUNTIFS('Weekly Log'!$H:$H,"&lt;&gt;",'Weekly Log'!$A:$A,"&gt;="&amp;$J430,'Weekly Log'!$A:$A,"&lt;"&amp;$J430+7),0))</f>
        <v/>
      </c>
      <c r="E430">
        <f>IF($J430="","",IFERROR(AVERAGEIFS('Weekly Log'!$F:$F,'Weekly Log'!$A:$A,"&gt;="&amp;$J430,'Weekly Log'!$A:$A,"&lt;"&amp;$J430+7),0))</f>
        <v/>
      </c>
      <c r="F430">
        <f>IF($J430="","",IFERROR(SUMIFS('Weekly Log'!$F:$F,'Weekly Log'!$A:$A,"&gt;="&amp;$J430,'Weekly Log'!$A:$A,"&lt;"&amp;$J430+7)/SUMIFS('Weekly Log'!$E:$E,'Weekly Log'!$A:$A,"&gt;="&amp;$J430,'Weekly Log'!$A:$A,"&lt;"&amp;$J430+7),0))</f>
        <v/>
      </c>
      <c r="G430">
        <f>IF($J430="","",IFERROR(LOOKUP(2,1/(('Weekly Log'!$A$5:$A$5000&gt;=$J430)*('Weekly Log'!$A$5:$A$5000&lt;$J430+7)*('Weekly Log'!$M$5:$M$5000&lt;&gt;"")),'Weekly Log'!$M$5:$M$5000),0))</f>
        <v/>
      </c>
      <c r="J430">
        <f>IF(COUNT('Weekly Log'!$A$5:$A$5000)=0,"",IF(MIN('Weekly Log'!$A$5:$A$5000)+7*(ROW()-10)&gt;MAX('Weekly Log'!$A$5:$A$5000),"",MIN('Weekly Log'!$A$5:$A$5000)+7*(ROW()-10)))</f>
        <v/>
      </c>
    </row>
    <row r="431">
      <c r="A431">
        <f>IF($J431="","",YEAR($J431-WEEKDAY($J431,2)+4)&amp;"-W"&amp;TEXT(WEEKNUM($J431,21),"00"))</f>
        <v/>
      </c>
      <c r="B431">
        <f>IF($J431="","",SUMIFS('Weekly Log'!$C:$C,'Weekly Log'!$A:$A,"&gt;="&amp;$J431,'Weekly Log'!$A:$A,"&lt;"&amp;$J431+7))</f>
        <v/>
      </c>
      <c r="C431">
        <f>IF($J431="","",IFERROR(COUNTIFS('Weekly Log'!$G:$G,"Y",'Weekly Log'!$A:$A,"&gt;="&amp;$J431,'Weekly Log'!$A:$A,"&lt;"&amp;$J431+7)/COUNTIFS('Weekly Log'!$G:$G,"&lt;&gt;",'Weekly Log'!$A:$A,"&gt;="&amp;$J431,'Weekly Log'!$A:$A,"&lt;"&amp;$J431+7),0))</f>
        <v/>
      </c>
      <c r="D431">
        <f>IF($J431="","",IFERROR(COUNTIFS('Weekly Log'!$H:$H,"Y",'Weekly Log'!$A:$A,"&gt;="&amp;$J431,'Weekly Log'!$A:$A,"&lt;"&amp;$J431+7)/COUNTIFS('Weekly Log'!$H:$H,"&lt;&gt;",'Weekly Log'!$A:$A,"&gt;="&amp;$J431,'Weekly Log'!$A:$A,"&lt;"&amp;$J431+7),0))</f>
        <v/>
      </c>
      <c r="E431">
        <f>IF($J431="","",IFERROR(AVERAGEIFS('Weekly Log'!$F:$F,'Weekly Log'!$A:$A,"&gt;="&amp;$J431,'Weekly Log'!$A:$A,"&lt;"&amp;$J431+7),0))</f>
        <v/>
      </c>
      <c r="F431">
        <f>IF($J431="","",IFERROR(SUMIFS('Weekly Log'!$F:$F,'Weekly Log'!$A:$A,"&gt;="&amp;$J431,'Weekly Log'!$A:$A,"&lt;"&amp;$J431+7)/SUMIFS('Weekly Log'!$E:$E,'Weekly Log'!$A:$A,"&gt;="&amp;$J431,'Weekly Log'!$A:$A,"&lt;"&amp;$J431+7),0))</f>
        <v/>
      </c>
      <c r="G431">
        <f>IF($J431="","",IFERROR(LOOKUP(2,1/(('Weekly Log'!$A$5:$A$5000&gt;=$J431)*('Weekly Log'!$A$5:$A$5000&lt;$J431+7)*('Weekly Log'!$M$5:$M$5000&lt;&gt;"")),'Weekly Log'!$M$5:$M$5000),0))</f>
        <v/>
      </c>
      <c r="J431">
        <f>IF(COUNT('Weekly Log'!$A$5:$A$5000)=0,"",IF(MIN('Weekly Log'!$A$5:$A$5000)+7*(ROW()-10)&gt;MAX('Weekly Log'!$A$5:$A$5000),"",MIN('Weekly Log'!$A$5:$A$5000)+7*(ROW()-10)))</f>
        <v/>
      </c>
    </row>
    <row r="432">
      <c r="A432">
        <f>IF($J432="","",YEAR($J432-WEEKDAY($J432,2)+4)&amp;"-W"&amp;TEXT(WEEKNUM($J432,21),"00"))</f>
        <v/>
      </c>
      <c r="B432">
        <f>IF($J432="","",SUMIFS('Weekly Log'!$C:$C,'Weekly Log'!$A:$A,"&gt;="&amp;$J432,'Weekly Log'!$A:$A,"&lt;"&amp;$J432+7))</f>
        <v/>
      </c>
      <c r="C432">
        <f>IF($J432="","",IFERROR(COUNTIFS('Weekly Log'!$G:$G,"Y",'Weekly Log'!$A:$A,"&gt;="&amp;$J432,'Weekly Log'!$A:$A,"&lt;"&amp;$J432+7)/COUNTIFS('Weekly Log'!$G:$G,"&lt;&gt;",'Weekly Log'!$A:$A,"&gt;="&amp;$J432,'Weekly Log'!$A:$A,"&lt;"&amp;$J432+7),0))</f>
        <v/>
      </c>
      <c r="D432">
        <f>IF($J432="","",IFERROR(COUNTIFS('Weekly Log'!$H:$H,"Y",'Weekly Log'!$A:$A,"&gt;="&amp;$J432,'Weekly Log'!$A:$A,"&lt;"&amp;$J432+7)/COUNTIFS('Weekly Log'!$H:$H,"&lt;&gt;",'Weekly Log'!$A:$A,"&gt;="&amp;$J432,'Weekly Log'!$A:$A,"&lt;"&amp;$J432+7),0))</f>
        <v/>
      </c>
      <c r="E432">
        <f>IF($J432="","",IFERROR(AVERAGEIFS('Weekly Log'!$F:$F,'Weekly Log'!$A:$A,"&gt;="&amp;$J432,'Weekly Log'!$A:$A,"&lt;"&amp;$J432+7),0))</f>
        <v/>
      </c>
      <c r="F432">
        <f>IF($J432="","",IFERROR(SUMIFS('Weekly Log'!$F:$F,'Weekly Log'!$A:$A,"&gt;="&amp;$J432,'Weekly Log'!$A:$A,"&lt;"&amp;$J432+7)/SUMIFS('Weekly Log'!$E:$E,'Weekly Log'!$A:$A,"&gt;="&amp;$J432,'Weekly Log'!$A:$A,"&lt;"&amp;$J432+7),0))</f>
        <v/>
      </c>
      <c r="G432">
        <f>IF($J432="","",IFERROR(LOOKUP(2,1/(('Weekly Log'!$A$5:$A$5000&gt;=$J432)*('Weekly Log'!$A$5:$A$5000&lt;$J432+7)*('Weekly Log'!$M$5:$M$5000&lt;&gt;"")),'Weekly Log'!$M$5:$M$5000),0))</f>
        <v/>
      </c>
      <c r="J432">
        <f>IF(COUNT('Weekly Log'!$A$5:$A$5000)=0,"",IF(MIN('Weekly Log'!$A$5:$A$5000)+7*(ROW()-10)&gt;MAX('Weekly Log'!$A$5:$A$5000),"",MIN('Weekly Log'!$A$5:$A$5000)+7*(ROW()-10)))</f>
        <v/>
      </c>
    </row>
    <row r="433">
      <c r="A433">
        <f>IF($J433="","",YEAR($J433-WEEKDAY($J433,2)+4)&amp;"-W"&amp;TEXT(WEEKNUM($J433,21),"00"))</f>
        <v/>
      </c>
      <c r="B433">
        <f>IF($J433="","",SUMIFS('Weekly Log'!$C:$C,'Weekly Log'!$A:$A,"&gt;="&amp;$J433,'Weekly Log'!$A:$A,"&lt;"&amp;$J433+7))</f>
        <v/>
      </c>
      <c r="C433">
        <f>IF($J433="","",IFERROR(COUNTIFS('Weekly Log'!$G:$G,"Y",'Weekly Log'!$A:$A,"&gt;="&amp;$J433,'Weekly Log'!$A:$A,"&lt;"&amp;$J433+7)/COUNTIFS('Weekly Log'!$G:$G,"&lt;&gt;",'Weekly Log'!$A:$A,"&gt;="&amp;$J433,'Weekly Log'!$A:$A,"&lt;"&amp;$J433+7),0))</f>
        <v/>
      </c>
      <c r="D433">
        <f>IF($J433="","",IFERROR(COUNTIFS('Weekly Log'!$H:$H,"Y",'Weekly Log'!$A:$A,"&gt;="&amp;$J433,'Weekly Log'!$A:$A,"&lt;"&amp;$J433+7)/COUNTIFS('Weekly Log'!$H:$H,"&lt;&gt;",'Weekly Log'!$A:$A,"&gt;="&amp;$J433,'Weekly Log'!$A:$A,"&lt;"&amp;$J433+7),0))</f>
        <v/>
      </c>
      <c r="E433">
        <f>IF($J433="","",IFERROR(AVERAGEIFS('Weekly Log'!$F:$F,'Weekly Log'!$A:$A,"&gt;="&amp;$J433,'Weekly Log'!$A:$A,"&lt;"&amp;$J433+7),0))</f>
        <v/>
      </c>
      <c r="F433">
        <f>IF($J433="","",IFERROR(SUMIFS('Weekly Log'!$F:$F,'Weekly Log'!$A:$A,"&gt;="&amp;$J433,'Weekly Log'!$A:$A,"&lt;"&amp;$J433+7)/SUMIFS('Weekly Log'!$E:$E,'Weekly Log'!$A:$A,"&gt;="&amp;$J433,'Weekly Log'!$A:$A,"&lt;"&amp;$J433+7),0))</f>
        <v/>
      </c>
      <c r="G433">
        <f>IF($J433="","",IFERROR(LOOKUP(2,1/(('Weekly Log'!$A$5:$A$5000&gt;=$J433)*('Weekly Log'!$A$5:$A$5000&lt;$J433+7)*('Weekly Log'!$M$5:$M$5000&lt;&gt;"")),'Weekly Log'!$M$5:$M$5000),0))</f>
        <v/>
      </c>
      <c r="J433">
        <f>IF(COUNT('Weekly Log'!$A$5:$A$5000)=0,"",IF(MIN('Weekly Log'!$A$5:$A$5000)+7*(ROW()-10)&gt;MAX('Weekly Log'!$A$5:$A$5000),"",MIN('Weekly Log'!$A$5:$A$5000)+7*(ROW()-10)))</f>
        <v/>
      </c>
    </row>
    <row r="434">
      <c r="A434">
        <f>IF($J434="","",YEAR($J434-WEEKDAY($J434,2)+4)&amp;"-W"&amp;TEXT(WEEKNUM($J434,21),"00"))</f>
        <v/>
      </c>
      <c r="B434">
        <f>IF($J434="","",SUMIFS('Weekly Log'!$C:$C,'Weekly Log'!$A:$A,"&gt;="&amp;$J434,'Weekly Log'!$A:$A,"&lt;"&amp;$J434+7))</f>
        <v/>
      </c>
      <c r="C434">
        <f>IF($J434="","",IFERROR(COUNTIFS('Weekly Log'!$G:$G,"Y",'Weekly Log'!$A:$A,"&gt;="&amp;$J434,'Weekly Log'!$A:$A,"&lt;"&amp;$J434+7)/COUNTIFS('Weekly Log'!$G:$G,"&lt;&gt;",'Weekly Log'!$A:$A,"&gt;="&amp;$J434,'Weekly Log'!$A:$A,"&lt;"&amp;$J434+7),0))</f>
        <v/>
      </c>
      <c r="D434">
        <f>IF($J434="","",IFERROR(COUNTIFS('Weekly Log'!$H:$H,"Y",'Weekly Log'!$A:$A,"&gt;="&amp;$J434,'Weekly Log'!$A:$A,"&lt;"&amp;$J434+7)/COUNTIFS('Weekly Log'!$H:$H,"&lt;&gt;",'Weekly Log'!$A:$A,"&gt;="&amp;$J434,'Weekly Log'!$A:$A,"&lt;"&amp;$J434+7),0))</f>
        <v/>
      </c>
      <c r="E434">
        <f>IF($J434="","",IFERROR(AVERAGEIFS('Weekly Log'!$F:$F,'Weekly Log'!$A:$A,"&gt;="&amp;$J434,'Weekly Log'!$A:$A,"&lt;"&amp;$J434+7),0))</f>
        <v/>
      </c>
      <c r="F434">
        <f>IF($J434="","",IFERROR(SUMIFS('Weekly Log'!$F:$F,'Weekly Log'!$A:$A,"&gt;="&amp;$J434,'Weekly Log'!$A:$A,"&lt;"&amp;$J434+7)/SUMIFS('Weekly Log'!$E:$E,'Weekly Log'!$A:$A,"&gt;="&amp;$J434,'Weekly Log'!$A:$A,"&lt;"&amp;$J434+7),0))</f>
        <v/>
      </c>
      <c r="G434">
        <f>IF($J434="","",IFERROR(LOOKUP(2,1/(('Weekly Log'!$A$5:$A$5000&gt;=$J434)*('Weekly Log'!$A$5:$A$5000&lt;$J434+7)*('Weekly Log'!$M$5:$M$5000&lt;&gt;"")),'Weekly Log'!$M$5:$M$5000),0))</f>
        <v/>
      </c>
      <c r="J434">
        <f>IF(COUNT('Weekly Log'!$A$5:$A$5000)=0,"",IF(MIN('Weekly Log'!$A$5:$A$5000)+7*(ROW()-10)&gt;MAX('Weekly Log'!$A$5:$A$5000),"",MIN('Weekly Log'!$A$5:$A$5000)+7*(ROW()-10)))</f>
        <v/>
      </c>
    </row>
    <row r="435">
      <c r="A435">
        <f>IF($J435="","",YEAR($J435-WEEKDAY($J435,2)+4)&amp;"-W"&amp;TEXT(WEEKNUM($J435,21),"00"))</f>
        <v/>
      </c>
      <c r="B435">
        <f>IF($J435="","",SUMIFS('Weekly Log'!$C:$C,'Weekly Log'!$A:$A,"&gt;="&amp;$J435,'Weekly Log'!$A:$A,"&lt;"&amp;$J435+7))</f>
        <v/>
      </c>
      <c r="C435">
        <f>IF($J435="","",IFERROR(COUNTIFS('Weekly Log'!$G:$G,"Y",'Weekly Log'!$A:$A,"&gt;="&amp;$J435,'Weekly Log'!$A:$A,"&lt;"&amp;$J435+7)/COUNTIFS('Weekly Log'!$G:$G,"&lt;&gt;",'Weekly Log'!$A:$A,"&gt;="&amp;$J435,'Weekly Log'!$A:$A,"&lt;"&amp;$J435+7),0))</f>
        <v/>
      </c>
      <c r="D435">
        <f>IF($J435="","",IFERROR(COUNTIFS('Weekly Log'!$H:$H,"Y",'Weekly Log'!$A:$A,"&gt;="&amp;$J435,'Weekly Log'!$A:$A,"&lt;"&amp;$J435+7)/COUNTIFS('Weekly Log'!$H:$H,"&lt;&gt;",'Weekly Log'!$A:$A,"&gt;="&amp;$J435,'Weekly Log'!$A:$A,"&lt;"&amp;$J435+7),0))</f>
        <v/>
      </c>
      <c r="E435">
        <f>IF($J435="","",IFERROR(AVERAGEIFS('Weekly Log'!$F:$F,'Weekly Log'!$A:$A,"&gt;="&amp;$J435,'Weekly Log'!$A:$A,"&lt;"&amp;$J435+7),0))</f>
        <v/>
      </c>
      <c r="F435">
        <f>IF($J435="","",IFERROR(SUMIFS('Weekly Log'!$F:$F,'Weekly Log'!$A:$A,"&gt;="&amp;$J435,'Weekly Log'!$A:$A,"&lt;"&amp;$J435+7)/SUMIFS('Weekly Log'!$E:$E,'Weekly Log'!$A:$A,"&gt;="&amp;$J435,'Weekly Log'!$A:$A,"&lt;"&amp;$J435+7),0))</f>
        <v/>
      </c>
      <c r="G435">
        <f>IF($J435="","",IFERROR(LOOKUP(2,1/(('Weekly Log'!$A$5:$A$5000&gt;=$J435)*('Weekly Log'!$A$5:$A$5000&lt;$J435+7)*('Weekly Log'!$M$5:$M$5000&lt;&gt;"")),'Weekly Log'!$M$5:$M$5000),0))</f>
        <v/>
      </c>
      <c r="J435">
        <f>IF(COUNT('Weekly Log'!$A$5:$A$5000)=0,"",IF(MIN('Weekly Log'!$A$5:$A$5000)+7*(ROW()-10)&gt;MAX('Weekly Log'!$A$5:$A$5000),"",MIN('Weekly Log'!$A$5:$A$5000)+7*(ROW()-10)))</f>
        <v/>
      </c>
    </row>
    <row r="436">
      <c r="A436">
        <f>IF($J436="","",YEAR($J436-WEEKDAY($J436,2)+4)&amp;"-W"&amp;TEXT(WEEKNUM($J436,21),"00"))</f>
        <v/>
      </c>
      <c r="B436">
        <f>IF($J436="","",SUMIFS('Weekly Log'!$C:$C,'Weekly Log'!$A:$A,"&gt;="&amp;$J436,'Weekly Log'!$A:$A,"&lt;"&amp;$J436+7))</f>
        <v/>
      </c>
      <c r="C436">
        <f>IF($J436="","",IFERROR(COUNTIFS('Weekly Log'!$G:$G,"Y",'Weekly Log'!$A:$A,"&gt;="&amp;$J436,'Weekly Log'!$A:$A,"&lt;"&amp;$J436+7)/COUNTIFS('Weekly Log'!$G:$G,"&lt;&gt;",'Weekly Log'!$A:$A,"&gt;="&amp;$J436,'Weekly Log'!$A:$A,"&lt;"&amp;$J436+7),0))</f>
        <v/>
      </c>
      <c r="D436">
        <f>IF($J436="","",IFERROR(COUNTIFS('Weekly Log'!$H:$H,"Y",'Weekly Log'!$A:$A,"&gt;="&amp;$J436,'Weekly Log'!$A:$A,"&lt;"&amp;$J436+7)/COUNTIFS('Weekly Log'!$H:$H,"&lt;&gt;",'Weekly Log'!$A:$A,"&gt;="&amp;$J436,'Weekly Log'!$A:$A,"&lt;"&amp;$J436+7),0))</f>
        <v/>
      </c>
      <c r="E436">
        <f>IF($J436="","",IFERROR(AVERAGEIFS('Weekly Log'!$F:$F,'Weekly Log'!$A:$A,"&gt;="&amp;$J436,'Weekly Log'!$A:$A,"&lt;"&amp;$J436+7),0))</f>
        <v/>
      </c>
      <c r="F436">
        <f>IF($J436="","",IFERROR(SUMIFS('Weekly Log'!$F:$F,'Weekly Log'!$A:$A,"&gt;="&amp;$J436,'Weekly Log'!$A:$A,"&lt;"&amp;$J436+7)/SUMIFS('Weekly Log'!$E:$E,'Weekly Log'!$A:$A,"&gt;="&amp;$J436,'Weekly Log'!$A:$A,"&lt;"&amp;$J436+7),0))</f>
        <v/>
      </c>
      <c r="G436">
        <f>IF($J436="","",IFERROR(LOOKUP(2,1/(('Weekly Log'!$A$5:$A$5000&gt;=$J436)*('Weekly Log'!$A$5:$A$5000&lt;$J436+7)*('Weekly Log'!$M$5:$M$5000&lt;&gt;"")),'Weekly Log'!$M$5:$M$5000),0))</f>
        <v/>
      </c>
      <c r="J436">
        <f>IF(COUNT('Weekly Log'!$A$5:$A$5000)=0,"",IF(MIN('Weekly Log'!$A$5:$A$5000)+7*(ROW()-10)&gt;MAX('Weekly Log'!$A$5:$A$5000),"",MIN('Weekly Log'!$A$5:$A$5000)+7*(ROW()-10)))</f>
        <v/>
      </c>
    </row>
    <row r="437">
      <c r="A437">
        <f>IF($J437="","",YEAR($J437-WEEKDAY($J437,2)+4)&amp;"-W"&amp;TEXT(WEEKNUM($J437,21),"00"))</f>
        <v/>
      </c>
      <c r="B437">
        <f>IF($J437="","",SUMIFS('Weekly Log'!$C:$C,'Weekly Log'!$A:$A,"&gt;="&amp;$J437,'Weekly Log'!$A:$A,"&lt;"&amp;$J437+7))</f>
        <v/>
      </c>
      <c r="C437">
        <f>IF($J437="","",IFERROR(COUNTIFS('Weekly Log'!$G:$G,"Y",'Weekly Log'!$A:$A,"&gt;="&amp;$J437,'Weekly Log'!$A:$A,"&lt;"&amp;$J437+7)/COUNTIFS('Weekly Log'!$G:$G,"&lt;&gt;",'Weekly Log'!$A:$A,"&gt;="&amp;$J437,'Weekly Log'!$A:$A,"&lt;"&amp;$J437+7),0))</f>
        <v/>
      </c>
      <c r="D437">
        <f>IF($J437="","",IFERROR(COUNTIFS('Weekly Log'!$H:$H,"Y",'Weekly Log'!$A:$A,"&gt;="&amp;$J437,'Weekly Log'!$A:$A,"&lt;"&amp;$J437+7)/COUNTIFS('Weekly Log'!$H:$H,"&lt;&gt;",'Weekly Log'!$A:$A,"&gt;="&amp;$J437,'Weekly Log'!$A:$A,"&lt;"&amp;$J437+7),0))</f>
        <v/>
      </c>
      <c r="E437">
        <f>IF($J437="","",IFERROR(AVERAGEIFS('Weekly Log'!$F:$F,'Weekly Log'!$A:$A,"&gt;="&amp;$J437,'Weekly Log'!$A:$A,"&lt;"&amp;$J437+7),0))</f>
        <v/>
      </c>
      <c r="F437">
        <f>IF($J437="","",IFERROR(SUMIFS('Weekly Log'!$F:$F,'Weekly Log'!$A:$A,"&gt;="&amp;$J437,'Weekly Log'!$A:$A,"&lt;"&amp;$J437+7)/SUMIFS('Weekly Log'!$E:$E,'Weekly Log'!$A:$A,"&gt;="&amp;$J437,'Weekly Log'!$A:$A,"&lt;"&amp;$J437+7),0))</f>
        <v/>
      </c>
      <c r="G437">
        <f>IF($J437="","",IFERROR(LOOKUP(2,1/(('Weekly Log'!$A$5:$A$5000&gt;=$J437)*('Weekly Log'!$A$5:$A$5000&lt;$J437+7)*('Weekly Log'!$M$5:$M$5000&lt;&gt;"")),'Weekly Log'!$M$5:$M$5000),0))</f>
        <v/>
      </c>
      <c r="J437">
        <f>IF(COUNT('Weekly Log'!$A$5:$A$5000)=0,"",IF(MIN('Weekly Log'!$A$5:$A$5000)+7*(ROW()-10)&gt;MAX('Weekly Log'!$A$5:$A$5000),"",MIN('Weekly Log'!$A$5:$A$5000)+7*(ROW()-10)))</f>
        <v/>
      </c>
    </row>
    <row r="438">
      <c r="A438">
        <f>IF($J438="","",YEAR($J438-WEEKDAY($J438,2)+4)&amp;"-W"&amp;TEXT(WEEKNUM($J438,21),"00"))</f>
        <v/>
      </c>
      <c r="B438">
        <f>IF($J438="","",SUMIFS('Weekly Log'!$C:$C,'Weekly Log'!$A:$A,"&gt;="&amp;$J438,'Weekly Log'!$A:$A,"&lt;"&amp;$J438+7))</f>
        <v/>
      </c>
      <c r="C438">
        <f>IF($J438="","",IFERROR(COUNTIFS('Weekly Log'!$G:$G,"Y",'Weekly Log'!$A:$A,"&gt;="&amp;$J438,'Weekly Log'!$A:$A,"&lt;"&amp;$J438+7)/COUNTIFS('Weekly Log'!$G:$G,"&lt;&gt;",'Weekly Log'!$A:$A,"&gt;="&amp;$J438,'Weekly Log'!$A:$A,"&lt;"&amp;$J438+7),0))</f>
        <v/>
      </c>
      <c r="D438">
        <f>IF($J438="","",IFERROR(COUNTIFS('Weekly Log'!$H:$H,"Y",'Weekly Log'!$A:$A,"&gt;="&amp;$J438,'Weekly Log'!$A:$A,"&lt;"&amp;$J438+7)/COUNTIFS('Weekly Log'!$H:$H,"&lt;&gt;",'Weekly Log'!$A:$A,"&gt;="&amp;$J438,'Weekly Log'!$A:$A,"&lt;"&amp;$J438+7),0))</f>
        <v/>
      </c>
      <c r="E438">
        <f>IF($J438="","",IFERROR(AVERAGEIFS('Weekly Log'!$F:$F,'Weekly Log'!$A:$A,"&gt;="&amp;$J438,'Weekly Log'!$A:$A,"&lt;"&amp;$J438+7),0))</f>
        <v/>
      </c>
      <c r="F438">
        <f>IF($J438="","",IFERROR(SUMIFS('Weekly Log'!$F:$F,'Weekly Log'!$A:$A,"&gt;="&amp;$J438,'Weekly Log'!$A:$A,"&lt;"&amp;$J438+7)/SUMIFS('Weekly Log'!$E:$E,'Weekly Log'!$A:$A,"&gt;="&amp;$J438,'Weekly Log'!$A:$A,"&lt;"&amp;$J438+7),0))</f>
        <v/>
      </c>
      <c r="G438">
        <f>IF($J438="","",IFERROR(LOOKUP(2,1/(('Weekly Log'!$A$5:$A$5000&gt;=$J438)*('Weekly Log'!$A$5:$A$5000&lt;$J438+7)*('Weekly Log'!$M$5:$M$5000&lt;&gt;"")),'Weekly Log'!$M$5:$M$5000),0))</f>
        <v/>
      </c>
      <c r="J438">
        <f>IF(COUNT('Weekly Log'!$A$5:$A$5000)=0,"",IF(MIN('Weekly Log'!$A$5:$A$5000)+7*(ROW()-10)&gt;MAX('Weekly Log'!$A$5:$A$5000),"",MIN('Weekly Log'!$A$5:$A$5000)+7*(ROW()-10)))</f>
        <v/>
      </c>
    </row>
    <row r="439">
      <c r="A439">
        <f>IF($J439="","",YEAR($J439-WEEKDAY($J439,2)+4)&amp;"-W"&amp;TEXT(WEEKNUM($J439,21),"00"))</f>
        <v/>
      </c>
      <c r="B439">
        <f>IF($J439="","",SUMIFS('Weekly Log'!$C:$C,'Weekly Log'!$A:$A,"&gt;="&amp;$J439,'Weekly Log'!$A:$A,"&lt;"&amp;$J439+7))</f>
        <v/>
      </c>
      <c r="C439">
        <f>IF($J439="","",IFERROR(COUNTIFS('Weekly Log'!$G:$G,"Y",'Weekly Log'!$A:$A,"&gt;="&amp;$J439,'Weekly Log'!$A:$A,"&lt;"&amp;$J439+7)/COUNTIFS('Weekly Log'!$G:$G,"&lt;&gt;",'Weekly Log'!$A:$A,"&gt;="&amp;$J439,'Weekly Log'!$A:$A,"&lt;"&amp;$J439+7),0))</f>
        <v/>
      </c>
      <c r="D439">
        <f>IF($J439="","",IFERROR(COUNTIFS('Weekly Log'!$H:$H,"Y",'Weekly Log'!$A:$A,"&gt;="&amp;$J439,'Weekly Log'!$A:$A,"&lt;"&amp;$J439+7)/COUNTIFS('Weekly Log'!$H:$H,"&lt;&gt;",'Weekly Log'!$A:$A,"&gt;="&amp;$J439,'Weekly Log'!$A:$A,"&lt;"&amp;$J439+7),0))</f>
        <v/>
      </c>
      <c r="E439">
        <f>IF($J439="","",IFERROR(AVERAGEIFS('Weekly Log'!$F:$F,'Weekly Log'!$A:$A,"&gt;="&amp;$J439,'Weekly Log'!$A:$A,"&lt;"&amp;$J439+7),0))</f>
        <v/>
      </c>
      <c r="F439">
        <f>IF($J439="","",IFERROR(SUMIFS('Weekly Log'!$F:$F,'Weekly Log'!$A:$A,"&gt;="&amp;$J439,'Weekly Log'!$A:$A,"&lt;"&amp;$J439+7)/SUMIFS('Weekly Log'!$E:$E,'Weekly Log'!$A:$A,"&gt;="&amp;$J439,'Weekly Log'!$A:$A,"&lt;"&amp;$J439+7),0))</f>
        <v/>
      </c>
      <c r="G439">
        <f>IF($J439="","",IFERROR(LOOKUP(2,1/(('Weekly Log'!$A$5:$A$5000&gt;=$J439)*('Weekly Log'!$A$5:$A$5000&lt;$J439+7)*('Weekly Log'!$M$5:$M$5000&lt;&gt;"")),'Weekly Log'!$M$5:$M$5000),0))</f>
        <v/>
      </c>
      <c r="J439">
        <f>IF(COUNT('Weekly Log'!$A$5:$A$5000)=0,"",IF(MIN('Weekly Log'!$A$5:$A$5000)+7*(ROW()-10)&gt;MAX('Weekly Log'!$A$5:$A$5000),"",MIN('Weekly Log'!$A$5:$A$5000)+7*(ROW()-10)))</f>
        <v/>
      </c>
    </row>
    <row r="440">
      <c r="A440">
        <f>IF($J440="","",YEAR($J440-WEEKDAY($J440,2)+4)&amp;"-W"&amp;TEXT(WEEKNUM($J440,21),"00"))</f>
        <v/>
      </c>
      <c r="B440">
        <f>IF($J440="","",SUMIFS('Weekly Log'!$C:$C,'Weekly Log'!$A:$A,"&gt;="&amp;$J440,'Weekly Log'!$A:$A,"&lt;"&amp;$J440+7))</f>
        <v/>
      </c>
      <c r="C440">
        <f>IF($J440="","",IFERROR(COUNTIFS('Weekly Log'!$G:$G,"Y",'Weekly Log'!$A:$A,"&gt;="&amp;$J440,'Weekly Log'!$A:$A,"&lt;"&amp;$J440+7)/COUNTIFS('Weekly Log'!$G:$G,"&lt;&gt;",'Weekly Log'!$A:$A,"&gt;="&amp;$J440,'Weekly Log'!$A:$A,"&lt;"&amp;$J440+7),0))</f>
        <v/>
      </c>
      <c r="D440">
        <f>IF($J440="","",IFERROR(COUNTIFS('Weekly Log'!$H:$H,"Y",'Weekly Log'!$A:$A,"&gt;="&amp;$J440,'Weekly Log'!$A:$A,"&lt;"&amp;$J440+7)/COUNTIFS('Weekly Log'!$H:$H,"&lt;&gt;",'Weekly Log'!$A:$A,"&gt;="&amp;$J440,'Weekly Log'!$A:$A,"&lt;"&amp;$J440+7),0))</f>
        <v/>
      </c>
      <c r="E440">
        <f>IF($J440="","",IFERROR(AVERAGEIFS('Weekly Log'!$F:$F,'Weekly Log'!$A:$A,"&gt;="&amp;$J440,'Weekly Log'!$A:$A,"&lt;"&amp;$J440+7),0))</f>
        <v/>
      </c>
      <c r="F440">
        <f>IF($J440="","",IFERROR(SUMIFS('Weekly Log'!$F:$F,'Weekly Log'!$A:$A,"&gt;="&amp;$J440,'Weekly Log'!$A:$A,"&lt;"&amp;$J440+7)/SUMIFS('Weekly Log'!$E:$E,'Weekly Log'!$A:$A,"&gt;="&amp;$J440,'Weekly Log'!$A:$A,"&lt;"&amp;$J440+7),0))</f>
        <v/>
      </c>
      <c r="G440">
        <f>IF($J440="","",IFERROR(LOOKUP(2,1/(('Weekly Log'!$A$5:$A$5000&gt;=$J440)*('Weekly Log'!$A$5:$A$5000&lt;$J440+7)*('Weekly Log'!$M$5:$M$5000&lt;&gt;"")),'Weekly Log'!$M$5:$M$5000),0))</f>
        <v/>
      </c>
      <c r="J440">
        <f>IF(COUNT('Weekly Log'!$A$5:$A$5000)=0,"",IF(MIN('Weekly Log'!$A$5:$A$5000)+7*(ROW()-10)&gt;MAX('Weekly Log'!$A$5:$A$5000),"",MIN('Weekly Log'!$A$5:$A$5000)+7*(ROW()-10)))</f>
        <v/>
      </c>
    </row>
    <row r="441">
      <c r="A441">
        <f>IF($J441="","",YEAR($J441-WEEKDAY($J441,2)+4)&amp;"-W"&amp;TEXT(WEEKNUM($J441,21),"00"))</f>
        <v/>
      </c>
      <c r="B441">
        <f>IF($J441="","",SUMIFS('Weekly Log'!$C:$C,'Weekly Log'!$A:$A,"&gt;="&amp;$J441,'Weekly Log'!$A:$A,"&lt;"&amp;$J441+7))</f>
        <v/>
      </c>
      <c r="C441">
        <f>IF($J441="","",IFERROR(COUNTIFS('Weekly Log'!$G:$G,"Y",'Weekly Log'!$A:$A,"&gt;="&amp;$J441,'Weekly Log'!$A:$A,"&lt;"&amp;$J441+7)/COUNTIFS('Weekly Log'!$G:$G,"&lt;&gt;",'Weekly Log'!$A:$A,"&gt;="&amp;$J441,'Weekly Log'!$A:$A,"&lt;"&amp;$J441+7),0))</f>
        <v/>
      </c>
      <c r="D441">
        <f>IF($J441="","",IFERROR(COUNTIFS('Weekly Log'!$H:$H,"Y",'Weekly Log'!$A:$A,"&gt;="&amp;$J441,'Weekly Log'!$A:$A,"&lt;"&amp;$J441+7)/COUNTIFS('Weekly Log'!$H:$H,"&lt;&gt;",'Weekly Log'!$A:$A,"&gt;="&amp;$J441,'Weekly Log'!$A:$A,"&lt;"&amp;$J441+7),0))</f>
        <v/>
      </c>
      <c r="E441">
        <f>IF($J441="","",IFERROR(AVERAGEIFS('Weekly Log'!$F:$F,'Weekly Log'!$A:$A,"&gt;="&amp;$J441,'Weekly Log'!$A:$A,"&lt;"&amp;$J441+7),0))</f>
        <v/>
      </c>
      <c r="F441">
        <f>IF($J441="","",IFERROR(SUMIFS('Weekly Log'!$F:$F,'Weekly Log'!$A:$A,"&gt;="&amp;$J441,'Weekly Log'!$A:$A,"&lt;"&amp;$J441+7)/SUMIFS('Weekly Log'!$E:$E,'Weekly Log'!$A:$A,"&gt;="&amp;$J441,'Weekly Log'!$A:$A,"&lt;"&amp;$J441+7),0))</f>
        <v/>
      </c>
      <c r="G441">
        <f>IF($J441="","",IFERROR(LOOKUP(2,1/(('Weekly Log'!$A$5:$A$5000&gt;=$J441)*('Weekly Log'!$A$5:$A$5000&lt;$J441+7)*('Weekly Log'!$M$5:$M$5000&lt;&gt;"")),'Weekly Log'!$M$5:$M$5000),0))</f>
        <v/>
      </c>
      <c r="J441">
        <f>IF(COUNT('Weekly Log'!$A$5:$A$5000)=0,"",IF(MIN('Weekly Log'!$A$5:$A$5000)+7*(ROW()-10)&gt;MAX('Weekly Log'!$A$5:$A$5000),"",MIN('Weekly Log'!$A$5:$A$5000)+7*(ROW()-10)))</f>
        <v/>
      </c>
    </row>
    <row r="442">
      <c r="A442">
        <f>IF($J442="","",YEAR($J442-WEEKDAY($J442,2)+4)&amp;"-W"&amp;TEXT(WEEKNUM($J442,21),"00"))</f>
        <v/>
      </c>
      <c r="B442">
        <f>IF($J442="","",SUMIFS('Weekly Log'!$C:$C,'Weekly Log'!$A:$A,"&gt;="&amp;$J442,'Weekly Log'!$A:$A,"&lt;"&amp;$J442+7))</f>
        <v/>
      </c>
      <c r="C442">
        <f>IF($J442="","",IFERROR(COUNTIFS('Weekly Log'!$G:$G,"Y",'Weekly Log'!$A:$A,"&gt;="&amp;$J442,'Weekly Log'!$A:$A,"&lt;"&amp;$J442+7)/COUNTIFS('Weekly Log'!$G:$G,"&lt;&gt;",'Weekly Log'!$A:$A,"&gt;="&amp;$J442,'Weekly Log'!$A:$A,"&lt;"&amp;$J442+7),0))</f>
        <v/>
      </c>
      <c r="D442">
        <f>IF($J442="","",IFERROR(COUNTIFS('Weekly Log'!$H:$H,"Y",'Weekly Log'!$A:$A,"&gt;="&amp;$J442,'Weekly Log'!$A:$A,"&lt;"&amp;$J442+7)/COUNTIFS('Weekly Log'!$H:$H,"&lt;&gt;",'Weekly Log'!$A:$A,"&gt;="&amp;$J442,'Weekly Log'!$A:$A,"&lt;"&amp;$J442+7),0))</f>
        <v/>
      </c>
      <c r="E442">
        <f>IF($J442="","",IFERROR(AVERAGEIFS('Weekly Log'!$F:$F,'Weekly Log'!$A:$A,"&gt;="&amp;$J442,'Weekly Log'!$A:$A,"&lt;"&amp;$J442+7),0))</f>
        <v/>
      </c>
      <c r="F442">
        <f>IF($J442="","",IFERROR(SUMIFS('Weekly Log'!$F:$F,'Weekly Log'!$A:$A,"&gt;="&amp;$J442,'Weekly Log'!$A:$A,"&lt;"&amp;$J442+7)/SUMIFS('Weekly Log'!$E:$E,'Weekly Log'!$A:$A,"&gt;="&amp;$J442,'Weekly Log'!$A:$A,"&lt;"&amp;$J442+7),0))</f>
        <v/>
      </c>
      <c r="G442">
        <f>IF($J442="","",IFERROR(LOOKUP(2,1/(('Weekly Log'!$A$5:$A$5000&gt;=$J442)*('Weekly Log'!$A$5:$A$5000&lt;$J442+7)*('Weekly Log'!$M$5:$M$5000&lt;&gt;"")),'Weekly Log'!$M$5:$M$5000),0))</f>
        <v/>
      </c>
      <c r="J442">
        <f>IF(COUNT('Weekly Log'!$A$5:$A$5000)=0,"",IF(MIN('Weekly Log'!$A$5:$A$5000)+7*(ROW()-10)&gt;MAX('Weekly Log'!$A$5:$A$5000),"",MIN('Weekly Log'!$A$5:$A$5000)+7*(ROW()-10)))</f>
        <v/>
      </c>
    </row>
    <row r="443">
      <c r="A443">
        <f>IF($J443="","",YEAR($J443-WEEKDAY($J443,2)+4)&amp;"-W"&amp;TEXT(WEEKNUM($J443,21),"00"))</f>
        <v/>
      </c>
      <c r="B443">
        <f>IF($J443="","",SUMIFS('Weekly Log'!$C:$C,'Weekly Log'!$A:$A,"&gt;="&amp;$J443,'Weekly Log'!$A:$A,"&lt;"&amp;$J443+7))</f>
        <v/>
      </c>
      <c r="C443">
        <f>IF($J443="","",IFERROR(COUNTIFS('Weekly Log'!$G:$G,"Y",'Weekly Log'!$A:$A,"&gt;="&amp;$J443,'Weekly Log'!$A:$A,"&lt;"&amp;$J443+7)/COUNTIFS('Weekly Log'!$G:$G,"&lt;&gt;",'Weekly Log'!$A:$A,"&gt;="&amp;$J443,'Weekly Log'!$A:$A,"&lt;"&amp;$J443+7),0))</f>
        <v/>
      </c>
      <c r="D443">
        <f>IF($J443="","",IFERROR(COUNTIFS('Weekly Log'!$H:$H,"Y",'Weekly Log'!$A:$A,"&gt;="&amp;$J443,'Weekly Log'!$A:$A,"&lt;"&amp;$J443+7)/COUNTIFS('Weekly Log'!$H:$H,"&lt;&gt;",'Weekly Log'!$A:$A,"&gt;="&amp;$J443,'Weekly Log'!$A:$A,"&lt;"&amp;$J443+7),0))</f>
        <v/>
      </c>
      <c r="E443">
        <f>IF($J443="","",IFERROR(AVERAGEIFS('Weekly Log'!$F:$F,'Weekly Log'!$A:$A,"&gt;="&amp;$J443,'Weekly Log'!$A:$A,"&lt;"&amp;$J443+7),0))</f>
        <v/>
      </c>
      <c r="F443">
        <f>IF($J443="","",IFERROR(SUMIFS('Weekly Log'!$F:$F,'Weekly Log'!$A:$A,"&gt;="&amp;$J443,'Weekly Log'!$A:$A,"&lt;"&amp;$J443+7)/SUMIFS('Weekly Log'!$E:$E,'Weekly Log'!$A:$A,"&gt;="&amp;$J443,'Weekly Log'!$A:$A,"&lt;"&amp;$J443+7),0))</f>
        <v/>
      </c>
      <c r="G443">
        <f>IF($J443="","",IFERROR(LOOKUP(2,1/(('Weekly Log'!$A$5:$A$5000&gt;=$J443)*('Weekly Log'!$A$5:$A$5000&lt;$J443+7)*('Weekly Log'!$M$5:$M$5000&lt;&gt;"")),'Weekly Log'!$M$5:$M$5000),0))</f>
        <v/>
      </c>
      <c r="J443">
        <f>IF(COUNT('Weekly Log'!$A$5:$A$5000)=0,"",IF(MIN('Weekly Log'!$A$5:$A$5000)+7*(ROW()-10)&gt;MAX('Weekly Log'!$A$5:$A$5000),"",MIN('Weekly Log'!$A$5:$A$5000)+7*(ROW()-10)))</f>
        <v/>
      </c>
    </row>
    <row r="444">
      <c r="A444">
        <f>IF($J444="","",YEAR($J444-WEEKDAY($J444,2)+4)&amp;"-W"&amp;TEXT(WEEKNUM($J444,21),"00"))</f>
        <v/>
      </c>
      <c r="B444">
        <f>IF($J444="","",SUMIFS('Weekly Log'!$C:$C,'Weekly Log'!$A:$A,"&gt;="&amp;$J444,'Weekly Log'!$A:$A,"&lt;"&amp;$J444+7))</f>
        <v/>
      </c>
      <c r="C444">
        <f>IF($J444="","",IFERROR(COUNTIFS('Weekly Log'!$G:$G,"Y",'Weekly Log'!$A:$A,"&gt;="&amp;$J444,'Weekly Log'!$A:$A,"&lt;"&amp;$J444+7)/COUNTIFS('Weekly Log'!$G:$G,"&lt;&gt;",'Weekly Log'!$A:$A,"&gt;="&amp;$J444,'Weekly Log'!$A:$A,"&lt;"&amp;$J444+7),0))</f>
        <v/>
      </c>
      <c r="D444">
        <f>IF($J444="","",IFERROR(COUNTIFS('Weekly Log'!$H:$H,"Y",'Weekly Log'!$A:$A,"&gt;="&amp;$J444,'Weekly Log'!$A:$A,"&lt;"&amp;$J444+7)/COUNTIFS('Weekly Log'!$H:$H,"&lt;&gt;",'Weekly Log'!$A:$A,"&gt;="&amp;$J444,'Weekly Log'!$A:$A,"&lt;"&amp;$J444+7),0))</f>
        <v/>
      </c>
      <c r="E444">
        <f>IF($J444="","",IFERROR(AVERAGEIFS('Weekly Log'!$F:$F,'Weekly Log'!$A:$A,"&gt;="&amp;$J444,'Weekly Log'!$A:$A,"&lt;"&amp;$J444+7),0))</f>
        <v/>
      </c>
      <c r="F444">
        <f>IF($J444="","",IFERROR(SUMIFS('Weekly Log'!$F:$F,'Weekly Log'!$A:$A,"&gt;="&amp;$J444,'Weekly Log'!$A:$A,"&lt;"&amp;$J444+7)/SUMIFS('Weekly Log'!$E:$E,'Weekly Log'!$A:$A,"&gt;="&amp;$J444,'Weekly Log'!$A:$A,"&lt;"&amp;$J444+7),0))</f>
        <v/>
      </c>
      <c r="G444">
        <f>IF($J444="","",IFERROR(LOOKUP(2,1/(('Weekly Log'!$A$5:$A$5000&gt;=$J444)*('Weekly Log'!$A$5:$A$5000&lt;$J444+7)*('Weekly Log'!$M$5:$M$5000&lt;&gt;"")),'Weekly Log'!$M$5:$M$5000),0))</f>
        <v/>
      </c>
      <c r="J444">
        <f>IF(COUNT('Weekly Log'!$A$5:$A$5000)=0,"",IF(MIN('Weekly Log'!$A$5:$A$5000)+7*(ROW()-10)&gt;MAX('Weekly Log'!$A$5:$A$5000),"",MIN('Weekly Log'!$A$5:$A$5000)+7*(ROW()-10)))</f>
        <v/>
      </c>
    </row>
    <row r="445">
      <c r="A445">
        <f>IF($J445="","",YEAR($J445-WEEKDAY($J445,2)+4)&amp;"-W"&amp;TEXT(WEEKNUM($J445,21),"00"))</f>
        <v/>
      </c>
      <c r="B445">
        <f>IF($J445="","",SUMIFS('Weekly Log'!$C:$C,'Weekly Log'!$A:$A,"&gt;="&amp;$J445,'Weekly Log'!$A:$A,"&lt;"&amp;$J445+7))</f>
        <v/>
      </c>
      <c r="C445">
        <f>IF($J445="","",IFERROR(COUNTIFS('Weekly Log'!$G:$G,"Y",'Weekly Log'!$A:$A,"&gt;="&amp;$J445,'Weekly Log'!$A:$A,"&lt;"&amp;$J445+7)/COUNTIFS('Weekly Log'!$G:$G,"&lt;&gt;",'Weekly Log'!$A:$A,"&gt;="&amp;$J445,'Weekly Log'!$A:$A,"&lt;"&amp;$J445+7),0))</f>
        <v/>
      </c>
      <c r="D445">
        <f>IF($J445="","",IFERROR(COUNTIFS('Weekly Log'!$H:$H,"Y",'Weekly Log'!$A:$A,"&gt;="&amp;$J445,'Weekly Log'!$A:$A,"&lt;"&amp;$J445+7)/COUNTIFS('Weekly Log'!$H:$H,"&lt;&gt;",'Weekly Log'!$A:$A,"&gt;="&amp;$J445,'Weekly Log'!$A:$A,"&lt;"&amp;$J445+7),0))</f>
        <v/>
      </c>
      <c r="E445">
        <f>IF($J445="","",IFERROR(AVERAGEIFS('Weekly Log'!$F:$F,'Weekly Log'!$A:$A,"&gt;="&amp;$J445,'Weekly Log'!$A:$A,"&lt;"&amp;$J445+7),0))</f>
        <v/>
      </c>
      <c r="F445">
        <f>IF($J445="","",IFERROR(SUMIFS('Weekly Log'!$F:$F,'Weekly Log'!$A:$A,"&gt;="&amp;$J445,'Weekly Log'!$A:$A,"&lt;"&amp;$J445+7)/SUMIFS('Weekly Log'!$E:$E,'Weekly Log'!$A:$A,"&gt;="&amp;$J445,'Weekly Log'!$A:$A,"&lt;"&amp;$J445+7),0))</f>
        <v/>
      </c>
      <c r="G445">
        <f>IF($J445="","",IFERROR(LOOKUP(2,1/(('Weekly Log'!$A$5:$A$5000&gt;=$J445)*('Weekly Log'!$A$5:$A$5000&lt;$J445+7)*('Weekly Log'!$M$5:$M$5000&lt;&gt;"")),'Weekly Log'!$M$5:$M$5000),0))</f>
        <v/>
      </c>
      <c r="J445">
        <f>IF(COUNT('Weekly Log'!$A$5:$A$5000)=0,"",IF(MIN('Weekly Log'!$A$5:$A$5000)+7*(ROW()-10)&gt;MAX('Weekly Log'!$A$5:$A$5000),"",MIN('Weekly Log'!$A$5:$A$5000)+7*(ROW()-10)))</f>
        <v/>
      </c>
    </row>
    <row r="446">
      <c r="A446">
        <f>IF($J446="","",YEAR($J446-WEEKDAY($J446,2)+4)&amp;"-W"&amp;TEXT(WEEKNUM($J446,21),"00"))</f>
        <v/>
      </c>
      <c r="B446">
        <f>IF($J446="","",SUMIFS('Weekly Log'!$C:$C,'Weekly Log'!$A:$A,"&gt;="&amp;$J446,'Weekly Log'!$A:$A,"&lt;"&amp;$J446+7))</f>
        <v/>
      </c>
      <c r="C446">
        <f>IF($J446="","",IFERROR(COUNTIFS('Weekly Log'!$G:$G,"Y",'Weekly Log'!$A:$A,"&gt;="&amp;$J446,'Weekly Log'!$A:$A,"&lt;"&amp;$J446+7)/COUNTIFS('Weekly Log'!$G:$G,"&lt;&gt;",'Weekly Log'!$A:$A,"&gt;="&amp;$J446,'Weekly Log'!$A:$A,"&lt;"&amp;$J446+7),0))</f>
        <v/>
      </c>
      <c r="D446">
        <f>IF($J446="","",IFERROR(COUNTIFS('Weekly Log'!$H:$H,"Y",'Weekly Log'!$A:$A,"&gt;="&amp;$J446,'Weekly Log'!$A:$A,"&lt;"&amp;$J446+7)/COUNTIFS('Weekly Log'!$H:$H,"&lt;&gt;",'Weekly Log'!$A:$A,"&gt;="&amp;$J446,'Weekly Log'!$A:$A,"&lt;"&amp;$J446+7),0))</f>
        <v/>
      </c>
      <c r="E446">
        <f>IF($J446="","",IFERROR(AVERAGEIFS('Weekly Log'!$F:$F,'Weekly Log'!$A:$A,"&gt;="&amp;$J446,'Weekly Log'!$A:$A,"&lt;"&amp;$J446+7),0))</f>
        <v/>
      </c>
      <c r="F446">
        <f>IF($J446="","",IFERROR(SUMIFS('Weekly Log'!$F:$F,'Weekly Log'!$A:$A,"&gt;="&amp;$J446,'Weekly Log'!$A:$A,"&lt;"&amp;$J446+7)/SUMIFS('Weekly Log'!$E:$E,'Weekly Log'!$A:$A,"&gt;="&amp;$J446,'Weekly Log'!$A:$A,"&lt;"&amp;$J446+7),0))</f>
        <v/>
      </c>
      <c r="G446">
        <f>IF($J446="","",IFERROR(LOOKUP(2,1/(('Weekly Log'!$A$5:$A$5000&gt;=$J446)*('Weekly Log'!$A$5:$A$5000&lt;$J446+7)*('Weekly Log'!$M$5:$M$5000&lt;&gt;"")),'Weekly Log'!$M$5:$M$5000),0))</f>
        <v/>
      </c>
      <c r="J446">
        <f>IF(COUNT('Weekly Log'!$A$5:$A$5000)=0,"",IF(MIN('Weekly Log'!$A$5:$A$5000)+7*(ROW()-10)&gt;MAX('Weekly Log'!$A$5:$A$5000),"",MIN('Weekly Log'!$A$5:$A$5000)+7*(ROW()-10)))</f>
        <v/>
      </c>
    </row>
    <row r="447">
      <c r="A447">
        <f>IF($J447="","",YEAR($J447-WEEKDAY($J447,2)+4)&amp;"-W"&amp;TEXT(WEEKNUM($J447,21),"00"))</f>
        <v/>
      </c>
      <c r="B447">
        <f>IF($J447="","",SUMIFS('Weekly Log'!$C:$C,'Weekly Log'!$A:$A,"&gt;="&amp;$J447,'Weekly Log'!$A:$A,"&lt;"&amp;$J447+7))</f>
        <v/>
      </c>
      <c r="C447">
        <f>IF($J447="","",IFERROR(COUNTIFS('Weekly Log'!$G:$G,"Y",'Weekly Log'!$A:$A,"&gt;="&amp;$J447,'Weekly Log'!$A:$A,"&lt;"&amp;$J447+7)/COUNTIFS('Weekly Log'!$G:$G,"&lt;&gt;",'Weekly Log'!$A:$A,"&gt;="&amp;$J447,'Weekly Log'!$A:$A,"&lt;"&amp;$J447+7),0))</f>
        <v/>
      </c>
      <c r="D447">
        <f>IF($J447="","",IFERROR(COUNTIFS('Weekly Log'!$H:$H,"Y",'Weekly Log'!$A:$A,"&gt;="&amp;$J447,'Weekly Log'!$A:$A,"&lt;"&amp;$J447+7)/COUNTIFS('Weekly Log'!$H:$H,"&lt;&gt;",'Weekly Log'!$A:$A,"&gt;="&amp;$J447,'Weekly Log'!$A:$A,"&lt;"&amp;$J447+7),0))</f>
        <v/>
      </c>
      <c r="E447">
        <f>IF($J447="","",IFERROR(AVERAGEIFS('Weekly Log'!$F:$F,'Weekly Log'!$A:$A,"&gt;="&amp;$J447,'Weekly Log'!$A:$A,"&lt;"&amp;$J447+7),0))</f>
        <v/>
      </c>
      <c r="F447">
        <f>IF($J447="","",IFERROR(SUMIFS('Weekly Log'!$F:$F,'Weekly Log'!$A:$A,"&gt;="&amp;$J447,'Weekly Log'!$A:$A,"&lt;"&amp;$J447+7)/SUMIFS('Weekly Log'!$E:$E,'Weekly Log'!$A:$A,"&gt;="&amp;$J447,'Weekly Log'!$A:$A,"&lt;"&amp;$J447+7),0))</f>
        <v/>
      </c>
      <c r="G447">
        <f>IF($J447="","",IFERROR(LOOKUP(2,1/(('Weekly Log'!$A$5:$A$5000&gt;=$J447)*('Weekly Log'!$A$5:$A$5000&lt;$J447+7)*('Weekly Log'!$M$5:$M$5000&lt;&gt;"")),'Weekly Log'!$M$5:$M$5000),0))</f>
        <v/>
      </c>
      <c r="J447">
        <f>IF(COUNT('Weekly Log'!$A$5:$A$5000)=0,"",IF(MIN('Weekly Log'!$A$5:$A$5000)+7*(ROW()-10)&gt;MAX('Weekly Log'!$A$5:$A$5000),"",MIN('Weekly Log'!$A$5:$A$5000)+7*(ROW()-10)))</f>
        <v/>
      </c>
    </row>
    <row r="448">
      <c r="A448">
        <f>IF($J448="","",YEAR($J448-WEEKDAY($J448,2)+4)&amp;"-W"&amp;TEXT(WEEKNUM($J448,21),"00"))</f>
        <v/>
      </c>
      <c r="B448">
        <f>IF($J448="","",SUMIFS('Weekly Log'!$C:$C,'Weekly Log'!$A:$A,"&gt;="&amp;$J448,'Weekly Log'!$A:$A,"&lt;"&amp;$J448+7))</f>
        <v/>
      </c>
      <c r="C448">
        <f>IF($J448="","",IFERROR(COUNTIFS('Weekly Log'!$G:$G,"Y",'Weekly Log'!$A:$A,"&gt;="&amp;$J448,'Weekly Log'!$A:$A,"&lt;"&amp;$J448+7)/COUNTIFS('Weekly Log'!$G:$G,"&lt;&gt;",'Weekly Log'!$A:$A,"&gt;="&amp;$J448,'Weekly Log'!$A:$A,"&lt;"&amp;$J448+7),0))</f>
        <v/>
      </c>
      <c r="D448">
        <f>IF($J448="","",IFERROR(COUNTIFS('Weekly Log'!$H:$H,"Y",'Weekly Log'!$A:$A,"&gt;="&amp;$J448,'Weekly Log'!$A:$A,"&lt;"&amp;$J448+7)/COUNTIFS('Weekly Log'!$H:$H,"&lt;&gt;",'Weekly Log'!$A:$A,"&gt;="&amp;$J448,'Weekly Log'!$A:$A,"&lt;"&amp;$J448+7),0))</f>
        <v/>
      </c>
      <c r="E448">
        <f>IF($J448="","",IFERROR(AVERAGEIFS('Weekly Log'!$F:$F,'Weekly Log'!$A:$A,"&gt;="&amp;$J448,'Weekly Log'!$A:$A,"&lt;"&amp;$J448+7),0))</f>
        <v/>
      </c>
      <c r="F448">
        <f>IF($J448="","",IFERROR(SUMIFS('Weekly Log'!$F:$F,'Weekly Log'!$A:$A,"&gt;="&amp;$J448,'Weekly Log'!$A:$A,"&lt;"&amp;$J448+7)/SUMIFS('Weekly Log'!$E:$E,'Weekly Log'!$A:$A,"&gt;="&amp;$J448,'Weekly Log'!$A:$A,"&lt;"&amp;$J448+7),0))</f>
        <v/>
      </c>
      <c r="G448">
        <f>IF($J448="","",IFERROR(LOOKUP(2,1/(('Weekly Log'!$A$5:$A$5000&gt;=$J448)*('Weekly Log'!$A$5:$A$5000&lt;$J448+7)*('Weekly Log'!$M$5:$M$5000&lt;&gt;"")),'Weekly Log'!$M$5:$M$5000),0))</f>
        <v/>
      </c>
      <c r="J448">
        <f>IF(COUNT('Weekly Log'!$A$5:$A$5000)=0,"",IF(MIN('Weekly Log'!$A$5:$A$5000)+7*(ROW()-10)&gt;MAX('Weekly Log'!$A$5:$A$5000),"",MIN('Weekly Log'!$A$5:$A$5000)+7*(ROW()-10)))</f>
        <v/>
      </c>
    </row>
    <row r="449">
      <c r="A449">
        <f>IF($J449="","",YEAR($J449-WEEKDAY($J449,2)+4)&amp;"-W"&amp;TEXT(WEEKNUM($J449,21),"00"))</f>
        <v/>
      </c>
      <c r="B449">
        <f>IF($J449="","",SUMIFS('Weekly Log'!$C:$C,'Weekly Log'!$A:$A,"&gt;="&amp;$J449,'Weekly Log'!$A:$A,"&lt;"&amp;$J449+7))</f>
        <v/>
      </c>
      <c r="C449">
        <f>IF($J449="","",IFERROR(COUNTIFS('Weekly Log'!$G:$G,"Y",'Weekly Log'!$A:$A,"&gt;="&amp;$J449,'Weekly Log'!$A:$A,"&lt;"&amp;$J449+7)/COUNTIFS('Weekly Log'!$G:$G,"&lt;&gt;",'Weekly Log'!$A:$A,"&gt;="&amp;$J449,'Weekly Log'!$A:$A,"&lt;"&amp;$J449+7),0))</f>
        <v/>
      </c>
      <c r="D449">
        <f>IF($J449="","",IFERROR(COUNTIFS('Weekly Log'!$H:$H,"Y",'Weekly Log'!$A:$A,"&gt;="&amp;$J449,'Weekly Log'!$A:$A,"&lt;"&amp;$J449+7)/COUNTIFS('Weekly Log'!$H:$H,"&lt;&gt;",'Weekly Log'!$A:$A,"&gt;="&amp;$J449,'Weekly Log'!$A:$A,"&lt;"&amp;$J449+7),0))</f>
        <v/>
      </c>
      <c r="E449">
        <f>IF($J449="","",IFERROR(AVERAGEIFS('Weekly Log'!$F:$F,'Weekly Log'!$A:$A,"&gt;="&amp;$J449,'Weekly Log'!$A:$A,"&lt;"&amp;$J449+7),0))</f>
        <v/>
      </c>
      <c r="F449">
        <f>IF($J449="","",IFERROR(SUMIFS('Weekly Log'!$F:$F,'Weekly Log'!$A:$A,"&gt;="&amp;$J449,'Weekly Log'!$A:$A,"&lt;"&amp;$J449+7)/SUMIFS('Weekly Log'!$E:$E,'Weekly Log'!$A:$A,"&gt;="&amp;$J449,'Weekly Log'!$A:$A,"&lt;"&amp;$J449+7),0))</f>
        <v/>
      </c>
      <c r="G449">
        <f>IF($J449="","",IFERROR(LOOKUP(2,1/(('Weekly Log'!$A$5:$A$5000&gt;=$J449)*('Weekly Log'!$A$5:$A$5000&lt;$J449+7)*('Weekly Log'!$M$5:$M$5000&lt;&gt;"")),'Weekly Log'!$M$5:$M$5000),0))</f>
        <v/>
      </c>
      <c r="J449">
        <f>IF(COUNT('Weekly Log'!$A$5:$A$5000)=0,"",IF(MIN('Weekly Log'!$A$5:$A$5000)+7*(ROW()-10)&gt;MAX('Weekly Log'!$A$5:$A$5000),"",MIN('Weekly Log'!$A$5:$A$5000)+7*(ROW()-10)))</f>
        <v/>
      </c>
    </row>
    <row r="450">
      <c r="A450">
        <f>IF($J450="","",YEAR($J450-WEEKDAY($J450,2)+4)&amp;"-W"&amp;TEXT(WEEKNUM($J450,21),"00"))</f>
        <v/>
      </c>
      <c r="B450">
        <f>IF($J450="","",SUMIFS('Weekly Log'!$C:$C,'Weekly Log'!$A:$A,"&gt;="&amp;$J450,'Weekly Log'!$A:$A,"&lt;"&amp;$J450+7))</f>
        <v/>
      </c>
      <c r="C450">
        <f>IF($J450="","",IFERROR(COUNTIFS('Weekly Log'!$G:$G,"Y",'Weekly Log'!$A:$A,"&gt;="&amp;$J450,'Weekly Log'!$A:$A,"&lt;"&amp;$J450+7)/COUNTIFS('Weekly Log'!$G:$G,"&lt;&gt;",'Weekly Log'!$A:$A,"&gt;="&amp;$J450,'Weekly Log'!$A:$A,"&lt;"&amp;$J450+7),0))</f>
        <v/>
      </c>
      <c r="D450">
        <f>IF($J450="","",IFERROR(COUNTIFS('Weekly Log'!$H:$H,"Y",'Weekly Log'!$A:$A,"&gt;="&amp;$J450,'Weekly Log'!$A:$A,"&lt;"&amp;$J450+7)/COUNTIFS('Weekly Log'!$H:$H,"&lt;&gt;",'Weekly Log'!$A:$A,"&gt;="&amp;$J450,'Weekly Log'!$A:$A,"&lt;"&amp;$J450+7),0))</f>
        <v/>
      </c>
      <c r="E450">
        <f>IF($J450="","",IFERROR(AVERAGEIFS('Weekly Log'!$F:$F,'Weekly Log'!$A:$A,"&gt;="&amp;$J450,'Weekly Log'!$A:$A,"&lt;"&amp;$J450+7),0))</f>
        <v/>
      </c>
      <c r="F450">
        <f>IF($J450="","",IFERROR(SUMIFS('Weekly Log'!$F:$F,'Weekly Log'!$A:$A,"&gt;="&amp;$J450,'Weekly Log'!$A:$A,"&lt;"&amp;$J450+7)/SUMIFS('Weekly Log'!$E:$E,'Weekly Log'!$A:$A,"&gt;="&amp;$J450,'Weekly Log'!$A:$A,"&lt;"&amp;$J450+7),0))</f>
        <v/>
      </c>
      <c r="G450">
        <f>IF($J450="","",IFERROR(LOOKUP(2,1/(('Weekly Log'!$A$5:$A$5000&gt;=$J450)*('Weekly Log'!$A$5:$A$5000&lt;$J450+7)*('Weekly Log'!$M$5:$M$5000&lt;&gt;"")),'Weekly Log'!$M$5:$M$5000),0))</f>
        <v/>
      </c>
      <c r="J450">
        <f>IF(COUNT('Weekly Log'!$A$5:$A$5000)=0,"",IF(MIN('Weekly Log'!$A$5:$A$5000)+7*(ROW()-10)&gt;MAX('Weekly Log'!$A$5:$A$5000),"",MIN('Weekly Log'!$A$5:$A$5000)+7*(ROW()-10)))</f>
        <v/>
      </c>
    </row>
    <row r="451">
      <c r="A451">
        <f>IF($J451="","",YEAR($J451-WEEKDAY($J451,2)+4)&amp;"-W"&amp;TEXT(WEEKNUM($J451,21),"00"))</f>
        <v/>
      </c>
      <c r="B451">
        <f>IF($J451="","",SUMIFS('Weekly Log'!$C:$C,'Weekly Log'!$A:$A,"&gt;="&amp;$J451,'Weekly Log'!$A:$A,"&lt;"&amp;$J451+7))</f>
        <v/>
      </c>
      <c r="C451">
        <f>IF($J451="","",IFERROR(COUNTIFS('Weekly Log'!$G:$G,"Y",'Weekly Log'!$A:$A,"&gt;="&amp;$J451,'Weekly Log'!$A:$A,"&lt;"&amp;$J451+7)/COUNTIFS('Weekly Log'!$G:$G,"&lt;&gt;",'Weekly Log'!$A:$A,"&gt;="&amp;$J451,'Weekly Log'!$A:$A,"&lt;"&amp;$J451+7),0))</f>
        <v/>
      </c>
      <c r="D451">
        <f>IF($J451="","",IFERROR(COUNTIFS('Weekly Log'!$H:$H,"Y",'Weekly Log'!$A:$A,"&gt;="&amp;$J451,'Weekly Log'!$A:$A,"&lt;"&amp;$J451+7)/COUNTIFS('Weekly Log'!$H:$H,"&lt;&gt;",'Weekly Log'!$A:$A,"&gt;="&amp;$J451,'Weekly Log'!$A:$A,"&lt;"&amp;$J451+7),0))</f>
        <v/>
      </c>
      <c r="E451">
        <f>IF($J451="","",IFERROR(AVERAGEIFS('Weekly Log'!$F:$F,'Weekly Log'!$A:$A,"&gt;="&amp;$J451,'Weekly Log'!$A:$A,"&lt;"&amp;$J451+7),0))</f>
        <v/>
      </c>
      <c r="F451">
        <f>IF($J451="","",IFERROR(SUMIFS('Weekly Log'!$F:$F,'Weekly Log'!$A:$A,"&gt;="&amp;$J451,'Weekly Log'!$A:$A,"&lt;"&amp;$J451+7)/SUMIFS('Weekly Log'!$E:$E,'Weekly Log'!$A:$A,"&gt;="&amp;$J451,'Weekly Log'!$A:$A,"&lt;"&amp;$J451+7),0))</f>
        <v/>
      </c>
      <c r="G451">
        <f>IF($J451="","",IFERROR(LOOKUP(2,1/(('Weekly Log'!$A$5:$A$5000&gt;=$J451)*('Weekly Log'!$A$5:$A$5000&lt;$J451+7)*('Weekly Log'!$M$5:$M$5000&lt;&gt;"")),'Weekly Log'!$M$5:$M$5000),0))</f>
        <v/>
      </c>
      <c r="J451">
        <f>IF(COUNT('Weekly Log'!$A$5:$A$5000)=0,"",IF(MIN('Weekly Log'!$A$5:$A$5000)+7*(ROW()-10)&gt;MAX('Weekly Log'!$A$5:$A$5000),"",MIN('Weekly Log'!$A$5:$A$5000)+7*(ROW()-10)))</f>
        <v/>
      </c>
    </row>
    <row r="452">
      <c r="A452">
        <f>IF($J452="","",YEAR($J452-WEEKDAY($J452,2)+4)&amp;"-W"&amp;TEXT(WEEKNUM($J452,21),"00"))</f>
        <v/>
      </c>
      <c r="B452">
        <f>IF($J452="","",SUMIFS('Weekly Log'!$C:$C,'Weekly Log'!$A:$A,"&gt;="&amp;$J452,'Weekly Log'!$A:$A,"&lt;"&amp;$J452+7))</f>
        <v/>
      </c>
      <c r="C452">
        <f>IF($J452="","",IFERROR(COUNTIFS('Weekly Log'!$G:$G,"Y",'Weekly Log'!$A:$A,"&gt;="&amp;$J452,'Weekly Log'!$A:$A,"&lt;"&amp;$J452+7)/COUNTIFS('Weekly Log'!$G:$G,"&lt;&gt;",'Weekly Log'!$A:$A,"&gt;="&amp;$J452,'Weekly Log'!$A:$A,"&lt;"&amp;$J452+7),0))</f>
        <v/>
      </c>
      <c r="D452">
        <f>IF($J452="","",IFERROR(COUNTIFS('Weekly Log'!$H:$H,"Y",'Weekly Log'!$A:$A,"&gt;="&amp;$J452,'Weekly Log'!$A:$A,"&lt;"&amp;$J452+7)/COUNTIFS('Weekly Log'!$H:$H,"&lt;&gt;",'Weekly Log'!$A:$A,"&gt;="&amp;$J452,'Weekly Log'!$A:$A,"&lt;"&amp;$J452+7),0))</f>
        <v/>
      </c>
      <c r="E452">
        <f>IF($J452="","",IFERROR(AVERAGEIFS('Weekly Log'!$F:$F,'Weekly Log'!$A:$A,"&gt;="&amp;$J452,'Weekly Log'!$A:$A,"&lt;"&amp;$J452+7),0))</f>
        <v/>
      </c>
      <c r="F452">
        <f>IF($J452="","",IFERROR(SUMIFS('Weekly Log'!$F:$F,'Weekly Log'!$A:$A,"&gt;="&amp;$J452,'Weekly Log'!$A:$A,"&lt;"&amp;$J452+7)/SUMIFS('Weekly Log'!$E:$E,'Weekly Log'!$A:$A,"&gt;="&amp;$J452,'Weekly Log'!$A:$A,"&lt;"&amp;$J452+7),0))</f>
        <v/>
      </c>
      <c r="G452">
        <f>IF($J452="","",IFERROR(LOOKUP(2,1/(('Weekly Log'!$A$5:$A$5000&gt;=$J452)*('Weekly Log'!$A$5:$A$5000&lt;$J452+7)*('Weekly Log'!$M$5:$M$5000&lt;&gt;"")),'Weekly Log'!$M$5:$M$5000),0))</f>
        <v/>
      </c>
      <c r="J452">
        <f>IF(COUNT('Weekly Log'!$A$5:$A$5000)=0,"",IF(MIN('Weekly Log'!$A$5:$A$5000)+7*(ROW()-10)&gt;MAX('Weekly Log'!$A$5:$A$5000),"",MIN('Weekly Log'!$A$5:$A$5000)+7*(ROW()-10)))</f>
        <v/>
      </c>
    </row>
    <row r="453">
      <c r="A453">
        <f>IF($J453="","",YEAR($J453-WEEKDAY($J453,2)+4)&amp;"-W"&amp;TEXT(WEEKNUM($J453,21),"00"))</f>
        <v/>
      </c>
      <c r="B453">
        <f>IF($J453="","",SUMIFS('Weekly Log'!$C:$C,'Weekly Log'!$A:$A,"&gt;="&amp;$J453,'Weekly Log'!$A:$A,"&lt;"&amp;$J453+7))</f>
        <v/>
      </c>
      <c r="C453">
        <f>IF($J453="","",IFERROR(COUNTIFS('Weekly Log'!$G:$G,"Y",'Weekly Log'!$A:$A,"&gt;="&amp;$J453,'Weekly Log'!$A:$A,"&lt;"&amp;$J453+7)/COUNTIFS('Weekly Log'!$G:$G,"&lt;&gt;",'Weekly Log'!$A:$A,"&gt;="&amp;$J453,'Weekly Log'!$A:$A,"&lt;"&amp;$J453+7),0))</f>
        <v/>
      </c>
      <c r="D453">
        <f>IF($J453="","",IFERROR(COUNTIFS('Weekly Log'!$H:$H,"Y",'Weekly Log'!$A:$A,"&gt;="&amp;$J453,'Weekly Log'!$A:$A,"&lt;"&amp;$J453+7)/COUNTIFS('Weekly Log'!$H:$H,"&lt;&gt;",'Weekly Log'!$A:$A,"&gt;="&amp;$J453,'Weekly Log'!$A:$A,"&lt;"&amp;$J453+7),0))</f>
        <v/>
      </c>
      <c r="E453">
        <f>IF($J453="","",IFERROR(AVERAGEIFS('Weekly Log'!$F:$F,'Weekly Log'!$A:$A,"&gt;="&amp;$J453,'Weekly Log'!$A:$A,"&lt;"&amp;$J453+7),0))</f>
        <v/>
      </c>
      <c r="F453">
        <f>IF($J453="","",IFERROR(SUMIFS('Weekly Log'!$F:$F,'Weekly Log'!$A:$A,"&gt;="&amp;$J453,'Weekly Log'!$A:$A,"&lt;"&amp;$J453+7)/SUMIFS('Weekly Log'!$E:$E,'Weekly Log'!$A:$A,"&gt;="&amp;$J453,'Weekly Log'!$A:$A,"&lt;"&amp;$J453+7),0))</f>
        <v/>
      </c>
      <c r="G453">
        <f>IF($J453="","",IFERROR(LOOKUP(2,1/(('Weekly Log'!$A$5:$A$5000&gt;=$J453)*('Weekly Log'!$A$5:$A$5000&lt;$J453+7)*('Weekly Log'!$M$5:$M$5000&lt;&gt;"")),'Weekly Log'!$M$5:$M$5000),0))</f>
        <v/>
      </c>
      <c r="J453">
        <f>IF(COUNT('Weekly Log'!$A$5:$A$5000)=0,"",IF(MIN('Weekly Log'!$A$5:$A$5000)+7*(ROW()-10)&gt;MAX('Weekly Log'!$A$5:$A$5000),"",MIN('Weekly Log'!$A$5:$A$5000)+7*(ROW()-10)))</f>
        <v/>
      </c>
    </row>
    <row r="454">
      <c r="A454">
        <f>IF($J454="","",YEAR($J454-WEEKDAY($J454,2)+4)&amp;"-W"&amp;TEXT(WEEKNUM($J454,21),"00"))</f>
        <v/>
      </c>
      <c r="B454">
        <f>IF($J454="","",SUMIFS('Weekly Log'!$C:$C,'Weekly Log'!$A:$A,"&gt;="&amp;$J454,'Weekly Log'!$A:$A,"&lt;"&amp;$J454+7))</f>
        <v/>
      </c>
      <c r="C454">
        <f>IF($J454="","",IFERROR(COUNTIFS('Weekly Log'!$G:$G,"Y",'Weekly Log'!$A:$A,"&gt;="&amp;$J454,'Weekly Log'!$A:$A,"&lt;"&amp;$J454+7)/COUNTIFS('Weekly Log'!$G:$G,"&lt;&gt;",'Weekly Log'!$A:$A,"&gt;="&amp;$J454,'Weekly Log'!$A:$A,"&lt;"&amp;$J454+7),0))</f>
        <v/>
      </c>
      <c r="D454">
        <f>IF($J454="","",IFERROR(COUNTIFS('Weekly Log'!$H:$H,"Y",'Weekly Log'!$A:$A,"&gt;="&amp;$J454,'Weekly Log'!$A:$A,"&lt;"&amp;$J454+7)/COUNTIFS('Weekly Log'!$H:$H,"&lt;&gt;",'Weekly Log'!$A:$A,"&gt;="&amp;$J454,'Weekly Log'!$A:$A,"&lt;"&amp;$J454+7),0))</f>
        <v/>
      </c>
      <c r="E454">
        <f>IF($J454="","",IFERROR(AVERAGEIFS('Weekly Log'!$F:$F,'Weekly Log'!$A:$A,"&gt;="&amp;$J454,'Weekly Log'!$A:$A,"&lt;"&amp;$J454+7),0))</f>
        <v/>
      </c>
      <c r="F454">
        <f>IF($J454="","",IFERROR(SUMIFS('Weekly Log'!$F:$F,'Weekly Log'!$A:$A,"&gt;="&amp;$J454,'Weekly Log'!$A:$A,"&lt;"&amp;$J454+7)/SUMIFS('Weekly Log'!$E:$E,'Weekly Log'!$A:$A,"&gt;="&amp;$J454,'Weekly Log'!$A:$A,"&lt;"&amp;$J454+7),0))</f>
        <v/>
      </c>
      <c r="G454">
        <f>IF($J454="","",IFERROR(LOOKUP(2,1/(('Weekly Log'!$A$5:$A$5000&gt;=$J454)*('Weekly Log'!$A$5:$A$5000&lt;$J454+7)*('Weekly Log'!$M$5:$M$5000&lt;&gt;"")),'Weekly Log'!$M$5:$M$5000),0))</f>
        <v/>
      </c>
      <c r="J454">
        <f>IF(COUNT('Weekly Log'!$A$5:$A$5000)=0,"",IF(MIN('Weekly Log'!$A$5:$A$5000)+7*(ROW()-10)&gt;MAX('Weekly Log'!$A$5:$A$5000),"",MIN('Weekly Log'!$A$5:$A$5000)+7*(ROW()-10)))</f>
        <v/>
      </c>
    </row>
    <row r="455">
      <c r="A455">
        <f>IF($J455="","",YEAR($J455-WEEKDAY($J455,2)+4)&amp;"-W"&amp;TEXT(WEEKNUM($J455,21),"00"))</f>
        <v/>
      </c>
      <c r="B455">
        <f>IF($J455="","",SUMIFS('Weekly Log'!$C:$C,'Weekly Log'!$A:$A,"&gt;="&amp;$J455,'Weekly Log'!$A:$A,"&lt;"&amp;$J455+7))</f>
        <v/>
      </c>
      <c r="C455">
        <f>IF($J455="","",IFERROR(COUNTIFS('Weekly Log'!$G:$G,"Y",'Weekly Log'!$A:$A,"&gt;="&amp;$J455,'Weekly Log'!$A:$A,"&lt;"&amp;$J455+7)/COUNTIFS('Weekly Log'!$G:$G,"&lt;&gt;",'Weekly Log'!$A:$A,"&gt;="&amp;$J455,'Weekly Log'!$A:$A,"&lt;"&amp;$J455+7),0))</f>
        <v/>
      </c>
      <c r="D455">
        <f>IF($J455="","",IFERROR(COUNTIFS('Weekly Log'!$H:$H,"Y",'Weekly Log'!$A:$A,"&gt;="&amp;$J455,'Weekly Log'!$A:$A,"&lt;"&amp;$J455+7)/COUNTIFS('Weekly Log'!$H:$H,"&lt;&gt;",'Weekly Log'!$A:$A,"&gt;="&amp;$J455,'Weekly Log'!$A:$A,"&lt;"&amp;$J455+7),0))</f>
        <v/>
      </c>
      <c r="E455">
        <f>IF($J455="","",IFERROR(AVERAGEIFS('Weekly Log'!$F:$F,'Weekly Log'!$A:$A,"&gt;="&amp;$J455,'Weekly Log'!$A:$A,"&lt;"&amp;$J455+7),0))</f>
        <v/>
      </c>
      <c r="F455">
        <f>IF($J455="","",IFERROR(SUMIFS('Weekly Log'!$F:$F,'Weekly Log'!$A:$A,"&gt;="&amp;$J455,'Weekly Log'!$A:$A,"&lt;"&amp;$J455+7)/SUMIFS('Weekly Log'!$E:$E,'Weekly Log'!$A:$A,"&gt;="&amp;$J455,'Weekly Log'!$A:$A,"&lt;"&amp;$J455+7),0))</f>
        <v/>
      </c>
      <c r="G455">
        <f>IF($J455="","",IFERROR(LOOKUP(2,1/(('Weekly Log'!$A$5:$A$5000&gt;=$J455)*('Weekly Log'!$A$5:$A$5000&lt;$J455+7)*('Weekly Log'!$M$5:$M$5000&lt;&gt;"")),'Weekly Log'!$M$5:$M$5000),0))</f>
        <v/>
      </c>
      <c r="J455">
        <f>IF(COUNT('Weekly Log'!$A$5:$A$5000)=0,"",IF(MIN('Weekly Log'!$A$5:$A$5000)+7*(ROW()-10)&gt;MAX('Weekly Log'!$A$5:$A$5000),"",MIN('Weekly Log'!$A$5:$A$5000)+7*(ROW()-10)))</f>
        <v/>
      </c>
    </row>
    <row r="456">
      <c r="A456">
        <f>IF($J456="","",YEAR($J456-WEEKDAY($J456,2)+4)&amp;"-W"&amp;TEXT(WEEKNUM($J456,21),"00"))</f>
        <v/>
      </c>
      <c r="B456">
        <f>IF($J456="","",SUMIFS('Weekly Log'!$C:$C,'Weekly Log'!$A:$A,"&gt;="&amp;$J456,'Weekly Log'!$A:$A,"&lt;"&amp;$J456+7))</f>
        <v/>
      </c>
      <c r="C456">
        <f>IF($J456="","",IFERROR(COUNTIFS('Weekly Log'!$G:$G,"Y",'Weekly Log'!$A:$A,"&gt;="&amp;$J456,'Weekly Log'!$A:$A,"&lt;"&amp;$J456+7)/COUNTIFS('Weekly Log'!$G:$G,"&lt;&gt;",'Weekly Log'!$A:$A,"&gt;="&amp;$J456,'Weekly Log'!$A:$A,"&lt;"&amp;$J456+7),0))</f>
        <v/>
      </c>
      <c r="D456">
        <f>IF($J456="","",IFERROR(COUNTIFS('Weekly Log'!$H:$H,"Y",'Weekly Log'!$A:$A,"&gt;="&amp;$J456,'Weekly Log'!$A:$A,"&lt;"&amp;$J456+7)/COUNTIFS('Weekly Log'!$H:$H,"&lt;&gt;",'Weekly Log'!$A:$A,"&gt;="&amp;$J456,'Weekly Log'!$A:$A,"&lt;"&amp;$J456+7),0))</f>
        <v/>
      </c>
      <c r="E456">
        <f>IF($J456="","",IFERROR(AVERAGEIFS('Weekly Log'!$F:$F,'Weekly Log'!$A:$A,"&gt;="&amp;$J456,'Weekly Log'!$A:$A,"&lt;"&amp;$J456+7),0))</f>
        <v/>
      </c>
      <c r="F456">
        <f>IF($J456="","",IFERROR(SUMIFS('Weekly Log'!$F:$F,'Weekly Log'!$A:$A,"&gt;="&amp;$J456,'Weekly Log'!$A:$A,"&lt;"&amp;$J456+7)/SUMIFS('Weekly Log'!$E:$E,'Weekly Log'!$A:$A,"&gt;="&amp;$J456,'Weekly Log'!$A:$A,"&lt;"&amp;$J456+7),0))</f>
        <v/>
      </c>
      <c r="G456">
        <f>IF($J456="","",IFERROR(LOOKUP(2,1/(('Weekly Log'!$A$5:$A$5000&gt;=$J456)*('Weekly Log'!$A$5:$A$5000&lt;$J456+7)*('Weekly Log'!$M$5:$M$5000&lt;&gt;"")),'Weekly Log'!$M$5:$M$5000),0))</f>
        <v/>
      </c>
      <c r="J456">
        <f>IF(COUNT('Weekly Log'!$A$5:$A$5000)=0,"",IF(MIN('Weekly Log'!$A$5:$A$5000)+7*(ROW()-10)&gt;MAX('Weekly Log'!$A$5:$A$5000),"",MIN('Weekly Log'!$A$5:$A$5000)+7*(ROW()-10)))</f>
        <v/>
      </c>
    </row>
    <row r="457">
      <c r="A457">
        <f>IF($J457="","",YEAR($J457-WEEKDAY($J457,2)+4)&amp;"-W"&amp;TEXT(WEEKNUM($J457,21),"00"))</f>
        <v/>
      </c>
      <c r="B457">
        <f>IF($J457="","",SUMIFS('Weekly Log'!$C:$C,'Weekly Log'!$A:$A,"&gt;="&amp;$J457,'Weekly Log'!$A:$A,"&lt;"&amp;$J457+7))</f>
        <v/>
      </c>
      <c r="C457">
        <f>IF($J457="","",IFERROR(COUNTIFS('Weekly Log'!$G:$G,"Y",'Weekly Log'!$A:$A,"&gt;="&amp;$J457,'Weekly Log'!$A:$A,"&lt;"&amp;$J457+7)/COUNTIFS('Weekly Log'!$G:$G,"&lt;&gt;",'Weekly Log'!$A:$A,"&gt;="&amp;$J457,'Weekly Log'!$A:$A,"&lt;"&amp;$J457+7),0))</f>
        <v/>
      </c>
      <c r="D457">
        <f>IF($J457="","",IFERROR(COUNTIFS('Weekly Log'!$H:$H,"Y",'Weekly Log'!$A:$A,"&gt;="&amp;$J457,'Weekly Log'!$A:$A,"&lt;"&amp;$J457+7)/COUNTIFS('Weekly Log'!$H:$H,"&lt;&gt;",'Weekly Log'!$A:$A,"&gt;="&amp;$J457,'Weekly Log'!$A:$A,"&lt;"&amp;$J457+7),0))</f>
        <v/>
      </c>
      <c r="E457">
        <f>IF($J457="","",IFERROR(AVERAGEIFS('Weekly Log'!$F:$F,'Weekly Log'!$A:$A,"&gt;="&amp;$J457,'Weekly Log'!$A:$A,"&lt;"&amp;$J457+7),0))</f>
        <v/>
      </c>
      <c r="F457">
        <f>IF($J457="","",IFERROR(SUMIFS('Weekly Log'!$F:$F,'Weekly Log'!$A:$A,"&gt;="&amp;$J457,'Weekly Log'!$A:$A,"&lt;"&amp;$J457+7)/SUMIFS('Weekly Log'!$E:$E,'Weekly Log'!$A:$A,"&gt;="&amp;$J457,'Weekly Log'!$A:$A,"&lt;"&amp;$J457+7),0))</f>
        <v/>
      </c>
      <c r="G457">
        <f>IF($J457="","",IFERROR(LOOKUP(2,1/(('Weekly Log'!$A$5:$A$5000&gt;=$J457)*('Weekly Log'!$A$5:$A$5000&lt;$J457+7)*('Weekly Log'!$M$5:$M$5000&lt;&gt;"")),'Weekly Log'!$M$5:$M$5000),0))</f>
        <v/>
      </c>
      <c r="J457">
        <f>IF(COUNT('Weekly Log'!$A$5:$A$5000)=0,"",IF(MIN('Weekly Log'!$A$5:$A$5000)+7*(ROW()-10)&gt;MAX('Weekly Log'!$A$5:$A$5000),"",MIN('Weekly Log'!$A$5:$A$5000)+7*(ROW()-10)))</f>
        <v/>
      </c>
    </row>
    <row r="458">
      <c r="A458">
        <f>IF($J458="","",YEAR($J458-WEEKDAY($J458,2)+4)&amp;"-W"&amp;TEXT(WEEKNUM($J458,21),"00"))</f>
        <v/>
      </c>
      <c r="B458">
        <f>IF($J458="","",SUMIFS('Weekly Log'!$C:$C,'Weekly Log'!$A:$A,"&gt;="&amp;$J458,'Weekly Log'!$A:$A,"&lt;"&amp;$J458+7))</f>
        <v/>
      </c>
      <c r="C458">
        <f>IF($J458="","",IFERROR(COUNTIFS('Weekly Log'!$G:$G,"Y",'Weekly Log'!$A:$A,"&gt;="&amp;$J458,'Weekly Log'!$A:$A,"&lt;"&amp;$J458+7)/COUNTIFS('Weekly Log'!$G:$G,"&lt;&gt;",'Weekly Log'!$A:$A,"&gt;="&amp;$J458,'Weekly Log'!$A:$A,"&lt;"&amp;$J458+7),0))</f>
        <v/>
      </c>
      <c r="D458">
        <f>IF($J458="","",IFERROR(COUNTIFS('Weekly Log'!$H:$H,"Y",'Weekly Log'!$A:$A,"&gt;="&amp;$J458,'Weekly Log'!$A:$A,"&lt;"&amp;$J458+7)/COUNTIFS('Weekly Log'!$H:$H,"&lt;&gt;",'Weekly Log'!$A:$A,"&gt;="&amp;$J458,'Weekly Log'!$A:$A,"&lt;"&amp;$J458+7),0))</f>
        <v/>
      </c>
      <c r="E458">
        <f>IF($J458="","",IFERROR(AVERAGEIFS('Weekly Log'!$F:$F,'Weekly Log'!$A:$A,"&gt;="&amp;$J458,'Weekly Log'!$A:$A,"&lt;"&amp;$J458+7),0))</f>
        <v/>
      </c>
      <c r="F458">
        <f>IF($J458="","",IFERROR(SUMIFS('Weekly Log'!$F:$F,'Weekly Log'!$A:$A,"&gt;="&amp;$J458,'Weekly Log'!$A:$A,"&lt;"&amp;$J458+7)/SUMIFS('Weekly Log'!$E:$E,'Weekly Log'!$A:$A,"&gt;="&amp;$J458,'Weekly Log'!$A:$A,"&lt;"&amp;$J458+7),0))</f>
        <v/>
      </c>
      <c r="G458">
        <f>IF($J458="","",IFERROR(LOOKUP(2,1/(('Weekly Log'!$A$5:$A$5000&gt;=$J458)*('Weekly Log'!$A$5:$A$5000&lt;$J458+7)*('Weekly Log'!$M$5:$M$5000&lt;&gt;"")),'Weekly Log'!$M$5:$M$5000),0))</f>
        <v/>
      </c>
      <c r="J458">
        <f>IF(COUNT('Weekly Log'!$A$5:$A$5000)=0,"",IF(MIN('Weekly Log'!$A$5:$A$5000)+7*(ROW()-10)&gt;MAX('Weekly Log'!$A$5:$A$5000),"",MIN('Weekly Log'!$A$5:$A$5000)+7*(ROW()-10)))</f>
        <v/>
      </c>
    </row>
    <row r="459">
      <c r="A459">
        <f>IF($J459="","",YEAR($J459-WEEKDAY($J459,2)+4)&amp;"-W"&amp;TEXT(WEEKNUM($J459,21),"00"))</f>
        <v/>
      </c>
      <c r="B459">
        <f>IF($J459="","",SUMIFS('Weekly Log'!$C:$C,'Weekly Log'!$A:$A,"&gt;="&amp;$J459,'Weekly Log'!$A:$A,"&lt;"&amp;$J459+7))</f>
        <v/>
      </c>
      <c r="C459">
        <f>IF($J459="","",IFERROR(COUNTIFS('Weekly Log'!$G:$G,"Y",'Weekly Log'!$A:$A,"&gt;="&amp;$J459,'Weekly Log'!$A:$A,"&lt;"&amp;$J459+7)/COUNTIFS('Weekly Log'!$G:$G,"&lt;&gt;",'Weekly Log'!$A:$A,"&gt;="&amp;$J459,'Weekly Log'!$A:$A,"&lt;"&amp;$J459+7),0))</f>
        <v/>
      </c>
      <c r="D459">
        <f>IF($J459="","",IFERROR(COUNTIFS('Weekly Log'!$H:$H,"Y",'Weekly Log'!$A:$A,"&gt;="&amp;$J459,'Weekly Log'!$A:$A,"&lt;"&amp;$J459+7)/COUNTIFS('Weekly Log'!$H:$H,"&lt;&gt;",'Weekly Log'!$A:$A,"&gt;="&amp;$J459,'Weekly Log'!$A:$A,"&lt;"&amp;$J459+7),0))</f>
        <v/>
      </c>
      <c r="E459">
        <f>IF($J459="","",IFERROR(AVERAGEIFS('Weekly Log'!$F:$F,'Weekly Log'!$A:$A,"&gt;="&amp;$J459,'Weekly Log'!$A:$A,"&lt;"&amp;$J459+7),0))</f>
        <v/>
      </c>
      <c r="F459">
        <f>IF($J459="","",IFERROR(SUMIFS('Weekly Log'!$F:$F,'Weekly Log'!$A:$A,"&gt;="&amp;$J459,'Weekly Log'!$A:$A,"&lt;"&amp;$J459+7)/SUMIFS('Weekly Log'!$E:$E,'Weekly Log'!$A:$A,"&gt;="&amp;$J459,'Weekly Log'!$A:$A,"&lt;"&amp;$J459+7),0))</f>
        <v/>
      </c>
      <c r="G459">
        <f>IF($J459="","",IFERROR(LOOKUP(2,1/(('Weekly Log'!$A$5:$A$5000&gt;=$J459)*('Weekly Log'!$A$5:$A$5000&lt;$J459+7)*('Weekly Log'!$M$5:$M$5000&lt;&gt;"")),'Weekly Log'!$M$5:$M$5000),0))</f>
        <v/>
      </c>
      <c r="J459">
        <f>IF(COUNT('Weekly Log'!$A$5:$A$5000)=0,"",IF(MIN('Weekly Log'!$A$5:$A$5000)+7*(ROW()-10)&gt;MAX('Weekly Log'!$A$5:$A$5000),"",MIN('Weekly Log'!$A$5:$A$5000)+7*(ROW()-10)))</f>
        <v/>
      </c>
    </row>
    <row r="460">
      <c r="A460">
        <f>IF($J460="","",YEAR($J460-WEEKDAY($J460,2)+4)&amp;"-W"&amp;TEXT(WEEKNUM($J460,21),"00"))</f>
        <v/>
      </c>
      <c r="B460">
        <f>IF($J460="","",SUMIFS('Weekly Log'!$C:$C,'Weekly Log'!$A:$A,"&gt;="&amp;$J460,'Weekly Log'!$A:$A,"&lt;"&amp;$J460+7))</f>
        <v/>
      </c>
      <c r="C460">
        <f>IF($J460="","",IFERROR(COUNTIFS('Weekly Log'!$G:$G,"Y",'Weekly Log'!$A:$A,"&gt;="&amp;$J460,'Weekly Log'!$A:$A,"&lt;"&amp;$J460+7)/COUNTIFS('Weekly Log'!$G:$G,"&lt;&gt;",'Weekly Log'!$A:$A,"&gt;="&amp;$J460,'Weekly Log'!$A:$A,"&lt;"&amp;$J460+7),0))</f>
        <v/>
      </c>
      <c r="D460">
        <f>IF($J460="","",IFERROR(COUNTIFS('Weekly Log'!$H:$H,"Y",'Weekly Log'!$A:$A,"&gt;="&amp;$J460,'Weekly Log'!$A:$A,"&lt;"&amp;$J460+7)/COUNTIFS('Weekly Log'!$H:$H,"&lt;&gt;",'Weekly Log'!$A:$A,"&gt;="&amp;$J460,'Weekly Log'!$A:$A,"&lt;"&amp;$J460+7),0))</f>
        <v/>
      </c>
      <c r="E460">
        <f>IF($J460="","",IFERROR(AVERAGEIFS('Weekly Log'!$F:$F,'Weekly Log'!$A:$A,"&gt;="&amp;$J460,'Weekly Log'!$A:$A,"&lt;"&amp;$J460+7),0))</f>
        <v/>
      </c>
      <c r="F460">
        <f>IF($J460="","",IFERROR(SUMIFS('Weekly Log'!$F:$F,'Weekly Log'!$A:$A,"&gt;="&amp;$J460,'Weekly Log'!$A:$A,"&lt;"&amp;$J460+7)/SUMIFS('Weekly Log'!$E:$E,'Weekly Log'!$A:$A,"&gt;="&amp;$J460,'Weekly Log'!$A:$A,"&lt;"&amp;$J460+7),0))</f>
        <v/>
      </c>
      <c r="G460">
        <f>IF($J460="","",IFERROR(LOOKUP(2,1/(('Weekly Log'!$A$5:$A$5000&gt;=$J460)*('Weekly Log'!$A$5:$A$5000&lt;$J460+7)*('Weekly Log'!$M$5:$M$5000&lt;&gt;"")),'Weekly Log'!$M$5:$M$5000),0))</f>
        <v/>
      </c>
      <c r="J460">
        <f>IF(COUNT('Weekly Log'!$A$5:$A$5000)=0,"",IF(MIN('Weekly Log'!$A$5:$A$5000)+7*(ROW()-10)&gt;MAX('Weekly Log'!$A$5:$A$5000),"",MIN('Weekly Log'!$A$5:$A$5000)+7*(ROW()-10)))</f>
        <v/>
      </c>
    </row>
    <row r="461">
      <c r="A461">
        <f>IF($J461="","",YEAR($J461-WEEKDAY($J461,2)+4)&amp;"-W"&amp;TEXT(WEEKNUM($J461,21),"00"))</f>
        <v/>
      </c>
      <c r="B461">
        <f>IF($J461="","",SUMIFS('Weekly Log'!$C:$C,'Weekly Log'!$A:$A,"&gt;="&amp;$J461,'Weekly Log'!$A:$A,"&lt;"&amp;$J461+7))</f>
        <v/>
      </c>
      <c r="C461">
        <f>IF($J461="","",IFERROR(COUNTIFS('Weekly Log'!$G:$G,"Y",'Weekly Log'!$A:$A,"&gt;="&amp;$J461,'Weekly Log'!$A:$A,"&lt;"&amp;$J461+7)/COUNTIFS('Weekly Log'!$G:$G,"&lt;&gt;",'Weekly Log'!$A:$A,"&gt;="&amp;$J461,'Weekly Log'!$A:$A,"&lt;"&amp;$J461+7),0))</f>
        <v/>
      </c>
      <c r="D461">
        <f>IF($J461="","",IFERROR(COUNTIFS('Weekly Log'!$H:$H,"Y",'Weekly Log'!$A:$A,"&gt;="&amp;$J461,'Weekly Log'!$A:$A,"&lt;"&amp;$J461+7)/COUNTIFS('Weekly Log'!$H:$H,"&lt;&gt;",'Weekly Log'!$A:$A,"&gt;="&amp;$J461,'Weekly Log'!$A:$A,"&lt;"&amp;$J461+7),0))</f>
        <v/>
      </c>
      <c r="E461">
        <f>IF($J461="","",IFERROR(AVERAGEIFS('Weekly Log'!$F:$F,'Weekly Log'!$A:$A,"&gt;="&amp;$J461,'Weekly Log'!$A:$A,"&lt;"&amp;$J461+7),0))</f>
        <v/>
      </c>
      <c r="F461">
        <f>IF($J461="","",IFERROR(SUMIFS('Weekly Log'!$F:$F,'Weekly Log'!$A:$A,"&gt;="&amp;$J461,'Weekly Log'!$A:$A,"&lt;"&amp;$J461+7)/SUMIFS('Weekly Log'!$E:$E,'Weekly Log'!$A:$A,"&gt;="&amp;$J461,'Weekly Log'!$A:$A,"&lt;"&amp;$J461+7),0))</f>
        <v/>
      </c>
      <c r="G461">
        <f>IF($J461="","",IFERROR(LOOKUP(2,1/(('Weekly Log'!$A$5:$A$5000&gt;=$J461)*('Weekly Log'!$A$5:$A$5000&lt;$J461+7)*('Weekly Log'!$M$5:$M$5000&lt;&gt;"")),'Weekly Log'!$M$5:$M$5000),0))</f>
        <v/>
      </c>
      <c r="J461">
        <f>IF(COUNT('Weekly Log'!$A$5:$A$5000)=0,"",IF(MIN('Weekly Log'!$A$5:$A$5000)+7*(ROW()-10)&gt;MAX('Weekly Log'!$A$5:$A$5000),"",MIN('Weekly Log'!$A$5:$A$5000)+7*(ROW()-10)))</f>
        <v/>
      </c>
    </row>
    <row r="462">
      <c r="A462">
        <f>IF($J462="","",YEAR($J462-WEEKDAY($J462,2)+4)&amp;"-W"&amp;TEXT(WEEKNUM($J462,21),"00"))</f>
        <v/>
      </c>
      <c r="B462">
        <f>IF($J462="","",SUMIFS('Weekly Log'!$C:$C,'Weekly Log'!$A:$A,"&gt;="&amp;$J462,'Weekly Log'!$A:$A,"&lt;"&amp;$J462+7))</f>
        <v/>
      </c>
      <c r="C462">
        <f>IF($J462="","",IFERROR(COUNTIFS('Weekly Log'!$G:$G,"Y",'Weekly Log'!$A:$A,"&gt;="&amp;$J462,'Weekly Log'!$A:$A,"&lt;"&amp;$J462+7)/COUNTIFS('Weekly Log'!$G:$G,"&lt;&gt;",'Weekly Log'!$A:$A,"&gt;="&amp;$J462,'Weekly Log'!$A:$A,"&lt;"&amp;$J462+7),0))</f>
        <v/>
      </c>
      <c r="D462">
        <f>IF($J462="","",IFERROR(COUNTIFS('Weekly Log'!$H:$H,"Y",'Weekly Log'!$A:$A,"&gt;="&amp;$J462,'Weekly Log'!$A:$A,"&lt;"&amp;$J462+7)/COUNTIFS('Weekly Log'!$H:$H,"&lt;&gt;",'Weekly Log'!$A:$A,"&gt;="&amp;$J462,'Weekly Log'!$A:$A,"&lt;"&amp;$J462+7),0))</f>
        <v/>
      </c>
      <c r="E462">
        <f>IF($J462="","",IFERROR(AVERAGEIFS('Weekly Log'!$F:$F,'Weekly Log'!$A:$A,"&gt;="&amp;$J462,'Weekly Log'!$A:$A,"&lt;"&amp;$J462+7),0))</f>
        <v/>
      </c>
      <c r="F462">
        <f>IF($J462="","",IFERROR(SUMIFS('Weekly Log'!$F:$F,'Weekly Log'!$A:$A,"&gt;="&amp;$J462,'Weekly Log'!$A:$A,"&lt;"&amp;$J462+7)/SUMIFS('Weekly Log'!$E:$E,'Weekly Log'!$A:$A,"&gt;="&amp;$J462,'Weekly Log'!$A:$A,"&lt;"&amp;$J462+7),0))</f>
        <v/>
      </c>
      <c r="G462">
        <f>IF($J462="","",IFERROR(LOOKUP(2,1/(('Weekly Log'!$A$5:$A$5000&gt;=$J462)*('Weekly Log'!$A$5:$A$5000&lt;$J462+7)*('Weekly Log'!$M$5:$M$5000&lt;&gt;"")),'Weekly Log'!$M$5:$M$5000),0))</f>
        <v/>
      </c>
      <c r="J462">
        <f>IF(COUNT('Weekly Log'!$A$5:$A$5000)=0,"",IF(MIN('Weekly Log'!$A$5:$A$5000)+7*(ROW()-10)&gt;MAX('Weekly Log'!$A$5:$A$5000),"",MIN('Weekly Log'!$A$5:$A$5000)+7*(ROW()-10)))</f>
        <v/>
      </c>
    </row>
    <row r="463">
      <c r="A463">
        <f>IF($J463="","",YEAR($J463-WEEKDAY($J463,2)+4)&amp;"-W"&amp;TEXT(WEEKNUM($J463,21),"00"))</f>
        <v/>
      </c>
      <c r="B463">
        <f>IF($J463="","",SUMIFS('Weekly Log'!$C:$C,'Weekly Log'!$A:$A,"&gt;="&amp;$J463,'Weekly Log'!$A:$A,"&lt;"&amp;$J463+7))</f>
        <v/>
      </c>
      <c r="C463">
        <f>IF($J463="","",IFERROR(COUNTIFS('Weekly Log'!$G:$G,"Y",'Weekly Log'!$A:$A,"&gt;="&amp;$J463,'Weekly Log'!$A:$A,"&lt;"&amp;$J463+7)/COUNTIFS('Weekly Log'!$G:$G,"&lt;&gt;",'Weekly Log'!$A:$A,"&gt;="&amp;$J463,'Weekly Log'!$A:$A,"&lt;"&amp;$J463+7),0))</f>
        <v/>
      </c>
      <c r="D463">
        <f>IF($J463="","",IFERROR(COUNTIFS('Weekly Log'!$H:$H,"Y",'Weekly Log'!$A:$A,"&gt;="&amp;$J463,'Weekly Log'!$A:$A,"&lt;"&amp;$J463+7)/COUNTIFS('Weekly Log'!$H:$H,"&lt;&gt;",'Weekly Log'!$A:$A,"&gt;="&amp;$J463,'Weekly Log'!$A:$A,"&lt;"&amp;$J463+7),0))</f>
        <v/>
      </c>
      <c r="E463">
        <f>IF($J463="","",IFERROR(AVERAGEIFS('Weekly Log'!$F:$F,'Weekly Log'!$A:$A,"&gt;="&amp;$J463,'Weekly Log'!$A:$A,"&lt;"&amp;$J463+7),0))</f>
        <v/>
      </c>
      <c r="F463">
        <f>IF($J463="","",IFERROR(SUMIFS('Weekly Log'!$F:$F,'Weekly Log'!$A:$A,"&gt;="&amp;$J463,'Weekly Log'!$A:$A,"&lt;"&amp;$J463+7)/SUMIFS('Weekly Log'!$E:$E,'Weekly Log'!$A:$A,"&gt;="&amp;$J463,'Weekly Log'!$A:$A,"&lt;"&amp;$J463+7),0))</f>
        <v/>
      </c>
      <c r="G463">
        <f>IF($J463="","",IFERROR(LOOKUP(2,1/(('Weekly Log'!$A$5:$A$5000&gt;=$J463)*('Weekly Log'!$A$5:$A$5000&lt;$J463+7)*('Weekly Log'!$M$5:$M$5000&lt;&gt;"")),'Weekly Log'!$M$5:$M$5000),0))</f>
        <v/>
      </c>
      <c r="J463">
        <f>IF(COUNT('Weekly Log'!$A$5:$A$5000)=0,"",IF(MIN('Weekly Log'!$A$5:$A$5000)+7*(ROW()-10)&gt;MAX('Weekly Log'!$A$5:$A$5000),"",MIN('Weekly Log'!$A$5:$A$5000)+7*(ROW()-10)))</f>
        <v/>
      </c>
    </row>
    <row r="464">
      <c r="A464">
        <f>IF($J464="","",YEAR($J464-WEEKDAY($J464,2)+4)&amp;"-W"&amp;TEXT(WEEKNUM($J464,21),"00"))</f>
        <v/>
      </c>
      <c r="B464">
        <f>IF($J464="","",SUMIFS('Weekly Log'!$C:$C,'Weekly Log'!$A:$A,"&gt;="&amp;$J464,'Weekly Log'!$A:$A,"&lt;"&amp;$J464+7))</f>
        <v/>
      </c>
      <c r="C464">
        <f>IF($J464="","",IFERROR(COUNTIFS('Weekly Log'!$G:$G,"Y",'Weekly Log'!$A:$A,"&gt;="&amp;$J464,'Weekly Log'!$A:$A,"&lt;"&amp;$J464+7)/COUNTIFS('Weekly Log'!$G:$G,"&lt;&gt;",'Weekly Log'!$A:$A,"&gt;="&amp;$J464,'Weekly Log'!$A:$A,"&lt;"&amp;$J464+7),0))</f>
        <v/>
      </c>
      <c r="D464">
        <f>IF($J464="","",IFERROR(COUNTIFS('Weekly Log'!$H:$H,"Y",'Weekly Log'!$A:$A,"&gt;="&amp;$J464,'Weekly Log'!$A:$A,"&lt;"&amp;$J464+7)/COUNTIFS('Weekly Log'!$H:$H,"&lt;&gt;",'Weekly Log'!$A:$A,"&gt;="&amp;$J464,'Weekly Log'!$A:$A,"&lt;"&amp;$J464+7),0))</f>
        <v/>
      </c>
      <c r="E464">
        <f>IF($J464="","",IFERROR(AVERAGEIFS('Weekly Log'!$F:$F,'Weekly Log'!$A:$A,"&gt;="&amp;$J464,'Weekly Log'!$A:$A,"&lt;"&amp;$J464+7),0))</f>
        <v/>
      </c>
      <c r="F464">
        <f>IF($J464="","",IFERROR(SUMIFS('Weekly Log'!$F:$F,'Weekly Log'!$A:$A,"&gt;="&amp;$J464,'Weekly Log'!$A:$A,"&lt;"&amp;$J464+7)/SUMIFS('Weekly Log'!$E:$E,'Weekly Log'!$A:$A,"&gt;="&amp;$J464,'Weekly Log'!$A:$A,"&lt;"&amp;$J464+7),0))</f>
        <v/>
      </c>
      <c r="G464">
        <f>IF($J464="","",IFERROR(LOOKUP(2,1/(('Weekly Log'!$A$5:$A$5000&gt;=$J464)*('Weekly Log'!$A$5:$A$5000&lt;$J464+7)*('Weekly Log'!$M$5:$M$5000&lt;&gt;"")),'Weekly Log'!$M$5:$M$5000),0))</f>
        <v/>
      </c>
      <c r="J464">
        <f>IF(COUNT('Weekly Log'!$A$5:$A$5000)=0,"",IF(MIN('Weekly Log'!$A$5:$A$5000)+7*(ROW()-10)&gt;MAX('Weekly Log'!$A$5:$A$5000),"",MIN('Weekly Log'!$A$5:$A$5000)+7*(ROW()-10)))</f>
        <v/>
      </c>
    </row>
    <row r="465">
      <c r="A465">
        <f>IF($J465="","",YEAR($J465-WEEKDAY($J465,2)+4)&amp;"-W"&amp;TEXT(WEEKNUM($J465,21),"00"))</f>
        <v/>
      </c>
      <c r="B465">
        <f>IF($J465="","",SUMIFS('Weekly Log'!$C:$C,'Weekly Log'!$A:$A,"&gt;="&amp;$J465,'Weekly Log'!$A:$A,"&lt;"&amp;$J465+7))</f>
        <v/>
      </c>
      <c r="C465">
        <f>IF($J465="","",IFERROR(COUNTIFS('Weekly Log'!$G:$G,"Y",'Weekly Log'!$A:$A,"&gt;="&amp;$J465,'Weekly Log'!$A:$A,"&lt;"&amp;$J465+7)/COUNTIFS('Weekly Log'!$G:$G,"&lt;&gt;",'Weekly Log'!$A:$A,"&gt;="&amp;$J465,'Weekly Log'!$A:$A,"&lt;"&amp;$J465+7),0))</f>
        <v/>
      </c>
      <c r="D465">
        <f>IF($J465="","",IFERROR(COUNTIFS('Weekly Log'!$H:$H,"Y",'Weekly Log'!$A:$A,"&gt;="&amp;$J465,'Weekly Log'!$A:$A,"&lt;"&amp;$J465+7)/COUNTIFS('Weekly Log'!$H:$H,"&lt;&gt;",'Weekly Log'!$A:$A,"&gt;="&amp;$J465,'Weekly Log'!$A:$A,"&lt;"&amp;$J465+7),0))</f>
        <v/>
      </c>
      <c r="E465">
        <f>IF($J465="","",IFERROR(AVERAGEIFS('Weekly Log'!$F:$F,'Weekly Log'!$A:$A,"&gt;="&amp;$J465,'Weekly Log'!$A:$A,"&lt;"&amp;$J465+7),0))</f>
        <v/>
      </c>
      <c r="F465">
        <f>IF($J465="","",IFERROR(SUMIFS('Weekly Log'!$F:$F,'Weekly Log'!$A:$A,"&gt;="&amp;$J465,'Weekly Log'!$A:$A,"&lt;"&amp;$J465+7)/SUMIFS('Weekly Log'!$E:$E,'Weekly Log'!$A:$A,"&gt;="&amp;$J465,'Weekly Log'!$A:$A,"&lt;"&amp;$J465+7),0))</f>
        <v/>
      </c>
      <c r="G465">
        <f>IF($J465="","",IFERROR(LOOKUP(2,1/(('Weekly Log'!$A$5:$A$5000&gt;=$J465)*('Weekly Log'!$A$5:$A$5000&lt;$J465+7)*('Weekly Log'!$M$5:$M$5000&lt;&gt;"")),'Weekly Log'!$M$5:$M$5000),0))</f>
        <v/>
      </c>
      <c r="J465">
        <f>IF(COUNT('Weekly Log'!$A$5:$A$5000)=0,"",IF(MIN('Weekly Log'!$A$5:$A$5000)+7*(ROW()-10)&gt;MAX('Weekly Log'!$A$5:$A$5000),"",MIN('Weekly Log'!$A$5:$A$5000)+7*(ROW()-10)))</f>
        <v/>
      </c>
    </row>
    <row r="466">
      <c r="A466">
        <f>IF($J466="","",YEAR($J466-WEEKDAY($J466,2)+4)&amp;"-W"&amp;TEXT(WEEKNUM($J466,21),"00"))</f>
        <v/>
      </c>
      <c r="B466">
        <f>IF($J466="","",SUMIFS('Weekly Log'!$C:$C,'Weekly Log'!$A:$A,"&gt;="&amp;$J466,'Weekly Log'!$A:$A,"&lt;"&amp;$J466+7))</f>
        <v/>
      </c>
      <c r="C466">
        <f>IF($J466="","",IFERROR(COUNTIFS('Weekly Log'!$G:$G,"Y",'Weekly Log'!$A:$A,"&gt;="&amp;$J466,'Weekly Log'!$A:$A,"&lt;"&amp;$J466+7)/COUNTIFS('Weekly Log'!$G:$G,"&lt;&gt;",'Weekly Log'!$A:$A,"&gt;="&amp;$J466,'Weekly Log'!$A:$A,"&lt;"&amp;$J466+7),0))</f>
        <v/>
      </c>
      <c r="D466">
        <f>IF($J466="","",IFERROR(COUNTIFS('Weekly Log'!$H:$H,"Y",'Weekly Log'!$A:$A,"&gt;="&amp;$J466,'Weekly Log'!$A:$A,"&lt;"&amp;$J466+7)/COUNTIFS('Weekly Log'!$H:$H,"&lt;&gt;",'Weekly Log'!$A:$A,"&gt;="&amp;$J466,'Weekly Log'!$A:$A,"&lt;"&amp;$J466+7),0))</f>
        <v/>
      </c>
      <c r="E466">
        <f>IF($J466="","",IFERROR(AVERAGEIFS('Weekly Log'!$F:$F,'Weekly Log'!$A:$A,"&gt;="&amp;$J466,'Weekly Log'!$A:$A,"&lt;"&amp;$J466+7),0))</f>
        <v/>
      </c>
      <c r="F466">
        <f>IF($J466="","",IFERROR(SUMIFS('Weekly Log'!$F:$F,'Weekly Log'!$A:$A,"&gt;="&amp;$J466,'Weekly Log'!$A:$A,"&lt;"&amp;$J466+7)/SUMIFS('Weekly Log'!$E:$E,'Weekly Log'!$A:$A,"&gt;="&amp;$J466,'Weekly Log'!$A:$A,"&lt;"&amp;$J466+7),0))</f>
        <v/>
      </c>
      <c r="G466">
        <f>IF($J466="","",IFERROR(LOOKUP(2,1/(('Weekly Log'!$A$5:$A$5000&gt;=$J466)*('Weekly Log'!$A$5:$A$5000&lt;$J466+7)*('Weekly Log'!$M$5:$M$5000&lt;&gt;"")),'Weekly Log'!$M$5:$M$5000),0))</f>
        <v/>
      </c>
      <c r="J466">
        <f>IF(COUNT('Weekly Log'!$A$5:$A$5000)=0,"",IF(MIN('Weekly Log'!$A$5:$A$5000)+7*(ROW()-10)&gt;MAX('Weekly Log'!$A$5:$A$5000),"",MIN('Weekly Log'!$A$5:$A$5000)+7*(ROW()-10)))</f>
        <v/>
      </c>
    </row>
    <row r="467">
      <c r="A467">
        <f>IF($J467="","",YEAR($J467-WEEKDAY($J467,2)+4)&amp;"-W"&amp;TEXT(WEEKNUM($J467,21),"00"))</f>
        <v/>
      </c>
      <c r="B467">
        <f>IF($J467="","",SUMIFS('Weekly Log'!$C:$C,'Weekly Log'!$A:$A,"&gt;="&amp;$J467,'Weekly Log'!$A:$A,"&lt;"&amp;$J467+7))</f>
        <v/>
      </c>
      <c r="C467">
        <f>IF($J467="","",IFERROR(COUNTIFS('Weekly Log'!$G:$G,"Y",'Weekly Log'!$A:$A,"&gt;="&amp;$J467,'Weekly Log'!$A:$A,"&lt;"&amp;$J467+7)/COUNTIFS('Weekly Log'!$G:$G,"&lt;&gt;",'Weekly Log'!$A:$A,"&gt;="&amp;$J467,'Weekly Log'!$A:$A,"&lt;"&amp;$J467+7),0))</f>
        <v/>
      </c>
      <c r="D467">
        <f>IF($J467="","",IFERROR(COUNTIFS('Weekly Log'!$H:$H,"Y",'Weekly Log'!$A:$A,"&gt;="&amp;$J467,'Weekly Log'!$A:$A,"&lt;"&amp;$J467+7)/COUNTIFS('Weekly Log'!$H:$H,"&lt;&gt;",'Weekly Log'!$A:$A,"&gt;="&amp;$J467,'Weekly Log'!$A:$A,"&lt;"&amp;$J467+7),0))</f>
        <v/>
      </c>
      <c r="E467">
        <f>IF($J467="","",IFERROR(AVERAGEIFS('Weekly Log'!$F:$F,'Weekly Log'!$A:$A,"&gt;="&amp;$J467,'Weekly Log'!$A:$A,"&lt;"&amp;$J467+7),0))</f>
        <v/>
      </c>
      <c r="F467">
        <f>IF($J467="","",IFERROR(SUMIFS('Weekly Log'!$F:$F,'Weekly Log'!$A:$A,"&gt;="&amp;$J467,'Weekly Log'!$A:$A,"&lt;"&amp;$J467+7)/SUMIFS('Weekly Log'!$E:$E,'Weekly Log'!$A:$A,"&gt;="&amp;$J467,'Weekly Log'!$A:$A,"&lt;"&amp;$J467+7),0))</f>
        <v/>
      </c>
      <c r="G467">
        <f>IF($J467="","",IFERROR(LOOKUP(2,1/(('Weekly Log'!$A$5:$A$5000&gt;=$J467)*('Weekly Log'!$A$5:$A$5000&lt;$J467+7)*('Weekly Log'!$M$5:$M$5000&lt;&gt;"")),'Weekly Log'!$M$5:$M$5000),0))</f>
        <v/>
      </c>
      <c r="J467">
        <f>IF(COUNT('Weekly Log'!$A$5:$A$5000)=0,"",IF(MIN('Weekly Log'!$A$5:$A$5000)+7*(ROW()-10)&gt;MAX('Weekly Log'!$A$5:$A$5000),"",MIN('Weekly Log'!$A$5:$A$5000)+7*(ROW()-10)))</f>
        <v/>
      </c>
    </row>
    <row r="468">
      <c r="A468">
        <f>IF($J468="","",YEAR($J468-WEEKDAY($J468,2)+4)&amp;"-W"&amp;TEXT(WEEKNUM($J468,21),"00"))</f>
        <v/>
      </c>
      <c r="B468">
        <f>IF($J468="","",SUMIFS('Weekly Log'!$C:$C,'Weekly Log'!$A:$A,"&gt;="&amp;$J468,'Weekly Log'!$A:$A,"&lt;"&amp;$J468+7))</f>
        <v/>
      </c>
      <c r="C468">
        <f>IF($J468="","",IFERROR(COUNTIFS('Weekly Log'!$G:$G,"Y",'Weekly Log'!$A:$A,"&gt;="&amp;$J468,'Weekly Log'!$A:$A,"&lt;"&amp;$J468+7)/COUNTIFS('Weekly Log'!$G:$G,"&lt;&gt;",'Weekly Log'!$A:$A,"&gt;="&amp;$J468,'Weekly Log'!$A:$A,"&lt;"&amp;$J468+7),0))</f>
        <v/>
      </c>
      <c r="D468">
        <f>IF($J468="","",IFERROR(COUNTIFS('Weekly Log'!$H:$H,"Y",'Weekly Log'!$A:$A,"&gt;="&amp;$J468,'Weekly Log'!$A:$A,"&lt;"&amp;$J468+7)/COUNTIFS('Weekly Log'!$H:$H,"&lt;&gt;",'Weekly Log'!$A:$A,"&gt;="&amp;$J468,'Weekly Log'!$A:$A,"&lt;"&amp;$J468+7),0))</f>
        <v/>
      </c>
      <c r="E468">
        <f>IF($J468="","",IFERROR(AVERAGEIFS('Weekly Log'!$F:$F,'Weekly Log'!$A:$A,"&gt;="&amp;$J468,'Weekly Log'!$A:$A,"&lt;"&amp;$J468+7),0))</f>
        <v/>
      </c>
      <c r="F468">
        <f>IF($J468="","",IFERROR(SUMIFS('Weekly Log'!$F:$F,'Weekly Log'!$A:$A,"&gt;="&amp;$J468,'Weekly Log'!$A:$A,"&lt;"&amp;$J468+7)/SUMIFS('Weekly Log'!$E:$E,'Weekly Log'!$A:$A,"&gt;="&amp;$J468,'Weekly Log'!$A:$A,"&lt;"&amp;$J468+7),0))</f>
        <v/>
      </c>
      <c r="G468">
        <f>IF($J468="","",IFERROR(LOOKUP(2,1/(('Weekly Log'!$A$5:$A$5000&gt;=$J468)*('Weekly Log'!$A$5:$A$5000&lt;$J468+7)*('Weekly Log'!$M$5:$M$5000&lt;&gt;"")),'Weekly Log'!$M$5:$M$5000),0))</f>
        <v/>
      </c>
      <c r="J468">
        <f>IF(COUNT('Weekly Log'!$A$5:$A$5000)=0,"",IF(MIN('Weekly Log'!$A$5:$A$5000)+7*(ROW()-10)&gt;MAX('Weekly Log'!$A$5:$A$5000),"",MIN('Weekly Log'!$A$5:$A$5000)+7*(ROW()-10)))</f>
        <v/>
      </c>
    </row>
    <row r="469">
      <c r="A469">
        <f>IF($J469="","",YEAR($J469-WEEKDAY($J469,2)+4)&amp;"-W"&amp;TEXT(WEEKNUM($J469,21),"00"))</f>
        <v/>
      </c>
      <c r="B469">
        <f>IF($J469="","",SUMIFS('Weekly Log'!$C:$C,'Weekly Log'!$A:$A,"&gt;="&amp;$J469,'Weekly Log'!$A:$A,"&lt;"&amp;$J469+7))</f>
        <v/>
      </c>
      <c r="C469">
        <f>IF($J469="","",IFERROR(COUNTIFS('Weekly Log'!$G:$G,"Y",'Weekly Log'!$A:$A,"&gt;="&amp;$J469,'Weekly Log'!$A:$A,"&lt;"&amp;$J469+7)/COUNTIFS('Weekly Log'!$G:$G,"&lt;&gt;",'Weekly Log'!$A:$A,"&gt;="&amp;$J469,'Weekly Log'!$A:$A,"&lt;"&amp;$J469+7),0))</f>
        <v/>
      </c>
      <c r="D469">
        <f>IF($J469="","",IFERROR(COUNTIFS('Weekly Log'!$H:$H,"Y",'Weekly Log'!$A:$A,"&gt;="&amp;$J469,'Weekly Log'!$A:$A,"&lt;"&amp;$J469+7)/COUNTIFS('Weekly Log'!$H:$H,"&lt;&gt;",'Weekly Log'!$A:$A,"&gt;="&amp;$J469,'Weekly Log'!$A:$A,"&lt;"&amp;$J469+7),0))</f>
        <v/>
      </c>
      <c r="E469">
        <f>IF($J469="","",IFERROR(AVERAGEIFS('Weekly Log'!$F:$F,'Weekly Log'!$A:$A,"&gt;="&amp;$J469,'Weekly Log'!$A:$A,"&lt;"&amp;$J469+7),0))</f>
        <v/>
      </c>
      <c r="F469">
        <f>IF($J469="","",IFERROR(SUMIFS('Weekly Log'!$F:$F,'Weekly Log'!$A:$A,"&gt;="&amp;$J469,'Weekly Log'!$A:$A,"&lt;"&amp;$J469+7)/SUMIFS('Weekly Log'!$E:$E,'Weekly Log'!$A:$A,"&gt;="&amp;$J469,'Weekly Log'!$A:$A,"&lt;"&amp;$J469+7),0))</f>
        <v/>
      </c>
      <c r="G469">
        <f>IF($J469="","",IFERROR(LOOKUP(2,1/(('Weekly Log'!$A$5:$A$5000&gt;=$J469)*('Weekly Log'!$A$5:$A$5000&lt;$J469+7)*('Weekly Log'!$M$5:$M$5000&lt;&gt;"")),'Weekly Log'!$M$5:$M$5000),0))</f>
        <v/>
      </c>
      <c r="J469">
        <f>IF(COUNT('Weekly Log'!$A$5:$A$5000)=0,"",IF(MIN('Weekly Log'!$A$5:$A$5000)+7*(ROW()-10)&gt;MAX('Weekly Log'!$A$5:$A$5000),"",MIN('Weekly Log'!$A$5:$A$5000)+7*(ROW()-10)))</f>
        <v/>
      </c>
    </row>
    <row r="470">
      <c r="A470">
        <f>IF($J470="","",YEAR($J470-WEEKDAY($J470,2)+4)&amp;"-W"&amp;TEXT(WEEKNUM($J470,21),"00"))</f>
        <v/>
      </c>
      <c r="B470">
        <f>IF($J470="","",SUMIFS('Weekly Log'!$C:$C,'Weekly Log'!$A:$A,"&gt;="&amp;$J470,'Weekly Log'!$A:$A,"&lt;"&amp;$J470+7))</f>
        <v/>
      </c>
      <c r="C470">
        <f>IF($J470="","",IFERROR(COUNTIFS('Weekly Log'!$G:$G,"Y",'Weekly Log'!$A:$A,"&gt;="&amp;$J470,'Weekly Log'!$A:$A,"&lt;"&amp;$J470+7)/COUNTIFS('Weekly Log'!$G:$G,"&lt;&gt;",'Weekly Log'!$A:$A,"&gt;="&amp;$J470,'Weekly Log'!$A:$A,"&lt;"&amp;$J470+7),0))</f>
        <v/>
      </c>
      <c r="D470">
        <f>IF($J470="","",IFERROR(COUNTIFS('Weekly Log'!$H:$H,"Y",'Weekly Log'!$A:$A,"&gt;="&amp;$J470,'Weekly Log'!$A:$A,"&lt;"&amp;$J470+7)/COUNTIFS('Weekly Log'!$H:$H,"&lt;&gt;",'Weekly Log'!$A:$A,"&gt;="&amp;$J470,'Weekly Log'!$A:$A,"&lt;"&amp;$J470+7),0))</f>
        <v/>
      </c>
      <c r="E470">
        <f>IF($J470="","",IFERROR(AVERAGEIFS('Weekly Log'!$F:$F,'Weekly Log'!$A:$A,"&gt;="&amp;$J470,'Weekly Log'!$A:$A,"&lt;"&amp;$J470+7),0))</f>
        <v/>
      </c>
      <c r="F470">
        <f>IF($J470="","",IFERROR(SUMIFS('Weekly Log'!$F:$F,'Weekly Log'!$A:$A,"&gt;="&amp;$J470,'Weekly Log'!$A:$A,"&lt;"&amp;$J470+7)/SUMIFS('Weekly Log'!$E:$E,'Weekly Log'!$A:$A,"&gt;="&amp;$J470,'Weekly Log'!$A:$A,"&lt;"&amp;$J470+7),0))</f>
        <v/>
      </c>
      <c r="G470">
        <f>IF($J470="","",IFERROR(LOOKUP(2,1/(('Weekly Log'!$A$5:$A$5000&gt;=$J470)*('Weekly Log'!$A$5:$A$5000&lt;$J470+7)*('Weekly Log'!$M$5:$M$5000&lt;&gt;"")),'Weekly Log'!$M$5:$M$5000),0))</f>
        <v/>
      </c>
      <c r="J470">
        <f>IF(COUNT('Weekly Log'!$A$5:$A$5000)=0,"",IF(MIN('Weekly Log'!$A$5:$A$5000)+7*(ROW()-10)&gt;MAX('Weekly Log'!$A$5:$A$5000),"",MIN('Weekly Log'!$A$5:$A$5000)+7*(ROW()-10)))</f>
        <v/>
      </c>
    </row>
    <row r="471">
      <c r="A471">
        <f>IF($J471="","",YEAR($J471-WEEKDAY($J471,2)+4)&amp;"-W"&amp;TEXT(WEEKNUM($J471,21),"00"))</f>
        <v/>
      </c>
      <c r="B471">
        <f>IF($J471="","",SUMIFS('Weekly Log'!$C:$C,'Weekly Log'!$A:$A,"&gt;="&amp;$J471,'Weekly Log'!$A:$A,"&lt;"&amp;$J471+7))</f>
        <v/>
      </c>
      <c r="C471">
        <f>IF($J471="","",IFERROR(COUNTIFS('Weekly Log'!$G:$G,"Y",'Weekly Log'!$A:$A,"&gt;="&amp;$J471,'Weekly Log'!$A:$A,"&lt;"&amp;$J471+7)/COUNTIFS('Weekly Log'!$G:$G,"&lt;&gt;",'Weekly Log'!$A:$A,"&gt;="&amp;$J471,'Weekly Log'!$A:$A,"&lt;"&amp;$J471+7),0))</f>
        <v/>
      </c>
      <c r="D471">
        <f>IF($J471="","",IFERROR(COUNTIFS('Weekly Log'!$H:$H,"Y",'Weekly Log'!$A:$A,"&gt;="&amp;$J471,'Weekly Log'!$A:$A,"&lt;"&amp;$J471+7)/COUNTIFS('Weekly Log'!$H:$H,"&lt;&gt;",'Weekly Log'!$A:$A,"&gt;="&amp;$J471,'Weekly Log'!$A:$A,"&lt;"&amp;$J471+7),0))</f>
        <v/>
      </c>
      <c r="E471">
        <f>IF($J471="","",IFERROR(AVERAGEIFS('Weekly Log'!$F:$F,'Weekly Log'!$A:$A,"&gt;="&amp;$J471,'Weekly Log'!$A:$A,"&lt;"&amp;$J471+7),0))</f>
        <v/>
      </c>
      <c r="F471">
        <f>IF($J471="","",IFERROR(SUMIFS('Weekly Log'!$F:$F,'Weekly Log'!$A:$A,"&gt;="&amp;$J471,'Weekly Log'!$A:$A,"&lt;"&amp;$J471+7)/SUMIFS('Weekly Log'!$E:$E,'Weekly Log'!$A:$A,"&gt;="&amp;$J471,'Weekly Log'!$A:$A,"&lt;"&amp;$J471+7),0))</f>
        <v/>
      </c>
      <c r="G471">
        <f>IF($J471="","",IFERROR(LOOKUP(2,1/(('Weekly Log'!$A$5:$A$5000&gt;=$J471)*('Weekly Log'!$A$5:$A$5000&lt;$J471+7)*('Weekly Log'!$M$5:$M$5000&lt;&gt;"")),'Weekly Log'!$M$5:$M$5000),0))</f>
        <v/>
      </c>
      <c r="J471">
        <f>IF(COUNT('Weekly Log'!$A$5:$A$5000)=0,"",IF(MIN('Weekly Log'!$A$5:$A$5000)+7*(ROW()-10)&gt;MAX('Weekly Log'!$A$5:$A$5000),"",MIN('Weekly Log'!$A$5:$A$5000)+7*(ROW()-10)))</f>
        <v/>
      </c>
    </row>
    <row r="472">
      <c r="A472">
        <f>IF($J472="","",YEAR($J472-WEEKDAY($J472,2)+4)&amp;"-W"&amp;TEXT(WEEKNUM($J472,21),"00"))</f>
        <v/>
      </c>
      <c r="B472">
        <f>IF($J472="","",SUMIFS('Weekly Log'!$C:$C,'Weekly Log'!$A:$A,"&gt;="&amp;$J472,'Weekly Log'!$A:$A,"&lt;"&amp;$J472+7))</f>
        <v/>
      </c>
      <c r="C472">
        <f>IF($J472="","",IFERROR(COUNTIFS('Weekly Log'!$G:$G,"Y",'Weekly Log'!$A:$A,"&gt;="&amp;$J472,'Weekly Log'!$A:$A,"&lt;"&amp;$J472+7)/COUNTIFS('Weekly Log'!$G:$G,"&lt;&gt;",'Weekly Log'!$A:$A,"&gt;="&amp;$J472,'Weekly Log'!$A:$A,"&lt;"&amp;$J472+7),0))</f>
        <v/>
      </c>
      <c r="D472">
        <f>IF($J472="","",IFERROR(COUNTIFS('Weekly Log'!$H:$H,"Y",'Weekly Log'!$A:$A,"&gt;="&amp;$J472,'Weekly Log'!$A:$A,"&lt;"&amp;$J472+7)/COUNTIFS('Weekly Log'!$H:$H,"&lt;&gt;",'Weekly Log'!$A:$A,"&gt;="&amp;$J472,'Weekly Log'!$A:$A,"&lt;"&amp;$J472+7),0))</f>
        <v/>
      </c>
      <c r="E472">
        <f>IF($J472="","",IFERROR(AVERAGEIFS('Weekly Log'!$F:$F,'Weekly Log'!$A:$A,"&gt;="&amp;$J472,'Weekly Log'!$A:$A,"&lt;"&amp;$J472+7),0))</f>
        <v/>
      </c>
      <c r="F472">
        <f>IF($J472="","",IFERROR(SUMIFS('Weekly Log'!$F:$F,'Weekly Log'!$A:$A,"&gt;="&amp;$J472,'Weekly Log'!$A:$A,"&lt;"&amp;$J472+7)/SUMIFS('Weekly Log'!$E:$E,'Weekly Log'!$A:$A,"&gt;="&amp;$J472,'Weekly Log'!$A:$A,"&lt;"&amp;$J472+7),0))</f>
        <v/>
      </c>
      <c r="G472">
        <f>IF($J472="","",IFERROR(LOOKUP(2,1/(('Weekly Log'!$A$5:$A$5000&gt;=$J472)*('Weekly Log'!$A$5:$A$5000&lt;$J472+7)*('Weekly Log'!$M$5:$M$5000&lt;&gt;"")),'Weekly Log'!$M$5:$M$5000),0))</f>
        <v/>
      </c>
      <c r="J472">
        <f>IF(COUNT('Weekly Log'!$A$5:$A$5000)=0,"",IF(MIN('Weekly Log'!$A$5:$A$5000)+7*(ROW()-10)&gt;MAX('Weekly Log'!$A$5:$A$5000),"",MIN('Weekly Log'!$A$5:$A$5000)+7*(ROW()-10)))</f>
        <v/>
      </c>
    </row>
    <row r="473">
      <c r="A473">
        <f>IF($J473="","",YEAR($J473-WEEKDAY($J473,2)+4)&amp;"-W"&amp;TEXT(WEEKNUM($J473,21),"00"))</f>
        <v/>
      </c>
      <c r="B473">
        <f>IF($J473="","",SUMIFS('Weekly Log'!$C:$C,'Weekly Log'!$A:$A,"&gt;="&amp;$J473,'Weekly Log'!$A:$A,"&lt;"&amp;$J473+7))</f>
        <v/>
      </c>
      <c r="C473">
        <f>IF($J473="","",IFERROR(COUNTIFS('Weekly Log'!$G:$G,"Y",'Weekly Log'!$A:$A,"&gt;="&amp;$J473,'Weekly Log'!$A:$A,"&lt;"&amp;$J473+7)/COUNTIFS('Weekly Log'!$G:$G,"&lt;&gt;",'Weekly Log'!$A:$A,"&gt;="&amp;$J473,'Weekly Log'!$A:$A,"&lt;"&amp;$J473+7),0))</f>
        <v/>
      </c>
      <c r="D473">
        <f>IF($J473="","",IFERROR(COUNTIFS('Weekly Log'!$H:$H,"Y",'Weekly Log'!$A:$A,"&gt;="&amp;$J473,'Weekly Log'!$A:$A,"&lt;"&amp;$J473+7)/COUNTIFS('Weekly Log'!$H:$H,"&lt;&gt;",'Weekly Log'!$A:$A,"&gt;="&amp;$J473,'Weekly Log'!$A:$A,"&lt;"&amp;$J473+7),0))</f>
        <v/>
      </c>
      <c r="E473">
        <f>IF($J473="","",IFERROR(AVERAGEIFS('Weekly Log'!$F:$F,'Weekly Log'!$A:$A,"&gt;="&amp;$J473,'Weekly Log'!$A:$A,"&lt;"&amp;$J473+7),0))</f>
        <v/>
      </c>
      <c r="F473">
        <f>IF($J473="","",IFERROR(SUMIFS('Weekly Log'!$F:$F,'Weekly Log'!$A:$A,"&gt;="&amp;$J473,'Weekly Log'!$A:$A,"&lt;"&amp;$J473+7)/SUMIFS('Weekly Log'!$E:$E,'Weekly Log'!$A:$A,"&gt;="&amp;$J473,'Weekly Log'!$A:$A,"&lt;"&amp;$J473+7),0))</f>
        <v/>
      </c>
      <c r="G473">
        <f>IF($J473="","",IFERROR(LOOKUP(2,1/(('Weekly Log'!$A$5:$A$5000&gt;=$J473)*('Weekly Log'!$A$5:$A$5000&lt;$J473+7)*('Weekly Log'!$M$5:$M$5000&lt;&gt;"")),'Weekly Log'!$M$5:$M$5000),0))</f>
        <v/>
      </c>
      <c r="J473">
        <f>IF(COUNT('Weekly Log'!$A$5:$A$5000)=0,"",IF(MIN('Weekly Log'!$A$5:$A$5000)+7*(ROW()-10)&gt;MAX('Weekly Log'!$A$5:$A$5000),"",MIN('Weekly Log'!$A$5:$A$5000)+7*(ROW()-10)))</f>
        <v/>
      </c>
    </row>
    <row r="474">
      <c r="A474">
        <f>IF($J474="","",YEAR($J474-WEEKDAY($J474,2)+4)&amp;"-W"&amp;TEXT(WEEKNUM($J474,21),"00"))</f>
        <v/>
      </c>
      <c r="B474">
        <f>IF($J474="","",SUMIFS('Weekly Log'!$C:$C,'Weekly Log'!$A:$A,"&gt;="&amp;$J474,'Weekly Log'!$A:$A,"&lt;"&amp;$J474+7))</f>
        <v/>
      </c>
      <c r="C474">
        <f>IF($J474="","",IFERROR(COUNTIFS('Weekly Log'!$G:$G,"Y",'Weekly Log'!$A:$A,"&gt;="&amp;$J474,'Weekly Log'!$A:$A,"&lt;"&amp;$J474+7)/COUNTIFS('Weekly Log'!$G:$G,"&lt;&gt;",'Weekly Log'!$A:$A,"&gt;="&amp;$J474,'Weekly Log'!$A:$A,"&lt;"&amp;$J474+7),0))</f>
        <v/>
      </c>
      <c r="D474">
        <f>IF($J474="","",IFERROR(COUNTIFS('Weekly Log'!$H:$H,"Y",'Weekly Log'!$A:$A,"&gt;="&amp;$J474,'Weekly Log'!$A:$A,"&lt;"&amp;$J474+7)/COUNTIFS('Weekly Log'!$H:$H,"&lt;&gt;",'Weekly Log'!$A:$A,"&gt;="&amp;$J474,'Weekly Log'!$A:$A,"&lt;"&amp;$J474+7),0))</f>
        <v/>
      </c>
      <c r="E474">
        <f>IF($J474="","",IFERROR(AVERAGEIFS('Weekly Log'!$F:$F,'Weekly Log'!$A:$A,"&gt;="&amp;$J474,'Weekly Log'!$A:$A,"&lt;"&amp;$J474+7),0))</f>
        <v/>
      </c>
      <c r="F474">
        <f>IF($J474="","",IFERROR(SUMIFS('Weekly Log'!$F:$F,'Weekly Log'!$A:$A,"&gt;="&amp;$J474,'Weekly Log'!$A:$A,"&lt;"&amp;$J474+7)/SUMIFS('Weekly Log'!$E:$E,'Weekly Log'!$A:$A,"&gt;="&amp;$J474,'Weekly Log'!$A:$A,"&lt;"&amp;$J474+7),0))</f>
        <v/>
      </c>
      <c r="G474">
        <f>IF($J474="","",IFERROR(LOOKUP(2,1/(('Weekly Log'!$A$5:$A$5000&gt;=$J474)*('Weekly Log'!$A$5:$A$5000&lt;$J474+7)*('Weekly Log'!$M$5:$M$5000&lt;&gt;"")),'Weekly Log'!$M$5:$M$5000),0))</f>
        <v/>
      </c>
      <c r="J474">
        <f>IF(COUNT('Weekly Log'!$A$5:$A$5000)=0,"",IF(MIN('Weekly Log'!$A$5:$A$5000)+7*(ROW()-10)&gt;MAX('Weekly Log'!$A$5:$A$5000),"",MIN('Weekly Log'!$A$5:$A$5000)+7*(ROW()-10)))</f>
        <v/>
      </c>
    </row>
    <row r="475">
      <c r="A475">
        <f>IF($J475="","",YEAR($J475-WEEKDAY($J475,2)+4)&amp;"-W"&amp;TEXT(WEEKNUM($J475,21),"00"))</f>
        <v/>
      </c>
      <c r="B475">
        <f>IF($J475="","",SUMIFS('Weekly Log'!$C:$C,'Weekly Log'!$A:$A,"&gt;="&amp;$J475,'Weekly Log'!$A:$A,"&lt;"&amp;$J475+7))</f>
        <v/>
      </c>
      <c r="C475">
        <f>IF($J475="","",IFERROR(COUNTIFS('Weekly Log'!$G:$G,"Y",'Weekly Log'!$A:$A,"&gt;="&amp;$J475,'Weekly Log'!$A:$A,"&lt;"&amp;$J475+7)/COUNTIFS('Weekly Log'!$G:$G,"&lt;&gt;",'Weekly Log'!$A:$A,"&gt;="&amp;$J475,'Weekly Log'!$A:$A,"&lt;"&amp;$J475+7),0))</f>
        <v/>
      </c>
      <c r="D475">
        <f>IF($J475="","",IFERROR(COUNTIFS('Weekly Log'!$H:$H,"Y",'Weekly Log'!$A:$A,"&gt;="&amp;$J475,'Weekly Log'!$A:$A,"&lt;"&amp;$J475+7)/COUNTIFS('Weekly Log'!$H:$H,"&lt;&gt;",'Weekly Log'!$A:$A,"&gt;="&amp;$J475,'Weekly Log'!$A:$A,"&lt;"&amp;$J475+7),0))</f>
        <v/>
      </c>
      <c r="E475">
        <f>IF($J475="","",IFERROR(AVERAGEIFS('Weekly Log'!$F:$F,'Weekly Log'!$A:$A,"&gt;="&amp;$J475,'Weekly Log'!$A:$A,"&lt;"&amp;$J475+7),0))</f>
        <v/>
      </c>
      <c r="F475">
        <f>IF($J475="","",IFERROR(SUMIFS('Weekly Log'!$F:$F,'Weekly Log'!$A:$A,"&gt;="&amp;$J475,'Weekly Log'!$A:$A,"&lt;"&amp;$J475+7)/SUMIFS('Weekly Log'!$E:$E,'Weekly Log'!$A:$A,"&gt;="&amp;$J475,'Weekly Log'!$A:$A,"&lt;"&amp;$J475+7),0))</f>
        <v/>
      </c>
      <c r="G475">
        <f>IF($J475="","",IFERROR(LOOKUP(2,1/(('Weekly Log'!$A$5:$A$5000&gt;=$J475)*('Weekly Log'!$A$5:$A$5000&lt;$J475+7)*('Weekly Log'!$M$5:$M$5000&lt;&gt;"")),'Weekly Log'!$M$5:$M$5000),0))</f>
        <v/>
      </c>
      <c r="J475">
        <f>IF(COUNT('Weekly Log'!$A$5:$A$5000)=0,"",IF(MIN('Weekly Log'!$A$5:$A$5000)+7*(ROW()-10)&gt;MAX('Weekly Log'!$A$5:$A$5000),"",MIN('Weekly Log'!$A$5:$A$5000)+7*(ROW()-10)))</f>
        <v/>
      </c>
    </row>
    <row r="476">
      <c r="A476">
        <f>IF($J476="","",YEAR($J476-WEEKDAY($J476,2)+4)&amp;"-W"&amp;TEXT(WEEKNUM($J476,21),"00"))</f>
        <v/>
      </c>
      <c r="B476">
        <f>IF($J476="","",SUMIFS('Weekly Log'!$C:$C,'Weekly Log'!$A:$A,"&gt;="&amp;$J476,'Weekly Log'!$A:$A,"&lt;"&amp;$J476+7))</f>
        <v/>
      </c>
      <c r="C476">
        <f>IF($J476="","",IFERROR(COUNTIFS('Weekly Log'!$G:$G,"Y",'Weekly Log'!$A:$A,"&gt;="&amp;$J476,'Weekly Log'!$A:$A,"&lt;"&amp;$J476+7)/COUNTIFS('Weekly Log'!$G:$G,"&lt;&gt;",'Weekly Log'!$A:$A,"&gt;="&amp;$J476,'Weekly Log'!$A:$A,"&lt;"&amp;$J476+7),0))</f>
        <v/>
      </c>
      <c r="D476">
        <f>IF($J476="","",IFERROR(COUNTIFS('Weekly Log'!$H:$H,"Y",'Weekly Log'!$A:$A,"&gt;="&amp;$J476,'Weekly Log'!$A:$A,"&lt;"&amp;$J476+7)/COUNTIFS('Weekly Log'!$H:$H,"&lt;&gt;",'Weekly Log'!$A:$A,"&gt;="&amp;$J476,'Weekly Log'!$A:$A,"&lt;"&amp;$J476+7),0))</f>
        <v/>
      </c>
      <c r="E476">
        <f>IF($J476="","",IFERROR(AVERAGEIFS('Weekly Log'!$F:$F,'Weekly Log'!$A:$A,"&gt;="&amp;$J476,'Weekly Log'!$A:$A,"&lt;"&amp;$J476+7),0))</f>
        <v/>
      </c>
      <c r="F476">
        <f>IF($J476="","",IFERROR(SUMIFS('Weekly Log'!$F:$F,'Weekly Log'!$A:$A,"&gt;="&amp;$J476,'Weekly Log'!$A:$A,"&lt;"&amp;$J476+7)/SUMIFS('Weekly Log'!$E:$E,'Weekly Log'!$A:$A,"&gt;="&amp;$J476,'Weekly Log'!$A:$A,"&lt;"&amp;$J476+7),0))</f>
        <v/>
      </c>
      <c r="G476">
        <f>IF($J476="","",IFERROR(LOOKUP(2,1/(('Weekly Log'!$A$5:$A$5000&gt;=$J476)*('Weekly Log'!$A$5:$A$5000&lt;$J476+7)*('Weekly Log'!$M$5:$M$5000&lt;&gt;"")),'Weekly Log'!$M$5:$M$5000),0))</f>
        <v/>
      </c>
      <c r="J476">
        <f>IF(COUNT('Weekly Log'!$A$5:$A$5000)=0,"",IF(MIN('Weekly Log'!$A$5:$A$5000)+7*(ROW()-10)&gt;MAX('Weekly Log'!$A$5:$A$5000),"",MIN('Weekly Log'!$A$5:$A$5000)+7*(ROW()-10)))</f>
        <v/>
      </c>
    </row>
    <row r="477">
      <c r="A477">
        <f>IF($J477="","",YEAR($J477-WEEKDAY($J477,2)+4)&amp;"-W"&amp;TEXT(WEEKNUM($J477,21),"00"))</f>
        <v/>
      </c>
      <c r="B477">
        <f>IF($J477="","",SUMIFS('Weekly Log'!$C:$C,'Weekly Log'!$A:$A,"&gt;="&amp;$J477,'Weekly Log'!$A:$A,"&lt;"&amp;$J477+7))</f>
        <v/>
      </c>
      <c r="C477">
        <f>IF($J477="","",IFERROR(COUNTIFS('Weekly Log'!$G:$G,"Y",'Weekly Log'!$A:$A,"&gt;="&amp;$J477,'Weekly Log'!$A:$A,"&lt;"&amp;$J477+7)/COUNTIFS('Weekly Log'!$G:$G,"&lt;&gt;",'Weekly Log'!$A:$A,"&gt;="&amp;$J477,'Weekly Log'!$A:$A,"&lt;"&amp;$J477+7),0))</f>
        <v/>
      </c>
      <c r="D477">
        <f>IF($J477="","",IFERROR(COUNTIFS('Weekly Log'!$H:$H,"Y",'Weekly Log'!$A:$A,"&gt;="&amp;$J477,'Weekly Log'!$A:$A,"&lt;"&amp;$J477+7)/COUNTIFS('Weekly Log'!$H:$H,"&lt;&gt;",'Weekly Log'!$A:$A,"&gt;="&amp;$J477,'Weekly Log'!$A:$A,"&lt;"&amp;$J477+7),0))</f>
        <v/>
      </c>
      <c r="E477">
        <f>IF($J477="","",IFERROR(AVERAGEIFS('Weekly Log'!$F:$F,'Weekly Log'!$A:$A,"&gt;="&amp;$J477,'Weekly Log'!$A:$A,"&lt;"&amp;$J477+7),0))</f>
        <v/>
      </c>
      <c r="F477">
        <f>IF($J477="","",IFERROR(SUMIFS('Weekly Log'!$F:$F,'Weekly Log'!$A:$A,"&gt;="&amp;$J477,'Weekly Log'!$A:$A,"&lt;"&amp;$J477+7)/SUMIFS('Weekly Log'!$E:$E,'Weekly Log'!$A:$A,"&gt;="&amp;$J477,'Weekly Log'!$A:$A,"&lt;"&amp;$J477+7),0))</f>
        <v/>
      </c>
      <c r="G477">
        <f>IF($J477="","",IFERROR(LOOKUP(2,1/(('Weekly Log'!$A$5:$A$5000&gt;=$J477)*('Weekly Log'!$A$5:$A$5000&lt;$J477+7)*('Weekly Log'!$M$5:$M$5000&lt;&gt;"")),'Weekly Log'!$M$5:$M$5000),0))</f>
        <v/>
      </c>
      <c r="J477">
        <f>IF(COUNT('Weekly Log'!$A$5:$A$5000)=0,"",IF(MIN('Weekly Log'!$A$5:$A$5000)+7*(ROW()-10)&gt;MAX('Weekly Log'!$A$5:$A$5000),"",MIN('Weekly Log'!$A$5:$A$5000)+7*(ROW()-10)))</f>
        <v/>
      </c>
    </row>
    <row r="478">
      <c r="A478">
        <f>IF($J478="","",YEAR($J478-WEEKDAY($J478,2)+4)&amp;"-W"&amp;TEXT(WEEKNUM($J478,21),"00"))</f>
        <v/>
      </c>
      <c r="B478">
        <f>IF($J478="","",SUMIFS('Weekly Log'!$C:$C,'Weekly Log'!$A:$A,"&gt;="&amp;$J478,'Weekly Log'!$A:$A,"&lt;"&amp;$J478+7))</f>
        <v/>
      </c>
      <c r="C478">
        <f>IF($J478="","",IFERROR(COUNTIFS('Weekly Log'!$G:$G,"Y",'Weekly Log'!$A:$A,"&gt;="&amp;$J478,'Weekly Log'!$A:$A,"&lt;"&amp;$J478+7)/COUNTIFS('Weekly Log'!$G:$G,"&lt;&gt;",'Weekly Log'!$A:$A,"&gt;="&amp;$J478,'Weekly Log'!$A:$A,"&lt;"&amp;$J478+7),0))</f>
        <v/>
      </c>
      <c r="D478">
        <f>IF($J478="","",IFERROR(COUNTIFS('Weekly Log'!$H:$H,"Y",'Weekly Log'!$A:$A,"&gt;="&amp;$J478,'Weekly Log'!$A:$A,"&lt;"&amp;$J478+7)/COUNTIFS('Weekly Log'!$H:$H,"&lt;&gt;",'Weekly Log'!$A:$A,"&gt;="&amp;$J478,'Weekly Log'!$A:$A,"&lt;"&amp;$J478+7),0))</f>
        <v/>
      </c>
      <c r="E478">
        <f>IF($J478="","",IFERROR(AVERAGEIFS('Weekly Log'!$F:$F,'Weekly Log'!$A:$A,"&gt;="&amp;$J478,'Weekly Log'!$A:$A,"&lt;"&amp;$J478+7),0))</f>
        <v/>
      </c>
      <c r="F478">
        <f>IF($J478="","",IFERROR(SUMIFS('Weekly Log'!$F:$F,'Weekly Log'!$A:$A,"&gt;="&amp;$J478,'Weekly Log'!$A:$A,"&lt;"&amp;$J478+7)/SUMIFS('Weekly Log'!$E:$E,'Weekly Log'!$A:$A,"&gt;="&amp;$J478,'Weekly Log'!$A:$A,"&lt;"&amp;$J478+7),0))</f>
        <v/>
      </c>
      <c r="G478">
        <f>IF($J478="","",IFERROR(LOOKUP(2,1/(('Weekly Log'!$A$5:$A$5000&gt;=$J478)*('Weekly Log'!$A$5:$A$5000&lt;$J478+7)*('Weekly Log'!$M$5:$M$5000&lt;&gt;"")),'Weekly Log'!$M$5:$M$5000),0))</f>
        <v/>
      </c>
      <c r="J478">
        <f>IF(COUNT('Weekly Log'!$A$5:$A$5000)=0,"",IF(MIN('Weekly Log'!$A$5:$A$5000)+7*(ROW()-10)&gt;MAX('Weekly Log'!$A$5:$A$5000),"",MIN('Weekly Log'!$A$5:$A$5000)+7*(ROW()-10)))</f>
        <v/>
      </c>
    </row>
    <row r="479">
      <c r="A479">
        <f>IF($J479="","",YEAR($J479-WEEKDAY($J479,2)+4)&amp;"-W"&amp;TEXT(WEEKNUM($J479,21),"00"))</f>
        <v/>
      </c>
      <c r="B479">
        <f>IF($J479="","",SUMIFS('Weekly Log'!$C:$C,'Weekly Log'!$A:$A,"&gt;="&amp;$J479,'Weekly Log'!$A:$A,"&lt;"&amp;$J479+7))</f>
        <v/>
      </c>
      <c r="C479">
        <f>IF($J479="","",IFERROR(COUNTIFS('Weekly Log'!$G:$G,"Y",'Weekly Log'!$A:$A,"&gt;="&amp;$J479,'Weekly Log'!$A:$A,"&lt;"&amp;$J479+7)/COUNTIFS('Weekly Log'!$G:$G,"&lt;&gt;",'Weekly Log'!$A:$A,"&gt;="&amp;$J479,'Weekly Log'!$A:$A,"&lt;"&amp;$J479+7),0))</f>
        <v/>
      </c>
      <c r="D479">
        <f>IF($J479="","",IFERROR(COUNTIFS('Weekly Log'!$H:$H,"Y",'Weekly Log'!$A:$A,"&gt;="&amp;$J479,'Weekly Log'!$A:$A,"&lt;"&amp;$J479+7)/COUNTIFS('Weekly Log'!$H:$H,"&lt;&gt;",'Weekly Log'!$A:$A,"&gt;="&amp;$J479,'Weekly Log'!$A:$A,"&lt;"&amp;$J479+7),0))</f>
        <v/>
      </c>
      <c r="E479">
        <f>IF($J479="","",IFERROR(AVERAGEIFS('Weekly Log'!$F:$F,'Weekly Log'!$A:$A,"&gt;="&amp;$J479,'Weekly Log'!$A:$A,"&lt;"&amp;$J479+7),0))</f>
        <v/>
      </c>
      <c r="F479">
        <f>IF($J479="","",IFERROR(SUMIFS('Weekly Log'!$F:$F,'Weekly Log'!$A:$A,"&gt;="&amp;$J479,'Weekly Log'!$A:$A,"&lt;"&amp;$J479+7)/SUMIFS('Weekly Log'!$E:$E,'Weekly Log'!$A:$A,"&gt;="&amp;$J479,'Weekly Log'!$A:$A,"&lt;"&amp;$J479+7),0))</f>
        <v/>
      </c>
      <c r="G479">
        <f>IF($J479="","",IFERROR(LOOKUP(2,1/(('Weekly Log'!$A$5:$A$5000&gt;=$J479)*('Weekly Log'!$A$5:$A$5000&lt;$J479+7)*('Weekly Log'!$M$5:$M$5000&lt;&gt;"")),'Weekly Log'!$M$5:$M$5000),0))</f>
        <v/>
      </c>
      <c r="J479">
        <f>IF(COUNT('Weekly Log'!$A$5:$A$5000)=0,"",IF(MIN('Weekly Log'!$A$5:$A$5000)+7*(ROW()-10)&gt;MAX('Weekly Log'!$A$5:$A$5000),"",MIN('Weekly Log'!$A$5:$A$5000)+7*(ROW()-10)))</f>
        <v/>
      </c>
    </row>
    <row r="480">
      <c r="A480">
        <f>IF($J480="","",YEAR($J480-WEEKDAY($J480,2)+4)&amp;"-W"&amp;TEXT(WEEKNUM($J480,21),"00"))</f>
        <v/>
      </c>
      <c r="B480">
        <f>IF($J480="","",SUMIFS('Weekly Log'!$C:$C,'Weekly Log'!$A:$A,"&gt;="&amp;$J480,'Weekly Log'!$A:$A,"&lt;"&amp;$J480+7))</f>
        <v/>
      </c>
      <c r="C480">
        <f>IF($J480="","",IFERROR(COUNTIFS('Weekly Log'!$G:$G,"Y",'Weekly Log'!$A:$A,"&gt;="&amp;$J480,'Weekly Log'!$A:$A,"&lt;"&amp;$J480+7)/COUNTIFS('Weekly Log'!$G:$G,"&lt;&gt;",'Weekly Log'!$A:$A,"&gt;="&amp;$J480,'Weekly Log'!$A:$A,"&lt;"&amp;$J480+7),0))</f>
        <v/>
      </c>
      <c r="D480">
        <f>IF($J480="","",IFERROR(COUNTIFS('Weekly Log'!$H:$H,"Y",'Weekly Log'!$A:$A,"&gt;="&amp;$J480,'Weekly Log'!$A:$A,"&lt;"&amp;$J480+7)/COUNTIFS('Weekly Log'!$H:$H,"&lt;&gt;",'Weekly Log'!$A:$A,"&gt;="&amp;$J480,'Weekly Log'!$A:$A,"&lt;"&amp;$J480+7),0))</f>
        <v/>
      </c>
      <c r="E480">
        <f>IF($J480="","",IFERROR(AVERAGEIFS('Weekly Log'!$F:$F,'Weekly Log'!$A:$A,"&gt;="&amp;$J480,'Weekly Log'!$A:$A,"&lt;"&amp;$J480+7),0))</f>
        <v/>
      </c>
      <c r="F480">
        <f>IF($J480="","",IFERROR(SUMIFS('Weekly Log'!$F:$F,'Weekly Log'!$A:$A,"&gt;="&amp;$J480,'Weekly Log'!$A:$A,"&lt;"&amp;$J480+7)/SUMIFS('Weekly Log'!$E:$E,'Weekly Log'!$A:$A,"&gt;="&amp;$J480,'Weekly Log'!$A:$A,"&lt;"&amp;$J480+7),0))</f>
        <v/>
      </c>
      <c r="G480">
        <f>IF($J480="","",IFERROR(LOOKUP(2,1/(('Weekly Log'!$A$5:$A$5000&gt;=$J480)*('Weekly Log'!$A$5:$A$5000&lt;$J480+7)*('Weekly Log'!$M$5:$M$5000&lt;&gt;"")),'Weekly Log'!$M$5:$M$5000),0))</f>
        <v/>
      </c>
      <c r="J480">
        <f>IF(COUNT('Weekly Log'!$A$5:$A$5000)=0,"",IF(MIN('Weekly Log'!$A$5:$A$5000)+7*(ROW()-10)&gt;MAX('Weekly Log'!$A$5:$A$5000),"",MIN('Weekly Log'!$A$5:$A$5000)+7*(ROW()-10)))</f>
        <v/>
      </c>
    </row>
    <row r="481">
      <c r="A481">
        <f>IF($J481="","",YEAR($J481-WEEKDAY($J481,2)+4)&amp;"-W"&amp;TEXT(WEEKNUM($J481,21),"00"))</f>
        <v/>
      </c>
      <c r="B481">
        <f>IF($J481="","",SUMIFS('Weekly Log'!$C:$C,'Weekly Log'!$A:$A,"&gt;="&amp;$J481,'Weekly Log'!$A:$A,"&lt;"&amp;$J481+7))</f>
        <v/>
      </c>
      <c r="C481">
        <f>IF($J481="","",IFERROR(COUNTIFS('Weekly Log'!$G:$G,"Y",'Weekly Log'!$A:$A,"&gt;="&amp;$J481,'Weekly Log'!$A:$A,"&lt;"&amp;$J481+7)/COUNTIFS('Weekly Log'!$G:$G,"&lt;&gt;",'Weekly Log'!$A:$A,"&gt;="&amp;$J481,'Weekly Log'!$A:$A,"&lt;"&amp;$J481+7),0))</f>
        <v/>
      </c>
      <c r="D481">
        <f>IF($J481="","",IFERROR(COUNTIFS('Weekly Log'!$H:$H,"Y",'Weekly Log'!$A:$A,"&gt;="&amp;$J481,'Weekly Log'!$A:$A,"&lt;"&amp;$J481+7)/COUNTIFS('Weekly Log'!$H:$H,"&lt;&gt;",'Weekly Log'!$A:$A,"&gt;="&amp;$J481,'Weekly Log'!$A:$A,"&lt;"&amp;$J481+7),0))</f>
        <v/>
      </c>
      <c r="E481">
        <f>IF($J481="","",IFERROR(AVERAGEIFS('Weekly Log'!$F:$F,'Weekly Log'!$A:$A,"&gt;="&amp;$J481,'Weekly Log'!$A:$A,"&lt;"&amp;$J481+7),0))</f>
        <v/>
      </c>
      <c r="F481">
        <f>IF($J481="","",IFERROR(SUMIFS('Weekly Log'!$F:$F,'Weekly Log'!$A:$A,"&gt;="&amp;$J481,'Weekly Log'!$A:$A,"&lt;"&amp;$J481+7)/SUMIFS('Weekly Log'!$E:$E,'Weekly Log'!$A:$A,"&gt;="&amp;$J481,'Weekly Log'!$A:$A,"&lt;"&amp;$J481+7),0))</f>
        <v/>
      </c>
      <c r="G481">
        <f>IF($J481="","",IFERROR(LOOKUP(2,1/(('Weekly Log'!$A$5:$A$5000&gt;=$J481)*('Weekly Log'!$A$5:$A$5000&lt;$J481+7)*('Weekly Log'!$M$5:$M$5000&lt;&gt;"")),'Weekly Log'!$M$5:$M$5000),0))</f>
        <v/>
      </c>
      <c r="J481">
        <f>IF(COUNT('Weekly Log'!$A$5:$A$5000)=0,"",IF(MIN('Weekly Log'!$A$5:$A$5000)+7*(ROW()-10)&gt;MAX('Weekly Log'!$A$5:$A$5000),"",MIN('Weekly Log'!$A$5:$A$5000)+7*(ROW()-10)))</f>
        <v/>
      </c>
    </row>
    <row r="482">
      <c r="A482">
        <f>IF($J482="","",YEAR($J482-WEEKDAY($J482,2)+4)&amp;"-W"&amp;TEXT(WEEKNUM($J482,21),"00"))</f>
        <v/>
      </c>
      <c r="B482">
        <f>IF($J482="","",SUMIFS('Weekly Log'!$C:$C,'Weekly Log'!$A:$A,"&gt;="&amp;$J482,'Weekly Log'!$A:$A,"&lt;"&amp;$J482+7))</f>
        <v/>
      </c>
      <c r="C482">
        <f>IF($J482="","",IFERROR(COUNTIFS('Weekly Log'!$G:$G,"Y",'Weekly Log'!$A:$A,"&gt;="&amp;$J482,'Weekly Log'!$A:$A,"&lt;"&amp;$J482+7)/COUNTIFS('Weekly Log'!$G:$G,"&lt;&gt;",'Weekly Log'!$A:$A,"&gt;="&amp;$J482,'Weekly Log'!$A:$A,"&lt;"&amp;$J482+7),0))</f>
        <v/>
      </c>
      <c r="D482">
        <f>IF($J482="","",IFERROR(COUNTIFS('Weekly Log'!$H:$H,"Y",'Weekly Log'!$A:$A,"&gt;="&amp;$J482,'Weekly Log'!$A:$A,"&lt;"&amp;$J482+7)/COUNTIFS('Weekly Log'!$H:$H,"&lt;&gt;",'Weekly Log'!$A:$A,"&gt;="&amp;$J482,'Weekly Log'!$A:$A,"&lt;"&amp;$J482+7),0))</f>
        <v/>
      </c>
      <c r="E482">
        <f>IF($J482="","",IFERROR(AVERAGEIFS('Weekly Log'!$F:$F,'Weekly Log'!$A:$A,"&gt;="&amp;$J482,'Weekly Log'!$A:$A,"&lt;"&amp;$J482+7),0))</f>
        <v/>
      </c>
      <c r="F482">
        <f>IF($J482="","",IFERROR(SUMIFS('Weekly Log'!$F:$F,'Weekly Log'!$A:$A,"&gt;="&amp;$J482,'Weekly Log'!$A:$A,"&lt;"&amp;$J482+7)/SUMIFS('Weekly Log'!$E:$E,'Weekly Log'!$A:$A,"&gt;="&amp;$J482,'Weekly Log'!$A:$A,"&lt;"&amp;$J482+7),0))</f>
        <v/>
      </c>
      <c r="G482">
        <f>IF($J482="","",IFERROR(LOOKUP(2,1/(('Weekly Log'!$A$5:$A$5000&gt;=$J482)*('Weekly Log'!$A$5:$A$5000&lt;$J482+7)*('Weekly Log'!$M$5:$M$5000&lt;&gt;"")),'Weekly Log'!$M$5:$M$5000),0))</f>
        <v/>
      </c>
      <c r="J482">
        <f>IF(COUNT('Weekly Log'!$A$5:$A$5000)=0,"",IF(MIN('Weekly Log'!$A$5:$A$5000)+7*(ROW()-10)&gt;MAX('Weekly Log'!$A$5:$A$5000),"",MIN('Weekly Log'!$A$5:$A$5000)+7*(ROW()-10)))</f>
        <v/>
      </c>
    </row>
    <row r="483">
      <c r="A483">
        <f>IF($J483="","",YEAR($J483-WEEKDAY($J483,2)+4)&amp;"-W"&amp;TEXT(WEEKNUM($J483,21),"00"))</f>
        <v/>
      </c>
      <c r="B483">
        <f>IF($J483="","",SUMIFS('Weekly Log'!$C:$C,'Weekly Log'!$A:$A,"&gt;="&amp;$J483,'Weekly Log'!$A:$A,"&lt;"&amp;$J483+7))</f>
        <v/>
      </c>
      <c r="C483">
        <f>IF($J483="","",IFERROR(COUNTIFS('Weekly Log'!$G:$G,"Y",'Weekly Log'!$A:$A,"&gt;="&amp;$J483,'Weekly Log'!$A:$A,"&lt;"&amp;$J483+7)/COUNTIFS('Weekly Log'!$G:$G,"&lt;&gt;",'Weekly Log'!$A:$A,"&gt;="&amp;$J483,'Weekly Log'!$A:$A,"&lt;"&amp;$J483+7),0))</f>
        <v/>
      </c>
      <c r="D483">
        <f>IF($J483="","",IFERROR(COUNTIFS('Weekly Log'!$H:$H,"Y",'Weekly Log'!$A:$A,"&gt;="&amp;$J483,'Weekly Log'!$A:$A,"&lt;"&amp;$J483+7)/COUNTIFS('Weekly Log'!$H:$H,"&lt;&gt;",'Weekly Log'!$A:$A,"&gt;="&amp;$J483,'Weekly Log'!$A:$A,"&lt;"&amp;$J483+7),0))</f>
        <v/>
      </c>
      <c r="E483">
        <f>IF($J483="","",IFERROR(AVERAGEIFS('Weekly Log'!$F:$F,'Weekly Log'!$A:$A,"&gt;="&amp;$J483,'Weekly Log'!$A:$A,"&lt;"&amp;$J483+7),0))</f>
        <v/>
      </c>
      <c r="F483">
        <f>IF($J483="","",IFERROR(SUMIFS('Weekly Log'!$F:$F,'Weekly Log'!$A:$A,"&gt;="&amp;$J483,'Weekly Log'!$A:$A,"&lt;"&amp;$J483+7)/SUMIFS('Weekly Log'!$E:$E,'Weekly Log'!$A:$A,"&gt;="&amp;$J483,'Weekly Log'!$A:$A,"&lt;"&amp;$J483+7),0))</f>
        <v/>
      </c>
      <c r="G483">
        <f>IF($J483="","",IFERROR(LOOKUP(2,1/(('Weekly Log'!$A$5:$A$5000&gt;=$J483)*('Weekly Log'!$A$5:$A$5000&lt;$J483+7)*('Weekly Log'!$M$5:$M$5000&lt;&gt;"")),'Weekly Log'!$M$5:$M$5000),0))</f>
        <v/>
      </c>
      <c r="J483">
        <f>IF(COUNT('Weekly Log'!$A$5:$A$5000)=0,"",IF(MIN('Weekly Log'!$A$5:$A$5000)+7*(ROW()-10)&gt;MAX('Weekly Log'!$A$5:$A$5000),"",MIN('Weekly Log'!$A$5:$A$5000)+7*(ROW()-10)))</f>
        <v/>
      </c>
    </row>
    <row r="484">
      <c r="A484">
        <f>IF($J484="","",YEAR($J484-WEEKDAY($J484,2)+4)&amp;"-W"&amp;TEXT(WEEKNUM($J484,21),"00"))</f>
        <v/>
      </c>
      <c r="B484">
        <f>IF($J484="","",SUMIFS('Weekly Log'!$C:$C,'Weekly Log'!$A:$A,"&gt;="&amp;$J484,'Weekly Log'!$A:$A,"&lt;"&amp;$J484+7))</f>
        <v/>
      </c>
      <c r="C484">
        <f>IF($J484="","",IFERROR(COUNTIFS('Weekly Log'!$G:$G,"Y",'Weekly Log'!$A:$A,"&gt;="&amp;$J484,'Weekly Log'!$A:$A,"&lt;"&amp;$J484+7)/COUNTIFS('Weekly Log'!$G:$G,"&lt;&gt;",'Weekly Log'!$A:$A,"&gt;="&amp;$J484,'Weekly Log'!$A:$A,"&lt;"&amp;$J484+7),0))</f>
        <v/>
      </c>
      <c r="D484">
        <f>IF($J484="","",IFERROR(COUNTIFS('Weekly Log'!$H:$H,"Y",'Weekly Log'!$A:$A,"&gt;="&amp;$J484,'Weekly Log'!$A:$A,"&lt;"&amp;$J484+7)/COUNTIFS('Weekly Log'!$H:$H,"&lt;&gt;",'Weekly Log'!$A:$A,"&gt;="&amp;$J484,'Weekly Log'!$A:$A,"&lt;"&amp;$J484+7),0))</f>
        <v/>
      </c>
      <c r="E484">
        <f>IF($J484="","",IFERROR(AVERAGEIFS('Weekly Log'!$F:$F,'Weekly Log'!$A:$A,"&gt;="&amp;$J484,'Weekly Log'!$A:$A,"&lt;"&amp;$J484+7),0))</f>
        <v/>
      </c>
      <c r="F484">
        <f>IF($J484="","",IFERROR(SUMIFS('Weekly Log'!$F:$F,'Weekly Log'!$A:$A,"&gt;="&amp;$J484,'Weekly Log'!$A:$A,"&lt;"&amp;$J484+7)/SUMIFS('Weekly Log'!$E:$E,'Weekly Log'!$A:$A,"&gt;="&amp;$J484,'Weekly Log'!$A:$A,"&lt;"&amp;$J484+7),0))</f>
        <v/>
      </c>
      <c r="G484">
        <f>IF($J484="","",IFERROR(LOOKUP(2,1/(('Weekly Log'!$A$5:$A$5000&gt;=$J484)*('Weekly Log'!$A$5:$A$5000&lt;$J484+7)*('Weekly Log'!$M$5:$M$5000&lt;&gt;"")),'Weekly Log'!$M$5:$M$5000),0))</f>
        <v/>
      </c>
      <c r="J484">
        <f>IF(COUNT('Weekly Log'!$A$5:$A$5000)=0,"",IF(MIN('Weekly Log'!$A$5:$A$5000)+7*(ROW()-10)&gt;MAX('Weekly Log'!$A$5:$A$5000),"",MIN('Weekly Log'!$A$5:$A$5000)+7*(ROW()-10)))</f>
        <v/>
      </c>
    </row>
    <row r="485">
      <c r="A485">
        <f>IF($J485="","",YEAR($J485-WEEKDAY($J485,2)+4)&amp;"-W"&amp;TEXT(WEEKNUM($J485,21),"00"))</f>
        <v/>
      </c>
      <c r="B485">
        <f>IF($J485="","",SUMIFS('Weekly Log'!$C:$C,'Weekly Log'!$A:$A,"&gt;="&amp;$J485,'Weekly Log'!$A:$A,"&lt;"&amp;$J485+7))</f>
        <v/>
      </c>
      <c r="C485">
        <f>IF($J485="","",IFERROR(COUNTIFS('Weekly Log'!$G:$G,"Y",'Weekly Log'!$A:$A,"&gt;="&amp;$J485,'Weekly Log'!$A:$A,"&lt;"&amp;$J485+7)/COUNTIFS('Weekly Log'!$G:$G,"&lt;&gt;",'Weekly Log'!$A:$A,"&gt;="&amp;$J485,'Weekly Log'!$A:$A,"&lt;"&amp;$J485+7),0))</f>
        <v/>
      </c>
      <c r="D485">
        <f>IF($J485="","",IFERROR(COUNTIFS('Weekly Log'!$H:$H,"Y",'Weekly Log'!$A:$A,"&gt;="&amp;$J485,'Weekly Log'!$A:$A,"&lt;"&amp;$J485+7)/COUNTIFS('Weekly Log'!$H:$H,"&lt;&gt;",'Weekly Log'!$A:$A,"&gt;="&amp;$J485,'Weekly Log'!$A:$A,"&lt;"&amp;$J485+7),0))</f>
        <v/>
      </c>
      <c r="E485">
        <f>IF($J485="","",IFERROR(AVERAGEIFS('Weekly Log'!$F:$F,'Weekly Log'!$A:$A,"&gt;="&amp;$J485,'Weekly Log'!$A:$A,"&lt;"&amp;$J485+7),0))</f>
        <v/>
      </c>
      <c r="F485">
        <f>IF($J485="","",IFERROR(SUMIFS('Weekly Log'!$F:$F,'Weekly Log'!$A:$A,"&gt;="&amp;$J485,'Weekly Log'!$A:$A,"&lt;"&amp;$J485+7)/SUMIFS('Weekly Log'!$E:$E,'Weekly Log'!$A:$A,"&gt;="&amp;$J485,'Weekly Log'!$A:$A,"&lt;"&amp;$J485+7),0))</f>
        <v/>
      </c>
      <c r="G485">
        <f>IF($J485="","",IFERROR(LOOKUP(2,1/(('Weekly Log'!$A$5:$A$5000&gt;=$J485)*('Weekly Log'!$A$5:$A$5000&lt;$J485+7)*('Weekly Log'!$M$5:$M$5000&lt;&gt;"")),'Weekly Log'!$M$5:$M$5000),0))</f>
        <v/>
      </c>
      <c r="J485">
        <f>IF(COUNT('Weekly Log'!$A$5:$A$5000)=0,"",IF(MIN('Weekly Log'!$A$5:$A$5000)+7*(ROW()-10)&gt;MAX('Weekly Log'!$A$5:$A$5000),"",MIN('Weekly Log'!$A$5:$A$5000)+7*(ROW()-10)))</f>
        <v/>
      </c>
    </row>
    <row r="486">
      <c r="A486">
        <f>IF($J486="","",YEAR($J486-WEEKDAY($J486,2)+4)&amp;"-W"&amp;TEXT(WEEKNUM($J486,21),"00"))</f>
        <v/>
      </c>
      <c r="B486">
        <f>IF($J486="","",SUMIFS('Weekly Log'!$C:$C,'Weekly Log'!$A:$A,"&gt;="&amp;$J486,'Weekly Log'!$A:$A,"&lt;"&amp;$J486+7))</f>
        <v/>
      </c>
      <c r="C486">
        <f>IF($J486="","",IFERROR(COUNTIFS('Weekly Log'!$G:$G,"Y",'Weekly Log'!$A:$A,"&gt;="&amp;$J486,'Weekly Log'!$A:$A,"&lt;"&amp;$J486+7)/COUNTIFS('Weekly Log'!$G:$G,"&lt;&gt;",'Weekly Log'!$A:$A,"&gt;="&amp;$J486,'Weekly Log'!$A:$A,"&lt;"&amp;$J486+7),0))</f>
        <v/>
      </c>
      <c r="D486">
        <f>IF($J486="","",IFERROR(COUNTIFS('Weekly Log'!$H:$H,"Y",'Weekly Log'!$A:$A,"&gt;="&amp;$J486,'Weekly Log'!$A:$A,"&lt;"&amp;$J486+7)/COUNTIFS('Weekly Log'!$H:$H,"&lt;&gt;",'Weekly Log'!$A:$A,"&gt;="&amp;$J486,'Weekly Log'!$A:$A,"&lt;"&amp;$J486+7),0))</f>
        <v/>
      </c>
      <c r="E486">
        <f>IF($J486="","",IFERROR(AVERAGEIFS('Weekly Log'!$F:$F,'Weekly Log'!$A:$A,"&gt;="&amp;$J486,'Weekly Log'!$A:$A,"&lt;"&amp;$J486+7),0))</f>
        <v/>
      </c>
      <c r="F486">
        <f>IF($J486="","",IFERROR(SUMIFS('Weekly Log'!$F:$F,'Weekly Log'!$A:$A,"&gt;="&amp;$J486,'Weekly Log'!$A:$A,"&lt;"&amp;$J486+7)/SUMIFS('Weekly Log'!$E:$E,'Weekly Log'!$A:$A,"&gt;="&amp;$J486,'Weekly Log'!$A:$A,"&lt;"&amp;$J486+7),0))</f>
        <v/>
      </c>
      <c r="G486">
        <f>IF($J486="","",IFERROR(LOOKUP(2,1/(('Weekly Log'!$A$5:$A$5000&gt;=$J486)*('Weekly Log'!$A$5:$A$5000&lt;$J486+7)*('Weekly Log'!$M$5:$M$5000&lt;&gt;"")),'Weekly Log'!$M$5:$M$5000),0))</f>
        <v/>
      </c>
      <c r="J486">
        <f>IF(COUNT('Weekly Log'!$A$5:$A$5000)=0,"",IF(MIN('Weekly Log'!$A$5:$A$5000)+7*(ROW()-10)&gt;MAX('Weekly Log'!$A$5:$A$5000),"",MIN('Weekly Log'!$A$5:$A$5000)+7*(ROW()-10)))</f>
        <v/>
      </c>
    </row>
    <row r="487">
      <c r="A487">
        <f>IF($J487="","",YEAR($J487-WEEKDAY($J487,2)+4)&amp;"-W"&amp;TEXT(WEEKNUM($J487,21),"00"))</f>
        <v/>
      </c>
      <c r="B487">
        <f>IF($J487="","",SUMIFS('Weekly Log'!$C:$C,'Weekly Log'!$A:$A,"&gt;="&amp;$J487,'Weekly Log'!$A:$A,"&lt;"&amp;$J487+7))</f>
        <v/>
      </c>
      <c r="C487">
        <f>IF($J487="","",IFERROR(COUNTIFS('Weekly Log'!$G:$G,"Y",'Weekly Log'!$A:$A,"&gt;="&amp;$J487,'Weekly Log'!$A:$A,"&lt;"&amp;$J487+7)/COUNTIFS('Weekly Log'!$G:$G,"&lt;&gt;",'Weekly Log'!$A:$A,"&gt;="&amp;$J487,'Weekly Log'!$A:$A,"&lt;"&amp;$J487+7),0))</f>
        <v/>
      </c>
      <c r="D487">
        <f>IF($J487="","",IFERROR(COUNTIFS('Weekly Log'!$H:$H,"Y",'Weekly Log'!$A:$A,"&gt;="&amp;$J487,'Weekly Log'!$A:$A,"&lt;"&amp;$J487+7)/COUNTIFS('Weekly Log'!$H:$H,"&lt;&gt;",'Weekly Log'!$A:$A,"&gt;="&amp;$J487,'Weekly Log'!$A:$A,"&lt;"&amp;$J487+7),0))</f>
        <v/>
      </c>
      <c r="E487">
        <f>IF($J487="","",IFERROR(AVERAGEIFS('Weekly Log'!$F:$F,'Weekly Log'!$A:$A,"&gt;="&amp;$J487,'Weekly Log'!$A:$A,"&lt;"&amp;$J487+7),0))</f>
        <v/>
      </c>
      <c r="F487">
        <f>IF($J487="","",IFERROR(SUMIFS('Weekly Log'!$F:$F,'Weekly Log'!$A:$A,"&gt;="&amp;$J487,'Weekly Log'!$A:$A,"&lt;"&amp;$J487+7)/SUMIFS('Weekly Log'!$E:$E,'Weekly Log'!$A:$A,"&gt;="&amp;$J487,'Weekly Log'!$A:$A,"&lt;"&amp;$J487+7),0))</f>
        <v/>
      </c>
      <c r="G487">
        <f>IF($J487="","",IFERROR(LOOKUP(2,1/(('Weekly Log'!$A$5:$A$5000&gt;=$J487)*('Weekly Log'!$A$5:$A$5000&lt;$J487+7)*('Weekly Log'!$M$5:$M$5000&lt;&gt;"")),'Weekly Log'!$M$5:$M$5000),0))</f>
        <v/>
      </c>
      <c r="J487">
        <f>IF(COUNT('Weekly Log'!$A$5:$A$5000)=0,"",IF(MIN('Weekly Log'!$A$5:$A$5000)+7*(ROW()-10)&gt;MAX('Weekly Log'!$A$5:$A$5000),"",MIN('Weekly Log'!$A$5:$A$5000)+7*(ROW()-10)))</f>
        <v/>
      </c>
    </row>
    <row r="488">
      <c r="A488">
        <f>IF($J488="","",YEAR($J488-WEEKDAY($J488,2)+4)&amp;"-W"&amp;TEXT(WEEKNUM($J488,21),"00"))</f>
        <v/>
      </c>
      <c r="B488">
        <f>IF($J488="","",SUMIFS('Weekly Log'!$C:$C,'Weekly Log'!$A:$A,"&gt;="&amp;$J488,'Weekly Log'!$A:$A,"&lt;"&amp;$J488+7))</f>
        <v/>
      </c>
      <c r="C488">
        <f>IF($J488="","",IFERROR(COUNTIFS('Weekly Log'!$G:$G,"Y",'Weekly Log'!$A:$A,"&gt;="&amp;$J488,'Weekly Log'!$A:$A,"&lt;"&amp;$J488+7)/COUNTIFS('Weekly Log'!$G:$G,"&lt;&gt;",'Weekly Log'!$A:$A,"&gt;="&amp;$J488,'Weekly Log'!$A:$A,"&lt;"&amp;$J488+7),0))</f>
        <v/>
      </c>
      <c r="D488">
        <f>IF($J488="","",IFERROR(COUNTIFS('Weekly Log'!$H:$H,"Y",'Weekly Log'!$A:$A,"&gt;="&amp;$J488,'Weekly Log'!$A:$A,"&lt;"&amp;$J488+7)/COUNTIFS('Weekly Log'!$H:$H,"&lt;&gt;",'Weekly Log'!$A:$A,"&gt;="&amp;$J488,'Weekly Log'!$A:$A,"&lt;"&amp;$J488+7),0))</f>
        <v/>
      </c>
      <c r="E488">
        <f>IF($J488="","",IFERROR(AVERAGEIFS('Weekly Log'!$F:$F,'Weekly Log'!$A:$A,"&gt;="&amp;$J488,'Weekly Log'!$A:$A,"&lt;"&amp;$J488+7),0))</f>
        <v/>
      </c>
      <c r="F488">
        <f>IF($J488="","",IFERROR(SUMIFS('Weekly Log'!$F:$F,'Weekly Log'!$A:$A,"&gt;="&amp;$J488,'Weekly Log'!$A:$A,"&lt;"&amp;$J488+7)/SUMIFS('Weekly Log'!$E:$E,'Weekly Log'!$A:$A,"&gt;="&amp;$J488,'Weekly Log'!$A:$A,"&lt;"&amp;$J488+7),0))</f>
        <v/>
      </c>
      <c r="G488">
        <f>IF($J488="","",IFERROR(LOOKUP(2,1/(('Weekly Log'!$A$5:$A$5000&gt;=$J488)*('Weekly Log'!$A$5:$A$5000&lt;$J488+7)*('Weekly Log'!$M$5:$M$5000&lt;&gt;"")),'Weekly Log'!$M$5:$M$5000),0))</f>
        <v/>
      </c>
      <c r="J488">
        <f>IF(COUNT('Weekly Log'!$A$5:$A$5000)=0,"",IF(MIN('Weekly Log'!$A$5:$A$5000)+7*(ROW()-10)&gt;MAX('Weekly Log'!$A$5:$A$5000),"",MIN('Weekly Log'!$A$5:$A$5000)+7*(ROW()-10)))</f>
        <v/>
      </c>
    </row>
    <row r="489">
      <c r="A489">
        <f>IF($J489="","",YEAR($J489-WEEKDAY($J489,2)+4)&amp;"-W"&amp;TEXT(WEEKNUM($J489,21),"00"))</f>
        <v/>
      </c>
      <c r="B489">
        <f>IF($J489="","",SUMIFS('Weekly Log'!$C:$C,'Weekly Log'!$A:$A,"&gt;="&amp;$J489,'Weekly Log'!$A:$A,"&lt;"&amp;$J489+7))</f>
        <v/>
      </c>
      <c r="C489">
        <f>IF($J489="","",IFERROR(COUNTIFS('Weekly Log'!$G:$G,"Y",'Weekly Log'!$A:$A,"&gt;="&amp;$J489,'Weekly Log'!$A:$A,"&lt;"&amp;$J489+7)/COUNTIFS('Weekly Log'!$G:$G,"&lt;&gt;",'Weekly Log'!$A:$A,"&gt;="&amp;$J489,'Weekly Log'!$A:$A,"&lt;"&amp;$J489+7),0))</f>
        <v/>
      </c>
      <c r="D489">
        <f>IF($J489="","",IFERROR(COUNTIFS('Weekly Log'!$H:$H,"Y",'Weekly Log'!$A:$A,"&gt;="&amp;$J489,'Weekly Log'!$A:$A,"&lt;"&amp;$J489+7)/COUNTIFS('Weekly Log'!$H:$H,"&lt;&gt;",'Weekly Log'!$A:$A,"&gt;="&amp;$J489,'Weekly Log'!$A:$A,"&lt;"&amp;$J489+7),0))</f>
        <v/>
      </c>
      <c r="E489">
        <f>IF($J489="","",IFERROR(AVERAGEIFS('Weekly Log'!$F:$F,'Weekly Log'!$A:$A,"&gt;="&amp;$J489,'Weekly Log'!$A:$A,"&lt;"&amp;$J489+7),0))</f>
        <v/>
      </c>
      <c r="F489">
        <f>IF($J489="","",IFERROR(SUMIFS('Weekly Log'!$F:$F,'Weekly Log'!$A:$A,"&gt;="&amp;$J489,'Weekly Log'!$A:$A,"&lt;"&amp;$J489+7)/SUMIFS('Weekly Log'!$E:$E,'Weekly Log'!$A:$A,"&gt;="&amp;$J489,'Weekly Log'!$A:$A,"&lt;"&amp;$J489+7),0))</f>
        <v/>
      </c>
      <c r="G489">
        <f>IF($J489="","",IFERROR(LOOKUP(2,1/(('Weekly Log'!$A$5:$A$5000&gt;=$J489)*('Weekly Log'!$A$5:$A$5000&lt;$J489+7)*('Weekly Log'!$M$5:$M$5000&lt;&gt;"")),'Weekly Log'!$M$5:$M$5000),0))</f>
        <v/>
      </c>
      <c r="J489">
        <f>IF(COUNT('Weekly Log'!$A$5:$A$5000)=0,"",IF(MIN('Weekly Log'!$A$5:$A$5000)+7*(ROW()-10)&gt;MAX('Weekly Log'!$A$5:$A$5000),"",MIN('Weekly Log'!$A$5:$A$5000)+7*(ROW()-10)))</f>
        <v/>
      </c>
    </row>
    <row r="490">
      <c r="A490">
        <f>IF($J490="","",YEAR($J490-WEEKDAY($J490,2)+4)&amp;"-W"&amp;TEXT(WEEKNUM($J490,21),"00"))</f>
        <v/>
      </c>
      <c r="B490">
        <f>IF($J490="","",SUMIFS('Weekly Log'!$C:$C,'Weekly Log'!$A:$A,"&gt;="&amp;$J490,'Weekly Log'!$A:$A,"&lt;"&amp;$J490+7))</f>
        <v/>
      </c>
      <c r="C490">
        <f>IF($J490="","",IFERROR(COUNTIFS('Weekly Log'!$G:$G,"Y",'Weekly Log'!$A:$A,"&gt;="&amp;$J490,'Weekly Log'!$A:$A,"&lt;"&amp;$J490+7)/COUNTIFS('Weekly Log'!$G:$G,"&lt;&gt;",'Weekly Log'!$A:$A,"&gt;="&amp;$J490,'Weekly Log'!$A:$A,"&lt;"&amp;$J490+7),0))</f>
        <v/>
      </c>
      <c r="D490">
        <f>IF($J490="","",IFERROR(COUNTIFS('Weekly Log'!$H:$H,"Y",'Weekly Log'!$A:$A,"&gt;="&amp;$J490,'Weekly Log'!$A:$A,"&lt;"&amp;$J490+7)/COUNTIFS('Weekly Log'!$H:$H,"&lt;&gt;",'Weekly Log'!$A:$A,"&gt;="&amp;$J490,'Weekly Log'!$A:$A,"&lt;"&amp;$J490+7),0))</f>
        <v/>
      </c>
      <c r="E490">
        <f>IF($J490="","",IFERROR(AVERAGEIFS('Weekly Log'!$F:$F,'Weekly Log'!$A:$A,"&gt;="&amp;$J490,'Weekly Log'!$A:$A,"&lt;"&amp;$J490+7),0))</f>
        <v/>
      </c>
      <c r="F490">
        <f>IF($J490="","",IFERROR(SUMIFS('Weekly Log'!$F:$F,'Weekly Log'!$A:$A,"&gt;="&amp;$J490,'Weekly Log'!$A:$A,"&lt;"&amp;$J490+7)/SUMIFS('Weekly Log'!$E:$E,'Weekly Log'!$A:$A,"&gt;="&amp;$J490,'Weekly Log'!$A:$A,"&lt;"&amp;$J490+7),0))</f>
        <v/>
      </c>
      <c r="G490">
        <f>IF($J490="","",IFERROR(LOOKUP(2,1/(('Weekly Log'!$A$5:$A$5000&gt;=$J490)*('Weekly Log'!$A$5:$A$5000&lt;$J490+7)*('Weekly Log'!$M$5:$M$5000&lt;&gt;"")),'Weekly Log'!$M$5:$M$5000),0))</f>
        <v/>
      </c>
      <c r="J490">
        <f>IF(COUNT('Weekly Log'!$A$5:$A$5000)=0,"",IF(MIN('Weekly Log'!$A$5:$A$5000)+7*(ROW()-10)&gt;MAX('Weekly Log'!$A$5:$A$5000),"",MIN('Weekly Log'!$A$5:$A$5000)+7*(ROW()-10)))</f>
        <v/>
      </c>
    </row>
    <row r="491">
      <c r="A491">
        <f>IF($J491="","",YEAR($J491-WEEKDAY($J491,2)+4)&amp;"-W"&amp;TEXT(WEEKNUM($J491,21),"00"))</f>
        <v/>
      </c>
      <c r="B491">
        <f>IF($J491="","",SUMIFS('Weekly Log'!$C:$C,'Weekly Log'!$A:$A,"&gt;="&amp;$J491,'Weekly Log'!$A:$A,"&lt;"&amp;$J491+7))</f>
        <v/>
      </c>
      <c r="C491">
        <f>IF($J491="","",IFERROR(COUNTIFS('Weekly Log'!$G:$G,"Y",'Weekly Log'!$A:$A,"&gt;="&amp;$J491,'Weekly Log'!$A:$A,"&lt;"&amp;$J491+7)/COUNTIFS('Weekly Log'!$G:$G,"&lt;&gt;",'Weekly Log'!$A:$A,"&gt;="&amp;$J491,'Weekly Log'!$A:$A,"&lt;"&amp;$J491+7),0))</f>
        <v/>
      </c>
      <c r="D491">
        <f>IF($J491="","",IFERROR(COUNTIFS('Weekly Log'!$H:$H,"Y",'Weekly Log'!$A:$A,"&gt;="&amp;$J491,'Weekly Log'!$A:$A,"&lt;"&amp;$J491+7)/COUNTIFS('Weekly Log'!$H:$H,"&lt;&gt;",'Weekly Log'!$A:$A,"&gt;="&amp;$J491,'Weekly Log'!$A:$A,"&lt;"&amp;$J491+7),0))</f>
        <v/>
      </c>
      <c r="E491">
        <f>IF($J491="","",IFERROR(AVERAGEIFS('Weekly Log'!$F:$F,'Weekly Log'!$A:$A,"&gt;="&amp;$J491,'Weekly Log'!$A:$A,"&lt;"&amp;$J491+7),0))</f>
        <v/>
      </c>
      <c r="F491">
        <f>IF($J491="","",IFERROR(SUMIFS('Weekly Log'!$F:$F,'Weekly Log'!$A:$A,"&gt;="&amp;$J491,'Weekly Log'!$A:$A,"&lt;"&amp;$J491+7)/SUMIFS('Weekly Log'!$E:$E,'Weekly Log'!$A:$A,"&gt;="&amp;$J491,'Weekly Log'!$A:$A,"&lt;"&amp;$J491+7),0))</f>
        <v/>
      </c>
      <c r="G491">
        <f>IF($J491="","",IFERROR(LOOKUP(2,1/(('Weekly Log'!$A$5:$A$5000&gt;=$J491)*('Weekly Log'!$A$5:$A$5000&lt;$J491+7)*('Weekly Log'!$M$5:$M$5000&lt;&gt;"")),'Weekly Log'!$M$5:$M$5000),0))</f>
        <v/>
      </c>
      <c r="J491">
        <f>IF(COUNT('Weekly Log'!$A$5:$A$5000)=0,"",IF(MIN('Weekly Log'!$A$5:$A$5000)+7*(ROW()-10)&gt;MAX('Weekly Log'!$A$5:$A$5000),"",MIN('Weekly Log'!$A$5:$A$5000)+7*(ROW()-10)))</f>
        <v/>
      </c>
    </row>
    <row r="492">
      <c r="A492">
        <f>IF($J492="","",YEAR($J492-WEEKDAY($J492,2)+4)&amp;"-W"&amp;TEXT(WEEKNUM($J492,21),"00"))</f>
        <v/>
      </c>
      <c r="B492">
        <f>IF($J492="","",SUMIFS('Weekly Log'!$C:$C,'Weekly Log'!$A:$A,"&gt;="&amp;$J492,'Weekly Log'!$A:$A,"&lt;"&amp;$J492+7))</f>
        <v/>
      </c>
      <c r="C492">
        <f>IF($J492="","",IFERROR(COUNTIFS('Weekly Log'!$G:$G,"Y",'Weekly Log'!$A:$A,"&gt;="&amp;$J492,'Weekly Log'!$A:$A,"&lt;"&amp;$J492+7)/COUNTIFS('Weekly Log'!$G:$G,"&lt;&gt;",'Weekly Log'!$A:$A,"&gt;="&amp;$J492,'Weekly Log'!$A:$A,"&lt;"&amp;$J492+7),0))</f>
        <v/>
      </c>
      <c r="D492">
        <f>IF($J492="","",IFERROR(COUNTIFS('Weekly Log'!$H:$H,"Y",'Weekly Log'!$A:$A,"&gt;="&amp;$J492,'Weekly Log'!$A:$A,"&lt;"&amp;$J492+7)/COUNTIFS('Weekly Log'!$H:$H,"&lt;&gt;",'Weekly Log'!$A:$A,"&gt;="&amp;$J492,'Weekly Log'!$A:$A,"&lt;"&amp;$J492+7),0))</f>
        <v/>
      </c>
      <c r="E492">
        <f>IF($J492="","",IFERROR(AVERAGEIFS('Weekly Log'!$F:$F,'Weekly Log'!$A:$A,"&gt;="&amp;$J492,'Weekly Log'!$A:$A,"&lt;"&amp;$J492+7),0))</f>
        <v/>
      </c>
      <c r="F492">
        <f>IF($J492="","",IFERROR(SUMIFS('Weekly Log'!$F:$F,'Weekly Log'!$A:$A,"&gt;="&amp;$J492,'Weekly Log'!$A:$A,"&lt;"&amp;$J492+7)/SUMIFS('Weekly Log'!$E:$E,'Weekly Log'!$A:$A,"&gt;="&amp;$J492,'Weekly Log'!$A:$A,"&lt;"&amp;$J492+7),0))</f>
        <v/>
      </c>
      <c r="G492">
        <f>IF($J492="","",IFERROR(LOOKUP(2,1/(('Weekly Log'!$A$5:$A$5000&gt;=$J492)*('Weekly Log'!$A$5:$A$5000&lt;$J492+7)*('Weekly Log'!$M$5:$M$5000&lt;&gt;"")),'Weekly Log'!$M$5:$M$5000),0))</f>
        <v/>
      </c>
      <c r="J492">
        <f>IF(COUNT('Weekly Log'!$A$5:$A$5000)=0,"",IF(MIN('Weekly Log'!$A$5:$A$5000)+7*(ROW()-10)&gt;MAX('Weekly Log'!$A$5:$A$5000),"",MIN('Weekly Log'!$A$5:$A$5000)+7*(ROW()-10)))</f>
        <v/>
      </c>
    </row>
    <row r="493">
      <c r="A493">
        <f>IF($J493="","",YEAR($J493-WEEKDAY($J493,2)+4)&amp;"-W"&amp;TEXT(WEEKNUM($J493,21),"00"))</f>
        <v/>
      </c>
      <c r="B493">
        <f>IF($J493="","",SUMIFS('Weekly Log'!$C:$C,'Weekly Log'!$A:$A,"&gt;="&amp;$J493,'Weekly Log'!$A:$A,"&lt;"&amp;$J493+7))</f>
        <v/>
      </c>
      <c r="C493">
        <f>IF($J493="","",IFERROR(COUNTIFS('Weekly Log'!$G:$G,"Y",'Weekly Log'!$A:$A,"&gt;="&amp;$J493,'Weekly Log'!$A:$A,"&lt;"&amp;$J493+7)/COUNTIFS('Weekly Log'!$G:$G,"&lt;&gt;",'Weekly Log'!$A:$A,"&gt;="&amp;$J493,'Weekly Log'!$A:$A,"&lt;"&amp;$J493+7),0))</f>
        <v/>
      </c>
      <c r="D493">
        <f>IF($J493="","",IFERROR(COUNTIFS('Weekly Log'!$H:$H,"Y",'Weekly Log'!$A:$A,"&gt;="&amp;$J493,'Weekly Log'!$A:$A,"&lt;"&amp;$J493+7)/COUNTIFS('Weekly Log'!$H:$H,"&lt;&gt;",'Weekly Log'!$A:$A,"&gt;="&amp;$J493,'Weekly Log'!$A:$A,"&lt;"&amp;$J493+7),0))</f>
        <v/>
      </c>
      <c r="E493">
        <f>IF($J493="","",IFERROR(AVERAGEIFS('Weekly Log'!$F:$F,'Weekly Log'!$A:$A,"&gt;="&amp;$J493,'Weekly Log'!$A:$A,"&lt;"&amp;$J493+7),0))</f>
        <v/>
      </c>
      <c r="F493">
        <f>IF($J493="","",IFERROR(SUMIFS('Weekly Log'!$F:$F,'Weekly Log'!$A:$A,"&gt;="&amp;$J493,'Weekly Log'!$A:$A,"&lt;"&amp;$J493+7)/SUMIFS('Weekly Log'!$E:$E,'Weekly Log'!$A:$A,"&gt;="&amp;$J493,'Weekly Log'!$A:$A,"&lt;"&amp;$J493+7),0))</f>
        <v/>
      </c>
      <c r="G493">
        <f>IF($J493="","",IFERROR(LOOKUP(2,1/(('Weekly Log'!$A$5:$A$5000&gt;=$J493)*('Weekly Log'!$A$5:$A$5000&lt;$J493+7)*('Weekly Log'!$M$5:$M$5000&lt;&gt;"")),'Weekly Log'!$M$5:$M$5000),0))</f>
        <v/>
      </c>
      <c r="J493">
        <f>IF(COUNT('Weekly Log'!$A$5:$A$5000)=0,"",IF(MIN('Weekly Log'!$A$5:$A$5000)+7*(ROW()-10)&gt;MAX('Weekly Log'!$A$5:$A$5000),"",MIN('Weekly Log'!$A$5:$A$5000)+7*(ROW()-10)))</f>
        <v/>
      </c>
    </row>
    <row r="494">
      <c r="A494">
        <f>IF($J494="","",YEAR($J494-WEEKDAY($J494,2)+4)&amp;"-W"&amp;TEXT(WEEKNUM($J494,21),"00"))</f>
        <v/>
      </c>
      <c r="B494">
        <f>IF($J494="","",SUMIFS('Weekly Log'!$C:$C,'Weekly Log'!$A:$A,"&gt;="&amp;$J494,'Weekly Log'!$A:$A,"&lt;"&amp;$J494+7))</f>
        <v/>
      </c>
      <c r="C494">
        <f>IF($J494="","",IFERROR(COUNTIFS('Weekly Log'!$G:$G,"Y",'Weekly Log'!$A:$A,"&gt;="&amp;$J494,'Weekly Log'!$A:$A,"&lt;"&amp;$J494+7)/COUNTIFS('Weekly Log'!$G:$G,"&lt;&gt;",'Weekly Log'!$A:$A,"&gt;="&amp;$J494,'Weekly Log'!$A:$A,"&lt;"&amp;$J494+7),0))</f>
        <v/>
      </c>
      <c r="D494">
        <f>IF($J494="","",IFERROR(COUNTIFS('Weekly Log'!$H:$H,"Y",'Weekly Log'!$A:$A,"&gt;="&amp;$J494,'Weekly Log'!$A:$A,"&lt;"&amp;$J494+7)/COUNTIFS('Weekly Log'!$H:$H,"&lt;&gt;",'Weekly Log'!$A:$A,"&gt;="&amp;$J494,'Weekly Log'!$A:$A,"&lt;"&amp;$J494+7),0))</f>
        <v/>
      </c>
      <c r="E494">
        <f>IF($J494="","",IFERROR(AVERAGEIFS('Weekly Log'!$F:$F,'Weekly Log'!$A:$A,"&gt;="&amp;$J494,'Weekly Log'!$A:$A,"&lt;"&amp;$J494+7),0))</f>
        <v/>
      </c>
      <c r="F494">
        <f>IF($J494="","",IFERROR(SUMIFS('Weekly Log'!$F:$F,'Weekly Log'!$A:$A,"&gt;="&amp;$J494,'Weekly Log'!$A:$A,"&lt;"&amp;$J494+7)/SUMIFS('Weekly Log'!$E:$E,'Weekly Log'!$A:$A,"&gt;="&amp;$J494,'Weekly Log'!$A:$A,"&lt;"&amp;$J494+7),0))</f>
        <v/>
      </c>
      <c r="G494">
        <f>IF($J494="","",IFERROR(LOOKUP(2,1/(('Weekly Log'!$A$5:$A$5000&gt;=$J494)*('Weekly Log'!$A$5:$A$5000&lt;$J494+7)*('Weekly Log'!$M$5:$M$5000&lt;&gt;"")),'Weekly Log'!$M$5:$M$5000),0))</f>
        <v/>
      </c>
      <c r="J494">
        <f>IF(COUNT('Weekly Log'!$A$5:$A$5000)=0,"",IF(MIN('Weekly Log'!$A$5:$A$5000)+7*(ROW()-10)&gt;MAX('Weekly Log'!$A$5:$A$5000),"",MIN('Weekly Log'!$A$5:$A$5000)+7*(ROW()-10)))</f>
        <v/>
      </c>
    </row>
    <row r="495">
      <c r="A495">
        <f>IF($J495="","",YEAR($J495-WEEKDAY($J495,2)+4)&amp;"-W"&amp;TEXT(WEEKNUM($J495,21),"00"))</f>
        <v/>
      </c>
      <c r="B495">
        <f>IF($J495="","",SUMIFS('Weekly Log'!$C:$C,'Weekly Log'!$A:$A,"&gt;="&amp;$J495,'Weekly Log'!$A:$A,"&lt;"&amp;$J495+7))</f>
        <v/>
      </c>
      <c r="C495">
        <f>IF($J495="","",IFERROR(COUNTIFS('Weekly Log'!$G:$G,"Y",'Weekly Log'!$A:$A,"&gt;="&amp;$J495,'Weekly Log'!$A:$A,"&lt;"&amp;$J495+7)/COUNTIFS('Weekly Log'!$G:$G,"&lt;&gt;",'Weekly Log'!$A:$A,"&gt;="&amp;$J495,'Weekly Log'!$A:$A,"&lt;"&amp;$J495+7),0))</f>
        <v/>
      </c>
      <c r="D495">
        <f>IF($J495="","",IFERROR(COUNTIFS('Weekly Log'!$H:$H,"Y",'Weekly Log'!$A:$A,"&gt;="&amp;$J495,'Weekly Log'!$A:$A,"&lt;"&amp;$J495+7)/COUNTIFS('Weekly Log'!$H:$H,"&lt;&gt;",'Weekly Log'!$A:$A,"&gt;="&amp;$J495,'Weekly Log'!$A:$A,"&lt;"&amp;$J495+7),0))</f>
        <v/>
      </c>
      <c r="E495">
        <f>IF($J495="","",IFERROR(AVERAGEIFS('Weekly Log'!$F:$F,'Weekly Log'!$A:$A,"&gt;="&amp;$J495,'Weekly Log'!$A:$A,"&lt;"&amp;$J495+7),0))</f>
        <v/>
      </c>
      <c r="F495">
        <f>IF($J495="","",IFERROR(SUMIFS('Weekly Log'!$F:$F,'Weekly Log'!$A:$A,"&gt;="&amp;$J495,'Weekly Log'!$A:$A,"&lt;"&amp;$J495+7)/SUMIFS('Weekly Log'!$E:$E,'Weekly Log'!$A:$A,"&gt;="&amp;$J495,'Weekly Log'!$A:$A,"&lt;"&amp;$J495+7),0))</f>
        <v/>
      </c>
      <c r="G495">
        <f>IF($J495="","",IFERROR(LOOKUP(2,1/(('Weekly Log'!$A$5:$A$5000&gt;=$J495)*('Weekly Log'!$A$5:$A$5000&lt;$J495+7)*('Weekly Log'!$M$5:$M$5000&lt;&gt;"")),'Weekly Log'!$M$5:$M$5000),0))</f>
        <v/>
      </c>
      <c r="J495">
        <f>IF(COUNT('Weekly Log'!$A$5:$A$5000)=0,"",IF(MIN('Weekly Log'!$A$5:$A$5000)+7*(ROW()-10)&gt;MAX('Weekly Log'!$A$5:$A$5000),"",MIN('Weekly Log'!$A$5:$A$5000)+7*(ROW()-10)))</f>
        <v/>
      </c>
    </row>
    <row r="496">
      <c r="A496">
        <f>IF($J496="","",YEAR($J496-WEEKDAY($J496,2)+4)&amp;"-W"&amp;TEXT(WEEKNUM($J496,21),"00"))</f>
        <v/>
      </c>
      <c r="B496">
        <f>IF($J496="","",SUMIFS('Weekly Log'!$C:$C,'Weekly Log'!$A:$A,"&gt;="&amp;$J496,'Weekly Log'!$A:$A,"&lt;"&amp;$J496+7))</f>
        <v/>
      </c>
      <c r="C496">
        <f>IF($J496="","",IFERROR(COUNTIFS('Weekly Log'!$G:$G,"Y",'Weekly Log'!$A:$A,"&gt;="&amp;$J496,'Weekly Log'!$A:$A,"&lt;"&amp;$J496+7)/COUNTIFS('Weekly Log'!$G:$G,"&lt;&gt;",'Weekly Log'!$A:$A,"&gt;="&amp;$J496,'Weekly Log'!$A:$A,"&lt;"&amp;$J496+7),0))</f>
        <v/>
      </c>
      <c r="D496">
        <f>IF($J496="","",IFERROR(COUNTIFS('Weekly Log'!$H:$H,"Y",'Weekly Log'!$A:$A,"&gt;="&amp;$J496,'Weekly Log'!$A:$A,"&lt;"&amp;$J496+7)/COUNTIFS('Weekly Log'!$H:$H,"&lt;&gt;",'Weekly Log'!$A:$A,"&gt;="&amp;$J496,'Weekly Log'!$A:$A,"&lt;"&amp;$J496+7),0))</f>
        <v/>
      </c>
      <c r="E496">
        <f>IF($J496="","",IFERROR(AVERAGEIFS('Weekly Log'!$F:$F,'Weekly Log'!$A:$A,"&gt;="&amp;$J496,'Weekly Log'!$A:$A,"&lt;"&amp;$J496+7),0))</f>
        <v/>
      </c>
      <c r="F496">
        <f>IF($J496="","",IFERROR(SUMIFS('Weekly Log'!$F:$F,'Weekly Log'!$A:$A,"&gt;="&amp;$J496,'Weekly Log'!$A:$A,"&lt;"&amp;$J496+7)/SUMIFS('Weekly Log'!$E:$E,'Weekly Log'!$A:$A,"&gt;="&amp;$J496,'Weekly Log'!$A:$A,"&lt;"&amp;$J496+7),0))</f>
        <v/>
      </c>
      <c r="G496">
        <f>IF($J496="","",IFERROR(LOOKUP(2,1/(('Weekly Log'!$A$5:$A$5000&gt;=$J496)*('Weekly Log'!$A$5:$A$5000&lt;$J496+7)*('Weekly Log'!$M$5:$M$5000&lt;&gt;"")),'Weekly Log'!$M$5:$M$5000),0))</f>
        <v/>
      </c>
      <c r="J496">
        <f>IF(COUNT('Weekly Log'!$A$5:$A$5000)=0,"",IF(MIN('Weekly Log'!$A$5:$A$5000)+7*(ROW()-10)&gt;MAX('Weekly Log'!$A$5:$A$5000),"",MIN('Weekly Log'!$A$5:$A$5000)+7*(ROW()-10)))</f>
        <v/>
      </c>
    </row>
    <row r="497">
      <c r="A497">
        <f>IF($J497="","",YEAR($J497-WEEKDAY($J497,2)+4)&amp;"-W"&amp;TEXT(WEEKNUM($J497,21),"00"))</f>
        <v/>
      </c>
      <c r="B497">
        <f>IF($J497="","",SUMIFS('Weekly Log'!$C:$C,'Weekly Log'!$A:$A,"&gt;="&amp;$J497,'Weekly Log'!$A:$A,"&lt;"&amp;$J497+7))</f>
        <v/>
      </c>
      <c r="C497">
        <f>IF($J497="","",IFERROR(COUNTIFS('Weekly Log'!$G:$G,"Y",'Weekly Log'!$A:$A,"&gt;="&amp;$J497,'Weekly Log'!$A:$A,"&lt;"&amp;$J497+7)/COUNTIFS('Weekly Log'!$G:$G,"&lt;&gt;",'Weekly Log'!$A:$A,"&gt;="&amp;$J497,'Weekly Log'!$A:$A,"&lt;"&amp;$J497+7),0))</f>
        <v/>
      </c>
      <c r="D497">
        <f>IF($J497="","",IFERROR(COUNTIFS('Weekly Log'!$H:$H,"Y",'Weekly Log'!$A:$A,"&gt;="&amp;$J497,'Weekly Log'!$A:$A,"&lt;"&amp;$J497+7)/COUNTIFS('Weekly Log'!$H:$H,"&lt;&gt;",'Weekly Log'!$A:$A,"&gt;="&amp;$J497,'Weekly Log'!$A:$A,"&lt;"&amp;$J497+7),0))</f>
        <v/>
      </c>
      <c r="E497">
        <f>IF($J497="","",IFERROR(AVERAGEIFS('Weekly Log'!$F:$F,'Weekly Log'!$A:$A,"&gt;="&amp;$J497,'Weekly Log'!$A:$A,"&lt;"&amp;$J497+7),0))</f>
        <v/>
      </c>
      <c r="F497">
        <f>IF($J497="","",IFERROR(SUMIFS('Weekly Log'!$F:$F,'Weekly Log'!$A:$A,"&gt;="&amp;$J497,'Weekly Log'!$A:$A,"&lt;"&amp;$J497+7)/SUMIFS('Weekly Log'!$E:$E,'Weekly Log'!$A:$A,"&gt;="&amp;$J497,'Weekly Log'!$A:$A,"&lt;"&amp;$J497+7),0))</f>
        <v/>
      </c>
      <c r="G497">
        <f>IF($J497="","",IFERROR(LOOKUP(2,1/(('Weekly Log'!$A$5:$A$5000&gt;=$J497)*('Weekly Log'!$A$5:$A$5000&lt;$J497+7)*('Weekly Log'!$M$5:$M$5000&lt;&gt;"")),'Weekly Log'!$M$5:$M$5000),0))</f>
        <v/>
      </c>
      <c r="J497">
        <f>IF(COUNT('Weekly Log'!$A$5:$A$5000)=0,"",IF(MIN('Weekly Log'!$A$5:$A$5000)+7*(ROW()-10)&gt;MAX('Weekly Log'!$A$5:$A$5000),"",MIN('Weekly Log'!$A$5:$A$5000)+7*(ROW()-10)))</f>
        <v/>
      </c>
    </row>
    <row r="498">
      <c r="A498">
        <f>IF($J498="","",YEAR($J498-WEEKDAY($J498,2)+4)&amp;"-W"&amp;TEXT(WEEKNUM($J498,21),"00"))</f>
        <v/>
      </c>
      <c r="B498">
        <f>IF($J498="","",SUMIFS('Weekly Log'!$C:$C,'Weekly Log'!$A:$A,"&gt;="&amp;$J498,'Weekly Log'!$A:$A,"&lt;"&amp;$J498+7))</f>
        <v/>
      </c>
      <c r="C498">
        <f>IF($J498="","",IFERROR(COUNTIFS('Weekly Log'!$G:$G,"Y",'Weekly Log'!$A:$A,"&gt;="&amp;$J498,'Weekly Log'!$A:$A,"&lt;"&amp;$J498+7)/COUNTIFS('Weekly Log'!$G:$G,"&lt;&gt;",'Weekly Log'!$A:$A,"&gt;="&amp;$J498,'Weekly Log'!$A:$A,"&lt;"&amp;$J498+7),0))</f>
        <v/>
      </c>
      <c r="D498">
        <f>IF($J498="","",IFERROR(COUNTIFS('Weekly Log'!$H:$H,"Y",'Weekly Log'!$A:$A,"&gt;="&amp;$J498,'Weekly Log'!$A:$A,"&lt;"&amp;$J498+7)/COUNTIFS('Weekly Log'!$H:$H,"&lt;&gt;",'Weekly Log'!$A:$A,"&gt;="&amp;$J498,'Weekly Log'!$A:$A,"&lt;"&amp;$J498+7),0))</f>
        <v/>
      </c>
      <c r="E498">
        <f>IF($J498="","",IFERROR(AVERAGEIFS('Weekly Log'!$F:$F,'Weekly Log'!$A:$A,"&gt;="&amp;$J498,'Weekly Log'!$A:$A,"&lt;"&amp;$J498+7),0))</f>
        <v/>
      </c>
      <c r="F498">
        <f>IF($J498="","",IFERROR(SUMIFS('Weekly Log'!$F:$F,'Weekly Log'!$A:$A,"&gt;="&amp;$J498,'Weekly Log'!$A:$A,"&lt;"&amp;$J498+7)/SUMIFS('Weekly Log'!$E:$E,'Weekly Log'!$A:$A,"&gt;="&amp;$J498,'Weekly Log'!$A:$A,"&lt;"&amp;$J498+7),0))</f>
        <v/>
      </c>
      <c r="G498">
        <f>IF($J498="","",IFERROR(LOOKUP(2,1/(('Weekly Log'!$A$5:$A$5000&gt;=$J498)*('Weekly Log'!$A$5:$A$5000&lt;$J498+7)*('Weekly Log'!$M$5:$M$5000&lt;&gt;"")),'Weekly Log'!$M$5:$M$5000),0))</f>
        <v/>
      </c>
      <c r="J498">
        <f>IF(COUNT('Weekly Log'!$A$5:$A$5000)=0,"",IF(MIN('Weekly Log'!$A$5:$A$5000)+7*(ROW()-10)&gt;MAX('Weekly Log'!$A$5:$A$5000),"",MIN('Weekly Log'!$A$5:$A$5000)+7*(ROW()-10)))</f>
        <v/>
      </c>
    </row>
    <row r="499">
      <c r="A499">
        <f>IF($J499="","",YEAR($J499-WEEKDAY($J499,2)+4)&amp;"-W"&amp;TEXT(WEEKNUM($J499,21),"00"))</f>
        <v/>
      </c>
      <c r="B499">
        <f>IF($J499="","",SUMIFS('Weekly Log'!$C:$C,'Weekly Log'!$A:$A,"&gt;="&amp;$J499,'Weekly Log'!$A:$A,"&lt;"&amp;$J499+7))</f>
        <v/>
      </c>
      <c r="C499">
        <f>IF($J499="","",IFERROR(COUNTIFS('Weekly Log'!$G:$G,"Y",'Weekly Log'!$A:$A,"&gt;="&amp;$J499,'Weekly Log'!$A:$A,"&lt;"&amp;$J499+7)/COUNTIFS('Weekly Log'!$G:$G,"&lt;&gt;",'Weekly Log'!$A:$A,"&gt;="&amp;$J499,'Weekly Log'!$A:$A,"&lt;"&amp;$J499+7),0))</f>
        <v/>
      </c>
      <c r="D499">
        <f>IF($J499="","",IFERROR(COUNTIFS('Weekly Log'!$H:$H,"Y",'Weekly Log'!$A:$A,"&gt;="&amp;$J499,'Weekly Log'!$A:$A,"&lt;"&amp;$J499+7)/COUNTIFS('Weekly Log'!$H:$H,"&lt;&gt;",'Weekly Log'!$A:$A,"&gt;="&amp;$J499,'Weekly Log'!$A:$A,"&lt;"&amp;$J499+7),0))</f>
        <v/>
      </c>
      <c r="E499">
        <f>IF($J499="","",IFERROR(AVERAGEIFS('Weekly Log'!$F:$F,'Weekly Log'!$A:$A,"&gt;="&amp;$J499,'Weekly Log'!$A:$A,"&lt;"&amp;$J499+7),0))</f>
        <v/>
      </c>
      <c r="F499">
        <f>IF($J499="","",IFERROR(SUMIFS('Weekly Log'!$F:$F,'Weekly Log'!$A:$A,"&gt;="&amp;$J499,'Weekly Log'!$A:$A,"&lt;"&amp;$J499+7)/SUMIFS('Weekly Log'!$E:$E,'Weekly Log'!$A:$A,"&gt;="&amp;$J499,'Weekly Log'!$A:$A,"&lt;"&amp;$J499+7),0))</f>
        <v/>
      </c>
      <c r="G499">
        <f>IF($J499="","",IFERROR(LOOKUP(2,1/(('Weekly Log'!$A$5:$A$5000&gt;=$J499)*('Weekly Log'!$A$5:$A$5000&lt;$J499+7)*('Weekly Log'!$M$5:$M$5000&lt;&gt;"")),'Weekly Log'!$M$5:$M$5000),0))</f>
        <v/>
      </c>
      <c r="J499">
        <f>IF(COUNT('Weekly Log'!$A$5:$A$5000)=0,"",IF(MIN('Weekly Log'!$A$5:$A$5000)+7*(ROW()-10)&gt;MAX('Weekly Log'!$A$5:$A$5000),"",MIN('Weekly Log'!$A$5:$A$5000)+7*(ROW()-10)))</f>
        <v/>
      </c>
    </row>
    <row r="500">
      <c r="A500">
        <f>IF($J500="","",YEAR($J500-WEEKDAY($J500,2)+4)&amp;"-W"&amp;TEXT(WEEKNUM($J500,21),"00"))</f>
        <v/>
      </c>
      <c r="B500">
        <f>IF($J500="","",SUMIFS('Weekly Log'!$C:$C,'Weekly Log'!$A:$A,"&gt;="&amp;$J500,'Weekly Log'!$A:$A,"&lt;"&amp;$J500+7))</f>
        <v/>
      </c>
      <c r="C500">
        <f>IF($J500="","",IFERROR(COUNTIFS('Weekly Log'!$G:$G,"Y",'Weekly Log'!$A:$A,"&gt;="&amp;$J500,'Weekly Log'!$A:$A,"&lt;"&amp;$J500+7)/COUNTIFS('Weekly Log'!$G:$G,"&lt;&gt;",'Weekly Log'!$A:$A,"&gt;="&amp;$J500,'Weekly Log'!$A:$A,"&lt;"&amp;$J500+7),0))</f>
        <v/>
      </c>
      <c r="D500">
        <f>IF($J500="","",IFERROR(COUNTIFS('Weekly Log'!$H:$H,"Y",'Weekly Log'!$A:$A,"&gt;="&amp;$J500,'Weekly Log'!$A:$A,"&lt;"&amp;$J500+7)/COUNTIFS('Weekly Log'!$H:$H,"&lt;&gt;",'Weekly Log'!$A:$A,"&gt;="&amp;$J500,'Weekly Log'!$A:$A,"&lt;"&amp;$J500+7),0))</f>
        <v/>
      </c>
      <c r="E500">
        <f>IF($J500="","",IFERROR(AVERAGEIFS('Weekly Log'!$F:$F,'Weekly Log'!$A:$A,"&gt;="&amp;$J500,'Weekly Log'!$A:$A,"&lt;"&amp;$J500+7),0))</f>
        <v/>
      </c>
      <c r="F500">
        <f>IF($J500="","",IFERROR(SUMIFS('Weekly Log'!$F:$F,'Weekly Log'!$A:$A,"&gt;="&amp;$J500,'Weekly Log'!$A:$A,"&lt;"&amp;$J500+7)/SUMIFS('Weekly Log'!$E:$E,'Weekly Log'!$A:$A,"&gt;="&amp;$J500,'Weekly Log'!$A:$A,"&lt;"&amp;$J500+7),0))</f>
        <v/>
      </c>
      <c r="G500">
        <f>IF($J500="","",IFERROR(LOOKUP(2,1/(('Weekly Log'!$A$5:$A$5000&gt;=$J500)*('Weekly Log'!$A$5:$A$5000&lt;$J500+7)*('Weekly Log'!$M$5:$M$5000&lt;&gt;"")),'Weekly Log'!$M$5:$M$5000),0))</f>
        <v/>
      </c>
      <c r="J500">
        <f>IF(COUNT('Weekly Log'!$A$5:$A$5000)=0,"",IF(MIN('Weekly Log'!$A$5:$A$5000)+7*(ROW()-10)&gt;MAX('Weekly Log'!$A$5:$A$5000),"",MIN('Weekly Log'!$A$5:$A$5000)+7*(ROW()-10)))</f>
        <v/>
      </c>
    </row>
    <row r="501">
      <c r="A501">
        <f>IF($J501="","",YEAR($J501-WEEKDAY($J501,2)+4)&amp;"-W"&amp;TEXT(WEEKNUM($J501,21),"00"))</f>
        <v/>
      </c>
      <c r="B501">
        <f>IF($J501="","",SUMIFS('Weekly Log'!$C:$C,'Weekly Log'!$A:$A,"&gt;="&amp;$J501,'Weekly Log'!$A:$A,"&lt;"&amp;$J501+7))</f>
        <v/>
      </c>
      <c r="C501">
        <f>IF($J501="","",IFERROR(COUNTIFS('Weekly Log'!$G:$G,"Y",'Weekly Log'!$A:$A,"&gt;="&amp;$J501,'Weekly Log'!$A:$A,"&lt;"&amp;$J501+7)/COUNTIFS('Weekly Log'!$G:$G,"&lt;&gt;",'Weekly Log'!$A:$A,"&gt;="&amp;$J501,'Weekly Log'!$A:$A,"&lt;"&amp;$J501+7),0))</f>
        <v/>
      </c>
      <c r="D501">
        <f>IF($J501="","",IFERROR(COUNTIFS('Weekly Log'!$H:$H,"Y",'Weekly Log'!$A:$A,"&gt;="&amp;$J501,'Weekly Log'!$A:$A,"&lt;"&amp;$J501+7)/COUNTIFS('Weekly Log'!$H:$H,"&lt;&gt;",'Weekly Log'!$A:$A,"&gt;="&amp;$J501,'Weekly Log'!$A:$A,"&lt;"&amp;$J501+7),0))</f>
        <v/>
      </c>
      <c r="E501">
        <f>IF($J501="","",IFERROR(AVERAGEIFS('Weekly Log'!$F:$F,'Weekly Log'!$A:$A,"&gt;="&amp;$J501,'Weekly Log'!$A:$A,"&lt;"&amp;$J501+7),0))</f>
        <v/>
      </c>
      <c r="F501">
        <f>IF($J501="","",IFERROR(SUMIFS('Weekly Log'!$F:$F,'Weekly Log'!$A:$A,"&gt;="&amp;$J501,'Weekly Log'!$A:$A,"&lt;"&amp;$J501+7)/SUMIFS('Weekly Log'!$E:$E,'Weekly Log'!$A:$A,"&gt;="&amp;$J501,'Weekly Log'!$A:$A,"&lt;"&amp;$J501+7),0))</f>
        <v/>
      </c>
      <c r="G501">
        <f>IF($J501="","",IFERROR(LOOKUP(2,1/(('Weekly Log'!$A$5:$A$5000&gt;=$J501)*('Weekly Log'!$A$5:$A$5000&lt;$J501+7)*('Weekly Log'!$M$5:$M$5000&lt;&gt;"")),'Weekly Log'!$M$5:$M$5000),0))</f>
        <v/>
      </c>
      <c r="J501">
        <f>IF(COUNT('Weekly Log'!$A$5:$A$5000)=0,"",IF(MIN('Weekly Log'!$A$5:$A$5000)+7*(ROW()-10)&gt;MAX('Weekly Log'!$A$5:$A$5000),"",MIN('Weekly Log'!$A$5:$A$5000)+7*(ROW()-10)))</f>
        <v/>
      </c>
    </row>
    <row r="502">
      <c r="A502">
        <f>IF($J502="","",YEAR($J502-WEEKDAY($J502,2)+4)&amp;"-W"&amp;TEXT(WEEKNUM($J502,21),"00"))</f>
        <v/>
      </c>
      <c r="B502">
        <f>IF($J502="","",SUMIFS('Weekly Log'!$C:$C,'Weekly Log'!$A:$A,"&gt;="&amp;$J502,'Weekly Log'!$A:$A,"&lt;"&amp;$J502+7))</f>
        <v/>
      </c>
      <c r="C502">
        <f>IF($J502="","",IFERROR(COUNTIFS('Weekly Log'!$G:$G,"Y",'Weekly Log'!$A:$A,"&gt;="&amp;$J502,'Weekly Log'!$A:$A,"&lt;"&amp;$J502+7)/COUNTIFS('Weekly Log'!$G:$G,"&lt;&gt;",'Weekly Log'!$A:$A,"&gt;="&amp;$J502,'Weekly Log'!$A:$A,"&lt;"&amp;$J502+7),0))</f>
        <v/>
      </c>
      <c r="D502">
        <f>IF($J502="","",IFERROR(COUNTIFS('Weekly Log'!$H:$H,"Y",'Weekly Log'!$A:$A,"&gt;="&amp;$J502,'Weekly Log'!$A:$A,"&lt;"&amp;$J502+7)/COUNTIFS('Weekly Log'!$H:$H,"&lt;&gt;",'Weekly Log'!$A:$A,"&gt;="&amp;$J502,'Weekly Log'!$A:$A,"&lt;"&amp;$J502+7),0))</f>
        <v/>
      </c>
      <c r="E502">
        <f>IF($J502="","",IFERROR(AVERAGEIFS('Weekly Log'!$F:$F,'Weekly Log'!$A:$A,"&gt;="&amp;$J502,'Weekly Log'!$A:$A,"&lt;"&amp;$J502+7),0))</f>
        <v/>
      </c>
      <c r="F502">
        <f>IF($J502="","",IFERROR(SUMIFS('Weekly Log'!$F:$F,'Weekly Log'!$A:$A,"&gt;="&amp;$J502,'Weekly Log'!$A:$A,"&lt;"&amp;$J502+7)/SUMIFS('Weekly Log'!$E:$E,'Weekly Log'!$A:$A,"&gt;="&amp;$J502,'Weekly Log'!$A:$A,"&lt;"&amp;$J502+7),0))</f>
        <v/>
      </c>
      <c r="G502">
        <f>IF($J502="","",IFERROR(LOOKUP(2,1/(('Weekly Log'!$A$5:$A$5000&gt;=$J502)*('Weekly Log'!$A$5:$A$5000&lt;$J502+7)*('Weekly Log'!$M$5:$M$5000&lt;&gt;"")),'Weekly Log'!$M$5:$M$5000),0))</f>
        <v/>
      </c>
      <c r="J502">
        <f>IF(COUNT('Weekly Log'!$A$5:$A$5000)=0,"",IF(MIN('Weekly Log'!$A$5:$A$5000)+7*(ROW()-10)&gt;MAX('Weekly Log'!$A$5:$A$5000),"",MIN('Weekly Log'!$A$5:$A$5000)+7*(ROW()-10)))</f>
        <v/>
      </c>
    </row>
    <row r="503">
      <c r="A503">
        <f>IF($J503="","",YEAR($J503-WEEKDAY($J503,2)+4)&amp;"-W"&amp;TEXT(WEEKNUM($J503,21),"00"))</f>
        <v/>
      </c>
      <c r="B503">
        <f>IF($J503="","",SUMIFS('Weekly Log'!$C:$C,'Weekly Log'!$A:$A,"&gt;="&amp;$J503,'Weekly Log'!$A:$A,"&lt;"&amp;$J503+7))</f>
        <v/>
      </c>
      <c r="C503">
        <f>IF($J503="","",IFERROR(COUNTIFS('Weekly Log'!$G:$G,"Y",'Weekly Log'!$A:$A,"&gt;="&amp;$J503,'Weekly Log'!$A:$A,"&lt;"&amp;$J503+7)/COUNTIFS('Weekly Log'!$G:$G,"&lt;&gt;",'Weekly Log'!$A:$A,"&gt;="&amp;$J503,'Weekly Log'!$A:$A,"&lt;"&amp;$J503+7),0))</f>
        <v/>
      </c>
      <c r="D503">
        <f>IF($J503="","",IFERROR(COUNTIFS('Weekly Log'!$H:$H,"Y",'Weekly Log'!$A:$A,"&gt;="&amp;$J503,'Weekly Log'!$A:$A,"&lt;"&amp;$J503+7)/COUNTIFS('Weekly Log'!$H:$H,"&lt;&gt;",'Weekly Log'!$A:$A,"&gt;="&amp;$J503,'Weekly Log'!$A:$A,"&lt;"&amp;$J503+7),0))</f>
        <v/>
      </c>
      <c r="E503">
        <f>IF($J503="","",IFERROR(AVERAGEIFS('Weekly Log'!$F:$F,'Weekly Log'!$A:$A,"&gt;="&amp;$J503,'Weekly Log'!$A:$A,"&lt;"&amp;$J503+7),0))</f>
        <v/>
      </c>
      <c r="F503">
        <f>IF($J503="","",IFERROR(SUMIFS('Weekly Log'!$F:$F,'Weekly Log'!$A:$A,"&gt;="&amp;$J503,'Weekly Log'!$A:$A,"&lt;"&amp;$J503+7)/SUMIFS('Weekly Log'!$E:$E,'Weekly Log'!$A:$A,"&gt;="&amp;$J503,'Weekly Log'!$A:$A,"&lt;"&amp;$J503+7),0))</f>
        <v/>
      </c>
      <c r="G503">
        <f>IF($J503="","",IFERROR(LOOKUP(2,1/(('Weekly Log'!$A$5:$A$5000&gt;=$J503)*('Weekly Log'!$A$5:$A$5000&lt;$J503+7)*('Weekly Log'!$M$5:$M$5000&lt;&gt;"")),'Weekly Log'!$M$5:$M$5000),0))</f>
        <v/>
      </c>
      <c r="J503">
        <f>IF(COUNT('Weekly Log'!$A$5:$A$5000)=0,"",IF(MIN('Weekly Log'!$A$5:$A$5000)+7*(ROW()-10)&gt;MAX('Weekly Log'!$A$5:$A$5000),"",MIN('Weekly Log'!$A$5:$A$5000)+7*(ROW()-10)))</f>
        <v/>
      </c>
    </row>
    <row r="504">
      <c r="A504">
        <f>IF($J504="","",YEAR($J504-WEEKDAY($J504,2)+4)&amp;"-W"&amp;TEXT(WEEKNUM($J504,21),"00"))</f>
        <v/>
      </c>
      <c r="B504">
        <f>IF($J504="","",SUMIFS('Weekly Log'!$C:$C,'Weekly Log'!$A:$A,"&gt;="&amp;$J504,'Weekly Log'!$A:$A,"&lt;"&amp;$J504+7))</f>
        <v/>
      </c>
      <c r="C504">
        <f>IF($J504="","",IFERROR(COUNTIFS('Weekly Log'!$G:$G,"Y",'Weekly Log'!$A:$A,"&gt;="&amp;$J504,'Weekly Log'!$A:$A,"&lt;"&amp;$J504+7)/COUNTIFS('Weekly Log'!$G:$G,"&lt;&gt;",'Weekly Log'!$A:$A,"&gt;="&amp;$J504,'Weekly Log'!$A:$A,"&lt;"&amp;$J504+7),0))</f>
        <v/>
      </c>
      <c r="D504">
        <f>IF($J504="","",IFERROR(COUNTIFS('Weekly Log'!$H:$H,"Y",'Weekly Log'!$A:$A,"&gt;="&amp;$J504,'Weekly Log'!$A:$A,"&lt;"&amp;$J504+7)/COUNTIFS('Weekly Log'!$H:$H,"&lt;&gt;",'Weekly Log'!$A:$A,"&gt;="&amp;$J504,'Weekly Log'!$A:$A,"&lt;"&amp;$J504+7),0))</f>
        <v/>
      </c>
      <c r="E504">
        <f>IF($J504="","",IFERROR(AVERAGEIFS('Weekly Log'!$F:$F,'Weekly Log'!$A:$A,"&gt;="&amp;$J504,'Weekly Log'!$A:$A,"&lt;"&amp;$J504+7),0))</f>
        <v/>
      </c>
      <c r="F504">
        <f>IF($J504="","",IFERROR(SUMIFS('Weekly Log'!$F:$F,'Weekly Log'!$A:$A,"&gt;="&amp;$J504,'Weekly Log'!$A:$A,"&lt;"&amp;$J504+7)/SUMIFS('Weekly Log'!$E:$E,'Weekly Log'!$A:$A,"&gt;="&amp;$J504,'Weekly Log'!$A:$A,"&lt;"&amp;$J504+7),0))</f>
        <v/>
      </c>
      <c r="G504">
        <f>IF($J504="","",IFERROR(LOOKUP(2,1/(('Weekly Log'!$A$5:$A$5000&gt;=$J504)*('Weekly Log'!$A$5:$A$5000&lt;$J504+7)*('Weekly Log'!$M$5:$M$5000&lt;&gt;"")),'Weekly Log'!$M$5:$M$5000),0))</f>
        <v/>
      </c>
      <c r="J504">
        <f>IF(COUNT('Weekly Log'!$A$5:$A$5000)=0,"",IF(MIN('Weekly Log'!$A$5:$A$5000)+7*(ROW()-10)&gt;MAX('Weekly Log'!$A$5:$A$5000),"",MIN('Weekly Log'!$A$5:$A$5000)+7*(ROW()-10)))</f>
        <v/>
      </c>
    </row>
    <row r="505">
      <c r="A505">
        <f>IF($J505="","",YEAR($J505-WEEKDAY($J505,2)+4)&amp;"-W"&amp;TEXT(WEEKNUM($J505,21),"00"))</f>
        <v/>
      </c>
      <c r="B505">
        <f>IF($J505="","",SUMIFS('Weekly Log'!$C:$C,'Weekly Log'!$A:$A,"&gt;="&amp;$J505,'Weekly Log'!$A:$A,"&lt;"&amp;$J505+7))</f>
        <v/>
      </c>
      <c r="C505">
        <f>IF($J505="","",IFERROR(COUNTIFS('Weekly Log'!$G:$G,"Y",'Weekly Log'!$A:$A,"&gt;="&amp;$J505,'Weekly Log'!$A:$A,"&lt;"&amp;$J505+7)/COUNTIFS('Weekly Log'!$G:$G,"&lt;&gt;",'Weekly Log'!$A:$A,"&gt;="&amp;$J505,'Weekly Log'!$A:$A,"&lt;"&amp;$J505+7),0))</f>
        <v/>
      </c>
      <c r="D505">
        <f>IF($J505="","",IFERROR(COUNTIFS('Weekly Log'!$H:$H,"Y",'Weekly Log'!$A:$A,"&gt;="&amp;$J505,'Weekly Log'!$A:$A,"&lt;"&amp;$J505+7)/COUNTIFS('Weekly Log'!$H:$H,"&lt;&gt;",'Weekly Log'!$A:$A,"&gt;="&amp;$J505,'Weekly Log'!$A:$A,"&lt;"&amp;$J505+7),0))</f>
        <v/>
      </c>
      <c r="E505">
        <f>IF($J505="","",IFERROR(AVERAGEIFS('Weekly Log'!$F:$F,'Weekly Log'!$A:$A,"&gt;="&amp;$J505,'Weekly Log'!$A:$A,"&lt;"&amp;$J505+7),0))</f>
        <v/>
      </c>
      <c r="F505">
        <f>IF($J505="","",IFERROR(SUMIFS('Weekly Log'!$F:$F,'Weekly Log'!$A:$A,"&gt;="&amp;$J505,'Weekly Log'!$A:$A,"&lt;"&amp;$J505+7)/SUMIFS('Weekly Log'!$E:$E,'Weekly Log'!$A:$A,"&gt;="&amp;$J505,'Weekly Log'!$A:$A,"&lt;"&amp;$J505+7),0))</f>
        <v/>
      </c>
      <c r="G505">
        <f>IF($J505="","",IFERROR(LOOKUP(2,1/(('Weekly Log'!$A$5:$A$5000&gt;=$J505)*('Weekly Log'!$A$5:$A$5000&lt;$J505+7)*('Weekly Log'!$M$5:$M$5000&lt;&gt;"")),'Weekly Log'!$M$5:$M$5000),0))</f>
        <v/>
      </c>
      <c r="J505">
        <f>IF(COUNT('Weekly Log'!$A$5:$A$5000)=0,"",IF(MIN('Weekly Log'!$A$5:$A$5000)+7*(ROW()-10)&gt;MAX('Weekly Log'!$A$5:$A$5000),"",MIN('Weekly Log'!$A$5:$A$5000)+7*(ROW()-10)))</f>
        <v/>
      </c>
    </row>
    <row r="506">
      <c r="A506">
        <f>IF($J506="","",YEAR($J506-WEEKDAY($J506,2)+4)&amp;"-W"&amp;TEXT(WEEKNUM($J506,21),"00"))</f>
        <v/>
      </c>
      <c r="B506">
        <f>IF($J506="","",SUMIFS('Weekly Log'!$C:$C,'Weekly Log'!$A:$A,"&gt;="&amp;$J506,'Weekly Log'!$A:$A,"&lt;"&amp;$J506+7))</f>
        <v/>
      </c>
      <c r="C506">
        <f>IF($J506="","",IFERROR(COUNTIFS('Weekly Log'!$G:$G,"Y",'Weekly Log'!$A:$A,"&gt;="&amp;$J506,'Weekly Log'!$A:$A,"&lt;"&amp;$J506+7)/COUNTIFS('Weekly Log'!$G:$G,"&lt;&gt;",'Weekly Log'!$A:$A,"&gt;="&amp;$J506,'Weekly Log'!$A:$A,"&lt;"&amp;$J506+7),0))</f>
        <v/>
      </c>
      <c r="D506">
        <f>IF($J506="","",IFERROR(COUNTIFS('Weekly Log'!$H:$H,"Y",'Weekly Log'!$A:$A,"&gt;="&amp;$J506,'Weekly Log'!$A:$A,"&lt;"&amp;$J506+7)/COUNTIFS('Weekly Log'!$H:$H,"&lt;&gt;",'Weekly Log'!$A:$A,"&gt;="&amp;$J506,'Weekly Log'!$A:$A,"&lt;"&amp;$J506+7),0))</f>
        <v/>
      </c>
      <c r="E506">
        <f>IF($J506="","",IFERROR(AVERAGEIFS('Weekly Log'!$F:$F,'Weekly Log'!$A:$A,"&gt;="&amp;$J506,'Weekly Log'!$A:$A,"&lt;"&amp;$J506+7),0))</f>
        <v/>
      </c>
      <c r="F506">
        <f>IF($J506="","",IFERROR(SUMIFS('Weekly Log'!$F:$F,'Weekly Log'!$A:$A,"&gt;="&amp;$J506,'Weekly Log'!$A:$A,"&lt;"&amp;$J506+7)/SUMIFS('Weekly Log'!$E:$E,'Weekly Log'!$A:$A,"&gt;="&amp;$J506,'Weekly Log'!$A:$A,"&lt;"&amp;$J506+7),0))</f>
        <v/>
      </c>
      <c r="G506">
        <f>IF($J506="","",IFERROR(LOOKUP(2,1/(('Weekly Log'!$A$5:$A$5000&gt;=$J506)*('Weekly Log'!$A$5:$A$5000&lt;$J506+7)*('Weekly Log'!$M$5:$M$5000&lt;&gt;"")),'Weekly Log'!$M$5:$M$5000),0))</f>
        <v/>
      </c>
      <c r="J506">
        <f>IF(COUNT('Weekly Log'!$A$5:$A$5000)=0,"",IF(MIN('Weekly Log'!$A$5:$A$5000)+7*(ROW()-10)&gt;MAX('Weekly Log'!$A$5:$A$5000),"",MIN('Weekly Log'!$A$5:$A$5000)+7*(ROW()-10)))</f>
        <v/>
      </c>
    </row>
    <row r="507">
      <c r="A507">
        <f>IF($J507="","",YEAR($J507-WEEKDAY($J507,2)+4)&amp;"-W"&amp;TEXT(WEEKNUM($J507,21),"00"))</f>
        <v/>
      </c>
      <c r="B507">
        <f>IF($J507="","",SUMIFS('Weekly Log'!$C:$C,'Weekly Log'!$A:$A,"&gt;="&amp;$J507,'Weekly Log'!$A:$A,"&lt;"&amp;$J507+7))</f>
        <v/>
      </c>
      <c r="C507">
        <f>IF($J507="","",IFERROR(COUNTIFS('Weekly Log'!$G:$G,"Y",'Weekly Log'!$A:$A,"&gt;="&amp;$J507,'Weekly Log'!$A:$A,"&lt;"&amp;$J507+7)/COUNTIFS('Weekly Log'!$G:$G,"&lt;&gt;",'Weekly Log'!$A:$A,"&gt;="&amp;$J507,'Weekly Log'!$A:$A,"&lt;"&amp;$J507+7),0))</f>
        <v/>
      </c>
      <c r="D507">
        <f>IF($J507="","",IFERROR(COUNTIFS('Weekly Log'!$H:$H,"Y",'Weekly Log'!$A:$A,"&gt;="&amp;$J507,'Weekly Log'!$A:$A,"&lt;"&amp;$J507+7)/COUNTIFS('Weekly Log'!$H:$H,"&lt;&gt;",'Weekly Log'!$A:$A,"&gt;="&amp;$J507,'Weekly Log'!$A:$A,"&lt;"&amp;$J507+7),0))</f>
        <v/>
      </c>
      <c r="E507">
        <f>IF($J507="","",IFERROR(AVERAGEIFS('Weekly Log'!$F:$F,'Weekly Log'!$A:$A,"&gt;="&amp;$J507,'Weekly Log'!$A:$A,"&lt;"&amp;$J507+7),0))</f>
        <v/>
      </c>
      <c r="F507">
        <f>IF($J507="","",IFERROR(SUMIFS('Weekly Log'!$F:$F,'Weekly Log'!$A:$A,"&gt;="&amp;$J507,'Weekly Log'!$A:$A,"&lt;"&amp;$J507+7)/SUMIFS('Weekly Log'!$E:$E,'Weekly Log'!$A:$A,"&gt;="&amp;$J507,'Weekly Log'!$A:$A,"&lt;"&amp;$J507+7),0))</f>
        <v/>
      </c>
      <c r="G507">
        <f>IF($J507="","",IFERROR(LOOKUP(2,1/(('Weekly Log'!$A$5:$A$5000&gt;=$J507)*('Weekly Log'!$A$5:$A$5000&lt;$J507+7)*('Weekly Log'!$M$5:$M$5000&lt;&gt;"")),'Weekly Log'!$M$5:$M$5000),0))</f>
        <v/>
      </c>
      <c r="J507">
        <f>IF(COUNT('Weekly Log'!$A$5:$A$5000)=0,"",IF(MIN('Weekly Log'!$A$5:$A$5000)+7*(ROW()-10)&gt;MAX('Weekly Log'!$A$5:$A$5000),"",MIN('Weekly Log'!$A$5:$A$5000)+7*(ROW()-10)))</f>
        <v/>
      </c>
    </row>
    <row r="508">
      <c r="A508">
        <f>IF($J508="","",YEAR($J508-WEEKDAY($J508,2)+4)&amp;"-W"&amp;TEXT(WEEKNUM($J508,21),"00"))</f>
        <v/>
      </c>
      <c r="B508">
        <f>IF($J508="","",SUMIFS('Weekly Log'!$C:$C,'Weekly Log'!$A:$A,"&gt;="&amp;$J508,'Weekly Log'!$A:$A,"&lt;"&amp;$J508+7))</f>
        <v/>
      </c>
      <c r="C508">
        <f>IF($J508="","",IFERROR(COUNTIFS('Weekly Log'!$G:$G,"Y",'Weekly Log'!$A:$A,"&gt;="&amp;$J508,'Weekly Log'!$A:$A,"&lt;"&amp;$J508+7)/COUNTIFS('Weekly Log'!$G:$G,"&lt;&gt;",'Weekly Log'!$A:$A,"&gt;="&amp;$J508,'Weekly Log'!$A:$A,"&lt;"&amp;$J508+7),0))</f>
        <v/>
      </c>
      <c r="D508">
        <f>IF($J508="","",IFERROR(COUNTIFS('Weekly Log'!$H:$H,"Y",'Weekly Log'!$A:$A,"&gt;="&amp;$J508,'Weekly Log'!$A:$A,"&lt;"&amp;$J508+7)/COUNTIFS('Weekly Log'!$H:$H,"&lt;&gt;",'Weekly Log'!$A:$A,"&gt;="&amp;$J508,'Weekly Log'!$A:$A,"&lt;"&amp;$J508+7),0))</f>
        <v/>
      </c>
      <c r="E508">
        <f>IF($J508="","",IFERROR(AVERAGEIFS('Weekly Log'!$F:$F,'Weekly Log'!$A:$A,"&gt;="&amp;$J508,'Weekly Log'!$A:$A,"&lt;"&amp;$J508+7),0))</f>
        <v/>
      </c>
      <c r="F508">
        <f>IF($J508="","",IFERROR(SUMIFS('Weekly Log'!$F:$F,'Weekly Log'!$A:$A,"&gt;="&amp;$J508,'Weekly Log'!$A:$A,"&lt;"&amp;$J508+7)/SUMIFS('Weekly Log'!$E:$E,'Weekly Log'!$A:$A,"&gt;="&amp;$J508,'Weekly Log'!$A:$A,"&lt;"&amp;$J508+7),0))</f>
        <v/>
      </c>
      <c r="G508">
        <f>IF($J508="","",IFERROR(LOOKUP(2,1/(('Weekly Log'!$A$5:$A$5000&gt;=$J508)*('Weekly Log'!$A$5:$A$5000&lt;$J508+7)*('Weekly Log'!$M$5:$M$5000&lt;&gt;"")),'Weekly Log'!$M$5:$M$5000),0))</f>
        <v/>
      </c>
      <c r="J508">
        <f>IF(COUNT('Weekly Log'!$A$5:$A$5000)=0,"",IF(MIN('Weekly Log'!$A$5:$A$5000)+7*(ROW()-10)&gt;MAX('Weekly Log'!$A$5:$A$5000),"",MIN('Weekly Log'!$A$5:$A$5000)+7*(ROW()-10)))</f>
        <v/>
      </c>
    </row>
    <row r="509">
      <c r="A509">
        <f>IF($J509="","",YEAR($J509-WEEKDAY($J509,2)+4)&amp;"-W"&amp;TEXT(WEEKNUM($J509,21),"00"))</f>
        <v/>
      </c>
      <c r="B509">
        <f>IF($J509="","",SUMIFS('Weekly Log'!$C:$C,'Weekly Log'!$A:$A,"&gt;="&amp;$J509,'Weekly Log'!$A:$A,"&lt;"&amp;$J509+7))</f>
        <v/>
      </c>
      <c r="C509">
        <f>IF($J509="","",IFERROR(COUNTIFS('Weekly Log'!$G:$G,"Y",'Weekly Log'!$A:$A,"&gt;="&amp;$J509,'Weekly Log'!$A:$A,"&lt;"&amp;$J509+7)/COUNTIFS('Weekly Log'!$G:$G,"&lt;&gt;",'Weekly Log'!$A:$A,"&gt;="&amp;$J509,'Weekly Log'!$A:$A,"&lt;"&amp;$J509+7),0))</f>
        <v/>
      </c>
      <c r="D509">
        <f>IF($J509="","",IFERROR(COUNTIFS('Weekly Log'!$H:$H,"Y",'Weekly Log'!$A:$A,"&gt;="&amp;$J509,'Weekly Log'!$A:$A,"&lt;"&amp;$J509+7)/COUNTIFS('Weekly Log'!$H:$H,"&lt;&gt;",'Weekly Log'!$A:$A,"&gt;="&amp;$J509,'Weekly Log'!$A:$A,"&lt;"&amp;$J509+7),0))</f>
        <v/>
      </c>
      <c r="E509">
        <f>IF($J509="","",IFERROR(AVERAGEIFS('Weekly Log'!$F:$F,'Weekly Log'!$A:$A,"&gt;="&amp;$J509,'Weekly Log'!$A:$A,"&lt;"&amp;$J509+7),0))</f>
        <v/>
      </c>
      <c r="F509">
        <f>IF($J509="","",IFERROR(SUMIFS('Weekly Log'!$F:$F,'Weekly Log'!$A:$A,"&gt;="&amp;$J509,'Weekly Log'!$A:$A,"&lt;"&amp;$J509+7)/SUMIFS('Weekly Log'!$E:$E,'Weekly Log'!$A:$A,"&gt;="&amp;$J509,'Weekly Log'!$A:$A,"&lt;"&amp;$J509+7),0))</f>
        <v/>
      </c>
      <c r="G509">
        <f>IF($J509="","",IFERROR(LOOKUP(2,1/(('Weekly Log'!$A$5:$A$5000&gt;=$J509)*('Weekly Log'!$A$5:$A$5000&lt;$J509+7)*('Weekly Log'!$M$5:$M$5000&lt;&gt;"")),'Weekly Log'!$M$5:$M$5000),0))</f>
        <v/>
      </c>
      <c r="J509">
        <f>IF(COUNT('Weekly Log'!$A$5:$A$5000)=0,"",IF(MIN('Weekly Log'!$A$5:$A$5000)+7*(ROW()-10)&gt;MAX('Weekly Log'!$A$5:$A$5000),"",MIN('Weekly Log'!$A$5:$A$5000)+7*(ROW()-10)))</f>
        <v/>
      </c>
    </row>
    <row r="510">
      <c r="A510">
        <f>IF($J510="","",YEAR($J510-WEEKDAY($J510,2)+4)&amp;"-W"&amp;TEXT(WEEKNUM($J510,21),"00"))</f>
        <v/>
      </c>
      <c r="B510">
        <f>IF($J510="","",SUMIFS('Weekly Log'!$C:$C,'Weekly Log'!$A:$A,"&gt;="&amp;$J510,'Weekly Log'!$A:$A,"&lt;"&amp;$J510+7))</f>
        <v/>
      </c>
      <c r="C510">
        <f>IF($J510="","",IFERROR(COUNTIFS('Weekly Log'!$G:$G,"Y",'Weekly Log'!$A:$A,"&gt;="&amp;$J510,'Weekly Log'!$A:$A,"&lt;"&amp;$J510+7)/COUNTIFS('Weekly Log'!$G:$G,"&lt;&gt;",'Weekly Log'!$A:$A,"&gt;="&amp;$J510,'Weekly Log'!$A:$A,"&lt;"&amp;$J510+7),0))</f>
        <v/>
      </c>
      <c r="D510">
        <f>IF($J510="","",IFERROR(COUNTIFS('Weekly Log'!$H:$H,"Y",'Weekly Log'!$A:$A,"&gt;="&amp;$J510,'Weekly Log'!$A:$A,"&lt;"&amp;$J510+7)/COUNTIFS('Weekly Log'!$H:$H,"&lt;&gt;",'Weekly Log'!$A:$A,"&gt;="&amp;$J510,'Weekly Log'!$A:$A,"&lt;"&amp;$J510+7),0))</f>
        <v/>
      </c>
      <c r="E510">
        <f>IF($J510="","",IFERROR(AVERAGEIFS('Weekly Log'!$F:$F,'Weekly Log'!$A:$A,"&gt;="&amp;$J510,'Weekly Log'!$A:$A,"&lt;"&amp;$J510+7),0))</f>
        <v/>
      </c>
      <c r="F510">
        <f>IF($J510="","",IFERROR(SUMIFS('Weekly Log'!$F:$F,'Weekly Log'!$A:$A,"&gt;="&amp;$J510,'Weekly Log'!$A:$A,"&lt;"&amp;$J510+7)/SUMIFS('Weekly Log'!$E:$E,'Weekly Log'!$A:$A,"&gt;="&amp;$J510,'Weekly Log'!$A:$A,"&lt;"&amp;$J510+7),0))</f>
        <v/>
      </c>
      <c r="G510">
        <f>IF($J510="","",IFERROR(LOOKUP(2,1/(('Weekly Log'!$A$5:$A$5000&gt;=$J510)*('Weekly Log'!$A$5:$A$5000&lt;$J510+7)*('Weekly Log'!$M$5:$M$5000&lt;&gt;"")),'Weekly Log'!$M$5:$M$5000),0))</f>
        <v/>
      </c>
      <c r="J510">
        <f>IF(COUNT('Weekly Log'!$A$5:$A$5000)=0,"",IF(MIN('Weekly Log'!$A$5:$A$5000)+7*(ROW()-10)&gt;MAX('Weekly Log'!$A$5:$A$5000),"",MIN('Weekly Log'!$A$5:$A$5000)+7*(ROW()-10)))</f>
        <v/>
      </c>
    </row>
    <row r="511">
      <c r="A511">
        <f>IF($J511="","",YEAR($J511-WEEKDAY($J511,2)+4)&amp;"-W"&amp;TEXT(WEEKNUM($J511,21),"00"))</f>
        <v/>
      </c>
      <c r="B511">
        <f>IF($J511="","",SUMIFS('Weekly Log'!$C:$C,'Weekly Log'!$A:$A,"&gt;="&amp;$J511,'Weekly Log'!$A:$A,"&lt;"&amp;$J511+7))</f>
        <v/>
      </c>
      <c r="C511">
        <f>IF($J511="","",IFERROR(COUNTIFS('Weekly Log'!$G:$G,"Y",'Weekly Log'!$A:$A,"&gt;="&amp;$J511,'Weekly Log'!$A:$A,"&lt;"&amp;$J511+7)/COUNTIFS('Weekly Log'!$G:$G,"&lt;&gt;",'Weekly Log'!$A:$A,"&gt;="&amp;$J511,'Weekly Log'!$A:$A,"&lt;"&amp;$J511+7),0))</f>
        <v/>
      </c>
      <c r="D511">
        <f>IF($J511="","",IFERROR(COUNTIFS('Weekly Log'!$H:$H,"Y",'Weekly Log'!$A:$A,"&gt;="&amp;$J511,'Weekly Log'!$A:$A,"&lt;"&amp;$J511+7)/COUNTIFS('Weekly Log'!$H:$H,"&lt;&gt;",'Weekly Log'!$A:$A,"&gt;="&amp;$J511,'Weekly Log'!$A:$A,"&lt;"&amp;$J511+7),0))</f>
        <v/>
      </c>
      <c r="E511">
        <f>IF($J511="","",IFERROR(AVERAGEIFS('Weekly Log'!$F:$F,'Weekly Log'!$A:$A,"&gt;="&amp;$J511,'Weekly Log'!$A:$A,"&lt;"&amp;$J511+7),0))</f>
        <v/>
      </c>
      <c r="F511">
        <f>IF($J511="","",IFERROR(SUMIFS('Weekly Log'!$F:$F,'Weekly Log'!$A:$A,"&gt;="&amp;$J511,'Weekly Log'!$A:$A,"&lt;"&amp;$J511+7)/SUMIFS('Weekly Log'!$E:$E,'Weekly Log'!$A:$A,"&gt;="&amp;$J511,'Weekly Log'!$A:$A,"&lt;"&amp;$J511+7),0))</f>
        <v/>
      </c>
      <c r="G511">
        <f>IF($J511="","",IFERROR(LOOKUP(2,1/(('Weekly Log'!$A$5:$A$5000&gt;=$J511)*('Weekly Log'!$A$5:$A$5000&lt;$J511+7)*('Weekly Log'!$M$5:$M$5000&lt;&gt;"")),'Weekly Log'!$M$5:$M$5000),0))</f>
        <v/>
      </c>
      <c r="J511">
        <f>IF(COUNT('Weekly Log'!$A$5:$A$5000)=0,"",IF(MIN('Weekly Log'!$A$5:$A$5000)+7*(ROW()-10)&gt;MAX('Weekly Log'!$A$5:$A$5000),"",MIN('Weekly Log'!$A$5:$A$5000)+7*(ROW()-10)))</f>
        <v/>
      </c>
    </row>
    <row r="512">
      <c r="A512">
        <f>IF($J512="","",YEAR($J512-WEEKDAY($J512,2)+4)&amp;"-W"&amp;TEXT(WEEKNUM($J512,21),"00"))</f>
        <v/>
      </c>
      <c r="B512">
        <f>IF($J512="","",SUMIFS('Weekly Log'!$C:$C,'Weekly Log'!$A:$A,"&gt;="&amp;$J512,'Weekly Log'!$A:$A,"&lt;"&amp;$J512+7))</f>
        <v/>
      </c>
      <c r="C512">
        <f>IF($J512="","",IFERROR(COUNTIFS('Weekly Log'!$G:$G,"Y",'Weekly Log'!$A:$A,"&gt;="&amp;$J512,'Weekly Log'!$A:$A,"&lt;"&amp;$J512+7)/COUNTIFS('Weekly Log'!$G:$G,"&lt;&gt;",'Weekly Log'!$A:$A,"&gt;="&amp;$J512,'Weekly Log'!$A:$A,"&lt;"&amp;$J512+7),0))</f>
        <v/>
      </c>
      <c r="D512">
        <f>IF($J512="","",IFERROR(COUNTIFS('Weekly Log'!$H:$H,"Y",'Weekly Log'!$A:$A,"&gt;="&amp;$J512,'Weekly Log'!$A:$A,"&lt;"&amp;$J512+7)/COUNTIFS('Weekly Log'!$H:$H,"&lt;&gt;",'Weekly Log'!$A:$A,"&gt;="&amp;$J512,'Weekly Log'!$A:$A,"&lt;"&amp;$J512+7),0))</f>
        <v/>
      </c>
      <c r="E512">
        <f>IF($J512="","",IFERROR(AVERAGEIFS('Weekly Log'!$F:$F,'Weekly Log'!$A:$A,"&gt;="&amp;$J512,'Weekly Log'!$A:$A,"&lt;"&amp;$J512+7),0))</f>
        <v/>
      </c>
      <c r="F512">
        <f>IF($J512="","",IFERROR(SUMIFS('Weekly Log'!$F:$F,'Weekly Log'!$A:$A,"&gt;="&amp;$J512,'Weekly Log'!$A:$A,"&lt;"&amp;$J512+7)/SUMIFS('Weekly Log'!$E:$E,'Weekly Log'!$A:$A,"&gt;="&amp;$J512,'Weekly Log'!$A:$A,"&lt;"&amp;$J512+7),0))</f>
        <v/>
      </c>
      <c r="G512">
        <f>IF($J512="","",IFERROR(LOOKUP(2,1/(('Weekly Log'!$A$5:$A$5000&gt;=$J512)*('Weekly Log'!$A$5:$A$5000&lt;$J512+7)*('Weekly Log'!$M$5:$M$5000&lt;&gt;"")),'Weekly Log'!$M$5:$M$5000),0))</f>
        <v/>
      </c>
      <c r="J512">
        <f>IF(COUNT('Weekly Log'!$A$5:$A$5000)=0,"",IF(MIN('Weekly Log'!$A$5:$A$5000)+7*(ROW()-10)&gt;MAX('Weekly Log'!$A$5:$A$5000),"",MIN('Weekly Log'!$A$5:$A$5000)+7*(ROW()-10)))</f>
        <v/>
      </c>
    </row>
    <row r="513">
      <c r="A513">
        <f>IF($J513="","",YEAR($J513-WEEKDAY($J513,2)+4)&amp;"-W"&amp;TEXT(WEEKNUM($J513,21),"00"))</f>
        <v/>
      </c>
      <c r="B513">
        <f>IF($J513="","",SUMIFS('Weekly Log'!$C:$C,'Weekly Log'!$A:$A,"&gt;="&amp;$J513,'Weekly Log'!$A:$A,"&lt;"&amp;$J513+7))</f>
        <v/>
      </c>
      <c r="C513">
        <f>IF($J513="","",IFERROR(COUNTIFS('Weekly Log'!$G:$G,"Y",'Weekly Log'!$A:$A,"&gt;="&amp;$J513,'Weekly Log'!$A:$A,"&lt;"&amp;$J513+7)/COUNTIFS('Weekly Log'!$G:$G,"&lt;&gt;",'Weekly Log'!$A:$A,"&gt;="&amp;$J513,'Weekly Log'!$A:$A,"&lt;"&amp;$J513+7),0))</f>
        <v/>
      </c>
      <c r="D513">
        <f>IF($J513="","",IFERROR(COUNTIFS('Weekly Log'!$H:$H,"Y",'Weekly Log'!$A:$A,"&gt;="&amp;$J513,'Weekly Log'!$A:$A,"&lt;"&amp;$J513+7)/COUNTIFS('Weekly Log'!$H:$H,"&lt;&gt;",'Weekly Log'!$A:$A,"&gt;="&amp;$J513,'Weekly Log'!$A:$A,"&lt;"&amp;$J513+7),0))</f>
        <v/>
      </c>
      <c r="E513">
        <f>IF($J513="","",IFERROR(AVERAGEIFS('Weekly Log'!$F:$F,'Weekly Log'!$A:$A,"&gt;="&amp;$J513,'Weekly Log'!$A:$A,"&lt;"&amp;$J513+7),0))</f>
        <v/>
      </c>
      <c r="F513">
        <f>IF($J513="","",IFERROR(SUMIFS('Weekly Log'!$F:$F,'Weekly Log'!$A:$A,"&gt;="&amp;$J513,'Weekly Log'!$A:$A,"&lt;"&amp;$J513+7)/SUMIFS('Weekly Log'!$E:$E,'Weekly Log'!$A:$A,"&gt;="&amp;$J513,'Weekly Log'!$A:$A,"&lt;"&amp;$J513+7),0))</f>
        <v/>
      </c>
      <c r="G513">
        <f>IF($J513="","",IFERROR(LOOKUP(2,1/(('Weekly Log'!$A$5:$A$5000&gt;=$J513)*('Weekly Log'!$A$5:$A$5000&lt;$J513+7)*('Weekly Log'!$M$5:$M$5000&lt;&gt;"")),'Weekly Log'!$M$5:$M$5000),0))</f>
        <v/>
      </c>
      <c r="J513">
        <f>IF(COUNT('Weekly Log'!$A$5:$A$5000)=0,"",IF(MIN('Weekly Log'!$A$5:$A$5000)+7*(ROW()-10)&gt;MAX('Weekly Log'!$A$5:$A$5000),"",MIN('Weekly Log'!$A$5:$A$5000)+7*(ROW()-10)))</f>
        <v/>
      </c>
    </row>
    <row r="514">
      <c r="A514">
        <f>IF($J514="","",YEAR($J514-WEEKDAY($J514,2)+4)&amp;"-W"&amp;TEXT(WEEKNUM($J514,21),"00"))</f>
        <v/>
      </c>
      <c r="B514">
        <f>IF($J514="","",SUMIFS('Weekly Log'!$C:$C,'Weekly Log'!$A:$A,"&gt;="&amp;$J514,'Weekly Log'!$A:$A,"&lt;"&amp;$J514+7))</f>
        <v/>
      </c>
      <c r="C514">
        <f>IF($J514="","",IFERROR(COUNTIFS('Weekly Log'!$G:$G,"Y",'Weekly Log'!$A:$A,"&gt;="&amp;$J514,'Weekly Log'!$A:$A,"&lt;"&amp;$J514+7)/COUNTIFS('Weekly Log'!$G:$G,"&lt;&gt;",'Weekly Log'!$A:$A,"&gt;="&amp;$J514,'Weekly Log'!$A:$A,"&lt;"&amp;$J514+7),0))</f>
        <v/>
      </c>
      <c r="D514">
        <f>IF($J514="","",IFERROR(COUNTIFS('Weekly Log'!$H:$H,"Y",'Weekly Log'!$A:$A,"&gt;="&amp;$J514,'Weekly Log'!$A:$A,"&lt;"&amp;$J514+7)/COUNTIFS('Weekly Log'!$H:$H,"&lt;&gt;",'Weekly Log'!$A:$A,"&gt;="&amp;$J514,'Weekly Log'!$A:$A,"&lt;"&amp;$J514+7),0))</f>
        <v/>
      </c>
      <c r="E514">
        <f>IF($J514="","",IFERROR(AVERAGEIFS('Weekly Log'!$F:$F,'Weekly Log'!$A:$A,"&gt;="&amp;$J514,'Weekly Log'!$A:$A,"&lt;"&amp;$J514+7),0))</f>
        <v/>
      </c>
      <c r="F514">
        <f>IF($J514="","",IFERROR(SUMIFS('Weekly Log'!$F:$F,'Weekly Log'!$A:$A,"&gt;="&amp;$J514,'Weekly Log'!$A:$A,"&lt;"&amp;$J514+7)/SUMIFS('Weekly Log'!$E:$E,'Weekly Log'!$A:$A,"&gt;="&amp;$J514,'Weekly Log'!$A:$A,"&lt;"&amp;$J514+7),0))</f>
        <v/>
      </c>
      <c r="G514">
        <f>IF($J514="","",IFERROR(LOOKUP(2,1/(('Weekly Log'!$A$5:$A$5000&gt;=$J514)*('Weekly Log'!$A$5:$A$5000&lt;$J514+7)*('Weekly Log'!$M$5:$M$5000&lt;&gt;"")),'Weekly Log'!$M$5:$M$5000),0))</f>
        <v/>
      </c>
      <c r="J514">
        <f>IF(COUNT('Weekly Log'!$A$5:$A$5000)=0,"",IF(MIN('Weekly Log'!$A$5:$A$5000)+7*(ROW()-10)&gt;MAX('Weekly Log'!$A$5:$A$5000),"",MIN('Weekly Log'!$A$5:$A$5000)+7*(ROW()-10)))</f>
        <v/>
      </c>
    </row>
    <row r="515">
      <c r="A515">
        <f>IF($J515="","",YEAR($J515-WEEKDAY($J515,2)+4)&amp;"-W"&amp;TEXT(WEEKNUM($J515,21),"00"))</f>
        <v/>
      </c>
      <c r="B515">
        <f>IF($J515="","",SUMIFS('Weekly Log'!$C:$C,'Weekly Log'!$A:$A,"&gt;="&amp;$J515,'Weekly Log'!$A:$A,"&lt;"&amp;$J515+7))</f>
        <v/>
      </c>
      <c r="C515">
        <f>IF($J515="","",IFERROR(COUNTIFS('Weekly Log'!$G:$G,"Y",'Weekly Log'!$A:$A,"&gt;="&amp;$J515,'Weekly Log'!$A:$A,"&lt;"&amp;$J515+7)/COUNTIFS('Weekly Log'!$G:$G,"&lt;&gt;",'Weekly Log'!$A:$A,"&gt;="&amp;$J515,'Weekly Log'!$A:$A,"&lt;"&amp;$J515+7),0))</f>
        <v/>
      </c>
      <c r="D515">
        <f>IF($J515="","",IFERROR(COUNTIFS('Weekly Log'!$H:$H,"Y",'Weekly Log'!$A:$A,"&gt;="&amp;$J515,'Weekly Log'!$A:$A,"&lt;"&amp;$J515+7)/COUNTIFS('Weekly Log'!$H:$H,"&lt;&gt;",'Weekly Log'!$A:$A,"&gt;="&amp;$J515,'Weekly Log'!$A:$A,"&lt;"&amp;$J515+7),0))</f>
        <v/>
      </c>
      <c r="E515">
        <f>IF($J515="","",IFERROR(AVERAGEIFS('Weekly Log'!$F:$F,'Weekly Log'!$A:$A,"&gt;="&amp;$J515,'Weekly Log'!$A:$A,"&lt;"&amp;$J515+7),0))</f>
        <v/>
      </c>
      <c r="F515">
        <f>IF($J515="","",IFERROR(SUMIFS('Weekly Log'!$F:$F,'Weekly Log'!$A:$A,"&gt;="&amp;$J515,'Weekly Log'!$A:$A,"&lt;"&amp;$J515+7)/SUMIFS('Weekly Log'!$E:$E,'Weekly Log'!$A:$A,"&gt;="&amp;$J515,'Weekly Log'!$A:$A,"&lt;"&amp;$J515+7),0))</f>
        <v/>
      </c>
      <c r="G515">
        <f>IF($J515="","",IFERROR(LOOKUP(2,1/(('Weekly Log'!$A$5:$A$5000&gt;=$J515)*('Weekly Log'!$A$5:$A$5000&lt;$J515+7)*('Weekly Log'!$M$5:$M$5000&lt;&gt;"")),'Weekly Log'!$M$5:$M$5000),0))</f>
        <v/>
      </c>
      <c r="J515">
        <f>IF(COUNT('Weekly Log'!$A$5:$A$5000)=0,"",IF(MIN('Weekly Log'!$A$5:$A$5000)+7*(ROW()-10)&gt;MAX('Weekly Log'!$A$5:$A$5000),"",MIN('Weekly Log'!$A$5:$A$5000)+7*(ROW()-10)))</f>
        <v/>
      </c>
    </row>
    <row r="516">
      <c r="A516">
        <f>IF($J516="","",YEAR($J516-WEEKDAY($J516,2)+4)&amp;"-W"&amp;TEXT(WEEKNUM($J516,21),"00"))</f>
        <v/>
      </c>
      <c r="B516">
        <f>IF($J516="","",SUMIFS('Weekly Log'!$C:$C,'Weekly Log'!$A:$A,"&gt;="&amp;$J516,'Weekly Log'!$A:$A,"&lt;"&amp;$J516+7))</f>
        <v/>
      </c>
      <c r="C516">
        <f>IF($J516="","",IFERROR(COUNTIFS('Weekly Log'!$G:$G,"Y",'Weekly Log'!$A:$A,"&gt;="&amp;$J516,'Weekly Log'!$A:$A,"&lt;"&amp;$J516+7)/COUNTIFS('Weekly Log'!$G:$G,"&lt;&gt;",'Weekly Log'!$A:$A,"&gt;="&amp;$J516,'Weekly Log'!$A:$A,"&lt;"&amp;$J516+7),0))</f>
        <v/>
      </c>
      <c r="D516">
        <f>IF($J516="","",IFERROR(COUNTIFS('Weekly Log'!$H:$H,"Y",'Weekly Log'!$A:$A,"&gt;="&amp;$J516,'Weekly Log'!$A:$A,"&lt;"&amp;$J516+7)/COUNTIFS('Weekly Log'!$H:$H,"&lt;&gt;",'Weekly Log'!$A:$A,"&gt;="&amp;$J516,'Weekly Log'!$A:$A,"&lt;"&amp;$J516+7),0))</f>
        <v/>
      </c>
      <c r="E516">
        <f>IF($J516="","",IFERROR(AVERAGEIFS('Weekly Log'!$F:$F,'Weekly Log'!$A:$A,"&gt;="&amp;$J516,'Weekly Log'!$A:$A,"&lt;"&amp;$J516+7),0))</f>
        <v/>
      </c>
      <c r="F516">
        <f>IF($J516="","",IFERROR(SUMIFS('Weekly Log'!$F:$F,'Weekly Log'!$A:$A,"&gt;="&amp;$J516,'Weekly Log'!$A:$A,"&lt;"&amp;$J516+7)/SUMIFS('Weekly Log'!$E:$E,'Weekly Log'!$A:$A,"&gt;="&amp;$J516,'Weekly Log'!$A:$A,"&lt;"&amp;$J516+7),0))</f>
        <v/>
      </c>
      <c r="G516">
        <f>IF($J516="","",IFERROR(LOOKUP(2,1/(('Weekly Log'!$A$5:$A$5000&gt;=$J516)*('Weekly Log'!$A$5:$A$5000&lt;$J516+7)*('Weekly Log'!$M$5:$M$5000&lt;&gt;"")),'Weekly Log'!$M$5:$M$5000),0))</f>
        <v/>
      </c>
      <c r="J516">
        <f>IF(COUNT('Weekly Log'!$A$5:$A$5000)=0,"",IF(MIN('Weekly Log'!$A$5:$A$5000)+7*(ROW()-10)&gt;MAX('Weekly Log'!$A$5:$A$5000),"",MIN('Weekly Log'!$A$5:$A$5000)+7*(ROW()-10)))</f>
        <v/>
      </c>
    </row>
    <row r="517">
      <c r="A517">
        <f>IF($J517="","",YEAR($J517-WEEKDAY($J517,2)+4)&amp;"-W"&amp;TEXT(WEEKNUM($J517,21),"00"))</f>
        <v/>
      </c>
      <c r="B517">
        <f>IF($J517="","",SUMIFS('Weekly Log'!$C:$C,'Weekly Log'!$A:$A,"&gt;="&amp;$J517,'Weekly Log'!$A:$A,"&lt;"&amp;$J517+7))</f>
        <v/>
      </c>
      <c r="C517">
        <f>IF($J517="","",IFERROR(COUNTIFS('Weekly Log'!$G:$G,"Y",'Weekly Log'!$A:$A,"&gt;="&amp;$J517,'Weekly Log'!$A:$A,"&lt;"&amp;$J517+7)/COUNTIFS('Weekly Log'!$G:$G,"&lt;&gt;",'Weekly Log'!$A:$A,"&gt;="&amp;$J517,'Weekly Log'!$A:$A,"&lt;"&amp;$J517+7),0))</f>
        <v/>
      </c>
      <c r="D517">
        <f>IF($J517="","",IFERROR(COUNTIFS('Weekly Log'!$H:$H,"Y",'Weekly Log'!$A:$A,"&gt;="&amp;$J517,'Weekly Log'!$A:$A,"&lt;"&amp;$J517+7)/COUNTIFS('Weekly Log'!$H:$H,"&lt;&gt;",'Weekly Log'!$A:$A,"&gt;="&amp;$J517,'Weekly Log'!$A:$A,"&lt;"&amp;$J517+7),0))</f>
        <v/>
      </c>
      <c r="E517">
        <f>IF($J517="","",IFERROR(AVERAGEIFS('Weekly Log'!$F:$F,'Weekly Log'!$A:$A,"&gt;="&amp;$J517,'Weekly Log'!$A:$A,"&lt;"&amp;$J517+7),0))</f>
        <v/>
      </c>
      <c r="F517">
        <f>IF($J517="","",IFERROR(SUMIFS('Weekly Log'!$F:$F,'Weekly Log'!$A:$A,"&gt;="&amp;$J517,'Weekly Log'!$A:$A,"&lt;"&amp;$J517+7)/SUMIFS('Weekly Log'!$E:$E,'Weekly Log'!$A:$A,"&gt;="&amp;$J517,'Weekly Log'!$A:$A,"&lt;"&amp;$J517+7),0))</f>
        <v/>
      </c>
      <c r="G517">
        <f>IF($J517="","",IFERROR(LOOKUP(2,1/(('Weekly Log'!$A$5:$A$5000&gt;=$J517)*('Weekly Log'!$A$5:$A$5000&lt;$J517+7)*('Weekly Log'!$M$5:$M$5000&lt;&gt;"")),'Weekly Log'!$M$5:$M$5000),0))</f>
        <v/>
      </c>
      <c r="J517">
        <f>IF(COUNT('Weekly Log'!$A$5:$A$5000)=0,"",IF(MIN('Weekly Log'!$A$5:$A$5000)+7*(ROW()-10)&gt;MAX('Weekly Log'!$A$5:$A$5000),"",MIN('Weekly Log'!$A$5:$A$5000)+7*(ROW()-10)))</f>
        <v/>
      </c>
    </row>
    <row r="518">
      <c r="A518">
        <f>IF($J518="","",YEAR($J518-WEEKDAY($J518,2)+4)&amp;"-W"&amp;TEXT(WEEKNUM($J518,21),"00"))</f>
        <v/>
      </c>
      <c r="B518">
        <f>IF($J518="","",SUMIFS('Weekly Log'!$C:$C,'Weekly Log'!$A:$A,"&gt;="&amp;$J518,'Weekly Log'!$A:$A,"&lt;"&amp;$J518+7))</f>
        <v/>
      </c>
      <c r="C518">
        <f>IF($J518="","",IFERROR(COUNTIFS('Weekly Log'!$G:$G,"Y",'Weekly Log'!$A:$A,"&gt;="&amp;$J518,'Weekly Log'!$A:$A,"&lt;"&amp;$J518+7)/COUNTIFS('Weekly Log'!$G:$G,"&lt;&gt;",'Weekly Log'!$A:$A,"&gt;="&amp;$J518,'Weekly Log'!$A:$A,"&lt;"&amp;$J518+7),0))</f>
        <v/>
      </c>
      <c r="D518">
        <f>IF($J518="","",IFERROR(COUNTIFS('Weekly Log'!$H:$H,"Y",'Weekly Log'!$A:$A,"&gt;="&amp;$J518,'Weekly Log'!$A:$A,"&lt;"&amp;$J518+7)/COUNTIFS('Weekly Log'!$H:$H,"&lt;&gt;",'Weekly Log'!$A:$A,"&gt;="&amp;$J518,'Weekly Log'!$A:$A,"&lt;"&amp;$J518+7),0))</f>
        <v/>
      </c>
      <c r="E518">
        <f>IF($J518="","",IFERROR(AVERAGEIFS('Weekly Log'!$F:$F,'Weekly Log'!$A:$A,"&gt;="&amp;$J518,'Weekly Log'!$A:$A,"&lt;"&amp;$J518+7),0))</f>
        <v/>
      </c>
      <c r="F518">
        <f>IF($J518="","",IFERROR(SUMIFS('Weekly Log'!$F:$F,'Weekly Log'!$A:$A,"&gt;="&amp;$J518,'Weekly Log'!$A:$A,"&lt;"&amp;$J518+7)/SUMIFS('Weekly Log'!$E:$E,'Weekly Log'!$A:$A,"&gt;="&amp;$J518,'Weekly Log'!$A:$A,"&lt;"&amp;$J518+7),0))</f>
        <v/>
      </c>
      <c r="G518">
        <f>IF($J518="","",IFERROR(LOOKUP(2,1/(('Weekly Log'!$A$5:$A$5000&gt;=$J518)*('Weekly Log'!$A$5:$A$5000&lt;$J518+7)*('Weekly Log'!$M$5:$M$5000&lt;&gt;"")),'Weekly Log'!$M$5:$M$5000),0))</f>
        <v/>
      </c>
      <c r="J518">
        <f>IF(COUNT('Weekly Log'!$A$5:$A$5000)=0,"",IF(MIN('Weekly Log'!$A$5:$A$5000)+7*(ROW()-10)&gt;MAX('Weekly Log'!$A$5:$A$5000),"",MIN('Weekly Log'!$A$5:$A$5000)+7*(ROW()-10)))</f>
        <v/>
      </c>
    </row>
    <row r="519">
      <c r="A519">
        <f>IF($J519="","",YEAR($J519-WEEKDAY($J519,2)+4)&amp;"-W"&amp;TEXT(WEEKNUM($J519,21),"00"))</f>
        <v/>
      </c>
      <c r="B519">
        <f>IF($J519="","",SUMIFS('Weekly Log'!$C:$C,'Weekly Log'!$A:$A,"&gt;="&amp;$J519,'Weekly Log'!$A:$A,"&lt;"&amp;$J519+7))</f>
        <v/>
      </c>
      <c r="C519">
        <f>IF($J519="","",IFERROR(COUNTIFS('Weekly Log'!$G:$G,"Y",'Weekly Log'!$A:$A,"&gt;="&amp;$J519,'Weekly Log'!$A:$A,"&lt;"&amp;$J519+7)/COUNTIFS('Weekly Log'!$G:$G,"&lt;&gt;",'Weekly Log'!$A:$A,"&gt;="&amp;$J519,'Weekly Log'!$A:$A,"&lt;"&amp;$J519+7),0))</f>
        <v/>
      </c>
      <c r="D519">
        <f>IF($J519="","",IFERROR(COUNTIFS('Weekly Log'!$H:$H,"Y",'Weekly Log'!$A:$A,"&gt;="&amp;$J519,'Weekly Log'!$A:$A,"&lt;"&amp;$J519+7)/COUNTIFS('Weekly Log'!$H:$H,"&lt;&gt;",'Weekly Log'!$A:$A,"&gt;="&amp;$J519,'Weekly Log'!$A:$A,"&lt;"&amp;$J519+7),0))</f>
        <v/>
      </c>
      <c r="E519">
        <f>IF($J519="","",IFERROR(AVERAGEIFS('Weekly Log'!$F:$F,'Weekly Log'!$A:$A,"&gt;="&amp;$J519,'Weekly Log'!$A:$A,"&lt;"&amp;$J519+7),0))</f>
        <v/>
      </c>
      <c r="F519">
        <f>IF($J519="","",IFERROR(SUMIFS('Weekly Log'!$F:$F,'Weekly Log'!$A:$A,"&gt;="&amp;$J519,'Weekly Log'!$A:$A,"&lt;"&amp;$J519+7)/SUMIFS('Weekly Log'!$E:$E,'Weekly Log'!$A:$A,"&gt;="&amp;$J519,'Weekly Log'!$A:$A,"&lt;"&amp;$J519+7),0))</f>
        <v/>
      </c>
      <c r="G519">
        <f>IF($J519="","",IFERROR(LOOKUP(2,1/(('Weekly Log'!$A$5:$A$5000&gt;=$J519)*('Weekly Log'!$A$5:$A$5000&lt;$J519+7)*('Weekly Log'!$M$5:$M$5000&lt;&gt;"")),'Weekly Log'!$M$5:$M$5000),0))</f>
        <v/>
      </c>
      <c r="J519">
        <f>IF(COUNT('Weekly Log'!$A$5:$A$5000)=0,"",IF(MIN('Weekly Log'!$A$5:$A$5000)+7*(ROW()-10)&gt;MAX('Weekly Log'!$A$5:$A$5000),"",MIN('Weekly Log'!$A$5:$A$5000)+7*(ROW()-10)))</f>
        <v/>
      </c>
    </row>
    <row r="520">
      <c r="A520">
        <f>IF($J520="","",YEAR($J520-WEEKDAY($J520,2)+4)&amp;"-W"&amp;TEXT(WEEKNUM($J520,21),"00"))</f>
        <v/>
      </c>
      <c r="B520">
        <f>IF($J520="","",SUMIFS('Weekly Log'!$C:$C,'Weekly Log'!$A:$A,"&gt;="&amp;$J520,'Weekly Log'!$A:$A,"&lt;"&amp;$J520+7))</f>
        <v/>
      </c>
      <c r="C520">
        <f>IF($J520="","",IFERROR(COUNTIFS('Weekly Log'!$G:$G,"Y",'Weekly Log'!$A:$A,"&gt;="&amp;$J520,'Weekly Log'!$A:$A,"&lt;"&amp;$J520+7)/COUNTIFS('Weekly Log'!$G:$G,"&lt;&gt;",'Weekly Log'!$A:$A,"&gt;="&amp;$J520,'Weekly Log'!$A:$A,"&lt;"&amp;$J520+7),0))</f>
        <v/>
      </c>
      <c r="D520">
        <f>IF($J520="","",IFERROR(COUNTIFS('Weekly Log'!$H:$H,"Y",'Weekly Log'!$A:$A,"&gt;="&amp;$J520,'Weekly Log'!$A:$A,"&lt;"&amp;$J520+7)/COUNTIFS('Weekly Log'!$H:$H,"&lt;&gt;",'Weekly Log'!$A:$A,"&gt;="&amp;$J520,'Weekly Log'!$A:$A,"&lt;"&amp;$J520+7),0))</f>
        <v/>
      </c>
      <c r="E520">
        <f>IF($J520="","",IFERROR(AVERAGEIFS('Weekly Log'!$F:$F,'Weekly Log'!$A:$A,"&gt;="&amp;$J520,'Weekly Log'!$A:$A,"&lt;"&amp;$J520+7),0))</f>
        <v/>
      </c>
      <c r="F520">
        <f>IF($J520="","",IFERROR(SUMIFS('Weekly Log'!$F:$F,'Weekly Log'!$A:$A,"&gt;="&amp;$J520,'Weekly Log'!$A:$A,"&lt;"&amp;$J520+7)/SUMIFS('Weekly Log'!$E:$E,'Weekly Log'!$A:$A,"&gt;="&amp;$J520,'Weekly Log'!$A:$A,"&lt;"&amp;$J520+7),0))</f>
        <v/>
      </c>
      <c r="G520">
        <f>IF($J520="","",IFERROR(LOOKUP(2,1/(('Weekly Log'!$A$5:$A$5000&gt;=$J520)*('Weekly Log'!$A$5:$A$5000&lt;$J520+7)*('Weekly Log'!$M$5:$M$5000&lt;&gt;"")),'Weekly Log'!$M$5:$M$5000),0))</f>
        <v/>
      </c>
      <c r="J520">
        <f>IF(COUNT('Weekly Log'!$A$5:$A$5000)=0,"",IF(MIN('Weekly Log'!$A$5:$A$5000)+7*(ROW()-10)&gt;MAX('Weekly Log'!$A$5:$A$5000),"",MIN('Weekly Log'!$A$5:$A$5000)+7*(ROW()-10)))</f>
        <v/>
      </c>
    </row>
    <row r="521">
      <c r="A521">
        <f>IF($J521="","",YEAR($J521-WEEKDAY($J521,2)+4)&amp;"-W"&amp;TEXT(WEEKNUM($J521,21),"00"))</f>
        <v/>
      </c>
      <c r="B521">
        <f>IF($J521="","",SUMIFS('Weekly Log'!$C:$C,'Weekly Log'!$A:$A,"&gt;="&amp;$J521,'Weekly Log'!$A:$A,"&lt;"&amp;$J521+7))</f>
        <v/>
      </c>
      <c r="C521">
        <f>IF($J521="","",IFERROR(COUNTIFS('Weekly Log'!$G:$G,"Y",'Weekly Log'!$A:$A,"&gt;="&amp;$J521,'Weekly Log'!$A:$A,"&lt;"&amp;$J521+7)/COUNTIFS('Weekly Log'!$G:$G,"&lt;&gt;",'Weekly Log'!$A:$A,"&gt;="&amp;$J521,'Weekly Log'!$A:$A,"&lt;"&amp;$J521+7),0))</f>
        <v/>
      </c>
      <c r="D521">
        <f>IF($J521="","",IFERROR(COUNTIFS('Weekly Log'!$H:$H,"Y",'Weekly Log'!$A:$A,"&gt;="&amp;$J521,'Weekly Log'!$A:$A,"&lt;"&amp;$J521+7)/COUNTIFS('Weekly Log'!$H:$H,"&lt;&gt;",'Weekly Log'!$A:$A,"&gt;="&amp;$J521,'Weekly Log'!$A:$A,"&lt;"&amp;$J521+7),0))</f>
        <v/>
      </c>
      <c r="E521">
        <f>IF($J521="","",IFERROR(AVERAGEIFS('Weekly Log'!$F:$F,'Weekly Log'!$A:$A,"&gt;="&amp;$J521,'Weekly Log'!$A:$A,"&lt;"&amp;$J521+7),0))</f>
        <v/>
      </c>
      <c r="F521">
        <f>IF($J521="","",IFERROR(SUMIFS('Weekly Log'!$F:$F,'Weekly Log'!$A:$A,"&gt;="&amp;$J521,'Weekly Log'!$A:$A,"&lt;"&amp;$J521+7)/SUMIFS('Weekly Log'!$E:$E,'Weekly Log'!$A:$A,"&gt;="&amp;$J521,'Weekly Log'!$A:$A,"&lt;"&amp;$J521+7),0))</f>
        <v/>
      </c>
      <c r="G521">
        <f>IF($J521="","",IFERROR(LOOKUP(2,1/(('Weekly Log'!$A$5:$A$5000&gt;=$J521)*('Weekly Log'!$A$5:$A$5000&lt;$J521+7)*('Weekly Log'!$M$5:$M$5000&lt;&gt;"")),'Weekly Log'!$M$5:$M$5000),0))</f>
        <v/>
      </c>
      <c r="J521">
        <f>IF(COUNT('Weekly Log'!$A$5:$A$5000)=0,"",IF(MIN('Weekly Log'!$A$5:$A$5000)+7*(ROW()-10)&gt;MAX('Weekly Log'!$A$5:$A$5000),"",MIN('Weekly Log'!$A$5:$A$5000)+7*(ROW()-10)))</f>
        <v/>
      </c>
    </row>
    <row r="522">
      <c r="A522">
        <f>IF($J522="","",YEAR($J522-WEEKDAY($J522,2)+4)&amp;"-W"&amp;TEXT(WEEKNUM($J522,21),"00"))</f>
        <v/>
      </c>
      <c r="B522">
        <f>IF($J522="","",SUMIFS('Weekly Log'!$C:$C,'Weekly Log'!$A:$A,"&gt;="&amp;$J522,'Weekly Log'!$A:$A,"&lt;"&amp;$J522+7))</f>
        <v/>
      </c>
      <c r="C522">
        <f>IF($J522="","",IFERROR(COUNTIFS('Weekly Log'!$G:$G,"Y",'Weekly Log'!$A:$A,"&gt;="&amp;$J522,'Weekly Log'!$A:$A,"&lt;"&amp;$J522+7)/COUNTIFS('Weekly Log'!$G:$G,"&lt;&gt;",'Weekly Log'!$A:$A,"&gt;="&amp;$J522,'Weekly Log'!$A:$A,"&lt;"&amp;$J522+7),0))</f>
        <v/>
      </c>
      <c r="D522">
        <f>IF($J522="","",IFERROR(COUNTIFS('Weekly Log'!$H:$H,"Y",'Weekly Log'!$A:$A,"&gt;="&amp;$J522,'Weekly Log'!$A:$A,"&lt;"&amp;$J522+7)/COUNTIFS('Weekly Log'!$H:$H,"&lt;&gt;",'Weekly Log'!$A:$A,"&gt;="&amp;$J522,'Weekly Log'!$A:$A,"&lt;"&amp;$J522+7),0))</f>
        <v/>
      </c>
      <c r="E522">
        <f>IF($J522="","",IFERROR(AVERAGEIFS('Weekly Log'!$F:$F,'Weekly Log'!$A:$A,"&gt;="&amp;$J522,'Weekly Log'!$A:$A,"&lt;"&amp;$J522+7),0))</f>
        <v/>
      </c>
      <c r="F522">
        <f>IF($J522="","",IFERROR(SUMIFS('Weekly Log'!$F:$F,'Weekly Log'!$A:$A,"&gt;="&amp;$J522,'Weekly Log'!$A:$A,"&lt;"&amp;$J522+7)/SUMIFS('Weekly Log'!$E:$E,'Weekly Log'!$A:$A,"&gt;="&amp;$J522,'Weekly Log'!$A:$A,"&lt;"&amp;$J522+7),0))</f>
        <v/>
      </c>
      <c r="G522">
        <f>IF($J522="","",IFERROR(LOOKUP(2,1/(('Weekly Log'!$A$5:$A$5000&gt;=$J522)*('Weekly Log'!$A$5:$A$5000&lt;$J522+7)*('Weekly Log'!$M$5:$M$5000&lt;&gt;"")),'Weekly Log'!$M$5:$M$5000),0))</f>
        <v/>
      </c>
      <c r="J522">
        <f>IF(COUNT('Weekly Log'!$A$5:$A$5000)=0,"",IF(MIN('Weekly Log'!$A$5:$A$5000)+7*(ROW()-10)&gt;MAX('Weekly Log'!$A$5:$A$5000),"",MIN('Weekly Log'!$A$5:$A$5000)+7*(ROW()-10)))</f>
        <v/>
      </c>
    </row>
    <row r="523">
      <c r="A523">
        <f>IF($J523="","",YEAR($J523-WEEKDAY($J523,2)+4)&amp;"-W"&amp;TEXT(WEEKNUM($J523,21),"00"))</f>
        <v/>
      </c>
      <c r="B523">
        <f>IF($J523="","",SUMIFS('Weekly Log'!$C:$C,'Weekly Log'!$A:$A,"&gt;="&amp;$J523,'Weekly Log'!$A:$A,"&lt;"&amp;$J523+7))</f>
        <v/>
      </c>
      <c r="C523">
        <f>IF($J523="","",IFERROR(COUNTIFS('Weekly Log'!$G:$G,"Y",'Weekly Log'!$A:$A,"&gt;="&amp;$J523,'Weekly Log'!$A:$A,"&lt;"&amp;$J523+7)/COUNTIFS('Weekly Log'!$G:$G,"&lt;&gt;",'Weekly Log'!$A:$A,"&gt;="&amp;$J523,'Weekly Log'!$A:$A,"&lt;"&amp;$J523+7),0))</f>
        <v/>
      </c>
      <c r="D523">
        <f>IF($J523="","",IFERROR(COUNTIFS('Weekly Log'!$H:$H,"Y",'Weekly Log'!$A:$A,"&gt;="&amp;$J523,'Weekly Log'!$A:$A,"&lt;"&amp;$J523+7)/COUNTIFS('Weekly Log'!$H:$H,"&lt;&gt;",'Weekly Log'!$A:$A,"&gt;="&amp;$J523,'Weekly Log'!$A:$A,"&lt;"&amp;$J523+7),0))</f>
        <v/>
      </c>
      <c r="E523">
        <f>IF($J523="","",IFERROR(AVERAGEIFS('Weekly Log'!$F:$F,'Weekly Log'!$A:$A,"&gt;="&amp;$J523,'Weekly Log'!$A:$A,"&lt;"&amp;$J523+7),0))</f>
        <v/>
      </c>
      <c r="F523">
        <f>IF($J523="","",IFERROR(SUMIFS('Weekly Log'!$F:$F,'Weekly Log'!$A:$A,"&gt;="&amp;$J523,'Weekly Log'!$A:$A,"&lt;"&amp;$J523+7)/SUMIFS('Weekly Log'!$E:$E,'Weekly Log'!$A:$A,"&gt;="&amp;$J523,'Weekly Log'!$A:$A,"&lt;"&amp;$J523+7),0))</f>
        <v/>
      </c>
      <c r="G523">
        <f>IF($J523="","",IFERROR(LOOKUP(2,1/(('Weekly Log'!$A$5:$A$5000&gt;=$J523)*('Weekly Log'!$A$5:$A$5000&lt;$J523+7)*('Weekly Log'!$M$5:$M$5000&lt;&gt;"")),'Weekly Log'!$M$5:$M$5000),0))</f>
        <v/>
      </c>
      <c r="J523">
        <f>IF(COUNT('Weekly Log'!$A$5:$A$5000)=0,"",IF(MIN('Weekly Log'!$A$5:$A$5000)+7*(ROW()-10)&gt;MAX('Weekly Log'!$A$5:$A$5000),"",MIN('Weekly Log'!$A$5:$A$5000)+7*(ROW()-10)))</f>
        <v/>
      </c>
    </row>
    <row r="524">
      <c r="A524">
        <f>IF($J524="","",YEAR($J524-WEEKDAY($J524,2)+4)&amp;"-W"&amp;TEXT(WEEKNUM($J524,21),"00"))</f>
        <v/>
      </c>
      <c r="B524">
        <f>IF($J524="","",SUMIFS('Weekly Log'!$C:$C,'Weekly Log'!$A:$A,"&gt;="&amp;$J524,'Weekly Log'!$A:$A,"&lt;"&amp;$J524+7))</f>
        <v/>
      </c>
      <c r="C524">
        <f>IF($J524="","",IFERROR(COUNTIFS('Weekly Log'!$G:$G,"Y",'Weekly Log'!$A:$A,"&gt;="&amp;$J524,'Weekly Log'!$A:$A,"&lt;"&amp;$J524+7)/COUNTIFS('Weekly Log'!$G:$G,"&lt;&gt;",'Weekly Log'!$A:$A,"&gt;="&amp;$J524,'Weekly Log'!$A:$A,"&lt;"&amp;$J524+7),0))</f>
        <v/>
      </c>
      <c r="D524">
        <f>IF($J524="","",IFERROR(COUNTIFS('Weekly Log'!$H:$H,"Y",'Weekly Log'!$A:$A,"&gt;="&amp;$J524,'Weekly Log'!$A:$A,"&lt;"&amp;$J524+7)/COUNTIFS('Weekly Log'!$H:$H,"&lt;&gt;",'Weekly Log'!$A:$A,"&gt;="&amp;$J524,'Weekly Log'!$A:$A,"&lt;"&amp;$J524+7),0))</f>
        <v/>
      </c>
      <c r="E524">
        <f>IF($J524="","",IFERROR(AVERAGEIFS('Weekly Log'!$F:$F,'Weekly Log'!$A:$A,"&gt;="&amp;$J524,'Weekly Log'!$A:$A,"&lt;"&amp;$J524+7),0))</f>
        <v/>
      </c>
      <c r="F524">
        <f>IF($J524="","",IFERROR(SUMIFS('Weekly Log'!$F:$F,'Weekly Log'!$A:$A,"&gt;="&amp;$J524,'Weekly Log'!$A:$A,"&lt;"&amp;$J524+7)/SUMIFS('Weekly Log'!$E:$E,'Weekly Log'!$A:$A,"&gt;="&amp;$J524,'Weekly Log'!$A:$A,"&lt;"&amp;$J524+7),0))</f>
        <v/>
      </c>
      <c r="G524">
        <f>IF($J524="","",IFERROR(LOOKUP(2,1/(('Weekly Log'!$A$5:$A$5000&gt;=$J524)*('Weekly Log'!$A$5:$A$5000&lt;$J524+7)*('Weekly Log'!$M$5:$M$5000&lt;&gt;"")),'Weekly Log'!$M$5:$M$5000),0))</f>
        <v/>
      </c>
      <c r="J524">
        <f>IF(COUNT('Weekly Log'!$A$5:$A$5000)=0,"",IF(MIN('Weekly Log'!$A$5:$A$5000)+7*(ROW()-10)&gt;MAX('Weekly Log'!$A$5:$A$5000),"",MIN('Weekly Log'!$A$5:$A$5000)+7*(ROW()-10)))</f>
        <v/>
      </c>
    </row>
    <row r="525">
      <c r="A525">
        <f>IF($J525="","",YEAR($J525-WEEKDAY($J525,2)+4)&amp;"-W"&amp;TEXT(WEEKNUM($J525,21),"00"))</f>
        <v/>
      </c>
      <c r="B525">
        <f>IF($J525="","",SUMIFS('Weekly Log'!$C:$C,'Weekly Log'!$A:$A,"&gt;="&amp;$J525,'Weekly Log'!$A:$A,"&lt;"&amp;$J525+7))</f>
        <v/>
      </c>
      <c r="C525">
        <f>IF($J525="","",IFERROR(COUNTIFS('Weekly Log'!$G:$G,"Y",'Weekly Log'!$A:$A,"&gt;="&amp;$J525,'Weekly Log'!$A:$A,"&lt;"&amp;$J525+7)/COUNTIFS('Weekly Log'!$G:$G,"&lt;&gt;",'Weekly Log'!$A:$A,"&gt;="&amp;$J525,'Weekly Log'!$A:$A,"&lt;"&amp;$J525+7),0))</f>
        <v/>
      </c>
      <c r="D525">
        <f>IF($J525="","",IFERROR(COUNTIFS('Weekly Log'!$H:$H,"Y",'Weekly Log'!$A:$A,"&gt;="&amp;$J525,'Weekly Log'!$A:$A,"&lt;"&amp;$J525+7)/COUNTIFS('Weekly Log'!$H:$H,"&lt;&gt;",'Weekly Log'!$A:$A,"&gt;="&amp;$J525,'Weekly Log'!$A:$A,"&lt;"&amp;$J525+7),0))</f>
        <v/>
      </c>
      <c r="E525">
        <f>IF($J525="","",IFERROR(AVERAGEIFS('Weekly Log'!$F:$F,'Weekly Log'!$A:$A,"&gt;="&amp;$J525,'Weekly Log'!$A:$A,"&lt;"&amp;$J525+7),0))</f>
        <v/>
      </c>
      <c r="F525">
        <f>IF($J525="","",IFERROR(SUMIFS('Weekly Log'!$F:$F,'Weekly Log'!$A:$A,"&gt;="&amp;$J525,'Weekly Log'!$A:$A,"&lt;"&amp;$J525+7)/SUMIFS('Weekly Log'!$E:$E,'Weekly Log'!$A:$A,"&gt;="&amp;$J525,'Weekly Log'!$A:$A,"&lt;"&amp;$J525+7),0))</f>
        <v/>
      </c>
      <c r="G525">
        <f>IF($J525="","",IFERROR(LOOKUP(2,1/(('Weekly Log'!$A$5:$A$5000&gt;=$J525)*('Weekly Log'!$A$5:$A$5000&lt;$J525+7)*('Weekly Log'!$M$5:$M$5000&lt;&gt;"")),'Weekly Log'!$M$5:$M$5000),0))</f>
        <v/>
      </c>
      <c r="J525">
        <f>IF(COUNT('Weekly Log'!$A$5:$A$5000)=0,"",IF(MIN('Weekly Log'!$A$5:$A$5000)+7*(ROW()-10)&gt;MAX('Weekly Log'!$A$5:$A$5000),"",MIN('Weekly Log'!$A$5:$A$5000)+7*(ROW()-10)))</f>
        <v/>
      </c>
    </row>
    <row r="526">
      <c r="A526">
        <f>IF($J526="","",YEAR($J526-WEEKDAY($J526,2)+4)&amp;"-W"&amp;TEXT(WEEKNUM($J526,21),"00"))</f>
        <v/>
      </c>
      <c r="B526">
        <f>IF($J526="","",SUMIFS('Weekly Log'!$C:$C,'Weekly Log'!$A:$A,"&gt;="&amp;$J526,'Weekly Log'!$A:$A,"&lt;"&amp;$J526+7))</f>
        <v/>
      </c>
      <c r="C526">
        <f>IF($J526="","",IFERROR(COUNTIFS('Weekly Log'!$G:$G,"Y",'Weekly Log'!$A:$A,"&gt;="&amp;$J526,'Weekly Log'!$A:$A,"&lt;"&amp;$J526+7)/COUNTIFS('Weekly Log'!$G:$G,"&lt;&gt;",'Weekly Log'!$A:$A,"&gt;="&amp;$J526,'Weekly Log'!$A:$A,"&lt;"&amp;$J526+7),0))</f>
        <v/>
      </c>
      <c r="D526">
        <f>IF($J526="","",IFERROR(COUNTIFS('Weekly Log'!$H:$H,"Y",'Weekly Log'!$A:$A,"&gt;="&amp;$J526,'Weekly Log'!$A:$A,"&lt;"&amp;$J526+7)/COUNTIFS('Weekly Log'!$H:$H,"&lt;&gt;",'Weekly Log'!$A:$A,"&gt;="&amp;$J526,'Weekly Log'!$A:$A,"&lt;"&amp;$J526+7),0))</f>
        <v/>
      </c>
      <c r="E526">
        <f>IF($J526="","",IFERROR(AVERAGEIFS('Weekly Log'!$F:$F,'Weekly Log'!$A:$A,"&gt;="&amp;$J526,'Weekly Log'!$A:$A,"&lt;"&amp;$J526+7),0))</f>
        <v/>
      </c>
      <c r="F526">
        <f>IF($J526="","",IFERROR(SUMIFS('Weekly Log'!$F:$F,'Weekly Log'!$A:$A,"&gt;="&amp;$J526,'Weekly Log'!$A:$A,"&lt;"&amp;$J526+7)/SUMIFS('Weekly Log'!$E:$E,'Weekly Log'!$A:$A,"&gt;="&amp;$J526,'Weekly Log'!$A:$A,"&lt;"&amp;$J526+7),0))</f>
        <v/>
      </c>
      <c r="G526">
        <f>IF($J526="","",IFERROR(LOOKUP(2,1/(('Weekly Log'!$A$5:$A$5000&gt;=$J526)*('Weekly Log'!$A$5:$A$5000&lt;$J526+7)*('Weekly Log'!$M$5:$M$5000&lt;&gt;"")),'Weekly Log'!$M$5:$M$5000),0))</f>
        <v/>
      </c>
      <c r="J526">
        <f>IF(COUNT('Weekly Log'!$A$5:$A$5000)=0,"",IF(MIN('Weekly Log'!$A$5:$A$5000)+7*(ROW()-10)&gt;MAX('Weekly Log'!$A$5:$A$5000),"",MIN('Weekly Log'!$A$5:$A$5000)+7*(ROW()-10)))</f>
        <v/>
      </c>
    </row>
    <row r="527">
      <c r="A527">
        <f>IF($J527="","",YEAR($J527-WEEKDAY($J527,2)+4)&amp;"-W"&amp;TEXT(WEEKNUM($J527,21),"00"))</f>
        <v/>
      </c>
      <c r="B527">
        <f>IF($J527="","",SUMIFS('Weekly Log'!$C:$C,'Weekly Log'!$A:$A,"&gt;="&amp;$J527,'Weekly Log'!$A:$A,"&lt;"&amp;$J527+7))</f>
        <v/>
      </c>
      <c r="C527">
        <f>IF($J527="","",IFERROR(COUNTIFS('Weekly Log'!$G:$G,"Y",'Weekly Log'!$A:$A,"&gt;="&amp;$J527,'Weekly Log'!$A:$A,"&lt;"&amp;$J527+7)/COUNTIFS('Weekly Log'!$G:$G,"&lt;&gt;",'Weekly Log'!$A:$A,"&gt;="&amp;$J527,'Weekly Log'!$A:$A,"&lt;"&amp;$J527+7),0))</f>
        <v/>
      </c>
      <c r="D527">
        <f>IF($J527="","",IFERROR(COUNTIFS('Weekly Log'!$H:$H,"Y",'Weekly Log'!$A:$A,"&gt;="&amp;$J527,'Weekly Log'!$A:$A,"&lt;"&amp;$J527+7)/COUNTIFS('Weekly Log'!$H:$H,"&lt;&gt;",'Weekly Log'!$A:$A,"&gt;="&amp;$J527,'Weekly Log'!$A:$A,"&lt;"&amp;$J527+7),0))</f>
        <v/>
      </c>
      <c r="E527">
        <f>IF($J527="","",IFERROR(AVERAGEIFS('Weekly Log'!$F:$F,'Weekly Log'!$A:$A,"&gt;="&amp;$J527,'Weekly Log'!$A:$A,"&lt;"&amp;$J527+7),0))</f>
        <v/>
      </c>
      <c r="F527">
        <f>IF($J527="","",IFERROR(SUMIFS('Weekly Log'!$F:$F,'Weekly Log'!$A:$A,"&gt;="&amp;$J527,'Weekly Log'!$A:$A,"&lt;"&amp;$J527+7)/SUMIFS('Weekly Log'!$E:$E,'Weekly Log'!$A:$A,"&gt;="&amp;$J527,'Weekly Log'!$A:$A,"&lt;"&amp;$J527+7),0))</f>
        <v/>
      </c>
      <c r="G527">
        <f>IF($J527="","",IFERROR(LOOKUP(2,1/(('Weekly Log'!$A$5:$A$5000&gt;=$J527)*('Weekly Log'!$A$5:$A$5000&lt;$J527+7)*('Weekly Log'!$M$5:$M$5000&lt;&gt;"")),'Weekly Log'!$M$5:$M$5000),0))</f>
        <v/>
      </c>
      <c r="J527">
        <f>IF(COUNT('Weekly Log'!$A$5:$A$5000)=0,"",IF(MIN('Weekly Log'!$A$5:$A$5000)+7*(ROW()-10)&gt;MAX('Weekly Log'!$A$5:$A$5000),"",MIN('Weekly Log'!$A$5:$A$5000)+7*(ROW()-10)))</f>
        <v/>
      </c>
    </row>
    <row r="528">
      <c r="A528">
        <f>IF($J528="","",YEAR($J528-WEEKDAY($J528,2)+4)&amp;"-W"&amp;TEXT(WEEKNUM($J528,21),"00"))</f>
        <v/>
      </c>
      <c r="B528">
        <f>IF($J528="","",SUMIFS('Weekly Log'!$C:$C,'Weekly Log'!$A:$A,"&gt;="&amp;$J528,'Weekly Log'!$A:$A,"&lt;"&amp;$J528+7))</f>
        <v/>
      </c>
      <c r="C528">
        <f>IF($J528="","",IFERROR(COUNTIFS('Weekly Log'!$G:$G,"Y",'Weekly Log'!$A:$A,"&gt;="&amp;$J528,'Weekly Log'!$A:$A,"&lt;"&amp;$J528+7)/COUNTIFS('Weekly Log'!$G:$G,"&lt;&gt;",'Weekly Log'!$A:$A,"&gt;="&amp;$J528,'Weekly Log'!$A:$A,"&lt;"&amp;$J528+7),0))</f>
        <v/>
      </c>
      <c r="D528">
        <f>IF($J528="","",IFERROR(COUNTIFS('Weekly Log'!$H:$H,"Y",'Weekly Log'!$A:$A,"&gt;="&amp;$J528,'Weekly Log'!$A:$A,"&lt;"&amp;$J528+7)/COUNTIFS('Weekly Log'!$H:$H,"&lt;&gt;",'Weekly Log'!$A:$A,"&gt;="&amp;$J528,'Weekly Log'!$A:$A,"&lt;"&amp;$J528+7),0))</f>
        <v/>
      </c>
      <c r="E528">
        <f>IF($J528="","",IFERROR(AVERAGEIFS('Weekly Log'!$F:$F,'Weekly Log'!$A:$A,"&gt;="&amp;$J528,'Weekly Log'!$A:$A,"&lt;"&amp;$J528+7),0))</f>
        <v/>
      </c>
      <c r="F528">
        <f>IF($J528="","",IFERROR(SUMIFS('Weekly Log'!$F:$F,'Weekly Log'!$A:$A,"&gt;="&amp;$J528,'Weekly Log'!$A:$A,"&lt;"&amp;$J528+7)/SUMIFS('Weekly Log'!$E:$E,'Weekly Log'!$A:$A,"&gt;="&amp;$J528,'Weekly Log'!$A:$A,"&lt;"&amp;$J528+7),0))</f>
        <v/>
      </c>
      <c r="G528">
        <f>IF($J528="","",IFERROR(LOOKUP(2,1/(('Weekly Log'!$A$5:$A$5000&gt;=$J528)*('Weekly Log'!$A$5:$A$5000&lt;$J528+7)*('Weekly Log'!$M$5:$M$5000&lt;&gt;"")),'Weekly Log'!$M$5:$M$5000),0))</f>
        <v/>
      </c>
      <c r="J528">
        <f>IF(COUNT('Weekly Log'!$A$5:$A$5000)=0,"",IF(MIN('Weekly Log'!$A$5:$A$5000)+7*(ROW()-10)&gt;MAX('Weekly Log'!$A$5:$A$5000),"",MIN('Weekly Log'!$A$5:$A$5000)+7*(ROW()-10)))</f>
        <v/>
      </c>
    </row>
    <row r="529">
      <c r="A529">
        <f>IF($J529="","",YEAR($J529-WEEKDAY($J529,2)+4)&amp;"-W"&amp;TEXT(WEEKNUM($J529,21),"00"))</f>
        <v/>
      </c>
      <c r="B529">
        <f>IF($J529="","",SUMIFS('Weekly Log'!$C:$C,'Weekly Log'!$A:$A,"&gt;="&amp;$J529,'Weekly Log'!$A:$A,"&lt;"&amp;$J529+7))</f>
        <v/>
      </c>
      <c r="C529">
        <f>IF($J529="","",IFERROR(COUNTIFS('Weekly Log'!$G:$G,"Y",'Weekly Log'!$A:$A,"&gt;="&amp;$J529,'Weekly Log'!$A:$A,"&lt;"&amp;$J529+7)/COUNTIFS('Weekly Log'!$G:$G,"&lt;&gt;",'Weekly Log'!$A:$A,"&gt;="&amp;$J529,'Weekly Log'!$A:$A,"&lt;"&amp;$J529+7),0))</f>
        <v/>
      </c>
      <c r="D529">
        <f>IF($J529="","",IFERROR(COUNTIFS('Weekly Log'!$H:$H,"Y",'Weekly Log'!$A:$A,"&gt;="&amp;$J529,'Weekly Log'!$A:$A,"&lt;"&amp;$J529+7)/COUNTIFS('Weekly Log'!$H:$H,"&lt;&gt;",'Weekly Log'!$A:$A,"&gt;="&amp;$J529,'Weekly Log'!$A:$A,"&lt;"&amp;$J529+7),0))</f>
        <v/>
      </c>
      <c r="E529">
        <f>IF($J529="","",IFERROR(AVERAGEIFS('Weekly Log'!$F:$F,'Weekly Log'!$A:$A,"&gt;="&amp;$J529,'Weekly Log'!$A:$A,"&lt;"&amp;$J529+7),0))</f>
        <v/>
      </c>
      <c r="F529">
        <f>IF($J529="","",IFERROR(SUMIFS('Weekly Log'!$F:$F,'Weekly Log'!$A:$A,"&gt;="&amp;$J529,'Weekly Log'!$A:$A,"&lt;"&amp;$J529+7)/SUMIFS('Weekly Log'!$E:$E,'Weekly Log'!$A:$A,"&gt;="&amp;$J529,'Weekly Log'!$A:$A,"&lt;"&amp;$J529+7),0))</f>
        <v/>
      </c>
      <c r="G529">
        <f>IF($J529="","",IFERROR(LOOKUP(2,1/(('Weekly Log'!$A$5:$A$5000&gt;=$J529)*('Weekly Log'!$A$5:$A$5000&lt;$J529+7)*('Weekly Log'!$M$5:$M$5000&lt;&gt;"")),'Weekly Log'!$M$5:$M$5000),0))</f>
        <v/>
      </c>
      <c r="J529">
        <f>IF(COUNT('Weekly Log'!$A$5:$A$5000)=0,"",IF(MIN('Weekly Log'!$A$5:$A$5000)+7*(ROW()-10)&gt;MAX('Weekly Log'!$A$5:$A$5000),"",MIN('Weekly Log'!$A$5:$A$5000)+7*(ROW()-10)))</f>
        <v/>
      </c>
    </row>
    <row r="530">
      <c r="A530">
        <f>IF($J530="","",YEAR($J530-WEEKDAY($J530,2)+4)&amp;"-W"&amp;TEXT(WEEKNUM($J530,21),"00"))</f>
        <v/>
      </c>
      <c r="B530">
        <f>IF($J530="","",SUMIFS('Weekly Log'!$C:$C,'Weekly Log'!$A:$A,"&gt;="&amp;$J530,'Weekly Log'!$A:$A,"&lt;"&amp;$J530+7))</f>
        <v/>
      </c>
      <c r="C530">
        <f>IF($J530="","",IFERROR(COUNTIFS('Weekly Log'!$G:$G,"Y",'Weekly Log'!$A:$A,"&gt;="&amp;$J530,'Weekly Log'!$A:$A,"&lt;"&amp;$J530+7)/COUNTIFS('Weekly Log'!$G:$G,"&lt;&gt;",'Weekly Log'!$A:$A,"&gt;="&amp;$J530,'Weekly Log'!$A:$A,"&lt;"&amp;$J530+7),0))</f>
        <v/>
      </c>
      <c r="D530">
        <f>IF($J530="","",IFERROR(COUNTIFS('Weekly Log'!$H:$H,"Y",'Weekly Log'!$A:$A,"&gt;="&amp;$J530,'Weekly Log'!$A:$A,"&lt;"&amp;$J530+7)/COUNTIFS('Weekly Log'!$H:$H,"&lt;&gt;",'Weekly Log'!$A:$A,"&gt;="&amp;$J530,'Weekly Log'!$A:$A,"&lt;"&amp;$J530+7),0))</f>
        <v/>
      </c>
      <c r="E530">
        <f>IF($J530="","",IFERROR(AVERAGEIFS('Weekly Log'!$F:$F,'Weekly Log'!$A:$A,"&gt;="&amp;$J530,'Weekly Log'!$A:$A,"&lt;"&amp;$J530+7),0))</f>
        <v/>
      </c>
      <c r="F530">
        <f>IF($J530="","",IFERROR(SUMIFS('Weekly Log'!$F:$F,'Weekly Log'!$A:$A,"&gt;="&amp;$J530,'Weekly Log'!$A:$A,"&lt;"&amp;$J530+7)/SUMIFS('Weekly Log'!$E:$E,'Weekly Log'!$A:$A,"&gt;="&amp;$J530,'Weekly Log'!$A:$A,"&lt;"&amp;$J530+7),0))</f>
        <v/>
      </c>
      <c r="G530">
        <f>IF($J530="","",IFERROR(LOOKUP(2,1/(('Weekly Log'!$A$5:$A$5000&gt;=$J530)*('Weekly Log'!$A$5:$A$5000&lt;$J530+7)*('Weekly Log'!$M$5:$M$5000&lt;&gt;"")),'Weekly Log'!$M$5:$M$5000),0))</f>
        <v/>
      </c>
      <c r="J530">
        <f>IF(COUNT('Weekly Log'!$A$5:$A$5000)=0,"",IF(MIN('Weekly Log'!$A$5:$A$5000)+7*(ROW()-10)&gt;MAX('Weekly Log'!$A$5:$A$5000),"",MIN('Weekly Log'!$A$5:$A$5000)+7*(ROW()-10)))</f>
        <v/>
      </c>
    </row>
    <row r="531">
      <c r="A531">
        <f>IF($J531="","",YEAR($J531-WEEKDAY($J531,2)+4)&amp;"-W"&amp;TEXT(WEEKNUM($J531,21),"00"))</f>
        <v/>
      </c>
      <c r="B531">
        <f>IF($J531="","",SUMIFS('Weekly Log'!$C:$C,'Weekly Log'!$A:$A,"&gt;="&amp;$J531,'Weekly Log'!$A:$A,"&lt;"&amp;$J531+7))</f>
        <v/>
      </c>
      <c r="C531">
        <f>IF($J531="","",IFERROR(COUNTIFS('Weekly Log'!$G:$G,"Y",'Weekly Log'!$A:$A,"&gt;="&amp;$J531,'Weekly Log'!$A:$A,"&lt;"&amp;$J531+7)/COUNTIFS('Weekly Log'!$G:$G,"&lt;&gt;",'Weekly Log'!$A:$A,"&gt;="&amp;$J531,'Weekly Log'!$A:$A,"&lt;"&amp;$J531+7),0))</f>
        <v/>
      </c>
      <c r="D531">
        <f>IF($J531="","",IFERROR(COUNTIFS('Weekly Log'!$H:$H,"Y",'Weekly Log'!$A:$A,"&gt;="&amp;$J531,'Weekly Log'!$A:$A,"&lt;"&amp;$J531+7)/COUNTIFS('Weekly Log'!$H:$H,"&lt;&gt;",'Weekly Log'!$A:$A,"&gt;="&amp;$J531,'Weekly Log'!$A:$A,"&lt;"&amp;$J531+7),0))</f>
        <v/>
      </c>
      <c r="E531">
        <f>IF($J531="","",IFERROR(AVERAGEIFS('Weekly Log'!$F:$F,'Weekly Log'!$A:$A,"&gt;="&amp;$J531,'Weekly Log'!$A:$A,"&lt;"&amp;$J531+7),0))</f>
        <v/>
      </c>
      <c r="F531">
        <f>IF($J531="","",IFERROR(SUMIFS('Weekly Log'!$F:$F,'Weekly Log'!$A:$A,"&gt;="&amp;$J531,'Weekly Log'!$A:$A,"&lt;"&amp;$J531+7)/SUMIFS('Weekly Log'!$E:$E,'Weekly Log'!$A:$A,"&gt;="&amp;$J531,'Weekly Log'!$A:$A,"&lt;"&amp;$J531+7),0))</f>
        <v/>
      </c>
      <c r="G531">
        <f>IF($J531="","",IFERROR(LOOKUP(2,1/(('Weekly Log'!$A$5:$A$5000&gt;=$J531)*('Weekly Log'!$A$5:$A$5000&lt;$J531+7)*('Weekly Log'!$M$5:$M$5000&lt;&gt;"")),'Weekly Log'!$M$5:$M$5000),0))</f>
        <v/>
      </c>
      <c r="J531">
        <f>IF(COUNT('Weekly Log'!$A$5:$A$5000)=0,"",IF(MIN('Weekly Log'!$A$5:$A$5000)+7*(ROW()-10)&gt;MAX('Weekly Log'!$A$5:$A$5000),"",MIN('Weekly Log'!$A$5:$A$5000)+7*(ROW()-10)))</f>
        <v/>
      </c>
    </row>
    <row r="532">
      <c r="A532">
        <f>IF($J532="","",YEAR($J532-WEEKDAY($J532,2)+4)&amp;"-W"&amp;TEXT(WEEKNUM($J532,21),"00"))</f>
        <v/>
      </c>
      <c r="B532">
        <f>IF($J532="","",SUMIFS('Weekly Log'!$C:$C,'Weekly Log'!$A:$A,"&gt;="&amp;$J532,'Weekly Log'!$A:$A,"&lt;"&amp;$J532+7))</f>
        <v/>
      </c>
      <c r="C532">
        <f>IF($J532="","",IFERROR(COUNTIFS('Weekly Log'!$G:$G,"Y",'Weekly Log'!$A:$A,"&gt;="&amp;$J532,'Weekly Log'!$A:$A,"&lt;"&amp;$J532+7)/COUNTIFS('Weekly Log'!$G:$G,"&lt;&gt;",'Weekly Log'!$A:$A,"&gt;="&amp;$J532,'Weekly Log'!$A:$A,"&lt;"&amp;$J532+7),0))</f>
        <v/>
      </c>
      <c r="D532">
        <f>IF($J532="","",IFERROR(COUNTIFS('Weekly Log'!$H:$H,"Y",'Weekly Log'!$A:$A,"&gt;="&amp;$J532,'Weekly Log'!$A:$A,"&lt;"&amp;$J532+7)/COUNTIFS('Weekly Log'!$H:$H,"&lt;&gt;",'Weekly Log'!$A:$A,"&gt;="&amp;$J532,'Weekly Log'!$A:$A,"&lt;"&amp;$J532+7),0))</f>
        <v/>
      </c>
      <c r="E532">
        <f>IF($J532="","",IFERROR(AVERAGEIFS('Weekly Log'!$F:$F,'Weekly Log'!$A:$A,"&gt;="&amp;$J532,'Weekly Log'!$A:$A,"&lt;"&amp;$J532+7),0))</f>
        <v/>
      </c>
      <c r="F532">
        <f>IF($J532="","",IFERROR(SUMIFS('Weekly Log'!$F:$F,'Weekly Log'!$A:$A,"&gt;="&amp;$J532,'Weekly Log'!$A:$A,"&lt;"&amp;$J532+7)/SUMIFS('Weekly Log'!$E:$E,'Weekly Log'!$A:$A,"&gt;="&amp;$J532,'Weekly Log'!$A:$A,"&lt;"&amp;$J532+7),0))</f>
        <v/>
      </c>
      <c r="G532">
        <f>IF($J532="","",IFERROR(LOOKUP(2,1/(('Weekly Log'!$A$5:$A$5000&gt;=$J532)*('Weekly Log'!$A$5:$A$5000&lt;$J532+7)*('Weekly Log'!$M$5:$M$5000&lt;&gt;"")),'Weekly Log'!$M$5:$M$5000),0))</f>
        <v/>
      </c>
      <c r="J532">
        <f>IF(COUNT('Weekly Log'!$A$5:$A$5000)=0,"",IF(MIN('Weekly Log'!$A$5:$A$5000)+7*(ROW()-10)&gt;MAX('Weekly Log'!$A$5:$A$5000),"",MIN('Weekly Log'!$A$5:$A$5000)+7*(ROW()-10)))</f>
        <v/>
      </c>
    </row>
    <row r="533">
      <c r="A533">
        <f>IF($J533="","",YEAR($J533-WEEKDAY($J533,2)+4)&amp;"-W"&amp;TEXT(WEEKNUM($J533,21),"00"))</f>
        <v/>
      </c>
      <c r="B533">
        <f>IF($J533="","",SUMIFS('Weekly Log'!$C:$C,'Weekly Log'!$A:$A,"&gt;="&amp;$J533,'Weekly Log'!$A:$A,"&lt;"&amp;$J533+7))</f>
        <v/>
      </c>
      <c r="C533">
        <f>IF($J533="","",IFERROR(COUNTIFS('Weekly Log'!$G:$G,"Y",'Weekly Log'!$A:$A,"&gt;="&amp;$J533,'Weekly Log'!$A:$A,"&lt;"&amp;$J533+7)/COUNTIFS('Weekly Log'!$G:$G,"&lt;&gt;",'Weekly Log'!$A:$A,"&gt;="&amp;$J533,'Weekly Log'!$A:$A,"&lt;"&amp;$J533+7),0))</f>
        <v/>
      </c>
      <c r="D533">
        <f>IF($J533="","",IFERROR(COUNTIFS('Weekly Log'!$H:$H,"Y",'Weekly Log'!$A:$A,"&gt;="&amp;$J533,'Weekly Log'!$A:$A,"&lt;"&amp;$J533+7)/COUNTIFS('Weekly Log'!$H:$H,"&lt;&gt;",'Weekly Log'!$A:$A,"&gt;="&amp;$J533,'Weekly Log'!$A:$A,"&lt;"&amp;$J533+7),0))</f>
        <v/>
      </c>
      <c r="E533">
        <f>IF($J533="","",IFERROR(AVERAGEIFS('Weekly Log'!$F:$F,'Weekly Log'!$A:$A,"&gt;="&amp;$J533,'Weekly Log'!$A:$A,"&lt;"&amp;$J533+7),0))</f>
        <v/>
      </c>
      <c r="F533">
        <f>IF($J533="","",IFERROR(SUMIFS('Weekly Log'!$F:$F,'Weekly Log'!$A:$A,"&gt;="&amp;$J533,'Weekly Log'!$A:$A,"&lt;"&amp;$J533+7)/SUMIFS('Weekly Log'!$E:$E,'Weekly Log'!$A:$A,"&gt;="&amp;$J533,'Weekly Log'!$A:$A,"&lt;"&amp;$J533+7),0))</f>
        <v/>
      </c>
      <c r="G533">
        <f>IF($J533="","",IFERROR(LOOKUP(2,1/(('Weekly Log'!$A$5:$A$5000&gt;=$J533)*('Weekly Log'!$A$5:$A$5000&lt;$J533+7)*('Weekly Log'!$M$5:$M$5000&lt;&gt;"")),'Weekly Log'!$M$5:$M$5000),0))</f>
        <v/>
      </c>
      <c r="J533">
        <f>IF(COUNT('Weekly Log'!$A$5:$A$5000)=0,"",IF(MIN('Weekly Log'!$A$5:$A$5000)+7*(ROW()-10)&gt;MAX('Weekly Log'!$A$5:$A$5000),"",MIN('Weekly Log'!$A$5:$A$5000)+7*(ROW()-10)))</f>
        <v/>
      </c>
    </row>
    <row r="534">
      <c r="A534">
        <f>IF($J534="","",YEAR($J534-WEEKDAY($J534,2)+4)&amp;"-W"&amp;TEXT(WEEKNUM($J534,21),"00"))</f>
        <v/>
      </c>
      <c r="B534">
        <f>IF($J534="","",SUMIFS('Weekly Log'!$C:$C,'Weekly Log'!$A:$A,"&gt;="&amp;$J534,'Weekly Log'!$A:$A,"&lt;"&amp;$J534+7))</f>
        <v/>
      </c>
      <c r="C534">
        <f>IF($J534="","",IFERROR(COUNTIFS('Weekly Log'!$G:$G,"Y",'Weekly Log'!$A:$A,"&gt;="&amp;$J534,'Weekly Log'!$A:$A,"&lt;"&amp;$J534+7)/COUNTIFS('Weekly Log'!$G:$G,"&lt;&gt;",'Weekly Log'!$A:$A,"&gt;="&amp;$J534,'Weekly Log'!$A:$A,"&lt;"&amp;$J534+7),0))</f>
        <v/>
      </c>
      <c r="D534">
        <f>IF($J534="","",IFERROR(COUNTIFS('Weekly Log'!$H:$H,"Y",'Weekly Log'!$A:$A,"&gt;="&amp;$J534,'Weekly Log'!$A:$A,"&lt;"&amp;$J534+7)/COUNTIFS('Weekly Log'!$H:$H,"&lt;&gt;",'Weekly Log'!$A:$A,"&gt;="&amp;$J534,'Weekly Log'!$A:$A,"&lt;"&amp;$J534+7),0))</f>
        <v/>
      </c>
      <c r="E534">
        <f>IF($J534="","",IFERROR(AVERAGEIFS('Weekly Log'!$F:$F,'Weekly Log'!$A:$A,"&gt;="&amp;$J534,'Weekly Log'!$A:$A,"&lt;"&amp;$J534+7),0))</f>
        <v/>
      </c>
      <c r="F534">
        <f>IF($J534="","",IFERROR(SUMIFS('Weekly Log'!$F:$F,'Weekly Log'!$A:$A,"&gt;="&amp;$J534,'Weekly Log'!$A:$A,"&lt;"&amp;$J534+7)/SUMIFS('Weekly Log'!$E:$E,'Weekly Log'!$A:$A,"&gt;="&amp;$J534,'Weekly Log'!$A:$A,"&lt;"&amp;$J534+7),0))</f>
        <v/>
      </c>
      <c r="G534">
        <f>IF($J534="","",IFERROR(LOOKUP(2,1/(('Weekly Log'!$A$5:$A$5000&gt;=$J534)*('Weekly Log'!$A$5:$A$5000&lt;$J534+7)*('Weekly Log'!$M$5:$M$5000&lt;&gt;"")),'Weekly Log'!$M$5:$M$5000),0))</f>
        <v/>
      </c>
      <c r="J534">
        <f>IF(COUNT('Weekly Log'!$A$5:$A$5000)=0,"",IF(MIN('Weekly Log'!$A$5:$A$5000)+7*(ROW()-10)&gt;MAX('Weekly Log'!$A$5:$A$5000),"",MIN('Weekly Log'!$A$5:$A$5000)+7*(ROW()-10)))</f>
        <v/>
      </c>
    </row>
    <row r="535">
      <c r="A535">
        <f>IF($J535="","",YEAR($J535-WEEKDAY($J535,2)+4)&amp;"-W"&amp;TEXT(WEEKNUM($J535,21),"00"))</f>
        <v/>
      </c>
      <c r="B535">
        <f>IF($J535="","",SUMIFS('Weekly Log'!$C:$C,'Weekly Log'!$A:$A,"&gt;="&amp;$J535,'Weekly Log'!$A:$A,"&lt;"&amp;$J535+7))</f>
        <v/>
      </c>
      <c r="C535">
        <f>IF($J535="","",IFERROR(COUNTIFS('Weekly Log'!$G:$G,"Y",'Weekly Log'!$A:$A,"&gt;="&amp;$J535,'Weekly Log'!$A:$A,"&lt;"&amp;$J535+7)/COUNTIFS('Weekly Log'!$G:$G,"&lt;&gt;",'Weekly Log'!$A:$A,"&gt;="&amp;$J535,'Weekly Log'!$A:$A,"&lt;"&amp;$J535+7),0))</f>
        <v/>
      </c>
      <c r="D535">
        <f>IF($J535="","",IFERROR(COUNTIFS('Weekly Log'!$H:$H,"Y",'Weekly Log'!$A:$A,"&gt;="&amp;$J535,'Weekly Log'!$A:$A,"&lt;"&amp;$J535+7)/COUNTIFS('Weekly Log'!$H:$H,"&lt;&gt;",'Weekly Log'!$A:$A,"&gt;="&amp;$J535,'Weekly Log'!$A:$A,"&lt;"&amp;$J535+7),0))</f>
        <v/>
      </c>
      <c r="E535">
        <f>IF($J535="","",IFERROR(AVERAGEIFS('Weekly Log'!$F:$F,'Weekly Log'!$A:$A,"&gt;="&amp;$J535,'Weekly Log'!$A:$A,"&lt;"&amp;$J535+7),0))</f>
        <v/>
      </c>
      <c r="F535">
        <f>IF($J535="","",IFERROR(SUMIFS('Weekly Log'!$F:$F,'Weekly Log'!$A:$A,"&gt;="&amp;$J535,'Weekly Log'!$A:$A,"&lt;"&amp;$J535+7)/SUMIFS('Weekly Log'!$E:$E,'Weekly Log'!$A:$A,"&gt;="&amp;$J535,'Weekly Log'!$A:$A,"&lt;"&amp;$J535+7),0))</f>
        <v/>
      </c>
      <c r="G535">
        <f>IF($J535="","",IFERROR(LOOKUP(2,1/(('Weekly Log'!$A$5:$A$5000&gt;=$J535)*('Weekly Log'!$A$5:$A$5000&lt;$J535+7)*('Weekly Log'!$M$5:$M$5000&lt;&gt;"")),'Weekly Log'!$M$5:$M$5000),0))</f>
        <v/>
      </c>
      <c r="J535">
        <f>IF(COUNT('Weekly Log'!$A$5:$A$5000)=0,"",IF(MIN('Weekly Log'!$A$5:$A$5000)+7*(ROW()-10)&gt;MAX('Weekly Log'!$A$5:$A$5000),"",MIN('Weekly Log'!$A$5:$A$5000)+7*(ROW()-10)))</f>
        <v/>
      </c>
    </row>
    <row r="536">
      <c r="A536">
        <f>IF($J536="","",YEAR($J536-WEEKDAY($J536,2)+4)&amp;"-W"&amp;TEXT(WEEKNUM($J536,21),"00"))</f>
        <v/>
      </c>
      <c r="B536">
        <f>IF($J536="","",SUMIFS('Weekly Log'!$C:$C,'Weekly Log'!$A:$A,"&gt;="&amp;$J536,'Weekly Log'!$A:$A,"&lt;"&amp;$J536+7))</f>
        <v/>
      </c>
      <c r="C536">
        <f>IF($J536="","",IFERROR(COUNTIFS('Weekly Log'!$G:$G,"Y",'Weekly Log'!$A:$A,"&gt;="&amp;$J536,'Weekly Log'!$A:$A,"&lt;"&amp;$J536+7)/COUNTIFS('Weekly Log'!$G:$G,"&lt;&gt;",'Weekly Log'!$A:$A,"&gt;="&amp;$J536,'Weekly Log'!$A:$A,"&lt;"&amp;$J536+7),0))</f>
        <v/>
      </c>
      <c r="D536">
        <f>IF($J536="","",IFERROR(COUNTIFS('Weekly Log'!$H:$H,"Y",'Weekly Log'!$A:$A,"&gt;="&amp;$J536,'Weekly Log'!$A:$A,"&lt;"&amp;$J536+7)/COUNTIFS('Weekly Log'!$H:$H,"&lt;&gt;",'Weekly Log'!$A:$A,"&gt;="&amp;$J536,'Weekly Log'!$A:$A,"&lt;"&amp;$J536+7),0))</f>
        <v/>
      </c>
      <c r="E536">
        <f>IF($J536="","",IFERROR(AVERAGEIFS('Weekly Log'!$F:$F,'Weekly Log'!$A:$A,"&gt;="&amp;$J536,'Weekly Log'!$A:$A,"&lt;"&amp;$J536+7),0))</f>
        <v/>
      </c>
      <c r="F536">
        <f>IF($J536="","",IFERROR(SUMIFS('Weekly Log'!$F:$F,'Weekly Log'!$A:$A,"&gt;="&amp;$J536,'Weekly Log'!$A:$A,"&lt;"&amp;$J536+7)/SUMIFS('Weekly Log'!$E:$E,'Weekly Log'!$A:$A,"&gt;="&amp;$J536,'Weekly Log'!$A:$A,"&lt;"&amp;$J536+7),0))</f>
        <v/>
      </c>
      <c r="G536">
        <f>IF($J536="","",IFERROR(LOOKUP(2,1/(('Weekly Log'!$A$5:$A$5000&gt;=$J536)*('Weekly Log'!$A$5:$A$5000&lt;$J536+7)*('Weekly Log'!$M$5:$M$5000&lt;&gt;"")),'Weekly Log'!$M$5:$M$5000),0))</f>
        <v/>
      </c>
      <c r="J536">
        <f>IF(COUNT('Weekly Log'!$A$5:$A$5000)=0,"",IF(MIN('Weekly Log'!$A$5:$A$5000)+7*(ROW()-10)&gt;MAX('Weekly Log'!$A$5:$A$5000),"",MIN('Weekly Log'!$A$5:$A$5000)+7*(ROW()-10)))</f>
        <v/>
      </c>
    </row>
    <row r="537">
      <c r="A537">
        <f>IF($J537="","",YEAR($J537-WEEKDAY($J537,2)+4)&amp;"-W"&amp;TEXT(WEEKNUM($J537,21),"00"))</f>
        <v/>
      </c>
      <c r="B537">
        <f>IF($J537="","",SUMIFS('Weekly Log'!$C:$C,'Weekly Log'!$A:$A,"&gt;="&amp;$J537,'Weekly Log'!$A:$A,"&lt;"&amp;$J537+7))</f>
        <v/>
      </c>
      <c r="C537">
        <f>IF($J537="","",IFERROR(COUNTIFS('Weekly Log'!$G:$G,"Y",'Weekly Log'!$A:$A,"&gt;="&amp;$J537,'Weekly Log'!$A:$A,"&lt;"&amp;$J537+7)/COUNTIFS('Weekly Log'!$G:$G,"&lt;&gt;",'Weekly Log'!$A:$A,"&gt;="&amp;$J537,'Weekly Log'!$A:$A,"&lt;"&amp;$J537+7),0))</f>
        <v/>
      </c>
      <c r="D537">
        <f>IF($J537="","",IFERROR(COUNTIFS('Weekly Log'!$H:$H,"Y",'Weekly Log'!$A:$A,"&gt;="&amp;$J537,'Weekly Log'!$A:$A,"&lt;"&amp;$J537+7)/COUNTIFS('Weekly Log'!$H:$H,"&lt;&gt;",'Weekly Log'!$A:$A,"&gt;="&amp;$J537,'Weekly Log'!$A:$A,"&lt;"&amp;$J537+7),0))</f>
        <v/>
      </c>
      <c r="E537">
        <f>IF($J537="","",IFERROR(AVERAGEIFS('Weekly Log'!$F:$F,'Weekly Log'!$A:$A,"&gt;="&amp;$J537,'Weekly Log'!$A:$A,"&lt;"&amp;$J537+7),0))</f>
        <v/>
      </c>
      <c r="F537">
        <f>IF($J537="","",IFERROR(SUMIFS('Weekly Log'!$F:$F,'Weekly Log'!$A:$A,"&gt;="&amp;$J537,'Weekly Log'!$A:$A,"&lt;"&amp;$J537+7)/SUMIFS('Weekly Log'!$E:$E,'Weekly Log'!$A:$A,"&gt;="&amp;$J537,'Weekly Log'!$A:$A,"&lt;"&amp;$J537+7),0))</f>
        <v/>
      </c>
      <c r="G537">
        <f>IF($J537="","",IFERROR(LOOKUP(2,1/(('Weekly Log'!$A$5:$A$5000&gt;=$J537)*('Weekly Log'!$A$5:$A$5000&lt;$J537+7)*('Weekly Log'!$M$5:$M$5000&lt;&gt;"")),'Weekly Log'!$M$5:$M$5000),0))</f>
        <v/>
      </c>
      <c r="J537">
        <f>IF(COUNT('Weekly Log'!$A$5:$A$5000)=0,"",IF(MIN('Weekly Log'!$A$5:$A$5000)+7*(ROW()-10)&gt;MAX('Weekly Log'!$A$5:$A$5000),"",MIN('Weekly Log'!$A$5:$A$5000)+7*(ROW()-10)))</f>
        <v/>
      </c>
    </row>
    <row r="538">
      <c r="A538">
        <f>IF($J538="","",YEAR($J538-WEEKDAY($J538,2)+4)&amp;"-W"&amp;TEXT(WEEKNUM($J538,21),"00"))</f>
        <v/>
      </c>
      <c r="B538">
        <f>IF($J538="","",SUMIFS('Weekly Log'!$C:$C,'Weekly Log'!$A:$A,"&gt;="&amp;$J538,'Weekly Log'!$A:$A,"&lt;"&amp;$J538+7))</f>
        <v/>
      </c>
      <c r="C538">
        <f>IF($J538="","",IFERROR(COUNTIFS('Weekly Log'!$G:$G,"Y",'Weekly Log'!$A:$A,"&gt;="&amp;$J538,'Weekly Log'!$A:$A,"&lt;"&amp;$J538+7)/COUNTIFS('Weekly Log'!$G:$G,"&lt;&gt;",'Weekly Log'!$A:$A,"&gt;="&amp;$J538,'Weekly Log'!$A:$A,"&lt;"&amp;$J538+7),0))</f>
        <v/>
      </c>
      <c r="D538">
        <f>IF($J538="","",IFERROR(COUNTIFS('Weekly Log'!$H:$H,"Y",'Weekly Log'!$A:$A,"&gt;="&amp;$J538,'Weekly Log'!$A:$A,"&lt;"&amp;$J538+7)/COUNTIFS('Weekly Log'!$H:$H,"&lt;&gt;",'Weekly Log'!$A:$A,"&gt;="&amp;$J538,'Weekly Log'!$A:$A,"&lt;"&amp;$J538+7),0))</f>
        <v/>
      </c>
      <c r="E538">
        <f>IF($J538="","",IFERROR(AVERAGEIFS('Weekly Log'!$F:$F,'Weekly Log'!$A:$A,"&gt;="&amp;$J538,'Weekly Log'!$A:$A,"&lt;"&amp;$J538+7),0))</f>
        <v/>
      </c>
      <c r="F538">
        <f>IF($J538="","",IFERROR(SUMIFS('Weekly Log'!$F:$F,'Weekly Log'!$A:$A,"&gt;="&amp;$J538,'Weekly Log'!$A:$A,"&lt;"&amp;$J538+7)/SUMIFS('Weekly Log'!$E:$E,'Weekly Log'!$A:$A,"&gt;="&amp;$J538,'Weekly Log'!$A:$A,"&lt;"&amp;$J538+7),0))</f>
        <v/>
      </c>
      <c r="G538">
        <f>IF($J538="","",IFERROR(LOOKUP(2,1/(('Weekly Log'!$A$5:$A$5000&gt;=$J538)*('Weekly Log'!$A$5:$A$5000&lt;$J538+7)*('Weekly Log'!$M$5:$M$5000&lt;&gt;"")),'Weekly Log'!$M$5:$M$5000),0))</f>
        <v/>
      </c>
      <c r="J538">
        <f>IF(COUNT('Weekly Log'!$A$5:$A$5000)=0,"",IF(MIN('Weekly Log'!$A$5:$A$5000)+7*(ROW()-10)&gt;MAX('Weekly Log'!$A$5:$A$5000),"",MIN('Weekly Log'!$A$5:$A$5000)+7*(ROW()-10)))</f>
        <v/>
      </c>
    </row>
    <row r="539">
      <c r="A539">
        <f>IF($J539="","",YEAR($J539-WEEKDAY($J539,2)+4)&amp;"-W"&amp;TEXT(WEEKNUM($J539,21),"00"))</f>
        <v/>
      </c>
      <c r="B539">
        <f>IF($J539="","",SUMIFS('Weekly Log'!$C:$C,'Weekly Log'!$A:$A,"&gt;="&amp;$J539,'Weekly Log'!$A:$A,"&lt;"&amp;$J539+7))</f>
        <v/>
      </c>
      <c r="C539">
        <f>IF($J539="","",IFERROR(COUNTIFS('Weekly Log'!$G:$G,"Y",'Weekly Log'!$A:$A,"&gt;="&amp;$J539,'Weekly Log'!$A:$A,"&lt;"&amp;$J539+7)/COUNTIFS('Weekly Log'!$G:$G,"&lt;&gt;",'Weekly Log'!$A:$A,"&gt;="&amp;$J539,'Weekly Log'!$A:$A,"&lt;"&amp;$J539+7),0))</f>
        <v/>
      </c>
      <c r="D539">
        <f>IF($J539="","",IFERROR(COUNTIFS('Weekly Log'!$H:$H,"Y",'Weekly Log'!$A:$A,"&gt;="&amp;$J539,'Weekly Log'!$A:$A,"&lt;"&amp;$J539+7)/COUNTIFS('Weekly Log'!$H:$H,"&lt;&gt;",'Weekly Log'!$A:$A,"&gt;="&amp;$J539,'Weekly Log'!$A:$A,"&lt;"&amp;$J539+7),0))</f>
        <v/>
      </c>
      <c r="E539">
        <f>IF($J539="","",IFERROR(AVERAGEIFS('Weekly Log'!$F:$F,'Weekly Log'!$A:$A,"&gt;="&amp;$J539,'Weekly Log'!$A:$A,"&lt;"&amp;$J539+7),0))</f>
        <v/>
      </c>
      <c r="F539">
        <f>IF($J539="","",IFERROR(SUMIFS('Weekly Log'!$F:$F,'Weekly Log'!$A:$A,"&gt;="&amp;$J539,'Weekly Log'!$A:$A,"&lt;"&amp;$J539+7)/SUMIFS('Weekly Log'!$E:$E,'Weekly Log'!$A:$A,"&gt;="&amp;$J539,'Weekly Log'!$A:$A,"&lt;"&amp;$J539+7),0))</f>
        <v/>
      </c>
      <c r="G539">
        <f>IF($J539="","",IFERROR(LOOKUP(2,1/(('Weekly Log'!$A$5:$A$5000&gt;=$J539)*('Weekly Log'!$A$5:$A$5000&lt;$J539+7)*('Weekly Log'!$M$5:$M$5000&lt;&gt;"")),'Weekly Log'!$M$5:$M$5000),0))</f>
        <v/>
      </c>
      <c r="J539">
        <f>IF(COUNT('Weekly Log'!$A$5:$A$5000)=0,"",IF(MIN('Weekly Log'!$A$5:$A$5000)+7*(ROW()-10)&gt;MAX('Weekly Log'!$A$5:$A$5000),"",MIN('Weekly Log'!$A$5:$A$5000)+7*(ROW()-10)))</f>
        <v/>
      </c>
    </row>
    <row r="540">
      <c r="A540">
        <f>IF($J540="","",YEAR($J540-WEEKDAY($J540,2)+4)&amp;"-W"&amp;TEXT(WEEKNUM($J540,21),"00"))</f>
        <v/>
      </c>
      <c r="B540">
        <f>IF($J540="","",SUMIFS('Weekly Log'!$C:$C,'Weekly Log'!$A:$A,"&gt;="&amp;$J540,'Weekly Log'!$A:$A,"&lt;"&amp;$J540+7))</f>
        <v/>
      </c>
      <c r="C540">
        <f>IF($J540="","",IFERROR(COUNTIFS('Weekly Log'!$G:$G,"Y",'Weekly Log'!$A:$A,"&gt;="&amp;$J540,'Weekly Log'!$A:$A,"&lt;"&amp;$J540+7)/COUNTIFS('Weekly Log'!$G:$G,"&lt;&gt;",'Weekly Log'!$A:$A,"&gt;="&amp;$J540,'Weekly Log'!$A:$A,"&lt;"&amp;$J540+7),0))</f>
        <v/>
      </c>
      <c r="D540">
        <f>IF($J540="","",IFERROR(COUNTIFS('Weekly Log'!$H:$H,"Y",'Weekly Log'!$A:$A,"&gt;="&amp;$J540,'Weekly Log'!$A:$A,"&lt;"&amp;$J540+7)/COUNTIFS('Weekly Log'!$H:$H,"&lt;&gt;",'Weekly Log'!$A:$A,"&gt;="&amp;$J540,'Weekly Log'!$A:$A,"&lt;"&amp;$J540+7),0))</f>
        <v/>
      </c>
      <c r="E540">
        <f>IF($J540="","",IFERROR(AVERAGEIFS('Weekly Log'!$F:$F,'Weekly Log'!$A:$A,"&gt;="&amp;$J540,'Weekly Log'!$A:$A,"&lt;"&amp;$J540+7),0))</f>
        <v/>
      </c>
      <c r="F540">
        <f>IF($J540="","",IFERROR(SUMIFS('Weekly Log'!$F:$F,'Weekly Log'!$A:$A,"&gt;="&amp;$J540,'Weekly Log'!$A:$A,"&lt;"&amp;$J540+7)/SUMIFS('Weekly Log'!$E:$E,'Weekly Log'!$A:$A,"&gt;="&amp;$J540,'Weekly Log'!$A:$A,"&lt;"&amp;$J540+7),0))</f>
        <v/>
      </c>
      <c r="G540">
        <f>IF($J540="","",IFERROR(LOOKUP(2,1/(('Weekly Log'!$A$5:$A$5000&gt;=$J540)*('Weekly Log'!$A$5:$A$5000&lt;$J540+7)*('Weekly Log'!$M$5:$M$5000&lt;&gt;"")),'Weekly Log'!$M$5:$M$5000),0))</f>
        <v/>
      </c>
      <c r="J540">
        <f>IF(COUNT('Weekly Log'!$A$5:$A$5000)=0,"",IF(MIN('Weekly Log'!$A$5:$A$5000)+7*(ROW()-10)&gt;MAX('Weekly Log'!$A$5:$A$5000),"",MIN('Weekly Log'!$A$5:$A$5000)+7*(ROW()-10)))</f>
        <v/>
      </c>
    </row>
    <row r="541">
      <c r="A541">
        <f>IF($J541="","",YEAR($J541-WEEKDAY($J541,2)+4)&amp;"-W"&amp;TEXT(WEEKNUM($J541,21),"00"))</f>
        <v/>
      </c>
      <c r="B541">
        <f>IF($J541="","",SUMIFS('Weekly Log'!$C:$C,'Weekly Log'!$A:$A,"&gt;="&amp;$J541,'Weekly Log'!$A:$A,"&lt;"&amp;$J541+7))</f>
        <v/>
      </c>
      <c r="C541">
        <f>IF($J541="","",IFERROR(COUNTIFS('Weekly Log'!$G:$G,"Y",'Weekly Log'!$A:$A,"&gt;="&amp;$J541,'Weekly Log'!$A:$A,"&lt;"&amp;$J541+7)/COUNTIFS('Weekly Log'!$G:$G,"&lt;&gt;",'Weekly Log'!$A:$A,"&gt;="&amp;$J541,'Weekly Log'!$A:$A,"&lt;"&amp;$J541+7),0))</f>
        <v/>
      </c>
      <c r="D541">
        <f>IF($J541="","",IFERROR(COUNTIFS('Weekly Log'!$H:$H,"Y",'Weekly Log'!$A:$A,"&gt;="&amp;$J541,'Weekly Log'!$A:$A,"&lt;"&amp;$J541+7)/COUNTIFS('Weekly Log'!$H:$H,"&lt;&gt;",'Weekly Log'!$A:$A,"&gt;="&amp;$J541,'Weekly Log'!$A:$A,"&lt;"&amp;$J541+7),0))</f>
        <v/>
      </c>
      <c r="E541">
        <f>IF($J541="","",IFERROR(AVERAGEIFS('Weekly Log'!$F:$F,'Weekly Log'!$A:$A,"&gt;="&amp;$J541,'Weekly Log'!$A:$A,"&lt;"&amp;$J541+7),0))</f>
        <v/>
      </c>
      <c r="F541">
        <f>IF($J541="","",IFERROR(SUMIFS('Weekly Log'!$F:$F,'Weekly Log'!$A:$A,"&gt;="&amp;$J541,'Weekly Log'!$A:$A,"&lt;"&amp;$J541+7)/SUMIFS('Weekly Log'!$E:$E,'Weekly Log'!$A:$A,"&gt;="&amp;$J541,'Weekly Log'!$A:$A,"&lt;"&amp;$J541+7),0))</f>
        <v/>
      </c>
      <c r="G541">
        <f>IF($J541="","",IFERROR(LOOKUP(2,1/(('Weekly Log'!$A$5:$A$5000&gt;=$J541)*('Weekly Log'!$A$5:$A$5000&lt;$J541+7)*('Weekly Log'!$M$5:$M$5000&lt;&gt;"")),'Weekly Log'!$M$5:$M$5000),0))</f>
        <v/>
      </c>
      <c r="J541">
        <f>IF(COUNT('Weekly Log'!$A$5:$A$5000)=0,"",IF(MIN('Weekly Log'!$A$5:$A$5000)+7*(ROW()-10)&gt;MAX('Weekly Log'!$A$5:$A$5000),"",MIN('Weekly Log'!$A$5:$A$5000)+7*(ROW()-10)))</f>
        <v/>
      </c>
    </row>
    <row r="542">
      <c r="A542">
        <f>IF($J542="","",YEAR($J542-WEEKDAY($J542,2)+4)&amp;"-W"&amp;TEXT(WEEKNUM($J542,21),"00"))</f>
        <v/>
      </c>
      <c r="B542">
        <f>IF($J542="","",SUMIFS('Weekly Log'!$C:$C,'Weekly Log'!$A:$A,"&gt;="&amp;$J542,'Weekly Log'!$A:$A,"&lt;"&amp;$J542+7))</f>
        <v/>
      </c>
      <c r="C542">
        <f>IF($J542="","",IFERROR(COUNTIFS('Weekly Log'!$G:$G,"Y",'Weekly Log'!$A:$A,"&gt;="&amp;$J542,'Weekly Log'!$A:$A,"&lt;"&amp;$J542+7)/COUNTIFS('Weekly Log'!$G:$G,"&lt;&gt;",'Weekly Log'!$A:$A,"&gt;="&amp;$J542,'Weekly Log'!$A:$A,"&lt;"&amp;$J542+7),0))</f>
        <v/>
      </c>
      <c r="D542">
        <f>IF($J542="","",IFERROR(COUNTIFS('Weekly Log'!$H:$H,"Y",'Weekly Log'!$A:$A,"&gt;="&amp;$J542,'Weekly Log'!$A:$A,"&lt;"&amp;$J542+7)/COUNTIFS('Weekly Log'!$H:$H,"&lt;&gt;",'Weekly Log'!$A:$A,"&gt;="&amp;$J542,'Weekly Log'!$A:$A,"&lt;"&amp;$J542+7),0))</f>
        <v/>
      </c>
      <c r="E542">
        <f>IF($J542="","",IFERROR(AVERAGEIFS('Weekly Log'!$F:$F,'Weekly Log'!$A:$A,"&gt;="&amp;$J542,'Weekly Log'!$A:$A,"&lt;"&amp;$J542+7),0))</f>
        <v/>
      </c>
      <c r="F542">
        <f>IF($J542="","",IFERROR(SUMIFS('Weekly Log'!$F:$F,'Weekly Log'!$A:$A,"&gt;="&amp;$J542,'Weekly Log'!$A:$A,"&lt;"&amp;$J542+7)/SUMIFS('Weekly Log'!$E:$E,'Weekly Log'!$A:$A,"&gt;="&amp;$J542,'Weekly Log'!$A:$A,"&lt;"&amp;$J542+7),0))</f>
        <v/>
      </c>
      <c r="G542">
        <f>IF($J542="","",IFERROR(LOOKUP(2,1/(('Weekly Log'!$A$5:$A$5000&gt;=$J542)*('Weekly Log'!$A$5:$A$5000&lt;$J542+7)*('Weekly Log'!$M$5:$M$5000&lt;&gt;"")),'Weekly Log'!$M$5:$M$5000),0))</f>
        <v/>
      </c>
      <c r="J542">
        <f>IF(COUNT('Weekly Log'!$A$5:$A$5000)=0,"",IF(MIN('Weekly Log'!$A$5:$A$5000)+7*(ROW()-10)&gt;MAX('Weekly Log'!$A$5:$A$5000),"",MIN('Weekly Log'!$A$5:$A$5000)+7*(ROW()-10)))</f>
        <v/>
      </c>
    </row>
    <row r="543">
      <c r="A543">
        <f>IF($J543="","",YEAR($J543-WEEKDAY($J543,2)+4)&amp;"-W"&amp;TEXT(WEEKNUM($J543,21),"00"))</f>
        <v/>
      </c>
      <c r="B543">
        <f>IF($J543="","",SUMIFS('Weekly Log'!$C:$C,'Weekly Log'!$A:$A,"&gt;="&amp;$J543,'Weekly Log'!$A:$A,"&lt;"&amp;$J543+7))</f>
        <v/>
      </c>
      <c r="C543">
        <f>IF($J543="","",IFERROR(COUNTIFS('Weekly Log'!$G:$G,"Y",'Weekly Log'!$A:$A,"&gt;="&amp;$J543,'Weekly Log'!$A:$A,"&lt;"&amp;$J543+7)/COUNTIFS('Weekly Log'!$G:$G,"&lt;&gt;",'Weekly Log'!$A:$A,"&gt;="&amp;$J543,'Weekly Log'!$A:$A,"&lt;"&amp;$J543+7),0))</f>
        <v/>
      </c>
      <c r="D543">
        <f>IF($J543="","",IFERROR(COUNTIFS('Weekly Log'!$H:$H,"Y",'Weekly Log'!$A:$A,"&gt;="&amp;$J543,'Weekly Log'!$A:$A,"&lt;"&amp;$J543+7)/COUNTIFS('Weekly Log'!$H:$H,"&lt;&gt;",'Weekly Log'!$A:$A,"&gt;="&amp;$J543,'Weekly Log'!$A:$A,"&lt;"&amp;$J543+7),0))</f>
        <v/>
      </c>
      <c r="E543">
        <f>IF($J543="","",IFERROR(AVERAGEIFS('Weekly Log'!$F:$F,'Weekly Log'!$A:$A,"&gt;="&amp;$J543,'Weekly Log'!$A:$A,"&lt;"&amp;$J543+7),0))</f>
        <v/>
      </c>
      <c r="F543">
        <f>IF($J543="","",IFERROR(SUMIFS('Weekly Log'!$F:$F,'Weekly Log'!$A:$A,"&gt;="&amp;$J543,'Weekly Log'!$A:$A,"&lt;"&amp;$J543+7)/SUMIFS('Weekly Log'!$E:$E,'Weekly Log'!$A:$A,"&gt;="&amp;$J543,'Weekly Log'!$A:$A,"&lt;"&amp;$J543+7),0))</f>
        <v/>
      </c>
      <c r="G543">
        <f>IF($J543="","",IFERROR(LOOKUP(2,1/(('Weekly Log'!$A$5:$A$5000&gt;=$J543)*('Weekly Log'!$A$5:$A$5000&lt;$J543+7)*('Weekly Log'!$M$5:$M$5000&lt;&gt;"")),'Weekly Log'!$M$5:$M$5000),0))</f>
        <v/>
      </c>
      <c r="J543">
        <f>IF(COUNT('Weekly Log'!$A$5:$A$5000)=0,"",IF(MIN('Weekly Log'!$A$5:$A$5000)+7*(ROW()-10)&gt;MAX('Weekly Log'!$A$5:$A$5000),"",MIN('Weekly Log'!$A$5:$A$5000)+7*(ROW()-10)))</f>
        <v/>
      </c>
    </row>
    <row r="544">
      <c r="A544">
        <f>IF($J544="","",YEAR($J544-WEEKDAY($J544,2)+4)&amp;"-W"&amp;TEXT(WEEKNUM($J544,21),"00"))</f>
        <v/>
      </c>
      <c r="B544">
        <f>IF($J544="","",SUMIFS('Weekly Log'!$C:$C,'Weekly Log'!$A:$A,"&gt;="&amp;$J544,'Weekly Log'!$A:$A,"&lt;"&amp;$J544+7))</f>
        <v/>
      </c>
      <c r="C544">
        <f>IF($J544="","",IFERROR(COUNTIFS('Weekly Log'!$G:$G,"Y",'Weekly Log'!$A:$A,"&gt;="&amp;$J544,'Weekly Log'!$A:$A,"&lt;"&amp;$J544+7)/COUNTIFS('Weekly Log'!$G:$G,"&lt;&gt;",'Weekly Log'!$A:$A,"&gt;="&amp;$J544,'Weekly Log'!$A:$A,"&lt;"&amp;$J544+7),0))</f>
        <v/>
      </c>
      <c r="D544">
        <f>IF($J544="","",IFERROR(COUNTIFS('Weekly Log'!$H:$H,"Y",'Weekly Log'!$A:$A,"&gt;="&amp;$J544,'Weekly Log'!$A:$A,"&lt;"&amp;$J544+7)/COUNTIFS('Weekly Log'!$H:$H,"&lt;&gt;",'Weekly Log'!$A:$A,"&gt;="&amp;$J544,'Weekly Log'!$A:$A,"&lt;"&amp;$J544+7),0))</f>
        <v/>
      </c>
      <c r="E544">
        <f>IF($J544="","",IFERROR(AVERAGEIFS('Weekly Log'!$F:$F,'Weekly Log'!$A:$A,"&gt;="&amp;$J544,'Weekly Log'!$A:$A,"&lt;"&amp;$J544+7),0))</f>
        <v/>
      </c>
      <c r="F544">
        <f>IF($J544="","",IFERROR(SUMIFS('Weekly Log'!$F:$F,'Weekly Log'!$A:$A,"&gt;="&amp;$J544,'Weekly Log'!$A:$A,"&lt;"&amp;$J544+7)/SUMIFS('Weekly Log'!$E:$E,'Weekly Log'!$A:$A,"&gt;="&amp;$J544,'Weekly Log'!$A:$A,"&lt;"&amp;$J544+7),0))</f>
        <v/>
      </c>
      <c r="G544">
        <f>IF($J544="","",IFERROR(LOOKUP(2,1/(('Weekly Log'!$A$5:$A$5000&gt;=$J544)*('Weekly Log'!$A$5:$A$5000&lt;$J544+7)*('Weekly Log'!$M$5:$M$5000&lt;&gt;"")),'Weekly Log'!$M$5:$M$5000),0))</f>
        <v/>
      </c>
      <c r="J544">
        <f>IF(COUNT('Weekly Log'!$A$5:$A$5000)=0,"",IF(MIN('Weekly Log'!$A$5:$A$5000)+7*(ROW()-10)&gt;MAX('Weekly Log'!$A$5:$A$5000),"",MIN('Weekly Log'!$A$5:$A$5000)+7*(ROW()-10)))</f>
        <v/>
      </c>
    </row>
    <row r="545">
      <c r="A545">
        <f>IF($J545="","",YEAR($J545-WEEKDAY($J545,2)+4)&amp;"-W"&amp;TEXT(WEEKNUM($J545,21),"00"))</f>
        <v/>
      </c>
      <c r="B545">
        <f>IF($J545="","",SUMIFS('Weekly Log'!$C:$C,'Weekly Log'!$A:$A,"&gt;="&amp;$J545,'Weekly Log'!$A:$A,"&lt;"&amp;$J545+7))</f>
        <v/>
      </c>
      <c r="C545">
        <f>IF($J545="","",IFERROR(COUNTIFS('Weekly Log'!$G:$G,"Y",'Weekly Log'!$A:$A,"&gt;="&amp;$J545,'Weekly Log'!$A:$A,"&lt;"&amp;$J545+7)/COUNTIFS('Weekly Log'!$G:$G,"&lt;&gt;",'Weekly Log'!$A:$A,"&gt;="&amp;$J545,'Weekly Log'!$A:$A,"&lt;"&amp;$J545+7),0))</f>
        <v/>
      </c>
      <c r="D545">
        <f>IF($J545="","",IFERROR(COUNTIFS('Weekly Log'!$H:$H,"Y",'Weekly Log'!$A:$A,"&gt;="&amp;$J545,'Weekly Log'!$A:$A,"&lt;"&amp;$J545+7)/COUNTIFS('Weekly Log'!$H:$H,"&lt;&gt;",'Weekly Log'!$A:$A,"&gt;="&amp;$J545,'Weekly Log'!$A:$A,"&lt;"&amp;$J545+7),0))</f>
        <v/>
      </c>
      <c r="E545">
        <f>IF($J545="","",IFERROR(AVERAGEIFS('Weekly Log'!$F:$F,'Weekly Log'!$A:$A,"&gt;="&amp;$J545,'Weekly Log'!$A:$A,"&lt;"&amp;$J545+7),0))</f>
        <v/>
      </c>
      <c r="F545">
        <f>IF($J545="","",IFERROR(SUMIFS('Weekly Log'!$F:$F,'Weekly Log'!$A:$A,"&gt;="&amp;$J545,'Weekly Log'!$A:$A,"&lt;"&amp;$J545+7)/SUMIFS('Weekly Log'!$E:$E,'Weekly Log'!$A:$A,"&gt;="&amp;$J545,'Weekly Log'!$A:$A,"&lt;"&amp;$J545+7),0))</f>
        <v/>
      </c>
      <c r="G545">
        <f>IF($J545="","",IFERROR(LOOKUP(2,1/(('Weekly Log'!$A$5:$A$5000&gt;=$J545)*('Weekly Log'!$A$5:$A$5000&lt;$J545+7)*('Weekly Log'!$M$5:$M$5000&lt;&gt;"")),'Weekly Log'!$M$5:$M$5000),0))</f>
        <v/>
      </c>
      <c r="J545">
        <f>IF(COUNT('Weekly Log'!$A$5:$A$5000)=0,"",IF(MIN('Weekly Log'!$A$5:$A$5000)+7*(ROW()-10)&gt;MAX('Weekly Log'!$A$5:$A$5000),"",MIN('Weekly Log'!$A$5:$A$5000)+7*(ROW()-10)))</f>
        <v/>
      </c>
    </row>
    <row r="546">
      <c r="A546">
        <f>IF($J546="","",YEAR($J546-WEEKDAY($J546,2)+4)&amp;"-W"&amp;TEXT(WEEKNUM($J546,21),"00"))</f>
        <v/>
      </c>
      <c r="B546">
        <f>IF($J546="","",SUMIFS('Weekly Log'!$C:$C,'Weekly Log'!$A:$A,"&gt;="&amp;$J546,'Weekly Log'!$A:$A,"&lt;"&amp;$J546+7))</f>
        <v/>
      </c>
      <c r="C546">
        <f>IF($J546="","",IFERROR(COUNTIFS('Weekly Log'!$G:$G,"Y",'Weekly Log'!$A:$A,"&gt;="&amp;$J546,'Weekly Log'!$A:$A,"&lt;"&amp;$J546+7)/COUNTIFS('Weekly Log'!$G:$G,"&lt;&gt;",'Weekly Log'!$A:$A,"&gt;="&amp;$J546,'Weekly Log'!$A:$A,"&lt;"&amp;$J546+7),0))</f>
        <v/>
      </c>
      <c r="D546">
        <f>IF($J546="","",IFERROR(COUNTIFS('Weekly Log'!$H:$H,"Y",'Weekly Log'!$A:$A,"&gt;="&amp;$J546,'Weekly Log'!$A:$A,"&lt;"&amp;$J546+7)/COUNTIFS('Weekly Log'!$H:$H,"&lt;&gt;",'Weekly Log'!$A:$A,"&gt;="&amp;$J546,'Weekly Log'!$A:$A,"&lt;"&amp;$J546+7),0))</f>
        <v/>
      </c>
      <c r="E546">
        <f>IF($J546="","",IFERROR(AVERAGEIFS('Weekly Log'!$F:$F,'Weekly Log'!$A:$A,"&gt;="&amp;$J546,'Weekly Log'!$A:$A,"&lt;"&amp;$J546+7),0))</f>
        <v/>
      </c>
      <c r="F546">
        <f>IF($J546="","",IFERROR(SUMIFS('Weekly Log'!$F:$F,'Weekly Log'!$A:$A,"&gt;="&amp;$J546,'Weekly Log'!$A:$A,"&lt;"&amp;$J546+7)/SUMIFS('Weekly Log'!$E:$E,'Weekly Log'!$A:$A,"&gt;="&amp;$J546,'Weekly Log'!$A:$A,"&lt;"&amp;$J546+7),0))</f>
        <v/>
      </c>
      <c r="G546">
        <f>IF($J546="","",IFERROR(LOOKUP(2,1/(('Weekly Log'!$A$5:$A$5000&gt;=$J546)*('Weekly Log'!$A$5:$A$5000&lt;$J546+7)*('Weekly Log'!$M$5:$M$5000&lt;&gt;"")),'Weekly Log'!$M$5:$M$5000),0))</f>
        <v/>
      </c>
      <c r="J546">
        <f>IF(COUNT('Weekly Log'!$A$5:$A$5000)=0,"",IF(MIN('Weekly Log'!$A$5:$A$5000)+7*(ROW()-10)&gt;MAX('Weekly Log'!$A$5:$A$5000),"",MIN('Weekly Log'!$A$5:$A$5000)+7*(ROW()-10)))</f>
        <v/>
      </c>
    </row>
    <row r="547">
      <c r="A547">
        <f>IF($J547="","",YEAR($J547-WEEKDAY($J547,2)+4)&amp;"-W"&amp;TEXT(WEEKNUM($J547,21),"00"))</f>
        <v/>
      </c>
      <c r="B547">
        <f>IF($J547="","",SUMIFS('Weekly Log'!$C:$C,'Weekly Log'!$A:$A,"&gt;="&amp;$J547,'Weekly Log'!$A:$A,"&lt;"&amp;$J547+7))</f>
        <v/>
      </c>
      <c r="C547">
        <f>IF($J547="","",IFERROR(COUNTIFS('Weekly Log'!$G:$G,"Y",'Weekly Log'!$A:$A,"&gt;="&amp;$J547,'Weekly Log'!$A:$A,"&lt;"&amp;$J547+7)/COUNTIFS('Weekly Log'!$G:$G,"&lt;&gt;",'Weekly Log'!$A:$A,"&gt;="&amp;$J547,'Weekly Log'!$A:$A,"&lt;"&amp;$J547+7),0))</f>
        <v/>
      </c>
      <c r="D547">
        <f>IF($J547="","",IFERROR(COUNTIFS('Weekly Log'!$H:$H,"Y",'Weekly Log'!$A:$A,"&gt;="&amp;$J547,'Weekly Log'!$A:$A,"&lt;"&amp;$J547+7)/COUNTIFS('Weekly Log'!$H:$H,"&lt;&gt;",'Weekly Log'!$A:$A,"&gt;="&amp;$J547,'Weekly Log'!$A:$A,"&lt;"&amp;$J547+7),0))</f>
        <v/>
      </c>
      <c r="E547">
        <f>IF($J547="","",IFERROR(AVERAGEIFS('Weekly Log'!$F:$F,'Weekly Log'!$A:$A,"&gt;="&amp;$J547,'Weekly Log'!$A:$A,"&lt;"&amp;$J547+7),0))</f>
        <v/>
      </c>
      <c r="F547">
        <f>IF($J547="","",IFERROR(SUMIFS('Weekly Log'!$F:$F,'Weekly Log'!$A:$A,"&gt;="&amp;$J547,'Weekly Log'!$A:$A,"&lt;"&amp;$J547+7)/SUMIFS('Weekly Log'!$E:$E,'Weekly Log'!$A:$A,"&gt;="&amp;$J547,'Weekly Log'!$A:$A,"&lt;"&amp;$J547+7),0))</f>
        <v/>
      </c>
      <c r="G547">
        <f>IF($J547="","",IFERROR(LOOKUP(2,1/(('Weekly Log'!$A$5:$A$5000&gt;=$J547)*('Weekly Log'!$A$5:$A$5000&lt;$J547+7)*('Weekly Log'!$M$5:$M$5000&lt;&gt;"")),'Weekly Log'!$M$5:$M$5000),0))</f>
        <v/>
      </c>
      <c r="J547">
        <f>IF(COUNT('Weekly Log'!$A$5:$A$5000)=0,"",IF(MIN('Weekly Log'!$A$5:$A$5000)+7*(ROW()-10)&gt;MAX('Weekly Log'!$A$5:$A$5000),"",MIN('Weekly Log'!$A$5:$A$5000)+7*(ROW()-10)))</f>
        <v/>
      </c>
    </row>
    <row r="548">
      <c r="A548">
        <f>IF($J548="","",YEAR($J548-WEEKDAY($J548,2)+4)&amp;"-W"&amp;TEXT(WEEKNUM($J548,21),"00"))</f>
        <v/>
      </c>
      <c r="B548">
        <f>IF($J548="","",SUMIFS('Weekly Log'!$C:$C,'Weekly Log'!$A:$A,"&gt;="&amp;$J548,'Weekly Log'!$A:$A,"&lt;"&amp;$J548+7))</f>
        <v/>
      </c>
      <c r="C548">
        <f>IF($J548="","",IFERROR(COUNTIFS('Weekly Log'!$G:$G,"Y",'Weekly Log'!$A:$A,"&gt;="&amp;$J548,'Weekly Log'!$A:$A,"&lt;"&amp;$J548+7)/COUNTIFS('Weekly Log'!$G:$G,"&lt;&gt;",'Weekly Log'!$A:$A,"&gt;="&amp;$J548,'Weekly Log'!$A:$A,"&lt;"&amp;$J548+7),0))</f>
        <v/>
      </c>
      <c r="D548">
        <f>IF($J548="","",IFERROR(COUNTIFS('Weekly Log'!$H:$H,"Y",'Weekly Log'!$A:$A,"&gt;="&amp;$J548,'Weekly Log'!$A:$A,"&lt;"&amp;$J548+7)/COUNTIFS('Weekly Log'!$H:$H,"&lt;&gt;",'Weekly Log'!$A:$A,"&gt;="&amp;$J548,'Weekly Log'!$A:$A,"&lt;"&amp;$J548+7),0))</f>
        <v/>
      </c>
      <c r="E548">
        <f>IF($J548="","",IFERROR(AVERAGEIFS('Weekly Log'!$F:$F,'Weekly Log'!$A:$A,"&gt;="&amp;$J548,'Weekly Log'!$A:$A,"&lt;"&amp;$J548+7),0))</f>
        <v/>
      </c>
      <c r="F548">
        <f>IF($J548="","",IFERROR(SUMIFS('Weekly Log'!$F:$F,'Weekly Log'!$A:$A,"&gt;="&amp;$J548,'Weekly Log'!$A:$A,"&lt;"&amp;$J548+7)/SUMIFS('Weekly Log'!$E:$E,'Weekly Log'!$A:$A,"&gt;="&amp;$J548,'Weekly Log'!$A:$A,"&lt;"&amp;$J548+7),0))</f>
        <v/>
      </c>
      <c r="G548">
        <f>IF($J548="","",IFERROR(LOOKUP(2,1/(('Weekly Log'!$A$5:$A$5000&gt;=$J548)*('Weekly Log'!$A$5:$A$5000&lt;$J548+7)*('Weekly Log'!$M$5:$M$5000&lt;&gt;"")),'Weekly Log'!$M$5:$M$5000),0))</f>
        <v/>
      </c>
      <c r="J548">
        <f>IF(COUNT('Weekly Log'!$A$5:$A$5000)=0,"",IF(MIN('Weekly Log'!$A$5:$A$5000)+7*(ROW()-10)&gt;MAX('Weekly Log'!$A$5:$A$5000),"",MIN('Weekly Log'!$A$5:$A$5000)+7*(ROW()-10)))</f>
        <v/>
      </c>
    </row>
    <row r="549">
      <c r="A549">
        <f>IF($J549="","",YEAR($J549-WEEKDAY($J549,2)+4)&amp;"-W"&amp;TEXT(WEEKNUM($J549,21),"00"))</f>
        <v/>
      </c>
      <c r="B549">
        <f>IF($J549="","",SUMIFS('Weekly Log'!$C:$C,'Weekly Log'!$A:$A,"&gt;="&amp;$J549,'Weekly Log'!$A:$A,"&lt;"&amp;$J549+7))</f>
        <v/>
      </c>
      <c r="C549">
        <f>IF($J549="","",IFERROR(COUNTIFS('Weekly Log'!$G:$G,"Y",'Weekly Log'!$A:$A,"&gt;="&amp;$J549,'Weekly Log'!$A:$A,"&lt;"&amp;$J549+7)/COUNTIFS('Weekly Log'!$G:$G,"&lt;&gt;",'Weekly Log'!$A:$A,"&gt;="&amp;$J549,'Weekly Log'!$A:$A,"&lt;"&amp;$J549+7),0))</f>
        <v/>
      </c>
      <c r="D549">
        <f>IF($J549="","",IFERROR(COUNTIFS('Weekly Log'!$H:$H,"Y",'Weekly Log'!$A:$A,"&gt;="&amp;$J549,'Weekly Log'!$A:$A,"&lt;"&amp;$J549+7)/COUNTIFS('Weekly Log'!$H:$H,"&lt;&gt;",'Weekly Log'!$A:$A,"&gt;="&amp;$J549,'Weekly Log'!$A:$A,"&lt;"&amp;$J549+7),0))</f>
        <v/>
      </c>
      <c r="E549">
        <f>IF($J549="","",IFERROR(AVERAGEIFS('Weekly Log'!$F:$F,'Weekly Log'!$A:$A,"&gt;="&amp;$J549,'Weekly Log'!$A:$A,"&lt;"&amp;$J549+7),0))</f>
        <v/>
      </c>
      <c r="F549">
        <f>IF($J549="","",IFERROR(SUMIFS('Weekly Log'!$F:$F,'Weekly Log'!$A:$A,"&gt;="&amp;$J549,'Weekly Log'!$A:$A,"&lt;"&amp;$J549+7)/SUMIFS('Weekly Log'!$E:$E,'Weekly Log'!$A:$A,"&gt;="&amp;$J549,'Weekly Log'!$A:$A,"&lt;"&amp;$J549+7),0))</f>
        <v/>
      </c>
      <c r="G549">
        <f>IF($J549="","",IFERROR(LOOKUP(2,1/(('Weekly Log'!$A$5:$A$5000&gt;=$J549)*('Weekly Log'!$A$5:$A$5000&lt;$J549+7)*('Weekly Log'!$M$5:$M$5000&lt;&gt;"")),'Weekly Log'!$M$5:$M$5000),0))</f>
        <v/>
      </c>
      <c r="J549">
        <f>IF(COUNT('Weekly Log'!$A$5:$A$5000)=0,"",IF(MIN('Weekly Log'!$A$5:$A$5000)+7*(ROW()-10)&gt;MAX('Weekly Log'!$A$5:$A$5000),"",MIN('Weekly Log'!$A$5:$A$5000)+7*(ROW()-10)))</f>
        <v/>
      </c>
    </row>
    <row r="550">
      <c r="A550">
        <f>IF($J550="","",YEAR($J550-WEEKDAY($J550,2)+4)&amp;"-W"&amp;TEXT(WEEKNUM($J550,21),"00"))</f>
        <v/>
      </c>
      <c r="B550">
        <f>IF($J550="","",SUMIFS('Weekly Log'!$C:$C,'Weekly Log'!$A:$A,"&gt;="&amp;$J550,'Weekly Log'!$A:$A,"&lt;"&amp;$J550+7))</f>
        <v/>
      </c>
      <c r="C550">
        <f>IF($J550="","",IFERROR(COUNTIFS('Weekly Log'!$G:$G,"Y",'Weekly Log'!$A:$A,"&gt;="&amp;$J550,'Weekly Log'!$A:$A,"&lt;"&amp;$J550+7)/COUNTIFS('Weekly Log'!$G:$G,"&lt;&gt;",'Weekly Log'!$A:$A,"&gt;="&amp;$J550,'Weekly Log'!$A:$A,"&lt;"&amp;$J550+7),0))</f>
        <v/>
      </c>
      <c r="D550">
        <f>IF($J550="","",IFERROR(COUNTIFS('Weekly Log'!$H:$H,"Y",'Weekly Log'!$A:$A,"&gt;="&amp;$J550,'Weekly Log'!$A:$A,"&lt;"&amp;$J550+7)/COUNTIFS('Weekly Log'!$H:$H,"&lt;&gt;",'Weekly Log'!$A:$A,"&gt;="&amp;$J550,'Weekly Log'!$A:$A,"&lt;"&amp;$J550+7),0))</f>
        <v/>
      </c>
      <c r="E550">
        <f>IF($J550="","",IFERROR(AVERAGEIFS('Weekly Log'!$F:$F,'Weekly Log'!$A:$A,"&gt;="&amp;$J550,'Weekly Log'!$A:$A,"&lt;"&amp;$J550+7),0))</f>
        <v/>
      </c>
      <c r="F550">
        <f>IF($J550="","",IFERROR(SUMIFS('Weekly Log'!$F:$F,'Weekly Log'!$A:$A,"&gt;="&amp;$J550,'Weekly Log'!$A:$A,"&lt;"&amp;$J550+7)/SUMIFS('Weekly Log'!$E:$E,'Weekly Log'!$A:$A,"&gt;="&amp;$J550,'Weekly Log'!$A:$A,"&lt;"&amp;$J550+7),0))</f>
        <v/>
      </c>
      <c r="G550">
        <f>IF($J550="","",IFERROR(LOOKUP(2,1/(('Weekly Log'!$A$5:$A$5000&gt;=$J550)*('Weekly Log'!$A$5:$A$5000&lt;$J550+7)*('Weekly Log'!$M$5:$M$5000&lt;&gt;"")),'Weekly Log'!$M$5:$M$5000),0))</f>
        <v/>
      </c>
      <c r="J550">
        <f>IF(COUNT('Weekly Log'!$A$5:$A$5000)=0,"",IF(MIN('Weekly Log'!$A$5:$A$5000)+7*(ROW()-10)&gt;MAX('Weekly Log'!$A$5:$A$5000),"",MIN('Weekly Log'!$A$5:$A$5000)+7*(ROW()-10)))</f>
        <v/>
      </c>
    </row>
    <row r="551">
      <c r="A551">
        <f>IF($J551="","",YEAR($J551-WEEKDAY($J551,2)+4)&amp;"-W"&amp;TEXT(WEEKNUM($J551,21),"00"))</f>
        <v/>
      </c>
      <c r="B551">
        <f>IF($J551="","",SUMIFS('Weekly Log'!$C:$C,'Weekly Log'!$A:$A,"&gt;="&amp;$J551,'Weekly Log'!$A:$A,"&lt;"&amp;$J551+7))</f>
        <v/>
      </c>
      <c r="C551">
        <f>IF($J551="","",IFERROR(COUNTIFS('Weekly Log'!$G:$G,"Y",'Weekly Log'!$A:$A,"&gt;="&amp;$J551,'Weekly Log'!$A:$A,"&lt;"&amp;$J551+7)/COUNTIFS('Weekly Log'!$G:$G,"&lt;&gt;",'Weekly Log'!$A:$A,"&gt;="&amp;$J551,'Weekly Log'!$A:$A,"&lt;"&amp;$J551+7),0))</f>
        <v/>
      </c>
      <c r="D551">
        <f>IF($J551="","",IFERROR(COUNTIFS('Weekly Log'!$H:$H,"Y",'Weekly Log'!$A:$A,"&gt;="&amp;$J551,'Weekly Log'!$A:$A,"&lt;"&amp;$J551+7)/COUNTIFS('Weekly Log'!$H:$H,"&lt;&gt;",'Weekly Log'!$A:$A,"&gt;="&amp;$J551,'Weekly Log'!$A:$A,"&lt;"&amp;$J551+7),0))</f>
        <v/>
      </c>
      <c r="E551">
        <f>IF($J551="","",IFERROR(AVERAGEIFS('Weekly Log'!$F:$F,'Weekly Log'!$A:$A,"&gt;="&amp;$J551,'Weekly Log'!$A:$A,"&lt;"&amp;$J551+7),0))</f>
        <v/>
      </c>
      <c r="F551">
        <f>IF($J551="","",IFERROR(SUMIFS('Weekly Log'!$F:$F,'Weekly Log'!$A:$A,"&gt;="&amp;$J551,'Weekly Log'!$A:$A,"&lt;"&amp;$J551+7)/SUMIFS('Weekly Log'!$E:$E,'Weekly Log'!$A:$A,"&gt;="&amp;$J551,'Weekly Log'!$A:$A,"&lt;"&amp;$J551+7),0))</f>
        <v/>
      </c>
      <c r="G551">
        <f>IF($J551="","",IFERROR(LOOKUP(2,1/(('Weekly Log'!$A$5:$A$5000&gt;=$J551)*('Weekly Log'!$A$5:$A$5000&lt;$J551+7)*('Weekly Log'!$M$5:$M$5000&lt;&gt;"")),'Weekly Log'!$M$5:$M$5000),0))</f>
        <v/>
      </c>
      <c r="J551">
        <f>IF(COUNT('Weekly Log'!$A$5:$A$5000)=0,"",IF(MIN('Weekly Log'!$A$5:$A$5000)+7*(ROW()-10)&gt;MAX('Weekly Log'!$A$5:$A$5000),"",MIN('Weekly Log'!$A$5:$A$5000)+7*(ROW()-10)))</f>
        <v/>
      </c>
    </row>
    <row r="552">
      <c r="A552">
        <f>IF($J552="","",YEAR($J552-WEEKDAY($J552,2)+4)&amp;"-W"&amp;TEXT(WEEKNUM($J552,21),"00"))</f>
        <v/>
      </c>
      <c r="B552">
        <f>IF($J552="","",SUMIFS('Weekly Log'!$C:$C,'Weekly Log'!$A:$A,"&gt;="&amp;$J552,'Weekly Log'!$A:$A,"&lt;"&amp;$J552+7))</f>
        <v/>
      </c>
      <c r="C552">
        <f>IF($J552="","",IFERROR(COUNTIFS('Weekly Log'!$G:$G,"Y",'Weekly Log'!$A:$A,"&gt;="&amp;$J552,'Weekly Log'!$A:$A,"&lt;"&amp;$J552+7)/COUNTIFS('Weekly Log'!$G:$G,"&lt;&gt;",'Weekly Log'!$A:$A,"&gt;="&amp;$J552,'Weekly Log'!$A:$A,"&lt;"&amp;$J552+7),0))</f>
        <v/>
      </c>
      <c r="D552">
        <f>IF($J552="","",IFERROR(COUNTIFS('Weekly Log'!$H:$H,"Y",'Weekly Log'!$A:$A,"&gt;="&amp;$J552,'Weekly Log'!$A:$A,"&lt;"&amp;$J552+7)/COUNTIFS('Weekly Log'!$H:$H,"&lt;&gt;",'Weekly Log'!$A:$A,"&gt;="&amp;$J552,'Weekly Log'!$A:$A,"&lt;"&amp;$J552+7),0))</f>
        <v/>
      </c>
      <c r="E552">
        <f>IF($J552="","",IFERROR(AVERAGEIFS('Weekly Log'!$F:$F,'Weekly Log'!$A:$A,"&gt;="&amp;$J552,'Weekly Log'!$A:$A,"&lt;"&amp;$J552+7),0))</f>
        <v/>
      </c>
      <c r="F552">
        <f>IF($J552="","",IFERROR(SUMIFS('Weekly Log'!$F:$F,'Weekly Log'!$A:$A,"&gt;="&amp;$J552,'Weekly Log'!$A:$A,"&lt;"&amp;$J552+7)/SUMIFS('Weekly Log'!$E:$E,'Weekly Log'!$A:$A,"&gt;="&amp;$J552,'Weekly Log'!$A:$A,"&lt;"&amp;$J552+7),0))</f>
        <v/>
      </c>
      <c r="G552">
        <f>IF($J552="","",IFERROR(LOOKUP(2,1/(('Weekly Log'!$A$5:$A$5000&gt;=$J552)*('Weekly Log'!$A$5:$A$5000&lt;$J552+7)*('Weekly Log'!$M$5:$M$5000&lt;&gt;"")),'Weekly Log'!$M$5:$M$5000),0))</f>
        <v/>
      </c>
      <c r="J552">
        <f>IF(COUNT('Weekly Log'!$A$5:$A$5000)=0,"",IF(MIN('Weekly Log'!$A$5:$A$5000)+7*(ROW()-10)&gt;MAX('Weekly Log'!$A$5:$A$5000),"",MIN('Weekly Log'!$A$5:$A$5000)+7*(ROW()-10)))</f>
        <v/>
      </c>
    </row>
    <row r="553">
      <c r="A553">
        <f>IF($J553="","",YEAR($J553-WEEKDAY($J553,2)+4)&amp;"-W"&amp;TEXT(WEEKNUM($J553,21),"00"))</f>
        <v/>
      </c>
      <c r="B553">
        <f>IF($J553="","",SUMIFS('Weekly Log'!$C:$C,'Weekly Log'!$A:$A,"&gt;="&amp;$J553,'Weekly Log'!$A:$A,"&lt;"&amp;$J553+7))</f>
        <v/>
      </c>
      <c r="C553">
        <f>IF($J553="","",IFERROR(COUNTIFS('Weekly Log'!$G:$G,"Y",'Weekly Log'!$A:$A,"&gt;="&amp;$J553,'Weekly Log'!$A:$A,"&lt;"&amp;$J553+7)/COUNTIFS('Weekly Log'!$G:$G,"&lt;&gt;",'Weekly Log'!$A:$A,"&gt;="&amp;$J553,'Weekly Log'!$A:$A,"&lt;"&amp;$J553+7),0))</f>
        <v/>
      </c>
      <c r="D553">
        <f>IF($J553="","",IFERROR(COUNTIFS('Weekly Log'!$H:$H,"Y",'Weekly Log'!$A:$A,"&gt;="&amp;$J553,'Weekly Log'!$A:$A,"&lt;"&amp;$J553+7)/COUNTIFS('Weekly Log'!$H:$H,"&lt;&gt;",'Weekly Log'!$A:$A,"&gt;="&amp;$J553,'Weekly Log'!$A:$A,"&lt;"&amp;$J553+7),0))</f>
        <v/>
      </c>
      <c r="E553">
        <f>IF($J553="","",IFERROR(AVERAGEIFS('Weekly Log'!$F:$F,'Weekly Log'!$A:$A,"&gt;="&amp;$J553,'Weekly Log'!$A:$A,"&lt;"&amp;$J553+7),0))</f>
        <v/>
      </c>
      <c r="F553">
        <f>IF($J553="","",IFERROR(SUMIFS('Weekly Log'!$F:$F,'Weekly Log'!$A:$A,"&gt;="&amp;$J553,'Weekly Log'!$A:$A,"&lt;"&amp;$J553+7)/SUMIFS('Weekly Log'!$E:$E,'Weekly Log'!$A:$A,"&gt;="&amp;$J553,'Weekly Log'!$A:$A,"&lt;"&amp;$J553+7),0))</f>
        <v/>
      </c>
      <c r="G553">
        <f>IF($J553="","",IFERROR(LOOKUP(2,1/(('Weekly Log'!$A$5:$A$5000&gt;=$J553)*('Weekly Log'!$A$5:$A$5000&lt;$J553+7)*('Weekly Log'!$M$5:$M$5000&lt;&gt;"")),'Weekly Log'!$M$5:$M$5000),0))</f>
        <v/>
      </c>
      <c r="J553">
        <f>IF(COUNT('Weekly Log'!$A$5:$A$5000)=0,"",IF(MIN('Weekly Log'!$A$5:$A$5000)+7*(ROW()-10)&gt;MAX('Weekly Log'!$A$5:$A$5000),"",MIN('Weekly Log'!$A$5:$A$5000)+7*(ROW()-10)))</f>
        <v/>
      </c>
    </row>
    <row r="554">
      <c r="A554">
        <f>IF($J554="","",YEAR($J554-WEEKDAY($J554,2)+4)&amp;"-W"&amp;TEXT(WEEKNUM($J554,21),"00"))</f>
        <v/>
      </c>
      <c r="B554">
        <f>IF($J554="","",SUMIFS('Weekly Log'!$C:$C,'Weekly Log'!$A:$A,"&gt;="&amp;$J554,'Weekly Log'!$A:$A,"&lt;"&amp;$J554+7))</f>
        <v/>
      </c>
      <c r="C554">
        <f>IF($J554="","",IFERROR(COUNTIFS('Weekly Log'!$G:$G,"Y",'Weekly Log'!$A:$A,"&gt;="&amp;$J554,'Weekly Log'!$A:$A,"&lt;"&amp;$J554+7)/COUNTIFS('Weekly Log'!$G:$G,"&lt;&gt;",'Weekly Log'!$A:$A,"&gt;="&amp;$J554,'Weekly Log'!$A:$A,"&lt;"&amp;$J554+7),0))</f>
        <v/>
      </c>
      <c r="D554">
        <f>IF($J554="","",IFERROR(COUNTIFS('Weekly Log'!$H:$H,"Y",'Weekly Log'!$A:$A,"&gt;="&amp;$J554,'Weekly Log'!$A:$A,"&lt;"&amp;$J554+7)/COUNTIFS('Weekly Log'!$H:$H,"&lt;&gt;",'Weekly Log'!$A:$A,"&gt;="&amp;$J554,'Weekly Log'!$A:$A,"&lt;"&amp;$J554+7),0))</f>
        <v/>
      </c>
      <c r="E554">
        <f>IF($J554="","",IFERROR(AVERAGEIFS('Weekly Log'!$F:$F,'Weekly Log'!$A:$A,"&gt;="&amp;$J554,'Weekly Log'!$A:$A,"&lt;"&amp;$J554+7),0))</f>
        <v/>
      </c>
      <c r="F554">
        <f>IF($J554="","",IFERROR(SUMIFS('Weekly Log'!$F:$F,'Weekly Log'!$A:$A,"&gt;="&amp;$J554,'Weekly Log'!$A:$A,"&lt;"&amp;$J554+7)/SUMIFS('Weekly Log'!$E:$E,'Weekly Log'!$A:$A,"&gt;="&amp;$J554,'Weekly Log'!$A:$A,"&lt;"&amp;$J554+7),0))</f>
        <v/>
      </c>
      <c r="G554">
        <f>IF($J554="","",IFERROR(LOOKUP(2,1/(('Weekly Log'!$A$5:$A$5000&gt;=$J554)*('Weekly Log'!$A$5:$A$5000&lt;$J554+7)*('Weekly Log'!$M$5:$M$5000&lt;&gt;"")),'Weekly Log'!$M$5:$M$5000),0))</f>
        <v/>
      </c>
      <c r="J554">
        <f>IF(COUNT('Weekly Log'!$A$5:$A$5000)=0,"",IF(MIN('Weekly Log'!$A$5:$A$5000)+7*(ROW()-10)&gt;MAX('Weekly Log'!$A$5:$A$5000),"",MIN('Weekly Log'!$A$5:$A$5000)+7*(ROW()-10)))</f>
        <v/>
      </c>
    </row>
    <row r="555">
      <c r="A555">
        <f>IF($J555="","",YEAR($J555-WEEKDAY($J555,2)+4)&amp;"-W"&amp;TEXT(WEEKNUM($J555,21),"00"))</f>
        <v/>
      </c>
      <c r="B555">
        <f>IF($J555="","",SUMIFS('Weekly Log'!$C:$C,'Weekly Log'!$A:$A,"&gt;="&amp;$J555,'Weekly Log'!$A:$A,"&lt;"&amp;$J555+7))</f>
        <v/>
      </c>
      <c r="C555">
        <f>IF($J555="","",IFERROR(COUNTIFS('Weekly Log'!$G:$G,"Y",'Weekly Log'!$A:$A,"&gt;="&amp;$J555,'Weekly Log'!$A:$A,"&lt;"&amp;$J555+7)/COUNTIFS('Weekly Log'!$G:$G,"&lt;&gt;",'Weekly Log'!$A:$A,"&gt;="&amp;$J555,'Weekly Log'!$A:$A,"&lt;"&amp;$J555+7),0))</f>
        <v/>
      </c>
      <c r="D555">
        <f>IF($J555="","",IFERROR(COUNTIFS('Weekly Log'!$H:$H,"Y",'Weekly Log'!$A:$A,"&gt;="&amp;$J555,'Weekly Log'!$A:$A,"&lt;"&amp;$J555+7)/COUNTIFS('Weekly Log'!$H:$H,"&lt;&gt;",'Weekly Log'!$A:$A,"&gt;="&amp;$J555,'Weekly Log'!$A:$A,"&lt;"&amp;$J555+7),0))</f>
        <v/>
      </c>
      <c r="E555">
        <f>IF($J555="","",IFERROR(AVERAGEIFS('Weekly Log'!$F:$F,'Weekly Log'!$A:$A,"&gt;="&amp;$J555,'Weekly Log'!$A:$A,"&lt;"&amp;$J555+7),0))</f>
        <v/>
      </c>
      <c r="F555">
        <f>IF($J555="","",IFERROR(SUMIFS('Weekly Log'!$F:$F,'Weekly Log'!$A:$A,"&gt;="&amp;$J555,'Weekly Log'!$A:$A,"&lt;"&amp;$J555+7)/SUMIFS('Weekly Log'!$E:$E,'Weekly Log'!$A:$A,"&gt;="&amp;$J555,'Weekly Log'!$A:$A,"&lt;"&amp;$J555+7),0))</f>
        <v/>
      </c>
      <c r="G555">
        <f>IF($J555="","",IFERROR(LOOKUP(2,1/(('Weekly Log'!$A$5:$A$5000&gt;=$J555)*('Weekly Log'!$A$5:$A$5000&lt;$J555+7)*('Weekly Log'!$M$5:$M$5000&lt;&gt;"")),'Weekly Log'!$M$5:$M$5000),0))</f>
        <v/>
      </c>
      <c r="J555">
        <f>IF(COUNT('Weekly Log'!$A$5:$A$5000)=0,"",IF(MIN('Weekly Log'!$A$5:$A$5000)+7*(ROW()-10)&gt;MAX('Weekly Log'!$A$5:$A$5000),"",MIN('Weekly Log'!$A$5:$A$5000)+7*(ROW()-10)))</f>
        <v/>
      </c>
    </row>
    <row r="556">
      <c r="A556">
        <f>IF($J556="","",YEAR($J556-WEEKDAY($J556,2)+4)&amp;"-W"&amp;TEXT(WEEKNUM($J556,21),"00"))</f>
        <v/>
      </c>
      <c r="B556">
        <f>IF($J556="","",SUMIFS('Weekly Log'!$C:$C,'Weekly Log'!$A:$A,"&gt;="&amp;$J556,'Weekly Log'!$A:$A,"&lt;"&amp;$J556+7))</f>
        <v/>
      </c>
      <c r="C556">
        <f>IF($J556="","",IFERROR(COUNTIFS('Weekly Log'!$G:$G,"Y",'Weekly Log'!$A:$A,"&gt;="&amp;$J556,'Weekly Log'!$A:$A,"&lt;"&amp;$J556+7)/COUNTIFS('Weekly Log'!$G:$G,"&lt;&gt;",'Weekly Log'!$A:$A,"&gt;="&amp;$J556,'Weekly Log'!$A:$A,"&lt;"&amp;$J556+7),0))</f>
        <v/>
      </c>
      <c r="D556">
        <f>IF($J556="","",IFERROR(COUNTIFS('Weekly Log'!$H:$H,"Y",'Weekly Log'!$A:$A,"&gt;="&amp;$J556,'Weekly Log'!$A:$A,"&lt;"&amp;$J556+7)/COUNTIFS('Weekly Log'!$H:$H,"&lt;&gt;",'Weekly Log'!$A:$A,"&gt;="&amp;$J556,'Weekly Log'!$A:$A,"&lt;"&amp;$J556+7),0))</f>
        <v/>
      </c>
      <c r="E556">
        <f>IF($J556="","",IFERROR(AVERAGEIFS('Weekly Log'!$F:$F,'Weekly Log'!$A:$A,"&gt;="&amp;$J556,'Weekly Log'!$A:$A,"&lt;"&amp;$J556+7),0))</f>
        <v/>
      </c>
      <c r="F556">
        <f>IF($J556="","",IFERROR(SUMIFS('Weekly Log'!$F:$F,'Weekly Log'!$A:$A,"&gt;="&amp;$J556,'Weekly Log'!$A:$A,"&lt;"&amp;$J556+7)/SUMIFS('Weekly Log'!$E:$E,'Weekly Log'!$A:$A,"&gt;="&amp;$J556,'Weekly Log'!$A:$A,"&lt;"&amp;$J556+7),0))</f>
        <v/>
      </c>
      <c r="G556">
        <f>IF($J556="","",IFERROR(LOOKUP(2,1/(('Weekly Log'!$A$5:$A$5000&gt;=$J556)*('Weekly Log'!$A$5:$A$5000&lt;$J556+7)*('Weekly Log'!$M$5:$M$5000&lt;&gt;"")),'Weekly Log'!$M$5:$M$5000),0))</f>
        <v/>
      </c>
      <c r="J556">
        <f>IF(COUNT('Weekly Log'!$A$5:$A$5000)=0,"",IF(MIN('Weekly Log'!$A$5:$A$5000)+7*(ROW()-10)&gt;MAX('Weekly Log'!$A$5:$A$5000),"",MIN('Weekly Log'!$A$5:$A$5000)+7*(ROW()-10)))</f>
        <v/>
      </c>
    </row>
    <row r="557">
      <c r="A557">
        <f>IF($J557="","",YEAR($J557-WEEKDAY($J557,2)+4)&amp;"-W"&amp;TEXT(WEEKNUM($J557,21),"00"))</f>
        <v/>
      </c>
      <c r="B557">
        <f>IF($J557="","",SUMIFS('Weekly Log'!$C:$C,'Weekly Log'!$A:$A,"&gt;="&amp;$J557,'Weekly Log'!$A:$A,"&lt;"&amp;$J557+7))</f>
        <v/>
      </c>
      <c r="C557">
        <f>IF($J557="","",IFERROR(COUNTIFS('Weekly Log'!$G:$G,"Y",'Weekly Log'!$A:$A,"&gt;="&amp;$J557,'Weekly Log'!$A:$A,"&lt;"&amp;$J557+7)/COUNTIFS('Weekly Log'!$G:$G,"&lt;&gt;",'Weekly Log'!$A:$A,"&gt;="&amp;$J557,'Weekly Log'!$A:$A,"&lt;"&amp;$J557+7),0))</f>
        <v/>
      </c>
      <c r="D557">
        <f>IF($J557="","",IFERROR(COUNTIFS('Weekly Log'!$H:$H,"Y",'Weekly Log'!$A:$A,"&gt;="&amp;$J557,'Weekly Log'!$A:$A,"&lt;"&amp;$J557+7)/COUNTIFS('Weekly Log'!$H:$H,"&lt;&gt;",'Weekly Log'!$A:$A,"&gt;="&amp;$J557,'Weekly Log'!$A:$A,"&lt;"&amp;$J557+7),0))</f>
        <v/>
      </c>
      <c r="E557">
        <f>IF($J557="","",IFERROR(AVERAGEIFS('Weekly Log'!$F:$F,'Weekly Log'!$A:$A,"&gt;="&amp;$J557,'Weekly Log'!$A:$A,"&lt;"&amp;$J557+7),0))</f>
        <v/>
      </c>
      <c r="F557">
        <f>IF($J557="","",IFERROR(SUMIFS('Weekly Log'!$F:$F,'Weekly Log'!$A:$A,"&gt;="&amp;$J557,'Weekly Log'!$A:$A,"&lt;"&amp;$J557+7)/SUMIFS('Weekly Log'!$E:$E,'Weekly Log'!$A:$A,"&gt;="&amp;$J557,'Weekly Log'!$A:$A,"&lt;"&amp;$J557+7),0))</f>
        <v/>
      </c>
      <c r="G557">
        <f>IF($J557="","",IFERROR(LOOKUP(2,1/(('Weekly Log'!$A$5:$A$5000&gt;=$J557)*('Weekly Log'!$A$5:$A$5000&lt;$J557+7)*('Weekly Log'!$M$5:$M$5000&lt;&gt;"")),'Weekly Log'!$M$5:$M$5000),0))</f>
        <v/>
      </c>
      <c r="J557">
        <f>IF(COUNT('Weekly Log'!$A$5:$A$5000)=0,"",IF(MIN('Weekly Log'!$A$5:$A$5000)+7*(ROW()-10)&gt;MAX('Weekly Log'!$A$5:$A$5000),"",MIN('Weekly Log'!$A$5:$A$5000)+7*(ROW()-10)))</f>
        <v/>
      </c>
    </row>
    <row r="558">
      <c r="A558">
        <f>IF($J558="","",YEAR($J558-WEEKDAY($J558,2)+4)&amp;"-W"&amp;TEXT(WEEKNUM($J558,21),"00"))</f>
        <v/>
      </c>
      <c r="B558">
        <f>IF($J558="","",SUMIFS('Weekly Log'!$C:$C,'Weekly Log'!$A:$A,"&gt;="&amp;$J558,'Weekly Log'!$A:$A,"&lt;"&amp;$J558+7))</f>
        <v/>
      </c>
      <c r="C558">
        <f>IF($J558="","",IFERROR(COUNTIFS('Weekly Log'!$G:$G,"Y",'Weekly Log'!$A:$A,"&gt;="&amp;$J558,'Weekly Log'!$A:$A,"&lt;"&amp;$J558+7)/COUNTIFS('Weekly Log'!$G:$G,"&lt;&gt;",'Weekly Log'!$A:$A,"&gt;="&amp;$J558,'Weekly Log'!$A:$A,"&lt;"&amp;$J558+7),0))</f>
        <v/>
      </c>
      <c r="D558">
        <f>IF($J558="","",IFERROR(COUNTIFS('Weekly Log'!$H:$H,"Y",'Weekly Log'!$A:$A,"&gt;="&amp;$J558,'Weekly Log'!$A:$A,"&lt;"&amp;$J558+7)/COUNTIFS('Weekly Log'!$H:$H,"&lt;&gt;",'Weekly Log'!$A:$A,"&gt;="&amp;$J558,'Weekly Log'!$A:$A,"&lt;"&amp;$J558+7),0))</f>
        <v/>
      </c>
      <c r="E558">
        <f>IF($J558="","",IFERROR(AVERAGEIFS('Weekly Log'!$F:$F,'Weekly Log'!$A:$A,"&gt;="&amp;$J558,'Weekly Log'!$A:$A,"&lt;"&amp;$J558+7),0))</f>
        <v/>
      </c>
      <c r="F558">
        <f>IF($J558="","",IFERROR(SUMIFS('Weekly Log'!$F:$F,'Weekly Log'!$A:$A,"&gt;="&amp;$J558,'Weekly Log'!$A:$A,"&lt;"&amp;$J558+7)/SUMIFS('Weekly Log'!$E:$E,'Weekly Log'!$A:$A,"&gt;="&amp;$J558,'Weekly Log'!$A:$A,"&lt;"&amp;$J558+7),0))</f>
        <v/>
      </c>
      <c r="G558">
        <f>IF($J558="","",IFERROR(LOOKUP(2,1/(('Weekly Log'!$A$5:$A$5000&gt;=$J558)*('Weekly Log'!$A$5:$A$5000&lt;$J558+7)*('Weekly Log'!$M$5:$M$5000&lt;&gt;"")),'Weekly Log'!$M$5:$M$5000),0))</f>
        <v/>
      </c>
      <c r="J558">
        <f>IF(COUNT('Weekly Log'!$A$5:$A$5000)=0,"",IF(MIN('Weekly Log'!$A$5:$A$5000)+7*(ROW()-10)&gt;MAX('Weekly Log'!$A$5:$A$5000),"",MIN('Weekly Log'!$A$5:$A$5000)+7*(ROW()-10)))</f>
        <v/>
      </c>
    </row>
    <row r="559">
      <c r="A559">
        <f>IF($J559="","",YEAR($J559-WEEKDAY($J559,2)+4)&amp;"-W"&amp;TEXT(WEEKNUM($J559,21),"00"))</f>
        <v/>
      </c>
      <c r="B559">
        <f>IF($J559="","",SUMIFS('Weekly Log'!$C:$C,'Weekly Log'!$A:$A,"&gt;="&amp;$J559,'Weekly Log'!$A:$A,"&lt;"&amp;$J559+7))</f>
        <v/>
      </c>
      <c r="C559">
        <f>IF($J559="","",IFERROR(COUNTIFS('Weekly Log'!$G:$G,"Y",'Weekly Log'!$A:$A,"&gt;="&amp;$J559,'Weekly Log'!$A:$A,"&lt;"&amp;$J559+7)/COUNTIFS('Weekly Log'!$G:$G,"&lt;&gt;",'Weekly Log'!$A:$A,"&gt;="&amp;$J559,'Weekly Log'!$A:$A,"&lt;"&amp;$J559+7),0))</f>
        <v/>
      </c>
      <c r="D559">
        <f>IF($J559="","",IFERROR(COUNTIFS('Weekly Log'!$H:$H,"Y",'Weekly Log'!$A:$A,"&gt;="&amp;$J559,'Weekly Log'!$A:$A,"&lt;"&amp;$J559+7)/COUNTIFS('Weekly Log'!$H:$H,"&lt;&gt;",'Weekly Log'!$A:$A,"&gt;="&amp;$J559,'Weekly Log'!$A:$A,"&lt;"&amp;$J559+7),0))</f>
        <v/>
      </c>
      <c r="E559">
        <f>IF($J559="","",IFERROR(AVERAGEIFS('Weekly Log'!$F:$F,'Weekly Log'!$A:$A,"&gt;="&amp;$J559,'Weekly Log'!$A:$A,"&lt;"&amp;$J559+7),0))</f>
        <v/>
      </c>
      <c r="F559">
        <f>IF($J559="","",IFERROR(SUMIFS('Weekly Log'!$F:$F,'Weekly Log'!$A:$A,"&gt;="&amp;$J559,'Weekly Log'!$A:$A,"&lt;"&amp;$J559+7)/SUMIFS('Weekly Log'!$E:$E,'Weekly Log'!$A:$A,"&gt;="&amp;$J559,'Weekly Log'!$A:$A,"&lt;"&amp;$J559+7),0))</f>
        <v/>
      </c>
      <c r="G559">
        <f>IF($J559="","",IFERROR(LOOKUP(2,1/(('Weekly Log'!$A$5:$A$5000&gt;=$J559)*('Weekly Log'!$A$5:$A$5000&lt;$J559+7)*('Weekly Log'!$M$5:$M$5000&lt;&gt;"")),'Weekly Log'!$M$5:$M$5000),0))</f>
        <v/>
      </c>
      <c r="J559">
        <f>IF(COUNT('Weekly Log'!$A$5:$A$5000)=0,"",IF(MIN('Weekly Log'!$A$5:$A$5000)+7*(ROW()-10)&gt;MAX('Weekly Log'!$A$5:$A$5000),"",MIN('Weekly Log'!$A$5:$A$5000)+7*(ROW()-10)))</f>
        <v/>
      </c>
    </row>
    <row r="560">
      <c r="A560">
        <f>IF($J560="","",YEAR($J560-WEEKDAY($J560,2)+4)&amp;"-W"&amp;TEXT(WEEKNUM($J560,21),"00"))</f>
        <v/>
      </c>
      <c r="B560">
        <f>IF($J560="","",SUMIFS('Weekly Log'!$C:$C,'Weekly Log'!$A:$A,"&gt;="&amp;$J560,'Weekly Log'!$A:$A,"&lt;"&amp;$J560+7))</f>
        <v/>
      </c>
      <c r="C560">
        <f>IF($J560="","",IFERROR(COUNTIFS('Weekly Log'!$G:$G,"Y",'Weekly Log'!$A:$A,"&gt;="&amp;$J560,'Weekly Log'!$A:$A,"&lt;"&amp;$J560+7)/COUNTIFS('Weekly Log'!$G:$G,"&lt;&gt;",'Weekly Log'!$A:$A,"&gt;="&amp;$J560,'Weekly Log'!$A:$A,"&lt;"&amp;$J560+7),0))</f>
        <v/>
      </c>
      <c r="D560">
        <f>IF($J560="","",IFERROR(COUNTIFS('Weekly Log'!$H:$H,"Y",'Weekly Log'!$A:$A,"&gt;="&amp;$J560,'Weekly Log'!$A:$A,"&lt;"&amp;$J560+7)/COUNTIFS('Weekly Log'!$H:$H,"&lt;&gt;",'Weekly Log'!$A:$A,"&gt;="&amp;$J560,'Weekly Log'!$A:$A,"&lt;"&amp;$J560+7),0))</f>
        <v/>
      </c>
      <c r="E560">
        <f>IF($J560="","",IFERROR(AVERAGEIFS('Weekly Log'!$F:$F,'Weekly Log'!$A:$A,"&gt;="&amp;$J560,'Weekly Log'!$A:$A,"&lt;"&amp;$J560+7),0))</f>
        <v/>
      </c>
      <c r="F560">
        <f>IF($J560="","",IFERROR(SUMIFS('Weekly Log'!$F:$F,'Weekly Log'!$A:$A,"&gt;="&amp;$J560,'Weekly Log'!$A:$A,"&lt;"&amp;$J560+7)/SUMIFS('Weekly Log'!$E:$E,'Weekly Log'!$A:$A,"&gt;="&amp;$J560,'Weekly Log'!$A:$A,"&lt;"&amp;$J560+7),0))</f>
        <v/>
      </c>
      <c r="G560">
        <f>IF($J560="","",IFERROR(LOOKUP(2,1/(('Weekly Log'!$A$5:$A$5000&gt;=$J560)*('Weekly Log'!$A$5:$A$5000&lt;$J560+7)*('Weekly Log'!$M$5:$M$5000&lt;&gt;"")),'Weekly Log'!$M$5:$M$5000),0))</f>
        <v/>
      </c>
      <c r="J560">
        <f>IF(COUNT('Weekly Log'!$A$5:$A$5000)=0,"",IF(MIN('Weekly Log'!$A$5:$A$5000)+7*(ROW()-10)&gt;MAX('Weekly Log'!$A$5:$A$5000),"",MIN('Weekly Log'!$A$5:$A$5000)+7*(ROW()-10)))</f>
        <v/>
      </c>
    </row>
    <row r="561">
      <c r="A561">
        <f>IF($J561="","",YEAR($J561-WEEKDAY($J561,2)+4)&amp;"-W"&amp;TEXT(WEEKNUM($J561,21),"00"))</f>
        <v/>
      </c>
      <c r="B561">
        <f>IF($J561="","",SUMIFS('Weekly Log'!$C:$C,'Weekly Log'!$A:$A,"&gt;="&amp;$J561,'Weekly Log'!$A:$A,"&lt;"&amp;$J561+7))</f>
        <v/>
      </c>
      <c r="C561">
        <f>IF($J561="","",IFERROR(COUNTIFS('Weekly Log'!$G:$G,"Y",'Weekly Log'!$A:$A,"&gt;="&amp;$J561,'Weekly Log'!$A:$A,"&lt;"&amp;$J561+7)/COUNTIFS('Weekly Log'!$G:$G,"&lt;&gt;",'Weekly Log'!$A:$A,"&gt;="&amp;$J561,'Weekly Log'!$A:$A,"&lt;"&amp;$J561+7),0))</f>
        <v/>
      </c>
      <c r="D561">
        <f>IF($J561="","",IFERROR(COUNTIFS('Weekly Log'!$H:$H,"Y",'Weekly Log'!$A:$A,"&gt;="&amp;$J561,'Weekly Log'!$A:$A,"&lt;"&amp;$J561+7)/COUNTIFS('Weekly Log'!$H:$H,"&lt;&gt;",'Weekly Log'!$A:$A,"&gt;="&amp;$J561,'Weekly Log'!$A:$A,"&lt;"&amp;$J561+7),0))</f>
        <v/>
      </c>
      <c r="E561">
        <f>IF($J561="","",IFERROR(AVERAGEIFS('Weekly Log'!$F:$F,'Weekly Log'!$A:$A,"&gt;="&amp;$J561,'Weekly Log'!$A:$A,"&lt;"&amp;$J561+7),0))</f>
        <v/>
      </c>
      <c r="F561">
        <f>IF($J561="","",IFERROR(SUMIFS('Weekly Log'!$F:$F,'Weekly Log'!$A:$A,"&gt;="&amp;$J561,'Weekly Log'!$A:$A,"&lt;"&amp;$J561+7)/SUMIFS('Weekly Log'!$E:$E,'Weekly Log'!$A:$A,"&gt;="&amp;$J561,'Weekly Log'!$A:$A,"&lt;"&amp;$J561+7),0))</f>
        <v/>
      </c>
      <c r="G561">
        <f>IF($J561="","",IFERROR(LOOKUP(2,1/(('Weekly Log'!$A$5:$A$5000&gt;=$J561)*('Weekly Log'!$A$5:$A$5000&lt;$J561+7)*('Weekly Log'!$M$5:$M$5000&lt;&gt;"")),'Weekly Log'!$M$5:$M$5000),0))</f>
        <v/>
      </c>
      <c r="J561">
        <f>IF(COUNT('Weekly Log'!$A$5:$A$5000)=0,"",IF(MIN('Weekly Log'!$A$5:$A$5000)+7*(ROW()-10)&gt;MAX('Weekly Log'!$A$5:$A$5000),"",MIN('Weekly Log'!$A$5:$A$5000)+7*(ROW()-10)))</f>
        <v/>
      </c>
    </row>
    <row r="562">
      <c r="A562">
        <f>IF($J562="","",YEAR($J562-WEEKDAY($J562,2)+4)&amp;"-W"&amp;TEXT(WEEKNUM($J562,21),"00"))</f>
        <v/>
      </c>
      <c r="B562">
        <f>IF($J562="","",SUMIFS('Weekly Log'!$C:$C,'Weekly Log'!$A:$A,"&gt;="&amp;$J562,'Weekly Log'!$A:$A,"&lt;"&amp;$J562+7))</f>
        <v/>
      </c>
      <c r="C562">
        <f>IF($J562="","",IFERROR(COUNTIFS('Weekly Log'!$G:$G,"Y",'Weekly Log'!$A:$A,"&gt;="&amp;$J562,'Weekly Log'!$A:$A,"&lt;"&amp;$J562+7)/COUNTIFS('Weekly Log'!$G:$G,"&lt;&gt;",'Weekly Log'!$A:$A,"&gt;="&amp;$J562,'Weekly Log'!$A:$A,"&lt;"&amp;$J562+7),0))</f>
        <v/>
      </c>
      <c r="D562">
        <f>IF($J562="","",IFERROR(COUNTIFS('Weekly Log'!$H:$H,"Y",'Weekly Log'!$A:$A,"&gt;="&amp;$J562,'Weekly Log'!$A:$A,"&lt;"&amp;$J562+7)/COUNTIFS('Weekly Log'!$H:$H,"&lt;&gt;",'Weekly Log'!$A:$A,"&gt;="&amp;$J562,'Weekly Log'!$A:$A,"&lt;"&amp;$J562+7),0))</f>
        <v/>
      </c>
      <c r="E562">
        <f>IF($J562="","",IFERROR(AVERAGEIFS('Weekly Log'!$F:$F,'Weekly Log'!$A:$A,"&gt;="&amp;$J562,'Weekly Log'!$A:$A,"&lt;"&amp;$J562+7),0))</f>
        <v/>
      </c>
      <c r="F562">
        <f>IF($J562="","",IFERROR(SUMIFS('Weekly Log'!$F:$F,'Weekly Log'!$A:$A,"&gt;="&amp;$J562,'Weekly Log'!$A:$A,"&lt;"&amp;$J562+7)/SUMIFS('Weekly Log'!$E:$E,'Weekly Log'!$A:$A,"&gt;="&amp;$J562,'Weekly Log'!$A:$A,"&lt;"&amp;$J562+7),0))</f>
        <v/>
      </c>
      <c r="G562">
        <f>IF($J562="","",IFERROR(LOOKUP(2,1/(('Weekly Log'!$A$5:$A$5000&gt;=$J562)*('Weekly Log'!$A$5:$A$5000&lt;$J562+7)*('Weekly Log'!$M$5:$M$5000&lt;&gt;"")),'Weekly Log'!$M$5:$M$5000),0))</f>
        <v/>
      </c>
      <c r="J562">
        <f>IF(COUNT('Weekly Log'!$A$5:$A$5000)=0,"",IF(MIN('Weekly Log'!$A$5:$A$5000)+7*(ROW()-10)&gt;MAX('Weekly Log'!$A$5:$A$5000),"",MIN('Weekly Log'!$A$5:$A$5000)+7*(ROW()-10)))</f>
        <v/>
      </c>
    </row>
    <row r="563">
      <c r="A563">
        <f>IF($J563="","",YEAR($J563-WEEKDAY($J563,2)+4)&amp;"-W"&amp;TEXT(WEEKNUM($J563,21),"00"))</f>
        <v/>
      </c>
      <c r="B563">
        <f>IF($J563="","",SUMIFS('Weekly Log'!$C:$C,'Weekly Log'!$A:$A,"&gt;="&amp;$J563,'Weekly Log'!$A:$A,"&lt;"&amp;$J563+7))</f>
        <v/>
      </c>
      <c r="C563">
        <f>IF($J563="","",IFERROR(COUNTIFS('Weekly Log'!$G:$G,"Y",'Weekly Log'!$A:$A,"&gt;="&amp;$J563,'Weekly Log'!$A:$A,"&lt;"&amp;$J563+7)/COUNTIFS('Weekly Log'!$G:$G,"&lt;&gt;",'Weekly Log'!$A:$A,"&gt;="&amp;$J563,'Weekly Log'!$A:$A,"&lt;"&amp;$J563+7),0))</f>
        <v/>
      </c>
      <c r="D563">
        <f>IF($J563="","",IFERROR(COUNTIFS('Weekly Log'!$H:$H,"Y",'Weekly Log'!$A:$A,"&gt;="&amp;$J563,'Weekly Log'!$A:$A,"&lt;"&amp;$J563+7)/COUNTIFS('Weekly Log'!$H:$H,"&lt;&gt;",'Weekly Log'!$A:$A,"&gt;="&amp;$J563,'Weekly Log'!$A:$A,"&lt;"&amp;$J563+7),0))</f>
        <v/>
      </c>
      <c r="E563">
        <f>IF($J563="","",IFERROR(AVERAGEIFS('Weekly Log'!$F:$F,'Weekly Log'!$A:$A,"&gt;="&amp;$J563,'Weekly Log'!$A:$A,"&lt;"&amp;$J563+7),0))</f>
        <v/>
      </c>
      <c r="F563">
        <f>IF($J563="","",IFERROR(SUMIFS('Weekly Log'!$F:$F,'Weekly Log'!$A:$A,"&gt;="&amp;$J563,'Weekly Log'!$A:$A,"&lt;"&amp;$J563+7)/SUMIFS('Weekly Log'!$E:$E,'Weekly Log'!$A:$A,"&gt;="&amp;$J563,'Weekly Log'!$A:$A,"&lt;"&amp;$J563+7),0))</f>
        <v/>
      </c>
      <c r="G563">
        <f>IF($J563="","",IFERROR(LOOKUP(2,1/(('Weekly Log'!$A$5:$A$5000&gt;=$J563)*('Weekly Log'!$A$5:$A$5000&lt;$J563+7)*('Weekly Log'!$M$5:$M$5000&lt;&gt;"")),'Weekly Log'!$M$5:$M$5000),0))</f>
        <v/>
      </c>
      <c r="J563">
        <f>IF(COUNT('Weekly Log'!$A$5:$A$5000)=0,"",IF(MIN('Weekly Log'!$A$5:$A$5000)+7*(ROW()-10)&gt;MAX('Weekly Log'!$A$5:$A$5000),"",MIN('Weekly Log'!$A$5:$A$5000)+7*(ROW()-10)))</f>
        <v/>
      </c>
    </row>
    <row r="564">
      <c r="A564">
        <f>IF($J564="","",YEAR($J564-WEEKDAY($J564,2)+4)&amp;"-W"&amp;TEXT(WEEKNUM($J564,21),"00"))</f>
        <v/>
      </c>
      <c r="B564">
        <f>IF($J564="","",SUMIFS('Weekly Log'!$C:$C,'Weekly Log'!$A:$A,"&gt;="&amp;$J564,'Weekly Log'!$A:$A,"&lt;"&amp;$J564+7))</f>
        <v/>
      </c>
      <c r="C564">
        <f>IF($J564="","",IFERROR(COUNTIFS('Weekly Log'!$G:$G,"Y",'Weekly Log'!$A:$A,"&gt;="&amp;$J564,'Weekly Log'!$A:$A,"&lt;"&amp;$J564+7)/COUNTIFS('Weekly Log'!$G:$G,"&lt;&gt;",'Weekly Log'!$A:$A,"&gt;="&amp;$J564,'Weekly Log'!$A:$A,"&lt;"&amp;$J564+7),0))</f>
        <v/>
      </c>
      <c r="D564">
        <f>IF($J564="","",IFERROR(COUNTIFS('Weekly Log'!$H:$H,"Y",'Weekly Log'!$A:$A,"&gt;="&amp;$J564,'Weekly Log'!$A:$A,"&lt;"&amp;$J564+7)/COUNTIFS('Weekly Log'!$H:$H,"&lt;&gt;",'Weekly Log'!$A:$A,"&gt;="&amp;$J564,'Weekly Log'!$A:$A,"&lt;"&amp;$J564+7),0))</f>
        <v/>
      </c>
      <c r="E564">
        <f>IF($J564="","",IFERROR(AVERAGEIFS('Weekly Log'!$F:$F,'Weekly Log'!$A:$A,"&gt;="&amp;$J564,'Weekly Log'!$A:$A,"&lt;"&amp;$J564+7),0))</f>
        <v/>
      </c>
      <c r="F564">
        <f>IF($J564="","",IFERROR(SUMIFS('Weekly Log'!$F:$F,'Weekly Log'!$A:$A,"&gt;="&amp;$J564,'Weekly Log'!$A:$A,"&lt;"&amp;$J564+7)/SUMIFS('Weekly Log'!$E:$E,'Weekly Log'!$A:$A,"&gt;="&amp;$J564,'Weekly Log'!$A:$A,"&lt;"&amp;$J564+7),0))</f>
        <v/>
      </c>
      <c r="G564">
        <f>IF($J564="","",IFERROR(LOOKUP(2,1/(('Weekly Log'!$A$5:$A$5000&gt;=$J564)*('Weekly Log'!$A$5:$A$5000&lt;$J564+7)*('Weekly Log'!$M$5:$M$5000&lt;&gt;"")),'Weekly Log'!$M$5:$M$5000),0))</f>
        <v/>
      </c>
      <c r="J564">
        <f>IF(COUNT('Weekly Log'!$A$5:$A$5000)=0,"",IF(MIN('Weekly Log'!$A$5:$A$5000)+7*(ROW()-10)&gt;MAX('Weekly Log'!$A$5:$A$5000),"",MIN('Weekly Log'!$A$5:$A$5000)+7*(ROW()-10)))</f>
        <v/>
      </c>
    </row>
    <row r="565">
      <c r="A565">
        <f>IF($J565="","",YEAR($J565-WEEKDAY($J565,2)+4)&amp;"-W"&amp;TEXT(WEEKNUM($J565,21),"00"))</f>
        <v/>
      </c>
      <c r="B565">
        <f>IF($J565="","",SUMIFS('Weekly Log'!$C:$C,'Weekly Log'!$A:$A,"&gt;="&amp;$J565,'Weekly Log'!$A:$A,"&lt;"&amp;$J565+7))</f>
        <v/>
      </c>
      <c r="C565">
        <f>IF($J565="","",IFERROR(COUNTIFS('Weekly Log'!$G:$G,"Y",'Weekly Log'!$A:$A,"&gt;="&amp;$J565,'Weekly Log'!$A:$A,"&lt;"&amp;$J565+7)/COUNTIFS('Weekly Log'!$G:$G,"&lt;&gt;",'Weekly Log'!$A:$A,"&gt;="&amp;$J565,'Weekly Log'!$A:$A,"&lt;"&amp;$J565+7),0))</f>
        <v/>
      </c>
      <c r="D565">
        <f>IF($J565="","",IFERROR(COUNTIFS('Weekly Log'!$H:$H,"Y",'Weekly Log'!$A:$A,"&gt;="&amp;$J565,'Weekly Log'!$A:$A,"&lt;"&amp;$J565+7)/COUNTIFS('Weekly Log'!$H:$H,"&lt;&gt;",'Weekly Log'!$A:$A,"&gt;="&amp;$J565,'Weekly Log'!$A:$A,"&lt;"&amp;$J565+7),0))</f>
        <v/>
      </c>
      <c r="E565">
        <f>IF($J565="","",IFERROR(AVERAGEIFS('Weekly Log'!$F:$F,'Weekly Log'!$A:$A,"&gt;="&amp;$J565,'Weekly Log'!$A:$A,"&lt;"&amp;$J565+7),0))</f>
        <v/>
      </c>
      <c r="F565">
        <f>IF($J565="","",IFERROR(SUMIFS('Weekly Log'!$F:$F,'Weekly Log'!$A:$A,"&gt;="&amp;$J565,'Weekly Log'!$A:$A,"&lt;"&amp;$J565+7)/SUMIFS('Weekly Log'!$E:$E,'Weekly Log'!$A:$A,"&gt;="&amp;$J565,'Weekly Log'!$A:$A,"&lt;"&amp;$J565+7),0))</f>
        <v/>
      </c>
      <c r="G565">
        <f>IF($J565="","",IFERROR(LOOKUP(2,1/(('Weekly Log'!$A$5:$A$5000&gt;=$J565)*('Weekly Log'!$A$5:$A$5000&lt;$J565+7)*('Weekly Log'!$M$5:$M$5000&lt;&gt;"")),'Weekly Log'!$M$5:$M$5000),0))</f>
        <v/>
      </c>
      <c r="J565">
        <f>IF(COUNT('Weekly Log'!$A$5:$A$5000)=0,"",IF(MIN('Weekly Log'!$A$5:$A$5000)+7*(ROW()-10)&gt;MAX('Weekly Log'!$A$5:$A$5000),"",MIN('Weekly Log'!$A$5:$A$5000)+7*(ROW()-10)))</f>
        <v/>
      </c>
    </row>
    <row r="566">
      <c r="A566">
        <f>IF($J566="","",YEAR($J566-WEEKDAY($J566,2)+4)&amp;"-W"&amp;TEXT(WEEKNUM($J566,21),"00"))</f>
        <v/>
      </c>
      <c r="B566">
        <f>IF($J566="","",SUMIFS('Weekly Log'!$C:$C,'Weekly Log'!$A:$A,"&gt;="&amp;$J566,'Weekly Log'!$A:$A,"&lt;"&amp;$J566+7))</f>
        <v/>
      </c>
      <c r="C566">
        <f>IF($J566="","",IFERROR(COUNTIFS('Weekly Log'!$G:$G,"Y",'Weekly Log'!$A:$A,"&gt;="&amp;$J566,'Weekly Log'!$A:$A,"&lt;"&amp;$J566+7)/COUNTIFS('Weekly Log'!$G:$G,"&lt;&gt;",'Weekly Log'!$A:$A,"&gt;="&amp;$J566,'Weekly Log'!$A:$A,"&lt;"&amp;$J566+7),0))</f>
        <v/>
      </c>
      <c r="D566">
        <f>IF($J566="","",IFERROR(COUNTIFS('Weekly Log'!$H:$H,"Y",'Weekly Log'!$A:$A,"&gt;="&amp;$J566,'Weekly Log'!$A:$A,"&lt;"&amp;$J566+7)/COUNTIFS('Weekly Log'!$H:$H,"&lt;&gt;",'Weekly Log'!$A:$A,"&gt;="&amp;$J566,'Weekly Log'!$A:$A,"&lt;"&amp;$J566+7),0))</f>
        <v/>
      </c>
      <c r="E566">
        <f>IF($J566="","",IFERROR(AVERAGEIFS('Weekly Log'!$F:$F,'Weekly Log'!$A:$A,"&gt;="&amp;$J566,'Weekly Log'!$A:$A,"&lt;"&amp;$J566+7),0))</f>
        <v/>
      </c>
      <c r="F566">
        <f>IF($J566="","",IFERROR(SUMIFS('Weekly Log'!$F:$F,'Weekly Log'!$A:$A,"&gt;="&amp;$J566,'Weekly Log'!$A:$A,"&lt;"&amp;$J566+7)/SUMIFS('Weekly Log'!$E:$E,'Weekly Log'!$A:$A,"&gt;="&amp;$J566,'Weekly Log'!$A:$A,"&lt;"&amp;$J566+7),0))</f>
        <v/>
      </c>
      <c r="G566">
        <f>IF($J566="","",IFERROR(LOOKUP(2,1/(('Weekly Log'!$A$5:$A$5000&gt;=$J566)*('Weekly Log'!$A$5:$A$5000&lt;$J566+7)*('Weekly Log'!$M$5:$M$5000&lt;&gt;"")),'Weekly Log'!$M$5:$M$5000),0))</f>
        <v/>
      </c>
      <c r="J566">
        <f>IF(COUNT('Weekly Log'!$A$5:$A$5000)=0,"",IF(MIN('Weekly Log'!$A$5:$A$5000)+7*(ROW()-10)&gt;MAX('Weekly Log'!$A$5:$A$5000),"",MIN('Weekly Log'!$A$5:$A$5000)+7*(ROW()-10)))</f>
        <v/>
      </c>
    </row>
    <row r="567">
      <c r="A567">
        <f>IF($J567="","",YEAR($J567-WEEKDAY($J567,2)+4)&amp;"-W"&amp;TEXT(WEEKNUM($J567,21),"00"))</f>
        <v/>
      </c>
      <c r="B567">
        <f>IF($J567="","",SUMIFS('Weekly Log'!$C:$C,'Weekly Log'!$A:$A,"&gt;="&amp;$J567,'Weekly Log'!$A:$A,"&lt;"&amp;$J567+7))</f>
        <v/>
      </c>
      <c r="C567">
        <f>IF($J567="","",IFERROR(COUNTIFS('Weekly Log'!$G:$G,"Y",'Weekly Log'!$A:$A,"&gt;="&amp;$J567,'Weekly Log'!$A:$A,"&lt;"&amp;$J567+7)/COUNTIFS('Weekly Log'!$G:$G,"&lt;&gt;",'Weekly Log'!$A:$A,"&gt;="&amp;$J567,'Weekly Log'!$A:$A,"&lt;"&amp;$J567+7),0))</f>
        <v/>
      </c>
      <c r="D567">
        <f>IF($J567="","",IFERROR(COUNTIFS('Weekly Log'!$H:$H,"Y",'Weekly Log'!$A:$A,"&gt;="&amp;$J567,'Weekly Log'!$A:$A,"&lt;"&amp;$J567+7)/COUNTIFS('Weekly Log'!$H:$H,"&lt;&gt;",'Weekly Log'!$A:$A,"&gt;="&amp;$J567,'Weekly Log'!$A:$A,"&lt;"&amp;$J567+7),0))</f>
        <v/>
      </c>
      <c r="E567">
        <f>IF($J567="","",IFERROR(AVERAGEIFS('Weekly Log'!$F:$F,'Weekly Log'!$A:$A,"&gt;="&amp;$J567,'Weekly Log'!$A:$A,"&lt;"&amp;$J567+7),0))</f>
        <v/>
      </c>
      <c r="F567">
        <f>IF($J567="","",IFERROR(SUMIFS('Weekly Log'!$F:$F,'Weekly Log'!$A:$A,"&gt;="&amp;$J567,'Weekly Log'!$A:$A,"&lt;"&amp;$J567+7)/SUMIFS('Weekly Log'!$E:$E,'Weekly Log'!$A:$A,"&gt;="&amp;$J567,'Weekly Log'!$A:$A,"&lt;"&amp;$J567+7),0))</f>
        <v/>
      </c>
      <c r="G567">
        <f>IF($J567="","",IFERROR(LOOKUP(2,1/(('Weekly Log'!$A$5:$A$5000&gt;=$J567)*('Weekly Log'!$A$5:$A$5000&lt;$J567+7)*('Weekly Log'!$M$5:$M$5000&lt;&gt;"")),'Weekly Log'!$M$5:$M$5000),0))</f>
        <v/>
      </c>
      <c r="J567">
        <f>IF(COUNT('Weekly Log'!$A$5:$A$5000)=0,"",IF(MIN('Weekly Log'!$A$5:$A$5000)+7*(ROW()-10)&gt;MAX('Weekly Log'!$A$5:$A$5000),"",MIN('Weekly Log'!$A$5:$A$5000)+7*(ROW()-10)))</f>
        <v/>
      </c>
    </row>
    <row r="568">
      <c r="A568">
        <f>IF($J568="","",YEAR($J568-WEEKDAY($J568,2)+4)&amp;"-W"&amp;TEXT(WEEKNUM($J568,21),"00"))</f>
        <v/>
      </c>
      <c r="B568">
        <f>IF($J568="","",SUMIFS('Weekly Log'!$C:$C,'Weekly Log'!$A:$A,"&gt;="&amp;$J568,'Weekly Log'!$A:$A,"&lt;"&amp;$J568+7))</f>
        <v/>
      </c>
      <c r="C568">
        <f>IF($J568="","",IFERROR(COUNTIFS('Weekly Log'!$G:$G,"Y",'Weekly Log'!$A:$A,"&gt;="&amp;$J568,'Weekly Log'!$A:$A,"&lt;"&amp;$J568+7)/COUNTIFS('Weekly Log'!$G:$G,"&lt;&gt;",'Weekly Log'!$A:$A,"&gt;="&amp;$J568,'Weekly Log'!$A:$A,"&lt;"&amp;$J568+7),0))</f>
        <v/>
      </c>
      <c r="D568">
        <f>IF($J568="","",IFERROR(COUNTIFS('Weekly Log'!$H:$H,"Y",'Weekly Log'!$A:$A,"&gt;="&amp;$J568,'Weekly Log'!$A:$A,"&lt;"&amp;$J568+7)/COUNTIFS('Weekly Log'!$H:$H,"&lt;&gt;",'Weekly Log'!$A:$A,"&gt;="&amp;$J568,'Weekly Log'!$A:$A,"&lt;"&amp;$J568+7),0))</f>
        <v/>
      </c>
      <c r="E568">
        <f>IF($J568="","",IFERROR(AVERAGEIFS('Weekly Log'!$F:$F,'Weekly Log'!$A:$A,"&gt;="&amp;$J568,'Weekly Log'!$A:$A,"&lt;"&amp;$J568+7),0))</f>
        <v/>
      </c>
      <c r="F568">
        <f>IF($J568="","",IFERROR(SUMIFS('Weekly Log'!$F:$F,'Weekly Log'!$A:$A,"&gt;="&amp;$J568,'Weekly Log'!$A:$A,"&lt;"&amp;$J568+7)/SUMIFS('Weekly Log'!$E:$E,'Weekly Log'!$A:$A,"&gt;="&amp;$J568,'Weekly Log'!$A:$A,"&lt;"&amp;$J568+7),0))</f>
        <v/>
      </c>
      <c r="G568">
        <f>IF($J568="","",IFERROR(LOOKUP(2,1/(('Weekly Log'!$A$5:$A$5000&gt;=$J568)*('Weekly Log'!$A$5:$A$5000&lt;$J568+7)*('Weekly Log'!$M$5:$M$5000&lt;&gt;"")),'Weekly Log'!$M$5:$M$5000),0))</f>
        <v/>
      </c>
      <c r="J568">
        <f>IF(COUNT('Weekly Log'!$A$5:$A$5000)=0,"",IF(MIN('Weekly Log'!$A$5:$A$5000)+7*(ROW()-10)&gt;MAX('Weekly Log'!$A$5:$A$5000),"",MIN('Weekly Log'!$A$5:$A$5000)+7*(ROW()-10)))</f>
        <v/>
      </c>
    </row>
    <row r="569">
      <c r="A569">
        <f>IF($J569="","",YEAR($J569-WEEKDAY($J569,2)+4)&amp;"-W"&amp;TEXT(WEEKNUM($J569,21),"00"))</f>
        <v/>
      </c>
      <c r="B569">
        <f>IF($J569="","",SUMIFS('Weekly Log'!$C:$C,'Weekly Log'!$A:$A,"&gt;="&amp;$J569,'Weekly Log'!$A:$A,"&lt;"&amp;$J569+7))</f>
        <v/>
      </c>
      <c r="C569">
        <f>IF($J569="","",IFERROR(COUNTIFS('Weekly Log'!$G:$G,"Y",'Weekly Log'!$A:$A,"&gt;="&amp;$J569,'Weekly Log'!$A:$A,"&lt;"&amp;$J569+7)/COUNTIFS('Weekly Log'!$G:$G,"&lt;&gt;",'Weekly Log'!$A:$A,"&gt;="&amp;$J569,'Weekly Log'!$A:$A,"&lt;"&amp;$J569+7),0))</f>
        <v/>
      </c>
      <c r="D569">
        <f>IF($J569="","",IFERROR(COUNTIFS('Weekly Log'!$H:$H,"Y",'Weekly Log'!$A:$A,"&gt;="&amp;$J569,'Weekly Log'!$A:$A,"&lt;"&amp;$J569+7)/COUNTIFS('Weekly Log'!$H:$H,"&lt;&gt;",'Weekly Log'!$A:$A,"&gt;="&amp;$J569,'Weekly Log'!$A:$A,"&lt;"&amp;$J569+7),0))</f>
        <v/>
      </c>
      <c r="E569">
        <f>IF($J569="","",IFERROR(AVERAGEIFS('Weekly Log'!$F:$F,'Weekly Log'!$A:$A,"&gt;="&amp;$J569,'Weekly Log'!$A:$A,"&lt;"&amp;$J569+7),0))</f>
        <v/>
      </c>
      <c r="F569">
        <f>IF($J569="","",IFERROR(SUMIFS('Weekly Log'!$F:$F,'Weekly Log'!$A:$A,"&gt;="&amp;$J569,'Weekly Log'!$A:$A,"&lt;"&amp;$J569+7)/SUMIFS('Weekly Log'!$E:$E,'Weekly Log'!$A:$A,"&gt;="&amp;$J569,'Weekly Log'!$A:$A,"&lt;"&amp;$J569+7),0))</f>
        <v/>
      </c>
      <c r="G569">
        <f>IF($J569="","",IFERROR(LOOKUP(2,1/(('Weekly Log'!$A$5:$A$5000&gt;=$J569)*('Weekly Log'!$A$5:$A$5000&lt;$J569+7)*('Weekly Log'!$M$5:$M$5000&lt;&gt;"")),'Weekly Log'!$M$5:$M$5000),0))</f>
        <v/>
      </c>
      <c r="J569">
        <f>IF(COUNT('Weekly Log'!$A$5:$A$5000)=0,"",IF(MIN('Weekly Log'!$A$5:$A$5000)+7*(ROW()-10)&gt;MAX('Weekly Log'!$A$5:$A$5000),"",MIN('Weekly Log'!$A$5:$A$5000)+7*(ROW()-10)))</f>
        <v/>
      </c>
    </row>
    <row r="570">
      <c r="A570">
        <f>IF($J570="","",YEAR($J570-WEEKDAY($J570,2)+4)&amp;"-W"&amp;TEXT(WEEKNUM($J570,21),"00"))</f>
        <v/>
      </c>
      <c r="B570">
        <f>IF($J570="","",SUMIFS('Weekly Log'!$C:$C,'Weekly Log'!$A:$A,"&gt;="&amp;$J570,'Weekly Log'!$A:$A,"&lt;"&amp;$J570+7))</f>
        <v/>
      </c>
      <c r="C570">
        <f>IF($J570="","",IFERROR(COUNTIFS('Weekly Log'!$G:$G,"Y",'Weekly Log'!$A:$A,"&gt;="&amp;$J570,'Weekly Log'!$A:$A,"&lt;"&amp;$J570+7)/COUNTIFS('Weekly Log'!$G:$G,"&lt;&gt;",'Weekly Log'!$A:$A,"&gt;="&amp;$J570,'Weekly Log'!$A:$A,"&lt;"&amp;$J570+7),0))</f>
        <v/>
      </c>
      <c r="D570">
        <f>IF($J570="","",IFERROR(COUNTIFS('Weekly Log'!$H:$H,"Y",'Weekly Log'!$A:$A,"&gt;="&amp;$J570,'Weekly Log'!$A:$A,"&lt;"&amp;$J570+7)/COUNTIFS('Weekly Log'!$H:$H,"&lt;&gt;",'Weekly Log'!$A:$A,"&gt;="&amp;$J570,'Weekly Log'!$A:$A,"&lt;"&amp;$J570+7),0))</f>
        <v/>
      </c>
      <c r="E570">
        <f>IF($J570="","",IFERROR(AVERAGEIFS('Weekly Log'!$F:$F,'Weekly Log'!$A:$A,"&gt;="&amp;$J570,'Weekly Log'!$A:$A,"&lt;"&amp;$J570+7),0))</f>
        <v/>
      </c>
      <c r="F570">
        <f>IF($J570="","",IFERROR(SUMIFS('Weekly Log'!$F:$F,'Weekly Log'!$A:$A,"&gt;="&amp;$J570,'Weekly Log'!$A:$A,"&lt;"&amp;$J570+7)/SUMIFS('Weekly Log'!$E:$E,'Weekly Log'!$A:$A,"&gt;="&amp;$J570,'Weekly Log'!$A:$A,"&lt;"&amp;$J570+7),0))</f>
        <v/>
      </c>
      <c r="G570">
        <f>IF($J570="","",IFERROR(LOOKUP(2,1/(('Weekly Log'!$A$5:$A$5000&gt;=$J570)*('Weekly Log'!$A$5:$A$5000&lt;$J570+7)*('Weekly Log'!$M$5:$M$5000&lt;&gt;"")),'Weekly Log'!$M$5:$M$5000),0))</f>
        <v/>
      </c>
      <c r="J570">
        <f>IF(COUNT('Weekly Log'!$A$5:$A$5000)=0,"",IF(MIN('Weekly Log'!$A$5:$A$5000)+7*(ROW()-10)&gt;MAX('Weekly Log'!$A$5:$A$5000),"",MIN('Weekly Log'!$A$5:$A$5000)+7*(ROW()-10)))</f>
        <v/>
      </c>
    </row>
    <row r="571">
      <c r="A571">
        <f>IF($J571="","",YEAR($J571-WEEKDAY($J571,2)+4)&amp;"-W"&amp;TEXT(WEEKNUM($J571,21),"00"))</f>
        <v/>
      </c>
      <c r="B571">
        <f>IF($J571="","",SUMIFS('Weekly Log'!$C:$C,'Weekly Log'!$A:$A,"&gt;="&amp;$J571,'Weekly Log'!$A:$A,"&lt;"&amp;$J571+7))</f>
        <v/>
      </c>
      <c r="C571">
        <f>IF($J571="","",IFERROR(COUNTIFS('Weekly Log'!$G:$G,"Y",'Weekly Log'!$A:$A,"&gt;="&amp;$J571,'Weekly Log'!$A:$A,"&lt;"&amp;$J571+7)/COUNTIFS('Weekly Log'!$G:$G,"&lt;&gt;",'Weekly Log'!$A:$A,"&gt;="&amp;$J571,'Weekly Log'!$A:$A,"&lt;"&amp;$J571+7),0))</f>
        <v/>
      </c>
      <c r="D571">
        <f>IF($J571="","",IFERROR(COUNTIFS('Weekly Log'!$H:$H,"Y",'Weekly Log'!$A:$A,"&gt;="&amp;$J571,'Weekly Log'!$A:$A,"&lt;"&amp;$J571+7)/COUNTIFS('Weekly Log'!$H:$H,"&lt;&gt;",'Weekly Log'!$A:$A,"&gt;="&amp;$J571,'Weekly Log'!$A:$A,"&lt;"&amp;$J571+7),0))</f>
        <v/>
      </c>
      <c r="E571">
        <f>IF($J571="","",IFERROR(AVERAGEIFS('Weekly Log'!$F:$F,'Weekly Log'!$A:$A,"&gt;="&amp;$J571,'Weekly Log'!$A:$A,"&lt;"&amp;$J571+7),0))</f>
        <v/>
      </c>
      <c r="F571">
        <f>IF($J571="","",IFERROR(SUMIFS('Weekly Log'!$F:$F,'Weekly Log'!$A:$A,"&gt;="&amp;$J571,'Weekly Log'!$A:$A,"&lt;"&amp;$J571+7)/SUMIFS('Weekly Log'!$E:$E,'Weekly Log'!$A:$A,"&gt;="&amp;$J571,'Weekly Log'!$A:$A,"&lt;"&amp;$J571+7),0))</f>
        <v/>
      </c>
      <c r="G571">
        <f>IF($J571="","",IFERROR(LOOKUP(2,1/(('Weekly Log'!$A$5:$A$5000&gt;=$J571)*('Weekly Log'!$A$5:$A$5000&lt;$J571+7)*('Weekly Log'!$M$5:$M$5000&lt;&gt;"")),'Weekly Log'!$M$5:$M$5000),0))</f>
        <v/>
      </c>
      <c r="J571">
        <f>IF(COUNT('Weekly Log'!$A$5:$A$5000)=0,"",IF(MIN('Weekly Log'!$A$5:$A$5000)+7*(ROW()-10)&gt;MAX('Weekly Log'!$A$5:$A$5000),"",MIN('Weekly Log'!$A$5:$A$5000)+7*(ROW()-10)))</f>
        <v/>
      </c>
    </row>
    <row r="572">
      <c r="A572">
        <f>IF($J572="","",YEAR($J572-WEEKDAY($J572,2)+4)&amp;"-W"&amp;TEXT(WEEKNUM($J572,21),"00"))</f>
        <v/>
      </c>
      <c r="B572">
        <f>IF($J572="","",SUMIFS('Weekly Log'!$C:$C,'Weekly Log'!$A:$A,"&gt;="&amp;$J572,'Weekly Log'!$A:$A,"&lt;"&amp;$J572+7))</f>
        <v/>
      </c>
      <c r="C572">
        <f>IF($J572="","",IFERROR(COUNTIFS('Weekly Log'!$G:$G,"Y",'Weekly Log'!$A:$A,"&gt;="&amp;$J572,'Weekly Log'!$A:$A,"&lt;"&amp;$J572+7)/COUNTIFS('Weekly Log'!$G:$G,"&lt;&gt;",'Weekly Log'!$A:$A,"&gt;="&amp;$J572,'Weekly Log'!$A:$A,"&lt;"&amp;$J572+7),0))</f>
        <v/>
      </c>
      <c r="D572">
        <f>IF($J572="","",IFERROR(COUNTIFS('Weekly Log'!$H:$H,"Y",'Weekly Log'!$A:$A,"&gt;="&amp;$J572,'Weekly Log'!$A:$A,"&lt;"&amp;$J572+7)/COUNTIFS('Weekly Log'!$H:$H,"&lt;&gt;",'Weekly Log'!$A:$A,"&gt;="&amp;$J572,'Weekly Log'!$A:$A,"&lt;"&amp;$J572+7),0))</f>
        <v/>
      </c>
      <c r="E572">
        <f>IF($J572="","",IFERROR(AVERAGEIFS('Weekly Log'!$F:$F,'Weekly Log'!$A:$A,"&gt;="&amp;$J572,'Weekly Log'!$A:$A,"&lt;"&amp;$J572+7),0))</f>
        <v/>
      </c>
      <c r="F572">
        <f>IF($J572="","",IFERROR(SUMIFS('Weekly Log'!$F:$F,'Weekly Log'!$A:$A,"&gt;="&amp;$J572,'Weekly Log'!$A:$A,"&lt;"&amp;$J572+7)/SUMIFS('Weekly Log'!$E:$E,'Weekly Log'!$A:$A,"&gt;="&amp;$J572,'Weekly Log'!$A:$A,"&lt;"&amp;$J572+7),0))</f>
        <v/>
      </c>
      <c r="G572">
        <f>IF($J572="","",IFERROR(LOOKUP(2,1/(('Weekly Log'!$A$5:$A$5000&gt;=$J572)*('Weekly Log'!$A$5:$A$5000&lt;$J572+7)*('Weekly Log'!$M$5:$M$5000&lt;&gt;"")),'Weekly Log'!$M$5:$M$5000),0))</f>
        <v/>
      </c>
      <c r="J572">
        <f>IF(COUNT('Weekly Log'!$A$5:$A$5000)=0,"",IF(MIN('Weekly Log'!$A$5:$A$5000)+7*(ROW()-10)&gt;MAX('Weekly Log'!$A$5:$A$5000),"",MIN('Weekly Log'!$A$5:$A$5000)+7*(ROW()-10)))</f>
        <v/>
      </c>
    </row>
    <row r="573">
      <c r="A573">
        <f>IF($J573="","",YEAR($J573-WEEKDAY($J573,2)+4)&amp;"-W"&amp;TEXT(WEEKNUM($J573,21),"00"))</f>
        <v/>
      </c>
      <c r="B573">
        <f>IF($J573="","",SUMIFS('Weekly Log'!$C:$C,'Weekly Log'!$A:$A,"&gt;="&amp;$J573,'Weekly Log'!$A:$A,"&lt;"&amp;$J573+7))</f>
        <v/>
      </c>
      <c r="C573">
        <f>IF($J573="","",IFERROR(COUNTIFS('Weekly Log'!$G:$G,"Y",'Weekly Log'!$A:$A,"&gt;="&amp;$J573,'Weekly Log'!$A:$A,"&lt;"&amp;$J573+7)/COUNTIFS('Weekly Log'!$G:$G,"&lt;&gt;",'Weekly Log'!$A:$A,"&gt;="&amp;$J573,'Weekly Log'!$A:$A,"&lt;"&amp;$J573+7),0))</f>
        <v/>
      </c>
      <c r="D573">
        <f>IF($J573="","",IFERROR(COUNTIFS('Weekly Log'!$H:$H,"Y",'Weekly Log'!$A:$A,"&gt;="&amp;$J573,'Weekly Log'!$A:$A,"&lt;"&amp;$J573+7)/COUNTIFS('Weekly Log'!$H:$H,"&lt;&gt;",'Weekly Log'!$A:$A,"&gt;="&amp;$J573,'Weekly Log'!$A:$A,"&lt;"&amp;$J573+7),0))</f>
        <v/>
      </c>
      <c r="E573">
        <f>IF($J573="","",IFERROR(AVERAGEIFS('Weekly Log'!$F:$F,'Weekly Log'!$A:$A,"&gt;="&amp;$J573,'Weekly Log'!$A:$A,"&lt;"&amp;$J573+7),0))</f>
        <v/>
      </c>
      <c r="F573">
        <f>IF($J573="","",IFERROR(SUMIFS('Weekly Log'!$F:$F,'Weekly Log'!$A:$A,"&gt;="&amp;$J573,'Weekly Log'!$A:$A,"&lt;"&amp;$J573+7)/SUMIFS('Weekly Log'!$E:$E,'Weekly Log'!$A:$A,"&gt;="&amp;$J573,'Weekly Log'!$A:$A,"&lt;"&amp;$J573+7),0))</f>
        <v/>
      </c>
      <c r="G573">
        <f>IF($J573="","",IFERROR(LOOKUP(2,1/(('Weekly Log'!$A$5:$A$5000&gt;=$J573)*('Weekly Log'!$A$5:$A$5000&lt;$J573+7)*('Weekly Log'!$M$5:$M$5000&lt;&gt;"")),'Weekly Log'!$M$5:$M$5000),0))</f>
        <v/>
      </c>
      <c r="J573">
        <f>IF(COUNT('Weekly Log'!$A$5:$A$5000)=0,"",IF(MIN('Weekly Log'!$A$5:$A$5000)+7*(ROW()-10)&gt;MAX('Weekly Log'!$A$5:$A$5000),"",MIN('Weekly Log'!$A$5:$A$5000)+7*(ROW()-10)))</f>
        <v/>
      </c>
    </row>
    <row r="574">
      <c r="A574">
        <f>IF($J574="","",YEAR($J574-WEEKDAY($J574,2)+4)&amp;"-W"&amp;TEXT(WEEKNUM($J574,21),"00"))</f>
        <v/>
      </c>
      <c r="B574">
        <f>IF($J574="","",SUMIFS('Weekly Log'!$C:$C,'Weekly Log'!$A:$A,"&gt;="&amp;$J574,'Weekly Log'!$A:$A,"&lt;"&amp;$J574+7))</f>
        <v/>
      </c>
      <c r="C574">
        <f>IF($J574="","",IFERROR(COUNTIFS('Weekly Log'!$G:$G,"Y",'Weekly Log'!$A:$A,"&gt;="&amp;$J574,'Weekly Log'!$A:$A,"&lt;"&amp;$J574+7)/COUNTIFS('Weekly Log'!$G:$G,"&lt;&gt;",'Weekly Log'!$A:$A,"&gt;="&amp;$J574,'Weekly Log'!$A:$A,"&lt;"&amp;$J574+7),0))</f>
        <v/>
      </c>
      <c r="D574">
        <f>IF($J574="","",IFERROR(COUNTIFS('Weekly Log'!$H:$H,"Y",'Weekly Log'!$A:$A,"&gt;="&amp;$J574,'Weekly Log'!$A:$A,"&lt;"&amp;$J574+7)/COUNTIFS('Weekly Log'!$H:$H,"&lt;&gt;",'Weekly Log'!$A:$A,"&gt;="&amp;$J574,'Weekly Log'!$A:$A,"&lt;"&amp;$J574+7),0))</f>
        <v/>
      </c>
      <c r="E574">
        <f>IF($J574="","",IFERROR(AVERAGEIFS('Weekly Log'!$F:$F,'Weekly Log'!$A:$A,"&gt;="&amp;$J574,'Weekly Log'!$A:$A,"&lt;"&amp;$J574+7),0))</f>
        <v/>
      </c>
      <c r="F574">
        <f>IF($J574="","",IFERROR(SUMIFS('Weekly Log'!$F:$F,'Weekly Log'!$A:$A,"&gt;="&amp;$J574,'Weekly Log'!$A:$A,"&lt;"&amp;$J574+7)/SUMIFS('Weekly Log'!$E:$E,'Weekly Log'!$A:$A,"&gt;="&amp;$J574,'Weekly Log'!$A:$A,"&lt;"&amp;$J574+7),0))</f>
        <v/>
      </c>
      <c r="G574">
        <f>IF($J574="","",IFERROR(LOOKUP(2,1/(('Weekly Log'!$A$5:$A$5000&gt;=$J574)*('Weekly Log'!$A$5:$A$5000&lt;$J574+7)*('Weekly Log'!$M$5:$M$5000&lt;&gt;"")),'Weekly Log'!$M$5:$M$5000),0))</f>
        <v/>
      </c>
      <c r="J574">
        <f>IF(COUNT('Weekly Log'!$A$5:$A$5000)=0,"",IF(MIN('Weekly Log'!$A$5:$A$5000)+7*(ROW()-10)&gt;MAX('Weekly Log'!$A$5:$A$5000),"",MIN('Weekly Log'!$A$5:$A$5000)+7*(ROW()-10)))</f>
        <v/>
      </c>
    </row>
    <row r="575">
      <c r="A575">
        <f>IF($J575="","",YEAR($J575-WEEKDAY($J575,2)+4)&amp;"-W"&amp;TEXT(WEEKNUM($J575,21),"00"))</f>
        <v/>
      </c>
      <c r="B575">
        <f>IF($J575="","",SUMIFS('Weekly Log'!$C:$C,'Weekly Log'!$A:$A,"&gt;="&amp;$J575,'Weekly Log'!$A:$A,"&lt;"&amp;$J575+7))</f>
        <v/>
      </c>
      <c r="C575">
        <f>IF($J575="","",IFERROR(COUNTIFS('Weekly Log'!$G:$G,"Y",'Weekly Log'!$A:$A,"&gt;="&amp;$J575,'Weekly Log'!$A:$A,"&lt;"&amp;$J575+7)/COUNTIFS('Weekly Log'!$G:$G,"&lt;&gt;",'Weekly Log'!$A:$A,"&gt;="&amp;$J575,'Weekly Log'!$A:$A,"&lt;"&amp;$J575+7),0))</f>
        <v/>
      </c>
      <c r="D575">
        <f>IF($J575="","",IFERROR(COUNTIFS('Weekly Log'!$H:$H,"Y",'Weekly Log'!$A:$A,"&gt;="&amp;$J575,'Weekly Log'!$A:$A,"&lt;"&amp;$J575+7)/COUNTIFS('Weekly Log'!$H:$H,"&lt;&gt;",'Weekly Log'!$A:$A,"&gt;="&amp;$J575,'Weekly Log'!$A:$A,"&lt;"&amp;$J575+7),0))</f>
        <v/>
      </c>
      <c r="E575">
        <f>IF($J575="","",IFERROR(AVERAGEIFS('Weekly Log'!$F:$F,'Weekly Log'!$A:$A,"&gt;="&amp;$J575,'Weekly Log'!$A:$A,"&lt;"&amp;$J575+7),0))</f>
        <v/>
      </c>
      <c r="F575">
        <f>IF($J575="","",IFERROR(SUMIFS('Weekly Log'!$F:$F,'Weekly Log'!$A:$A,"&gt;="&amp;$J575,'Weekly Log'!$A:$A,"&lt;"&amp;$J575+7)/SUMIFS('Weekly Log'!$E:$E,'Weekly Log'!$A:$A,"&gt;="&amp;$J575,'Weekly Log'!$A:$A,"&lt;"&amp;$J575+7),0))</f>
        <v/>
      </c>
      <c r="G575">
        <f>IF($J575="","",IFERROR(LOOKUP(2,1/(('Weekly Log'!$A$5:$A$5000&gt;=$J575)*('Weekly Log'!$A$5:$A$5000&lt;$J575+7)*('Weekly Log'!$M$5:$M$5000&lt;&gt;"")),'Weekly Log'!$M$5:$M$5000),0))</f>
        <v/>
      </c>
      <c r="J575">
        <f>IF(COUNT('Weekly Log'!$A$5:$A$5000)=0,"",IF(MIN('Weekly Log'!$A$5:$A$5000)+7*(ROW()-10)&gt;MAX('Weekly Log'!$A$5:$A$5000),"",MIN('Weekly Log'!$A$5:$A$5000)+7*(ROW()-10)))</f>
        <v/>
      </c>
    </row>
    <row r="576">
      <c r="A576">
        <f>IF($J576="","",YEAR($J576-WEEKDAY($J576,2)+4)&amp;"-W"&amp;TEXT(WEEKNUM($J576,21),"00"))</f>
        <v/>
      </c>
      <c r="B576">
        <f>IF($J576="","",SUMIFS('Weekly Log'!$C:$C,'Weekly Log'!$A:$A,"&gt;="&amp;$J576,'Weekly Log'!$A:$A,"&lt;"&amp;$J576+7))</f>
        <v/>
      </c>
      <c r="C576">
        <f>IF($J576="","",IFERROR(COUNTIFS('Weekly Log'!$G:$G,"Y",'Weekly Log'!$A:$A,"&gt;="&amp;$J576,'Weekly Log'!$A:$A,"&lt;"&amp;$J576+7)/COUNTIFS('Weekly Log'!$G:$G,"&lt;&gt;",'Weekly Log'!$A:$A,"&gt;="&amp;$J576,'Weekly Log'!$A:$A,"&lt;"&amp;$J576+7),0))</f>
        <v/>
      </c>
      <c r="D576">
        <f>IF($J576="","",IFERROR(COUNTIFS('Weekly Log'!$H:$H,"Y",'Weekly Log'!$A:$A,"&gt;="&amp;$J576,'Weekly Log'!$A:$A,"&lt;"&amp;$J576+7)/COUNTIFS('Weekly Log'!$H:$H,"&lt;&gt;",'Weekly Log'!$A:$A,"&gt;="&amp;$J576,'Weekly Log'!$A:$A,"&lt;"&amp;$J576+7),0))</f>
        <v/>
      </c>
      <c r="E576">
        <f>IF($J576="","",IFERROR(AVERAGEIFS('Weekly Log'!$F:$F,'Weekly Log'!$A:$A,"&gt;="&amp;$J576,'Weekly Log'!$A:$A,"&lt;"&amp;$J576+7),0))</f>
        <v/>
      </c>
      <c r="F576">
        <f>IF($J576="","",IFERROR(SUMIFS('Weekly Log'!$F:$F,'Weekly Log'!$A:$A,"&gt;="&amp;$J576,'Weekly Log'!$A:$A,"&lt;"&amp;$J576+7)/SUMIFS('Weekly Log'!$E:$E,'Weekly Log'!$A:$A,"&gt;="&amp;$J576,'Weekly Log'!$A:$A,"&lt;"&amp;$J576+7),0))</f>
        <v/>
      </c>
      <c r="G576">
        <f>IF($J576="","",IFERROR(LOOKUP(2,1/(('Weekly Log'!$A$5:$A$5000&gt;=$J576)*('Weekly Log'!$A$5:$A$5000&lt;$J576+7)*('Weekly Log'!$M$5:$M$5000&lt;&gt;"")),'Weekly Log'!$M$5:$M$5000),0))</f>
        <v/>
      </c>
      <c r="J576">
        <f>IF(COUNT('Weekly Log'!$A$5:$A$5000)=0,"",IF(MIN('Weekly Log'!$A$5:$A$5000)+7*(ROW()-10)&gt;MAX('Weekly Log'!$A$5:$A$5000),"",MIN('Weekly Log'!$A$5:$A$5000)+7*(ROW()-10)))</f>
        <v/>
      </c>
    </row>
    <row r="577">
      <c r="A577">
        <f>IF($J577="","",YEAR($J577-WEEKDAY($J577,2)+4)&amp;"-W"&amp;TEXT(WEEKNUM($J577,21),"00"))</f>
        <v/>
      </c>
      <c r="B577">
        <f>IF($J577="","",SUMIFS('Weekly Log'!$C:$C,'Weekly Log'!$A:$A,"&gt;="&amp;$J577,'Weekly Log'!$A:$A,"&lt;"&amp;$J577+7))</f>
        <v/>
      </c>
      <c r="C577">
        <f>IF($J577="","",IFERROR(COUNTIFS('Weekly Log'!$G:$G,"Y",'Weekly Log'!$A:$A,"&gt;="&amp;$J577,'Weekly Log'!$A:$A,"&lt;"&amp;$J577+7)/COUNTIFS('Weekly Log'!$G:$G,"&lt;&gt;",'Weekly Log'!$A:$A,"&gt;="&amp;$J577,'Weekly Log'!$A:$A,"&lt;"&amp;$J577+7),0))</f>
        <v/>
      </c>
      <c r="D577">
        <f>IF($J577="","",IFERROR(COUNTIFS('Weekly Log'!$H:$H,"Y",'Weekly Log'!$A:$A,"&gt;="&amp;$J577,'Weekly Log'!$A:$A,"&lt;"&amp;$J577+7)/COUNTIFS('Weekly Log'!$H:$H,"&lt;&gt;",'Weekly Log'!$A:$A,"&gt;="&amp;$J577,'Weekly Log'!$A:$A,"&lt;"&amp;$J577+7),0))</f>
        <v/>
      </c>
      <c r="E577">
        <f>IF($J577="","",IFERROR(AVERAGEIFS('Weekly Log'!$F:$F,'Weekly Log'!$A:$A,"&gt;="&amp;$J577,'Weekly Log'!$A:$A,"&lt;"&amp;$J577+7),0))</f>
        <v/>
      </c>
      <c r="F577">
        <f>IF($J577="","",IFERROR(SUMIFS('Weekly Log'!$F:$F,'Weekly Log'!$A:$A,"&gt;="&amp;$J577,'Weekly Log'!$A:$A,"&lt;"&amp;$J577+7)/SUMIFS('Weekly Log'!$E:$E,'Weekly Log'!$A:$A,"&gt;="&amp;$J577,'Weekly Log'!$A:$A,"&lt;"&amp;$J577+7),0))</f>
        <v/>
      </c>
      <c r="G577">
        <f>IF($J577="","",IFERROR(LOOKUP(2,1/(('Weekly Log'!$A$5:$A$5000&gt;=$J577)*('Weekly Log'!$A$5:$A$5000&lt;$J577+7)*('Weekly Log'!$M$5:$M$5000&lt;&gt;"")),'Weekly Log'!$M$5:$M$5000),0))</f>
        <v/>
      </c>
      <c r="J577">
        <f>IF(COUNT('Weekly Log'!$A$5:$A$5000)=0,"",IF(MIN('Weekly Log'!$A$5:$A$5000)+7*(ROW()-10)&gt;MAX('Weekly Log'!$A$5:$A$5000),"",MIN('Weekly Log'!$A$5:$A$5000)+7*(ROW()-10)))</f>
        <v/>
      </c>
    </row>
    <row r="578">
      <c r="A578">
        <f>IF($J578="","",YEAR($J578-WEEKDAY($J578,2)+4)&amp;"-W"&amp;TEXT(WEEKNUM($J578,21),"00"))</f>
        <v/>
      </c>
      <c r="B578">
        <f>IF($J578="","",SUMIFS('Weekly Log'!$C:$C,'Weekly Log'!$A:$A,"&gt;="&amp;$J578,'Weekly Log'!$A:$A,"&lt;"&amp;$J578+7))</f>
        <v/>
      </c>
      <c r="C578">
        <f>IF($J578="","",IFERROR(COUNTIFS('Weekly Log'!$G:$G,"Y",'Weekly Log'!$A:$A,"&gt;="&amp;$J578,'Weekly Log'!$A:$A,"&lt;"&amp;$J578+7)/COUNTIFS('Weekly Log'!$G:$G,"&lt;&gt;",'Weekly Log'!$A:$A,"&gt;="&amp;$J578,'Weekly Log'!$A:$A,"&lt;"&amp;$J578+7),0))</f>
        <v/>
      </c>
      <c r="D578">
        <f>IF($J578="","",IFERROR(COUNTIFS('Weekly Log'!$H:$H,"Y",'Weekly Log'!$A:$A,"&gt;="&amp;$J578,'Weekly Log'!$A:$A,"&lt;"&amp;$J578+7)/COUNTIFS('Weekly Log'!$H:$H,"&lt;&gt;",'Weekly Log'!$A:$A,"&gt;="&amp;$J578,'Weekly Log'!$A:$A,"&lt;"&amp;$J578+7),0))</f>
        <v/>
      </c>
      <c r="E578">
        <f>IF($J578="","",IFERROR(AVERAGEIFS('Weekly Log'!$F:$F,'Weekly Log'!$A:$A,"&gt;="&amp;$J578,'Weekly Log'!$A:$A,"&lt;"&amp;$J578+7),0))</f>
        <v/>
      </c>
      <c r="F578">
        <f>IF($J578="","",IFERROR(SUMIFS('Weekly Log'!$F:$F,'Weekly Log'!$A:$A,"&gt;="&amp;$J578,'Weekly Log'!$A:$A,"&lt;"&amp;$J578+7)/SUMIFS('Weekly Log'!$E:$E,'Weekly Log'!$A:$A,"&gt;="&amp;$J578,'Weekly Log'!$A:$A,"&lt;"&amp;$J578+7),0))</f>
        <v/>
      </c>
      <c r="G578">
        <f>IF($J578="","",IFERROR(LOOKUP(2,1/(('Weekly Log'!$A$5:$A$5000&gt;=$J578)*('Weekly Log'!$A$5:$A$5000&lt;$J578+7)*('Weekly Log'!$M$5:$M$5000&lt;&gt;"")),'Weekly Log'!$M$5:$M$5000),0))</f>
        <v/>
      </c>
      <c r="J578">
        <f>IF(COUNT('Weekly Log'!$A$5:$A$5000)=0,"",IF(MIN('Weekly Log'!$A$5:$A$5000)+7*(ROW()-10)&gt;MAX('Weekly Log'!$A$5:$A$5000),"",MIN('Weekly Log'!$A$5:$A$5000)+7*(ROW()-10)))</f>
        <v/>
      </c>
    </row>
    <row r="579">
      <c r="A579">
        <f>IF($J579="","",YEAR($J579-WEEKDAY($J579,2)+4)&amp;"-W"&amp;TEXT(WEEKNUM($J579,21),"00"))</f>
        <v/>
      </c>
      <c r="B579">
        <f>IF($J579="","",SUMIFS('Weekly Log'!$C:$C,'Weekly Log'!$A:$A,"&gt;="&amp;$J579,'Weekly Log'!$A:$A,"&lt;"&amp;$J579+7))</f>
        <v/>
      </c>
      <c r="C579">
        <f>IF($J579="","",IFERROR(COUNTIFS('Weekly Log'!$G:$G,"Y",'Weekly Log'!$A:$A,"&gt;="&amp;$J579,'Weekly Log'!$A:$A,"&lt;"&amp;$J579+7)/COUNTIFS('Weekly Log'!$G:$G,"&lt;&gt;",'Weekly Log'!$A:$A,"&gt;="&amp;$J579,'Weekly Log'!$A:$A,"&lt;"&amp;$J579+7),0))</f>
        <v/>
      </c>
      <c r="D579">
        <f>IF($J579="","",IFERROR(COUNTIFS('Weekly Log'!$H:$H,"Y",'Weekly Log'!$A:$A,"&gt;="&amp;$J579,'Weekly Log'!$A:$A,"&lt;"&amp;$J579+7)/COUNTIFS('Weekly Log'!$H:$H,"&lt;&gt;",'Weekly Log'!$A:$A,"&gt;="&amp;$J579,'Weekly Log'!$A:$A,"&lt;"&amp;$J579+7),0))</f>
        <v/>
      </c>
      <c r="E579">
        <f>IF($J579="","",IFERROR(AVERAGEIFS('Weekly Log'!$F:$F,'Weekly Log'!$A:$A,"&gt;="&amp;$J579,'Weekly Log'!$A:$A,"&lt;"&amp;$J579+7),0))</f>
        <v/>
      </c>
      <c r="F579">
        <f>IF($J579="","",IFERROR(SUMIFS('Weekly Log'!$F:$F,'Weekly Log'!$A:$A,"&gt;="&amp;$J579,'Weekly Log'!$A:$A,"&lt;"&amp;$J579+7)/SUMIFS('Weekly Log'!$E:$E,'Weekly Log'!$A:$A,"&gt;="&amp;$J579,'Weekly Log'!$A:$A,"&lt;"&amp;$J579+7),0))</f>
        <v/>
      </c>
      <c r="G579">
        <f>IF($J579="","",IFERROR(LOOKUP(2,1/(('Weekly Log'!$A$5:$A$5000&gt;=$J579)*('Weekly Log'!$A$5:$A$5000&lt;$J579+7)*('Weekly Log'!$M$5:$M$5000&lt;&gt;"")),'Weekly Log'!$M$5:$M$5000),0))</f>
        <v/>
      </c>
      <c r="J579">
        <f>IF(COUNT('Weekly Log'!$A$5:$A$5000)=0,"",IF(MIN('Weekly Log'!$A$5:$A$5000)+7*(ROW()-10)&gt;MAX('Weekly Log'!$A$5:$A$5000),"",MIN('Weekly Log'!$A$5:$A$5000)+7*(ROW()-10)))</f>
        <v/>
      </c>
    </row>
    <row r="580">
      <c r="A580">
        <f>IF($J580="","",YEAR($J580-WEEKDAY($J580,2)+4)&amp;"-W"&amp;TEXT(WEEKNUM($J580,21),"00"))</f>
        <v/>
      </c>
      <c r="B580">
        <f>IF($J580="","",SUMIFS('Weekly Log'!$C:$C,'Weekly Log'!$A:$A,"&gt;="&amp;$J580,'Weekly Log'!$A:$A,"&lt;"&amp;$J580+7))</f>
        <v/>
      </c>
      <c r="C580">
        <f>IF($J580="","",IFERROR(COUNTIFS('Weekly Log'!$G:$G,"Y",'Weekly Log'!$A:$A,"&gt;="&amp;$J580,'Weekly Log'!$A:$A,"&lt;"&amp;$J580+7)/COUNTIFS('Weekly Log'!$G:$G,"&lt;&gt;",'Weekly Log'!$A:$A,"&gt;="&amp;$J580,'Weekly Log'!$A:$A,"&lt;"&amp;$J580+7),0))</f>
        <v/>
      </c>
      <c r="D580">
        <f>IF($J580="","",IFERROR(COUNTIFS('Weekly Log'!$H:$H,"Y",'Weekly Log'!$A:$A,"&gt;="&amp;$J580,'Weekly Log'!$A:$A,"&lt;"&amp;$J580+7)/COUNTIFS('Weekly Log'!$H:$H,"&lt;&gt;",'Weekly Log'!$A:$A,"&gt;="&amp;$J580,'Weekly Log'!$A:$A,"&lt;"&amp;$J580+7),0))</f>
        <v/>
      </c>
      <c r="E580">
        <f>IF($J580="","",IFERROR(AVERAGEIFS('Weekly Log'!$F:$F,'Weekly Log'!$A:$A,"&gt;="&amp;$J580,'Weekly Log'!$A:$A,"&lt;"&amp;$J580+7),0))</f>
        <v/>
      </c>
      <c r="F580">
        <f>IF($J580="","",IFERROR(SUMIFS('Weekly Log'!$F:$F,'Weekly Log'!$A:$A,"&gt;="&amp;$J580,'Weekly Log'!$A:$A,"&lt;"&amp;$J580+7)/SUMIFS('Weekly Log'!$E:$E,'Weekly Log'!$A:$A,"&gt;="&amp;$J580,'Weekly Log'!$A:$A,"&lt;"&amp;$J580+7),0))</f>
        <v/>
      </c>
      <c r="G580">
        <f>IF($J580="","",IFERROR(LOOKUP(2,1/(('Weekly Log'!$A$5:$A$5000&gt;=$J580)*('Weekly Log'!$A$5:$A$5000&lt;$J580+7)*('Weekly Log'!$M$5:$M$5000&lt;&gt;"")),'Weekly Log'!$M$5:$M$5000),0))</f>
        <v/>
      </c>
      <c r="J580">
        <f>IF(COUNT('Weekly Log'!$A$5:$A$5000)=0,"",IF(MIN('Weekly Log'!$A$5:$A$5000)+7*(ROW()-10)&gt;MAX('Weekly Log'!$A$5:$A$5000),"",MIN('Weekly Log'!$A$5:$A$5000)+7*(ROW()-10)))</f>
        <v/>
      </c>
    </row>
    <row r="581">
      <c r="A581">
        <f>IF($J581="","",YEAR($J581-WEEKDAY($J581,2)+4)&amp;"-W"&amp;TEXT(WEEKNUM($J581,21),"00"))</f>
        <v/>
      </c>
      <c r="B581">
        <f>IF($J581="","",SUMIFS('Weekly Log'!$C:$C,'Weekly Log'!$A:$A,"&gt;="&amp;$J581,'Weekly Log'!$A:$A,"&lt;"&amp;$J581+7))</f>
        <v/>
      </c>
      <c r="C581">
        <f>IF($J581="","",IFERROR(COUNTIFS('Weekly Log'!$G:$G,"Y",'Weekly Log'!$A:$A,"&gt;="&amp;$J581,'Weekly Log'!$A:$A,"&lt;"&amp;$J581+7)/COUNTIFS('Weekly Log'!$G:$G,"&lt;&gt;",'Weekly Log'!$A:$A,"&gt;="&amp;$J581,'Weekly Log'!$A:$A,"&lt;"&amp;$J581+7),0))</f>
        <v/>
      </c>
      <c r="D581">
        <f>IF($J581="","",IFERROR(COUNTIFS('Weekly Log'!$H:$H,"Y",'Weekly Log'!$A:$A,"&gt;="&amp;$J581,'Weekly Log'!$A:$A,"&lt;"&amp;$J581+7)/COUNTIFS('Weekly Log'!$H:$H,"&lt;&gt;",'Weekly Log'!$A:$A,"&gt;="&amp;$J581,'Weekly Log'!$A:$A,"&lt;"&amp;$J581+7),0))</f>
        <v/>
      </c>
      <c r="E581">
        <f>IF($J581="","",IFERROR(AVERAGEIFS('Weekly Log'!$F:$F,'Weekly Log'!$A:$A,"&gt;="&amp;$J581,'Weekly Log'!$A:$A,"&lt;"&amp;$J581+7),0))</f>
        <v/>
      </c>
      <c r="F581">
        <f>IF($J581="","",IFERROR(SUMIFS('Weekly Log'!$F:$F,'Weekly Log'!$A:$A,"&gt;="&amp;$J581,'Weekly Log'!$A:$A,"&lt;"&amp;$J581+7)/SUMIFS('Weekly Log'!$E:$E,'Weekly Log'!$A:$A,"&gt;="&amp;$J581,'Weekly Log'!$A:$A,"&lt;"&amp;$J581+7),0))</f>
        <v/>
      </c>
      <c r="G581">
        <f>IF($J581="","",IFERROR(LOOKUP(2,1/(('Weekly Log'!$A$5:$A$5000&gt;=$J581)*('Weekly Log'!$A$5:$A$5000&lt;$J581+7)*('Weekly Log'!$M$5:$M$5000&lt;&gt;"")),'Weekly Log'!$M$5:$M$5000),0))</f>
        <v/>
      </c>
      <c r="J581">
        <f>IF(COUNT('Weekly Log'!$A$5:$A$5000)=0,"",IF(MIN('Weekly Log'!$A$5:$A$5000)+7*(ROW()-10)&gt;MAX('Weekly Log'!$A$5:$A$5000),"",MIN('Weekly Log'!$A$5:$A$5000)+7*(ROW()-10)))</f>
        <v/>
      </c>
    </row>
    <row r="582">
      <c r="A582">
        <f>IF($J582="","",YEAR($J582-WEEKDAY($J582,2)+4)&amp;"-W"&amp;TEXT(WEEKNUM($J582,21),"00"))</f>
        <v/>
      </c>
      <c r="B582">
        <f>IF($J582="","",SUMIFS('Weekly Log'!$C:$C,'Weekly Log'!$A:$A,"&gt;="&amp;$J582,'Weekly Log'!$A:$A,"&lt;"&amp;$J582+7))</f>
        <v/>
      </c>
      <c r="C582">
        <f>IF($J582="","",IFERROR(COUNTIFS('Weekly Log'!$G:$G,"Y",'Weekly Log'!$A:$A,"&gt;="&amp;$J582,'Weekly Log'!$A:$A,"&lt;"&amp;$J582+7)/COUNTIFS('Weekly Log'!$G:$G,"&lt;&gt;",'Weekly Log'!$A:$A,"&gt;="&amp;$J582,'Weekly Log'!$A:$A,"&lt;"&amp;$J582+7),0))</f>
        <v/>
      </c>
      <c r="D582">
        <f>IF($J582="","",IFERROR(COUNTIFS('Weekly Log'!$H:$H,"Y",'Weekly Log'!$A:$A,"&gt;="&amp;$J582,'Weekly Log'!$A:$A,"&lt;"&amp;$J582+7)/COUNTIFS('Weekly Log'!$H:$H,"&lt;&gt;",'Weekly Log'!$A:$A,"&gt;="&amp;$J582,'Weekly Log'!$A:$A,"&lt;"&amp;$J582+7),0))</f>
        <v/>
      </c>
      <c r="E582">
        <f>IF($J582="","",IFERROR(AVERAGEIFS('Weekly Log'!$F:$F,'Weekly Log'!$A:$A,"&gt;="&amp;$J582,'Weekly Log'!$A:$A,"&lt;"&amp;$J582+7),0))</f>
        <v/>
      </c>
      <c r="F582">
        <f>IF($J582="","",IFERROR(SUMIFS('Weekly Log'!$F:$F,'Weekly Log'!$A:$A,"&gt;="&amp;$J582,'Weekly Log'!$A:$A,"&lt;"&amp;$J582+7)/SUMIFS('Weekly Log'!$E:$E,'Weekly Log'!$A:$A,"&gt;="&amp;$J582,'Weekly Log'!$A:$A,"&lt;"&amp;$J582+7),0))</f>
        <v/>
      </c>
      <c r="G582">
        <f>IF($J582="","",IFERROR(LOOKUP(2,1/(('Weekly Log'!$A$5:$A$5000&gt;=$J582)*('Weekly Log'!$A$5:$A$5000&lt;$J582+7)*('Weekly Log'!$M$5:$M$5000&lt;&gt;"")),'Weekly Log'!$M$5:$M$5000),0))</f>
        <v/>
      </c>
      <c r="J582">
        <f>IF(COUNT('Weekly Log'!$A$5:$A$5000)=0,"",IF(MIN('Weekly Log'!$A$5:$A$5000)+7*(ROW()-10)&gt;MAX('Weekly Log'!$A$5:$A$5000),"",MIN('Weekly Log'!$A$5:$A$5000)+7*(ROW()-10)))</f>
        <v/>
      </c>
    </row>
    <row r="583">
      <c r="A583">
        <f>IF($J583="","",YEAR($J583-WEEKDAY($J583,2)+4)&amp;"-W"&amp;TEXT(WEEKNUM($J583,21),"00"))</f>
        <v/>
      </c>
      <c r="B583">
        <f>IF($J583="","",SUMIFS('Weekly Log'!$C:$C,'Weekly Log'!$A:$A,"&gt;="&amp;$J583,'Weekly Log'!$A:$A,"&lt;"&amp;$J583+7))</f>
        <v/>
      </c>
      <c r="C583">
        <f>IF($J583="","",IFERROR(COUNTIFS('Weekly Log'!$G:$G,"Y",'Weekly Log'!$A:$A,"&gt;="&amp;$J583,'Weekly Log'!$A:$A,"&lt;"&amp;$J583+7)/COUNTIFS('Weekly Log'!$G:$G,"&lt;&gt;",'Weekly Log'!$A:$A,"&gt;="&amp;$J583,'Weekly Log'!$A:$A,"&lt;"&amp;$J583+7),0))</f>
        <v/>
      </c>
      <c r="D583">
        <f>IF($J583="","",IFERROR(COUNTIFS('Weekly Log'!$H:$H,"Y",'Weekly Log'!$A:$A,"&gt;="&amp;$J583,'Weekly Log'!$A:$A,"&lt;"&amp;$J583+7)/COUNTIFS('Weekly Log'!$H:$H,"&lt;&gt;",'Weekly Log'!$A:$A,"&gt;="&amp;$J583,'Weekly Log'!$A:$A,"&lt;"&amp;$J583+7),0))</f>
        <v/>
      </c>
      <c r="E583">
        <f>IF($J583="","",IFERROR(AVERAGEIFS('Weekly Log'!$F:$F,'Weekly Log'!$A:$A,"&gt;="&amp;$J583,'Weekly Log'!$A:$A,"&lt;"&amp;$J583+7),0))</f>
        <v/>
      </c>
      <c r="F583">
        <f>IF($J583="","",IFERROR(SUMIFS('Weekly Log'!$F:$F,'Weekly Log'!$A:$A,"&gt;="&amp;$J583,'Weekly Log'!$A:$A,"&lt;"&amp;$J583+7)/SUMIFS('Weekly Log'!$E:$E,'Weekly Log'!$A:$A,"&gt;="&amp;$J583,'Weekly Log'!$A:$A,"&lt;"&amp;$J583+7),0))</f>
        <v/>
      </c>
      <c r="G583">
        <f>IF($J583="","",IFERROR(LOOKUP(2,1/(('Weekly Log'!$A$5:$A$5000&gt;=$J583)*('Weekly Log'!$A$5:$A$5000&lt;$J583+7)*('Weekly Log'!$M$5:$M$5000&lt;&gt;"")),'Weekly Log'!$M$5:$M$5000),0))</f>
        <v/>
      </c>
      <c r="J583">
        <f>IF(COUNT('Weekly Log'!$A$5:$A$5000)=0,"",IF(MIN('Weekly Log'!$A$5:$A$5000)+7*(ROW()-10)&gt;MAX('Weekly Log'!$A$5:$A$5000),"",MIN('Weekly Log'!$A$5:$A$5000)+7*(ROW()-10)))</f>
        <v/>
      </c>
    </row>
    <row r="584">
      <c r="A584">
        <f>IF($J584="","",YEAR($J584-WEEKDAY($J584,2)+4)&amp;"-W"&amp;TEXT(WEEKNUM($J584,21),"00"))</f>
        <v/>
      </c>
      <c r="B584">
        <f>IF($J584="","",SUMIFS('Weekly Log'!$C:$C,'Weekly Log'!$A:$A,"&gt;="&amp;$J584,'Weekly Log'!$A:$A,"&lt;"&amp;$J584+7))</f>
        <v/>
      </c>
      <c r="C584">
        <f>IF($J584="","",IFERROR(COUNTIFS('Weekly Log'!$G:$G,"Y",'Weekly Log'!$A:$A,"&gt;="&amp;$J584,'Weekly Log'!$A:$A,"&lt;"&amp;$J584+7)/COUNTIFS('Weekly Log'!$G:$G,"&lt;&gt;",'Weekly Log'!$A:$A,"&gt;="&amp;$J584,'Weekly Log'!$A:$A,"&lt;"&amp;$J584+7),0))</f>
        <v/>
      </c>
      <c r="D584">
        <f>IF($J584="","",IFERROR(COUNTIFS('Weekly Log'!$H:$H,"Y",'Weekly Log'!$A:$A,"&gt;="&amp;$J584,'Weekly Log'!$A:$A,"&lt;"&amp;$J584+7)/COUNTIFS('Weekly Log'!$H:$H,"&lt;&gt;",'Weekly Log'!$A:$A,"&gt;="&amp;$J584,'Weekly Log'!$A:$A,"&lt;"&amp;$J584+7),0))</f>
        <v/>
      </c>
      <c r="E584">
        <f>IF($J584="","",IFERROR(AVERAGEIFS('Weekly Log'!$F:$F,'Weekly Log'!$A:$A,"&gt;="&amp;$J584,'Weekly Log'!$A:$A,"&lt;"&amp;$J584+7),0))</f>
        <v/>
      </c>
      <c r="F584">
        <f>IF($J584="","",IFERROR(SUMIFS('Weekly Log'!$F:$F,'Weekly Log'!$A:$A,"&gt;="&amp;$J584,'Weekly Log'!$A:$A,"&lt;"&amp;$J584+7)/SUMIFS('Weekly Log'!$E:$E,'Weekly Log'!$A:$A,"&gt;="&amp;$J584,'Weekly Log'!$A:$A,"&lt;"&amp;$J584+7),0))</f>
        <v/>
      </c>
      <c r="G584">
        <f>IF($J584="","",IFERROR(LOOKUP(2,1/(('Weekly Log'!$A$5:$A$5000&gt;=$J584)*('Weekly Log'!$A$5:$A$5000&lt;$J584+7)*('Weekly Log'!$M$5:$M$5000&lt;&gt;"")),'Weekly Log'!$M$5:$M$5000),0))</f>
        <v/>
      </c>
      <c r="J584">
        <f>IF(COUNT('Weekly Log'!$A$5:$A$5000)=0,"",IF(MIN('Weekly Log'!$A$5:$A$5000)+7*(ROW()-10)&gt;MAX('Weekly Log'!$A$5:$A$5000),"",MIN('Weekly Log'!$A$5:$A$5000)+7*(ROW()-10)))</f>
        <v/>
      </c>
    </row>
    <row r="585">
      <c r="A585">
        <f>IF($J585="","",YEAR($J585-WEEKDAY($J585,2)+4)&amp;"-W"&amp;TEXT(WEEKNUM($J585,21),"00"))</f>
        <v/>
      </c>
      <c r="B585">
        <f>IF($J585="","",SUMIFS('Weekly Log'!$C:$C,'Weekly Log'!$A:$A,"&gt;="&amp;$J585,'Weekly Log'!$A:$A,"&lt;"&amp;$J585+7))</f>
        <v/>
      </c>
      <c r="C585">
        <f>IF($J585="","",IFERROR(COUNTIFS('Weekly Log'!$G:$G,"Y",'Weekly Log'!$A:$A,"&gt;="&amp;$J585,'Weekly Log'!$A:$A,"&lt;"&amp;$J585+7)/COUNTIFS('Weekly Log'!$G:$G,"&lt;&gt;",'Weekly Log'!$A:$A,"&gt;="&amp;$J585,'Weekly Log'!$A:$A,"&lt;"&amp;$J585+7),0))</f>
        <v/>
      </c>
      <c r="D585">
        <f>IF($J585="","",IFERROR(COUNTIFS('Weekly Log'!$H:$H,"Y",'Weekly Log'!$A:$A,"&gt;="&amp;$J585,'Weekly Log'!$A:$A,"&lt;"&amp;$J585+7)/COUNTIFS('Weekly Log'!$H:$H,"&lt;&gt;",'Weekly Log'!$A:$A,"&gt;="&amp;$J585,'Weekly Log'!$A:$A,"&lt;"&amp;$J585+7),0))</f>
        <v/>
      </c>
      <c r="E585">
        <f>IF($J585="","",IFERROR(AVERAGEIFS('Weekly Log'!$F:$F,'Weekly Log'!$A:$A,"&gt;="&amp;$J585,'Weekly Log'!$A:$A,"&lt;"&amp;$J585+7),0))</f>
        <v/>
      </c>
      <c r="F585">
        <f>IF($J585="","",IFERROR(SUMIFS('Weekly Log'!$F:$F,'Weekly Log'!$A:$A,"&gt;="&amp;$J585,'Weekly Log'!$A:$A,"&lt;"&amp;$J585+7)/SUMIFS('Weekly Log'!$E:$E,'Weekly Log'!$A:$A,"&gt;="&amp;$J585,'Weekly Log'!$A:$A,"&lt;"&amp;$J585+7),0))</f>
        <v/>
      </c>
      <c r="G585">
        <f>IF($J585="","",IFERROR(LOOKUP(2,1/(('Weekly Log'!$A$5:$A$5000&gt;=$J585)*('Weekly Log'!$A$5:$A$5000&lt;$J585+7)*('Weekly Log'!$M$5:$M$5000&lt;&gt;"")),'Weekly Log'!$M$5:$M$5000),0))</f>
        <v/>
      </c>
      <c r="J585">
        <f>IF(COUNT('Weekly Log'!$A$5:$A$5000)=0,"",IF(MIN('Weekly Log'!$A$5:$A$5000)+7*(ROW()-10)&gt;MAX('Weekly Log'!$A$5:$A$5000),"",MIN('Weekly Log'!$A$5:$A$5000)+7*(ROW()-10)))</f>
        <v/>
      </c>
    </row>
    <row r="586">
      <c r="A586">
        <f>IF($J586="","",YEAR($J586-WEEKDAY($J586,2)+4)&amp;"-W"&amp;TEXT(WEEKNUM($J586,21),"00"))</f>
        <v/>
      </c>
      <c r="B586">
        <f>IF($J586="","",SUMIFS('Weekly Log'!$C:$C,'Weekly Log'!$A:$A,"&gt;="&amp;$J586,'Weekly Log'!$A:$A,"&lt;"&amp;$J586+7))</f>
        <v/>
      </c>
      <c r="C586">
        <f>IF($J586="","",IFERROR(COUNTIFS('Weekly Log'!$G:$G,"Y",'Weekly Log'!$A:$A,"&gt;="&amp;$J586,'Weekly Log'!$A:$A,"&lt;"&amp;$J586+7)/COUNTIFS('Weekly Log'!$G:$G,"&lt;&gt;",'Weekly Log'!$A:$A,"&gt;="&amp;$J586,'Weekly Log'!$A:$A,"&lt;"&amp;$J586+7),0))</f>
        <v/>
      </c>
      <c r="D586">
        <f>IF($J586="","",IFERROR(COUNTIFS('Weekly Log'!$H:$H,"Y",'Weekly Log'!$A:$A,"&gt;="&amp;$J586,'Weekly Log'!$A:$A,"&lt;"&amp;$J586+7)/COUNTIFS('Weekly Log'!$H:$H,"&lt;&gt;",'Weekly Log'!$A:$A,"&gt;="&amp;$J586,'Weekly Log'!$A:$A,"&lt;"&amp;$J586+7),0))</f>
        <v/>
      </c>
      <c r="E586">
        <f>IF($J586="","",IFERROR(AVERAGEIFS('Weekly Log'!$F:$F,'Weekly Log'!$A:$A,"&gt;="&amp;$J586,'Weekly Log'!$A:$A,"&lt;"&amp;$J586+7),0))</f>
        <v/>
      </c>
      <c r="F586">
        <f>IF($J586="","",IFERROR(SUMIFS('Weekly Log'!$F:$F,'Weekly Log'!$A:$A,"&gt;="&amp;$J586,'Weekly Log'!$A:$A,"&lt;"&amp;$J586+7)/SUMIFS('Weekly Log'!$E:$E,'Weekly Log'!$A:$A,"&gt;="&amp;$J586,'Weekly Log'!$A:$A,"&lt;"&amp;$J586+7),0))</f>
        <v/>
      </c>
      <c r="G586">
        <f>IF($J586="","",IFERROR(LOOKUP(2,1/(('Weekly Log'!$A$5:$A$5000&gt;=$J586)*('Weekly Log'!$A$5:$A$5000&lt;$J586+7)*('Weekly Log'!$M$5:$M$5000&lt;&gt;"")),'Weekly Log'!$M$5:$M$5000),0))</f>
        <v/>
      </c>
      <c r="J586">
        <f>IF(COUNT('Weekly Log'!$A$5:$A$5000)=0,"",IF(MIN('Weekly Log'!$A$5:$A$5000)+7*(ROW()-10)&gt;MAX('Weekly Log'!$A$5:$A$5000),"",MIN('Weekly Log'!$A$5:$A$5000)+7*(ROW()-10)))</f>
        <v/>
      </c>
    </row>
    <row r="587">
      <c r="A587">
        <f>IF($J587="","",YEAR($J587-WEEKDAY($J587,2)+4)&amp;"-W"&amp;TEXT(WEEKNUM($J587,21),"00"))</f>
        <v/>
      </c>
      <c r="B587">
        <f>IF($J587="","",SUMIFS('Weekly Log'!$C:$C,'Weekly Log'!$A:$A,"&gt;="&amp;$J587,'Weekly Log'!$A:$A,"&lt;"&amp;$J587+7))</f>
        <v/>
      </c>
      <c r="C587">
        <f>IF($J587="","",IFERROR(COUNTIFS('Weekly Log'!$G:$G,"Y",'Weekly Log'!$A:$A,"&gt;="&amp;$J587,'Weekly Log'!$A:$A,"&lt;"&amp;$J587+7)/COUNTIFS('Weekly Log'!$G:$G,"&lt;&gt;",'Weekly Log'!$A:$A,"&gt;="&amp;$J587,'Weekly Log'!$A:$A,"&lt;"&amp;$J587+7),0))</f>
        <v/>
      </c>
      <c r="D587">
        <f>IF($J587="","",IFERROR(COUNTIFS('Weekly Log'!$H:$H,"Y",'Weekly Log'!$A:$A,"&gt;="&amp;$J587,'Weekly Log'!$A:$A,"&lt;"&amp;$J587+7)/COUNTIFS('Weekly Log'!$H:$H,"&lt;&gt;",'Weekly Log'!$A:$A,"&gt;="&amp;$J587,'Weekly Log'!$A:$A,"&lt;"&amp;$J587+7),0))</f>
        <v/>
      </c>
      <c r="E587">
        <f>IF($J587="","",IFERROR(AVERAGEIFS('Weekly Log'!$F:$F,'Weekly Log'!$A:$A,"&gt;="&amp;$J587,'Weekly Log'!$A:$A,"&lt;"&amp;$J587+7),0))</f>
        <v/>
      </c>
      <c r="F587">
        <f>IF($J587="","",IFERROR(SUMIFS('Weekly Log'!$F:$F,'Weekly Log'!$A:$A,"&gt;="&amp;$J587,'Weekly Log'!$A:$A,"&lt;"&amp;$J587+7)/SUMIFS('Weekly Log'!$E:$E,'Weekly Log'!$A:$A,"&gt;="&amp;$J587,'Weekly Log'!$A:$A,"&lt;"&amp;$J587+7),0))</f>
        <v/>
      </c>
      <c r="G587">
        <f>IF($J587="","",IFERROR(LOOKUP(2,1/(('Weekly Log'!$A$5:$A$5000&gt;=$J587)*('Weekly Log'!$A$5:$A$5000&lt;$J587+7)*('Weekly Log'!$M$5:$M$5000&lt;&gt;"")),'Weekly Log'!$M$5:$M$5000),0))</f>
        <v/>
      </c>
      <c r="J587">
        <f>IF(COUNT('Weekly Log'!$A$5:$A$5000)=0,"",IF(MIN('Weekly Log'!$A$5:$A$5000)+7*(ROW()-10)&gt;MAX('Weekly Log'!$A$5:$A$5000),"",MIN('Weekly Log'!$A$5:$A$5000)+7*(ROW()-10)))</f>
        <v/>
      </c>
    </row>
    <row r="588">
      <c r="A588">
        <f>IF($J588="","",YEAR($J588-WEEKDAY($J588,2)+4)&amp;"-W"&amp;TEXT(WEEKNUM($J588,21),"00"))</f>
        <v/>
      </c>
      <c r="B588">
        <f>IF($J588="","",SUMIFS('Weekly Log'!$C:$C,'Weekly Log'!$A:$A,"&gt;="&amp;$J588,'Weekly Log'!$A:$A,"&lt;"&amp;$J588+7))</f>
        <v/>
      </c>
      <c r="C588">
        <f>IF($J588="","",IFERROR(COUNTIFS('Weekly Log'!$G:$G,"Y",'Weekly Log'!$A:$A,"&gt;="&amp;$J588,'Weekly Log'!$A:$A,"&lt;"&amp;$J588+7)/COUNTIFS('Weekly Log'!$G:$G,"&lt;&gt;",'Weekly Log'!$A:$A,"&gt;="&amp;$J588,'Weekly Log'!$A:$A,"&lt;"&amp;$J588+7),0))</f>
        <v/>
      </c>
      <c r="D588">
        <f>IF($J588="","",IFERROR(COUNTIFS('Weekly Log'!$H:$H,"Y",'Weekly Log'!$A:$A,"&gt;="&amp;$J588,'Weekly Log'!$A:$A,"&lt;"&amp;$J588+7)/COUNTIFS('Weekly Log'!$H:$H,"&lt;&gt;",'Weekly Log'!$A:$A,"&gt;="&amp;$J588,'Weekly Log'!$A:$A,"&lt;"&amp;$J588+7),0))</f>
        <v/>
      </c>
      <c r="E588">
        <f>IF($J588="","",IFERROR(AVERAGEIFS('Weekly Log'!$F:$F,'Weekly Log'!$A:$A,"&gt;="&amp;$J588,'Weekly Log'!$A:$A,"&lt;"&amp;$J588+7),0))</f>
        <v/>
      </c>
      <c r="F588">
        <f>IF($J588="","",IFERROR(SUMIFS('Weekly Log'!$F:$F,'Weekly Log'!$A:$A,"&gt;="&amp;$J588,'Weekly Log'!$A:$A,"&lt;"&amp;$J588+7)/SUMIFS('Weekly Log'!$E:$E,'Weekly Log'!$A:$A,"&gt;="&amp;$J588,'Weekly Log'!$A:$A,"&lt;"&amp;$J588+7),0))</f>
        <v/>
      </c>
      <c r="G588">
        <f>IF($J588="","",IFERROR(LOOKUP(2,1/(('Weekly Log'!$A$5:$A$5000&gt;=$J588)*('Weekly Log'!$A$5:$A$5000&lt;$J588+7)*('Weekly Log'!$M$5:$M$5000&lt;&gt;"")),'Weekly Log'!$M$5:$M$5000),0))</f>
        <v/>
      </c>
      <c r="J588">
        <f>IF(COUNT('Weekly Log'!$A$5:$A$5000)=0,"",IF(MIN('Weekly Log'!$A$5:$A$5000)+7*(ROW()-10)&gt;MAX('Weekly Log'!$A$5:$A$5000),"",MIN('Weekly Log'!$A$5:$A$5000)+7*(ROW()-10)))</f>
        <v/>
      </c>
    </row>
    <row r="589">
      <c r="A589">
        <f>IF($J589="","",YEAR($J589-WEEKDAY($J589,2)+4)&amp;"-W"&amp;TEXT(WEEKNUM($J589,21),"00"))</f>
        <v/>
      </c>
      <c r="B589">
        <f>IF($J589="","",SUMIFS('Weekly Log'!$C:$C,'Weekly Log'!$A:$A,"&gt;="&amp;$J589,'Weekly Log'!$A:$A,"&lt;"&amp;$J589+7))</f>
        <v/>
      </c>
      <c r="C589">
        <f>IF($J589="","",IFERROR(COUNTIFS('Weekly Log'!$G:$G,"Y",'Weekly Log'!$A:$A,"&gt;="&amp;$J589,'Weekly Log'!$A:$A,"&lt;"&amp;$J589+7)/COUNTIFS('Weekly Log'!$G:$G,"&lt;&gt;",'Weekly Log'!$A:$A,"&gt;="&amp;$J589,'Weekly Log'!$A:$A,"&lt;"&amp;$J589+7),0))</f>
        <v/>
      </c>
      <c r="D589">
        <f>IF($J589="","",IFERROR(COUNTIFS('Weekly Log'!$H:$H,"Y",'Weekly Log'!$A:$A,"&gt;="&amp;$J589,'Weekly Log'!$A:$A,"&lt;"&amp;$J589+7)/COUNTIFS('Weekly Log'!$H:$H,"&lt;&gt;",'Weekly Log'!$A:$A,"&gt;="&amp;$J589,'Weekly Log'!$A:$A,"&lt;"&amp;$J589+7),0))</f>
        <v/>
      </c>
      <c r="E589">
        <f>IF($J589="","",IFERROR(AVERAGEIFS('Weekly Log'!$F:$F,'Weekly Log'!$A:$A,"&gt;="&amp;$J589,'Weekly Log'!$A:$A,"&lt;"&amp;$J589+7),0))</f>
        <v/>
      </c>
      <c r="F589">
        <f>IF($J589="","",IFERROR(SUMIFS('Weekly Log'!$F:$F,'Weekly Log'!$A:$A,"&gt;="&amp;$J589,'Weekly Log'!$A:$A,"&lt;"&amp;$J589+7)/SUMIFS('Weekly Log'!$E:$E,'Weekly Log'!$A:$A,"&gt;="&amp;$J589,'Weekly Log'!$A:$A,"&lt;"&amp;$J589+7),0))</f>
        <v/>
      </c>
      <c r="G589">
        <f>IF($J589="","",IFERROR(LOOKUP(2,1/(('Weekly Log'!$A$5:$A$5000&gt;=$J589)*('Weekly Log'!$A$5:$A$5000&lt;$J589+7)*('Weekly Log'!$M$5:$M$5000&lt;&gt;"")),'Weekly Log'!$M$5:$M$5000),0))</f>
        <v/>
      </c>
      <c r="J589">
        <f>IF(COUNT('Weekly Log'!$A$5:$A$5000)=0,"",IF(MIN('Weekly Log'!$A$5:$A$5000)+7*(ROW()-10)&gt;MAX('Weekly Log'!$A$5:$A$5000),"",MIN('Weekly Log'!$A$5:$A$5000)+7*(ROW()-10)))</f>
        <v/>
      </c>
    </row>
    <row r="590">
      <c r="A590">
        <f>IF($J590="","",YEAR($J590-WEEKDAY($J590,2)+4)&amp;"-W"&amp;TEXT(WEEKNUM($J590,21),"00"))</f>
        <v/>
      </c>
      <c r="B590">
        <f>IF($J590="","",SUMIFS('Weekly Log'!$C:$C,'Weekly Log'!$A:$A,"&gt;="&amp;$J590,'Weekly Log'!$A:$A,"&lt;"&amp;$J590+7))</f>
        <v/>
      </c>
      <c r="C590">
        <f>IF($J590="","",IFERROR(COUNTIFS('Weekly Log'!$G:$G,"Y",'Weekly Log'!$A:$A,"&gt;="&amp;$J590,'Weekly Log'!$A:$A,"&lt;"&amp;$J590+7)/COUNTIFS('Weekly Log'!$G:$G,"&lt;&gt;",'Weekly Log'!$A:$A,"&gt;="&amp;$J590,'Weekly Log'!$A:$A,"&lt;"&amp;$J590+7),0))</f>
        <v/>
      </c>
      <c r="D590">
        <f>IF($J590="","",IFERROR(COUNTIFS('Weekly Log'!$H:$H,"Y",'Weekly Log'!$A:$A,"&gt;="&amp;$J590,'Weekly Log'!$A:$A,"&lt;"&amp;$J590+7)/COUNTIFS('Weekly Log'!$H:$H,"&lt;&gt;",'Weekly Log'!$A:$A,"&gt;="&amp;$J590,'Weekly Log'!$A:$A,"&lt;"&amp;$J590+7),0))</f>
        <v/>
      </c>
      <c r="E590">
        <f>IF($J590="","",IFERROR(AVERAGEIFS('Weekly Log'!$F:$F,'Weekly Log'!$A:$A,"&gt;="&amp;$J590,'Weekly Log'!$A:$A,"&lt;"&amp;$J590+7),0))</f>
        <v/>
      </c>
      <c r="F590">
        <f>IF($J590="","",IFERROR(SUMIFS('Weekly Log'!$F:$F,'Weekly Log'!$A:$A,"&gt;="&amp;$J590,'Weekly Log'!$A:$A,"&lt;"&amp;$J590+7)/SUMIFS('Weekly Log'!$E:$E,'Weekly Log'!$A:$A,"&gt;="&amp;$J590,'Weekly Log'!$A:$A,"&lt;"&amp;$J590+7),0))</f>
        <v/>
      </c>
      <c r="G590">
        <f>IF($J590="","",IFERROR(LOOKUP(2,1/(('Weekly Log'!$A$5:$A$5000&gt;=$J590)*('Weekly Log'!$A$5:$A$5000&lt;$J590+7)*('Weekly Log'!$M$5:$M$5000&lt;&gt;"")),'Weekly Log'!$M$5:$M$5000),0))</f>
        <v/>
      </c>
      <c r="J590">
        <f>IF(COUNT('Weekly Log'!$A$5:$A$5000)=0,"",IF(MIN('Weekly Log'!$A$5:$A$5000)+7*(ROW()-10)&gt;MAX('Weekly Log'!$A$5:$A$5000),"",MIN('Weekly Log'!$A$5:$A$5000)+7*(ROW()-10)))</f>
        <v/>
      </c>
    </row>
    <row r="591">
      <c r="A591">
        <f>IF($J591="","",YEAR($J591-WEEKDAY($J591,2)+4)&amp;"-W"&amp;TEXT(WEEKNUM($J591,21),"00"))</f>
        <v/>
      </c>
      <c r="B591">
        <f>IF($J591="","",SUMIFS('Weekly Log'!$C:$C,'Weekly Log'!$A:$A,"&gt;="&amp;$J591,'Weekly Log'!$A:$A,"&lt;"&amp;$J591+7))</f>
        <v/>
      </c>
      <c r="C591">
        <f>IF($J591="","",IFERROR(COUNTIFS('Weekly Log'!$G:$G,"Y",'Weekly Log'!$A:$A,"&gt;="&amp;$J591,'Weekly Log'!$A:$A,"&lt;"&amp;$J591+7)/COUNTIFS('Weekly Log'!$G:$G,"&lt;&gt;",'Weekly Log'!$A:$A,"&gt;="&amp;$J591,'Weekly Log'!$A:$A,"&lt;"&amp;$J591+7),0))</f>
        <v/>
      </c>
      <c r="D591">
        <f>IF($J591="","",IFERROR(COUNTIFS('Weekly Log'!$H:$H,"Y",'Weekly Log'!$A:$A,"&gt;="&amp;$J591,'Weekly Log'!$A:$A,"&lt;"&amp;$J591+7)/COUNTIFS('Weekly Log'!$H:$H,"&lt;&gt;",'Weekly Log'!$A:$A,"&gt;="&amp;$J591,'Weekly Log'!$A:$A,"&lt;"&amp;$J591+7),0))</f>
        <v/>
      </c>
      <c r="E591">
        <f>IF($J591="","",IFERROR(AVERAGEIFS('Weekly Log'!$F:$F,'Weekly Log'!$A:$A,"&gt;="&amp;$J591,'Weekly Log'!$A:$A,"&lt;"&amp;$J591+7),0))</f>
        <v/>
      </c>
      <c r="F591">
        <f>IF($J591="","",IFERROR(SUMIFS('Weekly Log'!$F:$F,'Weekly Log'!$A:$A,"&gt;="&amp;$J591,'Weekly Log'!$A:$A,"&lt;"&amp;$J591+7)/SUMIFS('Weekly Log'!$E:$E,'Weekly Log'!$A:$A,"&gt;="&amp;$J591,'Weekly Log'!$A:$A,"&lt;"&amp;$J591+7),0))</f>
        <v/>
      </c>
      <c r="G591">
        <f>IF($J591="","",IFERROR(LOOKUP(2,1/(('Weekly Log'!$A$5:$A$5000&gt;=$J591)*('Weekly Log'!$A$5:$A$5000&lt;$J591+7)*('Weekly Log'!$M$5:$M$5000&lt;&gt;"")),'Weekly Log'!$M$5:$M$5000),0))</f>
        <v/>
      </c>
      <c r="J591">
        <f>IF(COUNT('Weekly Log'!$A$5:$A$5000)=0,"",IF(MIN('Weekly Log'!$A$5:$A$5000)+7*(ROW()-10)&gt;MAX('Weekly Log'!$A$5:$A$5000),"",MIN('Weekly Log'!$A$5:$A$5000)+7*(ROW()-10)))</f>
        <v/>
      </c>
    </row>
    <row r="592">
      <c r="A592">
        <f>IF($J592="","",YEAR($J592-WEEKDAY($J592,2)+4)&amp;"-W"&amp;TEXT(WEEKNUM($J592,21),"00"))</f>
        <v/>
      </c>
      <c r="B592">
        <f>IF($J592="","",SUMIFS('Weekly Log'!$C:$C,'Weekly Log'!$A:$A,"&gt;="&amp;$J592,'Weekly Log'!$A:$A,"&lt;"&amp;$J592+7))</f>
        <v/>
      </c>
      <c r="C592">
        <f>IF($J592="","",IFERROR(COUNTIFS('Weekly Log'!$G:$G,"Y",'Weekly Log'!$A:$A,"&gt;="&amp;$J592,'Weekly Log'!$A:$A,"&lt;"&amp;$J592+7)/COUNTIFS('Weekly Log'!$G:$G,"&lt;&gt;",'Weekly Log'!$A:$A,"&gt;="&amp;$J592,'Weekly Log'!$A:$A,"&lt;"&amp;$J592+7),0))</f>
        <v/>
      </c>
      <c r="D592">
        <f>IF($J592="","",IFERROR(COUNTIFS('Weekly Log'!$H:$H,"Y",'Weekly Log'!$A:$A,"&gt;="&amp;$J592,'Weekly Log'!$A:$A,"&lt;"&amp;$J592+7)/COUNTIFS('Weekly Log'!$H:$H,"&lt;&gt;",'Weekly Log'!$A:$A,"&gt;="&amp;$J592,'Weekly Log'!$A:$A,"&lt;"&amp;$J592+7),0))</f>
        <v/>
      </c>
      <c r="E592">
        <f>IF($J592="","",IFERROR(AVERAGEIFS('Weekly Log'!$F:$F,'Weekly Log'!$A:$A,"&gt;="&amp;$J592,'Weekly Log'!$A:$A,"&lt;"&amp;$J592+7),0))</f>
        <v/>
      </c>
      <c r="F592">
        <f>IF($J592="","",IFERROR(SUMIFS('Weekly Log'!$F:$F,'Weekly Log'!$A:$A,"&gt;="&amp;$J592,'Weekly Log'!$A:$A,"&lt;"&amp;$J592+7)/SUMIFS('Weekly Log'!$E:$E,'Weekly Log'!$A:$A,"&gt;="&amp;$J592,'Weekly Log'!$A:$A,"&lt;"&amp;$J592+7),0))</f>
        <v/>
      </c>
      <c r="G592">
        <f>IF($J592="","",IFERROR(LOOKUP(2,1/(('Weekly Log'!$A$5:$A$5000&gt;=$J592)*('Weekly Log'!$A$5:$A$5000&lt;$J592+7)*('Weekly Log'!$M$5:$M$5000&lt;&gt;"")),'Weekly Log'!$M$5:$M$5000),0))</f>
        <v/>
      </c>
      <c r="J592">
        <f>IF(COUNT('Weekly Log'!$A$5:$A$5000)=0,"",IF(MIN('Weekly Log'!$A$5:$A$5000)+7*(ROW()-10)&gt;MAX('Weekly Log'!$A$5:$A$5000),"",MIN('Weekly Log'!$A$5:$A$5000)+7*(ROW()-10)))</f>
        <v/>
      </c>
    </row>
    <row r="593">
      <c r="A593">
        <f>IF($J593="","",YEAR($J593-WEEKDAY($J593,2)+4)&amp;"-W"&amp;TEXT(WEEKNUM($J593,21),"00"))</f>
        <v/>
      </c>
      <c r="B593">
        <f>IF($J593="","",SUMIFS('Weekly Log'!$C:$C,'Weekly Log'!$A:$A,"&gt;="&amp;$J593,'Weekly Log'!$A:$A,"&lt;"&amp;$J593+7))</f>
        <v/>
      </c>
      <c r="C593">
        <f>IF($J593="","",IFERROR(COUNTIFS('Weekly Log'!$G:$G,"Y",'Weekly Log'!$A:$A,"&gt;="&amp;$J593,'Weekly Log'!$A:$A,"&lt;"&amp;$J593+7)/COUNTIFS('Weekly Log'!$G:$G,"&lt;&gt;",'Weekly Log'!$A:$A,"&gt;="&amp;$J593,'Weekly Log'!$A:$A,"&lt;"&amp;$J593+7),0))</f>
        <v/>
      </c>
      <c r="D593">
        <f>IF($J593="","",IFERROR(COUNTIFS('Weekly Log'!$H:$H,"Y",'Weekly Log'!$A:$A,"&gt;="&amp;$J593,'Weekly Log'!$A:$A,"&lt;"&amp;$J593+7)/COUNTIFS('Weekly Log'!$H:$H,"&lt;&gt;",'Weekly Log'!$A:$A,"&gt;="&amp;$J593,'Weekly Log'!$A:$A,"&lt;"&amp;$J593+7),0))</f>
        <v/>
      </c>
      <c r="E593">
        <f>IF($J593="","",IFERROR(AVERAGEIFS('Weekly Log'!$F:$F,'Weekly Log'!$A:$A,"&gt;="&amp;$J593,'Weekly Log'!$A:$A,"&lt;"&amp;$J593+7),0))</f>
        <v/>
      </c>
      <c r="F593">
        <f>IF($J593="","",IFERROR(SUMIFS('Weekly Log'!$F:$F,'Weekly Log'!$A:$A,"&gt;="&amp;$J593,'Weekly Log'!$A:$A,"&lt;"&amp;$J593+7)/SUMIFS('Weekly Log'!$E:$E,'Weekly Log'!$A:$A,"&gt;="&amp;$J593,'Weekly Log'!$A:$A,"&lt;"&amp;$J593+7),0))</f>
        <v/>
      </c>
      <c r="G593">
        <f>IF($J593="","",IFERROR(LOOKUP(2,1/(('Weekly Log'!$A$5:$A$5000&gt;=$J593)*('Weekly Log'!$A$5:$A$5000&lt;$J593+7)*('Weekly Log'!$M$5:$M$5000&lt;&gt;"")),'Weekly Log'!$M$5:$M$5000),0))</f>
        <v/>
      </c>
      <c r="J593">
        <f>IF(COUNT('Weekly Log'!$A$5:$A$5000)=0,"",IF(MIN('Weekly Log'!$A$5:$A$5000)+7*(ROW()-10)&gt;MAX('Weekly Log'!$A$5:$A$5000),"",MIN('Weekly Log'!$A$5:$A$5000)+7*(ROW()-10)))</f>
        <v/>
      </c>
    </row>
    <row r="594">
      <c r="A594">
        <f>IF($J594="","",YEAR($J594-WEEKDAY($J594,2)+4)&amp;"-W"&amp;TEXT(WEEKNUM($J594,21),"00"))</f>
        <v/>
      </c>
      <c r="B594">
        <f>IF($J594="","",SUMIFS('Weekly Log'!$C:$C,'Weekly Log'!$A:$A,"&gt;="&amp;$J594,'Weekly Log'!$A:$A,"&lt;"&amp;$J594+7))</f>
        <v/>
      </c>
      <c r="C594">
        <f>IF($J594="","",IFERROR(COUNTIFS('Weekly Log'!$G:$G,"Y",'Weekly Log'!$A:$A,"&gt;="&amp;$J594,'Weekly Log'!$A:$A,"&lt;"&amp;$J594+7)/COUNTIFS('Weekly Log'!$G:$G,"&lt;&gt;",'Weekly Log'!$A:$A,"&gt;="&amp;$J594,'Weekly Log'!$A:$A,"&lt;"&amp;$J594+7),0))</f>
        <v/>
      </c>
      <c r="D594">
        <f>IF($J594="","",IFERROR(COUNTIFS('Weekly Log'!$H:$H,"Y",'Weekly Log'!$A:$A,"&gt;="&amp;$J594,'Weekly Log'!$A:$A,"&lt;"&amp;$J594+7)/COUNTIFS('Weekly Log'!$H:$H,"&lt;&gt;",'Weekly Log'!$A:$A,"&gt;="&amp;$J594,'Weekly Log'!$A:$A,"&lt;"&amp;$J594+7),0))</f>
        <v/>
      </c>
      <c r="E594">
        <f>IF($J594="","",IFERROR(AVERAGEIFS('Weekly Log'!$F:$F,'Weekly Log'!$A:$A,"&gt;="&amp;$J594,'Weekly Log'!$A:$A,"&lt;"&amp;$J594+7),0))</f>
        <v/>
      </c>
      <c r="F594">
        <f>IF($J594="","",IFERROR(SUMIFS('Weekly Log'!$F:$F,'Weekly Log'!$A:$A,"&gt;="&amp;$J594,'Weekly Log'!$A:$A,"&lt;"&amp;$J594+7)/SUMIFS('Weekly Log'!$E:$E,'Weekly Log'!$A:$A,"&gt;="&amp;$J594,'Weekly Log'!$A:$A,"&lt;"&amp;$J594+7),0))</f>
        <v/>
      </c>
      <c r="G594">
        <f>IF($J594="","",IFERROR(LOOKUP(2,1/(('Weekly Log'!$A$5:$A$5000&gt;=$J594)*('Weekly Log'!$A$5:$A$5000&lt;$J594+7)*('Weekly Log'!$M$5:$M$5000&lt;&gt;"")),'Weekly Log'!$M$5:$M$5000),0))</f>
        <v/>
      </c>
      <c r="J594">
        <f>IF(COUNT('Weekly Log'!$A$5:$A$5000)=0,"",IF(MIN('Weekly Log'!$A$5:$A$5000)+7*(ROW()-10)&gt;MAX('Weekly Log'!$A$5:$A$5000),"",MIN('Weekly Log'!$A$5:$A$5000)+7*(ROW()-10)))</f>
        <v/>
      </c>
    </row>
    <row r="595">
      <c r="A595">
        <f>IF($J595="","",YEAR($J595-WEEKDAY($J595,2)+4)&amp;"-W"&amp;TEXT(WEEKNUM($J595,21),"00"))</f>
        <v/>
      </c>
      <c r="B595">
        <f>IF($J595="","",SUMIFS('Weekly Log'!$C:$C,'Weekly Log'!$A:$A,"&gt;="&amp;$J595,'Weekly Log'!$A:$A,"&lt;"&amp;$J595+7))</f>
        <v/>
      </c>
      <c r="C595">
        <f>IF($J595="","",IFERROR(COUNTIFS('Weekly Log'!$G:$G,"Y",'Weekly Log'!$A:$A,"&gt;="&amp;$J595,'Weekly Log'!$A:$A,"&lt;"&amp;$J595+7)/COUNTIFS('Weekly Log'!$G:$G,"&lt;&gt;",'Weekly Log'!$A:$A,"&gt;="&amp;$J595,'Weekly Log'!$A:$A,"&lt;"&amp;$J595+7),0))</f>
        <v/>
      </c>
      <c r="D595">
        <f>IF($J595="","",IFERROR(COUNTIFS('Weekly Log'!$H:$H,"Y",'Weekly Log'!$A:$A,"&gt;="&amp;$J595,'Weekly Log'!$A:$A,"&lt;"&amp;$J595+7)/COUNTIFS('Weekly Log'!$H:$H,"&lt;&gt;",'Weekly Log'!$A:$A,"&gt;="&amp;$J595,'Weekly Log'!$A:$A,"&lt;"&amp;$J595+7),0))</f>
        <v/>
      </c>
      <c r="E595">
        <f>IF($J595="","",IFERROR(AVERAGEIFS('Weekly Log'!$F:$F,'Weekly Log'!$A:$A,"&gt;="&amp;$J595,'Weekly Log'!$A:$A,"&lt;"&amp;$J595+7),0))</f>
        <v/>
      </c>
      <c r="F595">
        <f>IF($J595="","",IFERROR(SUMIFS('Weekly Log'!$F:$F,'Weekly Log'!$A:$A,"&gt;="&amp;$J595,'Weekly Log'!$A:$A,"&lt;"&amp;$J595+7)/SUMIFS('Weekly Log'!$E:$E,'Weekly Log'!$A:$A,"&gt;="&amp;$J595,'Weekly Log'!$A:$A,"&lt;"&amp;$J595+7),0))</f>
        <v/>
      </c>
      <c r="G595">
        <f>IF($J595="","",IFERROR(LOOKUP(2,1/(('Weekly Log'!$A$5:$A$5000&gt;=$J595)*('Weekly Log'!$A$5:$A$5000&lt;$J595+7)*('Weekly Log'!$M$5:$M$5000&lt;&gt;"")),'Weekly Log'!$M$5:$M$5000),0))</f>
        <v/>
      </c>
      <c r="J595">
        <f>IF(COUNT('Weekly Log'!$A$5:$A$5000)=0,"",IF(MIN('Weekly Log'!$A$5:$A$5000)+7*(ROW()-10)&gt;MAX('Weekly Log'!$A$5:$A$5000),"",MIN('Weekly Log'!$A$5:$A$5000)+7*(ROW()-10)))</f>
        <v/>
      </c>
    </row>
    <row r="596">
      <c r="A596">
        <f>IF($J596="","",YEAR($J596-WEEKDAY($J596,2)+4)&amp;"-W"&amp;TEXT(WEEKNUM($J596,21),"00"))</f>
        <v/>
      </c>
      <c r="B596">
        <f>IF($J596="","",SUMIFS('Weekly Log'!$C:$C,'Weekly Log'!$A:$A,"&gt;="&amp;$J596,'Weekly Log'!$A:$A,"&lt;"&amp;$J596+7))</f>
        <v/>
      </c>
      <c r="C596">
        <f>IF($J596="","",IFERROR(COUNTIFS('Weekly Log'!$G:$G,"Y",'Weekly Log'!$A:$A,"&gt;="&amp;$J596,'Weekly Log'!$A:$A,"&lt;"&amp;$J596+7)/COUNTIFS('Weekly Log'!$G:$G,"&lt;&gt;",'Weekly Log'!$A:$A,"&gt;="&amp;$J596,'Weekly Log'!$A:$A,"&lt;"&amp;$J596+7),0))</f>
        <v/>
      </c>
      <c r="D596">
        <f>IF($J596="","",IFERROR(COUNTIFS('Weekly Log'!$H:$H,"Y",'Weekly Log'!$A:$A,"&gt;="&amp;$J596,'Weekly Log'!$A:$A,"&lt;"&amp;$J596+7)/COUNTIFS('Weekly Log'!$H:$H,"&lt;&gt;",'Weekly Log'!$A:$A,"&gt;="&amp;$J596,'Weekly Log'!$A:$A,"&lt;"&amp;$J596+7),0))</f>
        <v/>
      </c>
      <c r="E596">
        <f>IF($J596="","",IFERROR(AVERAGEIFS('Weekly Log'!$F:$F,'Weekly Log'!$A:$A,"&gt;="&amp;$J596,'Weekly Log'!$A:$A,"&lt;"&amp;$J596+7),0))</f>
        <v/>
      </c>
      <c r="F596">
        <f>IF($J596="","",IFERROR(SUMIFS('Weekly Log'!$F:$F,'Weekly Log'!$A:$A,"&gt;="&amp;$J596,'Weekly Log'!$A:$A,"&lt;"&amp;$J596+7)/SUMIFS('Weekly Log'!$E:$E,'Weekly Log'!$A:$A,"&gt;="&amp;$J596,'Weekly Log'!$A:$A,"&lt;"&amp;$J596+7),0))</f>
        <v/>
      </c>
      <c r="G596">
        <f>IF($J596="","",IFERROR(LOOKUP(2,1/(('Weekly Log'!$A$5:$A$5000&gt;=$J596)*('Weekly Log'!$A$5:$A$5000&lt;$J596+7)*('Weekly Log'!$M$5:$M$5000&lt;&gt;"")),'Weekly Log'!$M$5:$M$5000),0))</f>
        <v/>
      </c>
      <c r="J596">
        <f>IF(COUNT('Weekly Log'!$A$5:$A$5000)=0,"",IF(MIN('Weekly Log'!$A$5:$A$5000)+7*(ROW()-10)&gt;MAX('Weekly Log'!$A$5:$A$5000),"",MIN('Weekly Log'!$A$5:$A$5000)+7*(ROW()-10)))</f>
        <v/>
      </c>
    </row>
    <row r="597">
      <c r="A597">
        <f>IF($J597="","",YEAR($J597-WEEKDAY($J597,2)+4)&amp;"-W"&amp;TEXT(WEEKNUM($J597,21),"00"))</f>
        <v/>
      </c>
      <c r="B597">
        <f>IF($J597="","",SUMIFS('Weekly Log'!$C:$C,'Weekly Log'!$A:$A,"&gt;="&amp;$J597,'Weekly Log'!$A:$A,"&lt;"&amp;$J597+7))</f>
        <v/>
      </c>
      <c r="C597">
        <f>IF($J597="","",IFERROR(COUNTIFS('Weekly Log'!$G:$G,"Y",'Weekly Log'!$A:$A,"&gt;="&amp;$J597,'Weekly Log'!$A:$A,"&lt;"&amp;$J597+7)/COUNTIFS('Weekly Log'!$G:$G,"&lt;&gt;",'Weekly Log'!$A:$A,"&gt;="&amp;$J597,'Weekly Log'!$A:$A,"&lt;"&amp;$J597+7),0))</f>
        <v/>
      </c>
      <c r="D597">
        <f>IF($J597="","",IFERROR(COUNTIFS('Weekly Log'!$H:$H,"Y",'Weekly Log'!$A:$A,"&gt;="&amp;$J597,'Weekly Log'!$A:$A,"&lt;"&amp;$J597+7)/COUNTIFS('Weekly Log'!$H:$H,"&lt;&gt;",'Weekly Log'!$A:$A,"&gt;="&amp;$J597,'Weekly Log'!$A:$A,"&lt;"&amp;$J597+7),0))</f>
        <v/>
      </c>
      <c r="E597">
        <f>IF($J597="","",IFERROR(AVERAGEIFS('Weekly Log'!$F:$F,'Weekly Log'!$A:$A,"&gt;="&amp;$J597,'Weekly Log'!$A:$A,"&lt;"&amp;$J597+7),0))</f>
        <v/>
      </c>
      <c r="F597">
        <f>IF($J597="","",IFERROR(SUMIFS('Weekly Log'!$F:$F,'Weekly Log'!$A:$A,"&gt;="&amp;$J597,'Weekly Log'!$A:$A,"&lt;"&amp;$J597+7)/SUMIFS('Weekly Log'!$E:$E,'Weekly Log'!$A:$A,"&gt;="&amp;$J597,'Weekly Log'!$A:$A,"&lt;"&amp;$J597+7),0))</f>
        <v/>
      </c>
      <c r="G597">
        <f>IF($J597="","",IFERROR(LOOKUP(2,1/(('Weekly Log'!$A$5:$A$5000&gt;=$J597)*('Weekly Log'!$A$5:$A$5000&lt;$J597+7)*('Weekly Log'!$M$5:$M$5000&lt;&gt;"")),'Weekly Log'!$M$5:$M$5000),0))</f>
        <v/>
      </c>
      <c r="J597">
        <f>IF(COUNT('Weekly Log'!$A$5:$A$5000)=0,"",IF(MIN('Weekly Log'!$A$5:$A$5000)+7*(ROW()-10)&gt;MAX('Weekly Log'!$A$5:$A$5000),"",MIN('Weekly Log'!$A$5:$A$5000)+7*(ROW()-10)))</f>
        <v/>
      </c>
    </row>
    <row r="598">
      <c r="A598">
        <f>IF($J598="","",YEAR($J598-WEEKDAY($J598,2)+4)&amp;"-W"&amp;TEXT(WEEKNUM($J598,21),"00"))</f>
        <v/>
      </c>
      <c r="B598">
        <f>IF($J598="","",SUMIFS('Weekly Log'!$C:$C,'Weekly Log'!$A:$A,"&gt;="&amp;$J598,'Weekly Log'!$A:$A,"&lt;"&amp;$J598+7))</f>
        <v/>
      </c>
      <c r="C598">
        <f>IF($J598="","",IFERROR(COUNTIFS('Weekly Log'!$G:$G,"Y",'Weekly Log'!$A:$A,"&gt;="&amp;$J598,'Weekly Log'!$A:$A,"&lt;"&amp;$J598+7)/COUNTIFS('Weekly Log'!$G:$G,"&lt;&gt;",'Weekly Log'!$A:$A,"&gt;="&amp;$J598,'Weekly Log'!$A:$A,"&lt;"&amp;$J598+7),0))</f>
        <v/>
      </c>
      <c r="D598">
        <f>IF($J598="","",IFERROR(COUNTIFS('Weekly Log'!$H:$H,"Y",'Weekly Log'!$A:$A,"&gt;="&amp;$J598,'Weekly Log'!$A:$A,"&lt;"&amp;$J598+7)/COUNTIFS('Weekly Log'!$H:$H,"&lt;&gt;",'Weekly Log'!$A:$A,"&gt;="&amp;$J598,'Weekly Log'!$A:$A,"&lt;"&amp;$J598+7),0))</f>
        <v/>
      </c>
      <c r="E598">
        <f>IF($J598="","",IFERROR(AVERAGEIFS('Weekly Log'!$F:$F,'Weekly Log'!$A:$A,"&gt;="&amp;$J598,'Weekly Log'!$A:$A,"&lt;"&amp;$J598+7),0))</f>
        <v/>
      </c>
      <c r="F598">
        <f>IF($J598="","",IFERROR(SUMIFS('Weekly Log'!$F:$F,'Weekly Log'!$A:$A,"&gt;="&amp;$J598,'Weekly Log'!$A:$A,"&lt;"&amp;$J598+7)/SUMIFS('Weekly Log'!$E:$E,'Weekly Log'!$A:$A,"&gt;="&amp;$J598,'Weekly Log'!$A:$A,"&lt;"&amp;$J598+7),0))</f>
        <v/>
      </c>
      <c r="G598">
        <f>IF($J598="","",IFERROR(LOOKUP(2,1/(('Weekly Log'!$A$5:$A$5000&gt;=$J598)*('Weekly Log'!$A$5:$A$5000&lt;$J598+7)*('Weekly Log'!$M$5:$M$5000&lt;&gt;"")),'Weekly Log'!$M$5:$M$5000),0))</f>
        <v/>
      </c>
      <c r="J598">
        <f>IF(COUNT('Weekly Log'!$A$5:$A$5000)=0,"",IF(MIN('Weekly Log'!$A$5:$A$5000)+7*(ROW()-10)&gt;MAX('Weekly Log'!$A$5:$A$5000),"",MIN('Weekly Log'!$A$5:$A$5000)+7*(ROW()-10)))</f>
        <v/>
      </c>
    </row>
    <row r="599">
      <c r="A599">
        <f>IF($J599="","",YEAR($J599-WEEKDAY($J599,2)+4)&amp;"-W"&amp;TEXT(WEEKNUM($J599,21),"00"))</f>
        <v/>
      </c>
      <c r="B599">
        <f>IF($J599="","",SUMIFS('Weekly Log'!$C:$C,'Weekly Log'!$A:$A,"&gt;="&amp;$J599,'Weekly Log'!$A:$A,"&lt;"&amp;$J599+7))</f>
        <v/>
      </c>
      <c r="C599">
        <f>IF($J599="","",IFERROR(COUNTIFS('Weekly Log'!$G:$G,"Y",'Weekly Log'!$A:$A,"&gt;="&amp;$J599,'Weekly Log'!$A:$A,"&lt;"&amp;$J599+7)/COUNTIFS('Weekly Log'!$G:$G,"&lt;&gt;",'Weekly Log'!$A:$A,"&gt;="&amp;$J599,'Weekly Log'!$A:$A,"&lt;"&amp;$J599+7),0))</f>
        <v/>
      </c>
      <c r="D599">
        <f>IF($J599="","",IFERROR(COUNTIFS('Weekly Log'!$H:$H,"Y",'Weekly Log'!$A:$A,"&gt;="&amp;$J599,'Weekly Log'!$A:$A,"&lt;"&amp;$J599+7)/COUNTIFS('Weekly Log'!$H:$H,"&lt;&gt;",'Weekly Log'!$A:$A,"&gt;="&amp;$J599,'Weekly Log'!$A:$A,"&lt;"&amp;$J599+7),0))</f>
        <v/>
      </c>
      <c r="E599">
        <f>IF($J599="","",IFERROR(AVERAGEIFS('Weekly Log'!$F:$F,'Weekly Log'!$A:$A,"&gt;="&amp;$J599,'Weekly Log'!$A:$A,"&lt;"&amp;$J599+7),0))</f>
        <v/>
      </c>
      <c r="F599">
        <f>IF($J599="","",IFERROR(SUMIFS('Weekly Log'!$F:$F,'Weekly Log'!$A:$A,"&gt;="&amp;$J599,'Weekly Log'!$A:$A,"&lt;"&amp;$J599+7)/SUMIFS('Weekly Log'!$E:$E,'Weekly Log'!$A:$A,"&gt;="&amp;$J599,'Weekly Log'!$A:$A,"&lt;"&amp;$J599+7),0))</f>
        <v/>
      </c>
      <c r="G599">
        <f>IF($J599="","",IFERROR(LOOKUP(2,1/(('Weekly Log'!$A$5:$A$5000&gt;=$J599)*('Weekly Log'!$A$5:$A$5000&lt;$J599+7)*('Weekly Log'!$M$5:$M$5000&lt;&gt;"")),'Weekly Log'!$M$5:$M$5000),0))</f>
        <v/>
      </c>
      <c r="J599">
        <f>IF(COUNT('Weekly Log'!$A$5:$A$5000)=0,"",IF(MIN('Weekly Log'!$A$5:$A$5000)+7*(ROW()-10)&gt;MAX('Weekly Log'!$A$5:$A$5000),"",MIN('Weekly Log'!$A$5:$A$5000)+7*(ROW()-10)))</f>
        <v/>
      </c>
    </row>
    <row r="600">
      <c r="A600">
        <f>IF($J600="","",YEAR($J600-WEEKDAY($J600,2)+4)&amp;"-W"&amp;TEXT(WEEKNUM($J600,21),"00"))</f>
        <v/>
      </c>
      <c r="B600">
        <f>IF($J600="","",SUMIFS('Weekly Log'!$C:$C,'Weekly Log'!$A:$A,"&gt;="&amp;$J600,'Weekly Log'!$A:$A,"&lt;"&amp;$J600+7))</f>
        <v/>
      </c>
      <c r="C600">
        <f>IF($J600="","",IFERROR(COUNTIFS('Weekly Log'!$G:$G,"Y",'Weekly Log'!$A:$A,"&gt;="&amp;$J600,'Weekly Log'!$A:$A,"&lt;"&amp;$J600+7)/COUNTIFS('Weekly Log'!$G:$G,"&lt;&gt;",'Weekly Log'!$A:$A,"&gt;="&amp;$J600,'Weekly Log'!$A:$A,"&lt;"&amp;$J600+7),0))</f>
        <v/>
      </c>
      <c r="D600">
        <f>IF($J600="","",IFERROR(COUNTIFS('Weekly Log'!$H:$H,"Y",'Weekly Log'!$A:$A,"&gt;="&amp;$J600,'Weekly Log'!$A:$A,"&lt;"&amp;$J600+7)/COUNTIFS('Weekly Log'!$H:$H,"&lt;&gt;",'Weekly Log'!$A:$A,"&gt;="&amp;$J600,'Weekly Log'!$A:$A,"&lt;"&amp;$J600+7),0))</f>
        <v/>
      </c>
      <c r="E600">
        <f>IF($J600="","",IFERROR(AVERAGEIFS('Weekly Log'!$F:$F,'Weekly Log'!$A:$A,"&gt;="&amp;$J600,'Weekly Log'!$A:$A,"&lt;"&amp;$J600+7),0))</f>
        <v/>
      </c>
      <c r="F600">
        <f>IF($J600="","",IFERROR(SUMIFS('Weekly Log'!$F:$F,'Weekly Log'!$A:$A,"&gt;="&amp;$J600,'Weekly Log'!$A:$A,"&lt;"&amp;$J600+7)/SUMIFS('Weekly Log'!$E:$E,'Weekly Log'!$A:$A,"&gt;="&amp;$J600,'Weekly Log'!$A:$A,"&lt;"&amp;$J600+7),0))</f>
        <v/>
      </c>
      <c r="G600">
        <f>IF($J600="","",IFERROR(LOOKUP(2,1/(('Weekly Log'!$A$5:$A$5000&gt;=$J600)*('Weekly Log'!$A$5:$A$5000&lt;$J600+7)*('Weekly Log'!$M$5:$M$5000&lt;&gt;"")),'Weekly Log'!$M$5:$M$5000),0))</f>
        <v/>
      </c>
      <c r="J600">
        <f>IF(COUNT('Weekly Log'!$A$5:$A$5000)=0,"",IF(MIN('Weekly Log'!$A$5:$A$5000)+7*(ROW()-10)&gt;MAX('Weekly Log'!$A$5:$A$5000),"",MIN('Weekly Log'!$A$5:$A$5000)+7*(ROW()-10)))</f>
        <v/>
      </c>
    </row>
    <row r="601">
      <c r="A601">
        <f>IF($J601="","",YEAR($J601-WEEKDAY($J601,2)+4)&amp;"-W"&amp;TEXT(WEEKNUM($J601,21),"00"))</f>
        <v/>
      </c>
      <c r="B601">
        <f>IF($J601="","",SUMIFS('Weekly Log'!$C:$C,'Weekly Log'!$A:$A,"&gt;="&amp;$J601,'Weekly Log'!$A:$A,"&lt;"&amp;$J601+7))</f>
        <v/>
      </c>
      <c r="C601">
        <f>IF($J601="","",IFERROR(COUNTIFS('Weekly Log'!$G:$G,"Y",'Weekly Log'!$A:$A,"&gt;="&amp;$J601,'Weekly Log'!$A:$A,"&lt;"&amp;$J601+7)/COUNTIFS('Weekly Log'!$G:$G,"&lt;&gt;",'Weekly Log'!$A:$A,"&gt;="&amp;$J601,'Weekly Log'!$A:$A,"&lt;"&amp;$J601+7),0))</f>
        <v/>
      </c>
      <c r="D601">
        <f>IF($J601="","",IFERROR(COUNTIFS('Weekly Log'!$H:$H,"Y",'Weekly Log'!$A:$A,"&gt;="&amp;$J601,'Weekly Log'!$A:$A,"&lt;"&amp;$J601+7)/COUNTIFS('Weekly Log'!$H:$H,"&lt;&gt;",'Weekly Log'!$A:$A,"&gt;="&amp;$J601,'Weekly Log'!$A:$A,"&lt;"&amp;$J601+7),0))</f>
        <v/>
      </c>
      <c r="E601">
        <f>IF($J601="","",IFERROR(AVERAGEIFS('Weekly Log'!$F:$F,'Weekly Log'!$A:$A,"&gt;="&amp;$J601,'Weekly Log'!$A:$A,"&lt;"&amp;$J601+7),0))</f>
        <v/>
      </c>
      <c r="F601">
        <f>IF($J601="","",IFERROR(SUMIFS('Weekly Log'!$F:$F,'Weekly Log'!$A:$A,"&gt;="&amp;$J601,'Weekly Log'!$A:$A,"&lt;"&amp;$J601+7)/SUMIFS('Weekly Log'!$E:$E,'Weekly Log'!$A:$A,"&gt;="&amp;$J601,'Weekly Log'!$A:$A,"&lt;"&amp;$J601+7),0))</f>
        <v/>
      </c>
      <c r="G601">
        <f>IF($J601="","",IFERROR(LOOKUP(2,1/(('Weekly Log'!$A$5:$A$5000&gt;=$J601)*('Weekly Log'!$A$5:$A$5000&lt;$J601+7)*('Weekly Log'!$M$5:$M$5000&lt;&gt;"")),'Weekly Log'!$M$5:$M$5000),0))</f>
        <v/>
      </c>
      <c r="J601">
        <f>IF(COUNT('Weekly Log'!$A$5:$A$5000)=0,"",IF(MIN('Weekly Log'!$A$5:$A$5000)+7*(ROW()-10)&gt;MAX('Weekly Log'!$A$5:$A$5000),"",MIN('Weekly Log'!$A$5:$A$5000)+7*(ROW()-10)))</f>
        <v/>
      </c>
    </row>
    <row r="602">
      <c r="A602">
        <f>IF($J602="","",YEAR($J602-WEEKDAY($J602,2)+4)&amp;"-W"&amp;TEXT(WEEKNUM($J602,21),"00"))</f>
        <v/>
      </c>
      <c r="B602">
        <f>IF($J602="","",SUMIFS('Weekly Log'!$C:$C,'Weekly Log'!$A:$A,"&gt;="&amp;$J602,'Weekly Log'!$A:$A,"&lt;"&amp;$J602+7))</f>
        <v/>
      </c>
      <c r="C602">
        <f>IF($J602="","",IFERROR(COUNTIFS('Weekly Log'!$G:$G,"Y",'Weekly Log'!$A:$A,"&gt;="&amp;$J602,'Weekly Log'!$A:$A,"&lt;"&amp;$J602+7)/COUNTIFS('Weekly Log'!$G:$G,"&lt;&gt;",'Weekly Log'!$A:$A,"&gt;="&amp;$J602,'Weekly Log'!$A:$A,"&lt;"&amp;$J602+7),0))</f>
        <v/>
      </c>
      <c r="D602">
        <f>IF($J602="","",IFERROR(COUNTIFS('Weekly Log'!$H:$H,"Y",'Weekly Log'!$A:$A,"&gt;="&amp;$J602,'Weekly Log'!$A:$A,"&lt;"&amp;$J602+7)/COUNTIFS('Weekly Log'!$H:$H,"&lt;&gt;",'Weekly Log'!$A:$A,"&gt;="&amp;$J602,'Weekly Log'!$A:$A,"&lt;"&amp;$J602+7),0))</f>
        <v/>
      </c>
      <c r="E602">
        <f>IF($J602="","",IFERROR(AVERAGEIFS('Weekly Log'!$F:$F,'Weekly Log'!$A:$A,"&gt;="&amp;$J602,'Weekly Log'!$A:$A,"&lt;"&amp;$J602+7),0))</f>
        <v/>
      </c>
      <c r="F602">
        <f>IF($J602="","",IFERROR(SUMIFS('Weekly Log'!$F:$F,'Weekly Log'!$A:$A,"&gt;="&amp;$J602,'Weekly Log'!$A:$A,"&lt;"&amp;$J602+7)/SUMIFS('Weekly Log'!$E:$E,'Weekly Log'!$A:$A,"&gt;="&amp;$J602,'Weekly Log'!$A:$A,"&lt;"&amp;$J602+7),0))</f>
        <v/>
      </c>
      <c r="G602">
        <f>IF($J602="","",IFERROR(LOOKUP(2,1/(('Weekly Log'!$A$5:$A$5000&gt;=$J602)*('Weekly Log'!$A$5:$A$5000&lt;$J602+7)*('Weekly Log'!$M$5:$M$5000&lt;&gt;"")),'Weekly Log'!$M$5:$M$5000),0))</f>
        <v/>
      </c>
      <c r="J602">
        <f>IF(COUNT('Weekly Log'!$A$5:$A$5000)=0,"",IF(MIN('Weekly Log'!$A$5:$A$5000)+7*(ROW()-10)&gt;MAX('Weekly Log'!$A$5:$A$5000),"",MIN('Weekly Log'!$A$5:$A$5000)+7*(ROW()-10)))</f>
        <v/>
      </c>
    </row>
    <row r="603">
      <c r="A603">
        <f>IF($J603="","",YEAR($J603-WEEKDAY($J603,2)+4)&amp;"-W"&amp;TEXT(WEEKNUM($J603,21),"00"))</f>
        <v/>
      </c>
      <c r="B603">
        <f>IF($J603="","",SUMIFS('Weekly Log'!$C:$C,'Weekly Log'!$A:$A,"&gt;="&amp;$J603,'Weekly Log'!$A:$A,"&lt;"&amp;$J603+7))</f>
        <v/>
      </c>
      <c r="C603">
        <f>IF($J603="","",IFERROR(COUNTIFS('Weekly Log'!$G:$G,"Y",'Weekly Log'!$A:$A,"&gt;="&amp;$J603,'Weekly Log'!$A:$A,"&lt;"&amp;$J603+7)/COUNTIFS('Weekly Log'!$G:$G,"&lt;&gt;",'Weekly Log'!$A:$A,"&gt;="&amp;$J603,'Weekly Log'!$A:$A,"&lt;"&amp;$J603+7),0))</f>
        <v/>
      </c>
      <c r="D603">
        <f>IF($J603="","",IFERROR(COUNTIFS('Weekly Log'!$H:$H,"Y",'Weekly Log'!$A:$A,"&gt;="&amp;$J603,'Weekly Log'!$A:$A,"&lt;"&amp;$J603+7)/COUNTIFS('Weekly Log'!$H:$H,"&lt;&gt;",'Weekly Log'!$A:$A,"&gt;="&amp;$J603,'Weekly Log'!$A:$A,"&lt;"&amp;$J603+7),0))</f>
        <v/>
      </c>
      <c r="E603">
        <f>IF($J603="","",IFERROR(AVERAGEIFS('Weekly Log'!$F:$F,'Weekly Log'!$A:$A,"&gt;="&amp;$J603,'Weekly Log'!$A:$A,"&lt;"&amp;$J603+7),0))</f>
        <v/>
      </c>
      <c r="F603">
        <f>IF($J603="","",IFERROR(SUMIFS('Weekly Log'!$F:$F,'Weekly Log'!$A:$A,"&gt;="&amp;$J603,'Weekly Log'!$A:$A,"&lt;"&amp;$J603+7)/SUMIFS('Weekly Log'!$E:$E,'Weekly Log'!$A:$A,"&gt;="&amp;$J603,'Weekly Log'!$A:$A,"&lt;"&amp;$J603+7),0))</f>
        <v/>
      </c>
      <c r="G603">
        <f>IF($J603="","",IFERROR(LOOKUP(2,1/(('Weekly Log'!$A$5:$A$5000&gt;=$J603)*('Weekly Log'!$A$5:$A$5000&lt;$J603+7)*('Weekly Log'!$M$5:$M$5000&lt;&gt;"")),'Weekly Log'!$M$5:$M$5000),0))</f>
        <v/>
      </c>
      <c r="J603">
        <f>IF(COUNT('Weekly Log'!$A$5:$A$5000)=0,"",IF(MIN('Weekly Log'!$A$5:$A$5000)+7*(ROW()-10)&gt;MAX('Weekly Log'!$A$5:$A$5000),"",MIN('Weekly Log'!$A$5:$A$5000)+7*(ROW()-10)))</f>
        <v/>
      </c>
    </row>
    <row r="604">
      <c r="A604">
        <f>IF($J604="","",YEAR($J604-WEEKDAY($J604,2)+4)&amp;"-W"&amp;TEXT(WEEKNUM($J604,21),"00"))</f>
        <v/>
      </c>
      <c r="B604">
        <f>IF($J604="","",SUMIFS('Weekly Log'!$C:$C,'Weekly Log'!$A:$A,"&gt;="&amp;$J604,'Weekly Log'!$A:$A,"&lt;"&amp;$J604+7))</f>
        <v/>
      </c>
      <c r="C604">
        <f>IF($J604="","",IFERROR(COUNTIFS('Weekly Log'!$G:$G,"Y",'Weekly Log'!$A:$A,"&gt;="&amp;$J604,'Weekly Log'!$A:$A,"&lt;"&amp;$J604+7)/COUNTIFS('Weekly Log'!$G:$G,"&lt;&gt;",'Weekly Log'!$A:$A,"&gt;="&amp;$J604,'Weekly Log'!$A:$A,"&lt;"&amp;$J604+7),0))</f>
        <v/>
      </c>
      <c r="D604">
        <f>IF($J604="","",IFERROR(COUNTIFS('Weekly Log'!$H:$H,"Y",'Weekly Log'!$A:$A,"&gt;="&amp;$J604,'Weekly Log'!$A:$A,"&lt;"&amp;$J604+7)/COUNTIFS('Weekly Log'!$H:$H,"&lt;&gt;",'Weekly Log'!$A:$A,"&gt;="&amp;$J604,'Weekly Log'!$A:$A,"&lt;"&amp;$J604+7),0))</f>
        <v/>
      </c>
      <c r="E604">
        <f>IF($J604="","",IFERROR(AVERAGEIFS('Weekly Log'!$F:$F,'Weekly Log'!$A:$A,"&gt;="&amp;$J604,'Weekly Log'!$A:$A,"&lt;"&amp;$J604+7),0))</f>
        <v/>
      </c>
      <c r="F604">
        <f>IF($J604="","",IFERROR(SUMIFS('Weekly Log'!$F:$F,'Weekly Log'!$A:$A,"&gt;="&amp;$J604,'Weekly Log'!$A:$A,"&lt;"&amp;$J604+7)/SUMIFS('Weekly Log'!$E:$E,'Weekly Log'!$A:$A,"&gt;="&amp;$J604,'Weekly Log'!$A:$A,"&lt;"&amp;$J604+7),0))</f>
        <v/>
      </c>
      <c r="G604">
        <f>IF($J604="","",IFERROR(LOOKUP(2,1/(('Weekly Log'!$A$5:$A$5000&gt;=$J604)*('Weekly Log'!$A$5:$A$5000&lt;$J604+7)*('Weekly Log'!$M$5:$M$5000&lt;&gt;"")),'Weekly Log'!$M$5:$M$5000),0))</f>
        <v/>
      </c>
      <c r="J604">
        <f>IF(COUNT('Weekly Log'!$A$5:$A$5000)=0,"",IF(MIN('Weekly Log'!$A$5:$A$5000)+7*(ROW()-10)&gt;MAX('Weekly Log'!$A$5:$A$5000),"",MIN('Weekly Log'!$A$5:$A$5000)+7*(ROW()-10)))</f>
        <v/>
      </c>
    </row>
    <row r="605">
      <c r="A605">
        <f>IF($J605="","",YEAR($J605-WEEKDAY($J605,2)+4)&amp;"-W"&amp;TEXT(WEEKNUM($J605,21),"00"))</f>
        <v/>
      </c>
      <c r="B605">
        <f>IF($J605="","",SUMIFS('Weekly Log'!$C:$C,'Weekly Log'!$A:$A,"&gt;="&amp;$J605,'Weekly Log'!$A:$A,"&lt;"&amp;$J605+7))</f>
        <v/>
      </c>
      <c r="C605">
        <f>IF($J605="","",IFERROR(COUNTIFS('Weekly Log'!$G:$G,"Y",'Weekly Log'!$A:$A,"&gt;="&amp;$J605,'Weekly Log'!$A:$A,"&lt;"&amp;$J605+7)/COUNTIFS('Weekly Log'!$G:$G,"&lt;&gt;",'Weekly Log'!$A:$A,"&gt;="&amp;$J605,'Weekly Log'!$A:$A,"&lt;"&amp;$J605+7),0))</f>
        <v/>
      </c>
      <c r="D605">
        <f>IF($J605="","",IFERROR(COUNTIFS('Weekly Log'!$H:$H,"Y",'Weekly Log'!$A:$A,"&gt;="&amp;$J605,'Weekly Log'!$A:$A,"&lt;"&amp;$J605+7)/COUNTIFS('Weekly Log'!$H:$H,"&lt;&gt;",'Weekly Log'!$A:$A,"&gt;="&amp;$J605,'Weekly Log'!$A:$A,"&lt;"&amp;$J605+7),0))</f>
        <v/>
      </c>
      <c r="E605">
        <f>IF($J605="","",IFERROR(AVERAGEIFS('Weekly Log'!$F:$F,'Weekly Log'!$A:$A,"&gt;="&amp;$J605,'Weekly Log'!$A:$A,"&lt;"&amp;$J605+7),0))</f>
        <v/>
      </c>
      <c r="F605">
        <f>IF($J605="","",IFERROR(SUMIFS('Weekly Log'!$F:$F,'Weekly Log'!$A:$A,"&gt;="&amp;$J605,'Weekly Log'!$A:$A,"&lt;"&amp;$J605+7)/SUMIFS('Weekly Log'!$E:$E,'Weekly Log'!$A:$A,"&gt;="&amp;$J605,'Weekly Log'!$A:$A,"&lt;"&amp;$J605+7),0))</f>
        <v/>
      </c>
      <c r="G605">
        <f>IF($J605="","",IFERROR(LOOKUP(2,1/(('Weekly Log'!$A$5:$A$5000&gt;=$J605)*('Weekly Log'!$A$5:$A$5000&lt;$J605+7)*('Weekly Log'!$M$5:$M$5000&lt;&gt;"")),'Weekly Log'!$M$5:$M$5000),0))</f>
        <v/>
      </c>
      <c r="J605">
        <f>IF(COUNT('Weekly Log'!$A$5:$A$5000)=0,"",IF(MIN('Weekly Log'!$A$5:$A$5000)+7*(ROW()-10)&gt;MAX('Weekly Log'!$A$5:$A$5000),"",MIN('Weekly Log'!$A$5:$A$5000)+7*(ROW()-10)))</f>
        <v/>
      </c>
    </row>
    <row r="606">
      <c r="A606">
        <f>IF($J606="","",YEAR($J606-WEEKDAY($J606,2)+4)&amp;"-W"&amp;TEXT(WEEKNUM($J606,21),"00"))</f>
        <v/>
      </c>
      <c r="B606">
        <f>IF($J606="","",SUMIFS('Weekly Log'!$C:$C,'Weekly Log'!$A:$A,"&gt;="&amp;$J606,'Weekly Log'!$A:$A,"&lt;"&amp;$J606+7))</f>
        <v/>
      </c>
      <c r="C606">
        <f>IF($J606="","",IFERROR(COUNTIFS('Weekly Log'!$G:$G,"Y",'Weekly Log'!$A:$A,"&gt;="&amp;$J606,'Weekly Log'!$A:$A,"&lt;"&amp;$J606+7)/COUNTIFS('Weekly Log'!$G:$G,"&lt;&gt;",'Weekly Log'!$A:$A,"&gt;="&amp;$J606,'Weekly Log'!$A:$A,"&lt;"&amp;$J606+7),0))</f>
        <v/>
      </c>
      <c r="D606">
        <f>IF($J606="","",IFERROR(COUNTIFS('Weekly Log'!$H:$H,"Y",'Weekly Log'!$A:$A,"&gt;="&amp;$J606,'Weekly Log'!$A:$A,"&lt;"&amp;$J606+7)/COUNTIFS('Weekly Log'!$H:$H,"&lt;&gt;",'Weekly Log'!$A:$A,"&gt;="&amp;$J606,'Weekly Log'!$A:$A,"&lt;"&amp;$J606+7),0))</f>
        <v/>
      </c>
      <c r="E606">
        <f>IF($J606="","",IFERROR(AVERAGEIFS('Weekly Log'!$F:$F,'Weekly Log'!$A:$A,"&gt;="&amp;$J606,'Weekly Log'!$A:$A,"&lt;"&amp;$J606+7),0))</f>
        <v/>
      </c>
      <c r="F606">
        <f>IF($J606="","",IFERROR(SUMIFS('Weekly Log'!$F:$F,'Weekly Log'!$A:$A,"&gt;="&amp;$J606,'Weekly Log'!$A:$A,"&lt;"&amp;$J606+7)/SUMIFS('Weekly Log'!$E:$E,'Weekly Log'!$A:$A,"&gt;="&amp;$J606,'Weekly Log'!$A:$A,"&lt;"&amp;$J606+7),0))</f>
        <v/>
      </c>
      <c r="G606">
        <f>IF($J606="","",IFERROR(LOOKUP(2,1/(('Weekly Log'!$A$5:$A$5000&gt;=$J606)*('Weekly Log'!$A$5:$A$5000&lt;$J606+7)*('Weekly Log'!$M$5:$M$5000&lt;&gt;"")),'Weekly Log'!$M$5:$M$5000),0))</f>
        <v/>
      </c>
      <c r="J606">
        <f>IF(COUNT('Weekly Log'!$A$5:$A$5000)=0,"",IF(MIN('Weekly Log'!$A$5:$A$5000)+7*(ROW()-10)&gt;MAX('Weekly Log'!$A$5:$A$5000),"",MIN('Weekly Log'!$A$5:$A$5000)+7*(ROW()-10)))</f>
        <v/>
      </c>
    </row>
    <row r="607">
      <c r="A607">
        <f>IF($J607="","",YEAR($J607-WEEKDAY($J607,2)+4)&amp;"-W"&amp;TEXT(WEEKNUM($J607,21),"00"))</f>
        <v/>
      </c>
      <c r="B607">
        <f>IF($J607="","",SUMIFS('Weekly Log'!$C:$C,'Weekly Log'!$A:$A,"&gt;="&amp;$J607,'Weekly Log'!$A:$A,"&lt;"&amp;$J607+7))</f>
        <v/>
      </c>
      <c r="C607">
        <f>IF($J607="","",IFERROR(COUNTIFS('Weekly Log'!$G:$G,"Y",'Weekly Log'!$A:$A,"&gt;="&amp;$J607,'Weekly Log'!$A:$A,"&lt;"&amp;$J607+7)/COUNTIFS('Weekly Log'!$G:$G,"&lt;&gt;",'Weekly Log'!$A:$A,"&gt;="&amp;$J607,'Weekly Log'!$A:$A,"&lt;"&amp;$J607+7),0))</f>
        <v/>
      </c>
      <c r="D607">
        <f>IF($J607="","",IFERROR(COUNTIFS('Weekly Log'!$H:$H,"Y",'Weekly Log'!$A:$A,"&gt;="&amp;$J607,'Weekly Log'!$A:$A,"&lt;"&amp;$J607+7)/COUNTIFS('Weekly Log'!$H:$H,"&lt;&gt;",'Weekly Log'!$A:$A,"&gt;="&amp;$J607,'Weekly Log'!$A:$A,"&lt;"&amp;$J607+7),0))</f>
        <v/>
      </c>
      <c r="E607">
        <f>IF($J607="","",IFERROR(AVERAGEIFS('Weekly Log'!$F:$F,'Weekly Log'!$A:$A,"&gt;="&amp;$J607,'Weekly Log'!$A:$A,"&lt;"&amp;$J607+7),0))</f>
        <v/>
      </c>
      <c r="F607">
        <f>IF($J607="","",IFERROR(SUMIFS('Weekly Log'!$F:$F,'Weekly Log'!$A:$A,"&gt;="&amp;$J607,'Weekly Log'!$A:$A,"&lt;"&amp;$J607+7)/SUMIFS('Weekly Log'!$E:$E,'Weekly Log'!$A:$A,"&gt;="&amp;$J607,'Weekly Log'!$A:$A,"&lt;"&amp;$J607+7),0))</f>
        <v/>
      </c>
      <c r="G607">
        <f>IF($J607="","",IFERROR(LOOKUP(2,1/(('Weekly Log'!$A$5:$A$5000&gt;=$J607)*('Weekly Log'!$A$5:$A$5000&lt;$J607+7)*('Weekly Log'!$M$5:$M$5000&lt;&gt;"")),'Weekly Log'!$M$5:$M$5000),0))</f>
        <v/>
      </c>
      <c r="J607">
        <f>IF(COUNT('Weekly Log'!$A$5:$A$5000)=0,"",IF(MIN('Weekly Log'!$A$5:$A$5000)+7*(ROW()-10)&gt;MAX('Weekly Log'!$A$5:$A$5000),"",MIN('Weekly Log'!$A$5:$A$5000)+7*(ROW()-10)))</f>
        <v/>
      </c>
    </row>
    <row r="608">
      <c r="A608">
        <f>IF($J608="","",YEAR($J608-WEEKDAY($J608,2)+4)&amp;"-W"&amp;TEXT(WEEKNUM($J608,21),"00"))</f>
        <v/>
      </c>
      <c r="B608">
        <f>IF($J608="","",SUMIFS('Weekly Log'!$C:$C,'Weekly Log'!$A:$A,"&gt;="&amp;$J608,'Weekly Log'!$A:$A,"&lt;"&amp;$J608+7))</f>
        <v/>
      </c>
      <c r="C608">
        <f>IF($J608="","",IFERROR(COUNTIFS('Weekly Log'!$G:$G,"Y",'Weekly Log'!$A:$A,"&gt;="&amp;$J608,'Weekly Log'!$A:$A,"&lt;"&amp;$J608+7)/COUNTIFS('Weekly Log'!$G:$G,"&lt;&gt;",'Weekly Log'!$A:$A,"&gt;="&amp;$J608,'Weekly Log'!$A:$A,"&lt;"&amp;$J608+7),0))</f>
        <v/>
      </c>
      <c r="D608">
        <f>IF($J608="","",IFERROR(COUNTIFS('Weekly Log'!$H:$H,"Y",'Weekly Log'!$A:$A,"&gt;="&amp;$J608,'Weekly Log'!$A:$A,"&lt;"&amp;$J608+7)/COUNTIFS('Weekly Log'!$H:$H,"&lt;&gt;",'Weekly Log'!$A:$A,"&gt;="&amp;$J608,'Weekly Log'!$A:$A,"&lt;"&amp;$J608+7),0))</f>
        <v/>
      </c>
      <c r="E608">
        <f>IF($J608="","",IFERROR(AVERAGEIFS('Weekly Log'!$F:$F,'Weekly Log'!$A:$A,"&gt;="&amp;$J608,'Weekly Log'!$A:$A,"&lt;"&amp;$J608+7),0))</f>
        <v/>
      </c>
      <c r="F608">
        <f>IF($J608="","",IFERROR(SUMIFS('Weekly Log'!$F:$F,'Weekly Log'!$A:$A,"&gt;="&amp;$J608,'Weekly Log'!$A:$A,"&lt;"&amp;$J608+7)/SUMIFS('Weekly Log'!$E:$E,'Weekly Log'!$A:$A,"&gt;="&amp;$J608,'Weekly Log'!$A:$A,"&lt;"&amp;$J608+7),0))</f>
        <v/>
      </c>
      <c r="G608">
        <f>IF($J608="","",IFERROR(LOOKUP(2,1/(('Weekly Log'!$A$5:$A$5000&gt;=$J608)*('Weekly Log'!$A$5:$A$5000&lt;$J608+7)*('Weekly Log'!$M$5:$M$5000&lt;&gt;"")),'Weekly Log'!$M$5:$M$5000),0))</f>
        <v/>
      </c>
      <c r="J608">
        <f>IF(COUNT('Weekly Log'!$A$5:$A$5000)=0,"",IF(MIN('Weekly Log'!$A$5:$A$5000)+7*(ROW()-10)&gt;MAX('Weekly Log'!$A$5:$A$5000),"",MIN('Weekly Log'!$A$5:$A$5000)+7*(ROW()-10)))</f>
        <v/>
      </c>
    </row>
    <row r="609">
      <c r="A609">
        <f>IF($J609="","",YEAR($J609-WEEKDAY($J609,2)+4)&amp;"-W"&amp;TEXT(WEEKNUM($J609,21),"00"))</f>
        <v/>
      </c>
      <c r="B609">
        <f>IF($J609="","",SUMIFS('Weekly Log'!$C:$C,'Weekly Log'!$A:$A,"&gt;="&amp;$J609,'Weekly Log'!$A:$A,"&lt;"&amp;$J609+7))</f>
        <v/>
      </c>
      <c r="C609">
        <f>IF($J609="","",IFERROR(COUNTIFS('Weekly Log'!$G:$G,"Y",'Weekly Log'!$A:$A,"&gt;="&amp;$J609,'Weekly Log'!$A:$A,"&lt;"&amp;$J609+7)/COUNTIFS('Weekly Log'!$G:$G,"&lt;&gt;",'Weekly Log'!$A:$A,"&gt;="&amp;$J609,'Weekly Log'!$A:$A,"&lt;"&amp;$J609+7),0))</f>
        <v/>
      </c>
      <c r="D609">
        <f>IF($J609="","",IFERROR(COUNTIFS('Weekly Log'!$H:$H,"Y",'Weekly Log'!$A:$A,"&gt;="&amp;$J609,'Weekly Log'!$A:$A,"&lt;"&amp;$J609+7)/COUNTIFS('Weekly Log'!$H:$H,"&lt;&gt;",'Weekly Log'!$A:$A,"&gt;="&amp;$J609,'Weekly Log'!$A:$A,"&lt;"&amp;$J609+7),0))</f>
        <v/>
      </c>
      <c r="E609">
        <f>IF($J609="","",IFERROR(AVERAGEIFS('Weekly Log'!$F:$F,'Weekly Log'!$A:$A,"&gt;="&amp;$J609,'Weekly Log'!$A:$A,"&lt;"&amp;$J609+7),0))</f>
        <v/>
      </c>
      <c r="F609">
        <f>IF($J609="","",IFERROR(SUMIFS('Weekly Log'!$F:$F,'Weekly Log'!$A:$A,"&gt;="&amp;$J609,'Weekly Log'!$A:$A,"&lt;"&amp;$J609+7)/SUMIFS('Weekly Log'!$E:$E,'Weekly Log'!$A:$A,"&gt;="&amp;$J609,'Weekly Log'!$A:$A,"&lt;"&amp;$J609+7),0))</f>
        <v/>
      </c>
      <c r="G609">
        <f>IF($J609="","",IFERROR(LOOKUP(2,1/(('Weekly Log'!$A$5:$A$5000&gt;=$J609)*('Weekly Log'!$A$5:$A$5000&lt;$J609+7)*('Weekly Log'!$M$5:$M$5000&lt;&gt;"")),'Weekly Log'!$M$5:$M$5000),0))</f>
        <v/>
      </c>
      <c r="J609">
        <f>IF(COUNT('Weekly Log'!$A$5:$A$5000)=0,"",IF(MIN('Weekly Log'!$A$5:$A$5000)+7*(ROW()-10)&gt;MAX('Weekly Log'!$A$5:$A$5000),"",MIN('Weekly Log'!$A$5:$A$5000)+7*(ROW()-10)))</f>
        <v/>
      </c>
    </row>
    <row r="610">
      <c r="A610">
        <f>IF($J610="","",YEAR($J610-WEEKDAY($J610,2)+4)&amp;"-W"&amp;TEXT(WEEKNUM($J610,21),"00"))</f>
        <v/>
      </c>
      <c r="B610">
        <f>IF($J610="","",SUMIFS('Weekly Log'!$C:$C,'Weekly Log'!$A:$A,"&gt;="&amp;$J610,'Weekly Log'!$A:$A,"&lt;"&amp;$J610+7))</f>
        <v/>
      </c>
      <c r="C610">
        <f>IF($J610="","",IFERROR(COUNTIFS('Weekly Log'!$G:$G,"Y",'Weekly Log'!$A:$A,"&gt;="&amp;$J610,'Weekly Log'!$A:$A,"&lt;"&amp;$J610+7)/COUNTIFS('Weekly Log'!$G:$G,"&lt;&gt;",'Weekly Log'!$A:$A,"&gt;="&amp;$J610,'Weekly Log'!$A:$A,"&lt;"&amp;$J610+7),0))</f>
        <v/>
      </c>
      <c r="D610">
        <f>IF($J610="","",IFERROR(COUNTIFS('Weekly Log'!$H:$H,"Y",'Weekly Log'!$A:$A,"&gt;="&amp;$J610,'Weekly Log'!$A:$A,"&lt;"&amp;$J610+7)/COUNTIFS('Weekly Log'!$H:$H,"&lt;&gt;",'Weekly Log'!$A:$A,"&gt;="&amp;$J610,'Weekly Log'!$A:$A,"&lt;"&amp;$J610+7),0))</f>
        <v/>
      </c>
      <c r="E610">
        <f>IF($J610="","",IFERROR(AVERAGEIFS('Weekly Log'!$F:$F,'Weekly Log'!$A:$A,"&gt;="&amp;$J610,'Weekly Log'!$A:$A,"&lt;"&amp;$J610+7),0))</f>
        <v/>
      </c>
      <c r="F610">
        <f>IF($J610="","",IFERROR(SUMIFS('Weekly Log'!$F:$F,'Weekly Log'!$A:$A,"&gt;="&amp;$J610,'Weekly Log'!$A:$A,"&lt;"&amp;$J610+7)/SUMIFS('Weekly Log'!$E:$E,'Weekly Log'!$A:$A,"&gt;="&amp;$J610,'Weekly Log'!$A:$A,"&lt;"&amp;$J610+7),0))</f>
        <v/>
      </c>
      <c r="G610">
        <f>IF($J610="","",IFERROR(LOOKUP(2,1/(('Weekly Log'!$A$5:$A$5000&gt;=$J610)*('Weekly Log'!$A$5:$A$5000&lt;$J610+7)*('Weekly Log'!$M$5:$M$5000&lt;&gt;"")),'Weekly Log'!$M$5:$M$5000),0))</f>
        <v/>
      </c>
      <c r="J610">
        <f>IF(COUNT('Weekly Log'!$A$5:$A$5000)=0,"",IF(MIN('Weekly Log'!$A$5:$A$5000)+7*(ROW()-10)&gt;MAX('Weekly Log'!$A$5:$A$5000),"",MIN('Weekly Log'!$A$5:$A$5000)+7*(ROW()-10)))</f>
        <v/>
      </c>
    </row>
    <row r="611">
      <c r="A611">
        <f>IF($J611="","",YEAR($J611-WEEKDAY($J611,2)+4)&amp;"-W"&amp;TEXT(WEEKNUM($J611,21),"00"))</f>
        <v/>
      </c>
      <c r="B611">
        <f>IF($J611="","",SUMIFS('Weekly Log'!$C:$C,'Weekly Log'!$A:$A,"&gt;="&amp;$J611,'Weekly Log'!$A:$A,"&lt;"&amp;$J611+7))</f>
        <v/>
      </c>
      <c r="C611">
        <f>IF($J611="","",IFERROR(COUNTIFS('Weekly Log'!$G:$G,"Y",'Weekly Log'!$A:$A,"&gt;="&amp;$J611,'Weekly Log'!$A:$A,"&lt;"&amp;$J611+7)/COUNTIFS('Weekly Log'!$G:$G,"&lt;&gt;",'Weekly Log'!$A:$A,"&gt;="&amp;$J611,'Weekly Log'!$A:$A,"&lt;"&amp;$J611+7),0))</f>
        <v/>
      </c>
      <c r="D611">
        <f>IF($J611="","",IFERROR(COUNTIFS('Weekly Log'!$H:$H,"Y",'Weekly Log'!$A:$A,"&gt;="&amp;$J611,'Weekly Log'!$A:$A,"&lt;"&amp;$J611+7)/COUNTIFS('Weekly Log'!$H:$H,"&lt;&gt;",'Weekly Log'!$A:$A,"&gt;="&amp;$J611,'Weekly Log'!$A:$A,"&lt;"&amp;$J611+7),0))</f>
        <v/>
      </c>
      <c r="E611">
        <f>IF($J611="","",IFERROR(AVERAGEIFS('Weekly Log'!$F:$F,'Weekly Log'!$A:$A,"&gt;="&amp;$J611,'Weekly Log'!$A:$A,"&lt;"&amp;$J611+7),0))</f>
        <v/>
      </c>
      <c r="F611">
        <f>IF($J611="","",IFERROR(SUMIFS('Weekly Log'!$F:$F,'Weekly Log'!$A:$A,"&gt;="&amp;$J611,'Weekly Log'!$A:$A,"&lt;"&amp;$J611+7)/SUMIFS('Weekly Log'!$E:$E,'Weekly Log'!$A:$A,"&gt;="&amp;$J611,'Weekly Log'!$A:$A,"&lt;"&amp;$J611+7),0))</f>
        <v/>
      </c>
      <c r="G611">
        <f>IF($J611="","",IFERROR(LOOKUP(2,1/(('Weekly Log'!$A$5:$A$5000&gt;=$J611)*('Weekly Log'!$A$5:$A$5000&lt;$J611+7)*('Weekly Log'!$M$5:$M$5000&lt;&gt;"")),'Weekly Log'!$M$5:$M$5000),0))</f>
        <v/>
      </c>
      <c r="J611">
        <f>IF(COUNT('Weekly Log'!$A$5:$A$5000)=0,"",IF(MIN('Weekly Log'!$A$5:$A$5000)+7*(ROW()-10)&gt;MAX('Weekly Log'!$A$5:$A$5000),"",MIN('Weekly Log'!$A$5:$A$5000)+7*(ROW()-10)))</f>
        <v/>
      </c>
    </row>
    <row r="612">
      <c r="A612">
        <f>IF($J612="","",YEAR($J612-WEEKDAY($J612,2)+4)&amp;"-W"&amp;TEXT(WEEKNUM($J612,21),"00"))</f>
        <v/>
      </c>
      <c r="B612">
        <f>IF($J612="","",SUMIFS('Weekly Log'!$C:$C,'Weekly Log'!$A:$A,"&gt;="&amp;$J612,'Weekly Log'!$A:$A,"&lt;"&amp;$J612+7))</f>
        <v/>
      </c>
      <c r="C612">
        <f>IF($J612="","",IFERROR(COUNTIFS('Weekly Log'!$G:$G,"Y",'Weekly Log'!$A:$A,"&gt;="&amp;$J612,'Weekly Log'!$A:$A,"&lt;"&amp;$J612+7)/COUNTIFS('Weekly Log'!$G:$G,"&lt;&gt;",'Weekly Log'!$A:$A,"&gt;="&amp;$J612,'Weekly Log'!$A:$A,"&lt;"&amp;$J612+7),0))</f>
        <v/>
      </c>
      <c r="D612">
        <f>IF($J612="","",IFERROR(COUNTIFS('Weekly Log'!$H:$H,"Y",'Weekly Log'!$A:$A,"&gt;="&amp;$J612,'Weekly Log'!$A:$A,"&lt;"&amp;$J612+7)/COUNTIFS('Weekly Log'!$H:$H,"&lt;&gt;",'Weekly Log'!$A:$A,"&gt;="&amp;$J612,'Weekly Log'!$A:$A,"&lt;"&amp;$J612+7),0))</f>
        <v/>
      </c>
      <c r="E612">
        <f>IF($J612="","",IFERROR(AVERAGEIFS('Weekly Log'!$F:$F,'Weekly Log'!$A:$A,"&gt;="&amp;$J612,'Weekly Log'!$A:$A,"&lt;"&amp;$J612+7),0))</f>
        <v/>
      </c>
      <c r="F612">
        <f>IF($J612="","",IFERROR(SUMIFS('Weekly Log'!$F:$F,'Weekly Log'!$A:$A,"&gt;="&amp;$J612,'Weekly Log'!$A:$A,"&lt;"&amp;$J612+7)/SUMIFS('Weekly Log'!$E:$E,'Weekly Log'!$A:$A,"&gt;="&amp;$J612,'Weekly Log'!$A:$A,"&lt;"&amp;$J612+7),0))</f>
        <v/>
      </c>
      <c r="G612">
        <f>IF($J612="","",IFERROR(LOOKUP(2,1/(('Weekly Log'!$A$5:$A$5000&gt;=$J612)*('Weekly Log'!$A$5:$A$5000&lt;$J612+7)*('Weekly Log'!$M$5:$M$5000&lt;&gt;"")),'Weekly Log'!$M$5:$M$5000),0))</f>
        <v/>
      </c>
      <c r="J612">
        <f>IF(COUNT('Weekly Log'!$A$5:$A$5000)=0,"",IF(MIN('Weekly Log'!$A$5:$A$5000)+7*(ROW()-10)&gt;MAX('Weekly Log'!$A$5:$A$5000),"",MIN('Weekly Log'!$A$5:$A$5000)+7*(ROW()-10)))</f>
        <v/>
      </c>
    </row>
    <row r="613">
      <c r="A613">
        <f>IF($J613="","",YEAR($J613-WEEKDAY($J613,2)+4)&amp;"-W"&amp;TEXT(WEEKNUM($J613,21),"00"))</f>
        <v/>
      </c>
      <c r="B613">
        <f>IF($J613="","",SUMIFS('Weekly Log'!$C:$C,'Weekly Log'!$A:$A,"&gt;="&amp;$J613,'Weekly Log'!$A:$A,"&lt;"&amp;$J613+7))</f>
        <v/>
      </c>
      <c r="C613">
        <f>IF($J613="","",IFERROR(COUNTIFS('Weekly Log'!$G:$G,"Y",'Weekly Log'!$A:$A,"&gt;="&amp;$J613,'Weekly Log'!$A:$A,"&lt;"&amp;$J613+7)/COUNTIFS('Weekly Log'!$G:$G,"&lt;&gt;",'Weekly Log'!$A:$A,"&gt;="&amp;$J613,'Weekly Log'!$A:$A,"&lt;"&amp;$J613+7),0))</f>
        <v/>
      </c>
      <c r="D613">
        <f>IF($J613="","",IFERROR(COUNTIFS('Weekly Log'!$H:$H,"Y",'Weekly Log'!$A:$A,"&gt;="&amp;$J613,'Weekly Log'!$A:$A,"&lt;"&amp;$J613+7)/COUNTIFS('Weekly Log'!$H:$H,"&lt;&gt;",'Weekly Log'!$A:$A,"&gt;="&amp;$J613,'Weekly Log'!$A:$A,"&lt;"&amp;$J613+7),0))</f>
        <v/>
      </c>
      <c r="E613">
        <f>IF($J613="","",IFERROR(AVERAGEIFS('Weekly Log'!$F:$F,'Weekly Log'!$A:$A,"&gt;="&amp;$J613,'Weekly Log'!$A:$A,"&lt;"&amp;$J613+7),0))</f>
        <v/>
      </c>
      <c r="F613">
        <f>IF($J613="","",IFERROR(SUMIFS('Weekly Log'!$F:$F,'Weekly Log'!$A:$A,"&gt;="&amp;$J613,'Weekly Log'!$A:$A,"&lt;"&amp;$J613+7)/SUMIFS('Weekly Log'!$E:$E,'Weekly Log'!$A:$A,"&gt;="&amp;$J613,'Weekly Log'!$A:$A,"&lt;"&amp;$J613+7),0))</f>
        <v/>
      </c>
      <c r="G613">
        <f>IF($J613="","",IFERROR(LOOKUP(2,1/(('Weekly Log'!$A$5:$A$5000&gt;=$J613)*('Weekly Log'!$A$5:$A$5000&lt;$J613+7)*('Weekly Log'!$M$5:$M$5000&lt;&gt;"")),'Weekly Log'!$M$5:$M$5000),0))</f>
        <v/>
      </c>
      <c r="J613">
        <f>IF(COUNT('Weekly Log'!$A$5:$A$5000)=0,"",IF(MIN('Weekly Log'!$A$5:$A$5000)+7*(ROW()-10)&gt;MAX('Weekly Log'!$A$5:$A$5000),"",MIN('Weekly Log'!$A$5:$A$5000)+7*(ROW()-10)))</f>
        <v/>
      </c>
    </row>
    <row r="614">
      <c r="A614">
        <f>IF($J614="","",YEAR($J614-WEEKDAY($J614,2)+4)&amp;"-W"&amp;TEXT(WEEKNUM($J614,21),"00"))</f>
        <v/>
      </c>
      <c r="B614">
        <f>IF($J614="","",SUMIFS('Weekly Log'!$C:$C,'Weekly Log'!$A:$A,"&gt;="&amp;$J614,'Weekly Log'!$A:$A,"&lt;"&amp;$J614+7))</f>
        <v/>
      </c>
      <c r="C614">
        <f>IF($J614="","",IFERROR(COUNTIFS('Weekly Log'!$G:$G,"Y",'Weekly Log'!$A:$A,"&gt;="&amp;$J614,'Weekly Log'!$A:$A,"&lt;"&amp;$J614+7)/COUNTIFS('Weekly Log'!$G:$G,"&lt;&gt;",'Weekly Log'!$A:$A,"&gt;="&amp;$J614,'Weekly Log'!$A:$A,"&lt;"&amp;$J614+7),0))</f>
        <v/>
      </c>
      <c r="D614">
        <f>IF($J614="","",IFERROR(COUNTIFS('Weekly Log'!$H:$H,"Y",'Weekly Log'!$A:$A,"&gt;="&amp;$J614,'Weekly Log'!$A:$A,"&lt;"&amp;$J614+7)/COUNTIFS('Weekly Log'!$H:$H,"&lt;&gt;",'Weekly Log'!$A:$A,"&gt;="&amp;$J614,'Weekly Log'!$A:$A,"&lt;"&amp;$J614+7),0))</f>
        <v/>
      </c>
      <c r="E614">
        <f>IF($J614="","",IFERROR(AVERAGEIFS('Weekly Log'!$F:$F,'Weekly Log'!$A:$A,"&gt;="&amp;$J614,'Weekly Log'!$A:$A,"&lt;"&amp;$J614+7),0))</f>
        <v/>
      </c>
      <c r="F614">
        <f>IF($J614="","",IFERROR(SUMIFS('Weekly Log'!$F:$F,'Weekly Log'!$A:$A,"&gt;="&amp;$J614,'Weekly Log'!$A:$A,"&lt;"&amp;$J614+7)/SUMIFS('Weekly Log'!$E:$E,'Weekly Log'!$A:$A,"&gt;="&amp;$J614,'Weekly Log'!$A:$A,"&lt;"&amp;$J614+7),0))</f>
        <v/>
      </c>
      <c r="G614">
        <f>IF($J614="","",IFERROR(LOOKUP(2,1/(('Weekly Log'!$A$5:$A$5000&gt;=$J614)*('Weekly Log'!$A$5:$A$5000&lt;$J614+7)*('Weekly Log'!$M$5:$M$5000&lt;&gt;"")),'Weekly Log'!$M$5:$M$5000),0))</f>
        <v/>
      </c>
      <c r="J614">
        <f>IF(COUNT('Weekly Log'!$A$5:$A$5000)=0,"",IF(MIN('Weekly Log'!$A$5:$A$5000)+7*(ROW()-10)&gt;MAX('Weekly Log'!$A$5:$A$5000),"",MIN('Weekly Log'!$A$5:$A$5000)+7*(ROW()-10)))</f>
        <v/>
      </c>
    </row>
    <row r="615">
      <c r="A615">
        <f>IF($J615="","",YEAR($J615-WEEKDAY($J615,2)+4)&amp;"-W"&amp;TEXT(WEEKNUM($J615,21),"00"))</f>
        <v/>
      </c>
      <c r="B615">
        <f>IF($J615="","",SUMIFS('Weekly Log'!$C:$C,'Weekly Log'!$A:$A,"&gt;="&amp;$J615,'Weekly Log'!$A:$A,"&lt;"&amp;$J615+7))</f>
        <v/>
      </c>
      <c r="C615">
        <f>IF($J615="","",IFERROR(COUNTIFS('Weekly Log'!$G:$G,"Y",'Weekly Log'!$A:$A,"&gt;="&amp;$J615,'Weekly Log'!$A:$A,"&lt;"&amp;$J615+7)/COUNTIFS('Weekly Log'!$G:$G,"&lt;&gt;",'Weekly Log'!$A:$A,"&gt;="&amp;$J615,'Weekly Log'!$A:$A,"&lt;"&amp;$J615+7),0))</f>
        <v/>
      </c>
      <c r="D615">
        <f>IF($J615="","",IFERROR(COUNTIFS('Weekly Log'!$H:$H,"Y",'Weekly Log'!$A:$A,"&gt;="&amp;$J615,'Weekly Log'!$A:$A,"&lt;"&amp;$J615+7)/COUNTIFS('Weekly Log'!$H:$H,"&lt;&gt;",'Weekly Log'!$A:$A,"&gt;="&amp;$J615,'Weekly Log'!$A:$A,"&lt;"&amp;$J615+7),0))</f>
        <v/>
      </c>
      <c r="E615">
        <f>IF($J615="","",IFERROR(AVERAGEIFS('Weekly Log'!$F:$F,'Weekly Log'!$A:$A,"&gt;="&amp;$J615,'Weekly Log'!$A:$A,"&lt;"&amp;$J615+7),0))</f>
        <v/>
      </c>
      <c r="F615">
        <f>IF($J615="","",IFERROR(SUMIFS('Weekly Log'!$F:$F,'Weekly Log'!$A:$A,"&gt;="&amp;$J615,'Weekly Log'!$A:$A,"&lt;"&amp;$J615+7)/SUMIFS('Weekly Log'!$E:$E,'Weekly Log'!$A:$A,"&gt;="&amp;$J615,'Weekly Log'!$A:$A,"&lt;"&amp;$J615+7),0))</f>
        <v/>
      </c>
      <c r="G615">
        <f>IF($J615="","",IFERROR(LOOKUP(2,1/(('Weekly Log'!$A$5:$A$5000&gt;=$J615)*('Weekly Log'!$A$5:$A$5000&lt;$J615+7)*('Weekly Log'!$M$5:$M$5000&lt;&gt;"")),'Weekly Log'!$M$5:$M$5000),0))</f>
        <v/>
      </c>
      <c r="J615">
        <f>IF(COUNT('Weekly Log'!$A$5:$A$5000)=0,"",IF(MIN('Weekly Log'!$A$5:$A$5000)+7*(ROW()-10)&gt;MAX('Weekly Log'!$A$5:$A$5000),"",MIN('Weekly Log'!$A$5:$A$5000)+7*(ROW()-10)))</f>
        <v/>
      </c>
    </row>
    <row r="616">
      <c r="A616">
        <f>IF($J616="","",YEAR($J616-WEEKDAY($J616,2)+4)&amp;"-W"&amp;TEXT(WEEKNUM($J616,21),"00"))</f>
        <v/>
      </c>
      <c r="B616">
        <f>IF($J616="","",SUMIFS('Weekly Log'!$C:$C,'Weekly Log'!$A:$A,"&gt;="&amp;$J616,'Weekly Log'!$A:$A,"&lt;"&amp;$J616+7))</f>
        <v/>
      </c>
      <c r="C616">
        <f>IF($J616="","",IFERROR(COUNTIFS('Weekly Log'!$G:$G,"Y",'Weekly Log'!$A:$A,"&gt;="&amp;$J616,'Weekly Log'!$A:$A,"&lt;"&amp;$J616+7)/COUNTIFS('Weekly Log'!$G:$G,"&lt;&gt;",'Weekly Log'!$A:$A,"&gt;="&amp;$J616,'Weekly Log'!$A:$A,"&lt;"&amp;$J616+7),0))</f>
        <v/>
      </c>
      <c r="D616">
        <f>IF($J616="","",IFERROR(COUNTIFS('Weekly Log'!$H:$H,"Y",'Weekly Log'!$A:$A,"&gt;="&amp;$J616,'Weekly Log'!$A:$A,"&lt;"&amp;$J616+7)/COUNTIFS('Weekly Log'!$H:$H,"&lt;&gt;",'Weekly Log'!$A:$A,"&gt;="&amp;$J616,'Weekly Log'!$A:$A,"&lt;"&amp;$J616+7),0))</f>
        <v/>
      </c>
      <c r="E616">
        <f>IF($J616="","",IFERROR(AVERAGEIFS('Weekly Log'!$F:$F,'Weekly Log'!$A:$A,"&gt;="&amp;$J616,'Weekly Log'!$A:$A,"&lt;"&amp;$J616+7),0))</f>
        <v/>
      </c>
      <c r="F616">
        <f>IF($J616="","",IFERROR(SUMIFS('Weekly Log'!$F:$F,'Weekly Log'!$A:$A,"&gt;="&amp;$J616,'Weekly Log'!$A:$A,"&lt;"&amp;$J616+7)/SUMIFS('Weekly Log'!$E:$E,'Weekly Log'!$A:$A,"&gt;="&amp;$J616,'Weekly Log'!$A:$A,"&lt;"&amp;$J616+7),0))</f>
        <v/>
      </c>
      <c r="G616">
        <f>IF($J616="","",IFERROR(LOOKUP(2,1/(('Weekly Log'!$A$5:$A$5000&gt;=$J616)*('Weekly Log'!$A$5:$A$5000&lt;$J616+7)*('Weekly Log'!$M$5:$M$5000&lt;&gt;"")),'Weekly Log'!$M$5:$M$5000),0))</f>
        <v/>
      </c>
      <c r="J616">
        <f>IF(COUNT('Weekly Log'!$A$5:$A$5000)=0,"",IF(MIN('Weekly Log'!$A$5:$A$5000)+7*(ROW()-10)&gt;MAX('Weekly Log'!$A$5:$A$5000),"",MIN('Weekly Log'!$A$5:$A$5000)+7*(ROW()-10)))</f>
        <v/>
      </c>
    </row>
    <row r="617">
      <c r="A617">
        <f>IF($J617="","",YEAR($J617-WEEKDAY($J617,2)+4)&amp;"-W"&amp;TEXT(WEEKNUM($J617,21),"00"))</f>
        <v/>
      </c>
      <c r="B617">
        <f>IF($J617="","",SUMIFS('Weekly Log'!$C:$C,'Weekly Log'!$A:$A,"&gt;="&amp;$J617,'Weekly Log'!$A:$A,"&lt;"&amp;$J617+7))</f>
        <v/>
      </c>
      <c r="C617">
        <f>IF($J617="","",IFERROR(COUNTIFS('Weekly Log'!$G:$G,"Y",'Weekly Log'!$A:$A,"&gt;="&amp;$J617,'Weekly Log'!$A:$A,"&lt;"&amp;$J617+7)/COUNTIFS('Weekly Log'!$G:$G,"&lt;&gt;",'Weekly Log'!$A:$A,"&gt;="&amp;$J617,'Weekly Log'!$A:$A,"&lt;"&amp;$J617+7),0))</f>
        <v/>
      </c>
      <c r="D617">
        <f>IF($J617="","",IFERROR(COUNTIFS('Weekly Log'!$H:$H,"Y",'Weekly Log'!$A:$A,"&gt;="&amp;$J617,'Weekly Log'!$A:$A,"&lt;"&amp;$J617+7)/COUNTIFS('Weekly Log'!$H:$H,"&lt;&gt;",'Weekly Log'!$A:$A,"&gt;="&amp;$J617,'Weekly Log'!$A:$A,"&lt;"&amp;$J617+7),0))</f>
        <v/>
      </c>
      <c r="E617">
        <f>IF($J617="","",IFERROR(AVERAGEIFS('Weekly Log'!$F:$F,'Weekly Log'!$A:$A,"&gt;="&amp;$J617,'Weekly Log'!$A:$A,"&lt;"&amp;$J617+7),0))</f>
        <v/>
      </c>
      <c r="F617">
        <f>IF($J617="","",IFERROR(SUMIFS('Weekly Log'!$F:$F,'Weekly Log'!$A:$A,"&gt;="&amp;$J617,'Weekly Log'!$A:$A,"&lt;"&amp;$J617+7)/SUMIFS('Weekly Log'!$E:$E,'Weekly Log'!$A:$A,"&gt;="&amp;$J617,'Weekly Log'!$A:$A,"&lt;"&amp;$J617+7),0))</f>
        <v/>
      </c>
      <c r="G617">
        <f>IF($J617="","",IFERROR(LOOKUP(2,1/(('Weekly Log'!$A$5:$A$5000&gt;=$J617)*('Weekly Log'!$A$5:$A$5000&lt;$J617+7)*('Weekly Log'!$M$5:$M$5000&lt;&gt;"")),'Weekly Log'!$M$5:$M$5000),0))</f>
        <v/>
      </c>
      <c r="J617">
        <f>IF(COUNT('Weekly Log'!$A$5:$A$5000)=0,"",IF(MIN('Weekly Log'!$A$5:$A$5000)+7*(ROW()-10)&gt;MAX('Weekly Log'!$A$5:$A$5000),"",MIN('Weekly Log'!$A$5:$A$5000)+7*(ROW()-10)))</f>
        <v/>
      </c>
    </row>
    <row r="618">
      <c r="A618">
        <f>IF($J618="","",YEAR($J618-WEEKDAY($J618,2)+4)&amp;"-W"&amp;TEXT(WEEKNUM($J618,21),"00"))</f>
        <v/>
      </c>
      <c r="B618">
        <f>IF($J618="","",SUMIFS('Weekly Log'!$C:$C,'Weekly Log'!$A:$A,"&gt;="&amp;$J618,'Weekly Log'!$A:$A,"&lt;"&amp;$J618+7))</f>
        <v/>
      </c>
      <c r="C618">
        <f>IF($J618="","",IFERROR(COUNTIFS('Weekly Log'!$G:$G,"Y",'Weekly Log'!$A:$A,"&gt;="&amp;$J618,'Weekly Log'!$A:$A,"&lt;"&amp;$J618+7)/COUNTIFS('Weekly Log'!$G:$G,"&lt;&gt;",'Weekly Log'!$A:$A,"&gt;="&amp;$J618,'Weekly Log'!$A:$A,"&lt;"&amp;$J618+7),0))</f>
        <v/>
      </c>
      <c r="D618">
        <f>IF($J618="","",IFERROR(COUNTIFS('Weekly Log'!$H:$H,"Y",'Weekly Log'!$A:$A,"&gt;="&amp;$J618,'Weekly Log'!$A:$A,"&lt;"&amp;$J618+7)/COUNTIFS('Weekly Log'!$H:$H,"&lt;&gt;",'Weekly Log'!$A:$A,"&gt;="&amp;$J618,'Weekly Log'!$A:$A,"&lt;"&amp;$J618+7),0))</f>
        <v/>
      </c>
      <c r="E618">
        <f>IF($J618="","",IFERROR(AVERAGEIFS('Weekly Log'!$F:$F,'Weekly Log'!$A:$A,"&gt;="&amp;$J618,'Weekly Log'!$A:$A,"&lt;"&amp;$J618+7),0))</f>
        <v/>
      </c>
      <c r="F618">
        <f>IF($J618="","",IFERROR(SUMIFS('Weekly Log'!$F:$F,'Weekly Log'!$A:$A,"&gt;="&amp;$J618,'Weekly Log'!$A:$A,"&lt;"&amp;$J618+7)/SUMIFS('Weekly Log'!$E:$E,'Weekly Log'!$A:$A,"&gt;="&amp;$J618,'Weekly Log'!$A:$A,"&lt;"&amp;$J618+7),0))</f>
        <v/>
      </c>
      <c r="G618">
        <f>IF($J618="","",IFERROR(LOOKUP(2,1/(('Weekly Log'!$A$5:$A$5000&gt;=$J618)*('Weekly Log'!$A$5:$A$5000&lt;$J618+7)*('Weekly Log'!$M$5:$M$5000&lt;&gt;"")),'Weekly Log'!$M$5:$M$5000),0))</f>
        <v/>
      </c>
      <c r="J618">
        <f>IF(COUNT('Weekly Log'!$A$5:$A$5000)=0,"",IF(MIN('Weekly Log'!$A$5:$A$5000)+7*(ROW()-10)&gt;MAX('Weekly Log'!$A$5:$A$5000),"",MIN('Weekly Log'!$A$5:$A$5000)+7*(ROW()-10)))</f>
        <v/>
      </c>
    </row>
    <row r="619">
      <c r="A619">
        <f>IF($J619="","",YEAR($J619-WEEKDAY($J619,2)+4)&amp;"-W"&amp;TEXT(WEEKNUM($J619,21),"00"))</f>
        <v/>
      </c>
      <c r="B619">
        <f>IF($J619="","",SUMIFS('Weekly Log'!$C:$C,'Weekly Log'!$A:$A,"&gt;="&amp;$J619,'Weekly Log'!$A:$A,"&lt;"&amp;$J619+7))</f>
        <v/>
      </c>
      <c r="C619">
        <f>IF($J619="","",IFERROR(COUNTIFS('Weekly Log'!$G:$G,"Y",'Weekly Log'!$A:$A,"&gt;="&amp;$J619,'Weekly Log'!$A:$A,"&lt;"&amp;$J619+7)/COUNTIFS('Weekly Log'!$G:$G,"&lt;&gt;",'Weekly Log'!$A:$A,"&gt;="&amp;$J619,'Weekly Log'!$A:$A,"&lt;"&amp;$J619+7),0))</f>
        <v/>
      </c>
      <c r="D619">
        <f>IF($J619="","",IFERROR(COUNTIFS('Weekly Log'!$H:$H,"Y",'Weekly Log'!$A:$A,"&gt;="&amp;$J619,'Weekly Log'!$A:$A,"&lt;"&amp;$J619+7)/COUNTIFS('Weekly Log'!$H:$H,"&lt;&gt;",'Weekly Log'!$A:$A,"&gt;="&amp;$J619,'Weekly Log'!$A:$A,"&lt;"&amp;$J619+7),0))</f>
        <v/>
      </c>
      <c r="E619">
        <f>IF($J619="","",IFERROR(AVERAGEIFS('Weekly Log'!$F:$F,'Weekly Log'!$A:$A,"&gt;="&amp;$J619,'Weekly Log'!$A:$A,"&lt;"&amp;$J619+7),0))</f>
        <v/>
      </c>
      <c r="F619">
        <f>IF($J619="","",IFERROR(SUMIFS('Weekly Log'!$F:$F,'Weekly Log'!$A:$A,"&gt;="&amp;$J619,'Weekly Log'!$A:$A,"&lt;"&amp;$J619+7)/SUMIFS('Weekly Log'!$E:$E,'Weekly Log'!$A:$A,"&gt;="&amp;$J619,'Weekly Log'!$A:$A,"&lt;"&amp;$J619+7),0))</f>
        <v/>
      </c>
      <c r="G619">
        <f>IF($J619="","",IFERROR(LOOKUP(2,1/(('Weekly Log'!$A$5:$A$5000&gt;=$J619)*('Weekly Log'!$A$5:$A$5000&lt;$J619+7)*('Weekly Log'!$M$5:$M$5000&lt;&gt;"")),'Weekly Log'!$M$5:$M$5000),0))</f>
        <v/>
      </c>
      <c r="J619">
        <f>IF(COUNT('Weekly Log'!$A$5:$A$5000)=0,"",IF(MIN('Weekly Log'!$A$5:$A$5000)+7*(ROW()-10)&gt;MAX('Weekly Log'!$A$5:$A$5000),"",MIN('Weekly Log'!$A$5:$A$5000)+7*(ROW()-10)))</f>
        <v/>
      </c>
    </row>
    <row r="620">
      <c r="A620">
        <f>IF($J620="","",YEAR($J620-WEEKDAY($J620,2)+4)&amp;"-W"&amp;TEXT(WEEKNUM($J620,21),"00"))</f>
        <v/>
      </c>
      <c r="B620">
        <f>IF($J620="","",SUMIFS('Weekly Log'!$C:$C,'Weekly Log'!$A:$A,"&gt;="&amp;$J620,'Weekly Log'!$A:$A,"&lt;"&amp;$J620+7))</f>
        <v/>
      </c>
      <c r="C620">
        <f>IF($J620="","",IFERROR(COUNTIFS('Weekly Log'!$G:$G,"Y",'Weekly Log'!$A:$A,"&gt;="&amp;$J620,'Weekly Log'!$A:$A,"&lt;"&amp;$J620+7)/COUNTIFS('Weekly Log'!$G:$G,"&lt;&gt;",'Weekly Log'!$A:$A,"&gt;="&amp;$J620,'Weekly Log'!$A:$A,"&lt;"&amp;$J620+7),0))</f>
        <v/>
      </c>
      <c r="D620">
        <f>IF($J620="","",IFERROR(COUNTIFS('Weekly Log'!$H:$H,"Y",'Weekly Log'!$A:$A,"&gt;="&amp;$J620,'Weekly Log'!$A:$A,"&lt;"&amp;$J620+7)/COUNTIFS('Weekly Log'!$H:$H,"&lt;&gt;",'Weekly Log'!$A:$A,"&gt;="&amp;$J620,'Weekly Log'!$A:$A,"&lt;"&amp;$J620+7),0))</f>
        <v/>
      </c>
      <c r="E620">
        <f>IF($J620="","",IFERROR(AVERAGEIFS('Weekly Log'!$F:$F,'Weekly Log'!$A:$A,"&gt;="&amp;$J620,'Weekly Log'!$A:$A,"&lt;"&amp;$J620+7),0))</f>
        <v/>
      </c>
      <c r="F620">
        <f>IF($J620="","",IFERROR(SUMIFS('Weekly Log'!$F:$F,'Weekly Log'!$A:$A,"&gt;="&amp;$J620,'Weekly Log'!$A:$A,"&lt;"&amp;$J620+7)/SUMIFS('Weekly Log'!$E:$E,'Weekly Log'!$A:$A,"&gt;="&amp;$J620,'Weekly Log'!$A:$A,"&lt;"&amp;$J620+7),0))</f>
        <v/>
      </c>
      <c r="G620">
        <f>IF($J620="","",IFERROR(LOOKUP(2,1/(('Weekly Log'!$A$5:$A$5000&gt;=$J620)*('Weekly Log'!$A$5:$A$5000&lt;$J620+7)*('Weekly Log'!$M$5:$M$5000&lt;&gt;"")),'Weekly Log'!$M$5:$M$5000),0))</f>
        <v/>
      </c>
      <c r="J620">
        <f>IF(COUNT('Weekly Log'!$A$5:$A$5000)=0,"",IF(MIN('Weekly Log'!$A$5:$A$5000)+7*(ROW()-10)&gt;MAX('Weekly Log'!$A$5:$A$5000),"",MIN('Weekly Log'!$A$5:$A$5000)+7*(ROW()-10)))</f>
        <v/>
      </c>
    </row>
    <row r="621">
      <c r="A621">
        <f>IF($J621="","",YEAR($J621-WEEKDAY($J621,2)+4)&amp;"-W"&amp;TEXT(WEEKNUM($J621,21),"00"))</f>
        <v/>
      </c>
      <c r="B621">
        <f>IF($J621="","",SUMIFS('Weekly Log'!$C:$C,'Weekly Log'!$A:$A,"&gt;="&amp;$J621,'Weekly Log'!$A:$A,"&lt;"&amp;$J621+7))</f>
        <v/>
      </c>
      <c r="C621">
        <f>IF($J621="","",IFERROR(COUNTIFS('Weekly Log'!$G:$G,"Y",'Weekly Log'!$A:$A,"&gt;="&amp;$J621,'Weekly Log'!$A:$A,"&lt;"&amp;$J621+7)/COUNTIFS('Weekly Log'!$G:$G,"&lt;&gt;",'Weekly Log'!$A:$A,"&gt;="&amp;$J621,'Weekly Log'!$A:$A,"&lt;"&amp;$J621+7),0))</f>
        <v/>
      </c>
      <c r="D621">
        <f>IF($J621="","",IFERROR(COUNTIFS('Weekly Log'!$H:$H,"Y",'Weekly Log'!$A:$A,"&gt;="&amp;$J621,'Weekly Log'!$A:$A,"&lt;"&amp;$J621+7)/COUNTIFS('Weekly Log'!$H:$H,"&lt;&gt;",'Weekly Log'!$A:$A,"&gt;="&amp;$J621,'Weekly Log'!$A:$A,"&lt;"&amp;$J621+7),0))</f>
        <v/>
      </c>
      <c r="E621">
        <f>IF($J621="","",IFERROR(AVERAGEIFS('Weekly Log'!$F:$F,'Weekly Log'!$A:$A,"&gt;="&amp;$J621,'Weekly Log'!$A:$A,"&lt;"&amp;$J621+7),0))</f>
        <v/>
      </c>
      <c r="F621">
        <f>IF($J621="","",IFERROR(SUMIFS('Weekly Log'!$F:$F,'Weekly Log'!$A:$A,"&gt;="&amp;$J621,'Weekly Log'!$A:$A,"&lt;"&amp;$J621+7)/SUMIFS('Weekly Log'!$E:$E,'Weekly Log'!$A:$A,"&gt;="&amp;$J621,'Weekly Log'!$A:$A,"&lt;"&amp;$J621+7),0))</f>
        <v/>
      </c>
      <c r="G621">
        <f>IF($J621="","",IFERROR(LOOKUP(2,1/(('Weekly Log'!$A$5:$A$5000&gt;=$J621)*('Weekly Log'!$A$5:$A$5000&lt;$J621+7)*('Weekly Log'!$M$5:$M$5000&lt;&gt;"")),'Weekly Log'!$M$5:$M$5000),0))</f>
        <v/>
      </c>
      <c r="J621">
        <f>IF(COUNT('Weekly Log'!$A$5:$A$5000)=0,"",IF(MIN('Weekly Log'!$A$5:$A$5000)+7*(ROW()-10)&gt;MAX('Weekly Log'!$A$5:$A$5000),"",MIN('Weekly Log'!$A$5:$A$5000)+7*(ROW()-10)))</f>
        <v/>
      </c>
    </row>
    <row r="622">
      <c r="A622">
        <f>IF($J622="","",YEAR($J622-WEEKDAY($J622,2)+4)&amp;"-W"&amp;TEXT(WEEKNUM($J622,21),"00"))</f>
        <v/>
      </c>
      <c r="B622">
        <f>IF($J622="","",SUMIFS('Weekly Log'!$C:$C,'Weekly Log'!$A:$A,"&gt;="&amp;$J622,'Weekly Log'!$A:$A,"&lt;"&amp;$J622+7))</f>
        <v/>
      </c>
      <c r="C622">
        <f>IF($J622="","",IFERROR(COUNTIFS('Weekly Log'!$G:$G,"Y",'Weekly Log'!$A:$A,"&gt;="&amp;$J622,'Weekly Log'!$A:$A,"&lt;"&amp;$J622+7)/COUNTIFS('Weekly Log'!$G:$G,"&lt;&gt;",'Weekly Log'!$A:$A,"&gt;="&amp;$J622,'Weekly Log'!$A:$A,"&lt;"&amp;$J622+7),0))</f>
        <v/>
      </c>
      <c r="D622">
        <f>IF($J622="","",IFERROR(COUNTIFS('Weekly Log'!$H:$H,"Y",'Weekly Log'!$A:$A,"&gt;="&amp;$J622,'Weekly Log'!$A:$A,"&lt;"&amp;$J622+7)/COUNTIFS('Weekly Log'!$H:$H,"&lt;&gt;",'Weekly Log'!$A:$A,"&gt;="&amp;$J622,'Weekly Log'!$A:$A,"&lt;"&amp;$J622+7),0))</f>
        <v/>
      </c>
      <c r="E622">
        <f>IF($J622="","",IFERROR(AVERAGEIFS('Weekly Log'!$F:$F,'Weekly Log'!$A:$A,"&gt;="&amp;$J622,'Weekly Log'!$A:$A,"&lt;"&amp;$J622+7),0))</f>
        <v/>
      </c>
      <c r="F622">
        <f>IF($J622="","",IFERROR(SUMIFS('Weekly Log'!$F:$F,'Weekly Log'!$A:$A,"&gt;="&amp;$J622,'Weekly Log'!$A:$A,"&lt;"&amp;$J622+7)/SUMIFS('Weekly Log'!$E:$E,'Weekly Log'!$A:$A,"&gt;="&amp;$J622,'Weekly Log'!$A:$A,"&lt;"&amp;$J622+7),0))</f>
        <v/>
      </c>
      <c r="G622">
        <f>IF($J622="","",IFERROR(LOOKUP(2,1/(('Weekly Log'!$A$5:$A$5000&gt;=$J622)*('Weekly Log'!$A$5:$A$5000&lt;$J622+7)*('Weekly Log'!$M$5:$M$5000&lt;&gt;"")),'Weekly Log'!$M$5:$M$5000),0))</f>
        <v/>
      </c>
      <c r="J622">
        <f>IF(COUNT('Weekly Log'!$A$5:$A$5000)=0,"",IF(MIN('Weekly Log'!$A$5:$A$5000)+7*(ROW()-10)&gt;MAX('Weekly Log'!$A$5:$A$5000),"",MIN('Weekly Log'!$A$5:$A$5000)+7*(ROW()-10)))</f>
        <v/>
      </c>
    </row>
    <row r="623">
      <c r="A623">
        <f>IF($J623="","",YEAR($J623-WEEKDAY($J623,2)+4)&amp;"-W"&amp;TEXT(WEEKNUM($J623,21),"00"))</f>
        <v/>
      </c>
      <c r="B623">
        <f>IF($J623="","",SUMIFS('Weekly Log'!$C:$C,'Weekly Log'!$A:$A,"&gt;="&amp;$J623,'Weekly Log'!$A:$A,"&lt;"&amp;$J623+7))</f>
        <v/>
      </c>
      <c r="C623">
        <f>IF($J623="","",IFERROR(COUNTIFS('Weekly Log'!$G:$G,"Y",'Weekly Log'!$A:$A,"&gt;="&amp;$J623,'Weekly Log'!$A:$A,"&lt;"&amp;$J623+7)/COUNTIFS('Weekly Log'!$G:$G,"&lt;&gt;",'Weekly Log'!$A:$A,"&gt;="&amp;$J623,'Weekly Log'!$A:$A,"&lt;"&amp;$J623+7),0))</f>
        <v/>
      </c>
      <c r="D623">
        <f>IF($J623="","",IFERROR(COUNTIFS('Weekly Log'!$H:$H,"Y",'Weekly Log'!$A:$A,"&gt;="&amp;$J623,'Weekly Log'!$A:$A,"&lt;"&amp;$J623+7)/COUNTIFS('Weekly Log'!$H:$H,"&lt;&gt;",'Weekly Log'!$A:$A,"&gt;="&amp;$J623,'Weekly Log'!$A:$A,"&lt;"&amp;$J623+7),0))</f>
        <v/>
      </c>
      <c r="E623">
        <f>IF($J623="","",IFERROR(AVERAGEIFS('Weekly Log'!$F:$F,'Weekly Log'!$A:$A,"&gt;="&amp;$J623,'Weekly Log'!$A:$A,"&lt;"&amp;$J623+7),0))</f>
        <v/>
      </c>
      <c r="F623">
        <f>IF($J623="","",IFERROR(SUMIFS('Weekly Log'!$F:$F,'Weekly Log'!$A:$A,"&gt;="&amp;$J623,'Weekly Log'!$A:$A,"&lt;"&amp;$J623+7)/SUMIFS('Weekly Log'!$E:$E,'Weekly Log'!$A:$A,"&gt;="&amp;$J623,'Weekly Log'!$A:$A,"&lt;"&amp;$J623+7),0))</f>
        <v/>
      </c>
      <c r="G623">
        <f>IF($J623="","",IFERROR(LOOKUP(2,1/(('Weekly Log'!$A$5:$A$5000&gt;=$J623)*('Weekly Log'!$A$5:$A$5000&lt;$J623+7)*('Weekly Log'!$M$5:$M$5000&lt;&gt;"")),'Weekly Log'!$M$5:$M$5000),0))</f>
        <v/>
      </c>
      <c r="J623">
        <f>IF(COUNT('Weekly Log'!$A$5:$A$5000)=0,"",IF(MIN('Weekly Log'!$A$5:$A$5000)+7*(ROW()-10)&gt;MAX('Weekly Log'!$A$5:$A$5000),"",MIN('Weekly Log'!$A$5:$A$5000)+7*(ROW()-10)))</f>
        <v/>
      </c>
    </row>
    <row r="624">
      <c r="A624">
        <f>IF($J624="","",YEAR($J624-WEEKDAY($J624,2)+4)&amp;"-W"&amp;TEXT(WEEKNUM($J624,21),"00"))</f>
        <v/>
      </c>
      <c r="B624">
        <f>IF($J624="","",SUMIFS('Weekly Log'!$C:$C,'Weekly Log'!$A:$A,"&gt;="&amp;$J624,'Weekly Log'!$A:$A,"&lt;"&amp;$J624+7))</f>
        <v/>
      </c>
      <c r="C624">
        <f>IF($J624="","",IFERROR(COUNTIFS('Weekly Log'!$G:$G,"Y",'Weekly Log'!$A:$A,"&gt;="&amp;$J624,'Weekly Log'!$A:$A,"&lt;"&amp;$J624+7)/COUNTIFS('Weekly Log'!$G:$G,"&lt;&gt;",'Weekly Log'!$A:$A,"&gt;="&amp;$J624,'Weekly Log'!$A:$A,"&lt;"&amp;$J624+7),0))</f>
        <v/>
      </c>
      <c r="D624">
        <f>IF($J624="","",IFERROR(COUNTIFS('Weekly Log'!$H:$H,"Y",'Weekly Log'!$A:$A,"&gt;="&amp;$J624,'Weekly Log'!$A:$A,"&lt;"&amp;$J624+7)/COUNTIFS('Weekly Log'!$H:$H,"&lt;&gt;",'Weekly Log'!$A:$A,"&gt;="&amp;$J624,'Weekly Log'!$A:$A,"&lt;"&amp;$J624+7),0))</f>
        <v/>
      </c>
      <c r="E624">
        <f>IF($J624="","",IFERROR(AVERAGEIFS('Weekly Log'!$F:$F,'Weekly Log'!$A:$A,"&gt;="&amp;$J624,'Weekly Log'!$A:$A,"&lt;"&amp;$J624+7),0))</f>
        <v/>
      </c>
      <c r="F624">
        <f>IF($J624="","",IFERROR(SUMIFS('Weekly Log'!$F:$F,'Weekly Log'!$A:$A,"&gt;="&amp;$J624,'Weekly Log'!$A:$A,"&lt;"&amp;$J624+7)/SUMIFS('Weekly Log'!$E:$E,'Weekly Log'!$A:$A,"&gt;="&amp;$J624,'Weekly Log'!$A:$A,"&lt;"&amp;$J624+7),0))</f>
        <v/>
      </c>
      <c r="G624">
        <f>IF($J624="","",IFERROR(LOOKUP(2,1/(('Weekly Log'!$A$5:$A$5000&gt;=$J624)*('Weekly Log'!$A$5:$A$5000&lt;$J624+7)*('Weekly Log'!$M$5:$M$5000&lt;&gt;"")),'Weekly Log'!$M$5:$M$5000),0))</f>
        <v/>
      </c>
      <c r="J624">
        <f>IF(COUNT('Weekly Log'!$A$5:$A$5000)=0,"",IF(MIN('Weekly Log'!$A$5:$A$5000)+7*(ROW()-10)&gt;MAX('Weekly Log'!$A$5:$A$5000),"",MIN('Weekly Log'!$A$5:$A$5000)+7*(ROW()-10)))</f>
        <v/>
      </c>
    </row>
    <row r="625">
      <c r="A625">
        <f>IF($J625="","",YEAR($J625-WEEKDAY($J625,2)+4)&amp;"-W"&amp;TEXT(WEEKNUM($J625,21),"00"))</f>
        <v/>
      </c>
      <c r="B625">
        <f>IF($J625="","",SUMIFS('Weekly Log'!$C:$C,'Weekly Log'!$A:$A,"&gt;="&amp;$J625,'Weekly Log'!$A:$A,"&lt;"&amp;$J625+7))</f>
        <v/>
      </c>
      <c r="C625">
        <f>IF($J625="","",IFERROR(COUNTIFS('Weekly Log'!$G:$G,"Y",'Weekly Log'!$A:$A,"&gt;="&amp;$J625,'Weekly Log'!$A:$A,"&lt;"&amp;$J625+7)/COUNTIFS('Weekly Log'!$G:$G,"&lt;&gt;",'Weekly Log'!$A:$A,"&gt;="&amp;$J625,'Weekly Log'!$A:$A,"&lt;"&amp;$J625+7),0))</f>
        <v/>
      </c>
      <c r="D625">
        <f>IF($J625="","",IFERROR(COUNTIFS('Weekly Log'!$H:$H,"Y",'Weekly Log'!$A:$A,"&gt;="&amp;$J625,'Weekly Log'!$A:$A,"&lt;"&amp;$J625+7)/COUNTIFS('Weekly Log'!$H:$H,"&lt;&gt;",'Weekly Log'!$A:$A,"&gt;="&amp;$J625,'Weekly Log'!$A:$A,"&lt;"&amp;$J625+7),0))</f>
        <v/>
      </c>
      <c r="E625">
        <f>IF($J625="","",IFERROR(AVERAGEIFS('Weekly Log'!$F:$F,'Weekly Log'!$A:$A,"&gt;="&amp;$J625,'Weekly Log'!$A:$A,"&lt;"&amp;$J625+7),0))</f>
        <v/>
      </c>
      <c r="F625">
        <f>IF($J625="","",IFERROR(SUMIFS('Weekly Log'!$F:$F,'Weekly Log'!$A:$A,"&gt;="&amp;$J625,'Weekly Log'!$A:$A,"&lt;"&amp;$J625+7)/SUMIFS('Weekly Log'!$E:$E,'Weekly Log'!$A:$A,"&gt;="&amp;$J625,'Weekly Log'!$A:$A,"&lt;"&amp;$J625+7),0))</f>
        <v/>
      </c>
      <c r="G625">
        <f>IF($J625="","",IFERROR(LOOKUP(2,1/(('Weekly Log'!$A$5:$A$5000&gt;=$J625)*('Weekly Log'!$A$5:$A$5000&lt;$J625+7)*('Weekly Log'!$M$5:$M$5000&lt;&gt;"")),'Weekly Log'!$M$5:$M$5000),0))</f>
        <v/>
      </c>
      <c r="J625">
        <f>IF(COUNT('Weekly Log'!$A$5:$A$5000)=0,"",IF(MIN('Weekly Log'!$A$5:$A$5000)+7*(ROW()-10)&gt;MAX('Weekly Log'!$A$5:$A$5000),"",MIN('Weekly Log'!$A$5:$A$5000)+7*(ROW()-10)))</f>
        <v/>
      </c>
    </row>
    <row r="626">
      <c r="A626">
        <f>IF($J626="","",YEAR($J626-WEEKDAY($J626,2)+4)&amp;"-W"&amp;TEXT(WEEKNUM($J626,21),"00"))</f>
        <v/>
      </c>
      <c r="B626">
        <f>IF($J626="","",SUMIFS('Weekly Log'!$C:$C,'Weekly Log'!$A:$A,"&gt;="&amp;$J626,'Weekly Log'!$A:$A,"&lt;"&amp;$J626+7))</f>
        <v/>
      </c>
      <c r="C626">
        <f>IF($J626="","",IFERROR(COUNTIFS('Weekly Log'!$G:$G,"Y",'Weekly Log'!$A:$A,"&gt;="&amp;$J626,'Weekly Log'!$A:$A,"&lt;"&amp;$J626+7)/COUNTIFS('Weekly Log'!$G:$G,"&lt;&gt;",'Weekly Log'!$A:$A,"&gt;="&amp;$J626,'Weekly Log'!$A:$A,"&lt;"&amp;$J626+7),0))</f>
        <v/>
      </c>
      <c r="D626">
        <f>IF($J626="","",IFERROR(COUNTIFS('Weekly Log'!$H:$H,"Y",'Weekly Log'!$A:$A,"&gt;="&amp;$J626,'Weekly Log'!$A:$A,"&lt;"&amp;$J626+7)/COUNTIFS('Weekly Log'!$H:$H,"&lt;&gt;",'Weekly Log'!$A:$A,"&gt;="&amp;$J626,'Weekly Log'!$A:$A,"&lt;"&amp;$J626+7),0))</f>
        <v/>
      </c>
      <c r="E626">
        <f>IF($J626="","",IFERROR(AVERAGEIFS('Weekly Log'!$F:$F,'Weekly Log'!$A:$A,"&gt;="&amp;$J626,'Weekly Log'!$A:$A,"&lt;"&amp;$J626+7),0))</f>
        <v/>
      </c>
      <c r="F626">
        <f>IF($J626="","",IFERROR(SUMIFS('Weekly Log'!$F:$F,'Weekly Log'!$A:$A,"&gt;="&amp;$J626,'Weekly Log'!$A:$A,"&lt;"&amp;$J626+7)/SUMIFS('Weekly Log'!$E:$E,'Weekly Log'!$A:$A,"&gt;="&amp;$J626,'Weekly Log'!$A:$A,"&lt;"&amp;$J626+7),0))</f>
        <v/>
      </c>
      <c r="G626">
        <f>IF($J626="","",IFERROR(LOOKUP(2,1/(('Weekly Log'!$A$5:$A$5000&gt;=$J626)*('Weekly Log'!$A$5:$A$5000&lt;$J626+7)*('Weekly Log'!$M$5:$M$5000&lt;&gt;"")),'Weekly Log'!$M$5:$M$5000),0))</f>
        <v/>
      </c>
      <c r="J626">
        <f>IF(COUNT('Weekly Log'!$A$5:$A$5000)=0,"",IF(MIN('Weekly Log'!$A$5:$A$5000)+7*(ROW()-10)&gt;MAX('Weekly Log'!$A$5:$A$5000),"",MIN('Weekly Log'!$A$5:$A$5000)+7*(ROW()-10)))</f>
        <v/>
      </c>
    </row>
    <row r="627">
      <c r="A627">
        <f>IF($J627="","",YEAR($J627-WEEKDAY($J627,2)+4)&amp;"-W"&amp;TEXT(WEEKNUM($J627,21),"00"))</f>
        <v/>
      </c>
      <c r="B627">
        <f>IF($J627="","",SUMIFS('Weekly Log'!$C:$C,'Weekly Log'!$A:$A,"&gt;="&amp;$J627,'Weekly Log'!$A:$A,"&lt;"&amp;$J627+7))</f>
        <v/>
      </c>
      <c r="C627">
        <f>IF($J627="","",IFERROR(COUNTIFS('Weekly Log'!$G:$G,"Y",'Weekly Log'!$A:$A,"&gt;="&amp;$J627,'Weekly Log'!$A:$A,"&lt;"&amp;$J627+7)/COUNTIFS('Weekly Log'!$G:$G,"&lt;&gt;",'Weekly Log'!$A:$A,"&gt;="&amp;$J627,'Weekly Log'!$A:$A,"&lt;"&amp;$J627+7),0))</f>
        <v/>
      </c>
      <c r="D627">
        <f>IF($J627="","",IFERROR(COUNTIFS('Weekly Log'!$H:$H,"Y",'Weekly Log'!$A:$A,"&gt;="&amp;$J627,'Weekly Log'!$A:$A,"&lt;"&amp;$J627+7)/COUNTIFS('Weekly Log'!$H:$H,"&lt;&gt;",'Weekly Log'!$A:$A,"&gt;="&amp;$J627,'Weekly Log'!$A:$A,"&lt;"&amp;$J627+7),0))</f>
        <v/>
      </c>
      <c r="E627">
        <f>IF($J627="","",IFERROR(AVERAGEIFS('Weekly Log'!$F:$F,'Weekly Log'!$A:$A,"&gt;="&amp;$J627,'Weekly Log'!$A:$A,"&lt;"&amp;$J627+7),0))</f>
        <v/>
      </c>
      <c r="F627">
        <f>IF($J627="","",IFERROR(SUMIFS('Weekly Log'!$F:$F,'Weekly Log'!$A:$A,"&gt;="&amp;$J627,'Weekly Log'!$A:$A,"&lt;"&amp;$J627+7)/SUMIFS('Weekly Log'!$E:$E,'Weekly Log'!$A:$A,"&gt;="&amp;$J627,'Weekly Log'!$A:$A,"&lt;"&amp;$J627+7),0))</f>
        <v/>
      </c>
      <c r="G627">
        <f>IF($J627="","",IFERROR(LOOKUP(2,1/(('Weekly Log'!$A$5:$A$5000&gt;=$J627)*('Weekly Log'!$A$5:$A$5000&lt;$J627+7)*('Weekly Log'!$M$5:$M$5000&lt;&gt;"")),'Weekly Log'!$M$5:$M$5000),0))</f>
        <v/>
      </c>
      <c r="J627">
        <f>IF(COUNT('Weekly Log'!$A$5:$A$5000)=0,"",IF(MIN('Weekly Log'!$A$5:$A$5000)+7*(ROW()-10)&gt;MAX('Weekly Log'!$A$5:$A$5000),"",MIN('Weekly Log'!$A$5:$A$5000)+7*(ROW()-10)))</f>
        <v/>
      </c>
    </row>
    <row r="628">
      <c r="A628">
        <f>IF($J628="","",YEAR($J628-WEEKDAY($J628,2)+4)&amp;"-W"&amp;TEXT(WEEKNUM($J628,21),"00"))</f>
        <v/>
      </c>
      <c r="B628">
        <f>IF($J628="","",SUMIFS('Weekly Log'!$C:$C,'Weekly Log'!$A:$A,"&gt;="&amp;$J628,'Weekly Log'!$A:$A,"&lt;"&amp;$J628+7))</f>
        <v/>
      </c>
      <c r="C628">
        <f>IF($J628="","",IFERROR(COUNTIFS('Weekly Log'!$G:$G,"Y",'Weekly Log'!$A:$A,"&gt;="&amp;$J628,'Weekly Log'!$A:$A,"&lt;"&amp;$J628+7)/COUNTIFS('Weekly Log'!$G:$G,"&lt;&gt;",'Weekly Log'!$A:$A,"&gt;="&amp;$J628,'Weekly Log'!$A:$A,"&lt;"&amp;$J628+7),0))</f>
        <v/>
      </c>
      <c r="D628">
        <f>IF($J628="","",IFERROR(COUNTIFS('Weekly Log'!$H:$H,"Y",'Weekly Log'!$A:$A,"&gt;="&amp;$J628,'Weekly Log'!$A:$A,"&lt;"&amp;$J628+7)/COUNTIFS('Weekly Log'!$H:$H,"&lt;&gt;",'Weekly Log'!$A:$A,"&gt;="&amp;$J628,'Weekly Log'!$A:$A,"&lt;"&amp;$J628+7),0))</f>
        <v/>
      </c>
      <c r="E628">
        <f>IF($J628="","",IFERROR(AVERAGEIFS('Weekly Log'!$F:$F,'Weekly Log'!$A:$A,"&gt;="&amp;$J628,'Weekly Log'!$A:$A,"&lt;"&amp;$J628+7),0))</f>
        <v/>
      </c>
      <c r="F628">
        <f>IF($J628="","",IFERROR(SUMIFS('Weekly Log'!$F:$F,'Weekly Log'!$A:$A,"&gt;="&amp;$J628,'Weekly Log'!$A:$A,"&lt;"&amp;$J628+7)/SUMIFS('Weekly Log'!$E:$E,'Weekly Log'!$A:$A,"&gt;="&amp;$J628,'Weekly Log'!$A:$A,"&lt;"&amp;$J628+7),0))</f>
        <v/>
      </c>
      <c r="G628">
        <f>IF($J628="","",IFERROR(LOOKUP(2,1/(('Weekly Log'!$A$5:$A$5000&gt;=$J628)*('Weekly Log'!$A$5:$A$5000&lt;$J628+7)*('Weekly Log'!$M$5:$M$5000&lt;&gt;"")),'Weekly Log'!$M$5:$M$5000),0))</f>
        <v/>
      </c>
      <c r="J628">
        <f>IF(COUNT('Weekly Log'!$A$5:$A$5000)=0,"",IF(MIN('Weekly Log'!$A$5:$A$5000)+7*(ROW()-10)&gt;MAX('Weekly Log'!$A$5:$A$5000),"",MIN('Weekly Log'!$A$5:$A$5000)+7*(ROW()-10)))</f>
        <v/>
      </c>
    </row>
    <row r="629">
      <c r="A629">
        <f>IF($J629="","",YEAR($J629-WEEKDAY($J629,2)+4)&amp;"-W"&amp;TEXT(WEEKNUM($J629,21),"00"))</f>
        <v/>
      </c>
      <c r="B629">
        <f>IF($J629="","",SUMIFS('Weekly Log'!$C:$C,'Weekly Log'!$A:$A,"&gt;="&amp;$J629,'Weekly Log'!$A:$A,"&lt;"&amp;$J629+7))</f>
        <v/>
      </c>
      <c r="C629">
        <f>IF($J629="","",IFERROR(COUNTIFS('Weekly Log'!$G:$G,"Y",'Weekly Log'!$A:$A,"&gt;="&amp;$J629,'Weekly Log'!$A:$A,"&lt;"&amp;$J629+7)/COUNTIFS('Weekly Log'!$G:$G,"&lt;&gt;",'Weekly Log'!$A:$A,"&gt;="&amp;$J629,'Weekly Log'!$A:$A,"&lt;"&amp;$J629+7),0))</f>
        <v/>
      </c>
      <c r="D629">
        <f>IF($J629="","",IFERROR(COUNTIFS('Weekly Log'!$H:$H,"Y",'Weekly Log'!$A:$A,"&gt;="&amp;$J629,'Weekly Log'!$A:$A,"&lt;"&amp;$J629+7)/COUNTIFS('Weekly Log'!$H:$H,"&lt;&gt;",'Weekly Log'!$A:$A,"&gt;="&amp;$J629,'Weekly Log'!$A:$A,"&lt;"&amp;$J629+7),0))</f>
        <v/>
      </c>
      <c r="E629">
        <f>IF($J629="","",IFERROR(AVERAGEIFS('Weekly Log'!$F:$F,'Weekly Log'!$A:$A,"&gt;="&amp;$J629,'Weekly Log'!$A:$A,"&lt;"&amp;$J629+7),0))</f>
        <v/>
      </c>
      <c r="F629">
        <f>IF($J629="","",IFERROR(SUMIFS('Weekly Log'!$F:$F,'Weekly Log'!$A:$A,"&gt;="&amp;$J629,'Weekly Log'!$A:$A,"&lt;"&amp;$J629+7)/SUMIFS('Weekly Log'!$E:$E,'Weekly Log'!$A:$A,"&gt;="&amp;$J629,'Weekly Log'!$A:$A,"&lt;"&amp;$J629+7),0))</f>
        <v/>
      </c>
      <c r="G629">
        <f>IF($J629="","",IFERROR(LOOKUP(2,1/(('Weekly Log'!$A$5:$A$5000&gt;=$J629)*('Weekly Log'!$A$5:$A$5000&lt;$J629+7)*('Weekly Log'!$M$5:$M$5000&lt;&gt;"")),'Weekly Log'!$M$5:$M$5000),0))</f>
        <v/>
      </c>
      <c r="J629">
        <f>IF(COUNT('Weekly Log'!$A$5:$A$5000)=0,"",IF(MIN('Weekly Log'!$A$5:$A$5000)+7*(ROW()-10)&gt;MAX('Weekly Log'!$A$5:$A$5000),"",MIN('Weekly Log'!$A$5:$A$5000)+7*(ROW()-10)))</f>
        <v/>
      </c>
    </row>
    <row r="630">
      <c r="A630">
        <f>IF($J630="","",YEAR($J630-WEEKDAY($J630,2)+4)&amp;"-W"&amp;TEXT(WEEKNUM($J630,21),"00"))</f>
        <v/>
      </c>
      <c r="B630">
        <f>IF($J630="","",SUMIFS('Weekly Log'!$C:$C,'Weekly Log'!$A:$A,"&gt;="&amp;$J630,'Weekly Log'!$A:$A,"&lt;"&amp;$J630+7))</f>
        <v/>
      </c>
      <c r="C630">
        <f>IF($J630="","",IFERROR(COUNTIFS('Weekly Log'!$G:$G,"Y",'Weekly Log'!$A:$A,"&gt;="&amp;$J630,'Weekly Log'!$A:$A,"&lt;"&amp;$J630+7)/COUNTIFS('Weekly Log'!$G:$G,"&lt;&gt;",'Weekly Log'!$A:$A,"&gt;="&amp;$J630,'Weekly Log'!$A:$A,"&lt;"&amp;$J630+7),0))</f>
        <v/>
      </c>
      <c r="D630">
        <f>IF($J630="","",IFERROR(COUNTIFS('Weekly Log'!$H:$H,"Y",'Weekly Log'!$A:$A,"&gt;="&amp;$J630,'Weekly Log'!$A:$A,"&lt;"&amp;$J630+7)/COUNTIFS('Weekly Log'!$H:$H,"&lt;&gt;",'Weekly Log'!$A:$A,"&gt;="&amp;$J630,'Weekly Log'!$A:$A,"&lt;"&amp;$J630+7),0))</f>
        <v/>
      </c>
      <c r="E630">
        <f>IF($J630="","",IFERROR(AVERAGEIFS('Weekly Log'!$F:$F,'Weekly Log'!$A:$A,"&gt;="&amp;$J630,'Weekly Log'!$A:$A,"&lt;"&amp;$J630+7),0))</f>
        <v/>
      </c>
      <c r="F630">
        <f>IF($J630="","",IFERROR(SUMIFS('Weekly Log'!$F:$F,'Weekly Log'!$A:$A,"&gt;="&amp;$J630,'Weekly Log'!$A:$A,"&lt;"&amp;$J630+7)/SUMIFS('Weekly Log'!$E:$E,'Weekly Log'!$A:$A,"&gt;="&amp;$J630,'Weekly Log'!$A:$A,"&lt;"&amp;$J630+7),0))</f>
        <v/>
      </c>
      <c r="G630">
        <f>IF($J630="","",IFERROR(LOOKUP(2,1/(('Weekly Log'!$A$5:$A$5000&gt;=$J630)*('Weekly Log'!$A$5:$A$5000&lt;$J630+7)*('Weekly Log'!$M$5:$M$5000&lt;&gt;"")),'Weekly Log'!$M$5:$M$5000),0))</f>
        <v/>
      </c>
      <c r="J630">
        <f>IF(COUNT('Weekly Log'!$A$5:$A$5000)=0,"",IF(MIN('Weekly Log'!$A$5:$A$5000)+7*(ROW()-10)&gt;MAX('Weekly Log'!$A$5:$A$5000),"",MIN('Weekly Log'!$A$5:$A$5000)+7*(ROW()-10)))</f>
        <v/>
      </c>
    </row>
    <row r="631">
      <c r="A631">
        <f>IF($J631="","",YEAR($J631-WEEKDAY($J631,2)+4)&amp;"-W"&amp;TEXT(WEEKNUM($J631,21),"00"))</f>
        <v/>
      </c>
      <c r="B631">
        <f>IF($J631="","",SUMIFS('Weekly Log'!$C:$C,'Weekly Log'!$A:$A,"&gt;="&amp;$J631,'Weekly Log'!$A:$A,"&lt;"&amp;$J631+7))</f>
        <v/>
      </c>
      <c r="C631">
        <f>IF($J631="","",IFERROR(COUNTIFS('Weekly Log'!$G:$G,"Y",'Weekly Log'!$A:$A,"&gt;="&amp;$J631,'Weekly Log'!$A:$A,"&lt;"&amp;$J631+7)/COUNTIFS('Weekly Log'!$G:$G,"&lt;&gt;",'Weekly Log'!$A:$A,"&gt;="&amp;$J631,'Weekly Log'!$A:$A,"&lt;"&amp;$J631+7),0))</f>
        <v/>
      </c>
      <c r="D631">
        <f>IF($J631="","",IFERROR(COUNTIFS('Weekly Log'!$H:$H,"Y",'Weekly Log'!$A:$A,"&gt;="&amp;$J631,'Weekly Log'!$A:$A,"&lt;"&amp;$J631+7)/COUNTIFS('Weekly Log'!$H:$H,"&lt;&gt;",'Weekly Log'!$A:$A,"&gt;="&amp;$J631,'Weekly Log'!$A:$A,"&lt;"&amp;$J631+7),0))</f>
        <v/>
      </c>
      <c r="E631">
        <f>IF($J631="","",IFERROR(AVERAGEIFS('Weekly Log'!$F:$F,'Weekly Log'!$A:$A,"&gt;="&amp;$J631,'Weekly Log'!$A:$A,"&lt;"&amp;$J631+7),0))</f>
        <v/>
      </c>
      <c r="F631">
        <f>IF($J631="","",IFERROR(SUMIFS('Weekly Log'!$F:$F,'Weekly Log'!$A:$A,"&gt;="&amp;$J631,'Weekly Log'!$A:$A,"&lt;"&amp;$J631+7)/SUMIFS('Weekly Log'!$E:$E,'Weekly Log'!$A:$A,"&gt;="&amp;$J631,'Weekly Log'!$A:$A,"&lt;"&amp;$J631+7),0))</f>
        <v/>
      </c>
      <c r="G631">
        <f>IF($J631="","",IFERROR(LOOKUP(2,1/(('Weekly Log'!$A$5:$A$5000&gt;=$J631)*('Weekly Log'!$A$5:$A$5000&lt;$J631+7)*('Weekly Log'!$M$5:$M$5000&lt;&gt;"")),'Weekly Log'!$M$5:$M$5000),0))</f>
        <v/>
      </c>
      <c r="J631">
        <f>IF(COUNT('Weekly Log'!$A$5:$A$5000)=0,"",IF(MIN('Weekly Log'!$A$5:$A$5000)+7*(ROW()-10)&gt;MAX('Weekly Log'!$A$5:$A$5000),"",MIN('Weekly Log'!$A$5:$A$5000)+7*(ROW()-10)))</f>
        <v/>
      </c>
    </row>
    <row r="632">
      <c r="A632">
        <f>IF($J632="","",YEAR($J632-WEEKDAY($J632,2)+4)&amp;"-W"&amp;TEXT(WEEKNUM($J632,21),"00"))</f>
        <v/>
      </c>
      <c r="B632">
        <f>IF($J632="","",SUMIFS('Weekly Log'!$C:$C,'Weekly Log'!$A:$A,"&gt;="&amp;$J632,'Weekly Log'!$A:$A,"&lt;"&amp;$J632+7))</f>
        <v/>
      </c>
      <c r="C632">
        <f>IF($J632="","",IFERROR(COUNTIFS('Weekly Log'!$G:$G,"Y",'Weekly Log'!$A:$A,"&gt;="&amp;$J632,'Weekly Log'!$A:$A,"&lt;"&amp;$J632+7)/COUNTIFS('Weekly Log'!$G:$G,"&lt;&gt;",'Weekly Log'!$A:$A,"&gt;="&amp;$J632,'Weekly Log'!$A:$A,"&lt;"&amp;$J632+7),0))</f>
        <v/>
      </c>
      <c r="D632">
        <f>IF($J632="","",IFERROR(COUNTIFS('Weekly Log'!$H:$H,"Y",'Weekly Log'!$A:$A,"&gt;="&amp;$J632,'Weekly Log'!$A:$A,"&lt;"&amp;$J632+7)/COUNTIFS('Weekly Log'!$H:$H,"&lt;&gt;",'Weekly Log'!$A:$A,"&gt;="&amp;$J632,'Weekly Log'!$A:$A,"&lt;"&amp;$J632+7),0))</f>
        <v/>
      </c>
      <c r="E632">
        <f>IF($J632="","",IFERROR(AVERAGEIFS('Weekly Log'!$F:$F,'Weekly Log'!$A:$A,"&gt;="&amp;$J632,'Weekly Log'!$A:$A,"&lt;"&amp;$J632+7),0))</f>
        <v/>
      </c>
      <c r="F632">
        <f>IF($J632="","",IFERROR(SUMIFS('Weekly Log'!$F:$F,'Weekly Log'!$A:$A,"&gt;="&amp;$J632,'Weekly Log'!$A:$A,"&lt;"&amp;$J632+7)/SUMIFS('Weekly Log'!$E:$E,'Weekly Log'!$A:$A,"&gt;="&amp;$J632,'Weekly Log'!$A:$A,"&lt;"&amp;$J632+7),0))</f>
        <v/>
      </c>
      <c r="G632">
        <f>IF($J632="","",IFERROR(LOOKUP(2,1/(('Weekly Log'!$A$5:$A$5000&gt;=$J632)*('Weekly Log'!$A$5:$A$5000&lt;$J632+7)*('Weekly Log'!$M$5:$M$5000&lt;&gt;"")),'Weekly Log'!$M$5:$M$5000),0))</f>
        <v/>
      </c>
      <c r="J632">
        <f>IF(COUNT('Weekly Log'!$A$5:$A$5000)=0,"",IF(MIN('Weekly Log'!$A$5:$A$5000)+7*(ROW()-10)&gt;MAX('Weekly Log'!$A$5:$A$5000),"",MIN('Weekly Log'!$A$5:$A$5000)+7*(ROW()-10)))</f>
        <v/>
      </c>
    </row>
    <row r="633">
      <c r="A633">
        <f>IF($J633="","",YEAR($J633-WEEKDAY($J633,2)+4)&amp;"-W"&amp;TEXT(WEEKNUM($J633,21),"00"))</f>
        <v/>
      </c>
      <c r="B633">
        <f>IF($J633="","",SUMIFS('Weekly Log'!$C:$C,'Weekly Log'!$A:$A,"&gt;="&amp;$J633,'Weekly Log'!$A:$A,"&lt;"&amp;$J633+7))</f>
        <v/>
      </c>
      <c r="C633">
        <f>IF($J633="","",IFERROR(COUNTIFS('Weekly Log'!$G:$G,"Y",'Weekly Log'!$A:$A,"&gt;="&amp;$J633,'Weekly Log'!$A:$A,"&lt;"&amp;$J633+7)/COUNTIFS('Weekly Log'!$G:$G,"&lt;&gt;",'Weekly Log'!$A:$A,"&gt;="&amp;$J633,'Weekly Log'!$A:$A,"&lt;"&amp;$J633+7),0))</f>
        <v/>
      </c>
      <c r="D633">
        <f>IF($J633="","",IFERROR(COUNTIFS('Weekly Log'!$H:$H,"Y",'Weekly Log'!$A:$A,"&gt;="&amp;$J633,'Weekly Log'!$A:$A,"&lt;"&amp;$J633+7)/COUNTIFS('Weekly Log'!$H:$H,"&lt;&gt;",'Weekly Log'!$A:$A,"&gt;="&amp;$J633,'Weekly Log'!$A:$A,"&lt;"&amp;$J633+7),0))</f>
        <v/>
      </c>
      <c r="E633">
        <f>IF($J633="","",IFERROR(AVERAGEIFS('Weekly Log'!$F:$F,'Weekly Log'!$A:$A,"&gt;="&amp;$J633,'Weekly Log'!$A:$A,"&lt;"&amp;$J633+7),0))</f>
        <v/>
      </c>
      <c r="F633">
        <f>IF($J633="","",IFERROR(SUMIFS('Weekly Log'!$F:$F,'Weekly Log'!$A:$A,"&gt;="&amp;$J633,'Weekly Log'!$A:$A,"&lt;"&amp;$J633+7)/SUMIFS('Weekly Log'!$E:$E,'Weekly Log'!$A:$A,"&gt;="&amp;$J633,'Weekly Log'!$A:$A,"&lt;"&amp;$J633+7),0))</f>
        <v/>
      </c>
      <c r="G633">
        <f>IF($J633="","",IFERROR(LOOKUP(2,1/(('Weekly Log'!$A$5:$A$5000&gt;=$J633)*('Weekly Log'!$A$5:$A$5000&lt;$J633+7)*('Weekly Log'!$M$5:$M$5000&lt;&gt;"")),'Weekly Log'!$M$5:$M$5000),0))</f>
        <v/>
      </c>
      <c r="J633">
        <f>IF(COUNT('Weekly Log'!$A$5:$A$5000)=0,"",IF(MIN('Weekly Log'!$A$5:$A$5000)+7*(ROW()-10)&gt;MAX('Weekly Log'!$A$5:$A$5000),"",MIN('Weekly Log'!$A$5:$A$5000)+7*(ROW()-10)))</f>
        <v/>
      </c>
    </row>
    <row r="634">
      <c r="A634">
        <f>IF($J634="","",YEAR($J634-WEEKDAY($J634,2)+4)&amp;"-W"&amp;TEXT(WEEKNUM($J634,21),"00"))</f>
        <v/>
      </c>
      <c r="B634">
        <f>IF($J634="","",SUMIFS('Weekly Log'!$C:$C,'Weekly Log'!$A:$A,"&gt;="&amp;$J634,'Weekly Log'!$A:$A,"&lt;"&amp;$J634+7))</f>
        <v/>
      </c>
      <c r="C634">
        <f>IF($J634="","",IFERROR(COUNTIFS('Weekly Log'!$G:$G,"Y",'Weekly Log'!$A:$A,"&gt;="&amp;$J634,'Weekly Log'!$A:$A,"&lt;"&amp;$J634+7)/COUNTIFS('Weekly Log'!$G:$G,"&lt;&gt;",'Weekly Log'!$A:$A,"&gt;="&amp;$J634,'Weekly Log'!$A:$A,"&lt;"&amp;$J634+7),0))</f>
        <v/>
      </c>
      <c r="D634">
        <f>IF($J634="","",IFERROR(COUNTIFS('Weekly Log'!$H:$H,"Y",'Weekly Log'!$A:$A,"&gt;="&amp;$J634,'Weekly Log'!$A:$A,"&lt;"&amp;$J634+7)/COUNTIFS('Weekly Log'!$H:$H,"&lt;&gt;",'Weekly Log'!$A:$A,"&gt;="&amp;$J634,'Weekly Log'!$A:$A,"&lt;"&amp;$J634+7),0))</f>
        <v/>
      </c>
      <c r="E634">
        <f>IF($J634="","",IFERROR(AVERAGEIFS('Weekly Log'!$F:$F,'Weekly Log'!$A:$A,"&gt;="&amp;$J634,'Weekly Log'!$A:$A,"&lt;"&amp;$J634+7),0))</f>
        <v/>
      </c>
      <c r="F634">
        <f>IF($J634="","",IFERROR(SUMIFS('Weekly Log'!$F:$F,'Weekly Log'!$A:$A,"&gt;="&amp;$J634,'Weekly Log'!$A:$A,"&lt;"&amp;$J634+7)/SUMIFS('Weekly Log'!$E:$E,'Weekly Log'!$A:$A,"&gt;="&amp;$J634,'Weekly Log'!$A:$A,"&lt;"&amp;$J634+7),0))</f>
        <v/>
      </c>
      <c r="G634">
        <f>IF($J634="","",IFERROR(LOOKUP(2,1/(('Weekly Log'!$A$5:$A$5000&gt;=$J634)*('Weekly Log'!$A$5:$A$5000&lt;$J634+7)*('Weekly Log'!$M$5:$M$5000&lt;&gt;"")),'Weekly Log'!$M$5:$M$5000),0))</f>
        <v/>
      </c>
      <c r="J634">
        <f>IF(COUNT('Weekly Log'!$A$5:$A$5000)=0,"",IF(MIN('Weekly Log'!$A$5:$A$5000)+7*(ROW()-10)&gt;MAX('Weekly Log'!$A$5:$A$5000),"",MIN('Weekly Log'!$A$5:$A$5000)+7*(ROW()-10)))</f>
        <v/>
      </c>
    </row>
    <row r="635">
      <c r="A635">
        <f>IF($J635="","",YEAR($J635-WEEKDAY($J635,2)+4)&amp;"-W"&amp;TEXT(WEEKNUM($J635,21),"00"))</f>
        <v/>
      </c>
      <c r="B635">
        <f>IF($J635="","",SUMIFS('Weekly Log'!$C:$C,'Weekly Log'!$A:$A,"&gt;="&amp;$J635,'Weekly Log'!$A:$A,"&lt;"&amp;$J635+7))</f>
        <v/>
      </c>
      <c r="C635">
        <f>IF($J635="","",IFERROR(COUNTIFS('Weekly Log'!$G:$G,"Y",'Weekly Log'!$A:$A,"&gt;="&amp;$J635,'Weekly Log'!$A:$A,"&lt;"&amp;$J635+7)/COUNTIFS('Weekly Log'!$G:$G,"&lt;&gt;",'Weekly Log'!$A:$A,"&gt;="&amp;$J635,'Weekly Log'!$A:$A,"&lt;"&amp;$J635+7),0))</f>
        <v/>
      </c>
      <c r="D635">
        <f>IF($J635="","",IFERROR(COUNTIFS('Weekly Log'!$H:$H,"Y",'Weekly Log'!$A:$A,"&gt;="&amp;$J635,'Weekly Log'!$A:$A,"&lt;"&amp;$J635+7)/COUNTIFS('Weekly Log'!$H:$H,"&lt;&gt;",'Weekly Log'!$A:$A,"&gt;="&amp;$J635,'Weekly Log'!$A:$A,"&lt;"&amp;$J635+7),0))</f>
        <v/>
      </c>
      <c r="E635">
        <f>IF($J635="","",IFERROR(AVERAGEIFS('Weekly Log'!$F:$F,'Weekly Log'!$A:$A,"&gt;="&amp;$J635,'Weekly Log'!$A:$A,"&lt;"&amp;$J635+7),0))</f>
        <v/>
      </c>
      <c r="F635">
        <f>IF($J635="","",IFERROR(SUMIFS('Weekly Log'!$F:$F,'Weekly Log'!$A:$A,"&gt;="&amp;$J635,'Weekly Log'!$A:$A,"&lt;"&amp;$J635+7)/SUMIFS('Weekly Log'!$E:$E,'Weekly Log'!$A:$A,"&gt;="&amp;$J635,'Weekly Log'!$A:$A,"&lt;"&amp;$J635+7),0))</f>
        <v/>
      </c>
      <c r="G635">
        <f>IF($J635="","",IFERROR(LOOKUP(2,1/(('Weekly Log'!$A$5:$A$5000&gt;=$J635)*('Weekly Log'!$A$5:$A$5000&lt;$J635+7)*('Weekly Log'!$M$5:$M$5000&lt;&gt;"")),'Weekly Log'!$M$5:$M$5000),0))</f>
        <v/>
      </c>
      <c r="J635">
        <f>IF(COUNT('Weekly Log'!$A$5:$A$5000)=0,"",IF(MIN('Weekly Log'!$A$5:$A$5000)+7*(ROW()-10)&gt;MAX('Weekly Log'!$A$5:$A$5000),"",MIN('Weekly Log'!$A$5:$A$5000)+7*(ROW()-10)))</f>
        <v/>
      </c>
    </row>
    <row r="636">
      <c r="A636">
        <f>IF($J636="","",YEAR($J636-WEEKDAY($J636,2)+4)&amp;"-W"&amp;TEXT(WEEKNUM($J636,21),"00"))</f>
        <v/>
      </c>
      <c r="B636">
        <f>IF($J636="","",SUMIFS('Weekly Log'!$C:$C,'Weekly Log'!$A:$A,"&gt;="&amp;$J636,'Weekly Log'!$A:$A,"&lt;"&amp;$J636+7))</f>
        <v/>
      </c>
      <c r="C636">
        <f>IF($J636="","",IFERROR(COUNTIFS('Weekly Log'!$G:$G,"Y",'Weekly Log'!$A:$A,"&gt;="&amp;$J636,'Weekly Log'!$A:$A,"&lt;"&amp;$J636+7)/COUNTIFS('Weekly Log'!$G:$G,"&lt;&gt;",'Weekly Log'!$A:$A,"&gt;="&amp;$J636,'Weekly Log'!$A:$A,"&lt;"&amp;$J636+7),0))</f>
        <v/>
      </c>
      <c r="D636">
        <f>IF($J636="","",IFERROR(COUNTIFS('Weekly Log'!$H:$H,"Y",'Weekly Log'!$A:$A,"&gt;="&amp;$J636,'Weekly Log'!$A:$A,"&lt;"&amp;$J636+7)/COUNTIFS('Weekly Log'!$H:$H,"&lt;&gt;",'Weekly Log'!$A:$A,"&gt;="&amp;$J636,'Weekly Log'!$A:$A,"&lt;"&amp;$J636+7),0))</f>
        <v/>
      </c>
      <c r="E636">
        <f>IF($J636="","",IFERROR(AVERAGEIFS('Weekly Log'!$F:$F,'Weekly Log'!$A:$A,"&gt;="&amp;$J636,'Weekly Log'!$A:$A,"&lt;"&amp;$J636+7),0))</f>
        <v/>
      </c>
      <c r="F636">
        <f>IF($J636="","",IFERROR(SUMIFS('Weekly Log'!$F:$F,'Weekly Log'!$A:$A,"&gt;="&amp;$J636,'Weekly Log'!$A:$A,"&lt;"&amp;$J636+7)/SUMIFS('Weekly Log'!$E:$E,'Weekly Log'!$A:$A,"&gt;="&amp;$J636,'Weekly Log'!$A:$A,"&lt;"&amp;$J636+7),0))</f>
        <v/>
      </c>
      <c r="G636">
        <f>IF($J636="","",IFERROR(LOOKUP(2,1/(('Weekly Log'!$A$5:$A$5000&gt;=$J636)*('Weekly Log'!$A$5:$A$5000&lt;$J636+7)*('Weekly Log'!$M$5:$M$5000&lt;&gt;"")),'Weekly Log'!$M$5:$M$5000),0))</f>
        <v/>
      </c>
      <c r="J636">
        <f>IF(COUNT('Weekly Log'!$A$5:$A$5000)=0,"",IF(MIN('Weekly Log'!$A$5:$A$5000)+7*(ROW()-10)&gt;MAX('Weekly Log'!$A$5:$A$5000),"",MIN('Weekly Log'!$A$5:$A$5000)+7*(ROW()-10)))</f>
        <v/>
      </c>
    </row>
    <row r="637">
      <c r="A637">
        <f>IF($J637="","",YEAR($J637-WEEKDAY($J637,2)+4)&amp;"-W"&amp;TEXT(WEEKNUM($J637,21),"00"))</f>
        <v/>
      </c>
      <c r="B637">
        <f>IF($J637="","",SUMIFS('Weekly Log'!$C:$C,'Weekly Log'!$A:$A,"&gt;="&amp;$J637,'Weekly Log'!$A:$A,"&lt;"&amp;$J637+7))</f>
        <v/>
      </c>
      <c r="C637">
        <f>IF($J637="","",IFERROR(COUNTIFS('Weekly Log'!$G:$G,"Y",'Weekly Log'!$A:$A,"&gt;="&amp;$J637,'Weekly Log'!$A:$A,"&lt;"&amp;$J637+7)/COUNTIFS('Weekly Log'!$G:$G,"&lt;&gt;",'Weekly Log'!$A:$A,"&gt;="&amp;$J637,'Weekly Log'!$A:$A,"&lt;"&amp;$J637+7),0))</f>
        <v/>
      </c>
      <c r="D637">
        <f>IF($J637="","",IFERROR(COUNTIFS('Weekly Log'!$H:$H,"Y",'Weekly Log'!$A:$A,"&gt;="&amp;$J637,'Weekly Log'!$A:$A,"&lt;"&amp;$J637+7)/COUNTIFS('Weekly Log'!$H:$H,"&lt;&gt;",'Weekly Log'!$A:$A,"&gt;="&amp;$J637,'Weekly Log'!$A:$A,"&lt;"&amp;$J637+7),0))</f>
        <v/>
      </c>
      <c r="E637">
        <f>IF($J637="","",IFERROR(AVERAGEIFS('Weekly Log'!$F:$F,'Weekly Log'!$A:$A,"&gt;="&amp;$J637,'Weekly Log'!$A:$A,"&lt;"&amp;$J637+7),0))</f>
        <v/>
      </c>
      <c r="F637">
        <f>IF($J637="","",IFERROR(SUMIFS('Weekly Log'!$F:$F,'Weekly Log'!$A:$A,"&gt;="&amp;$J637,'Weekly Log'!$A:$A,"&lt;"&amp;$J637+7)/SUMIFS('Weekly Log'!$E:$E,'Weekly Log'!$A:$A,"&gt;="&amp;$J637,'Weekly Log'!$A:$A,"&lt;"&amp;$J637+7),0))</f>
        <v/>
      </c>
      <c r="G637">
        <f>IF($J637="","",IFERROR(LOOKUP(2,1/(('Weekly Log'!$A$5:$A$5000&gt;=$J637)*('Weekly Log'!$A$5:$A$5000&lt;$J637+7)*('Weekly Log'!$M$5:$M$5000&lt;&gt;"")),'Weekly Log'!$M$5:$M$5000),0))</f>
        <v/>
      </c>
      <c r="J637">
        <f>IF(COUNT('Weekly Log'!$A$5:$A$5000)=0,"",IF(MIN('Weekly Log'!$A$5:$A$5000)+7*(ROW()-10)&gt;MAX('Weekly Log'!$A$5:$A$5000),"",MIN('Weekly Log'!$A$5:$A$5000)+7*(ROW()-10)))</f>
        <v/>
      </c>
    </row>
    <row r="638">
      <c r="A638">
        <f>IF($J638="","",YEAR($J638-WEEKDAY($J638,2)+4)&amp;"-W"&amp;TEXT(WEEKNUM($J638,21),"00"))</f>
        <v/>
      </c>
      <c r="B638">
        <f>IF($J638="","",SUMIFS('Weekly Log'!$C:$C,'Weekly Log'!$A:$A,"&gt;="&amp;$J638,'Weekly Log'!$A:$A,"&lt;"&amp;$J638+7))</f>
        <v/>
      </c>
      <c r="C638">
        <f>IF($J638="","",IFERROR(COUNTIFS('Weekly Log'!$G:$G,"Y",'Weekly Log'!$A:$A,"&gt;="&amp;$J638,'Weekly Log'!$A:$A,"&lt;"&amp;$J638+7)/COUNTIFS('Weekly Log'!$G:$G,"&lt;&gt;",'Weekly Log'!$A:$A,"&gt;="&amp;$J638,'Weekly Log'!$A:$A,"&lt;"&amp;$J638+7),0))</f>
        <v/>
      </c>
      <c r="D638">
        <f>IF($J638="","",IFERROR(COUNTIFS('Weekly Log'!$H:$H,"Y",'Weekly Log'!$A:$A,"&gt;="&amp;$J638,'Weekly Log'!$A:$A,"&lt;"&amp;$J638+7)/COUNTIFS('Weekly Log'!$H:$H,"&lt;&gt;",'Weekly Log'!$A:$A,"&gt;="&amp;$J638,'Weekly Log'!$A:$A,"&lt;"&amp;$J638+7),0))</f>
        <v/>
      </c>
      <c r="E638">
        <f>IF($J638="","",IFERROR(AVERAGEIFS('Weekly Log'!$F:$F,'Weekly Log'!$A:$A,"&gt;="&amp;$J638,'Weekly Log'!$A:$A,"&lt;"&amp;$J638+7),0))</f>
        <v/>
      </c>
      <c r="F638">
        <f>IF($J638="","",IFERROR(SUMIFS('Weekly Log'!$F:$F,'Weekly Log'!$A:$A,"&gt;="&amp;$J638,'Weekly Log'!$A:$A,"&lt;"&amp;$J638+7)/SUMIFS('Weekly Log'!$E:$E,'Weekly Log'!$A:$A,"&gt;="&amp;$J638,'Weekly Log'!$A:$A,"&lt;"&amp;$J638+7),0))</f>
        <v/>
      </c>
      <c r="G638">
        <f>IF($J638="","",IFERROR(LOOKUP(2,1/(('Weekly Log'!$A$5:$A$5000&gt;=$J638)*('Weekly Log'!$A$5:$A$5000&lt;$J638+7)*('Weekly Log'!$M$5:$M$5000&lt;&gt;"")),'Weekly Log'!$M$5:$M$5000),0))</f>
        <v/>
      </c>
      <c r="J638">
        <f>IF(COUNT('Weekly Log'!$A$5:$A$5000)=0,"",IF(MIN('Weekly Log'!$A$5:$A$5000)+7*(ROW()-10)&gt;MAX('Weekly Log'!$A$5:$A$5000),"",MIN('Weekly Log'!$A$5:$A$5000)+7*(ROW()-10)))</f>
        <v/>
      </c>
    </row>
    <row r="639">
      <c r="A639">
        <f>IF($J639="","",YEAR($J639-WEEKDAY($J639,2)+4)&amp;"-W"&amp;TEXT(WEEKNUM($J639,21),"00"))</f>
        <v/>
      </c>
      <c r="B639">
        <f>IF($J639="","",SUMIFS('Weekly Log'!$C:$C,'Weekly Log'!$A:$A,"&gt;="&amp;$J639,'Weekly Log'!$A:$A,"&lt;"&amp;$J639+7))</f>
        <v/>
      </c>
      <c r="C639">
        <f>IF($J639="","",IFERROR(COUNTIFS('Weekly Log'!$G:$G,"Y",'Weekly Log'!$A:$A,"&gt;="&amp;$J639,'Weekly Log'!$A:$A,"&lt;"&amp;$J639+7)/COUNTIFS('Weekly Log'!$G:$G,"&lt;&gt;",'Weekly Log'!$A:$A,"&gt;="&amp;$J639,'Weekly Log'!$A:$A,"&lt;"&amp;$J639+7),0))</f>
        <v/>
      </c>
      <c r="D639">
        <f>IF($J639="","",IFERROR(COUNTIFS('Weekly Log'!$H:$H,"Y",'Weekly Log'!$A:$A,"&gt;="&amp;$J639,'Weekly Log'!$A:$A,"&lt;"&amp;$J639+7)/COUNTIFS('Weekly Log'!$H:$H,"&lt;&gt;",'Weekly Log'!$A:$A,"&gt;="&amp;$J639,'Weekly Log'!$A:$A,"&lt;"&amp;$J639+7),0))</f>
        <v/>
      </c>
      <c r="E639">
        <f>IF($J639="","",IFERROR(AVERAGEIFS('Weekly Log'!$F:$F,'Weekly Log'!$A:$A,"&gt;="&amp;$J639,'Weekly Log'!$A:$A,"&lt;"&amp;$J639+7),0))</f>
        <v/>
      </c>
      <c r="F639">
        <f>IF($J639="","",IFERROR(SUMIFS('Weekly Log'!$F:$F,'Weekly Log'!$A:$A,"&gt;="&amp;$J639,'Weekly Log'!$A:$A,"&lt;"&amp;$J639+7)/SUMIFS('Weekly Log'!$E:$E,'Weekly Log'!$A:$A,"&gt;="&amp;$J639,'Weekly Log'!$A:$A,"&lt;"&amp;$J639+7),0))</f>
        <v/>
      </c>
      <c r="G639">
        <f>IF($J639="","",IFERROR(LOOKUP(2,1/(('Weekly Log'!$A$5:$A$5000&gt;=$J639)*('Weekly Log'!$A$5:$A$5000&lt;$J639+7)*('Weekly Log'!$M$5:$M$5000&lt;&gt;"")),'Weekly Log'!$M$5:$M$5000),0))</f>
        <v/>
      </c>
      <c r="J639">
        <f>IF(COUNT('Weekly Log'!$A$5:$A$5000)=0,"",IF(MIN('Weekly Log'!$A$5:$A$5000)+7*(ROW()-10)&gt;MAX('Weekly Log'!$A$5:$A$5000),"",MIN('Weekly Log'!$A$5:$A$5000)+7*(ROW()-10)))</f>
        <v/>
      </c>
    </row>
    <row r="640">
      <c r="A640">
        <f>IF($J640="","",YEAR($J640-WEEKDAY($J640,2)+4)&amp;"-W"&amp;TEXT(WEEKNUM($J640,21),"00"))</f>
        <v/>
      </c>
      <c r="B640">
        <f>IF($J640="","",SUMIFS('Weekly Log'!$C:$C,'Weekly Log'!$A:$A,"&gt;="&amp;$J640,'Weekly Log'!$A:$A,"&lt;"&amp;$J640+7))</f>
        <v/>
      </c>
      <c r="C640">
        <f>IF($J640="","",IFERROR(COUNTIFS('Weekly Log'!$G:$G,"Y",'Weekly Log'!$A:$A,"&gt;="&amp;$J640,'Weekly Log'!$A:$A,"&lt;"&amp;$J640+7)/COUNTIFS('Weekly Log'!$G:$G,"&lt;&gt;",'Weekly Log'!$A:$A,"&gt;="&amp;$J640,'Weekly Log'!$A:$A,"&lt;"&amp;$J640+7),0))</f>
        <v/>
      </c>
      <c r="D640">
        <f>IF($J640="","",IFERROR(COUNTIFS('Weekly Log'!$H:$H,"Y",'Weekly Log'!$A:$A,"&gt;="&amp;$J640,'Weekly Log'!$A:$A,"&lt;"&amp;$J640+7)/COUNTIFS('Weekly Log'!$H:$H,"&lt;&gt;",'Weekly Log'!$A:$A,"&gt;="&amp;$J640,'Weekly Log'!$A:$A,"&lt;"&amp;$J640+7),0))</f>
        <v/>
      </c>
      <c r="E640">
        <f>IF($J640="","",IFERROR(AVERAGEIFS('Weekly Log'!$F:$F,'Weekly Log'!$A:$A,"&gt;="&amp;$J640,'Weekly Log'!$A:$A,"&lt;"&amp;$J640+7),0))</f>
        <v/>
      </c>
      <c r="F640">
        <f>IF($J640="","",IFERROR(SUMIFS('Weekly Log'!$F:$F,'Weekly Log'!$A:$A,"&gt;="&amp;$J640,'Weekly Log'!$A:$A,"&lt;"&amp;$J640+7)/SUMIFS('Weekly Log'!$E:$E,'Weekly Log'!$A:$A,"&gt;="&amp;$J640,'Weekly Log'!$A:$A,"&lt;"&amp;$J640+7),0))</f>
        <v/>
      </c>
      <c r="G640">
        <f>IF($J640="","",IFERROR(LOOKUP(2,1/(('Weekly Log'!$A$5:$A$5000&gt;=$J640)*('Weekly Log'!$A$5:$A$5000&lt;$J640+7)*('Weekly Log'!$M$5:$M$5000&lt;&gt;"")),'Weekly Log'!$M$5:$M$5000),0))</f>
        <v/>
      </c>
      <c r="J640">
        <f>IF(COUNT('Weekly Log'!$A$5:$A$5000)=0,"",IF(MIN('Weekly Log'!$A$5:$A$5000)+7*(ROW()-10)&gt;MAX('Weekly Log'!$A$5:$A$5000),"",MIN('Weekly Log'!$A$5:$A$5000)+7*(ROW()-10)))</f>
        <v/>
      </c>
    </row>
    <row r="641">
      <c r="A641">
        <f>IF($J641="","",YEAR($J641-WEEKDAY($J641,2)+4)&amp;"-W"&amp;TEXT(WEEKNUM($J641,21),"00"))</f>
        <v/>
      </c>
      <c r="B641">
        <f>IF($J641="","",SUMIFS('Weekly Log'!$C:$C,'Weekly Log'!$A:$A,"&gt;="&amp;$J641,'Weekly Log'!$A:$A,"&lt;"&amp;$J641+7))</f>
        <v/>
      </c>
      <c r="C641">
        <f>IF($J641="","",IFERROR(COUNTIFS('Weekly Log'!$G:$G,"Y",'Weekly Log'!$A:$A,"&gt;="&amp;$J641,'Weekly Log'!$A:$A,"&lt;"&amp;$J641+7)/COUNTIFS('Weekly Log'!$G:$G,"&lt;&gt;",'Weekly Log'!$A:$A,"&gt;="&amp;$J641,'Weekly Log'!$A:$A,"&lt;"&amp;$J641+7),0))</f>
        <v/>
      </c>
      <c r="D641">
        <f>IF($J641="","",IFERROR(COUNTIFS('Weekly Log'!$H:$H,"Y",'Weekly Log'!$A:$A,"&gt;="&amp;$J641,'Weekly Log'!$A:$A,"&lt;"&amp;$J641+7)/COUNTIFS('Weekly Log'!$H:$H,"&lt;&gt;",'Weekly Log'!$A:$A,"&gt;="&amp;$J641,'Weekly Log'!$A:$A,"&lt;"&amp;$J641+7),0))</f>
        <v/>
      </c>
      <c r="E641">
        <f>IF($J641="","",IFERROR(AVERAGEIFS('Weekly Log'!$F:$F,'Weekly Log'!$A:$A,"&gt;="&amp;$J641,'Weekly Log'!$A:$A,"&lt;"&amp;$J641+7),0))</f>
        <v/>
      </c>
      <c r="F641">
        <f>IF($J641="","",IFERROR(SUMIFS('Weekly Log'!$F:$F,'Weekly Log'!$A:$A,"&gt;="&amp;$J641,'Weekly Log'!$A:$A,"&lt;"&amp;$J641+7)/SUMIFS('Weekly Log'!$E:$E,'Weekly Log'!$A:$A,"&gt;="&amp;$J641,'Weekly Log'!$A:$A,"&lt;"&amp;$J641+7),0))</f>
        <v/>
      </c>
      <c r="G641">
        <f>IF($J641="","",IFERROR(LOOKUP(2,1/(('Weekly Log'!$A$5:$A$5000&gt;=$J641)*('Weekly Log'!$A$5:$A$5000&lt;$J641+7)*('Weekly Log'!$M$5:$M$5000&lt;&gt;"")),'Weekly Log'!$M$5:$M$5000),0))</f>
        <v/>
      </c>
      <c r="J641">
        <f>IF(COUNT('Weekly Log'!$A$5:$A$5000)=0,"",IF(MIN('Weekly Log'!$A$5:$A$5000)+7*(ROW()-10)&gt;MAX('Weekly Log'!$A$5:$A$5000),"",MIN('Weekly Log'!$A$5:$A$5000)+7*(ROW()-10)))</f>
        <v/>
      </c>
    </row>
    <row r="642">
      <c r="A642">
        <f>IF($J642="","",YEAR($J642-WEEKDAY($J642,2)+4)&amp;"-W"&amp;TEXT(WEEKNUM($J642,21),"00"))</f>
        <v/>
      </c>
      <c r="B642">
        <f>IF($J642="","",SUMIFS('Weekly Log'!$C:$C,'Weekly Log'!$A:$A,"&gt;="&amp;$J642,'Weekly Log'!$A:$A,"&lt;"&amp;$J642+7))</f>
        <v/>
      </c>
      <c r="C642">
        <f>IF($J642="","",IFERROR(COUNTIFS('Weekly Log'!$G:$G,"Y",'Weekly Log'!$A:$A,"&gt;="&amp;$J642,'Weekly Log'!$A:$A,"&lt;"&amp;$J642+7)/COUNTIFS('Weekly Log'!$G:$G,"&lt;&gt;",'Weekly Log'!$A:$A,"&gt;="&amp;$J642,'Weekly Log'!$A:$A,"&lt;"&amp;$J642+7),0))</f>
        <v/>
      </c>
      <c r="D642">
        <f>IF($J642="","",IFERROR(COUNTIFS('Weekly Log'!$H:$H,"Y",'Weekly Log'!$A:$A,"&gt;="&amp;$J642,'Weekly Log'!$A:$A,"&lt;"&amp;$J642+7)/COUNTIFS('Weekly Log'!$H:$H,"&lt;&gt;",'Weekly Log'!$A:$A,"&gt;="&amp;$J642,'Weekly Log'!$A:$A,"&lt;"&amp;$J642+7),0))</f>
        <v/>
      </c>
      <c r="E642">
        <f>IF($J642="","",IFERROR(AVERAGEIFS('Weekly Log'!$F:$F,'Weekly Log'!$A:$A,"&gt;="&amp;$J642,'Weekly Log'!$A:$A,"&lt;"&amp;$J642+7),0))</f>
        <v/>
      </c>
      <c r="F642">
        <f>IF($J642="","",IFERROR(SUMIFS('Weekly Log'!$F:$F,'Weekly Log'!$A:$A,"&gt;="&amp;$J642,'Weekly Log'!$A:$A,"&lt;"&amp;$J642+7)/SUMIFS('Weekly Log'!$E:$E,'Weekly Log'!$A:$A,"&gt;="&amp;$J642,'Weekly Log'!$A:$A,"&lt;"&amp;$J642+7),0))</f>
        <v/>
      </c>
      <c r="G642">
        <f>IF($J642="","",IFERROR(LOOKUP(2,1/(('Weekly Log'!$A$5:$A$5000&gt;=$J642)*('Weekly Log'!$A$5:$A$5000&lt;$J642+7)*('Weekly Log'!$M$5:$M$5000&lt;&gt;"")),'Weekly Log'!$M$5:$M$5000),0))</f>
        <v/>
      </c>
      <c r="J642">
        <f>IF(COUNT('Weekly Log'!$A$5:$A$5000)=0,"",IF(MIN('Weekly Log'!$A$5:$A$5000)+7*(ROW()-10)&gt;MAX('Weekly Log'!$A$5:$A$5000),"",MIN('Weekly Log'!$A$5:$A$5000)+7*(ROW()-10)))</f>
        <v/>
      </c>
    </row>
    <row r="643">
      <c r="A643">
        <f>IF($J643="","",YEAR($J643-WEEKDAY($J643,2)+4)&amp;"-W"&amp;TEXT(WEEKNUM($J643,21),"00"))</f>
        <v/>
      </c>
      <c r="B643">
        <f>IF($J643="","",SUMIFS('Weekly Log'!$C:$C,'Weekly Log'!$A:$A,"&gt;="&amp;$J643,'Weekly Log'!$A:$A,"&lt;"&amp;$J643+7))</f>
        <v/>
      </c>
      <c r="C643">
        <f>IF($J643="","",IFERROR(COUNTIFS('Weekly Log'!$G:$G,"Y",'Weekly Log'!$A:$A,"&gt;="&amp;$J643,'Weekly Log'!$A:$A,"&lt;"&amp;$J643+7)/COUNTIFS('Weekly Log'!$G:$G,"&lt;&gt;",'Weekly Log'!$A:$A,"&gt;="&amp;$J643,'Weekly Log'!$A:$A,"&lt;"&amp;$J643+7),0))</f>
        <v/>
      </c>
      <c r="D643">
        <f>IF($J643="","",IFERROR(COUNTIFS('Weekly Log'!$H:$H,"Y",'Weekly Log'!$A:$A,"&gt;="&amp;$J643,'Weekly Log'!$A:$A,"&lt;"&amp;$J643+7)/COUNTIFS('Weekly Log'!$H:$H,"&lt;&gt;",'Weekly Log'!$A:$A,"&gt;="&amp;$J643,'Weekly Log'!$A:$A,"&lt;"&amp;$J643+7),0))</f>
        <v/>
      </c>
      <c r="E643">
        <f>IF($J643="","",IFERROR(AVERAGEIFS('Weekly Log'!$F:$F,'Weekly Log'!$A:$A,"&gt;="&amp;$J643,'Weekly Log'!$A:$A,"&lt;"&amp;$J643+7),0))</f>
        <v/>
      </c>
      <c r="F643">
        <f>IF($J643="","",IFERROR(SUMIFS('Weekly Log'!$F:$F,'Weekly Log'!$A:$A,"&gt;="&amp;$J643,'Weekly Log'!$A:$A,"&lt;"&amp;$J643+7)/SUMIFS('Weekly Log'!$E:$E,'Weekly Log'!$A:$A,"&gt;="&amp;$J643,'Weekly Log'!$A:$A,"&lt;"&amp;$J643+7),0))</f>
        <v/>
      </c>
      <c r="G643">
        <f>IF($J643="","",IFERROR(LOOKUP(2,1/(('Weekly Log'!$A$5:$A$5000&gt;=$J643)*('Weekly Log'!$A$5:$A$5000&lt;$J643+7)*('Weekly Log'!$M$5:$M$5000&lt;&gt;"")),'Weekly Log'!$M$5:$M$5000),0))</f>
        <v/>
      </c>
      <c r="J643">
        <f>IF(COUNT('Weekly Log'!$A$5:$A$5000)=0,"",IF(MIN('Weekly Log'!$A$5:$A$5000)+7*(ROW()-10)&gt;MAX('Weekly Log'!$A$5:$A$5000),"",MIN('Weekly Log'!$A$5:$A$5000)+7*(ROW()-10)))</f>
        <v/>
      </c>
    </row>
    <row r="644">
      <c r="A644">
        <f>IF($J644="","",YEAR($J644-WEEKDAY($J644,2)+4)&amp;"-W"&amp;TEXT(WEEKNUM($J644,21),"00"))</f>
        <v/>
      </c>
      <c r="B644">
        <f>IF($J644="","",SUMIFS('Weekly Log'!$C:$C,'Weekly Log'!$A:$A,"&gt;="&amp;$J644,'Weekly Log'!$A:$A,"&lt;"&amp;$J644+7))</f>
        <v/>
      </c>
      <c r="C644">
        <f>IF($J644="","",IFERROR(COUNTIFS('Weekly Log'!$G:$G,"Y",'Weekly Log'!$A:$A,"&gt;="&amp;$J644,'Weekly Log'!$A:$A,"&lt;"&amp;$J644+7)/COUNTIFS('Weekly Log'!$G:$G,"&lt;&gt;",'Weekly Log'!$A:$A,"&gt;="&amp;$J644,'Weekly Log'!$A:$A,"&lt;"&amp;$J644+7),0))</f>
        <v/>
      </c>
      <c r="D644">
        <f>IF($J644="","",IFERROR(COUNTIFS('Weekly Log'!$H:$H,"Y",'Weekly Log'!$A:$A,"&gt;="&amp;$J644,'Weekly Log'!$A:$A,"&lt;"&amp;$J644+7)/COUNTIFS('Weekly Log'!$H:$H,"&lt;&gt;",'Weekly Log'!$A:$A,"&gt;="&amp;$J644,'Weekly Log'!$A:$A,"&lt;"&amp;$J644+7),0))</f>
        <v/>
      </c>
      <c r="E644">
        <f>IF($J644="","",IFERROR(AVERAGEIFS('Weekly Log'!$F:$F,'Weekly Log'!$A:$A,"&gt;="&amp;$J644,'Weekly Log'!$A:$A,"&lt;"&amp;$J644+7),0))</f>
        <v/>
      </c>
      <c r="F644">
        <f>IF($J644="","",IFERROR(SUMIFS('Weekly Log'!$F:$F,'Weekly Log'!$A:$A,"&gt;="&amp;$J644,'Weekly Log'!$A:$A,"&lt;"&amp;$J644+7)/SUMIFS('Weekly Log'!$E:$E,'Weekly Log'!$A:$A,"&gt;="&amp;$J644,'Weekly Log'!$A:$A,"&lt;"&amp;$J644+7),0))</f>
        <v/>
      </c>
      <c r="G644">
        <f>IF($J644="","",IFERROR(LOOKUP(2,1/(('Weekly Log'!$A$5:$A$5000&gt;=$J644)*('Weekly Log'!$A$5:$A$5000&lt;$J644+7)*('Weekly Log'!$M$5:$M$5000&lt;&gt;"")),'Weekly Log'!$M$5:$M$5000),0))</f>
        <v/>
      </c>
      <c r="J644">
        <f>IF(COUNT('Weekly Log'!$A$5:$A$5000)=0,"",IF(MIN('Weekly Log'!$A$5:$A$5000)+7*(ROW()-10)&gt;MAX('Weekly Log'!$A$5:$A$5000),"",MIN('Weekly Log'!$A$5:$A$5000)+7*(ROW()-10)))</f>
        <v/>
      </c>
    </row>
    <row r="645">
      <c r="A645">
        <f>IF($J645="","",YEAR($J645-WEEKDAY($J645,2)+4)&amp;"-W"&amp;TEXT(WEEKNUM($J645,21),"00"))</f>
        <v/>
      </c>
      <c r="B645">
        <f>IF($J645="","",SUMIFS('Weekly Log'!$C:$C,'Weekly Log'!$A:$A,"&gt;="&amp;$J645,'Weekly Log'!$A:$A,"&lt;"&amp;$J645+7))</f>
        <v/>
      </c>
      <c r="C645">
        <f>IF($J645="","",IFERROR(COUNTIFS('Weekly Log'!$G:$G,"Y",'Weekly Log'!$A:$A,"&gt;="&amp;$J645,'Weekly Log'!$A:$A,"&lt;"&amp;$J645+7)/COUNTIFS('Weekly Log'!$G:$G,"&lt;&gt;",'Weekly Log'!$A:$A,"&gt;="&amp;$J645,'Weekly Log'!$A:$A,"&lt;"&amp;$J645+7),0))</f>
        <v/>
      </c>
      <c r="D645">
        <f>IF($J645="","",IFERROR(COUNTIFS('Weekly Log'!$H:$H,"Y",'Weekly Log'!$A:$A,"&gt;="&amp;$J645,'Weekly Log'!$A:$A,"&lt;"&amp;$J645+7)/COUNTIFS('Weekly Log'!$H:$H,"&lt;&gt;",'Weekly Log'!$A:$A,"&gt;="&amp;$J645,'Weekly Log'!$A:$A,"&lt;"&amp;$J645+7),0))</f>
        <v/>
      </c>
      <c r="E645">
        <f>IF($J645="","",IFERROR(AVERAGEIFS('Weekly Log'!$F:$F,'Weekly Log'!$A:$A,"&gt;="&amp;$J645,'Weekly Log'!$A:$A,"&lt;"&amp;$J645+7),0))</f>
        <v/>
      </c>
      <c r="F645">
        <f>IF($J645="","",IFERROR(SUMIFS('Weekly Log'!$F:$F,'Weekly Log'!$A:$A,"&gt;="&amp;$J645,'Weekly Log'!$A:$A,"&lt;"&amp;$J645+7)/SUMIFS('Weekly Log'!$E:$E,'Weekly Log'!$A:$A,"&gt;="&amp;$J645,'Weekly Log'!$A:$A,"&lt;"&amp;$J645+7),0))</f>
        <v/>
      </c>
      <c r="G645">
        <f>IF($J645="","",IFERROR(LOOKUP(2,1/(('Weekly Log'!$A$5:$A$5000&gt;=$J645)*('Weekly Log'!$A$5:$A$5000&lt;$J645+7)*('Weekly Log'!$M$5:$M$5000&lt;&gt;"")),'Weekly Log'!$M$5:$M$5000),0))</f>
        <v/>
      </c>
      <c r="J645">
        <f>IF(COUNT('Weekly Log'!$A$5:$A$5000)=0,"",IF(MIN('Weekly Log'!$A$5:$A$5000)+7*(ROW()-10)&gt;MAX('Weekly Log'!$A$5:$A$5000),"",MIN('Weekly Log'!$A$5:$A$5000)+7*(ROW()-10)))</f>
        <v/>
      </c>
    </row>
    <row r="646">
      <c r="A646">
        <f>IF($J646="","",YEAR($J646-WEEKDAY($J646,2)+4)&amp;"-W"&amp;TEXT(WEEKNUM($J646,21),"00"))</f>
        <v/>
      </c>
      <c r="B646">
        <f>IF($J646="","",SUMIFS('Weekly Log'!$C:$C,'Weekly Log'!$A:$A,"&gt;="&amp;$J646,'Weekly Log'!$A:$A,"&lt;"&amp;$J646+7))</f>
        <v/>
      </c>
      <c r="C646">
        <f>IF($J646="","",IFERROR(COUNTIFS('Weekly Log'!$G:$G,"Y",'Weekly Log'!$A:$A,"&gt;="&amp;$J646,'Weekly Log'!$A:$A,"&lt;"&amp;$J646+7)/COUNTIFS('Weekly Log'!$G:$G,"&lt;&gt;",'Weekly Log'!$A:$A,"&gt;="&amp;$J646,'Weekly Log'!$A:$A,"&lt;"&amp;$J646+7),0))</f>
        <v/>
      </c>
      <c r="D646">
        <f>IF($J646="","",IFERROR(COUNTIFS('Weekly Log'!$H:$H,"Y",'Weekly Log'!$A:$A,"&gt;="&amp;$J646,'Weekly Log'!$A:$A,"&lt;"&amp;$J646+7)/COUNTIFS('Weekly Log'!$H:$H,"&lt;&gt;",'Weekly Log'!$A:$A,"&gt;="&amp;$J646,'Weekly Log'!$A:$A,"&lt;"&amp;$J646+7),0))</f>
        <v/>
      </c>
      <c r="E646">
        <f>IF($J646="","",IFERROR(AVERAGEIFS('Weekly Log'!$F:$F,'Weekly Log'!$A:$A,"&gt;="&amp;$J646,'Weekly Log'!$A:$A,"&lt;"&amp;$J646+7),0))</f>
        <v/>
      </c>
      <c r="F646">
        <f>IF($J646="","",IFERROR(SUMIFS('Weekly Log'!$F:$F,'Weekly Log'!$A:$A,"&gt;="&amp;$J646,'Weekly Log'!$A:$A,"&lt;"&amp;$J646+7)/SUMIFS('Weekly Log'!$E:$E,'Weekly Log'!$A:$A,"&gt;="&amp;$J646,'Weekly Log'!$A:$A,"&lt;"&amp;$J646+7),0))</f>
        <v/>
      </c>
      <c r="G646">
        <f>IF($J646="","",IFERROR(LOOKUP(2,1/(('Weekly Log'!$A$5:$A$5000&gt;=$J646)*('Weekly Log'!$A$5:$A$5000&lt;$J646+7)*('Weekly Log'!$M$5:$M$5000&lt;&gt;"")),'Weekly Log'!$M$5:$M$5000),0))</f>
        <v/>
      </c>
      <c r="J646">
        <f>IF(COUNT('Weekly Log'!$A$5:$A$5000)=0,"",IF(MIN('Weekly Log'!$A$5:$A$5000)+7*(ROW()-10)&gt;MAX('Weekly Log'!$A$5:$A$5000),"",MIN('Weekly Log'!$A$5:$A$5000)+7*(ROW()-10)))</f>
        <v/>
      </c>
    </row>
    <row r="647">
      <c r="A647">
        <f>IF($J647="","",YEAR($J647-WEEKDAY($J647,2)+4)&amp;"-W"&amp;TEXT(WEEKNUM($J647,21),"00"))</f>
        <v/>
      </c>
      <c r="B647">
        <f>IF($J647="","",SUMIFS('Weekly Log'!$C:$C,'Weekly Log'!$A:$A,"&gt;="&amp;$J647,'Weekly Log'!$A:$A,"&lt;"&amp;$J647+7))</f>
        <v/>
      </c>
      <c r="C647">
        <f>IF($J647="","",IFERROR(COUNTIFS('Weekly Log'!$G:$G,"Y",'Weekly Log'!$A:$A,"&gt;="&amp;$J647,'Weekly Log'!$A:$A,"&lt;"&amp;$J647+7)/COUNTIFS('Weekly Log'!$G:$G,"&lt;&gt;",'Weekly Log'!$A:$A,"&gt;="&amp;$J647,'Weekly Log'!$A:$A,"&lt;"&amp;$J647+7),0))</f>
        <v/>
      </c>
      <c r="D647">
        <f>IF($J647="","",IFERROR(COUNTIFS('Weekly Log'!$H:$H,"Y",'Weekly Log'!$A:$A,"&gt;="&amp;$J647,'Weekly Log'!$A:$A,"&lt;"&amp;$J647+7)/COUNTIFS('Weekly Log'!$H:$H,"&lt;&gt;",'Weekly Log'!$A:$A,"&gt;="&amp;$J647,'Weekly Log'!$A:$A,"&lt;"&amp;$J647+7),0))</f>
        <v/>
      </c>
      <c r="E647">
        <f>IF($J647="","",IFERROR(AVERAGEIFS('Weekly Log'!$F:$F,'Weekly Log'!$A:$A,"&gt;="&amp;$J647,'Weekly Log'!$A:$A,"&lt;"&amp;$J647+7),0))</f>
        <v/>
      </c>
      <c r="F647">
        <f>IF($J647="","",IFERROR(SUMIFS('Weekly Log'!$F:$F,'Weekly Log'!$A:$A,"&gt;="&amp;$J647,'Weekly Log'!$A:$A,"&lt;"&amp;$J647+7)/SUMIFS('Weekly Log'!$E:$E,'Weekly Log'!$A:$A,"&gt;="&amp;$J647,'Weekly Log'!$A:$A,"&lt;"&amp;$J647+7),0))</f>
        <v/>
      </c>
      <c r="G647">
        <f>IF($J647="","",IFERROR(LOOKUP(2,1/(('Weekly Log'!$A$5:$A$5000&gt;=$J647)*('Weekly Log'!$A$5:$A$5000&lt;$J647+7)*('Weekly Log'!$M$5:$M$5000&lt;&gt;"")),'Weekly Log'!$M$5:$M$5000),0))</f>
        <v/>
      </c>
      <c r="J647">
        <f>IF(COUNT('Weekly Log'!$A$5:$A$5000)=0,"",IF(MIN('Weekly Log'!$A$5:$A$5000)+7*(ROW()-10)&gt;MAX('Weekly Log'!$A$5:$A$5000),"",MIN('Weekly Log'!$A$5:$A$5000)+7*(ROW()-10)))</f>
        <v/>
      </c>
    </row>
    <row r="648">
      <c r="A648">
        <f>IF($J648="","",YEAR($J648-WEEKDAY($J648,2)+4)&amp;"-W"&amp;TEXT(WEEKNUM($J648,21),"00"))</f>
        <v/>
      </c>
      <c r="B648">
        <f>IF($J648="","",SUMIFS('Weekly Log'!$C:$C,'Weekly Log'!$A:$A,"&gt;="&amp;$J648,'Weekly Log'!$A:$A,"&lt;"&amp;$J648+7))</f>
        <v/>
      </c>
      <c r="C648">
        <f>IF($J648="","",IFERROR(COUNTIFS('Weekly Log'!$G:$G,"Y",'Weekly Log'!$A:$A,"&gt;="&amp;$J648,'Weekly Log'!$A:$A,"&lt;"&amp;$J648+7)/COUNTIFS('Weekly Log'!$G:$G,"&lt;&gt;",'Weekly Log'!$A:$A,"&gt;="&amp;$J648,'Weekly Log'!$A:$A,"&lt;"&amp;$J648+7),0))</f>
        <v/>
      </c>
      <c r="D648">
        <f>IF($J648="","",IFERROR(COUNTIFS('Weekly Log'!$H:$H,"Y",'Weekly Log'!$A:$A,"&gt;="&amp;$J648,'Weekly Log'!$A:$A,"&lt;"&amp;$J648+7)/COUNTIFS('Weekly Log'!$H:$H,"&lt;&gt;",'Weekly Log'!$A:$A,"&gt;="&amp;$J648,'Weekly Log'!$A:$A,"&lt;"&amp;$J648+7),0))</f>
        <v/>
      </c>
      <c r="E648">
        <f>IF($J648="","",IFERROR(AVERAGEIFS('Weekly Log'!$F:$F,'Weekly Log'!$A:$A,"&gt;="&amp;$J648,'Weekly Log'!$A:$A,"&lt;"&amp;$J648+7),0))</f>
        <v/>
      </c>
      <c r="F648">
        <f>IF($J648="","",IFERROR(SUMIFS('Weekly Log'!$F:$F,'Weekly Log'!$A:$A,"&gt;="&amp;$J648,'Weekly Log'!$A:$A,"&lt;"&amp;$J648+7)/SUMIFS('Weekly Log'!$E:$E,'Weekly Log'!$A:$A,"&gt;="&amp;$J648,'Weekly Log'!$A:$A,"&lt;"&amp;$J648+7),0))</f>
        <v/>
      </c>
      <c r="G648">
        <f>IF($J648="","",IFERROR(LOOKUP(2,1/(('Weekly Log'!$A$5:$A$5000&gt;=$J648)*('Weekly Log'!$A$5:$A$5000&lt;$J648+7)*('Weekly Log'!$M$5:$M$5000&lt;&gt;"")),'Weekly Log'!$M$5:$M$5000),0))</f>
        <v/>
      </c>
      <c r="J648">
        <f>IF(COUNT('Weekly Log'!$A$5:$A$5000)=0,"",IF(MIN('Weekly Log'!$A$5:$A$5000)+7*(ROW()-10)&gt;MAX('Weekly Log'!$A$5:$A$5000),"",MIN('Weekly Log'!$A$5:$A$5000)+7*(ROW()-10)))</f>
        <v/>
      </c>
    </row>
    <row r="649">
      <c r="A649">
        <f>IF($J649="","",YEAR($J649-WEEKDAY($J649,2)+4)&amp;"-W"&amp;TEXT(WEEKNUM($J649,21),"00"))</f>
        <v/>
      </c>
      <c r="B649">
        <f>IF($J649="","",SUMIFS('Weekly Log'!$C:$C,'Weekly Log'!$A:$A,"&gt;="&amp;$J649,'Weekly Log'!$A:$A,"&lt;"&amp;$J649+7))</f>
        <v/>
      </c>
      <c r="C649">
        <f>IF($J649="","",IFERROR(COUNTIFS('Weekly Log'!$G:$G,"Y",'Weekly Log'!$A:$A,"&gt;="&amp;$J649,'Weekly Log'!$A:$A,"&lt;"&amp;$J649+7)/COUNTIFS('Weekly Log'!$G:$G,"&lt;&gt;",'Weekly Log'!$A:$A,"&gt;="&amp;$J649,'Weekly Log'!$A:$A,"&lt;"&amp;$J649+7),0))</f>
        <v/>
      </c>
      <c r="D649">
        <f>IF($J649="","",IFERROR(COUNTIFS('Weekly Log'!$H:$H,"Y",'Weekly Log'!$A:$A,"&gt;="&amp;$J649,'Weekly Log'!$A:$A,"&lt;"&amp;$J649+7)/COUNTIFS('Weekly Log'!$H:$H,"&lt;&gt;",'Weekly Log'!$A:$A,"&gt;="&amp;$J649,'Weekly Log'!$A:$A,"&lt;"&amp;$J649+7),0))</f>
        <v/>
      </c>
      <c r="E649">
        <f>IF($J649="","",IFERROR(AVERAGEIFS('Weekly Log'!$F:$F,'Weekly Log'!$A:$A,"&gt;="&amp;$J649,'Weekly Log'!$A:$A,"&lt;"&amp;$J649+7),0))</f>
        <v/>
      </c>
      <c r="F649">
        <f>IF($J649="","",IFERROR(SUMIFS('Weekly Log'!$F:$F,'Weekly Log'!$A:$A,"&gt;="&amp;$J649,'Weekly Log'!$A:$A,"&lt;"&amp;$J649+7)/SUMIFS('Weekly Log'!$E:$E,'Weekly Log'!$A:$A,"&gt;="&amp;$J649,'Weekly Log'!$A:$A,"&lt;"&amp;$J649+7),0))</f>
        <v/>
      </c>
      <c r="G649">
        <f>IF($J649="","",IFERROR(LOOKUP(2,1/(('Weekly Log'!$A$5:$A$5000&gt;=$J649)*('Weekly Log'!$A$5:$A$5000&lt;$J649+7)*('Weekly Log'!$M$5:$M$5000&lt;&gt;"")),'Weekly Log'!$M$5:$M$5000),0))</f>
        <v/>
      </c>
      <c r="J649">
        <f>IF(COUNT('Weekly Log'!$A$5:$A$5000)=0,"",IF(MIN('Weekly Log'!$A$5:$A$5000)+7*(ROW()-10)&gt;MAX('Weekly Log'!$A$5:$A$5000),"",MIN('Weekly Log'!$A$5:$A$5000)+7*(ROW()-10)))</f>
        <v/>
      </c>
    </row>
    <row r="650">
      <c r="A650">
        <f>IF($J650="","",YEAR($J650-WEEKDAY($J650,2)+4)&amp;"-W"&amp;TEXT(WEEKNUM($J650,21),"00"))</f>
        <v/>
      </c>
      <c r="B650">
        <f>IF($J650="","",SUMIFS('Weekly Log'!$C:$C,'Weekly Log'!$A:$A,"&gt;="&amp;$J650,'Weekly Log'!$A:$A,"&lt;"&amp;$J650+7))</f>
        <v/>
      </c>
      <c r="C650">
        <f>IF($J650="","",IFERROR(COUNTIFS('Weekly Log'!$G:$G,"Y",'Weekly Log'!$A:$A,"&gt;="&amp;$J650,'Weekly Log'!$A:$A,"&lt;"&amp;$J650+7)/COUNTIFS('Weekly Log'!$G:$G,"&lt;&gt;",'Weekly Log'!$A:$A,"&gt;="&amp;$J650,'Weekly Log'!$A:$A,"&lt;"&amp;$J650+7),0))</f>
        <v/>
      </c>
      <c r="D650">
        <f>IF($J650="","",IFERROR(COUNTIFS('Weekly Log'!$H:$H,"Y",'Weekly Log'!$A:$A,"&gt;="&amp;$J650,'Weekly Log'!$A:$A,"&lt;"&amp;$J650+7)/COUNTIFS('Weekly Log'!$H:$H,"&lt;&gt;",'Weekly Log'!$A:$A,"&gt;="&amp;$J650,'Weekly Log'!$A:$A,"&lt;"&amp;$J650+7),0))</f>
        <v/>
      </c>
      <c r="E650">
        <f>IF($J650="","",IFERROR(AVERAGEIFS('Weekly Log'!$F:$F,'Weekly Log'!$A:$A,"&gt;="&amp;$J650,'Weekly Log'!$A:$A,"&lt;"&amp;$J650+7),0))</f>
        <v/>
      </c>
      <c r="F650">
        <f>IF($J650="","",IFERROR(SUMIFS('Weekly Log'!$F:$F,'Weekly Log'!$A:$A,"&gt;="&amp;$J650,'Weekly Log'!$A:$A,"&lt;"&amp;$J650+7)/SUMIFS('Weekly Log'!$E:$E,'Weekly Log'!$A:$A,"&gt;="&amp;$J650,'Weekly Log'!$A:$A,"&lt;"&amp;$J650+7),0))</f>
        <v/>
      </c>
      <c r="G650">
        <f>IF($J650="","",IFERROR(LOOKUP(2,1/(('Weekly Log'!$A$5:$A$5000&gt;=$J650)*('Weekly Log'!$A$5:$A$5000&lt;$J650+7)*('Weekly Log'!$M$5:$M$5000&lt;&gt;"")),'Weekly Log'!$M$5:$M$5000),0))</f>
        <v/>
      </c>
      <c r="J650">
        <f>IF(COUNT('Weekly Log'!$A$5:$A$5000)=0,"",IF(MIN('Weekly Log'!$A$5:$A$5000)+7*(ROW()-10)&gt;MAX('Weekly Log'!$A$5:$A$5000),"",MIN('Weekly Log'!$A$5:$A$5000)+7*(ROW()-10)))</f>
        <v/>
      </c>
    </row>
    <row r="651">
      <c r="A651">
        <f>IF($J651="","",YEAR($J651-WEEKDAY($J651,2)+4)&amp;"-W"&amp;TEXT(WEEKNUM($J651,21),"00"))</f>
        <v/>
      </c>
      <c r="B651">
        <f>IF($J651="","",SUMIFS('Weekly Log'!$C:$C,'Weekly Log'!$A:$A,"&gt;="&amp;$J651,'Weekly Log'!$A:$A,"&lt;"&amp;$J651+7))</f>
        <v/>
      </c>
      <c r="C651">
        <f>IF($J651="","",IFERROR(COUNTIFS('Weekly Log'!$G:$G,"Y",'Weekly Log'!$A:$A,"&gt;="&amp;$J651,'Weekly Log'!$A:$A,"&lt;"&amp;$J651+7)/COUNTIFS('Weekly Log'!$G:$G,"&lt;&gt;",'Weekly Log'!$A:$A,"&gt;="&amp;$J651,'Weekly Log'!$A:$A,"&lt;"&amp;$J651+7),0))</f>
        <v/>
      </c>
      <c r="D651">
        <f>IF($J651="","",IFERROR(COUNTIFS('Weekly Log'!$H:$H,"Y",'Weekly Log'!$A:$A,"&gt;="&amp;$J651,'Weekly Log'!$A:$A,"&lt;"&amp;$J651+7)/COUNTIFS('Weekly Log'!$H:$H,"&lt;&gt;",'Weekly Log'!$A:$A,"&gt;="&amp;$J651,'Weekly Log'!$A:$A,"&lt;"&amp;$J651+7),0))</f>
        <v/>
      </c>
      <c r="E651">
        <f>IF($J651="","",IFERROR(AVERAGEIFS('Weekly Log'!$F:$F,'Weekly Log'!$A:$A,"&gt;="&amp;$J651,'Weekly Log'!$A:$A,"&lt;"&amp;$J651+7),0))</f>
        <v/>
      </c>
      <c r="F651">
        <f>IF($J651="","",IFERROR(SUMIFS('Weekly Log'!$F:$F,'Weekly Log'!$A:$A,"&gt;="&amp;$J651,'Weekly Log'!$A:$A,"&lt;"&amp;$J651+7)/SUMIFS('Weekly Log'!$E:$E,'Weekly Log'!$A:$A,"&gt;="&amp;$J651,'Weekly Log'!$A:$A,"&lt;"&amp;$J651+7),0))</f>
        <v/>
      </c>
      <c r="G651">
        <f>IF($J651="","",IFERROR(LOOKUP(2,1/(('Weekly Log'!$A$5:$A$5000&gt;=$J651)*('Weekly Log'!$A$5:$A$5000&lt;$J651+7)*('Weekly Log'!$M$5:$M$5000&lt;&gt;"")),'Weekly Log'!$M$5:$M$5000),0))</f>
        <v/>
      </c>
      <c r="J651">
        <f>IF(COUNT('Weekly Log'!$A$5:$A$5000)=0,"",IF(MIN('Weekly Log'!$A$5:$A$5000)+7*(ROW()-10)&gt;MAX('Weekly Log'!$A$5:$A$5000),"",MIN('Weekly Log'!$A$5:$A$5000)+7*(ROW()-10)))</f>
        <v/>
      </c>
    </row>
    <row r="652">
      <c r="A652">
        <f>IF($J652="","",YEAR($J652-WEEKDAY($J652,2)+4)&amp;"-W"&amp;TEXT(WEEKNUM($J652,21),"00"))</f>
        <v/>
      </c>
      <c r="B652">
        <f>IF($J652="","",SUMIFS('Weekly Log'!$C:$C,'Weekly Log'!$A:$A,"&gt;="&amp;$J652,'Weekly Log'!$A:$A,"&lt;"&amp;$J652+7))</f>
        <v/>
      </c>
      <c r="C652">
        <f>IF($J652="","",IFERROR(COUNTIFS('Weekly Log'!$G:$G,"Y",'Weekly Log'!$A:$A,"&gt;="&amp;$J652,'Weekly Log'!$A:$A,"&lt;"&amp;$J652+7)/COUNTIFS('Weekly Log'!$G:$G,"&lt;&gt;",'Weekly Log'!$A:$A,"&gt;="&amp;$J652,'Weekly Log'!$A:$A,"&lt;"&amp;$J652+7),0))</f>
        <v/>
      </c>
      <c r="D652">
        <f>IF($J652="","",IFERROR(COUNTIFS('Weekly Log'!$H:$H,"Y",'Weekly Log'!$A:$A,"&gt;="&amp;$J652,'Weekly Log'!$A:$A,"&lt;"&amp;$J652+7)/COUNTIFS('Weekly Log'!$H:$H,"&lt;&gt;",'Weekly Log'!$A:$A,"&gt;="&amp;$J652,'Weekly Log'!$A:$A,"&lt;"&amp;$J652+7),0))</f>
        <v/>
      </c>
      <c r="E652">
        <f>IF($J652="","",IFERROR(AVERAGEIFS('Weekly Log'!$F:$F,'Weekly Log'!$A:$A,"&gt;="&amp;$J652,'Weekly Log'!$A:$A,"&lt;"&amp;$J652+7),0))</f>
        <v/>
      </c>
      <c r="F652">
        <f>IF($J652="","",IFERROR(SUMIFS('Weekly Log'!$F:$F,'Weekly Log'!$A:$A,"&gt;="&amp;$J652,'Weekly Log'!$A:$A,"&lt;"&amp;$J652+7)/SUMIFS('Weekly Log'!$E:$E,'Weekly Log'!$A:$A,"&gt;="&amp;$J652,'Weekly Log'!$A:$A,"&lt;"&amp;$J652+7),0))</f>
        <v/>
      </c>
      <c r="G652">
        <f>IF($J652="","",IFERROR(LOOKUP(2,1/(('Weekly Log'!$A$5:$A$5000&gt;=$J652)*('Weekly Log'!$A$5:$A$5000&lt;$J652+7)*('Weekly Log'!$M$5:$M$5000&lt;&gt;"")),'Weekly Log'!$M$5:$M$5000),0))</f>
        <v/>
      </c>
      <c r="J652">
        <f>IF(COUNT('Weekly Log'!$A$5:$A$5000)=0,"",IF(MIN('Weekly Log'!$A$5:$A$5000)+7*(ROW()-10)&gt;MAX('Weekly Log'!$A$5:$A$5000),"",MIN('Weekly Log'!$A$5:$A$5000)+7*(ROW()-10)))</f>
        <v/>
      </c>
    </row>
    <row r="653">
      <c r="A653">
        <f>IF($J653="","",YEAR($J653-WEEKDAY($J653,2)+4)&amp;"-W"&amp;TEXT(WEEKNUM($J653,21),"00"))</f>
        <v/>
      </c>
      <c r="B653">
        <f>IF($J653="","",SUMIFS('Weekly Log'!$C:$C,'Weekly Log'!$A:$A,"&gt;="&amp;$J653,'Weekly Log'!$A:$A,"&lt;"&amp;$J653+7))</f>
        <v/>
      </c>
      <c r="C653">
        <f>IF($J653="","",IFERROR(COUNTIFS('Weekly Log'!$G:$G,"Y",'Weekly Log'!$A:$A,"&gt;="&amp;$J653,'Weekly Log'!$A:$A,"&lt;"&amp;$J653+7)/COUNTIFS('Weekly Log'!$G:$G,"&lt;&gt;",'Weekly Log'!$A:$A,"&gt;="&amp;$J653,'Weekly Log'!$A:$A,"&lt;"&amp;$J653+7),0))</f>
        <v/>
      </c>
      <c r="D653">
        <f>IF($J653="","",IFERROR(COUNTIFS('Weekly Log'!$H:$H,"Y",'Weekly Log'!$A:$A,"&gt;="&amp;$J653,'Weekly Log'!$A:$A,"&lt;"&amp;$J653+7)/COUNTIFS('Weekly Log'!$H:$H,"&lt;&gt;",'Weekly Log'!$A:$A,"&gt;="&amp;$J653,'Weekly Log'!$A:$A,"&lt;"&amp;$J653+7),0))</f>
        <v/>
      </c>
      <c r="E653">
        <f>IF($J653="","",IFERROR(AVERAGEIFS('Weekly Log'!$F:$F,'Weekly Log'!$A:$A,"&gt;="&amp;$J653,'Weekly Log'!$A:$A,"&lt;"&amp;$J653+7),0))</f>
        <v/>
      </c>
      <c r="F653">
        <f>IF($J653="","",IFERROR(SUMIFS('Weekly Log'!$F:$F,'Weekly Log'!$A:$A,"&gt;="&amp;$J653,'Weekly Log'!$A:$A,"&lt;"&amp;$J653+7)/SUMIFS('Weekly Log'!$E:$E,'Weekly Log'!$A:$A,"&gt;="&amp;$J653,'Weekly Log'!$A:$A,"&lt;"&amp;$J653+7),0))</f>
        <v/>
      </c>
      <c r="G653">
        <f>IF($J653="","",IFERROR(LOOKUP(2,1/(('Weekly Log'!$A$5:$A$5000&gt;=$J653)*('Weekly Log'!$A$5:$A$5000&lt;$J653+7)*('Weekly Log'!$M$5:$M$5000&lt;&gt;"")),'Weekly Log'!$M$5:$M$5000),0))</f>
        <v/>
      </c>
      <c r="J653">
        <f>IF(COUNT('Weekly Log'!$A$5:$A$5000)=0,"",IF(MIN('Weekly Log'!$A$5:$A$5000)+7*(ROW()-10)&gt;MAX('Weekly Log'!$A$5:$A$5000),"",MIN('Weekly Log'!$A$5:$A$5000)+7*(ROW()-10)))</f>
        <v/>
      </c>
    </row>
    <row r="654">
      <c r="A654">
        <f>IF($J654="","",YEAR($J654-WEEKDAY($J654,2)+4)&amp;"-W"&amp;TEXT(WEEKNUM($J654,21),"00"))</f>
        <v/>
      </c>
      <c r="B654">
        <f>IF($J654="","",SUMIFS('Weekly Log'!$C:$C,'Weekly Log'!$A:$A,"&gt;="&amp;$J654,'Weekly Log'!$A:$A,"&lt;"&amp;$J654+7))</f>
        <v/>
      </c>
      <c r="C654">
        <f>IF($J654="","",IFERROR(COUNTIFS('Weekly Log'!$G:$G,"Y",'Weekly Log'!$A:$A,"&gt;="&amp;$J654,'Weekly Log'!$A:$A,"&lt;"&amp;$J654+7)/COUNTIFS('Weekly Log'!$G:$G,"&lt;&gt;",'Weekly Log'!$A:$A,"&gt;="&amp;$J654,'Weekly Log'!$A:$A,"&lt;"&amp;$J654+7),0))</f>
        <v/>
      </c>
      <c r="D654">
        <f>IF($J654="","",IFERROR(COUNTIFS('Weekly Log'!$H:$H,"Y",'Weekly Log'!$A:$A,"&gt;="&amp;$J654,'Weekly Log'!$A:$A,"&lt;"&amp;$J654+7)/COUNTIFS('Weekly Log'!$H:$H,"&lt;&gt;",'Weekly Log'!$A:$A,"&gt;="&amp;$J654,'Weekly Log'!$A:$A,"&lt;"&amp;$J654+7),0))</f>
        <v/>
      </c>
      <c r="E654">
        <f>IF($J654="","",IFERROR(AVERAGEIFS('Weekly Log'!$F:$F,'Weekly Log'!$A:$A,"&gt;="&amp;$J654,'Weekly Log'!$A:$A,"&lt;"&amp;$J654+7),0))</f>
        <v/>
      </c>
      <c r="F654">
        <f>IF($J654="","",IFERROR(SUMIFS('Weekly Log'!$F:$F,'Weekly Log'!$A:$A,"&gt;="&amp;$J654,'Weekly Log'!$A:$A,"&lt;"&amp;$J654+7)/SUMIFS('Weekly Log'!$E:$E,'Weekly Log'!$A:$A,"&gt;="&amp;$J654,'Weekly Log'!$A:$A,"&lt;"&amp;$J654+7),0))</f>
        <v/>
      </c>
      <c r="G654">
        <f>IF($J654="","",IFERROR(LOOKUP(2,1/(('Weekly Log'!$A$5:$A$5000&gt;=$J654)*('Weekly Log'!$A$5:$A$5000&lt;$J654+7)*('Weekly Log'!$M$5:$M$5000&lt;&gt;"")),'Weekly Log'!$M$5:$M$5000),0))</f>
        <v/>
      </c>
      <c r="J654">
        <f>IF(COUNT('Weekly Log'!$A$5:$A$5000)=0,"",IF(MIN('Weekly Log'!$A$5:$A$5000)+7*(ROW()-10)&gt;MAX('Weekly Log'!$A$5:$A$5000),"",MIN('Weekly Log'!$A$5:$A$5000)+7*(ROW()-10)))</f>
        <v/>
      </c>
    </row>
    <row r="655">
      <c r="A655">
        <f>IF($J655="","",YEAR($J655-WEEKDAY($J655,2)+4)&amp;"-W"&amp;TEXT(WEEKNUM($J655,21),"00"))</f>
        <v/>
      </c>
      <c r="B655">
        <f>IF($J655="","",SUMIFS('Weekly Log'!$C:$C,'Weekly Log'!$A:$A,"&gt;="&amp;$J655,'Weekly Log'!$A:$A,"&lt;"&amp;$J655+7))</f>
        <v/>
      </c>
      <c r="C655">
        <f>IF($J655="","",IFERROR(COUNTIFS('Weekly Log'!$G:$G,"Y",'Weekly Log'!$A:$A,"&gt;="&amp;$J655,'Weekly Log'!$A:$A,"&lt;"&amp;$J655+7)/COUNTIFS('Weekly Log'!$G:$G,"&lt;&gt;",'Weekly Log'!$A:$A,"&gt;="&amp;$J655,'Weekly Log'!$A:$A,"&lt;"&amp;$J655+7),0))</f>
        <v/>
      </c>
      <c r="D655">
        <f>IF($J655="","",IFERROR(COUNTIFS('Weekly Log'!$H:$H,"Y",'Weekly Log'!$A:$A,"&gt;="&amp;$J655,'Weekly Log'!$A:$A,"&lt;"&amp;$J655+7)/COUNTIFS('Weekly Log'!$H:$H,"&lt;&gt;",'Weekly Log'!$A:$A,"&gt;="&amp;$J655,'Weekly Log'!$A:$A,"&lt;"&amp;$J655+7),0))</f>
        <v/>
      </c>
      <c r="E655">
        <f>IF($J655="","",IFERROR(AVERAGEIFS('Weekly Log'!$F:$F,'Weekly Log'!$A:$A,"&gt;="&amp;$J655,'Weekly Log'!$A:$A,"&lt;"&amp;$J655+7),0))</f>
        <v/>
      </c>
      <c r="F655">
        <f>IF($J655="","",IFERROR(SUMIFS('Weekly Log'!$F:$F,'Weekly Log'!$A:$A,"&gt;="&amp;$J655,'Weekly Log'!$A:$A,"&lt;"&amp;$J655+7)/SUMIFS('Weekly Log'!$E:$E,'Weekly Log'!$A:$A,"&gt;="&amp;$J655,'Weekly Log'!$A:$A,"&lt;"&amp;$J655+7),0))</f>
        <v/>
      </c>
      <c r="G655">
        <f>IF($J655="","",IFERROR(LOOKUP(2,1/(('Weekly Log'!$A$5:$A$5000&gt;=$J655)*('Weekly Log'!$A$5:$A$5000&lt;$J655+7)*('Weekly Log'!$M$5:$M$5000&lt;&gt;"")),'Weekly Log'!$M$5:$M$5000),0))</f>
        <v/>
      </c>
      <c r="J655">
        <f>IF(COUNT('Weekly Log'!$A$5:$A$5000)=0,"",IF(MIN('Weekly Log'!$A$5:$A$5000)+7*(ROW()-10)&gt;MAX('Weekly Log'!$A$5:$A$5000),"",MIN('Weekly Log'!$A$5:$A$5000)+7*(ROW()-10)))</f>
        <v/>
      </c>
    </row>
    <row r="656">
      <c r="A656">
        <f>IF($J656="","",YEAR($J656-WEEKDAY($J656,2)+4)&amp;"-W"&amp;TEXT(WEEKNUM($J656,21),"00"))</f>
        <v/>
      </c>
      <c r="B656">
        <f>IF($J656="","",SUMIFS('Weekly Log'!$C:$C,'Weekly Log'!$A:$A,"&gt;="&amp;$J656,'Weekly Log'!$A:$A,"&lt;"&amp;$J656+7))</f>
        <v/>
      </c>
      <c r="C656">
        <f>IF($J656="","",IFERROR(COUNTIFS('Weekly Log'!$G:$G,"Y",'Weekly Log'!$A:$A,"&gt;="&amp;$J656,'Weekly Log'!$A:$A,"&lt;"&amp;$J656+7)/COUNTIFS('Weekly Log'!$G:$G,"&lt;&gt;",'Weekly Log'!$A:$A,"&gt;="&amp;$J656,'Weekly Log'!$A:$A,"&lt;"&amp;$J656+7),0))</f>
        <v/>
      </c>
      <c r="D656">
        <f>IF($J656="","",IFERROR(COUNTIFS('Weekly Log'!$H:$H,"Y",'Weekly Log'!$A:$A,"&gt;="&amp;$J656,'Weekly Log'!$A:$A,"&lt;"&amp;$J656+7)/COUNTIFS('Weekly Log'!$H:$H,"&lt;&gt;",'Weekly Log'!$A:$A,"&gt;="&amp;$J656,'Weekly Log'!$A:$A,"&lt;"&amp;$J656+7),0))</f>
        <v/>
      </c>
      <c r="E656">
        <f>IF($J656="","",IFERROR(AVERAGEIFS('Weekly Log'!$F:$F,'Weekly Log'!$A:$A,"&gt;="&amp;$J656,'Weekly Log'!$A:$A,"&lt;"&amp;$J656+7),0))</f>
        <v/>
      </c>
      <c r="F656">
        <f>IF($J656="","",IFERROR(SUMIFS('Weekly Log'!$F:$F,'Weekly Log'!$A:$A,"&gt;="&amp;$J656,'Weekly Log'!$A:$A,"&lt;"&amp;$J656+7)/SUMIFS('Weekly Log'!$E:$E,'Weekly Log'!$A:$A,"&gt;="&amp;$J656,'Weekly Log'!$A:$A,"&lt;"&amp;$J656+7),0))</f>
        <v/>
      </c>
      <c r="G656">
        <f>IF($J656="","",IFERROR(LOOKUP(2,1/(('Weekly Log'!$A$5:$A$5000&gt;=$J656)*('Weekly Log'!$A$5:$A$5000&lt;$J656+7)*('Weekly Log'!$M$5:$M$5000&lt;&gt;"")),'Weekly Log'!$M$5:$M$5000),0))</f>
        <v/>
      </c>
      <c r="J656">
        <f>IF(COUNT('Weekly Log'!$A$5:$A$5000)=0,"",IF(MIN('Weekly Log'!$A$5:$A$5000)+7*(ROW()-10)&gt;MAX('Weekly Log'!$A$5:$A$5000),"",MIN('Weekly Log'!$A$5:$A$5000)+7*(ROW()-10)))</f>
        <v/>
      </c>
    </row>
    <row r="657">
      <c r="A657">
        <f>IF($J657="","",YEAR($J657-WEEKDAY($J657,2)+4)&amp;"-W"&amp;TEXT(WEEKNUM($J657,21),"00"))</f>
        <v/>
      </c>
      <c r="B657">
        <f>IF($J657="","",SUMIFS('Weekly Log'!$C:$C,'Weekly Log'!$A:$A,"&gt;="&amp;$J657,'Weekly Log'!$A:$A,"&lt;"&amp;$J657+7))</f>
        <v/>
      </c>
      <c r="C657">
        <f>IF($J657="","",IFERROR(COUNTIFS('Weekly Log'!$G:$G,"Y",'Weekly Log'!$A:$A,"&gt;="&amp;$J657,'Weekly Log'!$A:$A,"&lt;"&amp;$J657+7)/COUNTIFS('Weekly Log'!$G:$G,"&lt;&gt;",'Weekly Log'!$A:$A,"&gt;="&amp;$J657,'Weekly Log'!$A:$A,"&lt;"&amp;$J657+7),0))</f>
        <v/>
      </c>
      <c r="D657">
        <f>IF($J657="","",IFERROR(COUNTIFS('Weekly Log'!$H:$H,"Y",'Weekly Log'!$A:$A,"&gt;="&amp;$J657,'Weekly Log'!$A:$A,"&lt;"&amp;$J657+7)/COUNTIFS('Weekly Log'!$H:$H,"&lt;&gt;",'Weekly Log'!$A:$A,"&gt;="&amp;$J657,'Weekly Log'!$A:$A,"&lt;"&amp;$J657+7),0))</f>
        <v/>
      </c>
      <c r="E657">
        <f>IF($J657="","",IFERROR(AVERAGEIFS('Weekly Log'!$F:$F,'Weekly Log'!$A:$A,"&gt;="&amp;$J657,'Weekly Log'!$A:$A,"&lt;"&amp;$J657+7),0))</f>
        <v/>
      </c>
      <c r="F657">
        <f>IF($J657="","",IFERROR(SUMIFS('Weekly Log'!$F:$F,'Weekly Log'!$A:$A,"&gt;="&amp;$J657,'Weekly Log'!$A:$A,"&lt;"&amp;$J657+7)/SUMIFS('Weekly Log'!$E:$E,'Weekly Log'!$A:$A,"&gt;="&amp;$J657,'Weekly Log'!$A:$A,"&lt;"&amp;$J657+7),0))</f>
        <v/>
      </c>
      <c r="G657">
        <f>IF($J657="","",IFERROR(LOOKUP(2,1/(('Weekly Log'!$A$5:$A$5000&gt;=$J657)*('Weekly Log'!$A$5:$A$5000&lt;$J657+7)*('Weekly Log'!$M$5:$M$5000&lt;&gt;"")),'Weekly Log'!$M$5:$M$5000),0))</f>
        <v/>
      </c>
      <c r="J657">
        <f>IF(COUNT('Weekly Log'!$A$5:$A$5000)=0,"",IF(MIN('Weekly Log'!$A$5:$A$5000)+7*(ROW()-10)&gt;MAX('Weekly Log'!$A$5:$A$5000),"",MIN('Weekly Log'!$A$5:$A$5000)+7*(ROW()-10)))</f>
        <v/>
      </c>
    </row>
    <row r="658">
      <c r="A658">
        <f>IF($J658="","",YEAR($J658-WEEKDAY($J658,2)+4)&amp;"-W"&amp;TEXT(WEEKNUM($J658,21),"00"))</f>
        <v/>
      </c>
      <c r="B658">
        <f>IF($J658="","",SUMIFS('Weekly Log'!$C:$C,'Weekly Log'!$A:$A,"&gt;="&amp;$J658,'Weekly Log'!$A:$A,"&lt;"&amp;$J658+7))</f>
        <v/>
      </c>
      <c r="C658">
        <f>IF($J658="","",IFERROR(COUNTIFS('Weekly Log'!$G:$G,"Y",'Weekly Log'!$A:$A,"&gt;="&amp;$J658,'Weekly Log'!$A:$A,"&lt;"&amp;$J658+7)/COUNTIFS('Weekly Log'!$G:$G,"&lt;&gt;",'Weekly Log'!$A:$A,"&gt;="&amp;$J658,'Weekly Log'!$A:$A,"&lt;"&amp;$J658+7),0))</f>
        <v/>
      </c>
      <c r="D658">
        <f>IF($J658="","",IFERROR(COUNTIFS('Weekly Log'!$H:$H,"Y",'Weekly Log'!$A:$A,"&gt;="&amp;$J658,'Weekly Log'!$A:$A,"&lt;"&amp;$J658+7)/COUNTIFS('Weekly Log'!$H:$H,"&lt;&gt;",'Weekly Log'!$A:$A,"&gt;="&amp;$J658,'Weekly Log'!$A:$A,"&lt;"&amp;$J658+7),0))</f>
        <v/>
      </c>
      <c r="E658">
        <f>IF($J658="","",IFERROR(AVERAGEIFS('Weekly Log'!$F:$F,'Weekly Log'!$A:$A,"&gt;="&amp;$J658,'Weekly Log'!$A:$A,"&lt;"&amp;$J658+7),0))</f>
        <v/>
      </c>
      <c r="F658">
        <f>IF($J658="","",IFERROR(SUMIFS('Weekly Log'!$F:$F,'Weekly Log'!$A:$A,"&gt;="&amp;$J658,'Weekly Log'!$A:$A,"&lt;"&amp;$J658+7)/SUMIFS('Weekly Log'!$E:$E,'Weekly Log'!$A:$A,"&gt;="&amp;$J658,'Weekly Log'!$A:$A,"&lt;"&amp;$J658+7),0))</f>
        <v/>
      </c>
      <c r="G658">
        <f>IF($J658="","",IFERROR(LOOKUP(2,1/(('Weekly Log'!$A$5:$A$5000&gt;=$J658)*('Weekly Log'!$A$5:$A$5000&lt;$J658+7)*('Weekly Log'!$M$5:$M$5000&lt;&gt;"")),'Weekly Log'!$M$5:$M$5000),0))</f>
        <v/>
      </c>
      <c r="J658">
        <f>IF(COUNT('Weekly Log'!$A$5:$A$5000)=0,"",IF(MIN('Weekly Log'!$A$5:$A$5000)+7*(ROW()-10)&gt;MAX('Weekly Log'!$A$5:$A$5000),"",MIN('Weekly Log'!$A$5:$A$5000)+7*(ROW()-10)))</f>
        <v/>
      </c>
    </row>
    <row r="659">
      <c r="A659">
        <f>IF($J659="","",YEAR($J659-WEEKDAY($J659,2)+4)&amp;"-W"&amp;TEXT(WEEKNUM($J659,21),"00"))</f>
        <v/>
      </c>
      <c r="B659">
        <f>IF($J659="","",SUMIFS('Weekly Log'!$C:$C,'Weekly Log'!$A:$A,"&gt;="&amp;$J659,'Weekly Log'!$A:$A,"&lt;"&amp;$J659+7))</f>
        <v/>
      </c>
      <c r="C659">
        <f>IF($J659="","",IFERROR(COUNTIFS('Weekly Log'!$G:$G,"Y",'Weekly Log'!$A:$A,"&gt;="&amp;$J659,'Weekly Log'!$A:$A,"&lt;"&amp;$J659+7)/COUNTIFS('Weekly Log'!$G:$G,"&lt;&gt;",'Weekly Log'!$A:$A,"&gt;="&amp;$J659,'Weekly Log'!$A:$A,"&lt;"&amp;$J659+7),0))</f>
        <v/>
      </c>
      <c r="D659">
        <f>IF($J659="","",IFERROR(COUNTIFS('Weekly Log'!$H:$H,"Y",'Weekly Log'!$A:$A,"&gt;="&amp;$J659,'Weekly Log'!$A:$A,"&lt;"&amp;$J659+7)/COUNTIFS('Weekly Log'!$H:$H,"&lt;&gt;",'Weekly Log'!$A:$A,"&gt;="&amp;$J659,'Weekly Log'!$A:$A,"&lt;"&amp;$J659+7),0))</f>
        <v/>
      </c>
      <c r="E659">
        <f>IF($J659="","",IFERROR(AVERAGEIFS('Weekly Log'!$F:$F,'Weekly Log'!$A:$A,"&gt;="&amp;$J659,'Weekly Log'!$A:$A,"&lt;"&amp;$J659+7),0))</f>
        <v/>
      </c>
      <c r="F659">
        <f>IF($J659="","",IFERROR(SUMIFS('Weekly Log'!$F:$F,'Weekly Log'!$A:$A,"&gt;="&amp;$J659,'Weekly Log'!$A:$A,"&lt;"&amp;$J659+7)/SUMIFS('Weekly Log'!$E:$E,'Weekly Log'!$A:$A,"&gt;="&amp;$J659,'Weekly Log'!$A:$A,"&lt;"&amp;$J659+7),0))</f>
        <v/>
      </c>
      <c r="G659">
        <f>IF($J659="","",IFERROR(LOOKUP(2,1/(('Weekly Log'!$A$5:$A$5000&gt;=$J659)*('Weekly Log'!$A$5:$A$5000&lt;$J659+7)*('Weekly Log'!$M$5:$M$5000&lt;&gt;"")),'Weekly Log'!$M$5:$M$5000),0))</f>
        <v/>
      </c>
      <c r="J659">
        <f>IF(COUNT('Weekly Log'!$A$5:$A$5000)=0,"",IF(MIN('Weekly Log'!$A$5:$A$5000)+7*(ROW()-10)&gt;MAX('Weekly Log'!$A$5:$A$5000),"",MIN('Weekly Log'!$A$5:$A$5000)+7*(ROW()-10)))</f>
        <v/>
      </c>
    </row>
    <row r="660">
      <c r="A660">
        <f>IF($J660="","",YEAR($J660-WEEKDAY($J660,2)+4)&amp;"-W"&amp;TEXT(WEEKNUM($J660,21),"00"))</f>
        <v/>
      </c>
      <c r="B660">
        <f>IF($J660="","",SUMIFS('Weekly Log'!$C:$C,'Weekly Log'!$A:$A,"&gt;="&amp;$J660,'Weekly Log'!$A:$A,"&lt;"&amp;$J660+7))</f>
        <v/>
      </c>
      <c r="C660">
        <f>IF($J660="","",IFERROR(COUNTIFS('Weekly Log'!$G:$G,"Y",'Weekly Log'!$A:$A,"&gt;="&amp;$J660,'Weekly Log'!$A:$A,"&lt;"&amp;$J660+7)/COUNTIFS('Weekly Log'!$G:$G,"&lt;&gt;",'Weekly Log'!$A:$A,"&gt;="&amp;$J660,'Weekly Log'!$A:$A,"&lt;"&amp;$J660+7),0))</f>
        <v/>
      </c>
      <c r="D660">
        <f>IF($J660="","",IFERROR(COUNTIFS('Weekly Log'!$H:$H,"Y",'Weekly Log'!$A:$A,"&gt;="&amp;$J660,'Weekly Log'!$A:$A,"&lt;"&amp;$J660+7)/COUNTIFS('Weekly Log'!$H:$H,"&lt;&gt;",'Weekly Log'!$A:$A,"&gt;="&amp;$J660,'Weekly Log'!$A:$A,"&lt;"&amp;$J660+7),0))</f>
        <v/>
      </c>
      <c r="E660">
        <f>IF($J660="","",IFERROR(AVERAGEIFS('Weekly Log'!$F:$F,'Weekly Log'!$A:$A,"&gt;="&amp;$J660,'Weekly Log'!$A:$A,"&lt;"&amp;$J660+7),0))</f>
        <v/>
      </c>
      <c r="F660">
        <f>IF($J660="","",IFERROR(SUMIFS('Weekly Log'!$F:$F,'Weekly Log'!$A:$A,"&gt;="&amp;$J660,'Weekly Log'!$A:$A,"&lt;"&amp;$J660+7)/SUMIFS('Weekly Log'!$E:$E,'Weekly Log'!$A:$A,"&gt;="&amp;$J660,'Weekly Log'!$A:$A,"&lt;"&amp;$J660+7),0))</f>
        <v/>
      </c>
      <c r="G660">
        <f>IF($J660="","",IFERROR(LOOKUP(2,1/(('Weekly Log'!$A$5:$A$5000&gt;=$J660)*('Weekly Log'!$A$5:$A$5000&lt;$J660+7)*('Weekly Log'!$M$5:$M$5000&lt;&gt;"")),'Weekly Log'!$M$5:$M$5000),0))</f>
        <v/>
      </c>
      <c r="J660">
        <f>IF(COUNT('Weekly Log'!$A$5:$A$5000)=0,"",IF(MIN('Weekly Log'!$A$5:$A$5000)+7*(ROW()-10)&gt;MAX('Weekly Log'!$A$5:$A$5000),"",MIN('Weekly Log'!$A$5:$A$5000)+7*(ROW()-10)))</f>
        <v/>
      </c>
    </row>
    <row r="661">
      <c r="A661">
        <f>IF($J661="","",YEAR($J661-WEEKDAY($J661,2)+4)&amp;"-W"&amp;TEXT(WEEKNUM($J661,21),"00"))</f>
        <v/>
      </c>
      <c r="B661">
        <f>IF($J661="","",SUMIFS('Weekly Log'!$C:$C,'Weekly Log'!$A:$A,"&gt;="&amp;$J661,'Weekly Log'!$A:$A,"&lt;"&amp;$J661+7))</f>
        <v/>
      </c>
      <c r="C661">
        <f>IF($J661="","",IFERROR(COUNTIFS('Weekly Log'!$G:$G,"Y",'Weekly Log'!$A:$A,"&gt;="&amp;$J661,'Weekly Log'!$A:$A,"&lt;"&amp;$J661+7)/COUNTIFS('Weekly Log'!$G:$G,"&lt;&gt;",'Weekly Log'!$A:$A,"&gt;="&amp;$J661,'Weekly Log'!$A:$A,"&lt;"&amp;$J661+7),0))</f>
        <v/>
      </c>
      <c r="D661">
        <f>IF($J661="","",IFERROR(COUNTIFS('Weekly Log'!$H:$H,"Y",'Weekly Log'!$A:$A,"&gt;="&amp;$J661,'Weekly Log'!$A:$A,"&lt;"&amp;$J661+7)/COUNTIFS('Weekly Log'!$H:$H,"&lt;&gt;",'Weekly Log'!$A:$A,"&gt;="&amp;$J661,'Weekly Log'!$A:$A,"&lt;"&amp;$J661+7),0))</f>
        <v/>
      </c>
      <c r="E661">
        <f>IF($J661="","",IFERROR(AVERAGEIFS('Weekly Log'!$F:$F,'Weekly Log'!$A:$A,"&gt;="&amp;$J661,'Weekly Log'!$A:$A,"&lt;"&amp;$J661+7),0))</f>
        <v/>
      </c>
      <c r="F661">
        <f>IF($J661="","",IFERROR(SUMIFS('Weekly Log'!$F:$F,'Weekly Log'!$A:$A,"&gt;="&amp;$J661,'Weekly Log'!$A:$A,"&lt;"&amp;$J661+7)/SUMIFS('Weekly Log'!$E:$E,'Weekly Log'!$A:$A,"&gt;="&amp;$J661,'Weekly Log'!$A:$A,"&lt;"&amp;$J661+7),0))</f>
        <v/>
      </c>
      <c r="G661">
        <f>IF($J661="","",IFERROR(LOOKUP(2,1/(('Weekly Log'!$A$5:$A$5000&gt;=$J661)*('Weekly Log'!$A$5:$A$5000&lt;$J661+7)*('Weekly Log'!$M$5:$M$5000&lt;&gt;"")),'Weekly Log'!$M$5:$M$5000),0))</f>
        <v/>
      </c>
      <c r="J661">
        <f>IF(COUNT('Weekly Log'!$A$5:$A$5000)=0,"",IF(MIN('Weekly Log'!$A$5:$A$5000)+7*(ROW()-10)&gt;MAX('Weekly Log'!$A$5:$A$5000),"",MIN('Weekly Log'!$A$5:$A$5000)+7*(ROW()-10)))</f>
        <v/>
      </c>
    </row>
    <row r="662">
      <c r="A662">
        <f>IF($J662="","",YEAR($J662-WEEKDAY($J662,2)+4)&amp;"-W"&amp;TEXT(WEEKNUM($J662,21),"00"))</f>
        <v/>
      </c>
      <c r="B662">
        <f>IF($J662="","",SUMIFS('Weekly Log'!$C:$C,'Weekly Log'!$A:$A,"&gt;="&amp;$J662,'Weekly Log'!$A:$A,"&lt;"&amp;$J662+7))</f>
        <v/>
      </c>
      <c r="C662">
        <f>IF($J662="","",IFERROR(COUNTIFS('Weekly Log'!$G:$G,"Y",'Weekly Log'!$A:$A,"&gt;="&amp;$J662,'Weekly Log'!$A:$A,"&lt;"&amp;$J662+7)/COUNTIFS('Weekly Log'!$G:$G,"&lt;&gt;",'Weekly Log'!$A:$A,"&gt;="&amp;$J662,'Weekly Log'!$A:$A,"&lt;"&amp;$J662+7),0))</f>
        <v/>
      </c>
      <c r="D662">
        <f>IF($J662="","",IFERROR(COUNTIFS('Weekly Log'!$H:$H,"Y",'Weekly Log'!$A:$A,"&gt;="&amp;$J662,'Weekly Log'!$A:$A,"&lt;"&amp;$J662+7)/COUNTIFS('Weekly Log'!$H:$H,"&lt;&gt;",'Weekly Log'!$A:$A,"&gt;="&amp;$J662,'Weekly Log'!$A:$A,"&lt;"&amp;$J662+7),0))</f>
        <v/>
      </c>
      <c r="E662">
        <f>IF($J662="","",IFERROR(AVERAGEIFS('Weekly Log'!$F:$F,'Weekly Log'!$A:$A,"&gt;="&amp;$J662,'Weekly Log'!$A:$A,"&lt;"&amp;$J662+7),0))</f>
        <v/>
      </c>
      <c r="F662">
        <f>IF($J662="","",IFERROR(SUMIFS('Weekly Log'!$F:$F,'Weekly Log'!$A:$A,"&gt;="&amp;$J662,'Weekly Log'!$A:$A,"&lt;"&amp;$J662+7)/SUMIFS('Weekly Log'!$E:$E,'Weekly Log'!$A:$A,"&gt;="&amp;$J662,'Weekly Log'!$A:$A,"&lt;"&amp;$J662+7),0))</f>
        <v/>
      </c>
      <c r="G662">
        <f>IF($J662="","",IFERROR(LOOKUP(2,1/(('Weekly Log'!$A$5:$A$5000&gt;=$J662)*('Weekly Log'!$A$5:$A$5000&lt;$J662+7)*('Weekly Log'!$M$5:$M$5000&lt;&gt;"")),'Weekly Log'!$M$5:$M$5000),0))</f>
        <v/>
      </c>
      <c r="J662">
        <f>IF(COUNT('Weekly Log'!$A$5:$A$5000)=0,"",IF(MIN('Weekly Log'!$A$5:$A$5000)+7*(ROW()-10)&gt;MAX('Weekly Log'!$A$5:$A$5000),"",MIN('Weekly Log'!$A$5:$A$5000)+7*(ROW()-10)))</f>
        <v/>
      </c>
    </row>
    <row r="663">
      <c r="A663">
        <f>IF($J663="","",YEAR($J663-WEEKDAY($J663,2)+4)&amp;"-W"&amp;TEXT(WEEKNUM($J663,21),"00"))</f>
        <v/>
      </c>
      <c r="B663">
        <f>IF($J663="","",SUMIFS('Weekly Log'!$C:$C,'Weekly Log'!$A:$A,"&gt;="&amp;$J663,'Weekly Log'!$A:$A,"&lt;"&amp;$J663+7))</f>
        <v/>
      </c>
      <c r="C663">
        <f>IF($J663="","",IFERROR(COUNTIFS('Weekly Log'!$G:$G,"Y",'Weekly Log'!$A:$A,"&gt;="&amp;$J663,'Weekly Log'!$A:$A,"&lt;"&amp;$J663+7)/COUNTIFS('Weekly Log'!$G:$G,"&lt;&gt;",'Weekly Log'!$A:$A,"&gt;="&amp;$J663,'Weekly Log'!$A:$A,"&lt;"&amp;$J663+7),0))</f>
        <v/>
      </c>
      <c r="D663">
        <f>IF($J663="","",IFERROR(COUNTIFS('Weekly Log'!$H:$H,"Y",'Weekly Log'!$A:$A,"&gt;="&amp;$J663,'Weekly Log'!$A:$A,"&lt;"&amp;$J663+7)/COUNTIFS('Weekly Log'!$H:$H,"&lt;&gt;",'Weekly Log'!$A:$A,"&gt;="&amp;$J663,'Weekly Log'!$A:$A,"&lt;"&amp;$J663+7),0))</f>
        <v/>
      </c>
      <c r="E663">
        <f>IF($J663="","",IFERROR(AVERAGEIFS('Weekly Log'!$F:$F,'Weekly Log'!$A:$A,"&gt;="&amp;$J663,'Weekly Log'!$A:$A,"&lt;"&amp;$J663+7),0))</f>
        <v/>
      </c>
      <c r="F663">
        <f>IF($J663="","",IFERROR(SUMIFS('Weekly Log'!$F:$F,'Weekly Log'!$A:$A,"&gt;="&amp;$J663,'Weekly Log'!$A:$A,"&lt;"&amp;$J663+7)/SUMIFS('Weekly Log'!$E:$E,'Weekly Log'!$A:$A,"&gt;="&amp;$J663,'Weekly Log'!$A:$A,"&lt;"&amp;$J663+7),0))</f>
        <v/>
      </c>
      <c r="G663">
        <f>IF($J663="","",IFERROR(LOOKUP(2,1/(('Weekly Log'!$A$5:$A$5000&gt;=$J663)*('Weekly Log'!$A$5:$A$5000&lt;$J663+7)*('Weekly Log'!$M$5:$M$5000&lt;&gt;"")),'Weekly Log'!$M$5:$M$5000),0))</f>
        <v/>
      </c>
      <c r="J663">
        <f>IF(COUNT('Weekly Log'!$A$5:$A$5000)=0,"",IF(MIN('Weekly Log'!$A$5:$A$5000)+7*(ROW()-10)&gt;MAX('Weekly Log'!$A$5:$A$5000),"",MIN('Weekly Log'!$A$5:$A$5000)+7*(ROW()-10)))</f>
        <v/>
      </c>
    </row>
    <row r="664">
      <c r="A664">
        <f>IF($J664="","",YEAR($J664-WEEKDAY($J664,2)+4)&amp;"-W"&amp;TEXT(WEEKNUM($J664,21),"00"))</f>
        <v/>
      </c>
      <c r="B664">
        <f>IF($J664="","",SUMIFS('Weekly Log'!$C:$C,'Weekly Log'!$A:$A,"&gt;="&amp;$J664,'Weekly Log'!$A:$A,"&lt;"&amp;$J664+7))</f>
        <v/>
      </c>
      <c r="C664">
        <f>IF($J664="","",IFERROR(COUNTIFS('Weekly Log'!$G:$G,"Y",'Weekly Log'!$A:$A,"&gt;="&amp;$J664,'Weekly Log'!$A:$A,"&lt;"&amp;$J664+7)/COUNTIFS('Weekly Log'!$G:$G,"&lt;&gt;",'Weekly Log'!$A:$A,"&gt;="&amp;$J664,'Weekly Log'!$A:$A,"&lt;"&amp;$J664+7),0))</f>
        <v/>
      </c>
      <c r="D664">
        <f>IF($J664="","",IFERROR(COUNTIFS('Weekly Log'!$H:$H,"Y",'Weekly Log'!$A:$A,"&gt;="&amp;$J664,'Weekly Log'!$A:$A,"&lt;"&amp;$J664+7)/COUNTIFS('Weekly Log'!$H:$H,"&lt;&gt;",'Weekly Log'!$A:$A,"&gt;="&amp;$J664,'Weekly Log'!$A:$A,"&lt;"&amp;$J664+7),0))</f>
        <v/>
      </c>
      <c r="E664">
        <f>IF($J664="","",IFERROR(AVERAGEIFS('Weekly Log'!$F:$F,'Weekly Log'!$A:$A,"&gt;="&amp;$J664,'Weekly Log'!$A:$A,"&lt;"&amp;$J664+7),0))</f>
        <v/>
      </c>
      <c r="F664">
        <f>IF($J664="","",IFERROR(SUMIFS('Weekly Log'!$F:$F,'Weekly Log'!$A:$A,"&gt;="&amp;$J664,'Weekly Log'!$A:$A,"&lt;"&amp;$J664+7)/SUMIFS('Weekly Log'!$E:$E,'Weekly Log'!$A:$A,"&gt;="&amp;$J664,'Weekly Log'!$A:$A,"&lt;"&amp;$J664+7),0))</f>
        <v/>
      </c>
      <c r="G664">
        <f>IF($J664="","",IFERROR(LOOKUP(2,1/(('Weekly Log'!$A$5:$A$5000&gt;=$J664)*('Weekly Log'!$A$5:$A$5000&lt;$J664+7)*('Weekly Log'!$M$5:$M$5000&lt;&gt;"")),'Weekly Log'!$M$5:$M$5000),0))</f>
        <v/>
      </c>
      <c r="J664">
        <f>IF(COUNT('Weekly Log'!$A$5:$A$5000)=0,"",IF(MIN('Weekly Log'!$A$5:$A$5000)+7*(ROW()-10)&gt;MAX('Weekly Log'!$A$5:$A$5000),"",MIN('Weekly Log'!$A$5:$A$5000)+7*(ROW()-10)))</f>
        <v/>
      </c>
    </row>
    <row r="665">
      <c r="A665">
        <f>IF($J665="","",YEAR($J665-WEEKDAY($J665,2)+4)&amp;"-W"&amp;TEXT(WEEKNUM($J665,21),"00"))</f>
        <v/>
      </c>
      <c r="B665">
        <f>IF($J665="","",SUMIFS('Weekly Log'!$C:$C,'Weekly Log'!$A:$A,"&gt;="&amp;$J665,'Weekly Log'!$A:$A,"&lt;"&amp;$J665+7))</f>
        <v/>
      </c>
      <c r="C665">
        <f>IF($J665="","",IFERROR(COUNTIFS('Weekly Log'!$G:$G,"Y",'Weekly Log'!$A:$A,"&gt;="&amp;$J665,'Weekly Log'!$A:$A,"&lt;"&amp;$J665+7)/COUNTIFS('Weekly Log'!$G:$G,"&lt;&gt;",'Weekly Log'!$A:$A,"&gt;="&amp;$J665,'Weekly Log'!$A:$A,"&lt;"&amp;$J665+7),0))</f>
        <v/>
      </c>
      <c r="D665">
        <f>IF($J665="","",IFERROR(COUNTIFS('Weekly Log'!$H:$H,"Y",'Weekly Log'!$A:$A,"&gt;="&amp;$J665,'Weekly Log'!$A:$A,"&lt;"&amp;$J665+7)/COUNTIFS('Weekly Log'!$H:$H,"&lt;&gt;",'Weekly Log'!$A:$A,"&gt;="&amp;$J665,'Weekly Log'!$A:$A,"&lt;"&amp;$J665+7),0))</f>
        <v/>
      </c>
      <c r="E665">
        <f>IF($J665="","",IFERROR(AVERAGEIFS('Weekly Log'!$F:$F,'Weekly Log'!$A:$A,"&gt;="&amp;$J665,'Weekly Log'!$A:$A,"&lt;"&amp;$J665+7),0))</f>
        <v/>
      </c>
      <c r="F665">
        <f>IF($J665="","",IFERROR(SUMIFS('Weekly Log'!$F:$F,'Weekly Log'!$A:$A,"&gt;="&amp;$J665,'Weekly Log'!$A:$A,"&lt;"&amp;$J665+7)/SUMIFS('Weekly Log'!$E:$E,'Weekly Log'!$A:$A,"&gt;="&amp;$J665,'Weekly Log'!$A:$A,"&lt;"&amp;$J665+7),0))</f>
        <v/>
      </c>
      <c r="G665">
        <f>IF($J665="","",IFERROR(LOOKUP(2,1/(('Weekly Log'!$A$5:$A$5000&gt;=$J665)*('Weekly Log'!$A$5:$A$5000&lt;$J665+7)*('Weekly Log'!$M$5:$M$5000&lt;&gt;"")),'Weekly Log'!$M$5:$M$5000),0))</f>
        <v/>
      </c>
      <c r="J665">
        <f>IF(COUNT('Weekly Log'!$A$5:$A$5000)=0,"",IF(MIN('Weekly Log'!$A$5:$A$5000)+7*(ROW()-10)&gt;MAX('Weekly Log'!$A$5:$A$5000),"",MIN('Weekly Log'!$A$5:$A$5000)+7*(ROW()-10)))</f>
        <v/>
      </c>
    </row>
    <row r="666">
      <c r="A666">
        <f>IF($J666="","",YEAR($J666-WEEKDAY($J666,2)+4)&amp;"-W"&amp;TEXT(WEEKNUM($J666,21),"00"))</f>
        <v/>
      </c>
      <c r="B666">
        <f>IF($J666="","",SUMIFS('Weekly Log'!$C:$C,'Weekly Log'!$A:$A,"&gt;="&amp;$J666,'Weekly Log'!$A:$A,"&lt;"&amp;$J666+7))</f>
        <v/>
      </c>
      <c r="C666">
        <f>IF($J666="","",IFERROR(COUNTIFS('Weekly Log'!$G:$G,"Y",'Weekly Log'!$A:$A,"&gt;="&amp;$J666,'Weekly Log'!$A:$A,"&lt;"&amp;$J666+7)/COUNTIFS('Weekly Log'!$G:$G,"&lt;&gt;",'Weekly Log'!$A:$A,"&gt;="&amp;$J666,'Weekly Log'!$A:$A,"&lt;"&amp;$J666+7),0))</f>
        <v/>
      </c>
      <c r="D666">
        <f>IF($J666="","",IFERROR(COUNTIFS('Weekly Log'!$H:$H,"Y",'Weekly Log'!$A:$A,"&gt;="&amp;$J666,'Weekly Log'!$A:$A,"&lt;"&amp;$J666+7)/COUNTIFS('Weekly Log'!$H:$H,"&lt;&gt;",'Weekly Log'!$A:$A,"&gt;="&amp;$J666,'Weekly Log'!$A:$A,"&lt;"&amp;$J666+7),0))</f>
        <v/>
      </c>
      <c r="E666">
        <f>IF($J666="","",IFERROR(AVERAGEIFS('Weekly Log'!$F:$F,'Weekly Log'!$A:$A,"&gt;="&amp;$J666,'Weekly Log'!$A:$A,"&lt;"&amp;$J666+7),0))</f>
        <v/>
      </c>
      <c r="F666">
        <f>IF($J666="","",IFERROR(SUMIFS('Weekly Log'!$F:$F,'Weekly Log'!$A:$A,"&gt;="&amp;$J666,'Weekly Log'!$A:$A,"&lt;"&amp;$J666+7)/SUMIFS('Weekly Log'!$E:$E,'Weekly Log'!$A:$A,"&gt;="&amp;$J666,'Weekly Log'!$A:$A,"&lt;"&amp;$J666+7),0))</f>
        <v/>
      </c>
      <c r="G666">
        <f>IF($J666="","",IFERROR(LOOKUP(2,1/(('Weekly Log'!$A$5:$A$5000&gt;=$J666)*('Weekly Log'!$A$5:$A$5000&lt;$J666+7)*('Weekly Log'!$M$5:$M$5000&lt;&gt;"")),'Weekly Log'!$M$5:$M$5000),0))</f>
        <v/>
      </c>
      <c r="J666">
        <f>IF(COUNT('Weekly Log'!$A$5:$A$5000)=0,"",IF(MIN('Weekly Log'!$A$5:$A$5000)+7*(ROW()-10)&gt;MAX('Weekly Log'!$A$5:$A$5000),"",MIN('Weekly Log'!$A$5:$A$5000)+7*(ROW()-10)))</f>
        <v/>
      </c>
    </row>
    <row r="667">
      <c r="A667">
        <f>IF($J667="","",YEAR($J667-WEEKDAY($J667,2)+4)&amp;"-W"&amp;TEXT(WEEKNUM($J667,21),"00"))</f>
        <v/>
      </c>
      <c r="B667">
        <f>IF($J667="","",SUMIFS('Weekly Log'!$C:$C,'Weekly Log'!$A:$A,"&gt;="&amp;$J667,'Weekly Log'!$A:$A,"&lt;"&amp;$J667+7))</f>
        <v/>
      </c>
      <c r="C667">
        <f>IF($J667="","",IFERROR(COUNTIFS('Weekly Log'!$G:$G,"Y",'Weekly Log'!$A:$A,"&gt;="&amp;$J667,'Weekly Log'!$A:$A,"&lt;"&amp;$J667+7)/COUNTIFS('Weekly Log'!$G:$G,"&lt;&gt;",'Weekly Log'!$A:$A,"&gt;="&amp;$J667,'Weekly Log'!$A:$A,"&lt;"&amp;$J667+7),0))</f>
        <v/>
      </c>
      <c r="D667">
        <f>IF($J667="","",IFERROR(COUNTIFS('Weekly Log'!$H:$H,"Y",'Weekly Log'!$A:$A,"&gt;="&amp;$J667,'Weekly Log'!$A:$A,"&lt;"&amp;$J667+7)/COUNTIFS('Weekly Log'!$H:$H,"&lt;&gt;",'Weekly Log'!$A:$A,"&gt;="&amp;$J667,'Weekly Log'!$A:$A,"&lt;"&amp;$J667+7),0))</f>
        <v/>
      </c>
      <c r="E667">
        <f>IF($J667="","",IFERROR(AVERAGEIFS('Weekly Log'!$F:$F,'Weekly Log'!$A:$A,"&gt;="&amp;$J667,'Weekly Log'!$A:$A,"&lt;"&amp;$J667+7),0))</f>
        <v/>
      </c>
      <c r="F667">
        <f>IF($J667="","",IFERROR(SUMIFS('Weekly Log'!$F:$F,'Weekly Log'!$A:$A,"&gt;="&amp;$J667,'Weekly Log'!$A:$A,"&lt;"&amp;$J667+7)/SUMIFS('Weekly Log'!$E:$E,'Weekly Log'!$A:$A,"&gt;="&amp;$J667,'Weekly Log'!$A:$A,"&lt;"&amp;$J667+7),0))</f>
        <v/>
      </c>
      <c r="G667">
        <f>IF($J667="","",IFERROR(LOOKUP(2,1/(('Weekly Log'!$A$5:$A$5000&gt;=$J667)*('Weekly Log'!$A$5:$A$5000&lt;$J667+7)*('Weekly Log'!$M$5:$M$5000&lt;&gt;"")),'Weekly Log'!$M$5:$M$5000),0))</f>
        <v/>
      </c>
      <c r="J667">
        <f>IF(COUNT('Weekly Log'!$A$5:$A$5000)=0,"",IF(MIN('Weekly Log'!$A$5:$A$5000)+7*(ROW()-10)&gt;MAX('Weekly Log'!$A$5:$A$5000),"",MIN('Weekly Log'!$A$5:$A$5000)+7*(ROW()-10)))</f>
        <v/>
      </c>
    </row>
    <row r="668">
      <c r="A668">
        <f>IF($J668="","",YEAR($J668-WEEKDAY($J668,2)+4)&amp;"-W"&amp;TEXT(WEEKNUM($J668,21),"00"))</f>
        <v/>
      </c>
      <c r="B668">
        <f>IF($J668="","",SUMIFS('Weekly Log'!$C:$C,'Weekly Log'!$A:$A,"&gt;="&amp;$J668,'Weekly Log'!$A:$A,"&lt;"&amp;$J668+7))</f>
        <v/>
      </c>
      <c r="C668">
        <f>IF($J668="","",IFERROR(COUNTIFS('Weekly Log'!$G:$G,"Y",'Weekly Log'!$A:$A,"&gt;="&amp;$J668,'Weekly Log'!$A:$A,"&lt;"&amp;$J668+7)/COUNTIFS('Weekly Log'!$G:$G,"&lt;&gt;",'Weekly Log'!$A:$A,"&gt;="&amp;$J668,'Weekly Log'!$A:$A,"&lt;"&amp;$J668+7),0))</f>
        <v/>
      </c>
      <c r="D668">
        <f>IF($J668="","",IFERROR(COUNTIFS('Weekly Log'!$H:$H,"Y",'Weekly Log'!$A:$A,"&gt;="&amp;$J668,'Weekly Log'!$A:$A,"&lt;"&amp;$J668+7)/COUNTIFS('Weekly Log'!$H:$H,"&lt;&gt;",'Weekly Log'!$A:$A,"&gt;="&amp;$J668,'Weekly Log'!$A:$A,"&lt;"&amp;$J668+7),0))</f>
        <v/>
      </c>
      <c r="E668">
        <f>IF($J668="","",IFERROR(AVERAGEIFS('Weekly Log'!$F:$F,'Weekly Log'!$A:$A,"&gt;="&amp;$J668,'Weekly Log'!$A:$A,"&lt;"&amp;$J668+7),0))</f>
        <v/>
      </c>
      <c r="F668">
        <f>IF($J668="","",IFERROR(SUMIFS('Weekly Log'!$F:$F,'Weekly Log'!$A:$A,"&gt;="&amp;$J668,'Weekly Log'!$A:$A,"&lt;"&amp;$J668+7)/SUMIFS('Weekly Log'!$E:$E,'Weekly Log'!$A:$A,"&gt;="&amp;$J668,'Weekly Log'!$A:$A,"&lt;"&amp;$J668+7),0))</f>
        <v/>
      </c>
      <c r="G668">
        <f>IF($J668="","",IFERROR(LOOKUP(2,1/(('Weekly Log'!$A$5:$A$5000&gt;=$J668)*('Weekly Log'!$A$5:$A$5000&lt;$J668+7)*('Weekly Log'!$M$5:$M$5000&lt;&gt;"")),'Weekly Log'!$M$5:$M$5000),0))</f>
        <v/>
      </c>
      <c r="J668">
        <f>IF(COUNT('Weekly Log'!$A$5:$A$5000)=0,"",IF(MIN('Weekly Log'!$A$5:$A$5000)+7*(ROW()-10)&gt;MAX('Weekly Log'!$A$5:$A$5000),"",MIN('Weekly Log'!$A$5:$A$5000)+7*(ROW()-10)))</f>
        <v/>
      </c>
    </row>
    <row r="669">
      <c r="A669">
        <f>IF($J669="","",YEAR($J669-WEEKDAY($J669,2)+4)&amp;"-W"&amp;TEXT(WEEKNUM($J669,21),"00"))</f>
        <v/>
      </c>
      <c r="B669">
        <f>IF($J669="","",SUMIFS('Weekly Log'!$C:$C,'Weekly Log'!$A:$A,"&gt;="&amp;$J669,'Weekly Log'!$A:$A,"&lt;"&amp;$J669+7))</f>
        <v/>
      </c>
      <c r="C669">
        <f>IF($J669="","",IFERROR(COUNTIFS('Weekly Log'!$G:$G,"Y",'Weekly Log'!$A:$A,"&gt;="&amp;$J669,'Weekly Log'!$A:$A,"&lt;"&amp;$J669+7)/COUNTIFS('Weekly Log'!$G:$G,"&lt;&gt;",'Weekly Log'!$A:$A,"&gt;="&amp;$J669,'Weekly Log'!$A:$A,"&lt;"&amp;$J669+7),0))</f>
        <v/>
      </c>
      <c r="D669">
        <f>IF($J669="","",IFERROR(COUNTIFS('Weekly Log'!$H:$H,"Y",'Weekly Log'!$A:$A,"&gt;="&amp;$J669,'Weekly Log'!$A:$A,"&lt;"&amp;$J669+7)/COUNTIFS('Weekly Log'!$H:$H,"&lt;&gt;",'Weekly Log'!$A:$A,"&gt;="&amp;$J669,'Weekly Log'!$A:$A,"&lt;"&amp;$J669+7),0))</f>
        <v/>
      </c>
      <c r="E669">
        <f>IF($J669="","",IFERROR(AVERAGEIFS('Weekly Log'!$F:$F,'Weekly Log'!$A:$A,"&gt;="&amp;$J669,'Weekly Log'!$A:$A,"&lt;"&amp;$J669+7),0))</f>
        <v/>
      </c>
      <c r="F669">
        <f>IF($J669="","",IFERROR(SUMIFS('Weekly Log'!$F:$F,'Weekly Log'!$A:$A,"&gt;="&amp;$J669,'Weekly Log'!$A:$A,"&lt;"&amp;$J669+7)/SUMIFS('Weekly Log'!$E:$E,'Weekly Log'!$A:$A,"&gt;="&amp;$J669,'Weekly Log'!$A:$A,"&lt;"&amp;$J669+7),0))</f>
        <v/>
      </c>
      <c r="G669">
        <f>IF($J669="","",IFERROR(LOOKUP(2,1/(('Weekly Log'!$A$5:$A$5000&gt;=$J669)*('Weekly Log'!$A$5:$A$5000&lt;$J669+7)*('Weekly Log'!$M$5:$M$5000&lt;&gt;"")),'Weekly Log'!$M$5:$M$5000),0))</f>
        <v/>
      </c>
      <c r="J669">
        <f>IF(COUNT('Weekly Log'!$A$5:$A$5000)=0,"",IF(MIN('Weekly Log'!$A$5:$A$5000)+7*(ROW()-10)&gt;MAX('Weekly Log'!$A$5:$A$5000),"",MIN('Weekly Log'!$A$5:$A$5000)+7*(ROW()-10)))</f>
        <v/>
      </c>
    </row>
    <row r="670">
      <c r="A670">
        <f>IF($J670="","",YEAR($J670-WEEKDAY($J670,2)+4)&amp;"-W"&amp;TEXT(WEEKNUM($J670,21),"00"))</f>
        <v/>
      </c>
      <c r="B670">
        <f>IF($J670="","",SUMIFS('Weekly Log'!$C:$C,'Weekly Log'!$A:$A,"&gt;="&amp;$J670,'Weekly Log'!$A:$A,"&lt;"&amp;$J670+7))</f>
        <v/>
      </c>
      <c r="C670">
        <f>IF($J670="","",IFERROR(COUNTIFS('Weekly Log'!$G:$G,"Y",'Weekly Log'!$A:$A,"&gt;="&amp;$J670,'Weekly Log'!$A:$A,"&lt;"&amp;$J670+7)/COUNTIFS('Weekly Log'!$G:$G,"&lt;&gt;",'Weekly Log'!$A:$A,"&gt;="&amp;$J670,'Weekly Log'!$A:$A,"&lt;"&amp;$J670+7),0))</f>
        <v/>
      </c>
      <c r="D670">
        <f>IF($J670="","",IFERROR(COUNTIFS('Weekly Log'!$H:$H,"Y",'Weekly Log'!$A:$A,"&gt;="&amp;$J670,'Weekly Log'!$A:$A,"&lt;"&amp;$J670+7)/COUNTIFS('Weekly Log'!$H:$H,"&lt;&gt;",'Weekly Log'!$A:$A,"&gt;="&amp;$J670,'Weekly Log'!$A:$A,"&lt;"&amp;$J670+7),0))</f>
        <v/>
      </c>
      <c r="E670">
        <f>IF($J670="","",IFERROR(AVERAGEIFS('Weekly Log'!$F:$F,'Weekly Log'!$A:$A,"&gt;="&amp;$J670,'Weekly Log'!$A:$A,"&lt;"&amp;$J670+7),0))</f>
        <v/>
      </c>
      <c r="F670">
        <f>IF($J670="","",IFERROR(SUMIFS('Weekly Log'!$F:$F,'Weekly Log'!$A:$A,"&gt;="&amp;$J670,'Weekly Log'!$A:$A,"&lt;"&amp;$J670+7)/SUMIFS('Weekly Log'!$E:$E,'Weekly Log'!$A:$A,"&gt;="&amp;$J670,'Weekly Log'!$A:$A,"&lt;"&amp;$J670+7),0))</f>
        <v/>
      </c>
      <c r="G670">
        <f>IF($J670="","",IFERROR(LOOKUP(2,1/(('Weekly Log'!$A$5:$A$5000&gt;=$J670)*('Weekly Log'!$A$5:$A$5000&lt;$J670+7)*('Weekly Log'!$M$5:$M$5000&lt;&gt;"")),'Weekly Log'!$M$5:$M$5000),0))</f>
        <v/>
      </c>
      <c r="J670">
        <f>IF(COUNT('Weekly Log'!$A$5:$A$5000)=0,"",IF(MIN('Weekly Log'!$A$5:$A$5000)+7*(ROW()-10)&gt;MAX('Weekly Log'!$A$5:$A$5000),"",MIN('Weekly Log'!$A$5:$A$5000)+7*(ROW()-10)))</f>
        <v/>
      </c>
    </row>
    <row r="671">
      <c r="A671">
        <f>IF($J671="","",YEAR($J671-WEEKDAY($J671,2)+4)&amp;"-W"&amp;TEXT(WEEKNUM($J671,21),"00"))</f>
        <v/>
      </c>
      <c r="B671">
        <f>IF($J671="","",SUMIFS('Weekly Log'!$C:$C,'Weekly Log'!$A:$A,"&gt;="&amp;$J671,'Weekly Log'!$A:$A,"&lt;"&amp;$J671+7))</f>
        <v/>
      </c>
      <c r="C671">
        <f>IF($J671="","",IFERROR(COUNTIFS('Weekly Log'!$G:$G,"Y",'Weekly Log'!$A:$A,"&gt;="&amp;$J671,'Weekly Log'!$A:$A,"&lt;"&amp;$J671+7)/COUNTIFS('Weekly Log'!$G:$G,"&lt;&gt;",'Weekly Log'!$A:$A,"&gt;="&amp;$J671,'Weekly Log'!$A:$A,"&lt;"&amp;$J671+7),0))</f>
        <v/>
      </c>
      <c r="D671">
        <f>IF($J671="","",IFERROR(COUNTIFS('Weekly Log'!$H:$H,"Y",'Weekly Log'!$A:$A,"&gt;="&amp;$J671,'Weekly Log'!$A:$A,"&lt;"&amp;$J671+7)/COUNTIFS('Weekly Log'!$H:$H,"&lt;&gt;",'Weekly Log'!$A:$A,"&gt;="&amp;$J671,'Weekly Log'!$A:$A,"&lt;"&amp;$J671+7),0))</f>
        <v/>
      </c>
      <c r="E671">
        <f>IF($J671="","",IFERROR(AVERAGEIFS('Weekly Log'!$F:$F,'Weekly Log'!$A:$A,"&gt;="&amp;$J671,'Weekly Log'!$A:$A,"&lt;"&amp;$J671+7),0))</f>
        <v/>
      </c>
      <c r="F671">
        <f>IF($J671="","",IFERROR(SUMIFS('Weekly Log'!$F:$F,'Weekly Log'!$A:$A,"&gt;="&amp;$J671,'Weekly Log'!$A:$A,"&lt;"&amp;$J671+7)/SUMIFS('Weekly Log'!$E:$E,'Weekly Log'!$A:$A,"&gt;="&amp;$J671,'Weekly Log'!$A:$A,"&lt;"&amp;$J671+7),0))</f>
        <v/>
      </c>
      <c r="G671">
        <f>IF($J671="","",IFERROR(LOOKUP(2,1/(('Weekly Log'!$A$5:$A$5000&gt;=$J671)*('Weekly Log'!$A$5:$A$5000&lt;$J671+7)*('Weekly Log'!$M$5:$M$5000&lt;&gt;"")),'Weekly Log'!$M$5:$M$5000),0))</f>
        <v/>
      </c>
      <c r="J671">
        <f>IF(COUNT('Weekly Log'!$A$5:$A$5000)=0,"",IF(MIN('Weekly Log'!$A$5:$A$5000)+7*(ROW()-10)&gt;MAX('Weekly Log'!$A$5:$A$5000),"",MIN('Weekly Log'!$A$5:$A$5000)+7*(ROW()-10)))</f>
        <v/>
      </c>
    </row>
    <row r="672">
      <c r="A672">
        <f>IF($J672="","",YEAR($J672-WEEKDAY($J672,2)+4)&amp;"-W"&amp;TEXT(WEEKNUM($J672,21),"00"))</f>
        <v/>
      </c>
      <c r="B672">
        <f>IF($J672="","",SUMIFS('Weekly Log'!$C:$C,'Weekly Log'!$A:$A,"&gt;="&amp;$J672,'Weekly Log'!$A:$A,"&lt;"&amp;$J672+7))</f>
        <v/>
      </c>
      <c r="C672">
        <f>IF($J672="","",IFERROR(COUNTIFS('Weekly Log'!$G:$G,"Y",'Weekly Log'!$A:$A,"&gt;="&amp;$J672,'Weekly Log'!$A:$A,"&lt;"&amp;$J672+7)/COUNTIFS('Weekly Log'!$G:$G,"&lt;&gt;",'Weekly Log'!$A:$A,"&gt;="&amp;$J672,'Weekly Log'!$A:$A,"&lt;"&amp;$J672+7),0))</f>
        <v/>
      </c>
      <c r="D672">
        <f>IF($J672="","",IFERROR(COUNTIFS('Weekly Log'!$H:$H,"Y",'Weekly Log'!$A:$A,"&gt;="&amp;$J672,'Weekly Log'!$A:$A,"&lt;"&amp;$J672+7)/COUNTIFS('Weekly Log'!$H:$H,"&lt;&gt;",'Weekly Log'!$A:$A,"&gt;="&amp;$J672,'Weekly Log'!$A:$A,"&lt;"&amp;$J672+7),0))</f>
        <v/>
      </c>
      <c r="E672">
        <f>IF($J672="","",IFERROR(AVERAGEIFS('Weekly Log'!$F:$F,'Weekly Log'!$A:$A,"&gt;="&amp;$J672,'Weekly Log'!$A:$A,"&lt;"&amp;$J672+7),0))</f>
        <v/>
      </c>
      <c r="F672">
        <f>IF($J672="","",IFERROR(SUMIFS('Weekly Log'!$F:$F,'Weekly Log'!$A:$A,"&gt;="&amp;$J672,'Weekly Log'!$A:$A,"&lt;"&amp;$J672+7)/SUMIFS('Weekly Log'!$E:$E,'Weekly Log'!$A:$A,"&gt;="&amp;$J672,'Weekly Log'!$A:$A,"&lt;"&amp;$J672+7),0))</f>
        <v/>
      </c>
      <c r="G672">
        <f>IF($J672="","",IFERROR(LOOKUP(2,1/(('Weekly Log'!$A$5:$A$5000&gt;=$J672)*('Weekly Log'!$A$5:$A$5000&lt;$J672+7)*('Weekly Log'!$M$5:$M$5000&lt;&gt;"")),'Weekly Log'!$M$5:$M$5000),0))</f>
        <v/>
      </c>
      <c r="J672">
        <f>IF(COUNT('Weekly Log'!$A$5:$A$5000)=0,"",IF(MIN('Weekly Log'!$A$5:$A$5000)+7*(ROW()-10)&gt;MAX('Weekly Log'!$A$5:$A$5000),"",MIN('Weekly Log'!$A$5:$A$5000)+7*(ROW()-10)))</f>
        <v/>
      </c>
    </row>
    <row r="673">
      <c r="A673">
        <f>IF($J673="","",YEAR($J673-WEEKDAY($J673,2)+4)&amp;"-W"&amp;TEXT(WEEKNUM($J673,21),"00"))</f>
        <v/>
      </c>
      <c r="B673">
        <f>IF($J673="","",SUMIFS('Weekly Log'!$C:$C,'Weekly Log'!$A:$A,"&gt;="&amp;$J673,'Weekly Log'!$A:$A,"&lt;"&amp;$J673+7))</f>
        <v/>
      </c>
      <c r="C673">
        <f>IF($J673="","",IFERROR(COUNTIFS('Weekly Log'!$G:$G,"Y",'Weekly Log'!$A:$A,"&gt;="&amp;$J673,'Weekly Log'!$A:$A,"&lt;"&amp;$J673+7)/COUNTIFS('Weekly Log'!$G:$G,"&lt;&gt;",'Weekly Log'!$A:$A,"&gt;="&amp;$J673,'Weekly Log'!$A:$A,"&lt;"&amp;$J673+7),0))</f>
        <v/>
      </c>
      <c r="D673">
        <f>IF($J673="","",IFERROR(COUNTIFS('Weekly Log'!$H:$H,"Y",'Weekly Log'!$A:$A,"&gt;="&amp;$J673,'Weekly Log'!$A:$A,"&lt;"&amp;$J673+7)/COUNTIFS('Weekly Log'!$H:$H,"&lt;&gt;",'Weekly Log'!$A:$A,"&gt;="&amp;$J673,'Weekly Log'!$A:$A,"&lt;"&amp;$J673+7),0))</f>
        <v/>
      </c>
      <c r="E673">
        <f>IF($J673="","",IFERROR(AVERAGEIFS('Weekly Log'!$F:$F,'Weekly Log'!$A:$A,"&gt;="&amp;$J673,'Weekly Log'!$A:$A,"&lt;"&amp;$J673+7),0))</f>
        <v/>
      </c>
      <c r="F673">
        <f>IF($J673="","",IFERROR(SUMIFS('Weekly Log'!$F:$F,'Weekly Log'!$A:$A,"&gt;="&amp;$J673,'Weekly Log'!$A:$A,"&lt;"&amp;$J673+7)/SUMIFS('Weekly Log'!$E:$E,'Weekly Log'!$A:$A,"&gt;="&amp;$J673,'Weekly Log'!$A:$A,"&lt;"&amp;$J673+7),0))</f>
        <v/>
      </c>
      <c r="G673">
        <f>IF($J673="","",IFERROR(LOOKUP(2,1/(('Weekly Log'!$A$5:$A$5000&gt;=$J673)*('Weekly Log'!$A$5:$A$5000&lt;$J673+7)*('Weekly Log'!$M$5:$M$5000&lt;&gt;"")),'Weekly Log'!$M$5:$M$5000),0))</f>
        <v/>
      </c>
      <c r="J673">
        <f>IF(COUNT('Weekly Log'!$A$5:$A$5000)=0,"",IF(MIN('Weekly Log'!$A$5:$A$5000)+7*(ROW()-10)&gt;MAX('Weekly Log'!$A$5:$A$5000),"",MIN('Weekly Log'!$A$5:$A$5000)+7*(ROW()-10)))</f>
        <v/>
      </c>
    </row>
    <row r="674">
      <c r="A674">
        <f>IF($J674="","",YEAR($J674-WEEKDAY($J674,2)+4)&amp;"-W"&amp;TEXT(WEEKNUM($J674,21),"00"))</f>
        <v/>
      </c>
      <c r="B674">
        <f>IF($J674="","",SUMIFS('Weekly Log'!$C:$C,'Weekly Log'!$A:$A,"&gt;="&amp;$J674,'Weekly Log'!$A:$A,"&lt;"&amp;$J674+7))</f>
        <v/>
      </c>
      <c r="C674">
        <f>IF($J674="","",IFERROR(COUNTIFS('Weekly Log'!$G:$G,"Y",'Weekly Log'!$A:$A,"&gt;="&amp;$J674,'Weekly Log'!$A:$A,"&lt;"&amp;$J674+7)/COUNTIFS('Weekly Log'!$G:$G,"&lt;&gt;",'Weekly Log'!$A:$A,"&gt;="&amp;$J674,'Weekly Log'!$A:$A,"&lt;"&amp;$J674+7),0))</f>
        <v/>
      </c>
      <c r="D674">
        <f>IF($J674="","",IFERROR(COUNTIFS('Weekly Log'!$H:$H,"Y",'Weekly Log'!$A:$A,"&gt;="&amp;$J674,'Weekly Log'!$A:$A,"&lt;"&amp;$J674+7)/COUNTIFS('Weekly Log'!$H:$H,"&lt;&gt;",'Weekly Log'!$A:$A,"&gt;="&amp;$J674,'Weekly Log'!$A:$A,"&lt;"&amp;$J674+7),0))</f>
        <v/>
      </c>
      <c r="E674">
        <f>IF($J674="","",IFERROR(AVERAGEIFS('Weekly Log'!$F:$F,'Weekly Log'!$A:$A,"&gt;="&amp;$J674,'Weekly Log'!$A:$A,"&lt;"&amp;$J674+7),0))</f>
        <v/>
      </c>
      <c r="F674">
        <f>IF($J674="","",IFERROR(SUMIFS('Weekly Log'!$F:$F,'Weekly Log'!$A:$A,"&gt;="&amp;$J674,'Weekly Log'!$A:$A,"&lt;"&amp;$J674+7)/SUMIFS('Weekly Log'!$E:$E,'Weekly Log'!$A:$A,"&gt;="&amp;$J674,'Weekly Log'!$A:$A,"&lt;"&amp;$J674+7),0))</f>
        <v/>
      </c>
      <c r="G674">
        <f>IF($J674="","",IFERROR(LOOKUP(2,1/(('Weekly Log'!$A$5:$A$5000&gt;=$J674)*('Weekly Log'!$A$5:$A$5000&lt;$J674+7)*('Weekly Log'!$M$5:$M$5000&lt;&gt;"")),'Weekly Log'!$M$5:$M$5000),0))</f>
        <v/>
      </c>
      <c r="J674">
        <f>IF(COUNT('Weekly Log'!$A$5:$A$5000)=0,"",IF(MIN('Weekly Log'!$A$5:$A$5000)+7*(ROW()-10)&gt;MAX('Weekly Log'!$A$5:$A$5000),"",MIN('Weekly Log'!$A$5:$A$5000)+7*(ROW()-10)))</f>
        <v/>
      </c>
    </row>
    <row r="675">
      <c r="A675">
        <f>IF($J675="","",YEAR($J675-WEEKDAY($J675,2)+4)&amp;"-W"&amp;TEXT(WEEKNUM($J675,21),"00"))</f>
        <v/>
      </c>
      <c r="B675">
        <f>IF($J675="","",SUMIFS('Weekly Log'!$C:$C,'Weekly Log'!$A:$A,"&gt;="&amp;$J675,'Weekly Log'!$A:$A,"&lt;"&amp;$J675+7))</f>
        <v/>
      </c>
      <c r="C675">
        <f>IF($J675="","",IFERROR(COUNTIFS('Weekly Log'!$G:$G,"Y",'Weekly Log'!$A:$A,"&gt;="&amp;$J675,'Weekly Log'!$A:$A,"&lt;"&amp;$J675+7)/COUNTIFS('Weekly Log'!$G:$G,"&lt;&gt;",'Weekly Log'!$A:$A,"&gt;="&amp;$J675,'Weekly Log'!$A:$A,"&lt;"&amp;$J675+7),0))</f>
        <v/>
      </c>
      <c r="D675">
        <f>IF($J675="","",IFERROR(COUNTIFS('Weekly Log'!$H:$H,"Y",'Weekly Log'!$A:$A,"&gt;="&amp;$J675,'Weekly Log'!$A:$A,"&lt;"&amp;$J675+7)/COUNTIFS('Weekly Log'!$H:$H,"&lt;&gt;",'Weekly Log'!$A:$A,"&gt;="&amp;$J675,'Weekly Log'!$A:$A,"&lt;"&amp;$J675+7),0))</f>
        <v/>
      </c>
      <c r="E675">
        <f>IF($J675="","",IFERROR(AVERAGEIFS('Weekly Log'!$F:$F,'Weekly Log'!$A:$A,"&gt;="&amp;$J675,'Weekly Log'!$A:$A,"&lt;"&amp;$J675+7),0))</f>
        <v/>
      </c>
      <c r="F675">
        <f>IF($J675="","",IFERROR(SUMIFS('Weekly Log'!$F:$F,'Weekly Log'!$A:$A,"&gt;="&amp;$J675,'Weekly Log'!$A:$A,"&lt;"&amp;$J675+7)/SUMIFS('Weekly Log'!$E:$E,'Weekly Log'!$A:$A,"&gt;="&amp;$J675,'Weekly Log'!$A:$A,"&lt;"&amp;$J675+7),0))</f>
        <v/>
      </c>
      <c r="G675">
        <f>IF($J675="","",IFERROR(LOOKUP(2,1/(('Weekly Log'!$A$5:$A$5000&gt;=$J675)*('Weekly Log'!$A$5:$A$5000&lt;$J675+7)*('Weekly Log'!$M$5:$M$5000&lt;&gt;"")),'Weekly Log'!$M$5:$M$5000),0))</f>
        <v/>
      </c>
      <c r="J675">
        <f>IF(COUNT('Weekly Log'!$A$5:$A$5000)=0,"",IF(MIN('Weekly Log'!$A$5:$A$5000)+7*(ROW()-10)&gt;MAX('Weekly Log'!$A$5:$A$5000),"",MIN('Weekly Log'!$A$5:$A$5000)+7*(ROW()-10)))</f>
        <v/>
      </c>
    </row>
    <row r="676">
      <c r="A676">
        <f>IF($J676="","",YEAR($J676-WEEKDAY($J676,2)+4)&amp;"-W"&amp;TEXT(WEEKNUM($J676,21),"00"))</f>
        <v/>
      </c>
      <c r="B676">
        <f>IF($J676="","",SUMIFS('Weekly Log'!$C:$C,'Weekly Log'!$A:$A,"&gt;="&amp;$J676,'Weekly Log'!$A:$A,"&lt;"&amp;$J676+7))</f>
        <v/>
      </c>
      <c r="C676">
        <f>IF($J676="","",IFERROR(COUNTIFS('Weekly Log'!$G:$G,"Y",'Weekly Log'!$A:$A,"&gt;="&amp;$J676,'Weekly Log'!$A:$A,"&lt;"&amp;$J676+7)/COUNTIFS('Weekly Log'!$G:$G,"&lt;&gt;",'Weekly Log'!$A:$A,"&gt;="&amp;$J676,'Weekly Log'!$A:$A,"&lt;"&amp;$J676+7),0))</f>
        <v/>
      </c>
      <c r="D676">
        <f>IF($J676="","",IFERROR(COUNTIFS('Weekly Log'!$H:$H,"Y",'Weekly Log'!$A:$A,"&gt;="&amp;$J676,'Weekly Log'!$A:$A,"&lt;"&amp;$J676+7)/COUNTIFS('Weekly Log'!$H:$H,"&lt;&gt;",'Weekly Log'!$A:$A,"&gt;="&amp;$J676,'Weekly Log'!$A:$A,"&lt;"&amp;$J676+7),0))</f>
        <v/>
      </c>
      <c r="E676">
        <f>IF($J676="","",IFERROR(AVERAGEIFS('Weekly Log'!$F:$F,'Weekly Log'!$A:$A,"&gt;="&amp;$J676,'Weekly Log'!$A:$A,"&lt;"&amp;$J676+7),0))</f>
        <v/>
      </c>
      <c r="F676">
        <f>IF($J676="","",IFERROR(SUMIFS('Weekly Log'!$F:$F,'Weekly Log'!$A:$A,"&gt;="&amp;$J676,'Weekly Log'!$A:$A,"&lt;"&amp;$J676+7)/SUMIFS('Weekly Log'!$E:$E,'Weekly Log'!$A:$A,"&gt;="&amp;$J676,'Weekly Log'!$A:$A,"&lt;"&amp;$J676+7),0))</f>
        <v/>
      </c>
      <c r="G676">
        <f>IF($J676="","",IFERROR(LOOKUP(2,1/(('Weekly Log'!$A$5:$A$5000&gt;=$J676)*('Weekly Log'!$A$5:$A$5000&lt;$J676+7)*('Weekly Log'!$M$5:$M$5000&lt;&gt;"")),'Weekly Log'!$M$5:$M$5000),0))</f>
        <v/>
      </c>
      <c r="J676">
        <f>IF(COUNT('Weekly Log'!$A$5:$A$5000)=0,"",IF(MIN('Weekly Log'!$A$5:$A$5000)+7*(ROW()-10)&gt;MAX('Weekly Log'!$A$5:$A$5000),"",MIN('Weekly Log'!$A$5:$A$5000)+7*(ROW()-10)))</f>
        <v/>
      </c>
    </row>
    <row r="677">
      <c r="A677">
        <f>IF($J677="","",YEAR($J677-WEEKDAY($J677,2)+4)&amp;"-W"&amp;TEXT(WEEKNUM($J677,21),"00"))</f>
        <v/>
      </c>
      <c r="B677">
        <f>IF($J677="","",SUMIFS('Weekly Log'!$C:$C,'Weekly Log'!$A:$A,"&gt;="&amp;$J677,'Weekly Log'!$A:$A,"&lt;"&amp;$J677+7))</f>
        <v/>
      </c>
      <c r="C677">
        <f>IF($J677="","",IFERROR(COUNTIFS('Weekly Log'!$G:$G,"Y",'Weekly Log'!$A:$A,"&gt;="&amp;$J677,'Weekly Log'!$A:$A,"&lt;"&amp;$J677+7)/COUNTIFS('Weekly Log'!$G:$G,"&lt;&gt;",'Weekly Log'!$A:$A,"&gt;="&amp;$J677,'Weekly Log'!$A:$A,"&lt;"&amp;$J677+7),0))</f>
        <v/>
      </c>
      <c r="D677">
        <f>IF($J677="","",IFERROR(COUNTIFS('Weekly Log'!$H:$H,"Y",'Weekly Log'!$A:$A,"&gt;="&amp;$J677,'Weekly Log'!$A:$A,"&lt;"&amp;$J677+7)/COUNTIFS('Weekly Log'!$H:$H,"&lt;&gt;",'Weekly Log'!$A:$A,"&gt;="&amp;$J677,'Weekly Log'!$A:$A,"&lt;"&amp;$J677+7),0))</f>
        <v/>
      </c>
      <c r="E677">
        <f>IF($J677="","",IFERROR(AVERAGEIFS('Weekly Log'!$F:$F,'Weekly Log'!$A:$A,"&gt;="&amp;$J677,'Weekly Log'!$A:$A,"&lt;"&amp;$J677+7),0))</f>
        <v/>
      </c>
      <c r="F677">
        <f>IF($J677="","",IFERROR(SUMIFS('Weekly Log'!$F:$F,'Weekly Log'!$A:$A,"&gt;="&amp;$J677,'Weekly Log'!$A:$A,"&lt;"&amp;$J677+7)/SUMIFS('Weekly Log'!$E:$E,'Weekly Log'!$A:$A,"&gt;="&amp;$J677,'Weekly Log'!$A:$A,"&lt;"&amp;$J677+7),0))</f>
        <v/>
      </c>
      <c r="G677">
        <f>IF($J677="","",IFERROR(LOOKUP(2,1/(('Weekly Log'!$A$5:$A$5000&gt;=$J677)*('Weekly Log'!$A$5:$A$5000&lt;$J677+7)*('Weekly Log'!$M$5:$M$5000&lt;&gt;"")),'Weekly Log'!$M$5:$M$5000),0))</f>
        <v/>
      </c>
      <c r="J677">
        <f>IF(COUNT('Weekly Log'!$A$5:$A$5000)=0,"",IF(MIN('Weekly Log'!$A$5:$A$5000)+7*(ROW()-10)&gt;MAX('Weekly Log'!$A$5:$A$5000),"",MIN('Weekly Log'!$A$5:$A$5000)+7*(ROW()-10)))</f>
        <v/>
      </c>
    </row>
    <row r="678">
      <c r="A678">
        <f>IF($J678="","",YEAR($J678-WEEKDAY($J678,2)+4)&amp;"-W"&amp;TEXT(WEEKNUM($J678,21),"00"))</f>
        <v/>
      </c>
      <c r="B678">
        <f>IF($J678="","",SUMIFS('Weekly Log'!$C:$C,'Weekly Log'!$A:$A,"&gt;="&amp;$J678,'Weekly Log'!$A:$A,"&lt;"&amp;$J678+7))</f>
        <v/>
      </c>
      <c r="C678">
        <f>IF($J678="","",IFERROR(COUNTIFS('Weekly Log'!$G:$G,"Y",'Weekly Log'!$A:$A,"&gt;="&amp;$J678,'Weekly Log'!$A:$A,"&lt;"&amp;$J678+7)/COUNTIFS('Weekly Log'!$G:$G,"&lt;&gt;",'Weekly Log'!$A:$A,"&gt;="&amp;$J678,'Weekly Log'!$A:$A,"&lt;"&amp;$J678+7),0))</f>
        <v/>
      </c>
      <c r="D678">
        <f>IF($J678="","",IFERROR(COUNTIFS('Weekly Log'!$H:$H,"Y",'Weekly Log'!$A:$A,"&gt;="&amp;$J678,'Weekly Log'!$A:$A,"&lt;"&amp;$J678+7)/COUNTIFS('Weekly Log'!$H:$H,"&lt;&gt;",'Weekly Log'!$A:$A,"&gt;="&amp;$J678,'Weekly Log'!$A:$A,"&lt;"&amp;$J678+7),0))</f>
        <v/>
      </c>
      <c r="E678">
        <f>IF($J678="","",IFERROR(AVERAGEIFS('Weekly Log'!$F:$F,'Weekly Log'!$A:$A,"&gt;="&amp;$J678,'Weekly Log'!$A:$A,"&lt;"&amp;$J678+7),0))</f>
        <v/>
      </c>
      <c r="F678">
        <f>IF($J678="","",IFERROR(SUMIFS('Weekly Log'!$F:$F,'Weekly Log'!$A:$A,"&gt;="&amp;$J678,'Weekly Log'!$A:$A,"&lt;"&amp;$J678+7)/SUMIFS('Weekly Log'!$E:$E,'Weekly Log'!$A:$A,"&gt;="&amp;$J678,'Weekly Log'!$A:$A,"&lt;"&amp;$J678+7),0))</f>
        <v/>
      </c>
      <c r="G678">
        <f>IF($J678="","",IFERROR(LOOKUP(2,1/(('Weekly Log'!$A$5:$A$5000&gt;=$J678)*('Weekly Log'!$A$5:$A$5000&lt;$J678+7)*('Weekly Log'!$M$5:$M$5000&lt;&gt;"")),'Weekly Log'!$M$5:$M$5000),0))</f>
        <v/>
      </c>
      <c r="J678">
        <f>IF(COUNT('Weekly Log'!$A$5:$A$5000)=0,"",IF(MIN('Weekly Log'!$A$5:$A$5000)+7*(ROW()-10)&gt;MAX('Weekly Log'!$A$5:$A$5000),"",MIN('Weekly Log'!$A$5:$A$5000)+7*(ROW()-10)))</f>
        <v/>
      </c>
    </row>
    <row r="679">
      <c r="A679">
        <f>IF($J679="","",YEAR($J679-WEEKDAY($J679,2)+4)&amp;"-W"&amp;TEXT(WEEKNUM($J679,21),"00"))</f>
        <v/>
      </c>
      <c r="B679">
        <f>IF($J679="","",SUMIFS('Weekly Log'!$C:$C,'Weekly Log'!$A:$A,"&gt;="&amp;$J679,'Weekly Log'!$A:$A,"&lt;"&amp;$J679+7))</f>
        <v/>
      </c>
      <c r="C679">
        <f>IF($J679="","",IFERROR(COUNTIFS('Weekly Log'!$G:$G,"Y",'Weekly Log'!$A:$A,"&gt;="&amp;$J679,'Weekly Log'!$A:$A,"&lt;"&amp;$J679+7)/COUNTIFS('Weekly Log'!$G:$G,"&lt;&gt;",'Weekly Log'!$A:$A,"&gt;="&amp;$J679,'Weekly Log'!$A:$A,"&lt;"&amp;$J679+7),0))</f>
        <v/>
      </c>
      <c r="D679">
        <f>IF($J679="","",IFERROR(COUNTIFS('Weekly Log'!$H:$H,"Y",'Weekly Log'!$A:$A,"&gt;="&amp;$J679,'Weekly Log'!$A:$A,"&lt;"&amp;$J679+7)/COUNTIFS('Weekly Log'!$H:$H,"&lt;&gt;",'Weekly Log'!$A:$A,"&gt;="&amp;$J679,'Weekly Log'!$A:$A,"&lt;"&amp;$J679+7),0))</f>
        <v/>
      </c>
      <c r="E679">
        <f>IF($J679="","",IFERROR(AVERAGEIFS('Weekly Log'!$F:$F,'Weekly Log'!$A:$A,"&gt;="&amp;$J679,'Weekly Log'!$A:$A,"&lt;"&amp;$J679+7),0))</f>
        <v/>
      </c>
      <c r="F679">
        <f>IF($J679="","",IFERROR(SUMIFS('Weekly Log'!$F:$F,'Weekly Log'!$A:$A,"&gt;="&amp;$J679,'Weekly Log'!$A:$A,"&lt;"&amp;$J679+7)/SUMIFS('Weekly Log'!$E:$E,'Weekly Log'!$A:$A,"&gt;="&amp;$J679,'Weekly Log'!$A:$A,"&lt;"&amp;$J679+7),0))</f>
        <v/>
      </c>
      <c r="G679">
        <f>IF($J679="","",IFERROR(LOOKUP(2,1/(('Weekly Log'!$A$5:$A$5000&gt;=$J679)*('Weekly Log'!$A$5:$A$5000&lt;$J679+7)*('Weekly Log'!$M$5:$M$5000&lt;&gt;"")),'Weekly Log'!$M$5:$M$5000),0))</f>
        <v/>
      </c>
      <c r="J679">
        <f>IF(COUNT('Weekly Log'!$A$5:$A$5000)=0,"",IF(MIN('Weekly Log'!$A$5:$A$5000)+7*(ROW()-10)&gt;MAX('Weekly Log'!$A$5:$A$5000),"",MIN('Weekly Log'!$A$5:$A$5000)+7*(ROW()-10)))</f>
        <v/>
      </c>
    </row>
    <row r="680">
      <c r="A680">
        <f>IF($J680="","",YEAR($J680-WEEKDAY($J680,2)+4)&amp;"-W"&amp;TEXT(WEEKNUM($J680,21),"00"))</f>
        <v/>
      </c>
      <c r="B680">
        <f>IF($J680="","",SUMIFS('Weekly Log'!$C:$C,'Weekly Log'!$A:$A,"&gt;="&amp;$J680,'Weekly Log'!$A:$A,"&lt;"&amp;$J680+7))</f>
        <v/>
      </c>
      <c r="C680">
        <f>IF($J680="","",IFERROR(COUNTIFS('Weekly Log'!$G:$G,"Y",'Weekly Log'!$A:$A,"&gt;="&amp;$J680,'Weekly Log'!$A:$A,"&lt;"&amp;$J680+7)/COUNTIFS('Weekly Log'!$G:$G,"&lt;&gt;",'Weekly Log'!$A:$A,"&gt;="&amp;$J680,'Weekly Log'!$A:$A,"&lt;"&amp;$J680+7),0))</f>
        <v/>
      </c>
      <c r="D680">
        <f>IF($J680="","",IFERROR(COUNTIFS('Weekly Log'!$H:$H,"Y",'Weekly Log'!$A:$A,"&gt;="&amp;$J680,'Weekly Log'!$A:$A,"&lt;"&amp;$J680+7)/COUNTIFS('Weekly Log'!$H:$H,"&lt;&gt;",'Weekly Log'!$A:$A,"&gt;="&amp;$J680,'Weekly Log'!$A:$A,"&lt;"&amp;$J680+7),0))</f>
        <v/>
      </c>
      <c r="E680">
        <f>IF($J680="","",IFERROR(AVERAGEIFS('Weekly Log'!$F:$F,'Weekly Log'!$A:$A,"&gt;="&amp;$J680,'Weekly Log'!$A:$A,"&lt;"&amp;$J680+7),0))</f>
        <v/>
      </c>
      <c r="F680">
        <f>IF($J680="","",IFERROR(SUMIFS('Weekly Log'!$F:$F,'Weekly Log'!$A:$A,"&gt;="&amp;$J680,'Weekly Log'!$A:$A,"&lt;"&amp;$J680+7)/SUMIFS('Weekly Log'!$E:$E,'Weekly Log'!$A:$A,"&gt;="&amp;$J680,'Weekly Log'!$A:$A,"&lt;"&amp;$J680+7),0))</f>
        <v/>
      </c>
      <c r="G680">
        <f>IF($J680="","",IFERROR(LOOKUP(2,1/(('Weekly Log'!$A$5:$A$5000&gt;=$J680)*('Weekly Log'!$A$5:$A$5000&lt;$J680+7)*('Weekly Log'!$M$5:$M$5000&lt;&gt;"")),'Weekly Log'!$M$5:$M$5000),0))</f>
        <v/>
      </c>
      <c r="J680">
        <f>IF(COUNT('Weekly Log'!$A$5:$A$5000)=0,"",IF(MIN('Weekly Log'!$A$5:$A$5000)+7*(ROW()-10)&gt;MAX('Weekly Log'!$A$5:$A$5000),"",MIN('Weekly Log'!$A$5:$A$5000)+7*(ROW()-10)))</f>
        <v/>
      </c>
    </row>
    <row r="681">
      <c r="A681">
        <f>IF($J681="","",YEAR($J681-WEEKDAY($J681,2)+4)&amp;"-W"&amp;TEXT(WEEKNUM($J681,21),"00"))</f>
        <v/>
      </c>
      <c r="B681">
        <f>IF($J681="","",SUMIFS('Weekly Log'!$C:$C,'Weekly Log'!$A:$A,"&gt;="&amp;$J681,'Weekly Log'!$A:$A,"&lt;"&amp;$J681+7))</f>
        <v/>
      </c>
      <c r="C681">
        <f>IF($J681="","",IFERROR(COUNTIFS('Weekly Log'!$G:$G,"Y",'Weekly Log'!$A:$A,"&gt;="&amp;$J681,'Weekly Log'!$A:$A,"&lt;"&amp;$J681+7)/COUNTIFS('Weekly Log'!$G:$G,"&lt;&gt;",'Weekly Log'!$A:$A,"&gt;="&amp;$J681,'Weekly Log'!$A:$A,"&lt;"&amp;$J681+7),0))</f>
        <v/>
      </c>
      <c r="D681">
        <f>IF($J681="","",IFERROR(COUNTIFS('Weekly Log'!$H:$H,"Y",'Weekly Log'!$A:$A,"&gt;="&amp;$J681,'Weekly Log'!$A:$A,"&lt;"&amp;$J681+7)/COUNTIFS('Weekly Log'!$H:$H,"&lt;&gt;",'Weekly Log'!$A:$A,"&gt;="&amp;$J681,'Weekly Log'!$A:$A,"&lt;"&amp;$J681+7),0))</f>
        <v/>
      </c>
      <c r="E681">
        <f>IF($J681="","",IFERROR(AVERAGEIFS('Weekly Log'!$F:$F,'Weekly Log'!$A:$A,"&gt;="&amp;$J681,'Weekly Log'!$A:$A,"&lt;"&amp;$J681+7),0))</f>
        <v/>
      </c>
      <c r="F681">
        <f>IF($J681="","",IFERROR(SUMIFS('Weekly Log'!$F:$F,'Weekly Log'!$A:$A,"&gt;="&amp;$J681,'Weekly Log'!$A:$A,"&lt;"&amp;$J681+7)/SUMIFS('Weekly Log'!$E:$E,'Weekly Log'!$A:$A,"&gt;="&amp;$J681,'Weekly Log'!$A:$A,"&lt;"&amp;$J681+7),0))</f>
        <v/>
      </c>
      <c r="G681">
        <f>IF($J681="","",IFERROR(LOOKUP(2,1/(('Weekly Log'!$A$5:$A$5000&gt;=$J681)*('Weekly Log'!$A$5:$A$5000&lt;$J681+7)*('Weekly Log'!$M$5:$M$5000&lt;&gt;"")),'Weekly Log'!$M$5:$M$5000),0))</f>
        <v/>
      </c>
      <c r="J681">
        <f>IF(COUNT('Weekly Log'!$A$5:$A$5000)=0,"",IF(MIN('Weekly Log'!$A$5:$A$5000)+7*(ROW()-10)&gt;MAX('Weekly Log'!$A$5:$A$5000),"",MIN('Weekly Log'!$A$5:$A$5000)+7*(ROW()-10)))</f>
        <v/>
      </c>
    </row>
    <row r="682">
      <c r="A682">
        <f>IF($J682="","",YEAR($J682-WEEKDAY($J682,2)+4)&amp;"-W"&amp;TEXT(WEEKNUM($J682,21),"00"))</f>
        <v/>
      </c>
      <c r="B682">
        <f>IF($J682="","",SUMIFS('Weekly Log'!$C:$C,'Weekly Log'!$A:$A,"&gt;="&amp;$J682,'Weekly Log'!$A:$A,"&lt;"&amp;$J682+7))</f>
        <v/>
      </c>
      <c r="C682">
        <f>IF($J682="","",IFERROR(COUNTIFS('Weekly Log'!$G:$G,"Y",'Weekly Log'!$A:$A,"&gt;="&amp;$J682,'Weekly Log'!$A:$A,"&lt;"&amp;$J682+7)/COUNTIFS('Weekly Log'!$G:$G,"&lt;&gt;",'Weekly Log'!$A:$A,"&gt;="&amp;$J682,'Weekly Log'!$A:$A,"&lt;"&amp;$J682+7),0))</f>
        <v/>
      </c>
      <c r="D682">
        <f>IF($J682="","",IFERROR(COUNTIFS('Weekly Log'!$H:$H,"Y",'Weekly Log'!$A:$A,"&gt;="&amp;$J682,'Weekly Log'!$A:$A,"&lt;"&amp;$J682+7)/COUNTIFS('Weekly Log'!$H:$H,"&lt;&gt;",'Weekly Log'!$A:$A,"&gt;="&amp;$J682,'Weekly Log'!$A:$A,"&lt;"&amp;$J682+7),0))</f>
        <v/>
      </c>
      <c r="E682">
        <f>IF($J682="","",IFERROR(AVERAGEIFS('Weekly Log'!$F:$F,'Weekly Log'!$A:$A,"&gt;="&amp;$J682,'Weekly Log'!$A:$A,"&lt;"&amp;$J682+7),0))</f>
        <v/>
      </c>
      <c r="F682">
        <f>IF($J682="","",IFERROR(SUMIFS('Weekly Log'!$F:$F,'Weekly Log'!$A:$A,"&gt;="&amp;$J682,'Weekly Log'!$A:$A,"&lt;"&amp;$J682+7)/SUMIFS('Weekly Log'!$E:$E,'Weekly Log'!$A:$A,"&gt;="&amp;$J682,'Weekly Log'!$A:$A,"&lt;"&amp;$J682+7),0))</f>
        <v/>
      </c>
      <c r="G682">
        <f>IF($J682="","",IFERROR(LOOKUP(2,1/(('Weekly Log'!$A$5:$A$5000&gt;=$J682)*('Weekly Log'!$A$5:$A$5000&lt;$J682+7)*('Weekly Log'!$M$5:$M$5000&lt;&gt;"")),'Weekly Log'!$M$5:$M$5000),0))</f>
        <v/>
      </c>
      <c r="J682">
        <f>IF(COUNT('Weekly Log'!$A$5:$A$5000)=0,"",IF(MIN('Weekly Log'!$A$5:$A$5000)+7*(ROW()-10)&gt;MAX('Weekly Log'!$A$5:$A$5000),"",MIN('Weekly Log'!$A$5:$A$5000)+7*(ROW()-10)))</f>
        <v/>
      </c>
    </row>
    <row r="683">
      <c r="A683">
        <f>IF($J683="","",YEAR($J683-WEEKDAY($J683,2)+4)&amp;"-W"&amp;TEXT(WEEKNUM($J683,21),"00"))</f>
        <v/>
      </c>
      <c r="B683">
        <f>IF($J683="","",SUMIFS('Weekly Log'!$C:$C,'Weekly Log'!$A:$A,"&gt;="&amp;$J683,'Weekly Log'!$A:$A,"&lt;"&amp;$J683+7))</f>
        <v/>
      </c>
      <c r="C683">
        <f>IF($J683="","",IFERROR(COUNTIFS('Weekly Log'!$G:$G,"Y",'Weekly Log'!$A:$A,"&gt;="&amp;$J683,'Weekly Log'!$A:$A,"&lt;"&amp;$J683+7)/COUNTIFS('Weekly Log'!$G:$G,"&lt;&gt;",'Weekly Log'!$A:$A,"&gt;="&amp;$J683,'Weekly Log'!$A:$A,"&lt;"&amp;$J683+7),0))</f>
        <v/>
      </c>
      <c r="D683">
        <f>IF($J683="","",IFERROR(COUNTIFS('Weekly Log'!$H:$H,"Y",'Weekly Log'!$A:$A,"&gt;="&amp;$J683,'Weekly Log'!$A:$A,"&lt;"&amp;$J683+7)/COUNTIFS('Weekly Log'!$H:$H,"&lt;&gt;",'Weekly Log'!$A:$A,"&gt;="&amp;$J683,'Weekly Log'!$A:$A,"&lt;"&amp;$J683+7),0))</f>
        <v/>
      </c>
      <c r="E683">
        <f>IF($J683="","",IFERROR(AVERAGEIFS('Weekly Log'!$F:$F,'Weekly Log'!$A:$A,"&gt;="&amp;$J683,'Weekly Log'!$A:$A,"&lt;"&amp;$J683+7),0))</f>
        <v/>
      </c>
      <c r="F683">
        <f>IF($J683="","",IFERROR(SUMIFS('Weekly Log'!$F:$F,'Weekly Log'!$A:$A,"&gt;="&amp;$J683,'Weekly Log'!$A:$A,"&lt;"&amp;$J683+7)/SUMIFS('Weekly Log'!$E:$E,'Weekly Log'!$A:$A,"&gt;="&amp;$J683,'Weekly Log'!$A:$A,"&lt;"&amp;$J683+7),0))</f>
        <v/>
      </c>
      <c r="G683">
        <f>IF($J683="","",IFERROR(LOOKUP(2,1/(('Weekly Log'!$A$5:$A$5000&gt;=$J683)*('Weekly Log'!$A$5:$A$5000&lt;$J683+7)*('Weekly Log'!$M$5:$M$5000&lt;&gt;"")),'Weekly Log'!$M$5:$M$5000),0))</f>
        <v/>
      </c>
      <c r="J683">
        <f>IF(COUNT('Weekly Log'!$A$5:$A$5000)=0,"",IF(MIN('Weekly Log'!$A$5:$A$5000)+7*(ROW()-10)&gt;MAX('Weekly Log'!$A$5:$A$5000),"",MIN('Weekly Log'!$A$5:$A$5000)+7*(ROW()-10)))</f>
        <v/>
      </c>
    </row>
    <row r="684">
      <c r="A684">
        <f>IF($J684="","",YEAR($J684-WEEKDAY($J684,2)+4)&amp;"-W"&amp;TEXT(WEEKNUM($J684,21),"00"))</f>
        <v/>
      </c>
      <c r="B684">
        <f>IF($J684="","",SUMIFS('Weekly Log'!$C:$C,'Weekly Log'!$A:$A,"&gt;="&amp;$J684,'Weekly Log'!$A:$A,"&lt;"&amp;$J684+7))</f>
        <v/>
      </c>
      <c r="C684">
        <f>IF($J684="","",IFERROR(COUNTIFS('Weekly Log'!$G:$G,"Y",'Weekly Log'!$A:$A,"&gt;="&amp;$J684,'Weekly Log'!$A:$A,"&lt;"&amp;$J684+7)/COUNTIFS('Weekly Log'!$G:$G,"&lt;&gt;",'Weekly Log'!$A:$A,"&gt;="&amp;$J684,'Weekly Log'!$A:$A,"&lt;"&amp;$J684+7),0))</f>
        <v/>
      </c>
      <c r="D684">
        <f>IF($J684="","",IFERROR(COUNTIFS('Weekly Log'!$H:$H,"Y",'Weekly Log'!$A:$A,"&gt;="&amp;$J684,'Weekly Log'!$A:$A,"&lt;"&amp;$J684+7)/COUNTIFS('Weekly Log'!$H:$H,"&lt;&gt;",'Weekly Log'!$A:$A,"&gt;="&amp;$J684,'Weekly Log'!$A:$A,"&lt;"&amp;$J684+7),0))</f>
        <v/>
      </c>
      <c r="E684">
        <f>IF($J684="","",IFERROR(AVERAGEIFS('Weekly Log'!$F:$F,'Weekly Log'!$A:$A,"&gt;="&amp;$J684,'Weekly Log'!$A:$A,"&lt;"&amp;$J684+7),0))</f>
        <v/>
      </c>
      <c r="F684">
        <f>IF($J684="","",IFERROR(SUMIFS('Weekly Log'!$F:$F,'Weekly Log'!$A:$A,"&gt;="&amp;$J684,'Weekly Log'!$A:$A,"&lt;"&amp;$J684+7)/SUMIFS('Weekly Log'!$E:$E,'Weekly Log'!$A:$A,"&gt;="&amp;$J684,'Weekly Log'!$A:$A,"&lt;"&amp;$J684+7),0))</f>
        <v/>
      </c>
      <c r="G684">
        <f>IF($J684="","",IFERROR(LOOKUP(2,1/(('Weekly Log'!$A$5:$A$5000&gt;=$J684)*('Weekly Log'!$A$5:$A$5000&lt;$J684+7)*('Weekly Log'!$M$5:$M$5000&lt;&gt;"")),'Weekly Log'!$M$5:$M$5000),0))</f>
        <v/>
      </c>
      <c r="J684">
        <f>IF(COUNT('Weekly Log'!$A$5:$A$5000)=0,"",IF(MIN('Weekly Log'!$A$5:$A$5000)+7*(ROW()-10)&gt;MAX('Weekly Log'!$A$5:$A$5000),"",MIN('Weekly Log'!$A$5:$A$5000)+7*(ROW()-10)))</f>
        <v/>
      </c>
    </row>
    <row r="685">
      <c r="A685">
        <f>IF($J685="","",YEAR($J685-WEEKDAY($J685,2)+4)&amp;"-W"&amp;TEXT(WEEKNUM($J685,21),"00"))</f>
        <v/>
      </c>
      <c r="B685">
        <f>IF($J685="","",SUMIFS('Weekly Log'!$C:$C,'Weekly Log'!$A:$A,"&gt;="&amp;$J685,'Weekly Log'!$A:$A,"&lt;"&amp;$J685+7))</f>
        <v/>
      </c>
      <c r="C685">
        <f>IF($J685="","",IFERROR(COUNTIFS('Weekly Log'!$G:$G,"Y",'Weekly Log'!$A:$A,"&gt;="&amp;$J685,'Weekly Log'!$A:$A,"&lt;"&amp;$J685+7)/COUNTIFS('Weekly Log'!$G:$G,"&lt;&gt;",'Weekly Log'!$A:$A,"&gt;="&amp;$J685,'Weekly Log'!$A:$A,"&lt;"&amp;$J685+7),0))</f>
        <v/>
      </c>
      <c r="D685">
        <f>IF($J685="","",IFERROR(COUNTIFS('Weekly Log'!$H:$H,"Y",'Weekly Log'!$A:$A,"&gt;="&amp;$J685,'Weekly Log'!$A:$A,"&lt;"&amp;$J685+7)/COUNTIFS('Weekly Log'!$H:$H,"&lt;&gt;",'Weekly Log'!$A:$A,"&gt;="&amp;$J685,'Weekly Log'!$A:$A,"&lt;"&amp;$J685+7),0))</f>
        <v/>
      </c>
      <c r="E685">
        <f>IF($J685="","",IFERROR(AVERAGEIFS('Weekly Log'!$F:$F,'Weekly Log'!$A:$A,"&gt;="&amp;$J685,'Weekly Log'!$A:$A,"&lt;"&amp;$J685+7),0))</f>
        <v/>
      </c>
      <c r="F685">
        <f>IF($J685="","",IFERROR(SUMIFS('Weekly Log'!$F:$F,'Weekly Log'!$A:$A,"&gt;="&amp;$J685,'Weekly Log'!$A:$A,"&lt;"&amp;$J685+7)/SUMIFS('Weekly Log'!$E:$E,'Weekly Log'!$A:$A,"&gt;="&amp;$J685,'Weekly Log'!$A:$A,"&lt;"&amp;$J685+7),0))</f>
        <v/>
      </c>
      <c r="G685">
        <f>IF($J685="","",IFERROR(LOOKUP(2,1/(('Weekly Log'!$A$5:$A$5000&gt;=$J685)*('Weekly Log'!$A$5:$A$5000&lt;$J685+7)*('Weekly Log'!$M$5:$M$5000&lt;&gt;"")),'Weekly Log'!$M$5:$M$5000),0))</f>
        <v/>
      </c>
      <c r="J685">
        <f>IF(COUNT('Weekly Log'!$A$5:$A$5000)=0,"",IF(MIN('Weekly Log'!$A$5:$A$5000)+7*(ROW()-10)&gt;MAX('Weekly Log'!$A$5:$A$5000),"",MIN('Weekly Log'!$A$5:$A$5000)+7*(ROW()-10)))</f>
        <v/>
      </c>
    </row>
    <row r="686">
      <c r="A686">
        <f>IF($J686="","",YEAR($J686-WEEKDAY($J686,2)+4)&amp;"-W"&amp;TEXT(WEEKNUM($J686,21),"00"))</f>
        <v/>
      </c>
      <c r="B686">
        <f>IF($J686="","",SUMIFS('Weekly Log'!$C:$C,'Weekly Log'!$A:$A,"&gt;="&amp;$J686,'Weekly Log'!$A:$A,"&lt;"&amp;$J686+7))</f>
        <v/>
      </c>
      <c r="C686">
        <f>IF($J686="","",IFERROR(COUNTIFS('Weekly Log'!$G:$G,"Y",'Weekly Log'!$A:$A,"&gt;="&amp;$J686,'Weekly Log'!$A:$A,"&lt;"&amp;$J686+7)/COUNTIFS('Weekly Log'!$G:$G,"&lt;&gt;",'Weekly Log'!$A:$A,"&gt;="&amp;$J686,'Weekly Log'!$A:$A,"&lt;"&amp;$J686+7),0))</f>
        <v/>
      </c>
      <c r="D686">
        <f>IF($J686="","",IFERROR(COUNTIFS('Weekly Log'!$H:$H,"Y",'Weekly Log'!$A:$A,"&gt;="&amp;$J686,'Weekly Log'!$A:$A,"&lt;"&amp;$J686+7)/COUNTIFS('Weekly Log'!$H:$H,"&lt;&gt;",'Weekly Log'!$A:$A,"&gt;="&amp;$J686,'Weekly Log'!$A:$A,"&lt;"&amp;$J686+7),0))</f>
        <v/>
      </c>
      <c r="E686">
        <f>IF($J686="","",IFERROR(AVERAGEIFS('Weekly Log'!$F:$F,'Weekly Log'!$A:$A,"&gt;="&amp;$J686,'Weekly Log'!$A:$A,"&lt;"&amp;$J686+7),0))</f>
        <v/>
      </c>
      <c r="F686">
        <f>IF($J686="","",IFERROR(SUMIFS('Weekly Log'!$F:$F,'Weekly Log'!$A:$A,"&gt;="&amp;$J686,'Weekly Log'!$A:$A,"&lt;"&amp;$J686+7)/SUMIFS('Weekly Log'!$E:$E,'Weekly Log'!$A:$A,"&gt;="&amp;$J686,'Weekly Log'!$A:$A,"&lt;"&amp;$J686+7),0))</f>
        <v/>
      </c>
      <c r="G686">
        <f>IF($J686="","",IFERROR(LOOKUP(2,1/(('Weekly Log'!$A$5:$A$5000&gt;=$J686)*('Weekly Log'!$A$5:$A$5000&lt;$J686+7)*('Weekly Log'!$M$5:$M$5000&lt;&gt;"")),'Weekly Log'!$M$5:$M$5000),0))</f>
        <v/>
      </c>
      <c r="J686">
        <f>IF(COUNT('Weekly Log'!$A$5:$A$5000)=0,"",IF(MIN('Weekly Log'!$A$5:$A$5000)+7*(ROW()-10)&gt;MAX('Weekly Log'!$A$5:$A$5000),"",MIN('Weekly Log'!$A$5:$A$5000)+7*(ROW()-10)))</f>
        <v/>
      </c>
    </row>
    <row r="687">
      <c r="A687">
        <f>IF($J687="","",YEAR($J687-WEEKDAY($J687,2)+4)&amp;"-W"&amp;TEXT(WEEKNUM($J687,21),"00"))</f>
        <v/>
      </c>
      <c r="B687">
        <f>IF($J687="","",SUMIFS('Weekly Log'!$C:$C,'Weekly Log'!$A:$A,"&gt;="&amp;$J687,'Weekly Log'!$A:$A,"&lt;"&amp;$J687+7))</f>
        <v/>
      </c>
      <c r="C687">
        <f>IF($J687="","",IFERROR(COUNTIFS('Weekly Log'!$G:$G,"Y",'Weekly Log'!$A:$A,"&gt;="&amp;$J687,'Weekly Log'!$A:$A,"&lt;"&amp;$J687+7)/COUNTIFS('Weekly Log'!$G:$G,"&lt;&gt;",'Weekly Log'!$A:$A,"&gt;="&amp;$J687,'Weekly Log'!$A:$A,"&lt;"&amp;$J687+7),0))</f>
        <v/>
      </c>
      <c r="D687">
        <f>IF($J687="","",IFERROR(COUNTIFS('Weekly Log'!$H:$H,"Y",'Weekly Log'!$A:$A,"&gt;="&amp;$J687,'Weekly Log'!$A:$A,"&lt;"&amp;$J687+7)/COUNTIFS('Weekly Log'!$H:$H,"&lt;&gt;",'Weekly Log'!$A:$A,"&gt;="&amp;$J687,'Weekly Log'!$A:$A,"&lt;"&amp;$J687+7),0))</f>
        <v/>
      </c>
      <c r="E687">
        <f>IF($J687="","",IFERROR(AVERAGEIFS('Weekly Log'!$F:$F,'Weekly Log'!$A:$A,"&gt;="&amp;$J687,'Weekly Log'!$A:$A,"&lt;"&amp;$J687+7),0))</f>
        <v/>
      </c>
      <c r="F687">
        <f>IF($J687="","",IFERROR(SUMIFS('Weekly Log'!$F:$F,'Weekly Log'!$A:$A,"&gt;="&amp;$J687,'Weekly Log'!$A:$A,"&lt;"&amp;$J687+7)/SUMIFS('Weekly Log'!$E:$E,'Weekly Log'!$A:$A,"&gt;="&amp;$J687,'Weekly Log'!$A:$A,"&lt;"&amp;$J687+7),0))</f>
        <v/>
      </c>
      <c r="G687">
        <f>IF($J687="","",IFERROR(LOOKUP(2,1/(('Weekly Log'!$A$5:$A$5000&gt;=$J687)*('Weekly Log'!$A$5:$A$5000&lt;$J687+7)*('Weekly Log'!$M$5:$M$5000&lt;&gt;"")),'Weekly Log'!$M$5:$M$5000),0))</f>
        <v/>
      </c>
      <c r="J687">
        <f>IF(COUNT('Weekly Log'!$A$5:$A$5000)=0,"",IF(MIN('Weekly Log'!$A$5:$A$5000)+7*(ROW()-10)&gt;MAX('Weekly Log'!$A$5:$A$5000),"",MIN('Weekly Log'!$A$5:$A$5000)+7*(ROW()-10)))</f>
        <v/>
      </c>
    </row>
    <row r="688">
      <c r="A688">
        <f>IF($J688="","",YEAR($J688-WEEKDAY($J688,2)+4)&amp;"-W"&amp;TEXT(WEEKNUM($J688,21),"00"))</f>
        <v/>
      </c>
      <c r="B688">
        <f>IF($J688="","",SUMIFS('Weekly Log'!$C:$C,'Weekly Log'!$A:$A,"&gt;="&amp;$J688,'Weekly Log'!$A:$A,"&lt;"&amp;$J688+7))</f>
        <v/>
      </c>
      <c r="C688">
        <f>IF($J688="","",IFERROR(COUNTIFS('Weekly Log'!$G:$G,"Y",'Weekly Log'!$A:$A,"&gt;="&amp;$J688,'Weekly Log'!$A:$A,"&lt;"&amp;$J688+7)/COUNTIFS('Weekly Log'!$G:$G,"&lt;&gt;",'Weekly Log'!$A:$A,"&gt;="&amp;$J688,'Weekly Log'!$A:$A,"&lt;"&amp;$J688+7),0))</f>
        <v/>
      </c>
      <c r="D688">
        <f>IF($J688="","",IFERROR(COUNTIFS('Weekly Log'!$H:$H,"Y",'Weekly Log'!$A:$A,"&gt;="&amp;$J688,'Weekly Log'!$A:$A,"&lt;"&amp;$J688+7)/COUNTIFS('Weekly Log'!$H:$H,"&lt;&gt;",'Weekly Log'!$A:$A,"&gt;="&amp;$J688,'Weekly Log'!$A:$A,"&lt;"&amp;$J688+7),0))</f>
        <v/>
      </c>
      <c r="E688">
        <f>IF($J688="","",IFERROR(AVERAGEIFS('Weekly Log'!$F:$F,'Weekly Log'!$A:$A,"&gt;="&amp;$J688,'Weekly Log'!$A:$A,"&lt;"&amp;$J688+7),0))</f>
        <v/>
      </c>
      <c r="F688">
        <f>IF($J688="","",IFERROR(SUMIFS('Weekly Log'!$F:$F,'Weekly Log'!$A:$A,"&gt;="&amp;$J688,'Weekly Log'!$A:$A,"&lt;"&amp;$J688+7)/SUMIFS('Weekly Log'!$E:$E,'Weekly Log'!$A:$A,"&gt;="&amp;$J688,'Weekly Log'!$A:$A,"&lt;"&amp;$J688+7),0))</f>
        <v/>
      </c>
      <c r="G688">
        <f>IF($J688="","",IFERROR(LOOKUP(2,1/(('Weekly Log'!$A$5:$A$5000&gt;=$J688)*('Weekly Log'!$A$5:$A$5000&lt;$J688+7)*('Weekly Log'!$M$5:$M$5000&lt;&gt;"")),'Weekly Log'!$M$5:$M$5000),0))</f>
        <v/>
      </c>
      <c r="J688">
        <f>IF(COUNT('Weekly Log'!$A$5:$A$5000)=0,"",IF(MIN('Weekly Log'!$A$5:$A$5000)+7*(ROW()-10)&gt;MAX('Weekly Log'!$A$5:$A$5000),"",MIN('Weekly Log'!$A$5:$A$5000)+7*(ROW()-10)))</f>
        <v/>
      </c>
    </row>
    <row r="689">
      <c r="A689">
        <f>IF($J689="","",YEAR($J689-WEEKDAY($J689,2)+4)&amp;"-W"&amp;TEXT(WEEKNUM($J689,21),"00"))</f>
        <v/>
      </c>
      <c r="B689">
        <f>IF($J689="","",SUMIFS('Weekly Log'!$C:$C,'Weekly Log'!$A:$A,"&gt;="&amp;$J689,'Weekly Log'!$A:$A,"&lt;"&amp;$J689+7))</f>
        <v/>
      </c>
      <c r="C689">
        <f>IF($J689="","",IFERROR(COUNTIFS('Weekly Log'!$G:$G,"Y",'Weekly Log'!$A:$A,"&gt;="&amp;$J689,'Weekly Log'!$A:$A,"&lt;"&amp;$J689+7)/COUNTIFS('Weekly Log'!$G:$G,"&lt;&gt;",'Weekly Log'!$A:$A,"&gt;="&amp;$J689,'Weekly Log'!$A:$A,"&lt;"&amp;$J689+7),0))</f>
        <v/>
      </c>
      <c r="D689">
        <f>IF($J689="","",IFERROR(COUNTIFS('Weekly Log'!$H:$H,"Y",'Weekly Log'!$A:$A,"&gt;="&amp;$J689,'Weekly Log'!$A:$A,"&lt;"&amp;$J689+7)/COUNTIFS('Weekly Log'!$H:$H,"&lt;&gt;",'Weekly Log'!$A:$A,"&gt;="&amp;$J689,'Weekly Log'!$A:$A,"&lt;"&amp;$J689+7),0))</f>
        <v/>
      </c>
      <c r="E689">
        <f>IF($J689="","",IFERROR(AVERAGEIFS('Weekly Log'!$F:$F,'Weekly Log'!$A:$A,"&gt;="&amp;$J689,'Weekly Log'!$A:$A,"&lt;"&amp;$J689+7),0))</f>
        <v/>
      </c>
      <c r="F689">
        <f>IF($J689="","",IFERROR(SUMIFS('Weekly Log'!$F:$F,'Weekly Log'!$A:$A,"&gt;="&amp;$J689,'Weekly Log'!$A:$A,"&lt;"&amp;$J689+7)/SUMIFS('Weekly Log'!$E:$E,'Weekly Log'!$A:$A,"&gt;="&amp;$J689,'Weekly Log'!$A:$A,"&lt;"&amp;$J689+7),0))</f>
        <v/>
      </c>
      <c r="G689">
        <f>IF($J689="","",IFERROR(LOOKUP(2,1/(('Weekly Log'!$A$5:$A$5000&gt;=$J689)*('Weekly Log'!$A$5:$A$5000&lt;$J689+7)*('Weekly Log'!$M$5:$M$5000&lt;&gt;"")),'Weekly Log'!$M$5:$M$5000),0))</f>
        <v/>
      </c>
      <c r="J689">
        <f>IF(COUNT('Weekly Log'!$A$5:$A$5000)=0,"",IF(MIN('Weekly Log'!$A$5:$A$5000)+7*(ROW()-10)&gt;MAX('Weekly Log'!$A$5:$A$5000),"",MIN('Weekly Log'!$A$5:$A$5000)+7*(ROW()-10)))</f>
        <v/>
      </c>
    </row>
    <row r="690">
      <c r="A690">
        <f>IF($J690="","",YEAR($J690-WEEKDAY($J690,2)+4)&amp;"-W"&amp;TEXT(WEEKNUM($J690,21),"00"))</f>
        <v/>
      </c>
      <c r="B690">
        <f>IF($J690="","",SUMIFS('Weekly Log'!$C:$C,'Weekly Log'!$A:$A,"&gt;="&amp;$J690,'Weekly Log'!$A:$A,"&lt;"&amp;$J690+7))</f>
        <v/>
      </c>
      <c r="C690">
        <f>IF($J690="","",IFERROR(COUNTIFS('Weekly Log'!$G:$G,"Y",'Weekly Log'!$A:$A,"&gt;="&amp;$J690,'Weekly Log'!$A:$A,"&lt;"&amp;$J690+7)/COUNTIFS('Weekly Log'!$G:$G,"&lt;&gt;",'Weekly Log'!$A:$A,"&gt;="&amp;$J690,'Weekly Log'!$A:$A,"&lt;"&amp;$J690+7),0))</f>
        <v/>
      </c>
      <c r="D690">
        <f>IF($J690="","",IFERROR(COUNTIFS('Weekly Log'!$H:$H,"Y",'Weekly Log'!$A:$A,"&gt;="&amp;$J690,'Weekly Log'!$A:$A,"&lt;"&amp;$J690+7)/COUNTIFS('Weekly Log'!$H:$H,"&lt;&gt;",'Weekly Log'!$A:$A,"&gt;="&amp;$J690,'Weekly Log'!$A:$A,"&lt;"&amp;$J690+7),0))</f>
        <v/>
      </c>
      <c r="E690">
        <f>IF($J690="","",IFERROR(AVERAGEIFS('Weekly Log'!$F:$F,'Weekly Log'!$A:$A,"&gt;="&amp;$J690,'Weekly Log'!$A:$A,"&lt;"&amp;$J690+7),0))</f>
        <v/>
      </c>
      <c r="F690">
        <f>IF($J690="","",IFERROR(SUMIFS('Weekly Log'!$F:$F,'Weekly Log'!$A:$A,"&gt;="&amp;$J690,'Weekly Log'!$A:$A,"&lt;"&amp;$J690+7)/SUMIFS('Weekly Log'!$E:$E,'Weekly Log'!$A:$A,"&gt;="&amp;$J690,'Weekly Log'!$A:$A,"&lt;"&amp;$J690+7),0))</f>
        <v/>
      </c>
      <c r="G690">
        <f>IF($J690="","",IFERROR(LOOKUP(2,1/(('Weekly Log'!$A$5:$A$5000&gt;=$J690)*('Weekly Log'!$A$5:$A$5000&lt;$J690+7)*('Weekly Log'!$M$5:$M$5000&lt;&gt;"")),'Weekly Log'!$M$5:$M$5000),0))</f>
        <v/>
      </c>
      <c r="J690">
        <f>IF(COUNT('Weekly Log'!$A$5:$A$5000)=0,"",IF(MIN('Weekly Log'!$A$5:$A$5000)+7*(ROW()-10)&gt;MAX('Weekly Log'!$A$5:$A$5000),"",MIN('Weekly Log'!$A$5:$A$5000)+7*(ROW()-10)))</f>
        <v/>
      </c>
    </row>
    <row r="691">
      <c r="A691">
        <f>IF($J691="","",YEAR($J691-WEEKDAY($J691,2)+4)&amp;"-W"&amp;TEXT(WEEKNUM($J691,21),"00"))</f>
        <v/>
      </c>
      <c r="B691">
        <f>IF($J691="","",SUMIFS('Weekly Log'!$C:$C,'Weekly Log'!$A:$A,"&gt;="&amp;$J691,'Weekly Log'!$A:$A,"&lt;"&amp;$J691+7))</f>
        <v/>
      </c>
      <c r="C691">
        <f>IF($J691="","",IFERROR(COUNTIFS('Weekly Log'!$G:$G,"Y",'Weekly Log'!$A:$A,"&gt;="&amp;$J691,'Weekly Log'!$A:$A,"&lt;"&amp;$J691+7)/COUNTIFS('Weekly Log'!$G:$G,"&lt;&gt;",'Weekly Log'!$A:$A,"&gt;="&amp;$J691,'Weekly Log'!$A:$A,"&lt;"&amp;$J691+7),0))</f>
        <v/>
      </c>
      <c r="D691">
        <f>IF($J691="","",IFERROR(COUNTIFS('Weekly Log'!$H:$H,"Y",'Weekly Log'!$A:$A,"&gt;="&amp;$J691,'Weekly Log'!$A:$A,"&lt;"&amp;$J691+7)/COUNTIFS('Weekly Log'!$H:$H,"&lt;&gt;",'Weekly Log'!$A:$A,"&gt;="&amp;$J691,'Weekly Log'!$A:$A,"&lt;"&amp;$J691+7),0))</f>
        <v/>
      </c>
      <c r="E691">
        <f>IF($J691="","",IFERROR(AVERAGEIFS('Weekly Log'!$F:$F,'Weekly Log'!$A:$A,"&gt;="&amp;$J691,'Weekly Log'!$A:$A,"&lt;"&amp;$J691+7),0))</f>
        <v/>
      </c>
      <c r="F691">
        <f>IF($J691="","",IFERROR(SUMIFS('Weekly Log'!$F:$F,'Weekly Log'!$A:$A,"&gt;="&amp;$J691,'Weekly Log'!$A:$A,"&lt;"&amp;$J691+7)/SUMIFS('Weekly Log'!$E:$E,'Weekly Log'!$A:$A,"&gt;="&amp;$J691,'Weekly Log'!$A:$A,"&lt;"&amp;$J691+7),0))</f>
        <v/>
      </c>
      <c r="G691">
        <f>IF($J691="","",IFERROR(LOOKUP(2,1/(('Weekly Log'!$A$5:$A$5000&gt;=$J691)*('Weekly Log'!$A$5:$A$5000&lt;$J691+7)*('Weekly Log'!$M$5:$M$5000&lt;&gt;"")),'Weekly Log'!$M$5:$M$5000),0))</f>
        <v/>
      </c>
      <c r="J691">
        <f>IF(COUNT('Weekly Log'!$A$5:$A$5000)=0,"",IF(MIN('Weekly Log'!$A$5:$A$5000)+7*(ROW()-10)&gt;MAX('Weekly Log'!$A$5:$A$5000),"",MIN('Weekly Log'!$A$5:$A$5000)+7*(ROW()-10)))</f>
        <v/>
      </c>
    </row>
    <row r="692">
      <c r="A692">
        <f>IF($J692="","",YEAR($J692-WEEKDAY($J692,2)+4)&amp;"-W"&amp;TEXT(WEEKNUM($J692,21),"00"))</f>
        <v/>
      </c>
      <c r="B692">
        <f>IF($J692="","",SUMIFS('Weekly Log'!$C:$C,'Weekly Log'!$A:$A,"&gt;="&amp;$J692,'Weekly Log'!$A:$A,"&lt;"&amp;$J692+7))</f>
        <v/>
      </c>
      <c r="C692">
        <f>IF($J692="","",IFERROR(COUNTIFS('Weekly Log'!$G:$G,"Y",'Weekly Log'!$A:$A,"&gt;="&amp;$J692,'Weekly Log'!$A:$A,"&lt;"&amp;$J692+7)/COUNTIFS('Weekly Log'!$G:$G,"&lt;&gt;",'Weekly Log'!$A:$A,"&gt;="&amp;$J692,'Weekly Log'!$A:$A,"&lt;"&amp;$J692+7),0))</f>
        <v/>
      </c>
      <c r="D692">
        <f>IF($J692="","",IFERROR(COUNTIFS('Weekly Log'!$H:$H,"Y",'Weekly Log'!$A:$A,"&gt;="&amp;$J692,'Weekly Log'!$A:$A,"&lt;"&amp;$J692+7)/COUNTIFS('Weekly Log'!$H:$H,"&lt;&gt;",'Weekly Log'!$A:$A,"&gt;="&amp;$J692,'Weekly Log'!$A:$A,"&lt;"&amp;$J692+7),0))</f>
        <v/>
      </c>
      <c r="E692">
        <f>IF($J692="","",IFERROR(AVERAGEIFS('Weekly Log'!$F:$F,'Weekly Log'!$A:$A,"&gt;="&amp;$J692,'Weekly Log'!$A:$A,"&lt;"&amp;$J692+7),0))</f>
        <v/>
      </c>
      <c r="F692">
        <f>IF($J692="","",IFERROR(SUMIFS('Weekly Log'!$F:$F,'Weekly Log'!$A:$A,"&gt;="&amp;$J692,'Weekly Log'!$A:$A,"&lt;"&amp;$J692+7)/SUMIFS('Weekly Log'!$E:$E,'Weekly Log'!$A:$A,"&gt;="&amp;$J692,'Weekly Log'!$A:$A,"&lt;"&amp;$J692+7),0))</f>
        <v/>
      </c>
      <c r="G692">
        <f>IF($J692="","",IFERROR(LOOKUP(2,1/(('Weekly Log'!$A$5:$A$5000&gt;=$J692)*('Weekly Log'!$A$5:$A$5000&lt;$J692+7)*('Weekly Log'!$M$5:$M$5000&lt;&gt;"")),'Weekly Log'!$M$5:$M$5000),0))</f>
        <v/>
      </c>
      <c r="J692">
        <f>IF(COUNT('Weekly Log'!$A$5:$A$5000)=0,"",IF(MIN('Weekly Log'!$A$5:$A$5000)+7*(ROW()-10)&gt;MAX('Weekly Log'!$A$5:$A$5000),"",MIN('Weekly Log'!$A$5:$A$5000)+7*(ROW()-10)))</f>
        <v/>
      </c>
    </row>
    <row r="693">
      <c r="A693">
        <f>IF($J693="","",YEAR($J693-WEEKDAY($J693,2)+4)&amp;"-W"&amp;TEXT(WEEKNUM($J693,21),"00"))</f>
        <v/>
      </c>
      <c r="B693">
        <f>IF($J693="","",SUMIFS('Weekly Log'!$C:$C,'Weekly Log'!$A:$A,"&gt;="&amp;$J693,'Weekly Log'!$A:$A,"&lt;"&amp;$J693+7))</f>
        <v/>
      </c>
      <c r="C693">
        <f>IF($J693="","",IFERROR(COUNTIFS('Weekly Log'!$G:$G,"Y",'Weekly Log'!$A:$A,"&gt;="&amp;$J693,'Weekly Log'!$A:$A,"&lt;"&amp;$J693+7)/COUNTIFS('Weekly Log'!$G:$G,"&lt;&gt;",'Weekly Log'!$A:$A,"&gt;="&amp;$J693,'Weekly Log'!$A:$A,"&lt;"&amp;$J693+7),0))</f>
        <v/>
      </c>
      <c r="D693">
        <f>IF($J693="","",IFERROR(COUNTIFS('Weekly Log'!$H:$H,"Y",'Weekly Log'!$A:$A,"&gt;="&amp;$J693,'Weekly Log'!$A:$A,"&lt;"&amp;$J693+7)/COUNTIFS('Weekly Log'!$H:$H,"&lt;&gt;",'Weekly Log'!$A:$A,"&gt;="&amp;$J693,'Weekly Log'!$A:$A,"&lt;"&amp;$J693+7),0))</f>
        <v/>
      </c>
      <c r="E693">
        <f>IF($J693="","",IFERROR(AVERAGEIFS('Weekly Log'!$F:$F,'Weekly Log'!$A:$A,"&gt;="&amp;$J693,'Weekly Log'!$A:$A,"&lt;"&amp;$J693+7),0))</f>
        <v/>
      </c>
      <c r="F693">
        <f>IF($J693="","",IFERROR(SUMIFS('Weekly Log'!$F:$F,'Weekly Log'!$A:$A,"&gt;="&amp;$J693,'Weekly Log'!$A:$A,"&lt;"&amp;$J693+7)/SUMIFS('Weekly Log'!$E:$E,'Weekly Log'!$A:$A,"&gt;="&amp;$J693,'Weekly Log'!$A:$A,"&lt;"&amp;$J693+7),0))</f>
        <v/>
      </c>
      <c r="G693">
        <f>IF($J693="","",IFERROR(LOOKUP(2,1/(('Weekly Log'!$A$5:$A$5000&gt;=$J693)*('Weekly Log'!$A$5:$A$5000&lt;$J693+7)*('Weekly Log'!$M$5:$M$5000&lt;&gt;"")),'Weekly Log'!$M$5:$M$5000),0))</f>
        <v/>
      </c>
      <c r="J693">
        <f>IF(COUNT('Weekly Log'!$A$5:$A$5000)=0,"",IF(MIN('Weekly Log'!$A$5:$A$5000)+7*(ROW()-10)&gt;MAX('Weekly Log'!$A$5:$A$5000),"",MIN('Weekly Log'!$A$5:$A$5000)+7*(ROW()-10)))</f>
        <v/>
      </c>
    </row>
    <row r="694">
      <c r="A694">
        <f>IF($J694="","",YEAR($J694-WEEKDAY($J694,2)+4)&amp;"-W"&amp;TEXT(WEEKNUM($J694,21),"00"))</f>
        <v/>
      </c>
      <c r="B694">
        <f>IF($J694="","",SUMIFS('Weekly Log'!$C:$C,'Weekly Log'!$A:$A,"&gt;="&amp;$J694,'Weekly Log'!$A:$A,"&lt;"&amp;$J694+7))</f>
        <v/>
      </c>
      <c r="C694">
        <f>IF($J694="","",IFERROR(COUNTIFS('Weekly Log'!$G:$G,"Y",'Weekly Log'!$A:$A,"&gt;="&amp;$J694,'Weekly Log'!$A:$A,"&lt;"&amp;$J694+7)/COUNTIFS('Weekly Log'!$G:$G,"&lt;&gt;",'Weekly Log'!$A:$A,"&gt;="&amp;$J694,'Weekly Log'!$A:$A,"&lt;"&amp;$J694+7),0))</f>
        <v/>
      </c>
      <c r="D694">
        <f>IF($J694="","",IFERROR(COUNTIFS('Weekly Log'!$H:$H,"Y",'Weekly Log'!$A:$A,"&gt;="&amp;$J694,'Weekly Log'!$A:$A,"&lt;"&amp;$J694+7)/COUNTIFS('Weekly Log'!$H:$H,"&lt;&gt;",'Weekly Log'!$A:$A,"&gt;="&amp;$J694,'Weekly Log'!$A:$A,"&lt;"&amp;$J694+7),0))</f>
        <v/>
      </c>
      <c r="E694">
        <f>IF($J694="","",IFERROR(AVERAGEIFS('Weekly Log'!$F:$F,'Weekly Log'!$A:$A,"&gt;="&amp;$J694,'Weekly Log'!$A:$A,"&lt;"&amp;$J694+7),0))</f>
        <v/>
      </c>
      <c r="F694">
        <f>IF($J694="","",IFERROR(SUMIFS('Weekly Log'!$F:$F,'Weekly Log'!$A:$A,"&gt;="&amp;$J694,'Weekly Log'!$A:$A,"&lt;"&amp;$J694+7)/SUMIFS('Weekly Log'!$E:$E,'Weekly Log'!$A:$A,"&gt;="&amp;$J694,'Weekly Log'!$A:$A,"&lt;"&amp;$J694+7),0))</f>
        <v/>
      </c>
      <c r="G694">
        <f>IF($J694="","",IFERROR(LOOKUP(2,1/(('Weekly Log'!$A$5:$A$5000&gt;=$J694)*('Weekly Log'!$A$5:$A$5000&lt;$J694+7)*('Weekly Log'!$M$5:$M$5000&lt;&gt;"")),'Weekly Log'!$M$5:$M$5000),0))</f>
        <v/>
      </c>
      <c r="J694">
        <f>IF(COUNT('Weekly Log'!$A$5:$A$5000)=0,"",IF(MIN('Weekly Log'!$A$5:$A$5000)+7*(ROW()-10)&gt;MAX('Weekly Log'!$A$5:$A$5000),"",MIN('Weekly Log'!$A$5:$A$5000)+7*(ROW()-10)))</f>
        <v/>
      </c>
    </row>
    <row r="695">
      <c r="A695">
        <f>IF($J695="","",YEAR($J695-WEEKDAY($J695,2)+4)&amp;"-W"&amp;TEXT(WEEKNUM($J695,21),"00"))</f>
        <v/>
      </c>
      <c r="B695">
        <f>IF($J695="","",SUMIFS('Weekly Log'!$C:$C,'Weekly Log'!$A:$A,"&gt;="&amp;$J695,'Weekly Log'!$A:$A,"&lt;"&amp;$J695+7))</f>
        <v/>
      </c>
      <c r="C695">
        <f>IF($J695="","",IFERROR(COUNTIFS('Weekly Log'!$G:$G,"Y",'Weekly Log'!$A:$A,"&gt;="&amp;$J695,'Weekly Log'!$A:$A,"&lt;"&amp;$J695+7)/COUNTIFS('Weekly Log'!$G:$G,"&lt;&gt;",'Weekly Log'!$A:$A,"&gt;="&amp;$J695,'Weekly Log'!$A:$A,"&lt;"&amp;$J695+7),0))</f>
        <v/>
      </c>
      <c r="D695">
        <f>IF($J695="","",IFERROR(COUNTIFS('Weekly Log'!$H:$H,"Y",'Weekly Log'!$A:$A,"&gt;="&amp;$J695,'Weekly Log'!$A:$A,"&lt;"&amp;$J695+7)/COUNTIFS('Weekly Log'!$H:$H,"&lt;&gt;",'Weekly Log'!$A:$A,"&gt;="&amp;$J695,'Weekly Log'!$A:$A,"&lt;"&amp;$J695+7),0))</f>
        <v/>
      </c>
      <c r="E695">
        <f>IF($J695="","",IFERROR(AVERAGEIFS('Weekly Log'!$F:$F,'Weekly Log'!$A:$A,"&gt;="&amp;$J695,'Weekly Log'!$A:$A,"&lt;"&amp;$J695+7),0))</f>
        <v/>
      </c>
      <c r="F695">
        <f>IF($J695="","",IFERROR(SUMIFS('Weekly Log'!$F:$F,'Weekly Log'!$A:$A,"&gt;="&amp;$J695,'Weekly Log'!$A:$A,"&lt;"&amp;$J695+7)/SUMIFS('Weekly Log'!$E:$E,'Weekly Log'!$A:$A,"&gt;="&amp;$J695,'Weekly Log'!$A:$A,"&lt;"&amp;$J695+7),0))</f>
        <v/>
      </c>
      <c r="G695">
        <f>IF($J695="","",IFERROR(LOOKUP(2,1/(('Weekly Log'!$A$5:$A$5000&gt;=$J695)*('Weekly Log'!$A$5:$A$5000&lt;$J695+7)*('Weekly Log'!$M$5:$M$5000&lt;&gt;"")),'Weekly Log'!$M$5:$M$5000),0))</f>
        <v/>
      </c>
      <c r="J695">
        <f>IF(COUNT('Weekly Log'!$A$5:$A$5000)=0,"",IF(MIN('Weekly Log'!$A$5:$A$5000)+7*(ROW()-10)&gt;MAX('Weekly Log'!$A$5:$A$5000),"",MIN('Weekly Log'!$A$5:$A$5000)+7*(ROW()-10)))</f>
        <v/>
      </c>
    </row>
    <row r="696">
      <c r="A696">
        <f>IF($J696="","",YEAR($J696-WEEKDAY($J696,2)+4)&amp;"-W"&amp;TEXT(WEEKNUM($J696,21),"00"))</f>
        <v/>
      </c>
      <c r="B696">
        <f>IF($J696="","",SUMIFS('Weekly Log'!$C:$C,'Weekly Log'!$A:$A,"&gt;="&amp;$J696,'Weekly Log'!$A:$A,"&lt;"&amp;$J696+7))</f>
        <v/>
      </c>
      <c r="C696">
        <f>IF($J696="","",IFERROR(COUNTIFS('Weekly Log'!$G:$G,"Y",'Weekly Log'!$A:$A,"&gt;="&amp;$J696,'Weekly Log'!$A:$A,"&lt;"&amp;$J696+7)/COUNTIFS('Weekly Log'!$G:$G,"&lt;&gt;",'Weekly Log'!$A:$A,"&gt;="&amp;$J696,'Weekly Log'!$A:$A,"&lt;"&amp;$J696+7),0))</f>
        <v/>
      </c>
      <c r="D696">
        <f>IF($J696="","",IFERROR(COUNTIFS('Weekly Log'!$H:$H,"Y",'Weekly Log'!$A:$A,"&gt;="&amp;$J696,'Weekly Log'!$A:$A,"&lt;"&amp;$J696+7)/COUNTIFS('Weekly Log'!$H:$H,"&lt;&gt;",'Weekly Log'!$A:$A,"&gt;="&amp;$J696,'Weekly Log'!$A:$A,"&lt;"&amp;$J696+7),0))</f>
        <v/>
      </c>
      <c r="E696">
        <f>IF($J696="","",IFERROR(AVERAGEIFS('Weekly Log'!$F:$F,'Weekly Log'!$A:$A,"&gt;="&amp;$J696,'Weekly Log'!$A:$A,"&lt;"&amp;$J696+7),0))</f>
        <v/>
      </c>
      <c r="F696">
        <f>IF($J696="","",IFERROR(SUMIFS('Weekly Log'!$F:$F,'Weekly Log'!$A:$A,"&gt;="&amp;$J696,'Weekly Log'!$A:$A,"&lt;"&amp;$J696+7)/SUMIFS('Weekly Log'!$E:$E,'Weekly Log'!$A:$A,"&gt;="&amp;$J696,'Weekly Log'!$A:$A,"&lt;"&amp;$J696+7),0))</f>
        <v/>
      </c>
      <c r="G696">
        <f>IF($J696="","",IFERROR(LOOKUP(2,1/(('Weekly Log'!$A$5:$A$5000&gt;=$J696)*('Weekly Log'!$A$5:$A$5000&lt;$J696+7)*('Weekly Log'!$M$5:$M$5000&lt;&gt;"")),'Weekly Log'!$M$5:$M$5000),0))</f>
        <v/>
      </c>
      <c r="J696">
        <f>IF(COUNT('Weekly Log'!$A$5:$A$5000)=0,"",IF(MIN('Weekly Log'!$A$5:$A$5000)+7*(ROW()-10)&gt;MAX('Weekly Log'!$A$5:$A$5000),"",MIN('Weekly Log'!$A$5:$A$5000)+7*(ROW()-10)))</f>
        <v/>
      </c>
    </row>
    <row r="697">
      <c r="A697">
        <f>IF($J697="","",YEAR($J697-WEEKDAY($J697,2)+4)&amp;"-W"&amp;TEXT(WEEKNUM($J697,21),"00"))</f>
        <v/>
      </c>
      <c r="B697">
        <f>IF($J697="","",SUMIFS('Weekly Log'!$C:$C,'Weekly Log'!$A:$A,"&gt;="&amp;$J697,'Weekly Log'!$A:$A,"&lt;"&amp;$J697+7))</f>
        <v/>
      </c>
      <c r="C697">
        <f>IF($J697="","",IFERROR(COUNTIFS('Weekly Log'!$G:$G,"Y",'Weekly Log'!$A:$A,"&gt;="&amp;$J697,'Weekly Log'!$A:$A,"&lt;"&amp;$J697+7)/COUNTIFS('Weekly Log'!$G:$G,"&lt;&gt;",'Weekly Log'!$A:$A,"&gt;="&amp;$J697,'Weekly Log'!$A:$A,"&lt;"&amp;$J697+7),0))</f>
        <v/>
      </c>
      <c r="D697">
        <f>IF($J697="","",IFERROR(COUNTIFS('Weekly Log'!$H:$H,"Y",'Weekly Log'!$A:$A,"&gt;="&amp;$J697,'Weekly Log'!$A:$A,"&lt;"&amp;$J697+7)/COUNTIFS('Weekly Log'!$H:$H,"&lt;&gt;",'Weekly Log'!$A:$A,"&gt;="&amp;$J697,'Weekly Log'!$A:$A,"&lt;"&amp;$J697+7),0))</f>
        <v/>
      </c>
      <c r="E697">
        <f>IF($J697="","",IFERROR(AVERAGEIFS('Weekly Log'!$F:$F,'Weekly Log'!$A:$A,"&gt;="&amp;$J697,'Weekly Log'!$A:$A,"&lt;"&amp;$J697+7),0))</f>
        <v/>
      </c>
      <c r="F697">
        <f>IF($J697="","",IFERROR(SUMIFS('Weekly Log'!$F:$F,'Weekly Log'!$A:$A,"&gt;="&amp;$J697,'Weekly Log'!$A:$A,"&lt;"&amp;$J697+7)/SUMIFS('Weekly Log'!$E:$E,'Weekly Log'!$A:$A,"&gt;="&amp;$J697,'Weekly Log'!$A:$A,"&lt;"&amp;$J697+7),0))</f>
        <v/>
      </c>
      <c r="G697">
        <f>IF($J697="","",IFERROR(LOOKUP(2,1/(('Weekly Log'!$A$5:$A$5000&gt;=$J697)*('Weekly Log'!$A$5:$A$5000&lt;$J697+7)*('Weekly Log'!$M$5:$M$5000&lt;&gt;"")),'Weekly Log'!$M$5:$M$5000),0))</f>
        <v/>
      </c>
      <c r="J697">
        <f>IF(COUNT('Weekly Log'!$A$5:$A$5000)=0,"",IF(MIN('Weekly Log'!$A$5:$A$5000)+7*(ROW()-10)&gt;MAX('Weekly Log'!$A$5:$A$5000),"",MIN('Weekly Log'!$A$5:$A$5000)+7*(ROW()-10)))</f>
        <v/>
      </c>
    </row>
    <row r="698">
      <c r="A698">
        <f>IF($J698="","",YEAR($J698-WEEKDAY($J698,2)+4)&amp;"-W"&amp;TEXT(WEEKNUM($J698,21),"00"))</f>
        <v/>
      </c>
      <c r="B698">
        <f>IF($J698="","",SUMIFS('Weekly Log'!$C:$C,'Weekly Log'!$A:$A,"&gt;="&amp;$J698,'Weekly Log'!$A:$A,"&lt;"&amp;$J698+7))</f>
        <v/>
      </c>
      <c r="C698">
        <f>IF($J698="","",IFERROR(COUNTIFS('Weekly Log'!$G:$G,"Y",'Weekly Log'!$A:$A,"&gt;="&amp;$J698,'Weekly Log'!$A:$A,"&lt;"&amp;$J698+7)/COUNTIFS('Weekly Log'!$G:$G,"&lt;&gt;",'Weekly Log'!$A:$A,"&gt;="&amp;$J698,'Weekly Log'!$A:$A,"&lt;"&amp;$J698+7),0))</f>
        <v/>
      </c>
      <c r="D698">
        <f>IF($J698="","",IFERROR(COUNTIFS('Weekly Log'!$H:$H,"Y",'Weekly Log'!$A:$A,"&gt;="&amp;$J698,'Weekly Log'!$A:$A,"&lt;"&amp;$J698+7)/COUNTIFS('Weekly Log'!$H:$H,"&lt;&gt;",'Weekly Log'!$A:$A,"&gt;="&amp;$J698,'Weekly Log'!$A:$A,"&lt;"&amp;$J698+7),0))</f>
        <v/>
      </c>
      <c r="E698">
        <f>IF($J698="","",IFERROR(AVERAGEIFS('Weekly Log'!$F:$F,'Weekly Log'!$A:$A,"&gt;="&amp;$J698,'Weekly Log'!$A:$A,"&lt;"&amp;$J698+7),0))</f>
        <v/>
      </c>
      <c r="F698">
        <f>IF($J698="","",IFERROR(SUMIFS('Weekly Log'!$F:$F,'Weekly Log'!$A:$A,"&gt;="&amp;$J698,'Weekly Log'!$A:$A,"&lt;"&amp;$J698+7)/SUMIFS('Weekly Log'!$E:$E,'Weekly Log'!$A:$A,"&gt;="&amp;$J698,'Weekly Log'!$A:$A,"&lt;"&amp;$J698+7),0))</f>
        <v/>
      </c>
      <c r="G698">
        <f>IF($J698="","",IFERROR(LOOKUP(2,1/(('Weekly Log'!$A$5:$A$5000&gt;=$J698)*('Weekly Log'!$A$5:$A$5000&lt;$J698+7)*('Weekly Log'!$M$5:$M$5000&lt;&gt;"")),'Weekly Log'!$M$5:$M$5000),0))</f>
        <v/>
      </c>
      <c r="J698">
        <f>IF(COUNT('Weekly Log'!$A$5:$A$5000)=0,"",IF(MIN('Weekly Log'!$A$5:$A$5000)+7*(ROW()-10)&gt;MAX('Weekly Log'!$A$5:$A$5000),"",MIN('Weekly Log'!$A$5:$A$5000)+7*(ROW()-10)))</f>
        <v/>
      </c>
    </row>
    <row r="699">
      <c r="A699">
        <f>IF($J699="","",YEAR($J699-WEEKDAY($J699,2)+4)&amp;"-W"&amp;TEXT(WEEKNUM($J699,21),"00"))</f>
        <v/>
      </c>
      <c r="B699">
        <f>IF($J699="","",SUMIFS('Weekly Log'!$C:$C,'Weekly Log'!$A:$A,"&gt;="&amp;$J699,'Weekly Log'!$A:$A,"&lt;"&amp;$J699+7))</f>
        <v/>
      </c>
      <c r="C699">
        <f>IF($J699="","",IFERROR(COUNTIFS('Weekly Log'!$G:$G,"Y",'Weekly Log'!$A:$A,"&gt;="&amp;$J699,'Weekly Log'!$A:$A,"&lt;"&amp;$J699+7)/COUNTIFS('Weekly Log'!$G:$G,"&lt;&gt;",'Weekly Log'!$A:$A,"&gt;="&amp;$J699,'Weekly Log'!$A:$A,"&lt;"&amp;$J699+7),0))</f>
        <v/>
      </c>
      <c r="D699">
        <f>IF($J699="","",IFERROR(COUNTIFS('Weekly Log'!$H:$H,"Y",'Weekly Log'!$A:$A,"&gt;="&amp;$J699,'Weekly Log'!$A:$A,"&lt;"&amp;$J699+7)/COUNTIFS('Weekly Log'!$H:$H,"&lt;&gt;",'Weekly Log'!$A:$A,"&gt;="&amp;$J699,'Weekly Log'!$A:$A,"&lt;"&amp;$J699+7),0))</f>
        <v/>
      </c>
      <c r="E699">
        <f>IF($J699="","",IFERROR(AVERAGEIFS('Weekly Log'!$F:$F,'Weekly Log'!$A:$A,"&gt;="&amp;$J699,'Weekly Log'!$A:$A,"&lt;"&amp;$J699+7),0))</f>
        <v/>
      </c>
      <c r="F699">
        <f>IF($J699="","",IFERROR(SUMIFS('Weekly Log'!$F:$F,'Weekly Log'!$A:$A,"&gt;="&amp;$J699,'Weekly Log'!$A:$A,"&lt;"&amp;$J699+7)/SUMIFS('Weekly Log'!$E:$E,'Weekly Log'!$A:$A,"&gt;="&amp;$J699,'Weekly Log'!$A:$A,"&lt;"&amp;$J699+7),0))</f>
        <v/>
      </c>
      <c r="G699">
        <f>IF($J699="","",IFERROR(LOOKUP(2,1/(('Weekly Log'!$A$5:$A$5000&gt;=$J699)*('Weekly Log'!$A$5:$A$5000&lt;$J699+7)*('Weekly Log'!$M$5:$M$5000&lt;&gt;"")),'Weekly Log'!$M$5:$M$5000),0))</f>
        <v/>
      </c>
      <c r="J699">
        <f>IF(COUNT('Weekly Log'!$A$5:$A$5000)=0,"",IF(MIN('Weekly Log'!$A$5:$A$5000)+7*(ROW()-10)&gt;MAX('Weekly Log'!$A$5:$A$5000),"",MIN('Weekly Log'!$A$5:$A$5000)+7*(ROW()-10)))</f>
        <v/>
      </c>
    </row>
    <row r="700">
      <c r="A700">
        <f>IF($J700="","",YEAR($J700-WEEKDAY($J700,2)+4)&amp;"-W"&amp;TEXT(WEEKNUM($J700,21),"00"))</f>
        <v/>
      </c>
      <c r="B700">
        <f>IF($J700="","",SUMIFS('Weekly Log'!$C:$C,'Weekly Log'!$A:$A,"&gt;="&amp;$J700,'Weekly Log'!$A:$A,"&lt;"&amp;$J700+7))</f>
        <v/>
      </c>
      <c r="C700">
        <f>IF($J700="","",IFERROR(COUNTIFS('Weekly Log'!$G:$G,"Y",'Weekly Log'!$A:$A,"&gt;="&amp;$J700,'Weekly Log'!$A:$A,"&lt;"&amp;$J700+7)/COUNTIFS('Weekly Log'!$G:$G,"&lt;&gt;",'Weekly Log'!$A:$A,"&gt;="&amp;$J700,'Weekly Log'!$A:$A,"&lt;"&amp;$J700+7),0))</f>
        <v/>
      </c>
      <c r="D700">
        <f>IF($J700="","",IFERROR(COUNTIFS('Weekly Log'!$H:$H,"Y",'Weekly Log'!$A:$A,"&gt;="&amp;$J700,'Weekly Log'!$A:$A,"&lt;"&amp;$J700+7)/COUNTIFS('Weekly Log'!$H:$H,"&lt;&gt;",'Weekly Log'!$A:$A,"&gt;="&amp;$J700,'Weekly Log'!$A:$A,"&lt;"&amp;$J700+7),0))</f>
        <v/>
      </c>
      <c r="E700">
        <f>IF($J700="","",IFERROR(AVERAGEIFS('Weekly Log'!$F:$F,'Weekly Log'!$A:$A,"&gt;="&amp;$J700,'Weekly Log'!$A:$A,"&lt;"&amp;$J700+7),0))</f>
        <v/>
      </c>
      <c r="F700">
        <f>IF($J700="","",IFERROR(SUMIFS('Weekly Log'!$F:$F,'Weekly Log'!$A:$A,"&gt;="&amp;$J700,'Weekly Log'!$A:$A,"&lt;"&amp;$J700+7)/SUMIFS('Weekly Log'!$E:$E,'Weekly Log'!$A:$A,"&gt;="&amp;$J700,'Weekly Log'!$A:$A,"&lt;"&amp;$J700+7),0))</f>
        <v/>
      </c>
      <c r="G700">
        <f>IF($J700="","",IFERROR(LOOKUP(2,1/(('Weekly Log'!$A$5:$A$5000&gt;=$J700)*('Weekly Log'!$A$5:$A$5000&lt;$J700+7)*('Weekly Log'!$M$5:$M$5000&lt;&gt;"")),'Weekly Log'!$M$5:$M$5000),0))</f>
        <v/>
      </c>
      <c r="J700">
        <f>IF(COUNT('Weekly Log'!$A$5:$A$5000)=0,"",IF(MIN('Weekly Log'!$A$5:$A$5000)+7*(ROW()-10)&gt;MAX('Weekly Log'!$A$5:$A$5000),"",MIN('Weekly Log'!$A$5:$A$5000)+7*(ROW()-10)))</f>
        <v/>
      </c>
    </row>
    <row r="701">
      <c r="A701">
        <f>IF($J701="","",YEAR($J701-WEEKDAY($J701,2)+4)&amp;"-W"&amp;TEXT(WEEKNUM($J701,21),"00"))</f>
        <v/>
      </c>
      <c r="B701">
        <f>IF($J701="","",SUMIFS('Weekly Log'!$C:$C,'Weekly Log'!$A:$A,"&gt;="&amp;$J701,'Weekly Log'!$A:$A,"&lt;"&amp;$J701+7))</f>
        <v/>
      </c>
      <c r="C701">
        <f>IF($J701="","",IFERROR(COUNTIFS('Weekly Log'!$G:$G,"Y",'Weekly Log'!$A:$A,"&gt;="&amp;$J701,'Weekly Log'!$A:$A,"&lt;"&amp;$J701+7)/COUNTIFS('Weekly Log'!$G:$G,"&lt;&gt;",'Weekly Log'!$A:$A,"&gt;="&amp;$J701,'Weekly Log'!$A:$A,"&lt;"&amp;$J701+7),0))</f>
        <v/>
      </c>
      <c r="D701">
        <f>IF($J701="","",IFERROR(COUNTIFS('Weekly Log'!$H:$H,"Y",'Weekly Log'!$A:$A,"&gt;="&amp;$J701,'Weekly Log'!$A:$A,"&lt;"&amp;$J701+7)/COUNTIFS('Weekly Log'!$H:$H,"&lt;&gt;",'Weekly Log'!$A:$A,"&gt;="&amp;$J701,'Weekly Log'!$A:$A,"&lt;"&amp;$J701+7),0))</f>
        <v/>
      </c>
      <c r="E701">
        <f>IF($J701="","",IFERROR(AVERAGEIFS('Weekly Log'!$F:$F,'Weekly Log'!$A:$A,"&gt;="&amp;$J701,'Weekly Log'!$A:$A,"&lt;"&amp;$J701+7),0))</f>
        <v/>
      </c>
      <c r="F701">
        <f>IF($J701="","",IFERROR(SUMIFS('Weekly Log'!$F:$F,'Weekly Log'!$A:$A,"&gt;="&amp;$J701,'Weekly Log'!$A:$A,"&lt;"&amp;$J701+7)/SUMIFS('Weekly Log'!$E:$E,'Weekly Log'!$A:$A,"&gt;="&amp;$J701,'Weekly Log'!$A:$A,"&lt;"&amp;$J701+7),0))</f>
        <v/>
      </c>
      <c r="G701">
        <f>IF($J701="","",IFERROR(LOOKUP(2,1/(('Weekly Log'!$A$5:$A$5000&gt;=$J701)*('Weekly Log'!$A$5:$A$5000&lt;$J701+7)*('Weekly Log'!$M$5:$M$5000&lt;&gt;"")),'Weekly Log'!$M$5:$M$5000),0))</f>
        <v/>
      </c>
      <c r="J701">
        <f>IF(COUNT('Weekly Log'!$A$5:$A$5000)=0,"",IF(MIN('Weekly Log'!$A$5:$A$5000)+7*(ROW()-10)&gt;MAX('Weekly Log'!$A$5:$A$5000),"",MIN('Weekly Log'!$A$5:$A$5000)+7*(ROW()-10)))</f>
        <v/>
      </c>
    </row>
    <row r="702">
      <c r="A702">
        <f>IF($J702="","",YEAR($J702-WEEKDAY($J702,2)+4)&amp;"-W"&amp;TEXT(WEEKNUM($J702,21),"00"))</f>
        <v/>
      </c>
      <c r="B702">
        <f>IF($J702="","",SUMIFS('Weekly Log'!$C:$C,'Weekly Log'!$A:$A,"&gt;="&amp;$J702,'Weekly Log'!$A:$A,"&lt;"&amp;$J702+7))</f>
        <v/>
      </c>
      <c r="C702">
        <f>IF($J702="","",IFERROR(COUNTIFS('Weekly Log'!$G:$G,"Y",'Weekly Log'!$A:$A,"&gt;="&amp;$J702,'Weekly Log'!$A:$A,"&lt;"&amp;$J702+7)/COUNTIFS('Weekly Log'!$G:$G,"&lt;&gt;",'Weekly Log'!$A:$A,"&gt;="&amp;$J702,'Weekly Log'!$A:$A,"&lt;"&amp;$J702+7),0))</f>
        <v/>
      </c>
      <c r="D702">
        <f>IF($J702="","",IFERROR(COUNTIFS('Weekly Log'!$H:$H,"Y",'Weekly Log'!$A:$A,"&gt;="&amp;$J702,'Weekly Log'!$A:$A,"&lt;"&amp;$J702+7)/COUNTIFS('Weekly Log'!$H:$H,"&lt;&gt;",'Weekly Log'!$A:$A,"&gt;="&amp;$J702,'Weekly Log'!$A:$A,"&lt;"&amp;$J702+7),0))</f>
        <v/>
      </c>
      <c r="E702">
        <f>IF($J702="","",IFERROR(AVERAGEIFS('Weekly Log'!$F:$F,'Weekly Log'!$A:$A,"&gt;="&amp;$J702,'Weekly Log'!$A:$A,"&lt;"&amp;$J702+7),0))</f>
        <v/>
      </c>
      <c r="F702">
        <f>IF($J702="","",IFERROR(SUMIFS('Weekly Log'!$F:$F,'Weekly Log'!$A:$A,"&gt;="&amp;$J702,'Weekly Log'!$A:$A,"&lt;"&amp;$J702+7)/SUMIFS('Weekly Log'!$E:$E,'Weekly Log'!$A:$A,"&gt;="&amp;$J702,'Weekly Log'!$A:$A,"&lt;"&amp;$J702+7),0))</f>
        <v/>
      </c>
      <c r="G702">
        <f>IF($J702="","",IFERROR(LOOKUP(2,1/(('Weekly Log'!$A$5:$A$5000&gt;=$J702)*('Weekly Log'!$A$5:$A$5000&lt;$J702+7)*('Weekly Log'!$M$5:$M$5000&lt;&gt;"")),'Weekly Log'!$M$5:$M$5000),0))</f>
        <v/>
      </c>
      <c r="J702">
        <f>IF(COUNT('Weekly Log'!$A$5:$A$5000)=0,"",IF(MIN('Weekly Log'!$A$5:$A$5000)+7*(ROW()-10)&gt;MAX('Weekly Log'!$A$5:$A$5000),"",MIN('Weekly Log'!$A$5:$A$5000)+7*(ROW()-10)))</f>
        <v/>
      </c>
    </row>
    <row r="703">
      <c r="A703">
        <f>IF($J703="","",YEAR($J703-WEEKDAY($J703,2)+4)&amp;"-W"&amp;TEXT(WEEKNUM($J703,21),"00"))</f>
        <v/>
      </c>
      <c r="B703">
        <f>IF($J703="","",SUMIFS('Weekly Log'!$C:$C,'Weekly Log'!$A:$A,"&gt;="&amp;$J703,'Weekly Log'!$A:$A,"&lt;"&amp;$J703+7))</f>
        <v/>
      </c>
      <c r="C703">
        <f>IF($J703="","",IFERROR(COUNTIFS('Weekly Log'!$G:$G,"Y",'Weekly Log'!$A:$A,"&gt;="&amp;$J703,'Weekly Log'!$A:$A,"&lt;"&amp;$J703+7)/COUNTIFS('Weekly Log'!$G:$G,"&lt;&gt;",'Weekly Log'!$A:$A,"&gt;="&amp;$J703,'Weekly Log'!$A:$A,"&lt;"&amp;$J703+7),0))</f>
        <v/>
      </c>
      <c r="D703">
        <f>IF($J703="","",IFERROR(COUNTIFS('Weekly Log'!$H:$H,"Y",'Weekly Log'!$A:$A,"&gt;="&amp;$J703,'Weekly Log'!$A:$A,"&lt;"&amp;$J703+7)/COUNTIFS('Weekly Log'!$H:$H,"&lt;&gt;",'Weekly Log'!$A:$A,"&gt;="&amp;$J703,'Weekly Log'!$A:$A,"&lt;"&amp;$J703+7),0))</f>
        <v/>
      </c>
      <c r="E703">
        <f>IF($J703="","",IFERROR(AVERAGEIFS('Weekly Log'!$F:$F,'Weekly Log'!$A:$A,"&gt;="&amp;$J703,'Weekly Log'!$A:$A,"&lt;"&amp;$J703+7),0))</f>
        <v/>
      </c>
      <c r="F703">
        <f>IF($J703="","",IFERROR(SUMIFS('Weekly Log'!$F:$F,'Weekly Log'!$A:$A,"&gt;="&amp;$J703,'Weekly Log'!$A:$A,"&lt;"&amp;$J703+7)/SUMIFS('Weekly Log'!$E:$E,'Weekly Log'!$A:$A,"&gt;="&amp;$J703,'Weekly Log'!$A:$A,"&lt;"&amp;$J703+7),0))</f>
        <v/>
      </c>
      <c r="G703">
        <f>IF($J703="","",IFERROR(LOOKUP(2,1/(('Weekly Log'!$A$5:$A$5000&gt;=$J703)*('Weekly Log'!$A$5:$A$5000&lt;$J703+7)*('Weekly Log'!$M$5:$M$5000&lt;&gt;"")),'Weekly Log'!$M$5:$M$5000),0))</f>
        <v/>
      </c>
      <c r="J703">
        <f>IF(COUNT('Weekly Log'!$A$5:$A$5000)=0,"",IF(MIN('Weekly Log'!$A$5:$A$5000)+7*(ROW()-10)&gt;MAX('Weekly Log'!$A$5:$A$5000),"",MIN('Weekly Log'!$A$5:$A$5000)+7*(ROW()-10)))</f>
        <v/>
      </c>
    </row>
    <row r="704">
      <c r="A704">
        <f>IF($J704="","",YEAR($J704-WEEKDAY($J704,2)+4)&amp;"-W"&amp;TEXT(WEEKNUM($J704,21),"00"))</f>
        <v/>
      </c>
      <c r="B704">
        <f>IF($J704="","",SUMIFS('Weekly Log'!$C:$C,'Weekly Log'!$A:$A,"&gt;="&amp;$J704,'Weekly Log'!$A:$A,"&lt;"&amp;$J704+7))</f>
        <v/>
      </c>
      <c r="C704">
        <f>IF($J704="","",IFERROR(COUNTIFS('Weekly Log'!$G:$G,"Y",'Weekly Log'!$A:$A,"&gt;="&amp;$J704,'Weekly Log'!$A:$A,"&lt;"&amp;$J704+7)/COUNTIFS('Weekly Log'!$G:$G,"&lt;&gt;",'Weekly Log'!$A:$A,"&gt;="&amp;$J704,'Weekly Log'!$A:$A,"&lt;"&amp;$J704+7),0))</f>
        <v/>
      </c>
      <c r="D704">
        <f>IF($J704="","",IFERROR(COUNTIFS('Weekly Log'!$H:$H,"Y",'Weekly Log'!$A:$A,"&gt;="&amp;$J704,'Weekly Log'!$A:$A,"&lt;"&amp;$J704+7)/COUNTIFS('Weekly Log'!$H:$H,"&lt;&gt;",'Weekly Log'!$A:$A,"&gt;="&amp;$J704,'Weekly Log'!$A:$A,"&lt;"&amp;$J704+7),0))</f>
        <v/>
      </c>
      <c r="E704">
        <f>IF($J704="","",IFERROR(AVERAGEIFS('Weekly Log'!$F:$F,'Weekly Log'!$A:$A,"&gt;="&amp;$J704,'Weekly Log'!$A:$A,"&lt;"&amp;$J704+7),0))</f>
        <v/>
      </c>
      <c r="F704">
        <f>IF($J704="","",IFERROR(SUMIFS('Weekly Log'!$F:$F,'Weekly Log'!$A:$A,"&gt;="&amp;$J704,'Weekly Log'!$A:$A,"&lt;"&amp;$J704+7)/SUMIFS('Weekly Log'!$E:$E,'Weekly Log'!$A:$A,"&gt;="&amp;$J704,'Weekly Log'!$A:$A,"&lt;"&amp;$J704+7),0))</f>
        <v/>
      </c>
      <c r="G704">
        <f>IF($J704="","",IFERROR(LOOKUP(2,1/(('Weekly Log'!$A$5:$A$5000&gt;=$J704)*('Weekly Log'!$A$5:$A$5000&lt;$J704+7)*('Weekly Log'!$M$5:$M$5000&lt;&gt;"")),'Weekly Log'!$M$5:$M$5000),0))</f>
        <v/>
      </c>
      <c r="J704">
        <f>IF(COUNT('Weekly Log'!$A$5:$A$5000)=0,"",IF(MIN('Weekly Log'!$A$5:$A$5000)+7*(ROW()-10)&gt;MAX('Weekly Log'!$A$5:$A$5000),"",MIN('Weekly Log'!$A$5:$A$5000)+7*(ROW()-10)))</f>
        <v/>
      </c>
    </row>
    <row r="705">
      <c r="A705">
        <f>IF($J705="","",YEAR($J705-WEEKDAY($J705,2)+4)&amp;"-W"&amp;TEXT(WEEKNUM($J705,21),"00"))</f>
        <v/>
      </c>
      <c r="B705">
        <f>IF($J705="","",SUMIFS('Weekly Log'!$C:$C,'Weekly Log'!$A:$A,"&gt;="&amp;$J705,'Weekly Log'!$A:$A,"&lt;"&amp;$J705+7))</f>
        <v/>
      </c>
      <c r="C705">
        <f>IF($J705="","",IFERROR(COUNTIFS('Weekly Log'!$G:$G,"Y",'Weekly Log'!$A:$A,"&gt;="&amp;$J705,'Weekly Log'!$A:$A,"&lt;"&amp;$J705+7)/COUNTIFS('Weekly Log'!$G:$G,"&lt;&gt;",'Weekly Log'!$A:$A,"&gt;="&amp;$J705,'Weekly Log'!$A:$A,"&lt;"&amp;$J705+7),0))</f>
        <v/>
      </c>
      <c r="D705">
        <f>IF($J705="","",IFERROR(COUNTIFS('Weekly Log'!$H:$H,"Y",'Weekly Log'!$A:$A,"&gt;="&amp;$J705,'Weekly Log'!$A:$A,"&lt;"&amp;$J705+7)/COUNTIFS('Weekly Log'!$H:$H,"&lt;&gt;",'Weekly Log'!$A:$A,"&gt;="&amp;$J705,'Weekly Log'!$A:$A,"&lt;"&amp;$J705+7),0))</f>
        <v/>
      </c>
      <c r="E705">
        <f>IF($J705="","",IFERROR(AVERAGEIFS('Weekly Log'!$F:$F,'Weekly Log'!$A:$A,"&gt;="&amp;$J705,'Weekly Log'!$A:$A,"&lt;"&amp;$J705+7),0))</f>
        <v/>
      </c>
      <c r="F705">
        <f>IF($J705="","",IFERROR(SUMIFS('Weekly Log'!$F:$F,'Weekly Log'!$A:$A,"&gt;="&amp;$J705,'Weekly Log'!$A:$A,"&lt;"&amp;$J705+7)/SUMIFS('Weekly Log'!$E:$E,'Weekly Log'!$A:$A,"&gt;="&amp;$J705,'Weekly Log'!$A:$A,"&lt;"&amp;$J705+7),0))</f>
        <v/>
      </c>
      <c r="G705">
        <f>IF($J705="","",IFERROR(LOOKUP(2,1/(('Weekly Log'!$A$5:$A$5000&gt;=$J705)*('Weekly Log'!$A$5:$A$5000&lt;$J705+7)*('Weekly Log'!$M$5:$M$5000&lt;&gt;"")),'Weekly Log'!$M$5:$M$5000),0))</f>
        <v/>
      </c>
      <c r="J705">
        <f>IF(COUNT('Weekly Log'!$A$5:$A$5000)=0,"",IF(MIN('Weekly Log'!$A$5:$A$5000)+7*(ROW()-10)&gt;MAX('Weekly Log'!$A$5:$A$5000),"",MIN('Weekly Log'!$A$5:$A$5000)+7*(ROW()-10)))</f>
        <v/>
      </c>
    </row>
    <row r="706">
      <c r="A706">
        <f>IF($J706="","",YEAR($J706-WEEKDAY($J706,2)+4)&amp;"-W"&amp;TEXT(WEEKNUM($J706,21),"00"))</f>
        <v/>
      </c>
      <c r="B706">
        <f>IF($J706="","",SUMIFS('Weekly Log'!$C:$C,'Weekly Log'!$A:$A,"&gt;="&amp;$J706,'Weekly Log'!$A:$A,"&lt;"&amp;$J706+7))</f>
        <v/>
      </c>
      <c r="C706">
        <f>IF($J706="","",IFERROR(COUNTIFS('Weekly Log'!$G:$G,"Y",'Weekly Log'!$A:$A,"&gt;="&amp;$J706,'Weekly Log'!$A:$A,"&lt;"&amp;$J706+7)/COUNTIFS('Weekly Log'!$G:$G,"&lt;&gt;",'Weekly Log'!$A:$A,"&gt;="&amp;$J706,'Weekly Log'!$A:$A,"&lt;"&amp;$J706+7),0))</f>
        <v/>
      </c>
      <c r="D706">
        <f>IF($J706="","",IFERROR(COUNTIFS('Weekly Log'!$H:$H,"Y",'Weekly Log'!$A:$A,"&gt;="&amp;$J706,'Weekly Log'!$A:$A,"&lt;"&amp;$J706+7)/COUNTIFS('Weekly Log'!$H:$H,"&lt;&gt;",'Weekly Log'!$A:$A,"&gt;="&amp;$J706,'Weekly Log'!$A:$A,"&lt;"&amp;$J706+7),0))</f>
        <v/>
      </c>
      <c r="E706">
        <f>IF($J706="","",IFERROR(AVERAGEIFS('Weekly Log'!$F:$F,'Weekly Log'!$A:$A,"&gt;="&amp;$J706,'Weekly Log'!$A:$A,"&lt;"&amp;$J706+7),0))</f>
        <v/>
      </c>
      <c r="F706">
        <f>IF($J706="","",IFERROR(SUMIFS('Weekly Log'!$F:$F,'Weekly Log'!$A:$A,"&gt;="&amp;$J706,'Weekly Log'!$A:$A,"&lt;"&amp;$J706+7)/SUMIFS('Weekly Log'!$E:$E,'Weekly Log'!$A:$A,"&gt;="&amp;$J706,'Weekly Log'!$A:$A,"&lt;"&amp;$J706+7),0))</f>
        <v/>
      </c>
      <c r="G706">
        <f>IF($J706="","",IFERROR(LOOKUP(2,1/(('Weekly Log'!$A$5:$A$5000&gt;=$J706)*('Weekly Log'!$A$5:$A$5000&lt;$J706+7)*('Weekly Log'!$M$5:$M$5000&lt;&gt;"")),'Weekly Log'!$M$5:$M$5000),0))</f>
        <v/>
      </c>
      <c r="J706">
        <f>IF(COUNT('Weekly Log'!$A$5:$A$5000)=0,"",IF(MIN('Weekly Log'!$A$5:$A$5000)+7*(ROW()-10)&gt;MAX('Weekly Log'!$A$5:$A$5000),"",MIN('Weekly Log'!$A$5:$A$5000)+7*(ROW()-10)))</f>
        <v/>
      </c>
    </row>
    <row r="707">
      <c r="A707">
        <f>IF($J707="","",YEAR($J707-WEEKDAY($J707,2)+4)&amp;"-W"&amp;TEXT(WEEKNUM($J707,21),"00"))</f>
        <v/>
      </c>
      <c r="B707">
        <f>IF($J707="","",SUMIFS('Weekly Log'!$C:$C,'Weekly Log'!$A:$A,"&gt;="&amp;$J707,'Weekly Log'!$A:$A,"&lt;"&amp;$J707+7))</f>
        <v/>
      </c>
      <c r="C707">
        <f>IF($J707="","",IFERROR(COUNTIFS('Weekly Log'!$G:$G,"Y",'Weekly Log'!$A:$A,"&gt;="&amp;$J707,'Weekly Log'!$A:$A,"&lt;"&amp;$J707+7)/COUNTIFS('Weekly Log'!$G:$G,"&lt;&gt;",'Weekly Log'!$A:$A,"&gt;="&amp;$J707,'Weekly Log'!$A:$A,"&lt;"&amp;$J707+7),0))</f>
        <v/>
      </c>
      <c r="D707">
        <f>IF($J707="","",IFERROR(COUNTIFS('Weekly Log'!$H:$H,"Y",'Weekly Log'!$A:$A,"&gt;="&amp;$J707,'Weekly Log'!$A:$A,"&lt;"&amp;$J707+7)/COUNTIFS('Weekly Log'!$H:$H,"&lt;&gt;",'Weekly Log'!$A:$A,"&gt;="&amp;$J707,'Weekly Log'!$A:$A,"&lt;"&amp;$J707+7),0))</f>
        <v/>
      </c>
      <c r="E707">
        <f>IF($J707="","",IFERROR(AVERAGEIFS('Weekly Log'!$F:$F,'Weekly Log'!$A:$A,"&gt;="&amp;$J707,'Weekly Log'!$A:$A,"&lt;"&amp;$J707+7),0))</f>
        <v/>
      </c>
      <c r="F707">
        <f>IF($J707="","",IFERROR(SUMIFS('Weekly Log'!$F:$F,'Weekly Log'!$A:$A,"&gt;="&amp;$J707,'Weekly Log'!$A:$A,"&lt;"&amp;$J707+7)/SUMIFS('Weekly Log'!$E:$E,'Weekly Log'!$A:$A,"&gt;="&amp;$J707,'Weekly Log'!$A:$A,"&lt;"&amp;$J707+7),0))</f>
        <v/>
      </c>
      <c r="G707">
        <f>IF($J707="","",IFERROR(LOOKUP(2,1/(('Weekly Log'!$A$5:$A$5000&gt;=$J707)*('Weekly Log'!$A$5:$A$5000&lt;$J707+7)*('Weekly Log'!$M$5:$M$5000&lt;&gt;"")),'Weekly Log'!$M$5:$M$5000),0))</f>
        <v/>
      </c>
      <c r="J707">
        <f>IF(COUNT('Weekly Log'!$A$5:$A$5000)=0,"",IF(MIN('Weekly Log'!$A$5:$A$5000)+7*(ROW()-10)&gt;MAX('Weekly Log'!$A$5:$A$5000),"",MIN('Weekly Log'!$A$5:$A$5000)+7*(ROW()-10)))</f>
        <v/>
      </c>
    </row>
    <row r="708">
      <c r="A708">
        <f>IF($J708="","",YEAR($J708-WEEKDAY($J708,2)+4)&amp;"-W"&amp;TEXT(WEEKNUM($J708,21),"00"))</f>
        <v/>
      </c>
      <c r="B708">
        <f>IF($J708="","",SUMIFS('Weekly Log'!$C:$C,'Weekly Log'!$A:$A,"&gt;="&amp;$J708,'Weekly Log'!$A:$A,"&lt;"&amp;$J708+7))</f>
        <v/>
      </c>
      <c r="C708">
        <f>IF($J708="","",IFERROR(COUNTIFS('Weekly Log'!$G:$G,"Y",'Weekly Log'!$A:$A,"&gt;="&amp;$J708,'Weekly Log'!$A:$A,"&lt;"&amp;$J708+7)/COUNTIFS('Weekly Log'!$G:$G,"&lt;&gt;",'Weekly Log'!$A:$A,"&gt;="&amp;$J708,'Weekly Log'!$A:$A,"&lt;"&amp;$J708+7),0))</f>
        <v/>
      </c>
      <c r="D708">
        <f>IF($J708="","",IFERROR(COUNTIFS('Weekly Log'!$H:$H,"Y",'Weekly Log'!$A:$A,"&gt;="&amp;$J708,'Weekly Log'!$A:$A,"&lt;"&amp;$J708+7)/COUNTIFS('Weekly Log'!$H:$H,"&lt;&gt;",'Weekly Log'!$A:$A,"&gt;="&amp;$J708,'Weekly Log'!$A:$A,"&lt;"&amp;$J708+7),0))</f>
        <v/>
      </c>
      <c r="E708">
        <f>IF($J708="","",IFERROR(AVERAGEIFS('Weekly Log'!$F:$F,'Weekly Log'!$A:$A,"&gt;="&amp;$J708,'Weekly Log'!$A:$A,"&lt;"&amp;$J708+7),0))</f>
        <v/>
      </c>
      <c r="F708">
        <f>IF($J708="","",IFERROR(SUMIFS('Weekly Log'!$F:$F,'Weekly Log'!$A:$A,"&gt;="&amp;$J708,'Weekly Log'!$A:$A,"&lt;"&amp;$J708+7)/SUMIFS('Weekly Log'!$E:$E,'Weekly Log'!$A:$A,"&gt;="&amp;$J708,'Weekly Log'!$A:$A,"&lt;"&amp;$J708+7),0))</f>
        <v/>
      </c>
      <c r="G708">
        <f>IF($J708="","",IFERROR(LOOKUP(2,1/(('Weekly Log'!$A$5:$A$5000&gt;=$J708)*('Weekly Log'!$A$5:$A$5000&lt;$J708+7)*('Weekly Log'!$M$5:$M$5000&lt;&gt;"")),'Weekly Log'!$M$5:$M$5000),0))</f>
        <v/>
      </c>
      <c r="J708">
        <f>IF(COUNT('Weekly Log'!$A$5:$A$5000)=0,"",IF(MIN('Weekly Log'!$A$5:$A$5000)+7*(ROW()-10)&gt;MAX('Weekly Log'!$A$5:$A$5000),"",MIN('Weekly Log'!$A$5:$A$5000)+7*(ROW()-10)))</f>
        <v/>
      </c>
    </row>
    <row r="709">
      <c r="A709">
        <f>IF($J709="","",YEAR($J709-WEEKDAY($J709,2)+4)&amp;"-W"&amp;TEXT(WEEKNUM($J709,21),"00"))</f>
        <v/>
      </c>
      <c r="B709">
        <f>IF($J709="","",SUMIFS('Weekly Log'!$C:$C,'Weekly Log'!$A:$A,"&gt;="&amp;$J709,'Weekly Log'!$A:$A,"&lt;"&amp;$J709+7))</f>
        <v/>
      </c>
      <c r="C709">
        <f>IF($J709="","",IFERROR(COUNTIFS('Weekly Log'!$G:$G,"Y",'Weekly Log'!$A:$A,"&gt;="&amp;$J709,'Weekly Log'!$A:$A,"&lt;"&amp;$J709+7)/COUNTIFS('Weekly Log'!$G:$G,"&lt;&gt;",'Weekly Log'!$A:$A,"&gt;="&amp;$J709,'Weekly Log'!$A:$A,"&lt;"&amp;$J709+7),0))</f>
        <v/>
      </c>
      <c r="D709">
        <f>IF($J709="","",IFERROR(COUNTIFS('Weekly Log'!$H:$H,"Y",'Weekly Log'!$A:$A,"&gt;="&amp;$J709,'Weekly Log'!$A:$A,"&lt;"&amp;$J709+7)/COUNTIFS('Weekly Log'!$H:$H,"&lt;&gt;",'Weekly Log'!$A:$A,"&gt;="&amp;$J709,'Weekly Log'!$A:$A,"&lt;"&amp;$J709+7),0))</f>
        <v/>
      </c>
      <c r="E709">
        <f>IF($J709="","",IFERROR(AVERAGEIFS('Weekly Log'!$F:$F,'Weekly Log'!$A:$A,"&gt;="&amp;$J709,'Weekly Log'!$A:$A,"&lt;"&amp;$J709+7),0))</f>
        <v/>
      </c>
      <c r="F709">
        <f>IF($J709="","",IFERROR(SUMIFS('Weekly Log'!$F:$F,'Weekly Log'!$A:$A,"&gt;="&amp;$J709,'Weekly Log'!$A:$A,"&lt;"&amp;$J709+7)/SUMIFS('Weekly Log'!$E:$E,'Weekly Log'!$A:$A,"&gt;="&amp;$J709,'Weekly Log'!$A:$A,"&lt;"&amp;$J709+7),0))</f>
        <v/>
      </c>
      <c r="G709">
        <f>IF($J709="","",IFERROR(LOOKUP(2,1/(('Weekly Log'!$A$5:$A$5000&gt;=$J709)*('Weekly Log'!$A$5:$A$5000&lt;$J709+7)*('Weekly Log'!$M$5:$M$5000&lt;&gt;"")),'Weekly Log'!$M$5:$M$5000),0))</f>
        <v/>
      </c>
      <c r="J709">
        <f>IF(COUNT('Weekly Log'!$A$5:$A$5000)=0,"",IF(MIN('Weekly Log'!$A$5:$A$5000)+7*(ROW()-10)&gt;MAX('Weekly Log'!$A$5:$A$5000),"",MIN('Weekly Log'!$A$5:$A$5000)+7*(ROW()-10)))</f>
        <v/>
      </c>
    </row>
    <row r="710">
      <c r="A710">
        <f>IF($J710="","",YEAR($J710-WEEKDAY($J710,2)+4)&amp;"-W"&amp;TEXT(WEEKNUM($J710,21),"00"))</f>
        <v/>
      </c>
      <c r="B710">
        <f>IF($J710="","",SUMIFS('Weekly Log'!$C:$C,'Weekly Log'!$A:$A,"&gt;="&amp;$J710,'Weekly Log'!$A:$A,"&lt;"&amp;$J710+7))</f>
        <v/>
      </c>
      <c r="C710">
        <f>IF($J710="","",IFERROR(COUNTIFS('Weekly Log'!$G:$G,"Y",'Weekly Log'!$A:$A,"&gt;="&amp;$J710,'Weekly Log'!$A:$A,"&lt;"&amp;$J710+7)/COUNTIFS('Weekly Log'!$G:$G,"&lt;&gt;",'Weekly Log'!$A:$A,"&gt;="&amp;$J710,'Weekly Log'!$A:$A,"&lt;"&amp;$J710+7),0))</f>
        <v/>
      </c>
      <c r="D710">
        <f>IF($J710="","",IFERROR(COUNTIFS('Weekly Log'!$H:$H,"Y",'Weekly Log'!$A:$A,"&gt;="&amp;$J710,'Weekly Log'!$A:$A,"&lt;"&amp;$J710+7)/COUNTIFS('Weekly Log'!$H:$H,"&lt;&gt;",'Weekly Log'!$A:$A,"&gt;="&amp;$J710,'Weekly Log'!$A:$A,"&lt;"&amp;$J710+7),0))</f>
        <v/>
      </c>
      <c r="E710">
        <f>IF($J710="","",IFERROR(AVERAGEIFS('Weekly Log'!$F:$F,'Weekly Log'!$A:$A,"&gt;="&amp;$J710,'Weekly Log'!$A:$A,"&lt;"&amp;$J710+7),0))</f>
        <v/>
      </c>
      <c r="F710">
        <f>IF($J710="","",IFERROR(SUMIFS('Weekly Log'!$F:$F,'Weekly Log'!$A:$A,"&gt;="&amp;$J710,'Weekly Log'!$A:$A,"&lt;"&amp;$J710+7)/SUMIFS('Weekly Log'!$E:$E,'Weekly Log'!$A:$A,"&gt;="&amp;$J710,'Weekly Log'!$A:$A,"&lt;"&amp;$J710+7),0))</f>
        <v/>
      </c>
      <c r="G710">
        <f>IF($J710="","",IFERROR(LOOKUP(2,1/(('Weekly Log'!$A$5:$A$5000&gt;=$J710)*('Weekly Log'!$A$5:$A$5000&lt;$J710+7)*('Weekly Log'!$M$5:$M$5000&lt;&gt;"")),'Weekly Log'!$M$5:$M$5000),0))</f>
        <v/>
      </c>
      <c r="J710">
        <f>IF(COUNT('Weekly Log'!$A$5:$A$5000)=0,"",IF(MIN('Weekly Log'!$A$5:$A$5000)+7*(ROW()-10)&gt;MAX('Weekly Log'!$A$5:$A$5000),"",MIN('Weekly Log'!$A$5:$A$5000)+7*(ROW()-10)))</f>
        <v/>
      </c>
    </row>
    <row r="711">
      <c r="A711">
        <f>IF($J711="","",YEAR($J711-WEEKDAY($J711,2)+4)&amp;"-W"&amp;TEXT(WEEKNUM($J711,21),"00"))</f>
        <v/>
      </c>
      <c r="B711">
        <f>IF($J711="","",SUMIFS('Weekly Log'!$C:$C,'Weekly Log'!$A:$A,"&gt;="&amp;$J711,'Weekly Log'!$A:$A,"&lt;"&amp;$J711+7))</f>
        <v/>
      </c>
      <c r="C711">
        <f>IF($J711="","",IFERROR(COUNTIFS('Weekly Log'!$G:$G,"Y",'Weekly Log'!$A:$A,"&gt;="&amp;$J711,'Weekly Log'!$A:$A,"&lt;"&amp;$J711+7)/COUNTIFS('Weekly Log'!$G:$G,"&lt;&gt;",'Weekly Log'!$A:$A,"&gt;="&amp;$J711,'Weekly Log'!$A:$A,"&lt;"&amp;$J711+7),0))</f>
        <v/>
      </c>
      <c r="D711">
        <f>IF($J711="","",IFERROR(COUNTIFS('Weekly Log'!$H:$H,"Y",'Weekly Log'!$A:$A,"&gt;="&amp;$J711,'Weekly Log'!$A:$A,"&lt;"&amp;$J711+7)/COUNTIFS('Weekly Log'!$H:$H,"&lt;&gt;",'Weekly Log'!$A:$A,"&gt;="&amp;$J711,'Weekly Log'!$A:$A,"&lt;"&amp;$J711+7),0))</f>
        <v/>
      </c>
      <c r="E711">
        <f>IF($J711="","",IFERROR(AVERAGEIFS('Weekly Log'!$F:$F,'Weekly Log'!$A:$A,"&gt;="&amp;$J711,'Weekly Log'!$A:$A,"&lt;"&amp;$J711+7),0))</f>
        <v/>
      </c>
      <c r="F711">
        <f>IF($J711="","",IFERROR(SUMIFS('Weekly Log'!$F:$F,'Weekly Log'!$A:$A,"&gt;="&amp;$J711,'Weekly Log'!$A:$A,"&lt;"&amp;$J711+7)/SUMIFS('Weekly Log'!$E:$E,'Weekly Log'!$A:$A,"&gt;="&amp;$J711,'Weekly Log'!$A:$A,"&lt;"&amp;$J711+7),0))</f>
        <v/>
      </c>
      <c r="G711">
        <f>IF($J711="","",IFERROR(LOOKUP(2,1/(('Weekly Log'!$A$5:$A$5000&gt;=$J711)*('Weekly Log'!$A$5:$A$5000&lt;$J711+7)*('Weekly Log'!$M$5:$M$5000&lt;&gt;"")),'Weekly Log'!$M$5:$M$5000),0))</f>
        <v/>
      </c>
      <c r="J711">
        <f>IF(COUNT('Weekly Log'!$A$5:$A$5000)=0,"",IF(MIN('Weekly Log'!$A$5:$A$5000)+7*(ROW()-10)&gt;MAX('Weekly Log'!$A$5:$A$5000),"",MIN('Weekly Log'!$A$5:$A$5000)+7*(ROW()-10)))</f>
        <v/>
      </c>
    </row>
    <row r="712">
      <c r="A712">
        <f>IF($J712="","",YEAR($J712-WEEKDAY($J712,2)+4)&amp;"-W"&amp;TEXT(WEEKNUM($J712,21),"00"))</f>
        <v/>
      </c>
      <c r="B712">
        <f>IF($J712="","",SUMIFS('Weekly Log'!$C:$C,'Weekly Log'!$A:$A,"&gt;="&amp;$J712,'Weekly Log'!$A:$A,"&lt;"&amp;$J712+7))</f>
        <v/>
      </c>
      <c r="C712">
        <f>IF($J712="","",IFERROR(COUNTIFS('Weekly Log'!$G:$G,"Y",'Weekly Log'!$A:$A,"&gt;="&amp;$J712,'Weekly Log'!$A:$A,"&lt;"&amp;$J712+7)/COUNTIFS('Weekly Log'!$G:$G,"&lt;&gt;",'Weekly Log'!$A:$A,"&gt;="&amp;$J712,'Weekly Log'!$A:$A,"&lt;"&amp;$J712+7),0))</f>
        <v/>
      </c>
      <c r="D712">
        <f>IF($J712="","",IFERROR(COUNTIFS('Weekly Log'!$H:$H,"Y",'Weekly Log'!$A:$A,"&gt;="&amp;$J712,'Weekly Log'!$A:$A,"&lt;"&amp;$J712+7)/COUNTIFS('Weekly Log'!$H:$H,"&lt;&gt;",'Weekly Log'!$A:$A,"&gt;="&amp;$J712,'Weekly Log'!$A:$A,"&lt;"&amp;$J712+7),0))</f>
        <v/>
      </c>
      <c r="E712">
        <f>IF($J712="","",IFERROR(AVERAGEIFS('Weekly Log'!$F:$F,'Weekly Log'!$A:$A,"&gt;="&amp;$J712,'Weekly Log'!$A:$A,"&lt;"&amp;$J712+7),0))</f>
        <v/>
      </c>
      <c r="F712">
        <f>IF($J712="","",IFERROR(SUMIFS('Weekly Log'!$F:$F,'Weekly Log'!$A:$A,"&gt;="&amp;$J712,'Weekly Log'!$A:$A,"&lt;"&amp;$J712+7)/SUMIFS('Weekly Log'!$E:$E,'Weekly Log'!$A:$A,"&gt;="&amp;$J712,'Weekly Log'!$A:$A,"&lt;"&amp;$J712+7),0))</f>
        <v/>
      </c>
      <c r="G712">
        <f>IF($J712="","",IFERROR(LOOKUP(2,1/(('Weekly Log'!$A$5:$A$5000&gt;=$J712)*('Weekly Log'!$A$5:$A$5000&lt;$J712+7)*('Weekly Log'!$M$5:$M$5000&lt;&gt;"")),'Weekly Log'!$M$5:$M$5000),0))</f>
        <v/>
      </c>
      <c r="J712">
        <f>IF(COUNT('Weekly Log'!$A$5:$A$5000)=0,"",IF(MIN('Weekly Log'!$A$5:$A$5000)+7*(ROW()-10)&gt;MAX('Weekly Log'!$A$5:$A$5000),"",MIN('Weekly Log'!$A$5:$A$5000)+7*(ROW()-10)))</f>
        <v/>
      </c>
    </row>
    <row r="713">
      <c r="A713">
        <f>IF($J713="","",YEAR($J713-WEEKDAY($J713,2)+4)&amp;"-W"&amp;TEXT(WEEKNUM($J713,21),"00"))</f>
        <v/>
      </c>
      <c r="B713">
        <f>IF($J713="","",SUMIFS('Weekly Log'!$C:$C,'Weekly Log'!$A:$A,"&gt;="&amp;$J713,'Weekly Log'!$A:$A,"&lt;"&amp;$J713+7))</f>
        <v/>
      </c>
      <c r="C713">
        <f>IF($J713="","",IFERROR(COUNTIFS('Weekly Log'!$G:$G,"Y",'Weekly Log'!$A:$A,"&gt;="&amp;$J713,'Weekly Log'!$A:$A,"&lt;"&amp;$J713+7)/COUNTIFS('Weekly Log'!$G:$G,"&lt;&gt;",'Weekly Log'!$A:$A,"&gt;="&amp;$J713,'Weekly Log'!$A:$A,"&lt;"&amp;$J713+7),0))</f>
        <v/>
      </c>
      <c r="D713">
        <f>IF($J713="","",IFERROR(COUNTIFS('Weekly Log'!$H:$H,"Y",'Weekly Log'!$A:$A,"&gt;="&amp;$J713,'Weekly Log'!$A:$A,"&lt;"&amp;$J713+7)/COUNTIFS('Weekly Log'!$H:$H,"&lt;&gt;",'Weekly Log'!$A:$A,"&gt;="&amp;$J713,'Weekly Log'!$A:$A,"&lt;"&amp;$J713+7),0))</f>
        <v/>
      </c>
      <c r="E713">
        <f>IF($J713="","",IFERROR(AVERAGEIFS('Weekly Log'!$F:$F,'Weekly Log'!$A:$A,"&gt;="&amp;$J713,'Weekly Log'!$A:$A,"&lt;"&amp;$J713+7),0))</f>
        <v/>
      </c>
      <c r="F713">
        <f>IF($J713="","",IFERROR(SUMIFS('Weekly Log'!$F:$F,'Weekly Log'!$A:$A,"&gt;="&amp;$J713,'Weekly Log'!$A:$A,"&lt;"&amp;$J713+7)/SUMIFS('Weekly Log'!$E:$E,'Weekly Log'!$A:$A,"&gt;="&amp;$J713,'Weekly Log'!$A:$A,"&lt;"&amp;$J713+7),0))</f>
        <v/>
      </c>
      <c r="G713">
        <f>IF($J713="","",IFERROR(LOOKUP(2,1/(('Weekly Log'!$A$5:$A$5000&gt;=$J713)*('Weekly Log'!$A$5:$A$5000&lt;$J713+7)*('Weekly Log'!$M$5:$M$5000&lt;&gt;"")),'Weekly Log'!$M$5:$M$5000),0))</f>
        <v/>
      </c>
      <c r="J713">
        <f>IF(COUNT('Weekly Log'!$A$5:$A$5000)=0,"",IF(MIN('Weekly Log'!$A$5:$A$5000)+7*(ROW()-10)&gt;MAX('Weekly Log'!$A$5:$A$5000),"",MIN('Weekly Log'!$A$5:$A$5000)+7*(ROW()-10)))</f>
        <v/>
      </c>
    </row>
    <row r="714">
      <c r="A714">
        <f>IF($J714="","",YEAR($J714-WEEKDAY($J714,2)+4)&amp;"-W"&amp;TEXT(WEEKNUM($J714,21),"00"))</f>
        <v/>
      </c>
      <c r="B714">
        <f>IF($J714="","",SUMIFS('Weekly Log'!$C:$C,'Weekly Log'!$A:$A,"&gt;="&amp;$J714,'Weekly Log'!$A:$A,"&lt;"&amp;$J714+7))</f>
        <v/>
      </c>
      <c r="C714">
        <f>IF($J714="","",IFERROR(COUNTIFS('Weekly Log'!$G:$G,"Y",'Weekly Log'!$A:$A,"&gt;="&amp;$J714,'Weekly Log'!$A:$A,"&lt;"&amp;$J714+7)/COUNTIFS('Weekly Log'!$G:$G,"&lt;&gt;",'Weekly Log'!$A:$A,"&gt;="&amp;$J714,'Weekly Log'!$A:$A,"&lt;"&amp;$J714+7),0))</f>
        <v/>
      </c>
      <c r="D714">
        <f>IF($J714="","",IFERROR(COUNTIFS('Weekly Log'!$H:$H,"Y",'Weekly Log'!$A:$A,"&gt;="&amp;$J714,'Weekly Log'!$A:$A,"&lt;"&amp;$J714+7)/COUNTIFS('Weekly Log'!$H:$H,"&lt;&gt;",'Weekly Log'!$A:$A,"&gt;="&amp;$J714,'Weekly Log'!$A:$A,"&lt;"&amp;$J714+7),0))</f>
        <v/>
      </c>
      <c r="E714">
        <f>IF($J714="","",IFERROR(AVERAGEIFS('Weekly Log'!$F:$F,'Weekly Log'!$A:$A,"&gt;="&amp;$J714,'Weekly Log'!$A:$A,"&lt;"&amp;$J714+7),0))</f>
        <v/>
      </c>
      <c r="F714">
        <f>IF($J714="","",IFERROR(SUMIFS('Weekly Log'!$F:$F,'Weekly Log'!$A:$A,"&gt;="&amp;$J714,'Weekly Log'!$A:$A,"&lt;"&amp;$J714+7)/SUMIFS('Weekly Log'!$E:$E,'Weekly Log'!$A:$A,"&gt;="&amp;$J714,'Weekly Log'!$A:$A,"&lt;"&amp;$J714+7),0))</f>
        <v/>
      </c>
      <c r="G714">
        <f>IF($J714="","",IFERROR(LOOKUP(2,1/(('Weekly Log'!$A$5:$A$5000&gt;=$J714)*('Weekly Log'!$A$5:$A$5000&lt;$J714+7)*('Weekly Log'!$M$5:$M$5000&lt;&gt;"")),'Weekly Log'!$M$5:$M$5000),0))</f>
        <v/>
      </c>
      <c r="J714">
        <f>IF(COUNT('Weekly Log'!$A$5:$A$5000)=0,"",IF(MIN('Weekly Log'!$A$5:$A$5000)+7*(ROW()-10)&gt;MAX('Weekly Log'!$A$5:$A$5000),"",MIN('Weekly Log'!$A$5:$A$5000)+7*(ROW()-10)))</f>
        <v/>
      </c>
    </row>
    <row r="715">
      <c r="A715">
        <f>IF($J715="","",YEAR($J715-WEEKDAY($J715,2)+4)&amp;"-W"&amp;TEXT(WEEKNUM($J715,21),"00"))</f>
        <v/>
      </c>
      <c r="B715">
        <f>IF($J715="","",SUMIFS('Weekly Log'!$C:$C,'Weekly Log'!$A:$A,"&gt;="&amp;$J715,'Weekly Log'!$A:$A,"&lt;"&amp;$J715+7))</f>
        <v/>
      </c>
      <c r="C715">
        <f>IF($J715="","",IFERROR(COUNTIFS('Weekly Log'!$G:$G,"Y",'Weekly Log'!$A:$A,"&gt;="&amp;$J715,'Weekly Log'!$A:$A,"&lt;"&amp;$J715+7)/COUNTIFS('Weekly Log'!$G:$G,"&lt;&gt;",'Weekly Log'!$A:$A,"&gt;="&amp;$J715,'Weekly Log'!$A:$A,"&lt;"&amp;$J715+7),0))</f>
        <v/>
      </c>
      <c r="D715">
        <f>IF($J715="","",IFERROR(COUNTIFS('Weekly Log'!$H:$H,"Y",'Weekly Log'!$A:$A,"&gt;="&amp;$J715,'Weekly Log'!$A:$A,"&lt;"&amp;$J715+7)/COUNTIFS('Weekly Log'!$H:$H,"&lt;&gt;",'Weekly Log'!$A:$A,"&gt;="&amp;$J715,'Weekly Log'!$A:$A,"&lt;"&amp;$J715+7),0))</f>
        <v/>
      </c>
      <c r="E715">
        <f>IF($J715="","",IFERROR(AVERAGEIFS('Weekly Log'!$F:$F,'Weekly Log'!$A:$A,"&gt;="&amp;$J715,'Weekly Log'!$A:$A,"&lt;"&amp;$J715+7),0))</f>
        <v/>
      </c>
      <c r="F715">
        <f>IF($J715="","",IFERROR(SUMIFS('Weekly Log'!$F:$F,'Weekly Log'!$A:$A,"&gt;="&amp;$J715,'Weekly Log'!$A:$A,"&lt;"&amp;$J715+7)/SUMIFS('Weekly Log'!$E:$E,'Weekly Log'!$A:$A,"&gt;="&amp;$J715,'Weekly Log'!$A:$A,"&lt;"&amp;$J715+7),0))</f>
        <v/>
      </c>
      <c r="G715">
        <f>IF($J715="","",IFERROR(LOOKUP(2,1/(('Weekly Log'!$A$5:$A$5000&gt;=$J715)*('Weekly Log'!$A$5:$A$5000&lt;$J715+7)*('Weekly Log'!$M$5:$M$5000&lt;&gt;"")),'Weekly Log'!$M$5:$M$5000),0))</f>
        <v/>
      </c>
      <c r="J715">
        <f>IF(COUNT('Weekly Log'!$A$5:$A$5000)=0,"",IF(MIN('Weekly Log'!$A$5:$A$5000)+7*(ROW()-10)&gt;MAX('Weekly Log'!$A$5:$A$5000),"",MIN('Weekly Log'!$A$5:$A$5000)+7*(ROW()-10)))</f>
        <v/>
      </c>
    </row>
    <row r="716">
      <c r="A716">
        <f>IF($J716="","",YEAR($J716-WEEKDAY($J716,2)+4)&amp;"-W"&amp;TEXT(WEEKNUM($J716,21),"00"))</f>
        <v/>
      </c>
      <c r="B716">
        <f>IF($J716="","",SUMIFS('Weekly Log'!$C:$C,'Weekly Log'!$A:$A,"&gt;="&amp;$J716,'Weekly Log'!$A:$A,"&lt;"&amp;$J716+7))</f>
        <v/>
      </c>
      <c r="C716">
        <f>IF($J716="","",IFERROR(COUNTIFS('Weekly Log'!$G:$G,"Y",'Weekly Log'!$A:$A,"&gt;="&amp;$J716,'Weekly Log'!$A:$A,"&lt;"&amp;$J716+7)/COUNTIFS('Weekly Log'!$G:$G,"&lt;&gt;",'Weekly Log'!$A:$A,"&gt;="&amp;$J716,'Weekly Log'!$A:$A,"&lt;"&amp;$J716+7),0))</f>
        <v/>
      </c>
      <c r="D716">
        <f>IF($J716="","",IFERROR(COUNTIFS('Weekly Log'!$H:$H,"Y",'Weekly Log'!$A:$A,"&gt;="&amp;$J716,'Weekly Log'!$A:$A,"&lt;"&amp;$J716+7)/COUNTIFS('Weekly Log'!$H:$H,"&lt;&gt;",'Weekly Log'!$A:$A,"&gt;="&amp;$J716,'Weekly Log'!$A:$A,"&lt;"&amp;$J716+7),0))</f>
        <v/>
      </c>
      <c r="E716">
        <f>IF($J716="","",IFERROR(AVERAGEIFS('Weekly Log'!$F:$F,'Weekly Log'!$A:$A,"&gt;="&amp;$J716,'Weekly Log'!$A:$A,"&lt;"&amp;$J716+7),0))</f>
        <v/>
      </c>
      <c r="F716">
        <f>IF($J716="","",IFERROR(SUMIFS('Weekly Log'!$F:$F,'Weekly Log'!$A:$A,"&gt;="&amp;$J716,'Weekly Log'!$A:$A,"&lt;"&amp;$J716+7)/SUMIFS('Weekly Log'!$E:$E,'Weekly Log'!$A:$A,"&gt;="&amp;$J716,'Weekly Log'!$A:$A,"&lt;"&amp;$J716+7),0))</f>
        <v/>
      </c>
      <c r="G716">
        <f>IF($J716="","",IFERROR(LOOKUP(2,1/(('Weekly Log'!$A$5:$A$5000&gt;=$J716)*('Weekly Log'!$A$5:$A$5000&lt;$J716+7)*('Weekly Log'!$M$5:$M$5000&lt;&gt;"")),'Weekly Log'!$M$5:$M$5000),0))</f>
        <v/>
      </c>
      <c r="J716">
        <f>IF(COUNT('Weekly Log'!$A$5:$A$5000)=0,"",IF(MIN('Weekly Log'!$A$5:$A$5000)+7*(ROW()-10)&gt;MAX('Weekly Log'!$A$5:$A$5000),"",MIN('Weekly Log'!$A$5:$A$5000)+7*(ROW()-10)))</f>
        <v/>
      </c>
    </row>
    <row r="717">
      <c r="A717">
        <f>IF($J717="","",YEAR($J717-WEEKDAY($J717,2)+4)&amp;"-W"&amp;TEXT(WEEKNUM($J717,21),"00"))</f>
        <v/>
      </c>
      <c r="B717">
        <f>IF($J717="","",SUMIFS('Weekly Log'!$C:$C,'Weekly Log'!$A:$A,"&gt;="&amp;$J717,'Weekly Log'!$A:$A,"&lt;"&amp;$J717+7))</f>
        <v/>
      </c>
      <c r="C717">
        <f>IF($J717="","",IFERROR(COUNTIFS('Weekly Log'!$G:$G,"Y",'Weekly Log'!$A:$A,"&gt;="&amp;$J717,'Weekly Log'!$A:$A,"&lt;"&amp;$J717+7)/COUNTIFS('Weekly Log'!$G:$G,"&lt;&gt;",'Weekly Log'!$A:$A,"&gt;="&amp;$J717,'Weekly Log'!$A:$A,"&lt;"&amp;$J717+7),0))</f>
        <v/>
      </c>
      <c r="D717">
        <f>IF($J717="","",IFERROR(COUNTIFS('Weekly Log'!$H:$H,"Y",'Weekly Log'!$A:$A,"&gt;="&amp;$J717,'Weekly Log'!$A:$A,"&lt;"&amp;$J717+7)/COUNTIFS('Weekly Log'!$H:$H,"&lt;&gt;",'Weekly Log'!$A:$A,"&gt;="&amp;$J717,'Weekly Log'!$A:$A,"&lt;"&amp;$J717+7),0))</f>
        <v/>
      </c>
      <c r="E717">
        <f>IF($J717="","",IFERROR(AVERAGEIFS('Weekly Log'!$F:$F,'Weekly Log'!$A:$A,"&gt;="&amp;$J717,'Weekly Log'!$A:$A,"&lt;"&amp;$J717+7),0))</f>
        <v/>
      </c>
      <c r="F717">
        <f>IF($J717="","",IFERROR(SUMIFS('Weekly Log'!$F:$F,'Weekly Log'!$A:$A,"&gt;="&amp;$J717,'Weekly Log'!$A:$A,"&lt;"&amp;$J717+7)/SUMIFS('Weekly Log'!$E:$E,'Weekly Log'!$A:$A,"&gt;="&amp;$J717,'Weekly Log'!$A:$A,"&lt;"&amp;$J717+7),0))</f>
        <v/>
      </c>
      <c r="G717">
        <f>IF($J717="","",IFERROR(LOOKUP(2,1/(('Weekly Log'!$A$5:$A$5000&gt;=$J717)*('Weekly Log'!$A$5:$A$5000&lt;$J717+7)*('Weekly Log'!$M$5:$M$5000&lt;&gt;"")),'Weekly Log'!$M$5:$M$5000),0))</f>
        <v/>
      </c>
      <c r="J717">
        <f>IF(COUNT('Weekly Log'!$A$5:$A$5000)=0,"",IF(MIN('Weekly Log'!$A$5:$A$5000)+7*(ROW()-10)&gt;MAX('Weekly Log'!$A$5:$A$5000),"",MIN('Weekly Log'!$A$5:$A$5000)+7*(ROW()-10)))</f>
        <v/>
      </c>
    </row>
    <row r="718">
      <c r="A718">
        <f>IF($J718="","",YEAR($J718-WEEKDAY($J718,2)+4)&amp;"-W"&amp;TEXT(WEEKNUM($J718,21),"00"))</f>
        <v/>
      </c>
      <c r="B718">
        <f>IF($J718="","",SUMIFS('Weekly Log'!$C:$C,'Weekly Log'!$A:$A,"&gt;="&amp;$J718,'Weekly Log'!$A:$A,"&lt;"&amp;$J718+7))</f>
        <v/>
      </c>
      <c r="C718">
        <f>IF($J718="","",IFERROR(COUNTIFS('Weekly Log'!$G:$G,"Y",'Weekly Log'!$A:$A,"&gt;="&amp;$J718,'Weekly Log'!$A:$A,"&lt;"&amp;$J718+7)/COUNTIFS('Weekly Log'!$G:$G,"&lt;&gt;",'Weekly Log'!$A:$A,"&gt;="&amp;$J718,'Weekly Log'!$A:$A,"&lt;"&amp;$J718+7),0))</f>
        <v/>
      </c>
      <c r="D718">
        <f>IF($J718="","",IFERROR(COUNTIFS('Weekly Log'!$H:$H,"Y",'Weekly Log'!$A:$A,"&gt;="&amp;$J718,'Weekly Log'!$A:$A,"&lt;"&amp;$J718+7)/COUNTIFS('Weekly Log'!$H:$H,"&lt;&gt;",'Weekly Log'!$A:$A,"&gt;="&amp;$J718,'Weekly Log'!$A:$A,"&lt;"&amp;$J718+7),0))</f>
        <v/>
      </c>
      <c r="E718">
        <f>IF($J718="","",IFERROR(AVERAGEIFS('Weekly Log'!$F:$F,'Weekly Log'!$A:$A,"&gt;="&amp;$J718,'Weekly Log'!$A:$A,"&lt;"&amp;$J718+7),0))</f>
        <v/>
      </c>
      <c r="F718">
        <f>IF($J718="","",IFERROR(SUMIFS('Weekly Log'!$F:$F,'Weekly Log'!$A:$A,"&gt;="&amp;$J718,'Weekly Log'!$A:$A,"&lt;"&amp;$J718+7)/SUMIFS('Weekly Log'!$E:$E,'Weekly Log'!$A:$A,"&gt;="&amp;$J718,'Weekly Log'!$A:$A,"&lt;"&amp;$J718+7),0))</f>
        <v/>
      </c>
      <c r="G718">
        <f>IF($J718="","",IFERROR(LOOKUP(2,1/(('Weekly Log'!$A$5:$A$5000&gt;=$J718)*('Weekly Log'!$A$5:$A$5000&lt;$J718+7)*('Weekly Log'!$M$5:$M$5000&lt;&gt;"")),'Weekly Log'!$M$5:$M$5000),0))</f>
        <v/>
      </c>
      <c r="J718">
        <f>IF(COUNT('Weekly Log'!$A$5:$A$5000)=0,"",IF(MIN('Weekly Log'!$A$5:$A$5000)+7*(ROW()-10)&gt;MAX('Weekly Log'!$A$5:$A$5000),"",MIN('Weekly Log'!$A$5:$A$5000)+7*(ROW()-10)))</f>
        <v/>
      </c>
    </row>
    <row r="719">
      <c r="A719">
        <f>IF($J719="","",YEAR($J719-WEEKDAY($J719,2)+4)&amp;"-W"&amp;TEXT(WEEKNUM($J719,21),"00"))</f>
        <v/>
      </c>
      <c r="B719">
        <f>IF($J719="","",SUMIFS('Weekly Log'!$C:$C,'Weekly Log'!$A:$A,"&gt;="&amp;$J719,'Weekly Log'!$A:$A,"&lt;"&amp;$J719+7))</f>
        <v/>
      </c>
      <c r="C719">
        <f>IF($J719="","",IFERROR(COUNTIFS('Weekly Log'!$G:$G,"Y",'Weekly Log'!$A:$A,"&gt;="&amp;$J719,'Weekly Log'!$A:$A,"&lt;"&amp;$J719+7)/COUNTIFS('Weekly Log'!$G:$G,"&lt;&gt;",'Weekly Log'!$A:$A,"&gt;="&amp;$J719,'Weekly Log'!$A:$A,"&lt;"&amp;$J719+7),0))</f>
        <v/>
      </c>
      <c r="D719">
        <f>IF($J719="","",IFERROR(COUNTIFS('Weekly Log'!$H:$H,"Y",'Weekly Log'!$A:$A,"&gt;="&amp;$J719,'Weekly Log'!$A:$A,"&lt;"&amp;$J719+7)/COUNTIFS('Weekly Log'!$H:$H,"&lt;&gt;",'Weekly Log'!$A:$A,"&gt;="&amp;$J719,'Weekly Log'!$A:$A,"&lt;"&amp;$J719+7),0))</f>
        <v/>
      </c>
      <c r="E719">
        <f>IF($J719="","",IFERROR(AVERAGEIFS('Weekly Log'!$F:$F,'Weekly Log'!$A:$A,"&gt;="&amp;$J719,'Weekly Log'!$A:$A,"&lt;"&amp;$J719+7),0))</f>
        <v/>
      </c>
      <c r="F719">
        <f>IF($J719="","",IFERROR(SUMIFS('Weekly Log'!$F:$F,'Weekly Log'!$A:$A,"&gt;="&amp;$J719,'Weekly Log'!$A:$A,"&lt;"&amp;$J719+7)/SUMIFS('Weekly Log'!$E:$E,'Weekly Log'!$A:$A,"&gt;="&amp;$J719,'Weekly Log'!$A:$A,"&lt;"&amp;$J719+7),0))</f>
        <v/>
      </c>
      <c r="G719">
        <f>IF($J719="","",IFERROR(LOOKUP(2,1/(('Weekly Log'!$A$5:$A$5000&gt;=$J719)*('Weekly Log'!$A$5:$A$5000&lt;$J719+7)*('Weekly Log'!$M$5:$M$5000&lt;&gt;"")),'Weekly Log'!$M$5:$M$5000),0))</f>
        <v/>
      </c>
      <c r="J719">
        <f>IF(COUNT('Weekly Log'!$A$5:$A$5000)=0,"",IF(MIN('Weekly Log'!$A$5:$A$5000)+7*(ROW()-10)&gt;MAX('Weekly Log'!$A$5:$A$5000),"",MIN('Weekly Log'!$A$5:$A$5000)+7*(ROW()-10)))</f>
        <v/>
      </c>
    </row>
    <row r="720">
      <c r="A720">
        <f>IF($J720="","",YEAR($J720-WEEKDAY($J720,2)+4)&amp;"-W"&amp;TEXT(WEEKNUM($J720,21),"00"))</f>
        <v/>
      </c>
      <c r="B720">
        <f>IF($J720="","",SUMIFS('Weekly Log'!$C:$C,'Weekly Log'!$A:$A,"&gt;="&amp;$J720,'Weekly Log'!$A:$A,"&lt;"&amp;$J720+7))</f>
        <v/>
      </c>
      <c r="C720">
        <f>IF($J720="","",IFERROR(COUNTIFS('Weekly Log'!$G:$G,"Y",'Weekly Log'!$A:$A,"&gt;="&amp;$J720,'Weekly Log'!$A:$A,"&lt;"&amp;$J720+7)/COUNTIFS('Weekly Log'!$G:$G,"&lt;&gt;",'Weekly Log'!$A:$A,"&gt;="&amp;$J720,'Weekly Log'!$A:$A,"&lt;"&amp;$J720+7),0))</f>
        <v/>
      </c>
      <c r="D720">
        <f>IF($J720="","",IFERROR(COUNTIFS('Weekly Log'!$H:$H,"Y",'Weekly Log'!$A:$A,"&gt;="&amp;$J720,'Weekly Log'!$A:$A,"&lt;"&amp;$J720+7)/COUNTIFS('Weekly Log'!$H:$H,"&lt;&gt;",'Weekly Log'!$A:$A,"&gt;="&amp;$J720,'Weekly Log'!$A:$A,"&lt;"&amp;$J720+7),0))</f>
        <v/>
      </c>
      <c r="E720">
        <f>IF($J720="","",IFERROR(AVERAGEIFS('Weekly Log'!$F:$F,'Weekly Log'!$A:$A,"&gt;="&amp;$J720,'Weekly Log'!$A:$A,"&lt;"&amp;$J720+7),0))</f>
        <v/>
      </c>
      <c r="F720">
        <f>IF($J720="","",IFERROR(SUMIFS('Weekly Log'!$F:$F,'Weekly Log'!$A:$A,"&gt;="&amp;$J720,'Weekly Log'!$A:$A,"&lt;"&amp;$J720+7)/SUMIFS('Weekly Log'!$E:$E,'Weekly Log'!$A:$A,"&gt;="&amp;$J720,'Weekly Log'!$A:$A,"&lt;"&amp;$J720+7),0))</f>
        <v/>
      </c>
      <c r="G720">
        <f>IF($J720="","",IFERROR(LOOKUP(2,1/(('Weekly Log'!$A$5:$A$5000&gt;=$J720)*('Weekly Log'!$A$5:$A$5000&lt;$J720+7)*('Weekly Log'!$M$5:$M$5000&lt;&gt;"")),'Weekly Log'!$M$5:$M$5000),0))</f>
        <v/>
      </c>
      <c r="J720">
        <f>IF(COUNT('Weekly Log'!$A$5:$A$5000)=0,"",IF(MIN('Weekly Log'!$A$5:$A$5000)+7*(ROW()-10)&gt;MAX('Weekly Log'!$A$5:$A$5000),"",MIN('Weekly Log'!$A$5:$A$5000)+7*(ROW()-10)))</f>
        <v/>
      </c>
    </row>
    <row r="721">
      <c r="A721">
        <f>IF($J721="","",YEAR($J721-WEEKDAY($J721,2)+4)&amp;"-W"&amp;TEXT(WEEKNUM($J721,21),"00"))</f>
        <v/>
      </c>
      <c r="B721">
        <f>IF($J721="","",SUMIFS('Weekly Log'!$C:$C,'Weekly Log'!$A:$A,"&gt;="&amp;$J721,'Weekly Log'!$A:$A,"&lt;"&amp;$J721+7))</f>
        <v/>
      </c>
      <c r="C721">
        <f>IF($J721="","",IFERROR(COUNTIFS('Weekly Log'!$G:$G,"Y",'Weekly Log'!$A:$A,"&gt;="&amp;$J721,'Weekly Log'!$A:$A,"&lt;"&amp;$J721+7)/COUNTIFS('Weekly Log'!$G:$G,"&lt;&gt;",'Weekly Log'!$A:$A,"&gt;="&amp;$J721,'Weekly Log'!$A:$A,"&lt;"&amp;$J721+7),0))</f>
        <v/>
      </c>
      <c r="D721">
        <f>IF($J721="","",IFERROR(COUNTIFS('Weekly Log'!$H:$H,"Y",'Weekly Log'!$A:$A,"&gt;="&amp;$J721,'Weekly Log'!$A:$A,"&lt;"&amp;$J721+7)/COUNTIFS('Weekly Log'!$H:$H,"&lt;&gt;",'Weekly Log'!$A:$A,"&gt;="&amp;$J721,'Weekly Log'!$A:$A,"&lt;"&amp;$J721+7),0))</f>
        <v/>
      </c>
      <c r="E721">
        <f>IF($J721="","",IFERROR(AVERAGEIFS('Weekly Log'!$F:$F,'Weekly Log'!$A:$A,"&gt;="&amp;$J721,'Weekly Log'!$A:$A,"&lt;"&amp;$J721+7),0))</f>
        <v/>
      </c>
      <c r="F721">
        <f>IF($J721="","",IFERROR(SUMIFS('Weekly Log'!$F:$F,'Weekly Log'!$A:$A,"&gt;="&amp;$J721,'Weekly Log'!$A:$A,"&lt;"&amp;$J721+7)/SUMIFS('Weekly Log'!$E:$E,'Weekly Log'!$A:$A,"&gt;="&amp;$J721,'Weekly Log'!$A:$A,"&lt;"&amp;$J721+7),0))</f>
        <v/>
      </c>
      <c r="G721">
        <f>IF($J721="","",IFERROR(LOOKUP(2,1/(('Weekly Log'!$A$5:$A$5000&gt;=$J721)*('Weekly Log'!$A$5:$A$5000&lt;$J721+7)*('Weekly Log'!$M$5:$M$5000&lt;&gt;"")),'Weekly Log'!$M$5:$M$5000),0))</f>
        <v/>
      </c>
      <c r="J721">
        <f>IF(COUNT('Weekly Log'!$A$5:$A$5000)=0,"",IF(MIN('Weekly Log'!$A$5:$A$5000)+7*(ROW()-10)&gt;MAX('Weekly Log'!$A$5:$A$5000),"",MIN('Weekly Log'!$A$5:$A$5000)+7*(ROW()-10)))</f>
        <v/>
      </c>
    </row>
    <row r="722">
      <c r="A722">
        <f>IF($J722="","",YEAR($J722-WEEKDAY($J722,2)+4)&amp;"-W"&amp;TEXT(WEEKNUM($J722,21),"00"))</f>
        <v/>
      </c>
      <c r="B722">
        <f>IF($J722="","",SUMIFS('Weekly Log'!$C:$C,'Weekly Log'!$A:$A,"&gt;="&amp;$J722,'Weekly Log'!$A:$A,"&lt;"&amp;$J722+7))</f>
        <v/>
      </c>
      <c r="C722">
        <f>IF($J722="","",IFERROR(COUNTIFS('Weekly Log'!$G:$G,"Y",'Weekly Log'!$A:$A,"&gt;="&amp;$J722,'Weekly Log'!$A:$A,"&lt;"&amp;$J722+7)/COUNTIFS('Weekly Log'!$G:$G,"&lt;&gt;",'Weekly Log'!$A:$A,"&gt;="&amp;$J722,'Weekly Log'!$A:$A,"&lt;"&amp;$J722+7),0))</f>
        <v/>
      </c>
      <c r="D722">
        <f>IF($J722="","",IFERROR(COUNTIFS('Weekly Log'!$H:$H,"Y",'Weekly Log'!$A:$A,"&gt;="&amp;$J722,'Weekly Log'!$A:$A,"&lt;"&amp;$J722+7)/COUNTIFS('Weekly Log'!$H:$H,"&lt;&gt;",'Weekly Log'!$A:$A,"&gt;="&amp;$J722,'Weekly Log'!$A:$A,"&lt;"&amp;$J722+7),0))</f>
        <v/>
      </c>
      <c r="E722">
        <f>IF($J722="","",IFERROR(AVERAGEIFS('Weekly Log'!$F:$F,'Weekly Log'!$A:$A,"&gt;="&amp;$J722,'Weekly Log'!$A:$A,"&lt;"&amp;$J722+7),0))</f>
        <v/>
      </c>
      <c r="F722">
        <f>IF($J722="","",IFERROR(SUMIFS('Weekly Log'!$F:$F,'Weekly Log'!$A:$A,"&gt;="&amp;$J722,'Weekly Log'!$A:$A,"&lt;"&amp;$J722+7)/SUMIFS('Weekly Log'!$E:$E,'Weekly Log'!$A:$A,"&gt;="&amp;$J722,'Weekly Log'!$A:$A,"&lt;"&amp;$J722+7),0))</f>
        <v/>
      </c>
      <c r="G722">
        <f>IF($J722="","",IFERROR(LOOKUP(2,1/(('Weekly Log'!$A$5:$A$5000&gt;=$J722)*('Weekly Log'!$A$5:$A$5000&lt;$J722+7)*('Weekly Log'!$M$5:$M$5000&lt;&gt;"")),'Weekly Log'!$M$5:$M$5000),0))</f>
        <v/>
      </c>
      <c r="J722">
        <f>IF(COUNT('Weekly Log'!$A$5:$A$5000)=0,"",IF(MIN('Weekly Log'!$A$5:$A$5000)+7*(ROW()-10)&gt;MAX('Weekly Log'!$A$5:$A$5000),"",MIN('Weekly Log'!$A$5:$A$5000)+7*(ROW()-10)))</f>
        <v/>
      </c>
    </row>
    <row r="723">
      <c r="A723">
        <f>IF($J723="","",YEAR($J723-WEEKDAY($J723,2)+4)&amp;"-W"&amp;TEXT(WEEKNUM($J723,21),"00"))</f>
        <v/>
      </c>
      <c r="B723">
        <f>IF($J723="","",SUMIFS('Weekly Log'!$C:$C,'Weekly Log'!$A:$A,"&gt;="&amp;$J723,'Weekly Log'!$A:$A,"&lt;"&amp;$J723+7))</f>
        <v/>
      </c>
      <c r="C723">
        <f>IF($J723="","",IFERROR(COUNTIFS('Weekly Log'!$G:$G,"Y",'Weekly Log'!$A:$A,"&gt;="&amp;$J723,'Weekly Log'!$A:$A,"&lt;"&amp;$J723+7)/COUNTIFS('Weekly Log'!$G:$G,"&lt;&gt;",'Weekly Log'!$A:$A,"&gt;="&amp;$J723,'Weekly Log'!$A:$A,"&lt;"&amp;$J723+7),0))</f>
        <v/>
      </c>
      <c r="D723">
        <f>IF($J723="","",IFERROR(COUNTIFS('Weekly Log'!$H:$H,"Y",'Weekly Log'!$A:$A,"&gt;="&amp;$J723,'Weekly Log'!$A:$A,"&lt;"&amp;$J723+7)/COUNTIFS('Weekly Log'!$H:$H,"&lt;&gt;",'Weekly Log'!$A:$A,"&gt;="&amp;$J723,'Weekly Log'!$A:$A,"&lt;"&amp;$J723+7),0))</f>
        <v/>
      </c>
      <c r="E723">
        <f>IF($J723="","",IFERROR(AVERAGEIFS('Weekly Log'!$F:$F,'Weekly Log'!$A:$A,"&gt;="&amp;$J723,'Weekly Log'!$A:$A,"&lt;"&amp;$J723+7),0))</f>
        <v/>
      </c>
      <c r="F723">
        <f>IF($J723="","",IFERROR(SUMIFS('Weekly Log'!$F:$F,'Weekly Log'!$A:$A,"&gt;="&amp;$J723,'Weekly Log'!$A:$A,"&lt;"&amp;$J723+7)/SUMIFS('Weekly Log'!$E:$E,'Weekly Log'!$A:$A,"&gt;="&amp;$J723,'Weekly Log'!$A:$A,"&lt;"&amp;$J723+7),0))</f>
        <v/>
      </c>
      <c r="G723">
        <f>IF($J723="","",IFERROR(LOOKUP(2,1/(('Weekly Log'!$A$5:$A$5000&gt;=$J723)*('Weekly Log'!$A$5:$A$5000&lt;$J723+7)*('Weekly Log'!$M$5:$M$5000&lt;&gt;"")),'Weekly Log'!$M$5:$M$5000),0))</f>
        <v/>
      </c>
      <c r="J723">
        <f>IF(COUNT('Weekly Log'!$A$5:$A$5000)=0,"",IF(MIN('Weekly Log'!$A$5:$A$5000)+7*(ROW()-10)&gt;MAX('Weekly Log'!$A$5:$A$5000),"",MIN('Weekly Log'!$A$5:$A$5000)+7*(ROW()-10)))</f>
        <v/>
      </c>
    </row>
    <row r="724">
      <c r="A724">
        <f>IF($J724="","",YEAR($J724-WEEKDAY($J724,2)+4)&amp;"-W"&amp;TEXT(WEEKNUM($J724,21),"00"))</f>
        <v/>
      </c>
      <c r="B724">
        <f>IF($J724="","",SUMIFS('Weekly Log'!$C:$C,'Weekly Log'!$A:$A,"&gt;="&amp;$J724,'Weekly Log'!$A:$A,"&lt;"&amp;$J724+7))</f>
        <v/>
      </c>
      <c r="C724">
        <f>IF($J724="","",IFERROR(COUNTIFS('Weekly Log'!$G:$G,"Y",'Weekly Log'!$A:$A,"&gt;="&amp;$J724,'Weekly Log'!$A:$A,"&lt;"&amp;$J724+7)/COUNTIFS('Weekly Log'!$G:$G,"&lt;&gt;",'Weekly Log'!$A:$A,"&gt;="&amp;$J724,'Weekly Log'!$A:$A,"&lt;"&amp;$J724+7),0))</f>
        <v/>
      </c>
      <c r="D724">
        <f>IF($J724="","",IFERROR(COUNTIFS('Weekly Log'!$H:$H,"Y",'Weekly Log'!$A:$A,"&gt;="&amp;$J724,'Weekly Log'!$A:$A,"&lt;"&amp;$J724+7)/COUNTIFS('Weekly Log'!$H:$H,"&lt;&gt;",'Weekly Log'!$A:$A,"&gt;="&amp;$J724,'Weekly Log'!$A:$A,"&lt;"&amp;$J724+7),0))</f>
        <v/>
      </c>
      <c r="E724">
        <f>IF($J724="","",IFERROR(AVERAGEIFS('Weekly Log'!$F:$F,'Weekly Log'!$A:$A,"&gt;="&amp;$J724,'Weekly Log'!$A:$A,"&lt;"&amp;$J724+7),0))</f>
        <v/>
      </c>
      <c r="F724">
        <f>IF($J724="","",IFERROR(SUMIFS('Weekly Log'!$F:$F,'Weekly Log'!$A:$A,"&gt;="&amp;$J724,'Weekly Log'!$A:$A,"&lt;"&amp;$J724+7)/SUMIFS('Weekly Log'!$E:$E,'Weekly Log'!$A:$A,"&gt;="&amp;$J724,'Weekly Log'!$A:$A,"&lt;"&amp;$J724+7),0))</f>
        <v/>
      </c>
      <c r="G724">
        <f>IF($J724="","",IFERROR(LOOKUP(2,1/(('Weekly Log'!$A$5:$A$5000&gt;=$J724)*('Weekly Log'!$A$5:$A$5000&lt;$J724+7)*('Weekly Log'!$M$5:$M$5000&lt;&gt;"")),'Weekly Log'!$M$5:$M$5000),0))</f>
        <v/>
      </c>
      <c r="J724">
        <f>IF(COUNT('Weekly Log'!$A$5:$A$5000)=0,"",IF(MIN('Weekly Log'!$A$5:$A$5000)+7*(ROW()-10)&gt;MAX('Weekly Log'!$A$5:$A$5000),"",MIN('Weekly Log'!$A$5:$A$5000)+7*(ROW()-10)))</f>
        <v/>
      </c>
    </row>
    <row r="725">
      <c r="A725">
        <f>IF($J725="","",YEAR($J725-WEEKDAY($J725,2)+4)&amp;"-W"&amp;TEXT(WEEKNUM($J725,21),"00"))</f>
        <v/>
      </c>
      <c r="B725">
        <f>IF($J725="","",SUMIFS('Weekly Log'!$C:$C,'Weekly Log'!$A:$A,"&gt;="&amp;$J725,'Weekly Log'!$A:$A,"&lt;"&amp;$J725+7))</f>
        <v/>
      </c>
      <c r="C725">
        <f>IF($J725="","",IFERROR(COUNTIFS('Weekly Log'!$G:$G,"Y",'Weekly Log'!$A:$A,"&gt;="&amp;$J725,'Weekly Log'!$A:$A,"&lt;"&amp;$J725+7)/COUNTIFS('Weekly Log'!$G:$G,"&lt;&gt;",'Weekly Log'!$A:$A,"&gt;="&amp;$J725,'Weekly Log'!$A:$A,"&lt;"&amp;$J725+7),0))</f>
        <v/>
      </c>
      <c r="D725">
        <f>IF($J725="","",IFERROR(COUNTIFS('Weekly Log'!$H:$H,"Y",'Weekly Log'!$A:$A,"&gt;="&amp;$J725,'Weekly Log'!$A:$A,"&lt;"&amp;$J725+7)/COUNTIFS('Weekly Log'!$H:$H,"&lt;&gt;",'Weekly Log'!$A:$A,"&gt;="&amp;$J725,'Weekly Log'!$A:$A,"&lt;"&amp;$J725+7),0))</f>
        <v/>
      </c>
      <c r="E725">
        <f>IF($J725="","",IFERROR(AVERAGEIFS('Weekly Log'!$F:$F,'Weekly Log'!$A:$A,"&gt;="&amp;$J725,'Weekly Log'!$A:$A,"&lt;"&amp;$J725+7),0))</f>
        <v/>
      </c>
      <c r="F725">
        <f>IF($J725="","",IFERROR(SUMIFS('Weekly Log'!$F:$F,'Weekly Log'!$A:$A,"&gt;="&amp;$J725,'Weekly Log'!$A:$A,"&lt;"&amp;$J725+7)/SUMIFS('Weekly Log'!$E:$E,'Weekly Log'!$A:$A,"&gt;="&amp;$J725,'Weekly Log'!$A:$A,"&lt;"&amp;$J725+7),0))</f>
        <v/>
      </c>
      <c r="G725">
        <f>IF($J725="","",IFERROR(LOOKUP(2,1/(('Weekly Log'!$A$5:$A$5000&gt;=$J725)*('Weekly Log'!$A$5:$A$5000&lt;$J725+7)*('Weekly Log'!$M$5:$M$5000&lt;&gt;"")),'Weekly Log'!$M$5:$M$5000),0))</f>
        <v/>
      </c>
      <c r="J725">
        <f>IF(COUNT('Weekly Log'!$A$5:$A$5000)=0,"",IF(MIN('Weekly Log'!$A$5:$A$5000)+7*(ROW()-10)&gt;MAX('Weekly Log'!$A$5:$A$5000),"",MIN('Weekly Log'!$A$5:$A$5000)+7*(ROW()-10)))</f>
        <v/>
      </c>
    </row>
    <row r="726">
      <c r="A726">
        <f>IF($J726="","",YEAR($J726-WEEKDAY($J726,2)+4)&amp;"-W"&amp;TEXT(WEEKNUM($J726,21),"00"))</f>
        <v/>
      </c>
      <c r="B726">
        <f>IF($J726="","",SUMIFS('Weekly Log'!$C:$C,'Weekly Log'!$A:$A,"&gt;="&amp;$J726,'Weekly Log'!$A:$A,"&lt;"&amp;$J726+7))</f>
        <v/>
      </c>
      <c r="C726">
        <f>IF($J726="","",IFERROR(COUNTIFS('Weekly Log'!$G:$G,"Y",'Weekly Log'!$A:$A,"&gt;="&amp;$J726,'Weekly Log'!$A:$A,"&lt;"&amp;$J726+7)/COUNTIFS('Weekly Log'!$G:$G,"&lt;&gt;",'Weekly Log'!$A:$A,"&gt;="&amp;$J726,'Weekly Log'!$A:$A,"&lt;"&amp;$J726+7),0))</f>
        <v/>
      </c>
      <c r="D726">
        <f>IF($J726="","",IFERROR(COUNTIFS('Weekly Log'!$H:$H,"Y",'Weekly Log'!$A:$A,"&gt;="&amp;$J726,'Weekly Log'!$A:$A,"&lt;"&amp;$J726+7)/COUNTIFS('Weekly Log'!$H:$H,"&lt;&gt;",'Weekly Log'!$A:$A,"&gt;="&amp;$J726,'Weekly Log'!$A:$A,"&lt;"&amp;$J726+7),0))</f>
        <v/>
      </c>
      <c r="E726">
        <f>IF($J726="","",IFERROR(AVERAGEIFS('Weekly Log'!$F:$F,'Weekly Log'!$A:$A,"&gt;="&amp;$J726,'Weekly Log'!$A:$A,"&lt;"&amp;$J726+7),0))</f>
        <v/>
      </c>
      <c r="F726">
        <f>IF($J726="","",IFERROR(SUMIFS('Weekly Log'!$F:$F,'Weekly Log'!$A:$A,"&gt;="&amp;$J726,'Weekly Log'!$A:$A,"&lt;"&amp;$J726+7)/SUMIFS('Weekly Log'!$E:$E,'Weekly Log'!$A:$A,"&gt;="&amp;$J726,'Weekly Log'!$A:$A,"&lt;"&amp;$J726+7),0))</f>
        <v/>
      </c>
      <c r="G726">
        <f>IF($J726="","",IFERROR(LOOKUP(2,1/(('Weekly Log'!$A$5:$A$5000&gt;=$J726)*('Weekly Log'!$A$5:$A$5000&lt;$J726+7)*('Weekly Log'!$M$5:$M$5000&lt;&gt;"")),'Weekly Log'!$M$5:$M$5000),0))</f>
        <v/>
      </c>
      <c r="J726">
        <f>IF(COUNT('Weekly Log'!$A$5:$A$5000)=0,"",IF(MIN('Weekly Log'!$A$5:$A$5000)+7*(ROW()-10)&gt;MAX('Weekly Log'!$A$5:$A$5000),"",MIN('Weekly Log'!$A$5:$A$5000)+7*(ROW()-10)))</f>
        <v/>
      </c>
    </row>
    <row r="727">
      <c r="A727">
        <f>IF($J727="","",YEAR($J727-WEEKDAY($J727,2)+4)&amp;"-W"&amp;TEXT(WEEKNUM($J727,21),"00"))</f>
        <v/>
      </c>
      <c r="B727">
        <f>IF($J727="","",SUMIFS('Weekly Log'!$C:$C,'Weekly Log'!$A:$A,"&gt;="&amp;$J727,'Weekly Log'!$A:$A,"&lt;"&amp;$J727+7))</f>
        <v/>
      </c>
      <c r="C727">
        <f>IF($J727="","",IFERROR(COUNTIFS('Weekly Log'!$G:$G,"Y",'Weekly Log'!$A:$A,"&gt;="&amp;$J727,'Weekly Log'!$A:$A,"&lt;"&amp;$J727+7)/COUNTIFS('Weekly Log'!$G:$G,"&lt;&gt;",'Weekly Log'!$A:$A,"&gt;="&amp;$J727,'Weekly Log'!$A:$A,"&lt;"&amp;$J727+7),0))</f>
        <v/>
      </c>
      <c r="D727">
        <f>IF($J727="","",IFERROR(COUNTIFS('Weekly Log'!$H:$H,"Y",'Weekly Log'!$A:$A,"&gt;="&amp;$J727,'Weekly Log'!$A:$A,"&lt;"&amp;$J727+7)/COUNTIFS('Weekly Log'!$H:$H,"&lt;&gt;",'Weekly Log'!$A:$A,"&gt;="&amp;$J727,'Weekly Log'!$A:$A,"&lt;"&amp;$J727+7),0))</f>
        <v/>
      </c>
      <c r="E727">
        <f>IF($J727="","",IFERROR(AVERAGEIFS('Weekly Log'!$F:$F,'Weekly Log'!$A:$A,"&gt;="&amp;$J727,'Weekly Log'!$A:$A,"&lt;"&amp;$J727+7),0))</f>
        <v/>
      </c>
      <c r="F727">
        <f>IF($J727="","",IFERROR(SUMIFS('Weekly Log'!$F:$F,'Weekly Log'!$A:$A,"&gt;="&amp;$J727,'Weekly Log'!$A:$A,"&lt;"&amp;$J727+7)/SUMIFS('Weekly Log'!$E:$E,'Weekly Log'!$A:$A,"&gt;="&amp;$J727,'Weekly Log'!$A:$A,"&lt;"&amp;$J727+7),0))</f>
        <v/>
      </c>
      <c r="G727">
        <f>IF($J727="","",IFERROR(LOOKUP(2,1/(('Weekly Log'!$A$5:$A$5000&gt;=$J727)*('Weekly Log'!$A$5:$A$5000&lt;$J727+7)*('Weekly Log'!$M$5:$M$5000&lt;&gt;"")),'Weekly Log'!$M$5:$M$5000),0))</f>
        <v/>
      </c>
      <c r="J727">
        <f>IF(COUNT('Weekly Log'!$A$5:$A$5000)=0,"",IF(MIN('Weekly Log'!$A$5:$A$5000)+7*(ROW()-10)&gt;MAX('Weekly Log'!$A$5:$A$5000),"",MIN('Weekly Log'!$A$5:$A$5000)+7*(ROW()-10)))</f>
        <v/>
      </c>
    </row>
    <row r="728">
      <c r="A728">
        <f>IF($J728="","",YEAR($J728-WEEKDAY($J728,2)+4)&amp;"-W"&amp;TEXT(WEEKNUM($J728,21),"00"))</f>
        <v/>
      </c>
      <c r="B728">
        <f>IF($J728="","",SUMIFS('Weekly Log'!$C:$C,'Weekly Log'!$A:$A,"&gt;="&amp;$J728,'Weekly Log'!$A:$A,"&lt;"&amp;$J728+7))</f>
        <v/>
      </c>
      <c r="C728">
        <f>IF($J728="","",IFERROR(COUNTIFS('Weekly Log'!$G:$G,"Y",'Weekly Log'!$A:$A,"&gt;="&amp;$J728,'Weekly Log'!$A:$A,"&lt;"&amp;$J728+7)/COUNTIFS('Weekly Log'!$G:$G,"&lt;&gt;",'Weekly Log'!$A:$A,"&gt;="&amp;$J728,'Weekly Log'!$A:$A,"&lt;"&amp;$J728+7),0))</f>
        <v/>
      </c>
      <c r="D728">
        <f>IF($J728="","",IFERROR(COUNTIFS('Weekly Log'!$H:$H,"Y",'Weekly Log'!$A:$A,"&gt;="&amp;$J728,'Weekly Log'!$A:$A,"&lt;"&amp;$J728+7)/COUNTIFS('Weekly Log'!$H:$H,"&lt;&gt;",'Weekly Log'!$A:$A,"&gt;="&amp;$J728,'Weekly Log'!$A:$A,"&lt;"&amp;$J728+7),0))</f>
        <v/>
      </c>
      <c r="E728">
        <f>IF($J728="","",IFERROR(AVERAGEIFS('Weekly Log'!$F:$F,'Weekly Log'!$A:$A,"&gt;="&amp;$J728,'Weekly Log'!$A:$A,"&lt;"&amp;$J728+7),0))</f>
        <v/>
      </c>
      <c r="F728">
        <f>IF($J728="","",IFERROR(SUMIFS('Weekly Log'!$F:$F,'Weekly Log'!$A:$A,"&gt;="&amp;$J728,'Weekly Log'!$A:$A,"&lt;"&amp;$J728+7)/SUMIFS('Weekly Log'!$E:$E,'Weekly Log'!$A:$A,"&gt;="&amp;$J728,'Weekly Log'!$A:$A,"&lt;"&amp;$J728+7),0))</f>
        <v/>
      </c>
      <c r="G728">
        <f>IF($J728="","",IFERROR(LOOKUP(2,1/(('Weekly Log'!$A$5:$A$5000&gt;=$J728)*('Weekly Log'!$A$5:$A$5000&lt;$J728+7)*('Weekly Log'!$M$5:$M$5000&lt;&gt;"")),'Weekly Log'!$M$5:$M$5000),0))</f>
        <v/>
      </c>
      <c r="J728">
        <f>IF(COUNT('Weekly Log'!$A$5:$A$5000)=0,"",IF(MIN('Weekly Log'!$A$5:$A$5000)+7*(ROW()-10)&gt;MAX('Weekly Log'!$A$5:$A$5000),"",MIN('Weekly Log'!$A$5:$A$5000)+7*(ROW()-10)))</f>
        <v/>
      </c>
    </row>
    <row r="729">
      <c r="A729">
        <f>IF($J729="","",YEAR($J729-WEEKDAY($J729,2)+4)&amp;"-W"&amp;TEXT(WEEKNUM($J729,21),"00"))</f>
        <v/>
      </c>
      <c r="B729">
        <f>IF($J729="","",SUMIFS('Weekly Log'!$C:$C,'Weekly Log'!$A:$A,"&gt;="&amp;$J729,'Weekly Log'!$A:$A,"&lt;"&amp;$J729+7))</f>
        <v/>
      </c>
      <c r="C729">
        <f>IF($J729="","",IFERROR(COUNTIFS('Weekly Log'!$G:$G,"Y",'Weekly Log'!$A:$A,"&gt;="&amp;$J729,'Weekly Log'!$A:$A,"&lt;"&amp;$J729+7)/COUNTIFS('Weekly Log'!$G:$G,"&lt;&gt;",'Weekly Log'!$A:$A,"&gt;="&amp;$J729,'Weekly Log'!$A:$A,"&lt;"&amp;$J729+7),0))</f>
        <v/>
      </c>
      <c r="D729">
        <f>IF($J729="","",IFERROR(COUNTIFS('Weekly Log'!$H:$H,"Y",'Weekly Log'!$A:$A,"&gt;="&amp;$J729,'Weekly Log'!$A:$A,"&lt;"&amp;$J729+7)/COUNTIFS('Weekly Log'!$H:$H,"&lt;&gt;",'Weekly Log'!$A:$A,"&gt;="&amp;$J729,'Weekly Log'!$A:$A,"&lt;"&amp;$J729+7),0))</f>
        <v/>
      </c>
      <c r="E729">
        <f>IF($J729="","",IFERROR(AVERAGEIFS('Weekly Log'!$F:$F,'Weekly Log'!$A:$A,"&gt;="&amp;$J729,'Weekly Log'!$A:$A,"&lt;"&amp;$J729+7),0))</f>
        <v/>
      </c>
      <c r="F729">
        <f>IF($J729="","",IFERROR(SUMIFS('Weekly Log'!$F:$F,'Weekly Log'!$A:$A,"&gt;="&amp;$J729,'Weekly Log'!$A:$A,"&lt;"&amp;$J729+7)/SUMIFS('Weekly Log'!$E:$E,'Weekly Log'!$A:$A,"&gt;="&amp;$J729,'Weekly Log'!$A:$A,"&lt;"&amp;$J729+7),0))</f>
        <v/>
      </c>
      <c r="G729">
        <f>IF($J729="","",IFERROR(LOOKUP(2,1/(('Weekly Log'!$A$5:$A$5000&gt;=$J729)*('Weekly Log'!$A$5:$A$5000&lt;$J729+7)*('Weekly Log'!$M$5:$M$5000&lt;&gt;"")),'Weekly Log'!$M$5:$M$5000),0))</f>
        <v/>
      </c>
      <c r="J729">
        <f>IF(COUNT('Weekly Log'!$A$5:$A$5000)=0,"",IF(MIN('Weekly Log'!$A$5:$A$5000)+7*(ROW()-10)&gt;MAX('Weekly Log'!$A$5:$A$5000),"",MIN('Weekly Log'!$A$5:$A$5000)+7*(ROW()-10)))</f>
        <v/>
      </c>
    </row>
    <row r="730">
      <c r="A730">
        <f>IF($J730="","",YEAR($J730-WEEKDAY($J730,2)+4)&amp;"-W"&amp;TEXT(WEEKNUM($J730,21),"00"))</f>
        <v/>
      </c>
      <c r="B730">
        <f>IF($J730="","",SUMIFS('Weekly Log'!$C:$C,'Weekly Log'!$A:$A,"&gt;="&amp;$J730,'Weekly Log'!$A:$A,"&lt;"&amp;$J730+7))</f>
        <v/>
      </c>
      <c r="C730">
        <f>IF($J730="","",IFERROR(COUNTIFS('Weekly Log'!$G:$G,"Y",'Weekly Log'!$A:$A,"&gt;="&amp;$J730,'Weekly Log'!$A:$A,"&lt;"&amp;$J730+7)/COUNTIFS('Weekly Log'!$G:$G,"&lt;&gt;",'Weekly Log'!$A:$A,"&gt;="&amp;$J730,'Weekly Log'!$A:$A,"&lt;"&amp;$J730+7),0))</f>
        <v/>
      </c>
      <c r="D730">
        <f>IF($J730="","",IFERROR(COUNTIFS('Weekly Log'!$H:$H,"Y",'Weekly Log'!$A:$A,"&gt;="&amp;$J730,'Weekly Log'!$A:$A,"&lt;"&amp;$J730+7)/COUNTIFS('Weekly Log'!$H:$H,"&lt;&gt;",'Weekly Log'!$A:$A,"&gt;="&amp;$J730,'Weekly Log'!$A:$A,"&lt;"&amp;$J730+7),0))</f>
        <v/>
      </c>
      <c r="E730">
        <f>IF($J730="","",IFERROR(AVERAGEIFS('Weekly Log'!$F:$F,'Weekly Log'!$A:$A,"&gt;="&amp;$J730,'Weekly Log'!$A:$A,"&lt;"&amp;$J730+7),0))</f>
        <v/>
      </c>
      <c r="F730">
        <f>IF($J730="","",IFERROR(SUMIFS('Weekly Log'!$F:$F,'Weekly Log'!$A:$A,"&gt;="&amp;$J730,'Weekly Log'!$A:$A,"&lt;"&amp;$J730+7)/SUMIFS('Weekly Log'!$E:$E,'Weekly Log'!$A:$A,"&gt;="&amp;$J730,'Weekly Log'!$A:$A,"&lt;"&amp;$J730+7),0))</f>
        <v/>
      </c>
      <c r="G730">
        <f>IF($J730="","",IFERROR(LOOKUP(2,1/(('Weekly Log'!$A$5:$A$5000&gt;=$J730)*('Weekly Log'!$A$5:$A$5000&lt;$J730+7)*('Weekly Log'!$M$5:$M$5000&lt;&gt;"")),'Weekly Log'!$M$5:$M$5000),0))</f>
        <v/>
      </c>
      <c r="J730">
        <f>IF(COUNT('Weekly Log'!$A$5:$A$5000)=0,"",IF(MIN('Weekly Log'!$A$5:$A$5000)+7*(ROW()-10)&gt;MAX('Weekly Log'!$A$5:$A$5000),"",MIN('Weekly Log'!$A$5:$A$5000)+7*(ROW()-10)))</f>
        <v/>
      </c>
    </row>
    <row r="731">
      <c r="A731">
        <f>IF($J731="","",YEAR($J731-WEEKDAY($J731,2)+4)&amp;"-W"&amp;TEXT(WEEKNUM($J731,21),"00"))</f>
        <v/>
      </c>
      <c r="B731">
        <f>IF($J731="","",SUMIFS('Weekly Log'!$C:$C,'Weekly Log'!$A:$A,"&gt;="&amp;$J731,'Weekly Log'!$A:$A,"&lt;"&amp;$J731+7))</f>
        <v/>
      </c>
      <c r="C731">
        <f>IF($J731="","",IFERROR(COUNTIFS('Weekly Log'!$G:$G,"Y",'Weekly Log'!$A:$A,"&gt;="&amp;$J731,'Weekly Log'!$A:$A,"&lt;"&amp;$J731+7)/COUNTIFS('Weekly Log'!$G:$G,"&lt;&gt;",'Weekly Log'!$A:$A,"&gt;="&amp;$J731,'Weekly Log'!$A:$A,"&lt;"&amp;$J731+7),0))</f>
        <v/>
      </c>
      <c r="D731">
        <f>IF($J731="","",IFERROR(COUNTIFS('Weekly Log'!$H:$H,"Y",'Weekly Log'!$A:$A,"&gt;="&amp;$J731,'Weekly Log'!$A:$A,"&lt;"&amp;$J731+7)/COUNTIFS('Weekly Log'!$H:$H,"&lt;&gt;",'Weekly Log'!$A:$A,"&gt;="&amp;$J731,'Weekly Log'!$A:$A,"&lt;"&amp;$J731+7),0))</f>
        <v/>
      </c>
      <c r="E731">
        <f>IF($J731="","",IFERROR(AVERAGEIFS('Weekly Log'!$F:$F,'Weekly Log'!$A:$A,"&gt;="&amp;$J731,'Weekly Log'!$A:$A,"&lt;"&amp;$J731+7),0))</f>
        <v/>
      </c>
      <c r="F731">
        <f>IF($J731="","",IFERROR(SUMIFS('Weekly Log'!$F:$F,'Weekly Log'!$A:$A,"&gt;="&amp;$J731,'Weekly Log'!$A:$A,"&lt;"&amp;$J731+7)/SUMIFS('Weekly Log'!$E:$E,'Weekly Log'!$A:$A,"&gt;="&amp;$J731,'Weekly Log'!$A:$A,"&lt;"&amp;$J731+7),0))</f>
        <v/>
      </c>
      <c r="G731">
        <f>IF($J731="","",IFERROR(LOOKUP(2,1/(('Weekly Log'!$A$5:$A$5000&gt;=$J731)*('Weekly Log'!$A$5:$A$5000&lt;$J731+7)*('Weekly Log'!$M$5:$M$5000&lt;&gt;"")),'Weekly Log'!$M$5:$M$5000),0))</f>
        <v/>
      </c>
      <c r="J731">
        <f>IF(COUNT('Weekly Log'!$A$5:$A$5000)=0,"",IF(MIN('Weekly Log'!$A$5:$A$5000)+7*(ROW()-10)&gt;MAX('Weekly Log'!$A$5:$A$5000),"",MIN('Weekly Log'!$A$5:$A$5000)+7*(ROW()-10)))</f>
        <v/>
      </c>
    </row>
    <row r="732">
      <c r="A732">
        <f>IF($J732="","",YEAR($J732-WEEKDAY($J732,2)+4)&amp;"-W"&amp;TEXT(WEEKNUM($J732,21),"00"))</f>
        <v/>
      </c>
      <c r="B732">
        <f>IF($J732="","",SUMIFS('Weekly Log'!$C:$C,'Weekly Log'!$A:$A,"&gt;="&amp;$J732,'Weekly Log'!$A:$A,"&lt;"&amp;$J732+7))</f>
        <v/>
      </c>
      <c r="C732">
        <f>IF($J732="","",IFERROR(COUNTIFS('Weekly Log'!$G:$G,"Y",'Weekly Log'!$A:$A,"&gt;="&amp;$J732,'Weekly Log'!$A:$A,"&lt;"&amp;$J732+7)/COUNTIFS('Weekly Log'!$G:$G,"&lt;&gt;",'Weekly Log'!$A:$A,"&gt;="&amp;$J732,'Weekly Log'!$A:$A,"&lt;"&amp;$J732+7),0))</f>
        <v/>
      </c>
      <c r="D732">
        <f>IF($J732="","",IFERROR(COUNTIFS('Weekly Log'!$H:$H,"Y",'Weekly Log'!$A:$A,"&gt;="&amp;$J732,'Weekly Log'!$A:$A,"&lt;"&amp;$J732+7)/COUNTIFS('Weekly Log'!$H:$H,"&lt;&gt;",'Weekly Log'!$A:$A,"&gt;="&amp;$J732,'Weekly Log'!$A:$A,"&lt;"&amp;$J732+7),0))</f>
        <v/>
      </c>
      <c r="E732">
        <f>IF($J732="","",IFERROR(AVERAGEIFS('Weekly Log'!$F:$F,'Weekly Log'!$A:$A,"&gt;="&amp;$J732,'Weekly Log'!$A:$A,"&lt;"&amp;$J732+7),0))</f>
        <v/>
      </c>
      <c r="F732">
        <f>IF($J732="","",IFERROR(SUMIFS('Weekly Log'!$F:$F,'Weekly Log'!$A:$A,"&gt;="&amp;$J732,'Weekly Log'!$A:$A,"&lt;"&amp;$J732+7)/SUMIFS('Weekly Log'!$E:$E,'Weekly Log'!$A:$A,"&gt;="&amp;$J732,'Weekly Log'!$A:$A,"&lt;"&amp;$J732+7),0))</f>
        <v/>
      </c>
      <c r="G732">
        <f>IF($J732="","",IFERROR(LOOKUP(2,1/(('Weekly Log'!$A$5:$A$5000&gt;=$J732)*('Weekly Log'!$A$5:$A$5000&lt;$J732+7)*('Weekly Log'!$M$5:$M$5000&lt;&gt;"")),'Weekly Log'!$M$5:$M$5000),0))</f>
        <v/>
      </c>
      <c r="J732">
        <f>IF(COUNT('Weekly Log'!$A$5:$A$5000)=0,"",IF(MIN('Weekly Log'!$A$5:$A$5000)+7*(ROW()-10)&gt;MAX('Weekly Log'!$A$5:$A$5000),"",MIN('Weekly Log'!$A$5:$A$5000)+7*(ROW()-10)))</f>
        <v/>
      </c>
    </row>
    <row r="733">
      <c r="A733">
        <f>IF($J733="","",YEAR($J733-WEEKDAY($J733,2)+4)&amp;"-W"&amp;TEXT(WEEKNUM($J733,21),"00"))</f>
        <v/>
      </c>
      <c r="B733">
        <f>IF($J733="","",SUMIFS('Weekly Log'!$C:$C,'Weekly Log'!$A:$A,"&gt;="&amp;$J733,'Weekly Log'!$A:$A,"&lt;"&amp;$J733+7))</f>
        <v/>
      </c>
      <c r="C733">
        <f>IF($J733="","",IFERROR(COUNTIFS('Weekly Log'!$G:$G,"Y",'Weekly Log'!$A:$A,"&gt;="&amp;$J733,'Weekly Log'!$A:$A,"&lt;"&amp;$J733+7)/COUNTIFS('Weekly Log'!$G:$G,"&lt;&gt;",'Weekly Log'!$A:$A,"&gt;="&amp;$J733,'Weekly Log'!$A:$A,"&lt;"&amp;$J733+7),0))</f>
        <v/>
      </c>
      <c r="D733">
        <f>IF($J733="","",IFERROR(COUNTIFS('Weekly Log'!$H:$H,"Y",'Weekly Log'!$A:$A,"&gt;="&amp;$J733,'Weekly Log'!$A:$A,"&lt;"&amp;$J733+7)/COUNTIFS('Weekly Log'!$H:$H,"&lt;&gt;",'Weekly Log'!$A:$A,"&gt;="&amp;$J733,'Weekly Log'!$A:$A,"&lt;"&amp;$J733+7),0))</f>
        <v/>
      </c>
      <c r="E733">
        <f>IF($J733="","",IFERROR(AVERAGEIFS('Weekly Log'!$F:$F,'Weekly Log'!$A:$A,"&gt;="&amp;$J733,'Weekly Log'!$A:$A,"&lt;"&amp;$J733+7),0))</f>
        <v/>
      </c>
      <c r="F733">
        <f>IF($J733="","",IFERROR(SUMIFS('Weekly Log'!$F:$F,'Weekly Log'!$A:$A,"&gt;="&amp;$J733,'Weekly Log'!$A:$A,"&lt;"&amp;$J733+7)/SUMIFS('Weekly Log'!$E:$E,'Weekly Log'!$A:$A,"&gt;="&amp;$J733,'Weekly Log'!$A:$A,"&lt;"&amp;$J733+7),0))</f>
        <v/>
      </c>
      <c r="G733">
        <f>IF($J733="","",IFERROR(LOOKUP(2,1/(('Weekly Log'!$A$5:$A$5000&gt;=$J733)*('Weekly Log'!$A$5:$A$5000&lt;$J733+7)*('Weekly Log'!$M$5:$M$5000&lt;&gt;"")),'Weekly Log'!$M$5:$M$5000),0))</f>
        <v/>
      </c>
      <c r="J733">
        <f>IF(COUNT('Weekly Log'!$A$5:$A$5000)=0,"",IF(MIN('Weekly Log'!$A$5:$A$5000)+7*(ROW()-10)&gt;MAX('Weekly Log'!$A$5:$A$5000),"",MIN('Weekly Log'!$A$5:$A$5000)+7*(ROW()-10)))</f>
        <v/>
      </c>
    </row>
    <row r="734">
      <c r="A734">
        <f>IF($J734="","",YEAR($J734-WEEKDAY($J734,2)+4)&amp;"-W"&amp;TEXT(WEEKNUM($J734,21),"00"))</f>
        <v/>
      </c>
      <c r="B734">
        <f>IF($J734="","",SUMIFS('Weekly Log'!$C:$C,'Weekly Log'!$A:$A,"&gt;="&amp;$J734,'Weekly Log'!$A:$A,"&lt;"&amp;$J734+7))</f>
        <v/>
      </c>
      <c r="C734">
        <f>IF($J734="","",IFERROR(COUNTIFS('Weekly Log'!$G:$G,"Y",'Weekly Log'!$A:$A,"&gt;="&amp;$J734,'Weekly Log'!$A:$A,"&lt;"&amp;$J734+7)/COUNTIFS('Weekly Log'!$G:$G,"&lt;&gt;",'Weekly Log'!$A:$A,"&gt;="&amp;$J734,'Weekly Log'!$A:$A,"&lt;"&amp;$J734+7),0))</f>
        <v/>
      </c>
      <c r="D734">
        <f>IF($J734="","",IFERROR(COUNTIFS('Weekly Log'!$H:$H,"Y",'Weekly Log'!$A:$A,"&gt;="&amp;$J734,'Weekly Log'!$A:$A,"&lt;"&amp;$J734+7)/COUNTIFS('Weekly Log'!$H:$H,"&lt;&gt;",'Weekly Log'!$A:$A,"&gt;="&amp;$J734,'Weekly Log'!$A:$A,"&lt;"&amp;$J734+7),0))</f>
        <v/>
      </c>
      <c r="E734">
        <f>IF($J734="","",IFERROR(AVERAGEIFS('Weekly Log'!$F:$F,'Weekly Log'!$A:$A,"&gt;="&amp;$J734,'Weekly Log'!$A:$A,"&lt;"&amp;$J734+7),0))</f>
        <v/>
      </c>
      <c r="F734">
        <f>IF($J734="","",IFERROR(SUMIFS('Weekly Log'!$F:$F,'Weekly Log'!$A:$A,"&gt;="&amp;$J734,'Weekly Log'!$A:$A,"&lt;"&amp;$J734+7)/SUMIFS('Weekly Log'!$E:$E,'Weekly Log'!$A:$A,"&gt;="&amp;$J734,'Weekly Log'!$A:$A,"&lt;"&amp;$J734+7),0))</f>
        <v/>
      </c>
      <c r="G734">
        <f>IF($J734="","",IFERROR(LOOKUP(2,1/(('Weekly Log'!$A$5:$A$5000&gt;=$J734)*('Weekly Log'!$A$5:$A$5000&lt;$J734+7)*('Weekly Log'!$M$5:$M$5000&lt;&gt;"")),'Weekly Log'!$M$5:$M$5000),0))</f>
        <v/>
      </c>
      <c r="J734">
        <f>IF(COUNT('Weekly Log'!$A$5:$A$5000)=0,"",IF(MIN('Weekly Log'!$A$5:$A$5000)+7*(ROW()-10)&gt;MAX('Weekly Log'!$A$5:$A$5000),"",MIN('Weekly Log'!$A$5:$A$5000)+7*(ROW()-10)))</f>
        <v/>
      </c>
    </row>
    <row r="735">
      <c r="A735">
        <f>IF($J735="","",YEAR($J735-WEEKDAY($J735,2)+4)&amp;"-W"&amp;TEXT(WEEKNUM($J735,21),"00"))</f>
        <v/>
      </c>
      <c r="B735">
        <f>IF($J735="","",SUMIFS('Weekly Log'!$C:$C,'Weekly Log'!$A:$A,"&gt;="&amp;$J735,'Weekly Log'!$A:$A,"&lt;"&amp;$J735+7))</f>
        <v/>
      </c>
      <c r="C735">
        <f>IF($J735="","",IFERROR(COUNTIFS('Weekly Log'!$G:$G,"Y",'Weekly Log'!$A:$A,"&gt;="&amp;$J735,'Weekly Log'!$A:$A,"&lt;"&amp;$J735+7)/COUNTIFS('Weekly Log'!$G:$G,"&lt;&gt;",'Weekly Log'!$A:$A,"&gt;="&amp;$J735,'Weekly Log'!$A:$A,"&lt;"&amp;$J735+7),0))</f>
        <v/>
      </c>
      <c r="D735">
        <f>IF($J735="","",IFERROR(COUNTIFS('Weekly Log'!$H:$H,"Y",'Weekly Log'!$A:$A,"&gt;="&amp;$J735,'Weekly Log'!$A:$A,"&lt;"&amp;$J735+7)/COUNTIFS('Weekly Log'!$H:$H,"&lt;&gt;",'Weekly Log'!$A:$A,"&gt;="&amp;$J735,'Weekly Log'!$A:$A,"&lt;"&amp;$J735+7),0))</f>
        <v/>
      </c>
      <c r="E735">
        <f>IF($J735="","",IFERROR(AVERAGEIFS('Weekly Log'!$F:$F,'Weekly Log'!$A:$A,"&gt;="&amp;$J735,'Weekly Log'!$A:$A,"&lt;"&amp;$J735+7),0))</f>
        <v/>
      </c>
      <c r="F735">
        <f>IF($J735="","",IFERROR(SUMIFS('Weekly Log'!$F:$F,'Weekly Log'!$A:$A,"&gt;="&amp;$J735,'Weekly Log'!$A:$A,"&lt;"&amp;$J735+7)/SUMIFS('Weekly Log'!$E:$E,'Weekly Log'!$A:$A,"&gt;="&amp;$J735,'Weekly Log'!$A:$A,"&lt;"&amp;$J735+7),0))</f>
        <v/>
      </c>
      <c r="G735">
        <f>IF($J735="","",IFERROR(LOOKUP(2,1/(('Weekly Log'!$A$5:$A$5000&gt;=$J735)*('Weekly Log'!$A$5:$A$5000&lt;$J735+7)*('Weekly Log'!$M$5:$M$5000&lt;&gt;"")),'Weekly Log'!$M$5:$M$5000),0))</f>
        <v/>
      </c>
      <c r="J735">
        <f>IF(COUNT('Weekly Log'!$A$5:$A$5000)=0,"",IF(MIN('Weekly Log'!$A$5:$A$5000)+7*(ROW()-10)&gt;MAX('Weekly Log'!$A$5:$A$5000),"",MIN('Weekly Log'!$A$5:$A$5000)+7*(ROW()-10)))</f>
        <v/>
      </c>
    </row>
    <row r="736">
      <c r="A736">
        <f>IF($J736="","",YEAR($J736-WEEKDAY($J736,2)+4)&amp;"-W"&amp;TEXT(WEEKNUM($J736,21),"00"))</f>
        <v/>
      </c>
      <c r="B736">
        <f>IF($J736="","",SUMIFS('Weekly Log'!$C:$C,'Weekly Log'!$A:$A,"&gt;="&amp;$J736,'Weekly Log'!$A:$A,"&lt;"&amp;$J736+7))</f>
        <v/>
      </c>
      <c r="C736">
        <f>IF($J736="","",IFERROR(COUNTIFS('Weekly Log'!$G:$G,"Y",'Weekly Log'!$A:$A,"&gt;="&amp;$J736,'Weekly Log'!$A:$A,"&lt;"&amp;$J736+7)/COUNTIFS('Weekly Log'!$G:$G,"&lt;&gt;",'Weekly Log'!$A:$A,"&gt;="&amp;$J736,'Weekly Log'!$A:$A,"&lt;"&amp;$J736+7),0))</f>
        <v/>
      </c>
      <c r="D736">
        <f>IF($J736="","",IFERROR(COUNTIFS('Weekly Log'!$H:$H,"Y",'Weekly Log'!$A:$A,"&gt;="&amp;$J736,'Weekly Log'!$A:$A,"&lt;"&amp;$J736+7)/COUNTIFS('Weekly Log'!$H:$H,"&lt;&gt;",'Weekly Log'!$A:$A,"&gt;="&amp;$J736,'Weekly Log'!$A:$A,"&lt;"&amp;$J736+7),0))</f>
        <v/>
      </c>
      <c r="E736">
        <f>IF($J736="","",IFERROR(AVERAGEIFS('Weekly Log'!$F:$F,'Weekly Log'!$A:$A,"&gt;="&amp;$J736,'Weekly Log'!$A:$A,"&lt;"&amp;$J736+7),0))</f>
        <v/>
      </c>
      <c r="F736">
        <f>IF($J736="","",IFERROR(SUMIFS('Weekly Log'!$F:$F,'Weekly Log'!$A:$A,"&gt;="&amp;$J736,'Weekly Log'!$A:$A,"&lt;"&amp;$J736+7)/SUMIFS('Weekly Log'!$E:$E,'Weekly Log'!$A:$A,"&gt;="&amp;$J736,'Weekly Log'!$A:$A,"&lt;"&amp;$J736+7),0))</f>
        <v/>
      </c>
      <c r="G736">
        <f>IF($J736="","",IFERROR(LOOKUP(2,1/(('Weekly Log'!$A$5:$A$5000&gt;=$J736)*('Weekly Log'!$A$5:$A$5000&lt;$J736+7)*('Weekly Log'!$M$5:$M$5000&lt;&gt;"")),'Weekly Log'!$M$5:$M$5000),0))</f>
        <v/>
      </c>
      <c r="J736">
        <f>IF(COUNT('Weekly Log'!$A$5:$A$5000)=0,"",IF(MIN('Weekly Log'!$A$5:$A$5000)+7*(ROW()-10)&gt;MAX('Weekly Log'!$A$5:$A$5000),"",MIN('Weekly Log'!$A$5:$A$5000)+7*(ROW()-10)))</f>
        <v/>
      </c>
    </row>
    <row r="737">
      <c r="A737">
        <f>IF($J737="","",YEAR($J737-WEEKDAY($J737,2)+4)&amp;"-W"&amp;TEXT(WEEKNUM($J737,21),"00"))</f>
        <v/>
      </c>
      <c r="B737">
        <f>IF($J737="","",SUMIFS('Weekly Log'!$C:$C,'Weekly Log'!$A:$A,"&gt;="&amp;$J737,'Weekly Log'!$A:$A,"&lt;"&amp;$J737+7))</f>
        <v/>
      </c>
      <c r="C737">
        <f>IF($J737="","",IFERROR(COUNTIFS('Weekly Log'!$G:$G,"Y",'Weekly Log'!$A:$A,"&gt;="&amp;$J737,'Weekly Log'!$A:$A,"&lt;"&amp;$J737+7)/COUNTIFS('Weekly Log'!$G:$G,"&lt;&gt;",'Weekly Log'!$A:$A,"&gt;="&amp;$J737,'Weekly Log'!$A:$A,"&lt;"&amp;$J737+7),0))</f>
        <v/>
      </c>
      <c r="D737">
        <f>IF($J737="","",IFERROR(COUNTIFS('Weekly Log'!$H:$H,"Y",'Weekly Log'!$A:$A,"&gt;="&amp;$J737,'Weekly Log'!$A:$A,"&lt;"&amp;$J737+7)/COUNTIFS('Weekly Log'!$H:$H,"&lt;&gt;",'Weekly Log'!$A:$A,"&gt;="&amp;$J737,'Weekly Log'!$A:$A,"&lt;"&amp;$J737+7),0))</f>
        <v/>
      </c>
      <c r="E737">
        <f>IF($J737="","",IFERROR(AVERAGEIFS('Weekly Log'!$F:$F,'Weekly Log'!$A:$A,"&gt;="&amp;$J737,'Weekly Log'!$A:$A,"&lt;"&amp;$J737+7),0))</f>
        <v/>
      </c>
      <c r="F737">
        <f>IF($J737="","",IFERROR(SUMIFS('Weekly Log'!$F:$F,'Weekly Log'!$A:$A,"&gt;="&amp;$J737,'Weekly Log'!$A:$A,"&lt;"&amp;$J737+7)/SUMIFS('Weekly Log'!$E:$E,'Weekly Log'!$A:$A,"&gt;="&amp;$J737,'Weekly Log'!$A:$A,"&lt;"&amp;$J737+7),0))</f>
        <v/>
      </c>
      <c r="G737">
        <f>IF($J737="","",IFERROR(LOOKUP(2,1/(('Weekly Log'!$A$5:$A$5000&gt;=$J737)*('Weekly Log'!$A$5:$A$5000&lt;$J737+7)*('Weekly Log'!$M$5:$M$5000&lt;&gt;"")),'Weekly Log'!$M$5:$M$5000),0))</f>
        <v/>
      </c>
      <c r="J737">
        <f>IF(COUNT('Weekly Log'!$A$5:$A$5000)=0,"",IF(MIN('Weekly Log'!$A$5:$A$5000)+7*(ROW()-10)&gt;MAX('Weekly Log'!$A$5:$A$5000),"",MIN('Weekly Log'!$A$5:$A$5000)+7*(ROW()-10)))</f>
        <v/>
      </c>
    </row>
    <row r="738">
      <c r="A738">
        <f>IF($J738="","",YEAR($J738-WEEKDAY($J738,2)+4)&amp;"-W"&amp;TEXT(WEEKNUM($J738,21),"00"))</f>
        <v/>
      </c>
      <c r="B738">
        <f>IF($J738="","",SUMIFS('Weekly Log'!$C:$C,'Weekly Log'!$A:$A,"&gt;="&amp;$J738,'Weekly Log'!$A:$A,"&lt;"&amp;$J738+7))</f>
        <v/>
      </c>
      <c r="C738">
        <f>IF($J738="","",IFERROR(COUNTIFS('Weekly Log'!$G:$G,"Y",'Weekly Log'!$A:$A,"&gt;="&amp;$J738,'Weekly Log'!$A:$A,"&lt;"&amp;$J738+7)/COUNTIFS('Weekly Log'!$G:$G,"&lt;&gt;",'Weekly Log'!$A:$A,"&gt;="&amp;$J738,'Weekly Log'!$A:$A,"&lt;"&amp;$J738+7),0))</f>
        <v/>
      </c>
      <c r="D738">
        <f>IF($J738="","",IFERROR(COUNTIFS('Weekly Log'!$H:$H,"Y",'Weekly Log'!$A:$A,"&gt;="&amp;$J738,'Weekly Log'!$A:$A,"&lt;"&amp;$J738+7)/COUNTIFS('Weekly Log'!$H:$H,"&lt;&gt;",'Weekly Log'!$A:$A,"&gt;="&amp;$J738,'Weekly Log'!$A:$A,"&lt;"&amp;$J738+7),0))</f>
        <v/>
      </c>
      <c r="E738">
        <f>IF($J738="","",IFERROR(AVERAGEIFS('Weekly Log'!$F:$F,'Weekly Log'!$A:$A,"&gt;="&amp;$J738,'Weekly Log'!$A:$A,"&lt;"&amp;$J738+7),0))</f>
        <v/>
      </c>
      <c r="F738">
        <f>IF($J738="","",IFERROR(SUMIFS('Weekly Log'!$F:$F,'Weekly Log'!$A:$A,"&gt;="&amp;$J738,'Weekly Log'!$A:$A,"&lt;"&amp;$J738+7)/SUMIFS('Weekly Log'!$E:$E,'Weekly Log'!$A:$A,"&gt;="&amp;$J738,'Weekly Log'!$A:$A,"&lt;"&amp;$J738+7),0))</f>
        <v/>
      </c>
      <c r="G738">
        <f>IF($J738="","",IFERROR(LOOKUP(2,1/(('Weekly Log'!$A$5:$A$5000&gt;=$J738)*('Weekly Log'!$A$5:$A$5000&lt;$J738+7)*('Weekly Log'!$M$5:$M$5000&lt;&gt;"")),'Weekly Log'!$M$5:$M$5000),0))</f>
        <v/>
      </c>
      <c r="J738">
        <f>IF(COUNT('Weekly Log'!$A$5:$A$5000)=0,"",IF(MIN('Weekly Log'!$A$5:$A$5000)+7*(ROW()-10)&gt;MAX('Weekly Log'!$A$5:$A$5000),"",MIN('Weekly Log'!$A$5:$A$5000)+7*(ROW()-10)))</f>
        <v/>
      </c>
    </row>
    <row r="739">
      <c r="A739">
        <f>IF($J739="","",YEAR($J739-WEEKDAY($J739,2)+4)&amp;"-W"&amp;TEXT(WEEKNUM($J739,21),"00"))</f>
        <v/>
      </c>
      <c r="B739">
        <f>IF($J739="","",SUMIFS('Weekly Log'!$C:$C,'Weekly Log'!$A:$A,"&gt;="&amp;$J739,'Weekly Log'!$A:$A,"&lt;"&amp;$J739+7))</f>
        <v/>
      </c>
      <c r="C739">
        <f>IF($J739="","",IFERROR(COUNTIFS('Weekly Log'!$G:$G,"Y",'Weekly Log'!$A:$A,"&gt;="&amp;$J739,'Weekly Log'!$A:$A,"&lt;"&amp;$J739+7)/COUNTIFS('Weekly Log'!$G:$G,"&lt;&gt;",'Weekly Log'!$A:$A,"&gt;="&amp;$J739,'Weekly Log'!$A:$A,"&lt;"&amp;$J739+7),0))</f>
        <v/>
      </c>
      <c r="D739">
        <f>IF($J739="","",IFERROR(COUNTIFS('Weekly Log'!$H:$H,"Y",'Weekly Log'!$A:$A,"&gt;="&amp;$J739,'Weekly Log'!$A:$A,"&lt;"&amp;$J739+7)/COUNTIFS('Weekly Log'!$H:$H,"&lt;&gt;",'Weekly Log'!$A:$A,"&gt;="&amp;$J739,'Weekly Log'!$A:$A,"&lt;"&amp;$J739+7),0))</f>
        <v/>
      </c>
      <c r="E739">
        <f>IF($J739="","",IFERROR(AVERAGEIFS('Weekly Log'!$F:$F,'Weekly Log'!$A:$A,"&gt;="&amp;$J739,'Weekly Log'!$A:$A,"&lt;"&amp;$J739+7),0))</f>
        <v/>
      </c>
      <c r="F739">
        <f>IF($J739="","",IFERROR(SUMIFS('Weekly Log'!$F:$F,'Weekly Log'!$A:$A,"&gt;="&amp;$J739,'Weekly Log'!$A:$A,"&lt;"&amp;$J739+7)/SUMIFS('Weekly Log'!$E:$E,'Weekly Log'!$A:$A,"&gt;="&amp;$J739,'Weekly Log'!$A:$A,"&lt;"&amp;$J739+7),0))</f>
        <v/>
      </c>
      <c r="G739">
        <f>IF($J739="","",IFERROR(LOOKUP(2,1/(('Weekly Log'!$A$5:$A$5000&gt;=$J739)*('Weekly Log'!$A$5:$A$5000&lt;$J739+7)*('Weekly Log'!$M$5:$M$5000&lt;&gt;"")),'Weekly Log'!$M$5:$M$5000),0))</f>
        <v/>
      </c>
      <c r="J739">
        <f>IF(COUNT('Weekly Log'!$A$5:$A$5000)=0,"",IF(MIN('Weekly Log'!$A$5:$A$5000)+7*(ROW()-10)&gt;MAX('Weekly Log'!$A$5:$A$5000),"",MIN('Weekly Log'!$A$5:$A$5000)+7*(ROW()-10)))</f>
        <v/>
      </c>
    </row>
    <row r="740">
      <c r="A740">
        <f>IF($J740="","",YEAR($J740-WEEKDAY($J740,2)+4)&amp;"-W"&amp;TEXT(WEEKNUM($J740,21),"00"))</f>
        <v/>
      </c>
      <c r="B740">
        <f>IF($J740="","",SUMIFS('Weekly Log'!$C:$C,'Weekly Log'!$A:$A,"&gt;="&amp;$J740,'Weekly Log'!$A:$A,"&lt;"&amp;$J740+7))</f>
        <v/>
      </c>
      <c r="C740">
        <f>IF($J740="","",IFERROR(COUNTIFS('Weekly Log'!$G:$G,"Y",'Weekly Log'!$A:$A,"&gt;="&amp;$J740,'Weekly Log'!$A:$A,"&lt;"&amp;$J740+7)/COUNTIFS('Weekly Log'!$G:$G,"&lt;&gt;",'Weekly Log'!$A:$A,"&gt;="&amp;$J740,'Weekly Log'!$A:$A,"&lt;"&amp;$J740+7),0))</f>
        <v/>
      </c>
      <c r="D740">
        <f>IF($J740="","",IFERROR(COUNTIFS('Weekly Log'!$H:$H,"Y",'Weekly Log'!$A:$A,"&gt;="&amp;$J740,'Weekly Log'!$A:$A,"&lt;"&amp;$J740+7)/COUNTIFS('Weekly Log'!$H:$H,"&lt;&gt;",'Weekly Log'!$A:$A,"&gt;="&amp;$J740,'Weekly Log'!$A:$A,"&lt;"&amp;$J740+7),0))</f>
        <v/>
      </c>
      <c r="E740">
        <f>IF($J740="","",IFERROR(AVERAGEIFS('Weekly Log'!$F:$F,'Weekly Log'!$A:$A,"&gt;="&amp;$J740,'Weekly Log'!$A:$A,"&lt;"&amp;$J740+7),0))</f>
        <v/>
      </c>
      <c r="F740">
        <f>IF($J740="","",IFERROR(SUMIFS('Weekly Log'!$F:$F,'Weekly Log'!$A:$A,"&gt;="&amp;$J740,'Weekly Log'!$A:$A,"&lt;"&amp;$J740+7)/SUMIFS('Weekly Log'!$E:$E,'Weekly Log'!$A:$A,"&gt;="&amp;$J740,'Weekly Log'!$A:$A,"&lt;"&amp;$J740+7),0))</f>
        <v/>
      </c>
      <c r="G740">
        <f>IF($J740="","",IFERROR(LOOKUP(2,1/(('Weekly Log'!$A$5:$A$5000&gt;=$J740)*('Weekly Log'!$A$5:$A$5000&lt;$J740+7)*('Weekly Log'!$M$5:$M$5000&lt;&gt;"")),'Weekly Log'!$M$5:$M$5000),0))</f>
        <v/>
      </c>
      <c r="J740">
        <f>IF(COUNT('Weekly Log'!$A$5:$A$5000)=0,"",IF(MIN('Weekly Log'!$A$5:$A$5000)+7*(ROW()-10)&gt;MAX('Weekly Log'!$A$5:$A$5000),"",MIN('Weekly Log'!$A$5:$A$5000)+7*(ROW()-10)))</f>
        <v/>
      </c>
    </row>
    <row r="741">
      <c r="A741">
        <f>IF($J741="","",YEAR($J741-WEEKDAY($J741,2)+4)&amp;"-W"&amp;TEXT(WEEKNUM($J741,21),"00"))</f>
        <v/>
      </c>
      <c r="B741">
        <f>IF($J741="","",SUMIFS('Weekly Log'!$C:$C,'Weekly Log'!$A:$A,"&gt;="&amp;$J741,'Weekly Log'!$A:$A,"&lt;"&amp;$J741+7))</f>
        <v/>
      </c>
      <c r="C741">
        <f>IF($J741="","",IFERROR(COUNTIFS('Weekly Log'!$G:$G,"Y",'Weekly Log'!$A:$A,"&gt;="&amp;$J741,'Weekly Log'!$A:$A,"&lt;"&amp;$J741+7)/COUNTIFS('Weekly Log'!$G:$G,"&lt;&gt;",'Weekly Log'!$A:$A,"&gt;="&amp;$J741,'Weekly Log'!$A:$A,"&lt;"&amp;$J741+7),0))</f>
        <v/>
      </c>
      <c r="D741">
        <f>IF($J741="","",IFERROR(COUNTIFS('Weekly Log'!$H:$H,"Y",'Weekly Log'!$A:$A,"&gt;="&amp;$J741,'Weekly Log'!$A:$A,"&lt;"&amp;$J741+7)/COUNTIFS('Weekly Log'!$H:$H,"&lt;&gt;",'Weekly Log'!$A:$A,"&gt;="&amp;$J741,'Weekly Log'!$A:$A,"&lt;"&amp;$J741+7),0))</f>
        <v/>
      </c>
      <c r="E741">
        <f>IF($J741="","",IFERROR(AVERAGEIFS('Weekly Log'!$F:$F,'Weekly Log'!$A:$A,"&gt;="&amp;$J741,'Weekly Log'!$A:$A,"&lt;"&amp;$J741+7),0))</f>
        <v/>
      </c>
      <c r="F741">
        <f>IF($J741="","",IFERROR(SUMIFS('Weekly Log'!$F:$F,'Weekly Log'!$A:$A,"&gt;="&amp;$J741,'Weekly Log'!$A:$A,"&lt;"&amp;$J741+7)/SUMIFS('Weekly Log'!$E:$E,'Weekly Log'!$A:$A,"&gt;="&amp;$J741,'Weekly Log'!$A:$A,"&lt;"&amp;$J741+7),0))</f>
        <v/>
      </c>
      <c r="G741">
        <f>IF($J741="","",IFERROR(LOOKUP(2,1/(('Weekly Log'!$A$5:$A$5000&gt;=$J741)*('Weekly Log'!$A$5:$A$5000&lt;$J741+7)*('Weekly Log'!$M$5:$M$5000&lt;&gt;"")),'Weekly Log'!$M$5:$M$5000),0))</f>
        <v/>
      </c>
      <c r="J741">
        <f>IF(COUNT('Weekly Log'!$A$5:$A$5000)=0,"",IF(MIN('Weekly Log'!$A$5:$A$5000)+7*(ROW()-10)&gt;MAX('Weekly Log'!$A$5:$A$5000),"",MIN('Weekly Log'!$A$5:$A$5000)+7*(ROW()-10)))</f>
        <v/>
      </c>
    </row>
    <row r="742">
      <c r="A742">
        <f>IF($J742="","",YEAR($J742-WEEKDAY($J742,2)+4)&amp;"-W"&amp;TEXT(WEEKNUM($J742,21),"00"))</f>
        <v/>
      </c>
      <c r="B742">
        <f>IF($J742="","",SUMIFS('Weekly Log'!$C:$C,'Weekly Log'!$A:$A,"&gt;="&amp;$J742,'Weekly Log'!$A:$A,"&lt;"&amp;$J742+7))</f>
        <v/>
      </c>
      <c r="C742">
        <f>IF($J742="","",IFERROR(COUNTIFS('Weekly Log'!$G:$G,"Y",'Weekly Log'!$A:$A,"&gt;="&amp;$J742,'Weekly Log'!$A:$A,"&lt;"&amp;$J742+7)/COUNTIFS('Weekly Log'!$G:$G,"&lt;&gt;",'Weekly Log'!$A:$A,"&gt;="&amp;$J742,'Weekly Log'!$A:$A,"&lt;"&amp;$J742+7),0))</f>
        <v/>
      </c>
      <c r="D742">
        <f>IF($J742="","",IFERROR(COUNTIFS('Weekly Log'!$H:$H,"Y",'Weekly Log'!$A:$A,"&gt;="&amp;$J742,'Weekly Log'!$A:$A,"&lt;"&amp;$J742+7)/COUNTIFS('Weekly Log'!$H:$H,"&lt;&gt;",'Weekly Log'!$A:$A,"&gt;="&amp;$J742,'Weekly Log'!$A:$A,"&lt;"&amp;$J742+7),0))</f>
        <v/>
      </c>
      <c r="E742">
        <f>IF($J742="","",IFERROR(AVERAGEIFS('Weekly Log'!$F:$F,'Weekly Log'!$A:$A,"&gt;="&amp;$J742,'Weekly Log'!$A:$A,"&lt;"&amp;$J742+7),0))</f>
        <v/>
      </c>
      <c r="F742">
        <f>IF($J742="","",IFERROR(SUMIFS('Weekly Log'!$F:$F,'Weekly Log'!$A:$A,"&gt;="&amp;$J742,'Weekly Log'!$A:$A,"&lt;"&amp;$J742+7)/SUMIFS('Weekly Log'!$E:$E,'Weekly Log'!$A:$A,"&gt;="&amp;$J742,'Weekly Log'!$A:$A,"&lt;"&amp;$J742+7),0))</f>
        <v/>
      </c>
      <c r="G742">
        <f>IF($J742="","",IFERROR(LOOKUP(2,1/(('Weekly Log'!$A$5:$A$5000&gt;=$J742)*('Weekly Log'!$A$5:$A$5000&lt;$J742+7)*('Weekly Log'!$M$5:$M$5000&lt;&gt;"")),'Weekly Log'!$M$5:$M$5000),0))</f>
        <v/>
      </c>
      <c r="J742">
        <f>IF(COUNT('Weekly Log'!$A$5:$A$5000)=0,"",IF(MIN('Weekly Log'!$A$5:$A$5000)+7*(ROW()-10)&gt;MAX('Weekly Log'!$A$5:$A$5000),"",MIN('Weekly Log'!$A$5:$A$5000)+7*(ROW()-10)))</f>
        <v/>
      </c>
    </row>
    <row r="743">
      <c r="A743">
        <f>IF($J743="","",YEAR($J743-WEEKDAY($J743,2)+4)&amp;"-W"&amp;TEXT(WEEKNUM($J743,21),"00"))</f>
        <v/>
      </c>
      <c r="B743">
        <f>IF($J743="","",SUMIFS('Weekly Log'!$C:$C,'Weekly Log'!$A:$A,"&gt;="&amp;$J743,'Weekly Log'!$A:$A,"&lt;"&amp;$J743+7))</f>
        <v/>
      </c>
      <c r="C743">
        <f>IF($J743="","",IFERROR(COUNTIFS('Weekly Log'!$G:$G,"Y",'Weekly Log'!$A:$A,"&gt;="&amp;$J743,'Weekly Log'!$A:$A,"&lt;"&amp;$J743+7)/COUNTIFS('Weekly Log'!$G:$G,"&lt;&gt;",'Weekly Log'!$A:$A,"&gt;="&amp;$J743,'Weekly Log'!$A:$A,"&lt;"&amp;$J743+7),0))</f>
        <v/>
      </c>
      <c r="D743">
        <f>IF($J743="","",IFERROR(COUNTIFS('Weekly Log'!$H:$H,"Y",'Weekly Log'!$A:$A,"&gt;="&amp;$J743,'Weekly Log'!$A:$A,"&lt;"&amp;$J743+7)/COUNTIFS('Weekly Log'!$H:$H,"&lt;&gt;",'Weekly Log'!$A:$A,"&gt;="&amp;$J743,'Weekly Log'!$A:$A,"&lt;"&amp;$J743+7),0))</f>
        <v/>
      </c>
      <c r="E743">
        <f>IF($J743="","",IFERROR(AVERAGEIFS('Weekly Log'!$F:$F,'Weekly Log'!$A:$A,"&gt;="&amp;$J743,'Weekly Log'!$A:$A,"&lt;"&amp;$J743+7),0))</f>
        <v/>
      </c>
      <c r="F743">
        <f>IF($J743="","",IFERROR(SUMIFS('Weekly Log'!$F:$F,'Weekly Log'!$A:$A,"&gt;="&amp;$J743,'Weekly Log'!$A:$A,"&lt;"&amp;$J743+7)/SUMIFS('Weekly Log'!$E:$E,'Weekly Log'!$A:$A,"&gt;="&amp;$J743,'Weekly Log'!$A:$A,"&lt;"&amp;$J743+7),0))</f>
        <v/>
      </c>
      <c r="G743">
        <f>IF($J743="","",IFERROR(LOOKUP(2,1/(('Weekly Log'!$A$5:$A$5000&gt;=$J743)*('Weekly Log'!$A$5:$A$5000&lt;$J743+7)*('Weekly Log'!$M$5:$M$5000&lt;&gt;"")),'Weekly Log'!$M$5:$M$5000),0))</f>
        <v/>
      </c>
      <c r="J743">
        <f>IF(COUNT('Weekly Log'!$A$5:$A$5000)=0,"",IF(MIN('Weekly Log'!$A$5:$A$5000)+7*(ROW()-10)&gt;MAX('Weekly Log'!$A$5:$A$5000),"",MIN('Weekly Log'!$A$5:$A$5000)+7*(ROW()-10)))</f>
        <v/>
      </c>
    </row>
    <row r="744">
      <c r="A744">
        <f>IF($J744="","",YEAR($J744-WEEKDAY($J744,2)+4)&amp;"-W"&amp;TEXT(WEEKNUM($J744,21),"00"))</f>
        <v/>
      </c>
      <c r="B744">
        <f>IF($J744="","",SUMIFS('Weekly Log'!$C:$C,'Weekly Log'!$A:$A,"&gt;="&amp;$J744,'Weekly Log'!$A:$A,"&lt;"&amp;$J744+7))</f>
        <v/>
      </c>
      <c r="C744">
        <f>IF($J744="","",IFERROR(COUNTIFS('Weekly Log'!$G:$G,"Y",'Weekly Log'!$A:$A,"&gt;="&amp;$J744,'Weekly Log'!$A:$A,"&lt;"&amp;$J744+7)/COUNTIFS('Weekly Log'!$G:$G,"&lt;&gt;",'Weekly Log'!$A:$A,"&gt;="&amp;$J744,'Weekly Log'!$A:$A,"&lt;"&amp;$J744+7),0))</f>
        <v/>
      </c>
      <c r="D744">
        <f>IF($J744="","",IFERROR(COUNTIFS('Weekly Log'!$H:$H,"Y",'Weekly Log'!$A:$A,"&gt;="&amp;$J744,'Weekly Log'!$A:$A,"&lt;"&amp;$J744+7)/COUNTIFS('Weekly Log'!$H:$H,"&lt;&gt;",'Weekly Log'!$A:$A,"&gt;="&amp;$J744,'Weekly Log'!$A:$A,"&lt;"&amp;$J744+7),0))</f>
        <v/>
      </c>
      <c r="E744">
        <f>IF($J744="","",IFERROR(AVERAGEIFS('Weekly Log'!$F:$F,'Weekly Log'!$A:$A,"&gt;="&amp;$J744,'Weekly Log'!$A:$A,"&lt;"&amp;$J744+7),0))</f>
        <v/>
      </c>
      <c r="F744">
        <f>IF($J744="","",IFERROR(SUMIFS('Weekly Log'!$F:$F,'Weekly Log'!$A:$A,"&gt;="&amp;$J744,'Weekly Log'!$A:$A,"&lt;"&amp;$J744+7)/SUMIFS('Weekly Log'!$E:$E,'Weekly Log'!$A:$A,"&gt;="&amp;$J744,'Weekly Log'!$A:$A,"&lt;"&amp;$J744+7),0))</f>
        <v/>
      </c>
      <c r="G744">
        <f>IF($J744="","",IFERROR(LOOKUP(2,1/(('Weekly Log'!$A$5:$A$5000&gt;=$J744)*('Weekly Log'!$A$5:$A$5000&lt;$J744+7)*('Weekly Log'!$M$5:$M$5000&lt;&gt;"")),'Weekly Log'!$M$5:$M$5000),0))</f>
        <v/>
      </c>
      <c r="J744">
        <f>IF(COUNT('Weekly Log'!$A$5:$A$5000)=0,"",IF(MIN('Weekly Log'!$A$5:$A$5000)+7*(ROW()-10)&gt;MAX('Weekly Log'!$A$5:$A$5000),"",MIN('Weekly Log'!$A$5:$A$5000)+7*(ROW()-10)))</f>
        <v/>
      </c>
    </row>
    <row r="745">
      <c r="A745">
        <f>IF($J745="","",YEAR($J745-WEEKDAY($J745,2)+4)&amp;"-W"&amp;TEXT(WEEKNUM($J745,21),"00"))</f>
        <v/>
      </c>
      <c r="B745">
        <f>IF($J745="","",SUMIFS('Weekly Log'!$C:$C,'Weekly Log'!$A:$A,"&gt;="&amp;$J745,'Weekly Log'!$A:$A,"&lt;"&amp;$J745+7))</f>
        <v/>
      </c>
      <c r="C745">
        <f>IF($J745="","",IFERROR(COUNTIFS('Weekly Log'!$G:$G,"Y",'Weekly Log'!$A:$A,"&gt;="&amp;$J745,'Weekly Log'!$A:$A,"&lt;"&amp;$J745+7)/COUNTIFS('Weekly Log'!$G:$G,"&lt;&gt;",'Weekly Log'!$A:$A,"&gt;="&amp;$J745,'Weekly Log'!$A:$A,"&lt;"&amp;$J745+7),0))</f>
        <v/>
      </c>
      <c r="D745">
        <f>IF($J745="","",IFERROR(COUNTIFS('Weekly Log'!$H:$H,"Y",'Weekly Log'!$A:$A,"&gt;="&amp;$J745,'Weekly Log'!$A:$A,"&lt;"&amp;$J745+7)/COUNTIFS('Weekly Log'!$H:$H,"&lt;&gt;",'Weekly Log'!$A:$A,"&gt;="&amp;$J745,'Weekly Log'!$A:$A,"&lt;"&amp;$J745+7),0))</f>
        <v/>
      </c>
      <c r="E745">
        <f>IF($J745="","",IFERROR(AVERAGEIFS('Weekly Log'!$F:$F,'Weekly Log'!$A:$A,"&gt;="&amp;$J745,'Weekly Log'!$A:$A,"&lt;"&amp;$J745+7),0))</f>
        <v/>
      </c>
      <c r="F745">
        <f>IF($J745="","",IFERROR(SUMIFS('Weekly Log'!$F:$F,'Weekly Log'!$A:$A,"&gt;="&amp;$J745,'Weekly Log'!$A:$A,"&lt;"&amp;$J745+7)/SUMIFS('Weekly Log'!$E:$E,'Weekly Log'!$A:$A,"&gt;="&amp;$J745,'Weekly Log'!$A:$A,"&lt;"&amp;$J745+7),0))</f>
        <v/>
      </c>
      <c r="G745">
        <f>IF($J745="","",IFERROR(LOOKUP(2,1/(('Weekly Log'!$A$5:$A$5000&gt;=$J745)*('Weekly Log'!$A$5:$A$5000&lt;$J745+7)*('Weekly Log'!$M$5:$M$5000&lt;&gt;"")),'Weekly Log'!$M$5:$M$5000),0))</f>
        <v/>
      </c>
      <c r="J745">
        <f>IF(COUNT('Weekly Log'!$A$5:$A$5000)=0,"",IF(MIN('Weekly Log'!$A$5:$A$5000)+7*(ROW()-10)&gt;MAX('Weekly Log'!$A$5:$A$5000),"",MIN('Weekly Log'!$A$5:$A$5000)+7*(ROW()-10)))</f>
        <v/>
      </c>
    </row>
    <row r="746">
      <c r="A746">
        <f>IF($J746="","",YEAR($J746-WEEKDAY($J746,2)+4)&amp;"-W"&amp;TEXT(WEEKNUM($J746,21),"00"))</f>
        <v/>
      </c>
      <c r="B746">
        <f>IF($J746="","",SUMIFS('Weekly Log'!$C:$C,'Weekly Log'!$A:$A,"&gt;="&amp;$J746,'Weekly Log'!$A:$A,"&lt;"&amp;$J746+7))</f>
        <v/>
      </c>
      <c r="C746">
        <f>IF($J746="","",IFERROR(COUNTIFS('Weekly Log'!$G:$G,"Y",'Weekly Log'!$A:$A,"&gt;="&amp;$J746,'Weekly Log'!$A:$A,"&lt;"&amp;$J746+7)/COUNTIFS('Weekly Log'!$G:$G,"&lt;&gt;",'Weekly Log'!$A:$A,"&gt;="&amp;$J746,'Weekly Log'!$A:$A,"&lt;"&amp;$J746+7),0))</f>
        <v/>
      </c>
      <c r="D746">
        <f>IF($J746="","",IFERROR(COUNTIFS('Weekly Log'!$H:$H,"Y",'Weekly Log'!$A:$A,"&gt;="&amp;$J746,'Weekly Log'!$A:$A,"&lt;"&amp;$J746+7)/COUNTIFS('Weekly Log'!$H:$H,"&lt;&gt;",'Weekly Log'!$A:$A,"&gt;="&amp;$J746,'Weekly Log'!$A:$A,"&lt;"&amp;$J746+7),0))</f>
        <v/>
      </c>
      <c r="E746">
        <f>IF($J746="","",IFERROR(AVERAGEIFS('Weekly Log'!$F:$F,'Weekly Log'!$A:$A,"&gt;="&amp;$J746,'Weekly Log'!$A:$A,"&lt;"&amp;$J746+7),0))</f>
        <v/>
      </c>
      <c r="F746">
        <f>IF($J746="","",IFERROR(SUMIFS('Weekly Log'!$F:$F,'Weekly Log'!$A:$A,"&gt;="&amp;$J746,'Weekly Log'!$A:$A,"&lt;"&amp;$J746+7)/SUMIFS('Weekly Log'!$E:$E,'Weekly Log'!$A:$A,"&gt;="&amp;$J746,'Weekly Log'!$A:$A,"&lt;"&amp;$J746+7),0))</f>
        <v/>
      </c>
      <c r="G746">
        <f>IF($J746="","",IFERROR(LOOKUP(2,1/(('Weekly Log'!$A$5:$A$5000&gt;=$J746)*('Weekly Log'!$A$5:$A$5000&lt;$J746+7)*('Weekly Log'!$M$5:$M$5000&lt;&gt;"")),'Weekly Log'!$M$5:$M$5000),0))</f>
        <v/>
      </c>
      <c r="J746">
        <f>IF(COUNT('Weekly Log'!$A$5:$A$5000)=0,"",IF(MIN('Weekly Log'!$A$5:$A$5000)+7*(ROW()-10)&gt;MAX('Weekly Log'!$A$5:$A$5000),"",MIN('Weekly Log'!$A$5:$A$5000)+7*(ROW()-10)))</f>
        <v/>
      </c>
    </row>
    <row r="747">
      <c r="A747">
        <f>IF($J747="","",YEAR($J747-WEEKDAY($J747,2)+4)&amp;"-W"&amp;TEXT(WEEKNUM($J747,21),"00"))</f>
        <v/>
      </c>
      <c r="B747">
        <f>IF($J747="","",SUMIFS('Weekly Log'!$C:$C,'Weekly Log'!$A:$A,"&gt;="&amp;$J747,'Weekly Log'!$A:$A,"&lt;"&amp;$J747+7))</f>
        <v/>
      </c>
      <c r="C747">
        <f>IF($J747="","",IFERROR(COUNTIFS('Weekly Log'!$G:$G,"Y",'Weekly Log'!$A:$A,"&gt;="&amp;$J747,'Weekly Log'!$A:$A,"&lt;"&amp;$J747+7)/COUNTIFS('Weekly Log'!$G:$G,"&lt;&gt;",'Weekly Log'!$A:$A,"&gt;="&amp;$J747,'Weekly Log'!$A:$A,"&lt;"&amp;$J747+7),0))</f>
        <v/>
      </c>
      <c r="D747">
        <f>IF($J747="","",IFERROR(COUNTIFS('Weekly Log'!$H:$H,"Y",'Weekly Log'!$A:$A,"&gt;="&amp;$J747,'Weekly Log'!$A:$A,"&lt;"&amp;$J747+7)/COUNTIFS('Weekly Log'!$H:$H,"&lt;&gt;",'Weekly Log'!$A:$A,"&gt;="&amp;$J747,'Weekly Log'!$A:$A,"&lt;"&amp;$J747+7),0))</f>
        <v/>
      </c>
      <c r="E747">
        <f>IF($J747="","",IFERROR(AVERAGEIFS('Weekly Log'!$F:$F,'Weekly Log'!$A:$A,"&gt;="&amp;$J747,'Weekly Log'!$A:$A,"&lt;"&amp;$J747+7),0))</f>
        <v/>
      </c>
      <c r="F747">
        <f>IF($J747="","",IFERROR(SUMIFS('Weekly Log'!$F:$F,'Weekly Log'!$A:$A,"&gt;="&amp;$J747,'Weekly Log'!$A:$A,"&lt;"&amp;$J747+7)/SUMIFS('Weekly Log'!$E:$E,'Weekly Log'!$A:$A,"&gt;="&amp;$J747,'Weekly Log'!$A:$A,"&lt;"&amp;$J747+7),0))</f>
        <v/>
      </c>
      <c r="G747">
        <f>IF($J747="","",IFERROR(LOOKUP(2,1/(('Weekly Log'!$A$5:$A$5000&gt;=$J747)*('Weekly Log'!$A$5:$A$5000&lt;$J747+7)*('Weekly Log'!$M$5:$M$5000&lt;&gt;"")),'Weekly Log'!$M$5:$M$5000),0))</f>
        <v/>
      </c>
      <c r="J747">
        <f>IF(COUNT('Weekly Log'!$A$5:$A$5000)=0,"",IF(MIN('Weekly Log'!$A$5:$A$5000)+7*(ROW()-10)&gt;MAX('Weekly Log'!$A$5:$A$5000),"",MIN('Weekly Log'!$A$5:$A$5000)+7*(ROW()-10)))</f>
        <v/>
      </c>
    </row>
    <row r="748">
      <c r="A748">
        <f>IF($J748="","",YEAR($J748-WEEKDAY($J748,2)+4)&amp;"-W"&amp;TEXT(WEEKNUM($J748,21),"00"))</f>
        <v/>
      </c>
      <c r="B748">
        <f>IF($J748="","",SUMIFS('Weekly Log'!$C:$C,'Weekly Log'!$A:$A,"&gt;="&amp;$J748,'Weekly Log'!$A:$A,"&lt;"&amp;$J748+7))</f>
        <v/>
      </c>
      <c r="C748">
        <f>IF($J748="","",IFERROR(COUNTIFS('Weekly Log'!$G:$G,"Y",'Weekly Log'!$A:$A,"&gt;="&amp;$J748,'Weekly Log'!$A:$A,"&lt;"&amp;$J748+7)/COUNTIFS('Weekly Log'!$G:$G,"&lt;&gt;",'Weekly Log'!$A:$A,"&gt;="&amp;$J748,'Weekly Log'!$A:$A,"&lt;"&amp;$J748+7),0))</f>
        <v/>
      </c>
      <c r="D748">
        <f>IF($J748="","",IFERROR(COUNTIFS('Weekly Log'!$H:$H,"Y",'Weekly Log'!$A:$A,"&gt;="&amp;$J748,'Weekly Log'!$A:$A,"&lt;"&amp;$J748+7)/COUNTIFS('Weekly Log'!$H:$H,"&lt;&gt;",'Weekly Log'!$A:$A,"&gt;="&amp;$J748,'Weekly Log'!$A:$A,"&lt;"&amp;$J748+7),0))</f>
        <v/>
      </c>
      <c r="E748">
        <f>IF($J748="","",IFERROR(AVERAGEIFS('Weekly Log'!$F:$F,'Weekly Log'!$A:$A,"&gt;="&amp;$J748,'Weekly Log'!$A:$A,"&lt;"&amp;$J748+7),0))</f>
        <v/>
      </c>
      <c r="F748">
        <f>IF($J748="","",IFERROR(SUMIFS('Weekly Log'!$F:$F,'Weekly Log'!$A:$A,"&gt;="&amp;$J748,'Weekly Log'!$A:$A,"&lt;"&amp;$J748+7)/SUMIFS('Weekly Log'!$E:$E,'Weekly Log'!$A:$A,"&gt;="&amp;$J748,'Weekly Log'!$A:$A,"&lt;"&amp;$J748+7),0))</f>
        <v/>
      </c>
      <c r="G748">
        <f>IF($J748="","",IFERROR(LOOKUP(2,1/(('Weekly Log'!$A$5:$A$5000&gt;=$J748)*('Weekly Log'!$A$5:$A$5000&lt;$J748+7)*('Weekly Log'!$M$5:$M$5000&lt;&gt;"")),'Weekly Log'!$M$5:$M$5000),0))</f>
        <v/>
      </c>
      <c r="J748">
        <f>IF(COUNT('Weekly Log'!$A$5:$A$5000)=0,"",IF(MIN('Weekly Log'!$A$5:$A$5000)+7*(ROW()-10)&gt;MAX('Weekly Log'!$A$5:$A$5000),"",MIN('Weekly Log'!$A$5:$A$5000)+7*(ROW()-10)))</f>
        <v/>
      </c>
    </row>
    <row r="749">
      <c r="A749">
        <f>IF($J749="","",YEAR($J749-WEEKDAY($J749,2)+4)&amp;"-W"&amp;TEXT(WEEKNUM($J749,21),"00"))</f>
        <v/>
      </c>
      <c r="B749">
        <f>IF($J749="","",SUMIFS('Weekly Log'!$C:$C,'Weekly Log'!$A:$A,"&gt;="&amp;$J749,'Weekly Log'!$A:$A,"&lt;"&amp;$J749+7))</f>
        <v/>
      </c>
      <c r="C749">
        <f>IF($J749="","",IFERROR(COUNTIFS('Weekly Log'!$G:$G,"Y",'Weekly Log'!$A:$A,"&gt;="&amp;$J749,'Weekly Log'!$A:$A,"&lt;"&amp;$J749+7)/COUNTIFS('Weekly Log'!$G:$G,"&lt;&gt;",'Weekly Log'!$A:$A,"&gt;="&amp;$J749,'Weekly Log'!$A:$A,"&lt;"&amp;$J749+7),0))</f>
        <v/>
      </c>
      <c r="D749">
        <f>IF($J749="","",IFERROR(COUNTIFS('Weekly Log'!$H:$H,"Y",'Weekly Log'!$A:$A,"&gt;="&amp;$J749,'Weekly Log'!$A:$A,"&lt;"&amp;$J749+7)/COUNTIFS('Weekly Log'!$H:$H,"&lt;&gt;",'Weekly Log'!$A:$A,"&gt;="&amp;$J749,'Weekly Log'!$A:$A,"&lt;"&amp;$J749+7),0))</f>
        <v/>
      </c>
      <c r="E749">
        <f>IF($J749="","",IFERROR(AVERAGEIFS('Weekly Log'!$F:$F,'Weekly Log'!$A:$A,"&gt;="&amp;$J749,'Weekly Log'!$A:$A,"&lt;"&amp;$J749+7),0))</f>
        <v/>
      </c>
      <c r="F749">
        <f>IF($J749="","",IFERROR(SUMIFS('Weekly Log'!$F:$F,'Weekly Log'!$A:$A,"&gt;="&amp;$J749,'Weekly Log'!$A:$A,"&lt;"&amp;$J749+7)/SUMIFS('Weekly Log'!$E:$E,'Weekly Log'!$A:$A,"&gt;="&amp;$J749,'Weekly Log'!$A:$A,"&lt;"&amp;$J749+7),0))</f>
        <v/>
      </c>
      <c r="G749">
        <f>IF($J749="","",IFERROR(LOOKUP(2,1/(('Weekly Log'!$A$5:$A$5000&gt;=$J749)*('Weekly Log'!$A$5:$A$5000&lt;$J749+7)*('Weekly Log'!$M$5:$M$5000&lt;&gt;"")),'Weekly Log'!$M$5:$M$5000),0))</f>
        <v/>
      </c>
      <c r="J749">
        <f>IF(COUNT('Weekly Log'!$A$5:$A$5000)=0,"",IF(MIN('Weekly Log'!$A$5:$A$5000)+7*(ROW()-10)&gt;MAX('Weekly Log'!$A$5:$A$5000),"",MIN('Weekly Log'!$A$5:$A$5000)+7*(ROW()-10)))</f>
        <v/>
      </c>
    </row>
    <row r="750">
      <c r="A750">
        <f>IF($J750="","",YEAR($J750-WEEKDAY($J750,2)+4)&amp;"-W"&amp;TEXT(WEEKNUM($J750,21),"00"))</f>
        <v/>
      </c>
      <c r="B750">
        <f>IF($J750="","",SUMIFS('Weekly Log'!$C:$C,'Weekly Log'!$A:$A,"&gt;="&amp;$J750,'Weekly Log'!$A:$A,"&lt;"&amp;$J750+7))</f>
        <v/>
      </c>
      <c r="C750">
        <f>IF($J750="","",IFERROR(COUNTIFS('Weekly Log'!$G:$G,"Y",'Weekly Log'!$A:$A,"&gt;="&amp;$J750,'Weekly Log'!$A:$A,"&lt;"&amp;$J750+7)/COUNTIFS('Weekly Log'!$G:$G,"&lt;&gt;",'Weekly Log'!$A:$A,"&gt;="&amp;$J750,'Weekly Log'!$A:$A,"&lt;"&amp;$J750+7),0))</f>
        <v/>
      </c>
      <c r="D750">
        <f>IF($J750="","",IFERROR(COUNTIFS('Weekly Log'!$H:$H,"Y",'Weekly Log'!$A:$A,"&gt;="&amp;$J750,'Weekly Log'!$A:$A,"&lt;"&amp;$J750+7)/COUNTIFS('Weekly Log'!$H:$H,"&lt;&gt;",'Weekly Log'!$A:$A,"&gt;="&amp;$J750,'Weekly Log'!$A:$A,"&lt;"&amp;$J750+7),0))</f>
        <v/>
      </c>
      <c r="E750">
        <f>IF($J750="","",IFERROR(AVERAGEIFS('Weekly Log'!$F:$F,'Weekly Log'!$A:$A,"&gt;="&amp;$J750,'Weekly Log'!$A:$A,"&lt;"&amp;$J750+7),0))</f>
        <v/>
      </c>
      <c r="F750">
        <f>IF($J750="","",IFERROR(SUMIFS('Weekly Log'!$F:$F,'Weekly Log'!$A:$A,"&gt;="&amp;$J750,'Weekly Log'!$A:$A,"&lt;"&amp;$J750+7)/SUMIFS('Weekly Log'!$E:$E,'Weekly Log'!$A:$A,"&gt;="&amp;$J750,'Weekly Log'!$A:$A,"&lt;"&amp;$J750+7),0))</f>
        <v/>
      </c>
      <c r="G750">
        <f>IF($J750="","",IFERROR(LOOKUP(2,1/(('Weekly Log'!$A$5:$A$5000&gt;=$J750)*('Weekly Log'!$A$5:$A$5000&lt;$J750+7)*('Weekly Log'!$M$5:$M$5000&lt;&gt;"")),'Weekly Log'!$M$5:$M$5000),0))</f>
        <v/>
      </c>
      <c r="J750">
        <f>IF(COUNT('Weekly Log'!$A$5:$A$5000)=0,"",IF(MIN('Weekly Log'!$A$5:$A$5000)+7*(ROW()-10)&gt;MAX('Weekly Log'!$A$5:$A$5000),"",MIN('Weekly Log'!$A$5:$A$5000)+7*(ROW()-10)))</f>
        <v/>
      </c>
    </row>
    <row r="751">
      <c r="A751">
        <f>IF($J751="","",YEAR($J751-WEEKDAY($J751,2)+4)&amp;"-W"&amp;TEXT(WEEKNUM($J751,21),"00"))</f>
        <v/>
      </c>
      <c r="B751">
        <f>IF($J751="","",SUMIFS('Weekly Log'!$C:$C,'Weekly Log'!$A:$A,"&gt;="&amp;$J751,'Weekly Log'!$A:$A,"&lt;"&amp;$J751+7))</f>
        <v/>
      </c>
      <c r="C751">
        <f>IF($J751="","",IFERROR(COUNTIFS('Weekly Log'!$G:$G,"Y",'Weekly Log'!$A:$A,"&gt;="&amp;$J751,'Weekly Log'!$A:$A,"&lt;"&amp;$J751+7)/COUNTIFS('Weekly Log'!$G:$G,"&lt;&gt;",'Weekly Log'!$A:$A,"&gt;="&amp;$J751,'Weekly Log'!$A:$A,"&lt;"&amp;$J751+7),0))</f>
        <v/>
      </c>
      <c r="D751">
        <f>IF($J751="","",IFERROR(COUNTIFS('Weekly Log'!$H:$H,"Y",'Weekly Log'!$A:$A,"&gt;="&amp;$J751,'Weekly Log'!$A:$A,"&lt;"&amp;$J751+7)/COUNTIFS('Weekly Log'!$H:$H,"&lt;&gt;",'Weekly Log'!$A:$A,"&gt;="&amp;$J751,'Weekly Log'!$A:$A,"&lt;"&amp;$J751+7),0))</f>
        <v/>
      </c>
      <c r="E751">
        <f>IF($J751="","",IFERROR(AVERAGEIFS('Weekly Log'!$F:$F,'Weekly Log'!$A:$A,"&gt;="&amp;$J751,'Weekly Log'!$A:$A,"&lt;"&amp;$J751+7),0))</f>
        <v/>
      </c>
      <c r="F751">
        <f>IF($J751="","",IFERROR(SUMIFS('Weekly Log'!$F:$F,'Weekly Log'!$A:$A,"&gt;="&amp;$J751,'Weekly Log'!$A:$A,"&lt;"&amp;$J751+7)/SUMIFS('Weekly Log'!$E:$E,'Weekly Log'!$A:$A,"&gt;="&amp;$J751,'Weekly Log'!$A:$A,"&lt;"&amp;$J751+7),0))</f>
        <v/>
      </c>
      <c r="G751">
        <f>IF($J751="","",IFERROR(LOOKUP(2,1/(('Weekly Log'!$A$5:$A$5000&gt;=$J751)*('Weekly Log'!$A$5:$A$5000&lt;$J751+7)*('Weekly Log'!$M$5:$M$5000&lt;&gt;"")),'Weekly Log'!$M$5:$M$5000),0))</f>
        <v/>
      </c>
      <c r="J751">
        <f>IF(COUNT('Weekly Log'!$A$5:$A$5000)=0,"",IF(MIN('Weekly Log'!$A$5:$A$5000)+7*(ROW()-10)&gt;MAX('Weekly Log'!$A$5:$A$5000),"",MIN('Weekly Log'!$A$5:$A$5000)+7*(ROW()-10)))</f>
        <v/>
      </c>
    </row>
    <row r="752">
      <c r="A752">
        <f>IF($J752="","",YEAR($J752-WEEKDAY($J752,2)+4)&amp;"-W"&amp;TEXT(WEEKNUM($J752,21),"00"))</f>
        <v/>
      </c>
      <c r="B752">
        <f>IF($J752="","",SUMIFS('Weekly Log'!$C:$C,'Weekly Log'!$A:$A,"&gt;="&amp;$J752,'Weekly Log'!$A:$A,"&lt;"&amp;$J752+7))</f>
        <v/>
      </c>
      <c r="C752">
        <f>IF($J752="","",IFERROR(COUNTIFS('Weekly Log'!$G:$G,"Y",'Weekly Log'!$A:$A,"&gt;="&amp;$J752,'Weekly Log'!$A:$A,"&lt;"&amp;$J752+7)/COUNTIFS('Weekly Log'!$G:$G,"&lt;&gt;",'Weekly Log'!$A:$A,"&gt;="&amp;$J752,'Weekly Log'!$A:$A,"&lt;"&amp;$J752+7),0))</f>
        <v/>
      </c>
      <c r="D752">
        <f>IF($J752="","",IFERROR(COUNTIFS('Weekly Log'!$H:$H,"Y",'Weekly Log'!$A:$A,"&gt;="&amp;$J752,'Weekly Log'!$A:$A,"&lt;"&amp;$J752+7)/COUNTIFS('Weekly Log'!$H:$H,"&lt;&gt;",'Weekly Log'!$A:$A,"&gt;="&amp;$J752,'Weekly Log'!$A:$A,"&lt;"&amp;$J752+7),0))</f>
        <v/>
      </c>
      <c r="E752">
        <f>IF($J752="","",IFERROR(AVERAGEIFS('Weekly Log'!$F:$F,'Weekly Log'!$A:$A,"&gt;="&amp;$J752,'Weekly Log'!$A:$A,"&lt;"&amp;$J752+7),0))</f>
        <v/>
      </c>
      <c r="F752">
        <f>IF($J752="","",IFERROR(SUMIFS('Weekly Log'!$F:$F,'Weekly Log'!$A:$A,"&gt;="&amp;$J752,'Weekly Log'!$A:$A,"&lt;"&amp;$J752+7)/SUMIFS('Weekly Log'!$E:$E,'Weekly Log'!$A:$A,"&gt;="&amp;$J752,'Weekly Log'!$A:$A,"&lt;"&amp;$J752+7),0))</f>
        <v/>
      </c>
      <c r="G752">
        <f>IF($J752="","",IFERROR(LOOKUP(2,1/(('Weekly Log'!$A$5:$A$5000&gt;=$J752)*('Weekly Log'!$A$5:$A$5000&lt;$J752+7)*('Weekly Log'!$M$5:$M$5000&lt;&gt;"")),'Weekly Log'!$M$5:$M$5000),0))</f>
        <v/>
      </c>
      <c r="J752">
        <f>IF(COUNT('Weekly Log'!$A$5:$A$5000)=0,"",IF(MIN('Weekly Log'!$A$5:$A$5000)+7*(ROW()-10)&gt;MAX('Weekly Log'!$A$5:$A$5000),"",MIN('Weekly Log'!$A$5:$A$5000)+7*(ROW()-10)))</f>
        <v/>
      </c>
    </row>
    <row r="753">
      <c r="A753">
        <f>IF($J753="","",YEAR($J753-WEEKDAY($J753,2)+4)&amp;"-W"&amp;TEXT(WEEKNUM($J753,21),"00"))</f>
        <v/>
      </c>
      <c r="B753">
        <f>IF($J753="","",SUMIFS('Weekly Log'!$C:$C,'Weekly Log'!$A:$A,"&gt;="&amp;$J753,'Weekly Log'!$A:$A,"&lt;"&amp;$J753+7))</f>
        <v/>
      </c>
      <c r="C753">
        <f>IF($J753="","",IFERROR(COUNTIFS('Weekly Log'!$G:$G,"Y",'Weekly Log'!$A:$A,"&gt;="&amp;$J753,'Weekly Log'!$A:$A,"&lt;"&amp;$J753+7)/COUNTIFS('Weekly Log'!$G:$G,"&lt;&gt;",'Weekly Log'!$A:$A,"&gt;="&amp;$J753,'Weekly Log'!$A:$A,"&lt;"&amp;$J753+7),0))</f>
        <v/>
      </c>
      <c r="D753">
        <f>IF($J753="","",IFERROR(COUNTIFS('Weekly Log'!$H:$H,"Y",'Weekly Log'!$A:$A,"&gt;="&amp;$J753,'Weekly Log'!$A:$A,"&lt;"&amp;$J753+7)/COUNTIFS('Weekly Log'!$H:$H,"&lt;&gt;",'Weekly Log'!$A:$A,"&gt;="&amp;$J753,'Weekly Log'!$A:$A,"&lt;"&amp;$J753+7),0))</f>
        <v/>
      </c>
      <c r="E753">
        <f>IF($J753="","",IFERROR(AVERAGEIFS('Weekly Log'!$F:$F,'Weekly Log'!$A:$A,"&gt;="&amp;$J753,'Weekly Log'!$A:$A,"&lt;"&amp;$J753+7),0))</f>
        <v/>
      </c>
      <c r="F753">
        <f>IF($J753="","",IFERROR(SUMIFS('Weekly Log'!$F:$F,'Weekly Log'!$A:$A,"&gt;="&amp;$J753,'Weekly Log'!$A:$A,"&lt;"&amp;$J753+7)/SUMIFS('Weekly Log'!$E:$E,'Weekly Log'!$A:$A,"&gt;="&amp;$J753,'Weekly Log'!$A:$A,"&lt;"&amp;$J753+7),0))</f>
        <v/>
      </c>
      <c r="G753">
        <f>IF($J753="","",IFERROR(LOOKUP(2,1/(('Weekly Log'!$A$5:$A$5000&gt;=$J753)*('Weekly Log'!$A$5:$A$5000&lt;$J753+7)*('Weekly Log'!$M$5:$M$5000&lt;&gt;"")),'Weekly Log'!$M$5:$M$5000),0))</f>
        <v/>
      </c>
      <c r="J753">
        <f>IF(COUNT('Weekly Log'!$A$5:$A$5000)=0,"",IF(MIN('Weekly Log'!$A$5:$A$5000)+7*(ROW()-10)&gt;MAX('Weekly Log'!$A$5:$A$5000),"",MIN('Weekly Log'!$A$5:$A$5000)+7*(ROW()-10)))</f>
        <v/>
      </c>
    </row>
    <row r="754">
      <c r="A754">
        <f>IF($J754="","",YEAR($J754-WEEKDAY($J754,2)+4)&amp;"-W"&amp;TEXT(WEEKNUM($J754,21),"00"))</f>
        <v/>
      </c>
      <c r="B754">
        <f>IF($J754="","",SUMIFS('Weekly Log'!$C:$C,'Weekly Log'!$A:$A,"&gt;="&amp;$J754,'Weekly Log'!$A:$A,"&lt;"&amp;$J754+7))</f>
        <v/>
      </c>
      <c r="C754">
        <f>IF($J754="","",IFERROR(COUNTIFS('Weekly Log'!$G:$G,"Y",'Weekly Log'!$A:$A,"&gt;="&amp;$J754,'Weekly Log'!$A:$A,"&lt;"&amp;$J754+7)/COUNTIFS('Weekly Log'!$G:$G,"&lt;&gt;",'Weekly Log'!$A:$A,"&gt;="&amp;$J754,'Weekly Log'!$A:$A,"&lt;"&amp;$J754+7),0))</f>
        <v/>
      </c>
      <c r="D754">
        <f>IF($J754="","",IFERROR(COUNTIFS('Weekly Log'!$H:$H,"Y",'Weekly Log'!$A:$A,"&gt;="&amp;$J754,'Weekly Log'!$A:$A,"&lt;"&amp;$J754+7)/COUNTIFS('Weekly Log'!$H:$H,"&lt;&gt;",'Weekly Log'!$A:$A,"&gt;="&amp;$J754,'Weekly Log'!$A:$A,"&lt;"&amp;$J754+7),0))</f>
        <v/>
      </c>
      <c r="E754">
        <f>IF($J754="","",IFERROR(AVERAGEIFS('Weekly Log'!$F:$F,'Weekly Log'!$A:$A,"&gt;="&amp;$J754,'Weekly Log'!$A:$A,"&lt;"&amp;$J754+7),0))</f>
        <v/>
      </c>
      <c r="F754">
        <f>IF($J754="","",IFERROR(SUMIFS('Weekly Log'!$F:$F,'Weekly Log'!$A:$A,"&gt;="&amp;$J754,'Weekly Log'!$A:$A,"&lt;"&amp;$J754+7)/SUMIFS('Weekly Log'!$E:$E,'Weekly Log'!$A:$A,"&gt;="&amp;$J754,'Weekly Log'!$A:$A,"&lt;"&amp;$J754+7),0))</f>
        <v/>
      </c>
      <c r="G754">
        <f>IF($J754="","",IFERROR(LOOKUP(2,1/(('Weekly Log'!$A$5:$A$5000&gt;=$J754)*('Weekly Log'!$A$5:$A$5000&lt;$J754+7)*('Weekly Log'!$M$5:$M$5000&lt;&gt;"")),'Weekly Log'!$M$5:$M$5000),0))</f>
        <v/>
      </c>
      <c r="J754">
        <f>IF(COUNT('Weekly Log'!$A$5:$A$5000)=0,"",IF(MIN('Weekly Log'!$A$5:$A$5000)+7*(ROW()-10)&gt;MAX('Weekly Log'!$A$5:$A$5000),"",MIN('Weekly Log'!$A$5:$A$5000)+7*(ROW()-10)))</f>
        <v/>
      </c>
    </row>
    <row r="755">
      <c r="A755">
        <f>IF($J755="","",YEAR($J755-WEEKDAY($J755,2)+4)&amp;"-W"&amp;TEXT(WEEKNUM($J755,21),"00"))</f>
        <v/>
      </c>
      <c r="B755">
        <f>IF($J755="","",SUMIFS('Weekly Log'!$C:$C,'Weekly Log'!$A:$A,"&gt;="&amp;$J755,'Weekly Log'!$A:$A,"&lt;"&amp;$J755+7))</f>
        <v/>
      </c>
      <c r="C755">
        <f>IF($J755="","",IFERROR(COUNTIFS('Weekly Log'!$G:$G,"Y",'Weekly Log'!$A:$A,"&gt;="&amp;$J755,'Weekly Log'!$A:$A,"&lt;"&amp;$J755+7)/COUNTIFS('Weekly Log'!$G:$G,"&lt;&gt;",'Weekly Log'!$A:$A,"&gt;="&amp;$J755,'Weekly Log'!$A:$A,"&lt;"&amp;$J755+7),0))</f>
        <v/>
      </c>
      <c r="D755">
        <f>IF($J755="","",IFERROR(COUNTIFS('Weekly Log'!$H:$H,"Y",'Weekly Log'!$A:$A,"&gt;="&amp;$J755,'Weekly Log'!$A:$A,"&lt;"&amp;$J755+7)/COUNTIFS('Weekly Log'!$H:$H,"&lt;&gt;",'Weekly Log'!$A:$A,"&gt;="&amp;$J755,'Weekly Log'!$A:$A,"&lt;"&amp;$J755+7),0))</f>
        <v/>
      </c>
      <c r="E755">
        <f>IF($J755="","",IFERROR(AVERAGEIFS('Weekly Log'!$F:$F,'Weekly Log'!$A:$A,"&gt;="&amp;$J755,'Weekly Log'!$A:$A,"&lt;"&amp;$J755+7),0))</f>
        <v/>
      </c>
      <c r="F755">
        <f>IF($J755="","",IFERROR(SUMIFS('Weekly Log'!$F:$F,'Weekly Log'!$A:$A,"&gt;="&amp;$J755,'Weekly Log'!$A:$A,"&lt;"&amp;$J755+7)/SUMIFS('Weekly Log'!$E:$E,'Weekly Log'!$A:$A,"&gt;="&amp;$J755,'Weekly Log'!$A:$A,"&lt;"&amp;$J755+7),0))</f>
        <v/>
      </c>
      <c r="G755">
        <f>IF($J755="","",IFERROR(LOOKUP(2,1/(('Weekly Log'!$A$5:$A$5000&gt;=$J755)*('Weekly Log'!$A$5:$A$5000&lt;$J755+7)*('Weekly Log'!$M$5:$M$5000&lt;&gt;"")),'Weekly Log'!$M$5:$M$5000),0))</f>
        <v/>
      </c>
      <c r="J755">
        <f>IF(COUNT('Weekly Log'!$A$5:$A$5000)=0,"",IF(MIN('Weekly Log'!$A$5:$A$5000)+7*(ROW()-10)&gt;MAX('Weekly Log'!$A$5:$A$5000),"",MIN('Weekly Log'!$A$5:$A$5000)+7*(ROW()-10)))</f>
        <v/>
      </c>
    </row>
    <row r="756">
      <c r="A756">
        <f>IF($J756="","",YEAR($J756-WEEKDAY($J756,2)+4)&amp;"-W"&amp;TEXT(WEEKNUM($J756,21),"00"))</f>
        <v/>
      </c>
      <c r="B756">
        <f>IF($J756="","",SUMIFS('Weekly Log'!$C:$C,'Weekly Log'!$A:$A,"&gt;="&amp;$J756,'Weekly Log'!$A:$A,"&lt;"&amp;$J756+7))</f>
        <v/>
      </c>
      <c r="C756">
        <f>IF($J756="","",IFERROR(COUNTIFS('Weekly Log'!$G:$G,"Y",'Weekly Log'!$A:$A,"&gt;="&amp;$J756,'Weekly Log'!$A:$A,"&lt;"&amp;$J756+7)/COUNTIFS('Weekly Log'!$G:$G,"&lt;&gt;",'Weekly Log'!$A:$A,"&gt;="&amp;$J756,'Weekly Log'!$A:$A,"&lt;"&amp;$J756+7),0))</f>
        <v/>
      </c>
      <c r="D756">
        <f>IF($J756="","",IFERROR(COUNTIFS('Weekly Log'!$H:$H,"Y",'Weekly Log'!$A:$A,"&gt;="&amp;$J756,'Weekly Log'!$A:$A,"&lt;"&amp;$J756+7)/COUNTIFS('Weekly Log'!$H:$H,"&lt;&gt;",'Weekly Log'!$A:$A,"&gt;="&amp;$J756,'Weekly Log'!$A:$A,"&lt;"&amp;$J756+7),0))</f>
        <v/>
      </c>
      <c r="E756">
        <f>IF($J756="","",IFERROR(AVERAGEIFS('Weekly Log'!$F:$F,'Weekly Log'!$A:$A,"&gt;="&amp;$J756,'Weekly Log'!$A:$A,"&lt;"&amp;$J756+7),0))</f>
        <v/>
      </c>
      <c r="F756">
        <f>IF($J756="","",IFERROR(SUMIFS('Weekly Log'!$F:$F,'Weekly Log'!$A:$A,"&gt;="&amp;$J756,'Weekly Log'!$A:$A,"&lt;"&amp;$J756+7)/SUMIFS('Weekly Log'!$E:$E,'Weekly Log'!$A:$A,"&gt;="&amp;$J756,'Weekly Log'!$A:$A,"&lt;"&amp;$J756+7),0))</f>
        <v/>
      </c>
      <c r="G756">
        <f>IF($J756="","",IFERROR(LOOKUP(2,1/(('Weekly Log'!$A$5:$A$5000&gt;=$J756)*('Weekly Log'!$A$5:$A$5000&lt;$J756+7)*('Weekly Log'!$M$5:$M$5000&lt;&gt;"")),'Weekly Log'!$M$5:$M$5000),0))</f>
        <v/>
      </c>
      <c r="J756">
        <f>IF(COUNT('Weekly Log'!$A$5:$A$5000)=0,"",IF(MIN('Weekly Log'!$A$5:$A$5000)+7*(ROW()-10)&gt;MAX('Weekly Log'!$A$5:$A$5000),"",MIN('Weekly Log'!$A$5:$A$5000)+7*(ROW()-10)))</f>
        <v/>
      </c>
    </row>
    <row r="757">
      <c r="A757">
        <f>IF($J757="","",YEAR($J757-WEEKDAY($J757,2)+4)&amp;"-W"&amp;TEXT(WEEKNUM($J757,21),"00"))</f>
        <v/>
      </c>
      <c r="B757">
        <f>IF($J757="","",SUMIFS('Weekly Log'!$C:$C,'Weekly Log'!$A:$A,"&gt;="&amp;$J757,'Weekly Log'!$A:$A,"&lt;"&amp;$J757+7))</f>
        <v/>
      </c>
      <c r="C757">
        <f>IF($J757="","",IFERROR(COUNTIFS('Weekly Log'!$G:$G,"Y",'Weekly Log'!$A:$A,"&gt;="&amp;$J757,'Weekly Log'!$A:$A,"&lt;"&amp;$J757+7)/COUNTIFS('Weekly Log'!$G:$G,"&lt;&gt;",'Weekly Log'!$A:$A,"&gt;="&amp;$J757,'Weekly Log'!$A:$A,"&lt;"&amp;$J757+7),0))</f>
        <v/>
      </c>
      <c r="D757">
        <f>IF($J757="","",IFERROR(COUNTIFS('Weekly Log'!$H:$H,"Y",'Weekly Log'!$A:$A,"&gt;="&amp;$J757,'Weekly Log'!$A:$A,"&lt;"&amp;$J757+7)/COUNTIFS('Weekly Log'!$H:$H,"&lt;&gt;",'Weekly Log'!$A:$A,"&gt;="&amp;$J757,'Weekly Log'!$A:$A,"&lt;"&amp;$J757+7),0))</f>
        <v/>
      </c>
      <c r="E757">
        <f>IF($J757="","",IFERROR(AVERAGEIFS('Weekly Log'!$F:$F,'Weekly Log'!$A:$A,"&gt;="&amp;$J757,'Weekly Log'!$A:$A,"&lt;"&amp;$J757+7),0))</f>
        <v/>
      </c>
      <c r="F757">
        <f>IF($J757="","",IFERROR(SUMIFS('Weekly Log'!$F:$F,'Weekly Log'!$A:$A,"&gt;="&amp;$J757,'Weekly Log'!$A:$A,"&lt;"&amp;$J757+7)/SUMIFS('Weekly Log'!$E:$E,'Weekly Log'!$A:$A,"&gt;="&amp;$J757,'Weekly Log'!$A:$A,"&lt;"&amp;$J757+7),0))</f>
        <v/>
      </c>
      <c r="G757">
        <f>IF($J757="","",IFERROR(LOOKUP(2,1/(('Weekly Log'!$A$5:$A$5000&gt;=$J757)*('Weekly Log'!$A$5:$A$5000&lt;$J757+7)*('Weekly Log'!$M$5:$M$5000&lt;&gt;"")),'Weekly Log'!$M$5:$M$5000),0))</f>
        <v/>
      </c>
      <c r="J757">
        <f>IF(COUNT('Weekly Log'!$A$5:$A$5000)=0,"",IF(MIN('Weekly Log'!$A$5:$A$5000)+7*(ROW()-10)&gt;MAX('Weekly Log'!$A$5:$A$5000),"",MIN('Weekly Log'!$A$5:$A$5000)+7*(ROW()-10)))</f>
        <v/>
      </c>
    </row>
    <row r="758">
      <c r="A758">
        <f>IF($J758="","",YEAR($J758-WEEKDAY($J758,2)+4)&amp;"-W"&amp;TEXT(WEEKNUM($J758,21),"00"))</f>
        <v/>
      </c>
      <c r="B758">
        <f>IF($J758="","",SUMIFS('Weekly Log'!$C:$C,'Weekly Log'!$A:$A,"&gt;="&amp;$J758,'Weekly Log'!$A:$A,"&lt;"&amp;$J758+7))</f>
        <v/>
      </c>
      <c r="C758">
        <f>IF($J758="","",IFERROR(COUNTIFS('Weekly Log'!$G:$G,"Y",'Weekly Log'!$A:$A,"&gt;="&amp;$J758,'Weekly Log'!$A:$A,"&lt;"&amp;$J758+7)/COUNTIFS('Weekly Log'!$G:$G,"&lt;&gt;",'Weekly Log'!$A:$A,"&gt;="&amp;$J758,'Weekly Log'!$A:$A,"&lt;"&amp;$J758+7),0))</f>
        <v/>
      </c>
      <c r="D758">
        <f>IF($J758="","",IFERROR(COUNTIFS('Weekly Log'!$H:$H,"Y",'Weekly Log'!$A:$A,"&gt;="&amp;$J758,'Weekly Log'!$A:$A,"&lt;"&amp;$J758+7)/COUNTIFS('Weekly Log'!$H:$H,"&lt;&gt;",'Weekly Log'!$A:$A,"&gt;="&amp;$J758,'Weekly Log'!$A:$A,"&lt;"&amp;$J758+7),0))</f>
        <v/>
      </c>
      <c r="E758">
        <f>IF($J758="","",IFERROR(AVERAGEIFS('Weekly Log'!$F:$F,'Weekly Log'!$A:$A,"&gt;="&amp;$J758,'Weekly Log'!$A:$A,"&lt;"&amp;$J758+7),0))</f>
        <v/>
      </c>
      <c r="F758">
        <f>IF($J758="","",IFERROR(SUMIFS('Weekly Log'!$F:$F,'Weekly Log'!$A:$A,"&gt;="&amp;$J758,'Weekly Log'!$A:$A,"&lt;"&amp;$J758+7)/SUMIFS('Weekly Log'!$E:$E,'Weekly Log'!$A:$A,"&gt;="&amp;$J758,'Weekly Log'!$A:$A,"&lt;"&amp;$J758+7),0))</f>
        <v/>
      </c>
      <c r="G758">
        <f>IF($J758="","",IFERROR(LOOKUP(2,1/(('Weekly Log'!$A$5:$A$5000&gt;=$J758)*('Weekly Log'!$A$5:$A$5000&lt;$J758+7)*('Weekly Log'!$M$5:$M$5000&lt;&gt;"")),'Weekly Log'!$M$5:$M$5000),0))</f>
        <v/>
      </c>
      <c r="J758">
        <f>IF(COUNT('Weekly Log'!$A$5:$A$5000)=0,"",IF(MIN('Weekly Log'!$A$5:$A$5000)+7*(ROW()-10)&gt;MAX('Weekly Log'!$A$5:$A$5000),"",MIN('Weekly Log'!$A$5:$A$5000)+7*(ROW()-10)))</f>
        <v/>
      </c>
    </row>
    <row r="759">
      <c r="A759">
        <f>IF($J759="","",YEAR($J759-WEEKDAY($J759,2)+4)&amp;"-W"&amp;TEXT(WEEKNUM($J759,21),"00"))</f>
        <v/>
      </c>
      <c r="B759">
        <f>IF($J759="","",SUMIFS('Weekly Log'!$C:$C,'Weekly Log'!$A:$A,"&gt;="&amp;$J759,'Weekly Log'!$A:$A,"&lt;"&amp;$J759+7))</f>
        <v/>
      </c>
      <c r="C759">
        <f>IF($J759="","",IFERROR(COUNTIFS('Weekly Log'!$G:$G,"Y",'Weekly Log'!$A:$A,"&gt;="&amp;$J759,'Weekly Log'!$A:$A,"&lt;"&amp;$J759+7)/COUNTIFS('Weekly Log'!$G:$G,"&lt;&gt;",'Weekly Log'!$A:$A,"&gt;="&amp;$J759,'Weekly Log'!$A:$A,"&lt;"&amp;$J759+7),0))</f>
        <v/>
      </c>
      <c r="D759">
        <f>IF($J759="","",IFERROR(COUNTIFS('Weekly Log'!$H:$H,"Y",'Weekly Log'!$A:$A,"&gt;="&amp;$J759,'Weekly Log'!$A:$A,"&lt;"&amp;$J759+7)/COUNTIFS('Weekly Log'!$H:$H,"&lt;&gt;",'Weekly Log'!$A:$A,"&gt;="&amp;$J759,'Weekly Log'!$A:$A,"&lt;"&amp;$J759+7),0))</f>
        <v/>
      </c>
      <c r="E759">
        <f>IF($J759="","",IFERROR(AVERAGEIFS('Weekly Log'!$F:$F,'Weekly Log'!$A:$A,"&gt;="&amp;$J759,'Weekly Log'!$A:$A,"&lt;"&amp;$J759+7),0))</f>
        <v/>
      </c>
      <c r="F759">
        <f>IF($J759="","",IFERROR(SUMIFS('Weekly Log'!$F:$F,'Weekly Log'!$A:$A,"&gt;="&amp;$J759,'Weekly Log'!$A:$A,"&lt;"&amp;$J759+7)/SUMIFS('Weekly Log'!$E:$E,'Weekly Log'!$A:$A,"&gt;="&amp;$J759,'Weekly Log'!$A:$A,"&lt;"&amp;$J759+7),0))</f>
        <v/>
      </c>
      <c r="G759">
        <f>IF($J759="","",IFERROR(LOOKUP(2,1/(('Weekly Log'!$A$5:$A$5000&gt;=$J759)*('Weekly Log'!$A$5:$A$5000&lt;$J759+7)*('Weekly Log'!$M$5:$M$5000&lt;&gt;"")),'Weekly Log'!$M$5:$M$5000),0))</f>
        <v/>
      </c>
      <c r="J759">
        <f>IF(COUNT('Weekly Log'!$A$5:$A$5000)=0,"",IF(MIN('Weekly Log'!$A$5:$A$5000)+7*(ROW()-10)&gt;MAX('Weekly Log'!$A$5:$A$5000),"",MIN('Weekly Log'!$A$5:$A$5000)+7*(ROW()-10)))</f>
        <v/>
      </c>
    </row>
    <row r="760">
      <c r="A760">
        <f>IF($J760="","",YEAR($J760-WEEKDAY($J760,2)+4)&amp;"-W"&amp;TEXT(WEEKNUM($J760,21),"00"))</f>
        <v/>
      </c>
      <c r="B760">
        <f>IF($J760="","",SUMIFS('Weekly Log'!$C:$C,'Weekly Log'!$A:$A,"&gt;="&amp;$J760,'Weekly Log'!$A:$A,"&lt;"&amp;$J760+7))</f>
        <v/>
      </c>
      <c r="C760">
        <f>IF($J760="","",IFERROR(COUNTIFS('Weekly Log'!$G:$G,"Y",'Weekly Log'!$A:$A,"&gt;="&amp;$J760,'Weekly Log'!$A:$A,"&lt;"&amp;$J760+7)/COUNTIFS('Weekly Log'!$G:$G,"&lt;&gt;",'Weekly Log'!$A:$A,"&gt;="&amp;$J760,'Weekly Log'!$A:$A,"&lt;"&amp;$J760+7),0))</f>
        <v/>
      </c>
      <c r="D760">
        <f>IF($J760="","",IFERROR(COUNTIFS('Weekly Log'!$H:$H,"Y",'Weekly Log'!$A:$A,"&gt;="&amp;$J760,'Weekly Log'!$A:$A,"&lt;"&amp;$J760+7)/COUNTIFS('Weekly Log'!$H:$H,"&lt;&gt;",'Weekly Log'!$A:$A,"&gt;="&amp;$J760,'Weekly Log'!$A:$A,"&lt;"&amp;$J760+7),0))</f>
        <v/>
      </c>
      <c r="E760">
        <f>IF($J760="","",IFERROR(AVERAGEIFS('Weekly Log'!$F:$F,'Weekly Log'!$A:$A,"&gt;="&amp;$J760,'Weekly Log'!$A:$A,"&lt;"&amp;$J760+7),0))</f>
        <v/>
      </c>
      <c r="F760">
        <f>IF($J760="","",IFERROR(SUMIFS('Weekly Log'!$F:$F,'Weekly Log'!$A:$A,"&gt;="&amp;$J760,'Weekly Log'!$A:$A,"&lt;"&amp;$J760+7)/SUMIFS('Weekly Log'!$E:$E,'Weekly Log'!$A:$A,"&gt;="&amp;$J760,'Weekly Log'!$A:$A,"&lt;"&amp;$J760+7),0))</f>
        <v/>
      </c>
      <c r="G760">
        <f>IF($J760="","",IFERROR(LOOKUP(2,1/(('Weekly Log'!$A$5:$A$5000&gt;=$J760)*('Weekly Log'!$A$5:$A$5000&lt;$J760+7)*('Weekly Log'!$M$5:$M$5000&lt;&gt;"")),'Weekly Log'!$M$5:$M$5000),0))</f>
        <v/>
      </c>
      <c r="J760">
        <f>IF(COUNT('Weekly Log'!$A$5:$A$5000)=0,"",IF(MIN('Weekly Log'!$A$5:$A$5000)+7*(ROW()-10)&gt;MAX('Weekly Log'!$A$5:$A$5000),"",MIN('Weekly Log'!$A$5:$A$5000)+7*(ROW()-10)))</f>
        <v/>
      </c>
    </row>
    <row r="761">
      <c r="A761">
        <f>IF($J761="","",YEAR($J761-WEEKDAY($J761,2)+4)&amp;"-W"&amp;TEXT(WEEKNUM($J761,21),"00"))</f>
        <v/>
      </c>
      <c r="B761">
        <f>IF($J761="","",SUMIFS('Weekly Log'!$C:$C,'Weekly Log'!$A:$A,"&gt;="&amp;$J761,'Weekly Log'!$A:$A,"&lt;"&amp;$J761+7))</f>
        <v/>
      </c>
      <c r="C761">
        <f>IF($J761="","",IFERROR(COUNTIFS('Weekly Log'!$G:$G,"Y",'Weekly Log'!$A:$A,"&gt;="&amp;$J761,'Weekly Log'!$A:$A,"&lt;"&amp;$J761+7)/COUNTIFS('Weekly Log'!$G:$G,"&lt;&gt;",'Weekly Log'!$A:$A,"&gt;="&amp;$J761,'Weekly Log'!$A:$A,"&lt;"&amp;$J761+7),0))</f>
        <v/>
      </c>
      <c r="D761">
        <f>IF($J761="","",IFERROR(COUNTIFS('Weekly Log'!$H:$H,"Y",'Weekly Log'!$A:$A,"&gt;="&amp;$J761,'Weekly Log'!$A:$A,"&lt;"&amp;$J761+7)/COUNTIFS('Weekly Log'!$H:$H,"&lt;&gt;",'Weekly Log'!$A:$A,"&gt;="&amp;$J761,'Weekly Log'!$A:$A,"&lt;"&amp;$J761+7),0))</f>
        <v/>
      </c>
      <c r="E761">
        <f>IF($J761="","",IFERROR(AVERAGEIFS('Weekly Log'!$F:$F,'Weekly Log'!$A:$A,"&gt;="&amp;$J761,'Weekly Log'!$A:$A,"&lt;"&amp;$J761+7),0))</f>
        <v/>
      </c>
      <c r="F761">
        <f>IF($J761="","",IFERROR(SUMIFS('Weekly Log'!$F:$F,'Weekly Log'!$A:$A,"&gt;="&amp;$J761,'Weekly Log'!$A:$A,"&lt;"&amp;$J761+7)/SUMIFS('Weekly Log'!$E:$E,'Weekly Log'!$A:$A,"&gt;="&amp;$J761,'Weekly Log'!$A:$A,"&lt;"&amp;$J761+7),0))</f>
        <v/>
      </c>
      <c r="G761">
        <f>IF($J761="","",IFERROR(LOOKUP(2,1/(('Weekly Log'!$A$5:$A$5000&gt;=$J761)*('Weekly Log'!$A$5:$A$5000&lt;$J761+7)*('Weekly Log'!$M$5:$M$5000&lt;&gt;"")),'Weekly Log'!$M$5:$M$5000),0))</f>
        <v/>
      </c>
      <c r="J761">
        <f>IF(COUNT('Weekly Log'!$A$5:$A$5000)=0,"",IF(MIN('Weekly Log'!$A$5:$A$5000)+7*(ROW()-10)&gt;MAX('Weekly Log'!$A$5:$A$5000),"",MIN('Weekly Log'!$A$5:$A$5000)+7*(ROW()-10)))</f>
        <v/>
      </c>
    </row>
    <row r="762">
      <c r="A762">
        <f>IF($J762="","",YEAR($J762-WEEKDAY($J762,2)+4)&amp;"-W"&amp;TEXT(WEEKNUM($J762,21),"00"))</f>
        <v/>
      </c>
      <c r="B762">
        <f>IF($J762="","",SUMIFS('Weekly Log'!$C:$C,'Weekly Log'!$A:$A,"&gt;="&amp;$J762,'Weekly Log'!$A:$A,"&lt;"&amp;$J762+7))</f>
        <v/>
      </c>
      <c r="C762">
        <f>IF($J762="","",IFERROR(COUNTIFS('Weekly Log'!$G:$G,"Y",'Weekly Log'!$A:$A,"&gt;="&amp;$J762,'Weekly Log'!$A:$A,"&lt;"&amp;$J762+7)/COUNTIFS('Weekly Log'!$G:$G,"&lt;&gt;",'Weekly Log'!$A:$A,"&gt;="&amp;$J762,'Weekly Log'!$A:$A,"&lt;"&amp;$J762+7),0))</f>
        <v/>
      </c>
      <c r="D762">
        <f>IF($J762="","",IFERROR(COUNTIFS('Weekly Log'!$H:$H,"Y",'Weekly Log'!$A:$A,"&gt;="&amp;$J762,'Weekly Log'!$A:$A,"&lt;"&amp;$J762+7)/COUNTIFS('Weekly Log'!$H:$H,"&lt;&gt;",'Weekly Log'!$A:$A,"&gt;="&amp;$J762,'Weekly Log'!$A:$A,"&lt;"&amp;$J762+7),0))</f>
        <v/>
      </c>
      <c r="E762">
        <f>IF($J762="","",IFERROR(AVERAGEIFS('Weekly Log'!$F:$F,'Weekly Log'!$A:$A,"&gt;="&amp;$J762,'Weekly Log'!$A:$A,"&lt;"&amp;$J762+7),0))</f>
        <v/>
      </c>
      <c r="F762">
        <f>IF($J762="","",IFERROR(SUMIFS('Weekly Log'!$F:$F,'Weekly Log'!$A:$A,"&gt;="&amp;$J762,'Weekly Log'!$A:$A,"&lt;"&amp;$J762+7)/SUMIFS('Weekly Log'!$E:$E,'Weekly Log'!$A:$A,"&gt;="&amp;$J762,'Weekly Log'!$A:$A,"&lt;"&amp;$J762+7),0))</f>
        <v/>
      </c>
      <c r="G762">
        <f>IF($J762="","",IFERROR(LOOKUP(2,1/(('Weekly Log'!$A$5:$A$5000&gt;=$J762)*('Weekly Log'!$A$5:$A$5000&lt;$J762+7)*('Weekly Log'!$M$5:$M$5000&lt;&gt;"")),'Weekly Log'!$M$5:$M$5000),0))</f>
        <v/>
      </c>
      <c r="J762">
        <f>IF(COUNT('Weekly Log'!$A$5:$A$5000)=0,"",IF(MIN('Weekly Log'!$A$5:$A$5000)+7*(ROW()-10)&gt;MAX('Weekly Log'!$A$5:$A$5000),"",MIN('Weekly Log'!$A$5:$A$5000)+7*(ROW()-10)))</f>
        <v/>
      </c>
    </row>
    <row r="763">
      <c r="A763">
        <f>IF($J763="","",YEAR($J763-WEEKDAY($J763,2)+4)&amp;"-W"&amp;TEXT(WEEKNUM($J763,21),"00"))</f>
        <v/>
      </c>
      <c r="B763">
        <f>IF($J763="","",SUMIFS('Weekly Log'!$C:$C,'Weekly Log'!$A:$A,"&gt;="&amp;$J763,'Weekly Log'!$A:$A,"&lt;"&amp;$J763+7))</f>
        <v/>
      </c>
      <c r="C763">
        <f>IF($J763="","",IFERROR(COUNTIFS('Weekly Log'!$G:$G,"Y",'Weekly Log'!$A:$A,"&gt;="&amp;$J763,'Weekly Log'!$A:$A,"&lt;"&amp;$J763+7)/COUNTIFS('Weekly Log'!$G:$G,"&lt;&gt;",'Weekly Log'!$A:$A,"&gt;="&amp;$J763,'Weekly Log'!$A:$A,"&lt;"&amp;$J763+7),0))</f>
        <v/>
      </c>
      <c r="D763">
        <f>IF($J763="","",IFERROR(COUNTIFS('Weekly Log'!$H:$H,"Y",'Weekly Log'!$A:$A,"&gt;="&amp;$J763,'Weekly Log'!$A:$A,"&lt;"&amp;$J763+7)/COUNTIFS('Weekly Log'!$H:$H,"&lt;&gt;",'Weekly Log'!$A:$A,"&gt;="&amp;$J763,'Weekly Log'!$A:$A,"&lt;"&amp;$J763+7),0))</f>
        <v/>
      </c>
      <c r="E763">
        <f>IF($J763="","",IFERROR(AVERAGEIFS('Weekly Log'!$F:$F,'Weekly Log'!$A:$A,"&gt;="&amp;$J763,'Weekly Log'!$A:$A,"&lt;"&amp;$J763+7),0))</f>
        <v/>
      </c>
      <c r="F763">
        <f>IF($J763="","",IFERROR(SUMIFS('Weekly Log'!$F:$F,'Weekly Log'!$A:$A,"&gt;="&amp;$J763,'Weekly Log'!$A:$A,"&lt;"&amp;$J763+7)/SUMIFS('Weekly Log'!$E:$E,'Weekly Log'!$A:$A,"&gt;="&amp;$J763,'Weekly Log'!$A:$A,"&lt;"&amp;$J763+7),0))</f>
        <v/>
      </c>
      <c r="G763">
        <f>IF($J763="","",IFERROR(LOOKUP(2,1/(('Weekly Log'!$A$5:$A$5000&gt;=$J763)*('Weekly Log'!$A$5:$A$5000&lt;$J763+7)*('Weekly Log'!$M$5:$M$5000&lt;&gt;"")),'Weekly Log'!$M$5:$M$5000),0))</f>
        <v/>
      </c>
      <c r="J763">
        <f>IF(COUNT('Weekly Log'!$A$5:$A$5000)=0,"",IF(MIN('Weekly Log'!$A$5:$A$5000)+7*(ROW()-10)&gt;MAX('Weekly Log'!$A$5:$A$5000),"",MIN('Weekly Log'!$A$5:$A$5000)+7*(ROW()-10)))</f>
        <v/>
      </c>
    </row>
    <row r="764">
      <c r="A764">
        <f>IF($J764="","",YEAR($J764-WEEKDAY($J764,2)+4)&amp;"-W"&amp;TEXT(WEEKNUM($J764,21),"00"))</f>
        <v/>
      </c>
      <c r="B764">
        <f>IF($J764="","",SUMIFS('Weekly Log'!$C:$C,'Weekly Log'!$A:$A,"&gt;="&amp;$J764,'Weekly Log'!$A:$A,"&lt;"&amp;$J764+7))</f>
        <v/>
      </c>
      <c r="C764">
        <f>IF($J764="","",IFERROR(COUNTIFS('Weekly Log'!$G:$G,"Y",'Weekly Log'!$A:$A,"&gt;="&amp;$J764,'Weekly Log'!$A:$A,"&lt;"&amp;$J764+7)/COUNTIFS('Weekly Log'!$G:$G,"&lt;&gt;",'Weekly Log'!$A:$A,"&gt;="&amp;$J764,'Weekly Log'!$A:$A,"&lt;"&amp;$J764+7),0))</f>
        <v/>
      </c>
      <c r="D764">
        <f>IF($J764="","",IFERROR(COUNTIFS('Weekly Log'!$H:$H,"Y",'Weekly Log'!$A:$A,"&gt;="&amp;$J764,'Weekly Log'!$A:$A,"&lt;"&amp;$J764+7)/COUNTIFS('Weekly Log'!$H:$H,"&lt;&gt;",'Weekly Log'!$A:$A,"&gt;="&amp;$J764,'Weekly Log'!$A:$A,"&lt;"&amp;$J764+7),0))</f>
        <v/>
      </c>
      <c r="E764">
        <f>IF($J764="","",IFERROR(AVERAGEIFS('Weekly Log'!$F:$F,'Weekly Log'!$A:$A,"&gt;="&amp;$J764,'Weekly Log'!$A:$A,"&lt;"&amp;$J764+7),0))</f>
        <v/>
      </c>
      <c r="F764">
        <f>IF($J764="","",IFERROR(SUMIFS('Weekly Log'!$F:$F,'Weekly Log'!$A:$A,"&gt;="&amp;$J764,'Weekly Log'!$A:$A,"&lt;"&amp;$J764+7)/SUMIFS('Weekly Log'!$E:$E,'Weekly Log'!$A:$A,"&gt;="&amp;$J764,'Weekly Log'!$A:$A,"&lt;"&amp;$J764+7),0))</f>
        <v/>
      </c>
      <c r="G764">
        <f>IF($J764="","",IFERROR(LOOKUP(2,1/(('Weekly Log'!$A$5:$A$5000&gt;=$J764)*('Weekly Log'!$A$5:$A$5000&lt;$J764+7)*('Weekly Log'!$M$5:$M$5000&lt;&gt;"")),'Weekly Log'!$M$5:$M$5000),0))</f>
        <v/>
      </c>
      <c r="J764">
        <f>IF(COUNT('Weekly Log'!$A$5:$A$5000)=0,"",IF(MIN('Weekly Log'!$A$5:$A$5000)+7*(ROW()-10)&gt;MAX('Weekly Log'!$A$5:$A$5000),"",MIN('Weekly Log'!$A$5:$A$5000)+7*(ROW()-10)))</f>
        <v/>
      </c>
    </row>
    <row r="765">
      <c r="A765">
        <f>IF($J765="","",YEAR($J765-WEEKDAY($J765,2)+4)&amp;"-W"&amp;TEXT(WEEKNUM($J765,21),"00"))</f>
        <v/>
      </c>
      <c r="B765">
        <f>IF($J765="","",SUMIFS('Weekly Log'!$C:$C,'Weekly Log'!$A:$A,"&gt;="&amp;$J765,'Weekly Log'!$A:$A,"&lt;"&amp;$J765+7))</f>
        <v/>
      </c>
      <c r="C765">
        <f>IF($J765="","",IFERROR(COUNTIFS('Weekly Log'!$G:$G,"Y",'Weekly Log'!$A:$A,"&gt;="&amp;$J765,'Weekly Log'!$A:$A,"&lt;"&amp;$J765+7)/COUNTIFS('Weekly Log'!$G:$G,"&lt;&gt;",'Weekly Log'!$A:$A,"&gt;="&amp;$J765,'Weekly Log'!$A:$A,"&lt;"&amp;$J765+7),0))</f>
        <v/>
      </c>
      <c r="D765">
        <f>IF($J765="","",IFERROR(COUNTIFS('Weekly Log'!$H:$H,"Y",'Weekly Log'!$A:$A,"&gt;="&amp;$J765,'Weekly Log'!$A:$A,"&lt;"&amp;$J765+7)/COUNTIFS('Weekly Log'!$H:$H,"&lt;&gt;",'Weekly Log'!$A:$A,"&gt;="&amp;$J765,'Weekly Log'!$A:$A,"&lt;"&amp;$J765+7),0))</f>
        <v/>
      </c>
      <c r="E765">
        <f>IF($J765="","",IFERROR(AVERAGEIFS('Weekly Log'!$F:$F,'Weekly Log'!$A:$A,"&gt;="&amp;$J765,'Weekly Log'!$A:$A,"&lt;"&amp;$J765+7),0))</f>
        <v/>
      </c>
      <c r="F765">
        <f>IF($J765="","",IFERROR(SUMIFS('Weekly Log'!$F:$F,'Weekly Log'!$A:$A,"&gt;="&amp;$J765,'Weekly Log'!$A:$A,"&lt;"&amp;$J765+7)/SUMIFS('Weekly Log'!$E:$E,'Weekly Log'!$A:$A,"&gt;="&amp;$J765,'Weekly Log'!$A:$A,"&lt;"&amp;$J765+7),0))</f>
        <v/>
      </c>
      <c r="G765">
        <f>IF($J765="","",IFERROR(LOOKUP(2,1/(('Weekly Log'!$A$5:$A$5000&gt;=$J765)*('Weekly Log'!$A$5:$A$5000&lt;$J765+7)*('Weekly Log'!$M$5:$M$5000&lt;&gt;"")),'Weekly Log'!$M$5:$M$5000),0))</f>
        <v/>
      </c>
      <c r="J765">
        <f>IF(COUNT('Weekly Log'!$A$5:$A$5000)=0,"",IF(MIN('Weekly Log'!$A$5:$A$5000)+7*(ROW()-10)&gt;MAX('Weekly Log'!$A$5:$A$5000),"",MIN('Weekly Log'!$A$5:$A$5000)+7*(ROW()-10)))</f>
        <v/>
      </c>
    </row>
    <row r="766">
      <c r="A766">
        <f>IF($J766="","",YEAR($J766-WEEKDAY($J766,2)+4)&amp;"-W"&amp;TEXT(WEEKNUM($J766,21),"00"))</f>
        <v/>
      </c>
      <c r="B766">
        <f>IF($J766="","",SUMIFS('Weekly Log'!$C:$C,'Weekly Log'!$A:$A,"&gt;="&amp;$J766,'Weekly Log'!$A:$A,"&lt;"&amp;$J766+7))</f>
        <v/>
      </c>
      <c r="C766">
        <f>IF($J766="","",IFERROR(COUNTIFS('Weekly Log'!$G:$G,"Y",'Weekly Log'!$A:$A,"&gt;="&amp;$J766,'Weekly Log'!$A:$A,"&lt;"&amp;$J766+7)/COUNTIFS('Weekly Log'!$G:$G,"&lt;&gt;",'Weekly Log'!$A:$A,"&gt;="&amp;$J766,'Weekly Log'!$A:$A,"&lt;"&amp;$J766+7),0))</f>
        <v/>
      </c>
      <c r="D766">
        <f>IF($J766="","",IFERROR(COUNTIFS('Weekly Log'!$H:$H,"Y",'Weekly Log'!$A:$A,"&gt;="&amp;$J766,'Weekly Log'!$A:$A,"&lt;"&amp;$J766+7)/COUNTIFS('Weekly Log'!$H:$H,"&lt;&gt;",'Weekly Log'!$A:$A,"&gt;="&amp;$J766,'Weekly Log'!$A:$A,"&lt;"&amp;$J766+7),0))</f>
        <v/>
      </c>
      <c r="E766">
        <f>IF($J766="","",IFERROR(AVERAGEIFS('Weekly Log'!$F:$F,'Weekly Log'!$A:$A,"&gt;="&amp;$J766,'Weekly Log'!$A:$A,"&lt;"&amp;$J766+7),0))</f>
        <v/>
      </c>
      <c r="F766">
        <f>IF($J766="","",IFERROR(SUMIFS('Weekly Log'!$F:$F,'Weekly Log'!$A:$A,"&gt;="&amp;$J766,'Weekly Log'!$A:$A,"&lt;"&amp;$J766+7)/SUMIFS('Weekly Log'!$E:$E,'Weekly Log'!$A:$A,"&gt;="&amp;$J766,'Weekly Log'!$A:$A,"&lt;"&amp;$J766+7),0))</f>
        <v/>
      </c>
      <c r="G766">
        <f>IF($J766="","",IFERROR(LOOKUP(2,1/(('Weekly Log'!$A$5:$A$5000&gt;=$J766)*('Weekly Log'!$A$5:$A$5000&lt;$J766+7)*('Weekly Log'!$M$5:$M$5000&lt;&gt;"")),'Weekly Log'!$M$5:$M$5000),0))</f>
        <v/>
      </c>
      <c r="J766">
        <f>IF(COUNT('Weekly Log'!$A$5:$A$5000)=0,"",IF(MIN('Weekly Log'!$A$5:$A$5000)+7*(ROW()-10)&gt;MAX('Weekly Log'!$A$5:$A$5000),"",MIN('Weekly Log'!$A$5:$A$5000)+7*(ROW()-10)))</f>
        <v/>
      </c>
    </row>
    <row r="767">
      <c r="A767">
        <f>IF($J767="","",YEAR($J767-WEEKDAY($J767,2)+4)&amp;"-W"&amp;TEXT(WEEKNUM($J767,21),"00"))</f>
        <v/>
      </c>
      <c r="B767">
        <f>IF($J767="","",SUMIFS('Weekly Log'!$C:$C,'Weekly Log'!$A:$A,"&gt;="&amp;$J767,'Weekly Log'!$A:$A,"&lt;"&amp;$J767+7))</f>
        <v/>
      </c>
      <c r="C767">
        <f>IF($J767="","",IFERROR(COUNTIFS('Weekly Log'!$G:$G,"Y",'Weekly Log'!$A:$A,"&gt;="&amp;$J767,'Weekly Log'!$A:$A,"&lt;"&amp;$J767+7)/COUNTIFS('Weekly Log'!$G:$G,"&lt;&gt;",'Weekly Log'!$A:$A,"&gt;="&amp;$J767,'Weekly Log'!$A:$A,"&lt;"&amp;$J767+7),0))</f>
        <v/>
      </c>
      <c r="D767">
        <f>IF($J767="","",IFERROR(COUNTIFS('Weekly Log'!$H:$H,"Y",'Weekly Log'!$A:$A,"&gt;="&amp;$J767,'Weekly Log'!$A:$A,"&lt;"&amp;$J767+7)/COUNTIFS('Weekly Log'!$H:$H,"&lt;&gt;",'Weekly Log'!$A:$A,"&gt;="&amp;$J767,'Weekly Log'!$A:$A,"&lt;"&amp;$J767+7),0))</f>
        <v/>
      </c>
      <c r="E767">
        <f>IF($J767="","",IFERROR(AVERAGEIFS('Weekly Log'!$F:$F,'Weekly Log'!$A:$A,"&gt;="&amp;$J767,'Weekly Log'!$A:$A,"&lt;"&amp;$J767+7),0))</f>
        <v/>
      </c>
      <c r="F767">
        <f>IF($J767="","",IFERROR(SUMIFS('Weekly Log'!$F:$F,'Weekly Log'!$A:$A,"&gt;="&amp;$J767,'Weekly Log'!$A:$A,"&lt;"&amp;$J767+7)/SUMIFS('Weekly Log'!$E:$E,'Weekly Log'!$A:$A,"&gt;="&amp;$J767,'Weekly Log'!$A:$A,"&lt;"&amp;$J767+7),0))</f>
        <v/>
      </c>
      <c r="G767">
        <f>IF($J767="","",IFERROR(LOOKUP(2,1/(('Weekly Log'!$A$5:$A$5000&gt;=$J767)*('Weekly Log'!$A$5:$A$5000&lt;$J767+7)*('Weekly Log'!$M$5:$M$5000&lt;&gt;"")),'Weekly Log'!$M$5:$M$5000),0))</f>
        <v/>
      </c>
      <c r="J767">
        <f>IF(COUNT('Weekly Log'!$A$5:$A$5000)=0,"",IF(MIN('Weekly Log'!$A$5:$A$5000)+7*(ROW()-10)&gt;MAX('Weekly Log'!$A$5:$A$5000),"",MIN('Weekly Log'!$A$5:$A$5000)+7*(ROW()-10)))</f>
        <v/>
      </c>
    </row>
    <row r="768">
      <c r="A768">
        <f>IF($J768="","",YEAR($J768-WEEKDAY($J768,2)+4)&amp;"-W"&amp;TEXT(WEEKNUM($J768,21),"00"))</f>
        <v/>
      </c>
      <c r="B768">
        <f>IF($J768="","",SUMIFS('Weekly Log'!$C:$C,'Weekly Log'!$A:$A,"&gt;="&amp;$J768,'Weekly Log'!$A:$A,"&lt;"&amp;$J768+7))</f>
        <v/>
      </c>
      <c r="C768">
        <f>IF($J768="","",IFERROR(COUNTIFS('Weekly Log'!$G:$G,"Y",'Weekly Log'!$A:$A,"&gt;="&amp;$J768,'Weekly Log'!$A:$A,"&lt;"&amp;$J768+7)/COUNTIFS('Weekly Log'!$G:$G,"&lt;&gt;",'Weekly Log'!$A:$A,"&gt;="&amp;$J768,'Weekly Log'!$A:$A,"&lt;"&amp;$J768+7),0))</f>
        <v/>
      </c>
      <c r="D768">
        <f>IF($J768="","",IFERROR(COUNTIFS('Weekly Log'!$H:$H,"Y",'Weekly Log'!$A:$A,"&gt;="&amp;$J768,'Weekly Log'!$A:$A,"&lt;"&amp;$J768+7)/COUNTIFS('Weekly Log'!$H:$H,"&lt;&gt;",'Weekly Log'!$A:$A,"&gt;="&amp;$J768,'Weekly Log'!$A:$A,"&lt;"&amp;$J768+7),0))</f>
        <v/>
      </c>
      <c r="E768">
        <f>IF($J768="","",IFERROR(AVERAGEIFS('Weekly Log'!$F:$F,'Weekly Log'!$A:$A,"&gt;="&amp;$J768,'Weekly Log'!$A:$A,"&lt;"&amp;$J768+7),0))</f>
        <v/>
      </c>
      <c r="F768">
        <f>IF($J768="","",IFERROR(SUMIFS('Weekly Log'!$F:$F,'Weekly Log'!$A:$A,"&gt;="&amp;$J768,'Weekly Log'!$A:$A,"&lt;"&amp;$J768+7)/SUMIFS('Weekly Log'!$E:$E,'Weekly Log'!$A:$A,"&gt;="&amp;$J768,'Weekly Log'!$A:$A,"&lt;"&amp;$J768+7),0))</f>
        <v/>
      </c>
      <c r="G768">
        <f>IF($J768="","",IFERROR(LOOKUP(2,1/(('Weekly Log'!$A$5:$A$5000&gt;=$J768)*('Weekly Log'!$A$5:$A$5000&lt;$J768+7)*('Weekly Log'!$M$5:$M$5000&lt;&gt;"")),'Weekly Log'!$M$5:$M$5000),0))</f>
        <v/>
      </c>
      <c r="J768">
        <f>IF(COUNT('Weekly Log'!$A$5:$A$5000)=0,"",IF(MIN('Weekly Log'!$A$5:$A$5000)+7*(ROW()-10)&gt;MAX('Weekly Log'!$A$5:$A$5000),"",MIN('Weekly Log'!$A$5:$A$5000)+7*(ROW()-10)))</f>
        <v/>
      </c>
    </row>
    <row r="769">
      <c r="A769">
        <f>IF($J769="","",YEAR($J769-WEEKDAY($J769,2)+4)&amp;"-W"&amp;TEXT(WEEKNUM($J769,21),"00"))</f>
        <v/>
      </c>
      <c r="B769">
        <f>IF($J769="","",SUMIFS('Weekly Log'!$C:$C,'Weekly Log'!$A:$A,"&gt;="&amp;$J769,'Weekly Log'!$A:$A,"&lt;"&amp;$J769+7))</f>
        <v/>
      </c>
      <c r="C769">
        <f>IF($J769="","",IFERROR(COUNTIFS('Weekly Log'!$G:$G,"Y",'Weekly Log'!$A:$A,"&gt;="&amp;$J769,'Weekly Log'!$A:$A,"&lt;"&amp;$J769+7)/COUNTIFS('Weekly Log'!$G:$G,"&lt;&gt;",'Weekly Log'!$A:$A,"&gt;="&amp;$J769,'Weekly Log'!$A:$A,"&lt;"&amp;$J769+7),0))</f>
        <v/>
      </c>
      <c r="D769">
        <f>IF($J769="","",IFERROR(COUNTIFS('Weekly Log'!$H:$H,"Y",'Weekly Log'!$A:$A,"&gt;="&amp;$J769,'Weekly Log'!$A:$A,"&lt;"&amp;$J769+7)/COUNTIFS('Weekly Log'!$H:$H,"&lt;&gt;",'Weekly Log'!$A:$A,"&gt;="&amp;$J769,'Weekly Log'!$A:$A,"&lt;"&amp;$J769+7),0))</f>
        <v/>
      </c>
      <c r="E769">
        <f>IF($J769="","",IFERROR(AVERAGEIFS('Weekly Log'!$F:$F,'Weekly Log'!$A:$A,"&gt;="&amp;$J769,'Weekly Log'!$A:$A,"&lt;"&amp;$J769+7),0))</f>
        <v/>
      </c>
      <c r="F769">
        <f>IF($J769="","",IFERROR(SUMIFS('Weekly Log'!$F:$F,'Weekly Log'!$A:$A,"&gt;="&amp;$J769,'Weekly Log'!$A:$A,"&lt;"&amp;$J769+7)/SUMIFS('Weekly Log'!$E:$E,'Weekly Log'!$A:$A,"&gt;="&amp;$J769,'Weekly Log'!$A:$A,"&lt;"&amp;$J769+7),0))</f>
        <v/>
      </c>
      <c r="G769">
        <f>IF($J769="","",IFERROR(LOOKUP(2,1/(('Weekly Log'!$A$5:$A$5000&gt;=$J769)*('Weekly Log'!$A$5:$A$5000&lt;$J769+7)*('Weekly Log'!$M$5:$M$5000&lt;&gt;"")),'Weekly Log'!$M$5:$M$5000),0))</f>
        <v/>
      </c>
      <c r="J769">
        <f>IF(COUNT('Weekly Log'!$A$5:$A$5000)=0,"",IF(MIN('Weekly Log'!$A$5:$A$5000)+7*(ROW()-10)&gt;MAX('Weekly Log'!$A$5:$A$5000),"",MIN('Weekly Log'!$A$5:$A$5000)+7*(ROW()-10)))</f>
        <v/>
      </c>
    </row>
    <row r="770">
      <c r="A770">
        <f>IF($J770="","",YEAR($J770-WEEKDAY($J770,2)+4)&amp;"-W"&amp;TEXT(WEEKNUM($J770,21),"00"))</f>
        <v/>
      </c>
      <c r="B770">
        <f>IF($J770="","",SUMIFS('Weekly Log'!$C:$C,'Weekly Log'!$A:$A,"&gt;="&amp;$J770,'Weekly Log'!$A:$A,"&lt;"&amp;$J770+7))</f>
        <v/>
      </c>
      <c r="C770">
        <f>IF($J770="","",IFERROR(COUNTIFS('Weekly Log'!$G:$G,"Y",'Weekly Log'!$A:$A,"&gt;="&amp;$J770,'Weekly Log'!$A:$A,"&lt;"&amp;$J770+7)/COUNTIFS('Weekly Log'!$G:$G,"&lt;&gt;",'Weekly Log'!$A:$A,"&gt;="&amp;$J770,'Weekly Log'!$A:$A,"&lt;"&amp;$J770+7),0))</f>
        <v/>
      </c>
      <c r="D770">
        <f>IF($J770="","",IFERROR(COUNTIFS('Weekly Log'!$H:$H,"Y",'Weekly Log'!$A:$A,"&gt;="&amp;$J770,'Weekly Log'!$A:$A,"&lt;"&amp;$J770+7)/COUNTIFS('Weekly Log'!$H:$H,"&lt;&gt;",'Weekly Log'!$A:$A,"&gt;="&amp;$J770,'Weekly Log'!$A:$A,"&lt;"&amp;$J770+7),0))</f>
        <v/>
      </c>
      <c r="E770">
        <f>IF($J770="","",IFERROR(AVERAGEIFS('Weekly Log'!$F:$F,'Weekly Log'!$A:$A,"&gt;="&amp;$J770,'Weekly Log'!$A:$A,"&lt;"&amp;$J770+7),0))</f>
        <v/>
      </c>
      <c r="F770">
        <f>IF($J770="","",IFERROR(SUMIFS('Weekly Log'!$F:$F,'Weekly Log'!$A:$A,"&gt;="&amp;$J770,'Weekly Log'!$A:$A,"&lt;"&amp;$J770+7)/SUMIFS('Weekly Log'!$E:$E,'Weekly Log'!$A:$A,"&gt;="&amp;$J770,'Weekly Log'!$A:$A,"&lt;"&amp;$J770+7),0))</f>
        <v/>
      </c>
      <c r="G770">
        <f>IF($J770="","",IFERROR(LOOKUP(2,1/(('Weekly Log'!$A$5:$A$5000&gt;=$J770)*('Weekly Log'!$A$5:$A$5000&lt;$J770+7)*('Weekly Log'!$M$5:$M$5000&lt;&gt;"")),'Weekly Log'!$M$5:$M$5000),0))</f>
        <v/>
      </c>
      <c r="J770">
        <f>IF(COUNT('Weekly Log'!$A$5:$A$5000)=0,"",IF(MIN('Weekly Log'!$A$5:$A$5000)+7*(ROW()-10)&gt;MAX('Weekly Log'!$A$5:$A$5000),"",MIN('Weekly Log'!$A$5:$A$5000)+7*(ROW()-10)))</f>
        <v/>
      </c>
    </row>
    <row r="771">
      <c r="A771">
        <f>IF($J771="","",YEAR($J771-WEEKDAY($J771,2)+4)&amp;"-W"&amp;TEXT(WEEKNUM($J771,21),"00"))</f>
        <v/>
      </c>
      <c r="B771">
        <f>IF($J771="","",SUMIFS('Weekly Log'!$C:$C,'Weekly Log'!$A:$A,"&gt;="&amp;$J771,'Weekly Log'!$A:$A,"&lt;"&amp;$J771+7))</f>
        <v/>
      </c>
      <c r="C771">
        <f>IF($J771="","",IFERROR(COUNTIFS('Weekly Log'!$G:$G,"Y",'Weekly Log'!$A:$A,"&gt;="&amp;$J771,'Weekly Log'!$A:$A,"&lt;"&amp;$J771+7)/COUNTIFS('Weekly Log'!$G:$G,"&lt;&gt;",'Weekly Log'!$A:$A,"&gt;="&amp;$J771,'Weekly Log'!$A:$A,"&lt;"&amp;$J771+7),0))</f>
        <v/>
      </c>
      <c r="D771">
        <f>IF($J771="","",IFERROR(COUNTIFS('Weekly Log'!$H:$H,"Y",'Weekly Log'!$A:$A,"&gt;="&amp;$J771,'Weekly Log'!$A:$A,"&lt;"&amp;$J771+7)/COUNTIFS('Weekly Log'!$H:$H,"&lt;&gt;",'Weekly Log'!$A:$A,"&gt;="&amp;$J771,'Weekly Log'!$A:$A,"&lt;"&amp;$J771+7),0))</f>
        <v/>
      </c>
      <c r="E771">
        <f>IF($J771="","",IFERROR(AVERAGEIFS('Weekly Log'!$F:$F,'Weekly Log'!$A:$A,"&gt;="&amp;$J771,'Weekly Log'!$A:$A,"&lt;"&amp;$J771+7),0))</f>
        <v/>
      </c>
      <c r="F771">
        <f>IF($J771="","",IFERROR(SUMIFS('Weekly Log'!$F:$F,'Weekly Log'!$A:$A,"&gt;="&amp;$J771,'Weekly Log'!$A:$A,"&lt;"&amp;$J771+7)/SUMIFS('Weekly Log'!$E:$E,'Weekly Log'!$A:$A,"&gt;="&amp;$J771,'Weekly Log'!$A:$A,"&lt;"&amp;$J771+7),0))</f>
        <v/>
      </c>
      <c r="G771">
        <f>IF($J771="","",IFERROR(LOOKUP(2,1/(('Weekly Log'!$A$5:$A$5000&gt;=$J771)*('Weekly Log'!$A$5:$A$5000&lt;$J771+7)*('Weekly Log'!$M$5:$M$5000&lt;&gt;"")),'Weekly Log'!$M$5:$M$5000),0))</f>
        <v/>
      </c>
      <c r="J771">
        <f>IF(COUNT('Weekly Log'!$A$5:$A$5000)=0,"",IF(MIN('Weekly Log'!$A$5:$A$5000)+7*(ROW()-10)&gt;MAX('Weekly Log'!$A$5:$A$5000),"",MIN('Weekly Log'!$A$5:$A$5000)+7*(ROW()-10)))</f>
        <v/>
      </c>
    </row>
    <row r="772">
      <c r="A772">
        <f>IF($J772="","",YEAR($J772-WEEKDAY($J772,2)+4)&amp;"-W"&amp;TEXT(WEEKNUM($J772,21),"00"))</f>
        <v/>
      </c>
      <c r="B772">
        <f>IF($J772="","",SUMIFS('Weekly Log'!$C:$C,'Weekly Log'!$A:$A,"&gt;="&amp;$J772,'Weekly Log'!$A:$A,"&lt;"&amp;$J772+7))</f>
        <v/>
      </c>
      <c r="C772">
        <f>IF($J772="","",IFERROR(COUNTIFS('Weekly Log'!$G:$G,"Y",'Weekly Log'!$A:$A,"&gt;="&amp;$J772,'Weekly Log'!$A:$A,"&lt;"&amp;$J772+7)/COUNTIFS('Weekly Log'!$G:$G,"&lt;&gt;",'Weekly Log'!$A:$A,"&gt;="&amp;$J772,'Weekly Log'!$A:$A,"&lt;"&amp;$J772+7),0))</f>
        <v/>
      </c>
      <c r="D772">
        <f>IF($J772="","",IFERROR(COUNTIFS('Weekly Log'!$H:$H,"Y",'Weekly Log'!$A:$A,"&gt;="&amp;$J772,'Weekly Log'!$A:$A,"&lt;"&amp;$J772+7)/COUNTIFS('Weekly Log'!$H:$H,"&lt;&gt;",'Weekly Log'!$A:$A,"&gt;="&amp;$J772,'Weekly Log'!$A:$A,"&lt;"&amp;$J772+7),0))</f>
        <v/>
      </c>
      <c r="E772">
        <f>IF($J772="","",IFERROR(AVERAGEIFS('Weekly Log'!$F:$F,'Weekly Log'!$A:$A,"&gt;="&amp;$J772,'Weekly Log'!$A:$A,"&lt;"&amp;$J772+7),0))</f>
        <v/>
      </c>
      <c r="F772">
        <f>IF($J772="","",IFERROR(SUMIFS('Weekly Log'!$F:$F,'Weekly Log'!$A:$A,"&gt;="&amp;$J772,'Weekly Log'!$A:$A,"&lt;"&amp;$J772+7)/SUMIFS('Weekly Log'!$E:$E,'Weekly Log'!$A:$A,"&gt;="&amp;$J772,'Weekly Log'!$A:$A,"&lt;"&amp;$J772+7),0))</f>
        <v/>
      </c>
      <c r="G772">
        <f>IF($J772="","",IFERROR(LOOKUP(2,1/(('Weekly Log'!$A$5:$A$5000&gt;=$J772)*('Weekly Log'!$A$5:$A$5000&lt;$J772+7)*('Weekly Log'!$M$5:$M$5000&lt;&gt;"")),'Weekly Log'!$M$5:$M$5000),0))</f>
        <v/>
      </c>
      <c r="J772">
        <f>IF(COUNT('Weekly Log'!$A$5:$A$5000)=0,"",IF(MIN('Weekly Log'!$A$5:$A$5000)+7*(ROW()-10)&gt;MAX('Weekly Log'!$A$5:$A$5000),"",MIN('Weekly Log'!$A$5:$A$5000)+7*(ROW()-10)))</f>
        <v/>
      </c>
    </row>
    <row r="773">
      <c r="A773">
        <f>IF($J773="","",YEAR($J773-WEEKDAY($J773,2)+4)&amp;"-W"&amp;TEXT(WEEKNUM($J773,21),"00"))</f>
        <v/>
      </c>
      <c r="B773">
        <f>IF($J773="","",SUMIFS('Weekly Log'!$C:$C,'Weekly Log'!$A:$A,"&gt;="&amp;$J773,'Weekly Log'!$A:$A,"&lt;"&amp;$J773+7))</f>
        <v/>
      </c>
      <c r="C773">
        <f>IF($J773="","",IFERROR(COUNTIFS('Weekly Log'!$G:$G,"Y",'Weekly Log'!$A:$A,"&gt;="&amp;$J773,'Weekly Log'!$A:$A,"&lt;"&amp;$J773+7)/COUNTIFS('Weekly Log'!$G:$G,"&lt;&gt;",'Weekly Log'!$A:$A,"&gt;="&amp;$J773,'Weekly Log'!$A:$A,"&lt;"&amp;$J773+7),0))</f>
        <v/>
      </c>
      <c r="D773">
        <f>IF($J773="","",IFERROR(COUNTIFS('Weekly Log'!$H:$H,"Y",'Weekly Log'!$A:$A,"&gt;="&amp;$J773,'Weekly Log'!$A:$A,"&lt;"&amp;$J773+7)/COUNTIFS('Weekly Log'!$H:$H,"&lt;&gt;",'Weekly Log'!$A:$A,"&gt;="&amp;$J773,'Weekly Log'!$A:$A,"&lt;"&amp;$J773+7),0))</f>
        <v/>
      </c>
      <c r="E773">
        <f>IF($J773="","",IFERROR(AVERAGEIFS('Weekly Log'!$F:$F,'Weekly Log'!$A:$A,"&gt;="&amp;$J773,'Weekly Log'!$A:$A,"&lt;"&amp;$J773+7),0))</f>
        <v/>
      </c>
      <c r="F773">
        <f>IF($J773="","",IFERROR(SUMIFS('Weekly Log'!$F:$F,'Weekly Log'!$A:$A,"&gt;="&amp;$J773,'Weekly Log'!$A:$A,"&lt;"&amp;$J773+7)/SUMIFS('Weekly Log'!$E:$E,'Weekly Log'!$A:$A,"&gt;="&amp;$J773,'Weekly Log'!$A:$A,"&lt;"&amp;$J773+7),0))</f>
        <v/>
      </c>
      <c r="G773">
        <f>IF($J773="","",IFERROR(LOOKUP(2,1/(('Weekly Log'!$A$5:$A$5000&gt;=$J773)*('Weekly Log'!$A$5:$A$5000&lt;$J773+7)*('Weekly Log'!$M$5:$M$5000&lt;&gt;"")),'Weekly Log'!$M$5:$M$5000),0))</f>
        <v/>
      </c>
      <c r="J773">
        <f>IF(COUNT('Weekly Log'!$A$5:$A$5000)=0,"",IF(MIN('Weekly Log'!$A$5:$A$5000)+7*(ROW()-10)&gt;MAX('Weekly Log'!$A$5:$A$5000),"",MIN('Weekly Log'!$A$5:$A$5000)+7*(ROW()-10)))</f>
        <v/>
      </c>
    </row>
    <row r="774">
      <c r="A774">
        <f>IF($J774="","",YEAR($J774-WEEKDAY($J774,2)+4)&amp;"-W"&amp;TEXT(WEEKNUM($J774,21),"00"))</f>
        <v/>
      </c>
      <c r="B774">
        <f>IF($J774="","",SUMIFS('Weekly Log'!$C:$C,'Weekly Log'!$A:$A,"&gt;="&amp;$J774,'Weekly Log'!$A:$A,"&lt;"&amp;$J774+7))</f>
        <v/>
      </c>
      <c r="C774">
        <f>IF($J774="","",IFERROR(COUNTIFS('Weekly Log'!$G:$G,"Y",'Weekly Log'!$A:$A,"&gt;="&amp;$J774,'Weekly Log'!$A:$A,"&lt;"&amp;$J774+7)/COUNTIFS('Weekly Log'!$G:$G,"&lt;&gt;",'Weekly Log'!$A:$A,"&gt;="&amp;$J774,'Weekly Log'!$A:$A,"&lt;"&amp;$J774+7),0))</f>
        <v/>
      </c>
      <c r="D774">
        <f>IF($J774="","",IFERROR(COUNTIFS('Weekly Log'!$H:$H,"Y",'Weekly Log'!$A:$A,"&gt;="&amp;$J774,'Weekly Log'!$A:$A,"&lt;"&amp;$J774+7)/COUNTIFS('Weekly Log'!$H:$H,"&lt;&gt;",'Weekly Log'!$A:$A,"&gt;="&amp;$J774,'Weekly Log'!$A:$A,"&lt;"&amp;$J774+7),0))</f>
        <v/>
      </c>
      <c r="E774">
        <f>IF($J774="","",IFERROR(AVERAGEIFS('Weekly Log'!$F:$F,'Weekly Log'!$A:$A,"&gt;="&amp;$J774,'Weekly Log'!$A:$A,"&lt;"&amp;$J774+7),0))</f>
        <v/>
      </c>
      <c r="F774">
        <f>IF($J774="","",IFERROR(SUMIFS('Weekly Log'!$F:$F,'Weekly Log'!$A:$A,"&gt;="&amp;$J774,'Weekly Log'!$A:$A,"&lt;"&amp;$J774+7)/SUMIFS('Weekly Log'!$E:$E,'Weekly Log'!$A:$A,"&gt;="&amp;$J774,'Weekly Log'!$A:$A,"&lt;"&amp;$J774+7),0))</f>
        <v/>
      </c>
      <c r="G774">
        <f>IF($J774="","",IFERROR(LOOKUP(2,1/(('Weekly Log'!$A$5:$A$5000&gt;=$J774)*('Weekly Log'!$A$5:$A$5000&lt;$J774+7)*('Weekly Log'!$M$5:$M$5000&lt;&gt;"")),'Weekly Log'!$M$5:$M$5000),0))</f>
        <v/>
      </c>
      <c r="J774">
        <f>IF(COUNT('Weekly Log'!$A$5:$A$5000)=0,"",IF(MIN('Weekly Log'!$A$5:$A$5000)+7*(ROW()-10)&gt;MAX('Weekly Log'!$A$5:$A$5000),"",MIN('Weekly Log'!$A$5:$A$5000)+7*(ROW()-10)))</f>
        <v/>
      </c>
    </row>
    <row r="775">
      <c r="A775">
        <f>IF($J775="","",YEAR($J775-WEEKDAY($J775,2)+4)&amp;"-W"&amp;TEXT(WEEKNUM($J775,21),"00"))</f>
        <v/>
      </c>
      <c r="B775">
        <f>IF($J775="","",SUMIFS('Weekly Log'!$C:$C,'Weekly Log'!$A:$A,"&gt;="&amp;$J775,'Weekly Log'!$A:$A,"&lt;"&amp;$J775+7))</f>
        <v/>
      </c>
      <c r="C775">
        <f>IF($J775="","",IFERROR(COUNTIFS('Weekly Log'!$G:$G,"Y",'Weekly Log'!$A:$A,"&gt;="&amp;$J775,'Weekly Log'!$A:$A,"&lt;"&amp;$J775+7)/COUNTIFS('Weekly Log'!$G:$G,"&lt;&gt;",'Weekly Log'!$A:$A,"&gt;="&amp;$J775,'Weekly Log'!$A:$A,"&lt;"&amp;$J775+7),0))</f>
        <v/>
      </c>
      <c r="D775">
        <f>IF($J775="","",IFERROR(COUNTIFS('Weekly Log'!$H:$H,"Y",'Weekly Log'!$A:$A,"&gt;="&amp;$J775,'Weekly Log'!$A:$A,"&lt;"&amp;$J775+7)/COUNTIFS('Weekly Log'!$H:$H,"&lt;&gt;",'Weekly Log'!$A:$A,"&gt;="&amp;$J775,'Weekly Log'!$A:$A,"&lt;"&amp;$J775+7),0))</f>
        <v/>
      </c>
      <c r="E775">
        <f>IF($J775="","",IFERROR(AVERAGEIFS('Weekly Log'!$F:$F,'Weekly Log'!$A:$A,"&gt;="&amp;$J775,'Weekly Log'!$A:$A,"&lt;"&amp;$J775+7),0))</f>
        <v/>
      </c>
      <c r="F775">
        <f>IF($J775="","",IFERROR(SUMIFS('Weekly Log'!$F:$F,'Weekly Log'!$A:$A,"&gt;="&amp;$J775,'Weekly Log'!$A:$A,"&lt;"&amp;$J775+7)/SUMIFS('Weekly Log'!$E:$E,'Weekly Log'!$A:$A,"&gt;="&amp;$J775,'Weekly Log'!$A:$A,"&lt;"&amp;$J775+7),0))</f>
        <v/>
      </c>
      <c r="G775">
        <f>IF($J775="","",IFERROR(LOOKUP(2,1/(('Weekly Log'!$A$5:$A$5000&gt;=$J775)*('Weekly Log'!$A$5:$A$5000&lt;$J775+7)*('Weekly Log'!$M$5:$M$5000&lt;&gt;"")),'Weekly Log'!$M$5:$M$5000),0))</f>
        <v/>
      </c>
      <c r="J775">
        <f>IF(COUNT('Weekly Log'!$A$5:$A$5000)=0,"",IF(MIN('Weekly Log'!$A$5:$A$5000)+7*(ROW()-10)&gt;MAX('Weekly Log'!$A$5:$A$5000),"",MIN('Weekly Log'!$A$5:$A$5000)+7*(ROW()-10)))</f>
        <v/>
      </c>
    </row>
    <row r="776">
      <c r="A776">
        <f>IF($J776="","",YEAR($J776-WEEKDAY($J776,2)+4)&amp;"-W"&amp;TEXT(WEEKNUM($J776,21),"00"))</f>
        <v/>
      </c>
      <c r="B776">
        <f>IF($J776="","",SUMIFS('Weekly Log'!$C:$C,'Weekly Log'!$A:$A,"&gt;="&amp;$J776,'Weekly Log'!$A:$A,"&lt;"&amp;$J776+7))</f>
        <v/>
      </c>
      <c r="C776">
        <f>IF($J776="","",IFERROR(COUNTIFS('Weekly Log'!$G:$G,"Y",'Weekly Log'!$A:$A,"&gt;="&amp;$J776,'Weekly Log'!$A:$A,"&lt;"&amp;$J776+7)/COUNTIFS('Weekly Log'!$G:$G,"&lt;&gt;",'Weekly Log'!$A:$A,"&gt;="&amp;$J776,'Weekly Log'!$A:$A,"&lt;"&amp;$J776+7),0))</f>
        <v/>
      </c>
      <c r="D776">
        <f>IF($J776="","",IFERROR(COUNTIFS('Weekly Log'!$H:$H,"Y",'Weekly Log'!$A:$A,"&gt;="&amp;$J776,'Weekly Log'!$A:$A,"&lt;"&amp;$J776+7)/COUNTIFS('Weekly Log'!$H:$H,"&lt;&gt;",'Weekly Log'!$A:$A,"&gt;="&amp;$J776,'Weekly Log'!$A:$A,"&lt;"&amp;$J776+7),0))</f>
        <v/>
      </c>
      <c r="E776">
        <f>IF($J776="","",IFERROR(AVERAGEIFS('Weekly Log'!$F:$F,'Weekly Log'!$A:$A,"&gt;="&amp;$J776,'Weekly Log'!$A:$A,"&lt;"&amp;$J776+7),0))</f>
        <v/>
      </c>
      <c r="F776">
        <f>IF($J776="","",IFERROR(SUMIFS('Weekly Log'!$F:$F,'Weekly Log'!$A:$A,"&gt;="&amp;$J776,'Weekly Log'!$A:$A,"&lt;"&amp;$J776+7)/SUMIFS('Weekly Log'!$E:$E,'Weekly Log'!$A:$A,"&gt;="&amp;$J776,'Weekly Log'!$A:$A,"&lt;"&amp;$J776+7),0))</f>
        <v/>
      </c>
      <c r="G776">
        <f>IF($J776="","",IFERROR(LOOKUP(2,1/(('Weekly Log'!$A$5:$A$5000&gt;=$J776)*('Weekly Log'!$A$5:$A$5000&lt;$J776+7)*('Weekly Log'!$M$5:$M$5000&lt;&gt;"")),'Weekly Log'!$M$5:$M$5000),0))</f>
        <v/>
      </c>
      <c r="J776">
        <f>IF(COUNT('Weekly Log'!$A$5:$A$5000)=0,"",IF(MIN('Weekly Log'!$A$5:$A$5000)+7*(ROW()-10)&gt;MAX('Weekly Log'!$A$5:$A$5000),"",MIN('Weekly Log'!$A$5:$A$5000)+7*(ROW()-10)))</f>
        <v/>
      </c>
    </row>
    <row r="777">
      <c r="A777">
        <f>IF($J777="","",YEAR($J777-WEEKDAY($J777,2)+4)&amp;"-W"&amp;TEXT(WEEKNUM($J777,21),"00"))</f>
        <v/>
      </c>
      <c r="B777">
        <f>IF($J777="","",SUMIFS('Weekly Log'!$C:$C,'Weekly Log'!$A:$A,"&gt;="&amp;$J777,'Weekly Log'!$A:$A,"&lt;"&amp;$J777+7))</f>
        <v/>
      </c>
      <c r="C777">
        <f>IF($J777="","",IFERROR(COUNTIFS('Weekly Log'!$G:$G,"Y",'Weekly Log'!$A:$A,"&gt;="&amp;$J777,'Weekly Log'!$A:$A,"&lt;"&amp;$J777+7)/COUNTIFS('Weekly Log'!$G:$G,"&lt;&gt;",'Weekly Log'!$A:$A,"&gt;="&amp;$J777,'Weekly Log'!$A:$A,"&lt;"&amp;$J777+7),0))</f>
        <v/>
      </c>
      <c r="D777">
        <f>IF($J777="","",IFERROR(COUNTIFS('Weekly Log'!$H:$H,"Y",'Weekly Log'!$A:$A,"&gt;="&amp;$J777,'Weekly Log'!$A:$A,"&lt;"&amp;$J777+7)/COUNTIFS('Weekly Log'!$H:$H,"&lt;&gt;",'Weekly Log'!$A:$A,"&gt;="&amp;$J777,'Weekly Log'!$A:$A,"&lt;"&amp;$J777+7),0))</f>
        <v/>
      </c>
      <c r="E777">
        <f>IF($J777="","",IFERROR(AVERAGEIFS('Weekly Log'!$F:$F,'Weekly Log'!$A:$A,"&gt;="&amp;$J777,'Weekly Log'!$A:$A,"&lt;"&amp;$J777+7),0))</f>
        <v/>
      </c>
      <c r="F777">
        <f>IF($J777="","",IFERROR(SUMIFS('Weekly Log'!$F:$F,'Weekly Log'!$A:$A,"&gt;="&amp;$J777,'Weekly Log'!$A:$A,"&lt;"&amp;$J777+7)/SUMIFS('Weekly Log'!$E:$E,'Weekly Log'!$A:$A,"&gt;="&amp;$J777,'Weekly Log'!$A:$A,"&lt;"&amp;$J777+7),0))</f>
        <v/>
      </c>
      <c r="G777">
        <f>IF($J777="","",IFERROR(LOOKUP(2,1/(('Weekly Log'!$A$5:$A$5000&gt;=$J777)*('Weekly Log'!$A$5:$A$5000&lt;$J777+7)*('Weekly Log'!$M$5:$M$5000&lt;&gt;"")),'Weekly Log'!$M$5:$M$5000),0))</f>
        <v/>
      </c>
      <c r="J777">
        <f>IF(COUNT('Weekly Log'!$A$5:$A$5000)=0,"",IF(MIN('Weekly Log'!$A$5:$A$5000)+7*(ROW()-10)&gt;MAX('Weekly Log'!$A$5:$A$5000),"",MIN('Weekly Log'!$A$5:$A$5000)+7*(ROW()-10)))</f>
        <v/>
      </c>
    </row>
    <row r="778">
      <c r="A778">
        <f>IF($J778="","",YEAR($J778-WEEKDAY($J778,2)+4)&amp;"-W"&amp;TEXT(WEEKNUM($J778,21),"00"))</f>
        <v/>
      </c>
      <c r="B778">
        <f>IF($J778="","",SUMIFS('Weekly Log'!$C:$C,'Weekly Log'!$A:$A,"&gt;="&amp;$J778,'Weekly Log'!$A:$A,"&lt;"&amp;$J778+7))</f>
        <v/>
      </c>
      <c r="C778">
        <f>IF($J778="","",IFERROR(COUNTIFS('Weekly Log'!$G:$G,"Y",'Weekly Log'!$A:$A,"&gt;="&amp;$J778,'Weekly Log'!$A:$A,"&lt;"&amp;$J778+7)/COUNTIFS('Weekly Log'!$G:$G,"&lt;&gt;",'Weekly Log'!$A:$A,"&gt;="&amp;$J778,'Weekly Log'!$A:$A,"&lt;"&amp;$J778+7),0))</f>
        <v/>
      </c>
      <c r="D778">
        <f>IF($J778="","",IFERROR(COUNTIFS('Weekly Log'!$H:$H,"Y",'Weekly Log'!$A:$A,"&gt;="&amp;$J778,'Weekly Log'!$A:$A,"&lt;"&amp;$J778+7)/COUNTIFS('Weekly Log'!$H:$H,"&lt;&gt;",'Weekly Log'!$A:$A,"&gt;="&amp;$J778,'Weekly Log'!$A:$A,"&lt;"&amp;$J778+7),0))</f>
        <v/>
      </c>
      <c r="E778">
        <f>IF($J778="","",IFERROR(AVERAGEIFS('Weekly Log'!$F:$F,'Weekly Log'!$A:$A,"&gt;="&amp;$J778,'Weekly Log'!$A:$A,"&lt;"&amp;$J778+7),0))</f>
        <v/>
      </c>
      <c r="F778">
        <f>IF($J778="","",IFERROR(SUMIFS('Weekly Log'!$F:$F,'Weekly Log'!$A:$A,"&gt;="&amp;$J778,'Weekly Log'!$A:$A,"&lt;"&amp;$J778+7)/SUMIFS('Weekly Log'!$E:$E,'Weekly Log'!$A:$A,"&gt;="&amp;$J778,'Weekly Log'!$A:$A,"&lt;"&amp;$J778+7),0))</f>
        <v/>
      </c>
      <c r="G778">
        <f>IF($J778="","",IFERROR(LOOKUP(2,1/(('Weekly Log'!$A$5:$A$5000&gt;=$J778)*('Weekly Log'!$A$5:$A$5000&lt;$J778+7)*('Weekly Log'!$M$5:$M$5000&lt;&gt;"")),'Weekly Log'!$M$5:$M$5000),0))</f>
        <v/>
      </c>
      <c r="J778">
        <f>IF(COUNT('Weekly Log'!$A$5:$A$5000)=0,"",IF(MIN('Weekly Log'!$A$5:$A$5000)+7*(ROW()-10)&gt;MAX('Weekly Log'!$A$5:$A$5000),"",MIN('Weekly Log'!$A$5:$A$5000)+7*(ROW()-10)))</f>
        <v/>
      </c>
    </row>
    <row r="779">
      <c r="A779">
        <f>IF($J779="","",YEAR($J779-WEEKDAY($J779,2)+4)&amp;"-W"&amp;TEXT(WEEKNUM($J779,21),"00"))</f>
        <v/>
      </c>
      <c r="B779">
        <f>IF($J779="","",SUMIFS('Weekly Log'!$C:$C,'Weekly Log'!$A:$A,"&gt;="&amp;$J779,'Weekly Log'!$A:$A,"&lt;"&amp;$J779+7))</f>
        <v/>
      </c>
      <c r="C779">
        <f>IF($J779="","",IFERROR(COUNTIFS('Weekly Log'!$G:$G,"Y",'Weekly Log'!$A:$A,"&gt;="&amp;$J779,'Weekly Log'!$A:$A,"&lt;"&amp;$J779+7)/COUNTIFS('Weekly Log'!$G:$G,"&lt;&gt;",'Weekly Log'!$A:$A,"&gt;="&amp;$J779,'Weekly Log'!$A:$A,"&lt;"&amp;$J779+7),0))</f>
        <v/>
      </c>
      <c r="D779">
        <f>IF($J779="","",IFERROR(COUNTIFS('Weekly Log'!$H:$H,"Y",'Weekly Log'!$A:$A,"&gt;="&amp;$J779,'Weekly Log'!$A:$A,"&lt;"&amp;$J779+7)/COUNTIFS('Weekly Log'!$H:$H,"&lt;&gt;",'Weekly Log'!$A:$A,"&gt;="&amp;$J779,'Weekly Log'!$A:$A,"&lt;"&amp;$J779+7),0))</f>
        <v/>
      </c>
      <c r="E779">
        <f>IF($J779="","",IFERROR(AVERAGEIFS('Weekly Log'!$F:$F,'Weekly Log'!$A:$A,"&gt;="&amp;$J779,'Weekly Log'!$A:$A,"&lt;"&amp;$J779+7),0))</f>
        <v/>
      </c>
      <c r="F779">
        <f>IF($J779="","",IFERROR(SUMIFS('Weekly Log'!$F:$F,'Weekly Log'!$A:$A,"&gt;="&amp;$J779,'Weekly Log'!$A:$A,"&lt;"&amp;$J779+7)/SUMIFS('Weekly Log'!$E:$E,'Weekly Log'!$A:$A,"&gt;="&amp;$J779,'Weekly Log'!$A:$A,"&lt;"&amp;$J779+7),0))</f>
        <v/>
      </c>
      <c r="G779">
        <f>IF($J779="","",IFERROR(LOOKUP(2,1/(('Weekly Log'!$A$5:$A$5000&gt;=$J779)*('Weekly Log'!$A$5:$A$5000&lt;$J779+7)*('Weekly Log'!$M$5:$M$5000&lt;&gt;"")),'Weekly Log'!$M$5:$M$5000),0))</f>
        <v/>
      </c>
      <c r="J779">
        <f>IF(COUNT('Weekly Log'!$A$5:$A$5000)=0,"",IF(MIN('Weekly Log'!$A$5:$A$5000)+7*(ROW()-10)&gt;MAX('Weekly Log'!$A$5:$A$5000),"",MIN('Weekly Log'!$A$5:$A$5000)+7*(ROW()-10)))</f>
        <v/>
      </c>
    </row>
    <row r="780">
      <c r="A780">
        <f>IF($J780="","",YEAR($J780-WEEKDAY($J780,2)+4)&amp;"-W"&amp;TEXT(WEEKNUM($J780,21),"00"))</f>
        <v/>
      </c>
      <c r="B780">
        <f>IF($J780="","",SUMIFS('Weekly Log'!$C:$C,'Weekly Log'!$A:$A,"&gt;="&amp;$J780,'Weekly Log'!$A:$A,"&lt;"&amp;$J780+7))</f>
        <v/>
      </c>
      <c r="C780">
        <f>IF($J780="","",IFERROR(COUNTIFS('Weekly Log'!$G:$G,"Y",'Weekly Log'!$A:$A,"&gt;="&amp;$J780,'Weekly Log'!$A:$A,"&lt;"&amp;$J780+7)/COUNTIFS('Weekly Log'!$G:$G,"&lt;&gt;",'Weekly Log'!$A:$A,"&gt;="&amp;$J780,'Weekly Log'!$A:$A,"&lt;"&amp;$J780+7),0))</f>
        <v/>
      </c>
      <c r="D780">
        <f>IF($J780="","",IFERROR(COUNTIFS('Weekly Log'!$H:$H,"Y",'Weekly Log'!$A:$A,"&gt;="&amp;$J780,'Weekly Log'!$A:$A,"&lt;"&amp;$J780+7)/COUNTIFS('Weekly Log'!$H:$H,"&lt;&gt;",'Weekly Log'!$A:$A,"&gt;="&amp;$J780,'Weekly Log'!$A:$A,"&lt;"&amp;$J780+7),0))</f>
        <v/>
      </c>
      <c r="E780">
        <f>IF($J780="","",IFERROR(AVERAGEIFS('Weekly Log'!$F:$F,'Weekly Log'!$A:$A,"&gt;="&amp;$J780,'Weekly Log'!$A:$A,"&lt;"&amp;$J780+7),0))</f>
        <v/>
      </c>
      <c r="F780">
        <f>IF($J780="","",IFERROR(SUMIFS('Weekly Log'!$F:$F,'Weekly Log'!$A:$A,"&gt;="&amp;$J780,'Weekly Log'!$A:$A,"&lt;"&amp;$J780+7)/SUMIFS('Weekly Log'!$E:$E,'Weekly Log'!$A:$A,"&gt;="&amp;$J780,'Weekly Log'!$A:$A,"&lt;"&amp;$J780+7),0))</f>
        <v/>
      </c>
      <c r="G780">
        <f>IF($J780="","",IFERROR(LOOKUP(2,1/(('Weekly Log'!$A$5:$A$5000&gt;=$J780)*('Weekly Log'!$A$5:$A$5000&lt;$J780+7)*('Weekly Log'!$M$5:$M$5000&lt;&gt;"")),'Weekly Log'!$M$5:$M$5000),0))</f>
        <v/>
      </c>
      <c r="J780">
        <f>IF(COUNT('Weekly Log'!$A$5:$A$5000)=0,"",IF(MIN('Weekly Log'!$A$5:$A$5000)+7*(ROW()-10)&gt;MAX('Weekly Log'!$A$5:$A$5000),"",MIN('Weekly Log'!$A$5:$A$5000)+7*(ROW()-10)))</f>
        <v/>
      </c>
    </row>
    <row r="781">
      <c r="A781">
        <f>IF($J781="","",YEAR($J781-WEEKDAY($J781,2)+4)&amp;"-W"&amp;TEXT(WEEKNUM($J781,21),"00"))</f>
        <v/>
      </c>
      <c r="B781">
        <f>IF($J781="","",SUMIFS('Weekly Log'!$C:$C,'Weekly Log'!$A:$A,"&gt;="&amp;$J781,'Weekly Log'!$A:$A,"&lt;"&amp;$J781+7))</f>
        <v/>
      </c>
      <c r="C781">
        <f>IF($J781="","",IFERROR(COUNTIFS('Weekly Log'!$G:$G,"Y",'Weekly Log'!$A:$A,"&gt;="&amp;$J781,'Weekly Log'!$A:$A,"&lt;"&amp;$J781+7)/COUNTIFS('Weekly Log'!$G:$G,"&lt;&gt;",'Weekly Log'!$A:$A,"&gt;="&amp;$J781,'Weekly Log'!$A:$A,"&lt;"&amp;$J781+7),0))</f>
        <v/>
      </c>
      <c r="D781">
        <f>IF($J781="","",IFERROR(COUNTIFS('Weekly Log'!$H:$H,"Y",'Weekly Log'!$A:$A,"&gt;="&amp;$J781,'Weekly Log'!$A:$A,"&lt;"&amp;$J781+7)/COUNTIFS('Weekly Log'!$H:$H,"&lt;&gt;",'Weekly Log'!$A:$A,"&gt;="&amp;$J781,'Weekly Log'!$A:$A,"&lt;"&amp;$J781+7),0))</f>
        <v/>
      </c>
      <c r="E781">
        <f>IF($J781="","",IFERROR(AVERAGEIFS('Weekly Log'!$F:$F,'Weekly Log'!$A:$A,"&gt;="&amp;$J781,'Weekly Log'!$A:$A,"&lt;"&amp;$J781+7),0))</f>
        <v/>
      </c>
      <c r="F781">
        <f>IF($J781="","",IFERROR(SUMIFS('Weekly Log'!$F:$F,'Weekly Log'!$A:$A,"&gt;="&amp;$J781,'Weekly Log'!$A:$A,"&lt;"&amp;$J781+7)/SUMIFS('Weekly Log'!$E:$E,'Weekly Log'!$A:$A,"&gt;="&amp;$J781,'Weekly Log'!$A:$A,"&lt;"&amp;$J781+7),0))</f>
        <v/>
      </c>
      <c r="G781">
        <f>IF($J781="","",IFERROR(LOOKUP(2,1/(('Weekly Log'!$A$5:$A$5000&gt;=$J781)*('Weekly Log'!$A$5:$A$5000&lt;$J781+7)*('Weekly Log'!$M$5:$M$5000&lt;&gt;"")),'Weekly Log'!$M$5:$M$5000),0))</f>
        <v/>
      </c>
      <c r="J781">
        <f>IF(COUNT('Weekly Log'!$A$5:$A$5000)=0,"",IF(MIN('Weekly Log'!$A$5:$A$5000)+7*(ROW()-10)&gt;MAX('Weekly Log'!$A$5:$A$5000),"",MIN('Weekly Log'!$A$5:$A$5000)+7*(ROW()-10)))</f>
        <v/>
      </c>
    </row>
    <row r="782">
      <c r="A782">
        <f>IF($J782="","",YEAR($J782-WEEKDAY($J782,2)+4)&amp;"-W"&amp;TEXT(WEEKNUM($J782,21),"00"))</f>
        <v/>
      </c>
      <c r="B782">
        <f>IF($J782="","",SUMIFS('Weekly Log'!$C:$C,'Weekly Log'!$A:$A,"&gt;="&amp;$J782,'Weekly Log'!$A:$A,"&lt;"&amp;$J782+7))</f>
        <v/>
      </c>
      <c r="C782">
        <f>IF($J782="","",IFERROR(COUNTIFS('Weekly Log'!$G:$G,"Y",'Weekly Log'!$A:$A,"&gt;="&amp;$J782,'Weekly Log'!$A:$A,"&lt;"&amp;$J782+7)/COUNTIFS('Weekly Log'!$G:$G,"&lt;&gt;",'Weekly Log'!$A:$A,"&gt;="&amp;$J782,'Weekly Log'!$A:$A,"&lt;"&amp;$J782+7),0))</f>
        <v/>
      </c>
      <c r="D782">
        <f>IF($J782="","",IFERROR(COUNTIFS('Weekly Log'!$H:$H,"Y",'Weekly Log'!$A:$A,"&gt;="&amp;$J782,'Weekly Log'!$A:$A,"&lt;"&amp;$J782+7)/COUNTIFS('Weekly Log'!$H:$H,"&lt;&gt;",'Weekly Log'!$A:$A,"&gt;="&amp;$J782,'Weekly Log'!$A:$A,"&lt;"&amp;$J782+7),0))</f>
        <v/>
      </c>
      <c r="E782">
        <f>IF($J782="","",IFERROR(AVERAGEIFS('Weekly Log'!$F:$F,'Weekly Log'!$A:$A,"&gt;="&amp;$J782,'Weekly Log'!$A:$A,"&lt;"&amp;$J782+7),0))</f>
        <v/>
      </c>
      <c r="F782">
        <f>IF($J782="","",IFERROR(SUMIFS('Weekly Log'!$F:$F,'Weekly Log'!$A:$A,"&gt;="&amp;$J782,'Weekly Log'!$A:$A,"&lt;"&amp;$J782+7)/SUMIFS('Weekly Log'!$E:$E,'Weekly Log'!$A:$A,"&gt;="&amp;$J782,'Weekly Log'!$A:$A,"&lt;"&amp;$J782+7),0))</f>
        <v/>
      </c>
      <c r="G782">
        <f>IF($J782="","",IFERROR(LOOKUP(2,1/(('Weekly Log'!$A$5:$A$5000&gt;=$J782)*('Weekly Log'!$A$5:$A$5000&lt;$J782+7)*('Weekly Log'!$M$5:$M$5000&lt;&gt;"")),'Weekly Log'!$M$5:$M$5000),0))</f>
        <v/>
      </c>
      <c r="J782">
        <f>IF(COUNT('Weekly Log'!$A$5:$A$5000)=0,"",IF(MIN('Weekly Log'!$A$5:$A$5000)+7*(ROW()-10)&gt;MAX('Weekly Log'!$A$5:$A$5000),"",MIN('Weekly Log'!$A$5:$A$5000)+7*(ROW()-10)))</f>
        <v/>
      </c>
    </row>
    <row r="783">
      <c r="A783">
        <f>IF($J783="","",YEAR($J783-WEEKDAY($J783,2)+4)&amp;"-W"&amp;TEXT(WEEKNUM($J783,21),"00"))</f>
        <v/>
      </c>
      <c r="B783">
        <f>IF($J783="","",SUMIFS('Weekly Log'!$C:$C,'Weekly Log'!$A:$A,"&gt;="&amp;$J783,'Weekly Log'!$A:$A,"&lt;"&amp;$J783+7))</f>
        <v/>
      </c>
      <c r="C783">
        <f>IF($J783="","",IFERROR(COUNTIFS('Weekly Log'!$G:$G,"Y",'Weekly Log'!$A:$A,"&gt;="&amp;$J783,'Weekly Log'!$A:$A,"&lt;"&amp;$J783+7)/COUNTIFS('Weekly Log'!$G:$G,"&lt;&gt;",'Weekly Log'!$A:$A,"&gt;="&amp;$J783,'Weekly Log'!$A:$A,"&lt;"&amp;$J783+7),0))</f>
        <v/>
      </c>
      <c r="D783">
        <f>IF($J783="","",IFERROR(COUNTIFS('Weekly Log'!$H:$H,"Y",'Weekly Log'!$A:$A,"&gt;="&amp;$J783,'Weekly Log'!$A:$A,"&lt;"&amp;$J783+7)/COUNTIFS('Weekly Log'!$H:$H,"&lt;&gt;",'Weekly Log'!$A:$A,"&gt;="&amp;$J783,'Weekly Log'!$A:$A,"&lt;"&amp;$J783+7),0))</f>
        <v/>
      </c>
      <c r="E783">
        <f>IF($J783="","",IFERROR(AVERAGEIFS('Weekly Log'!$F:$F,'Weekly Log'!$A:$A,"&gt;="&amp;$J783,'Weekly Log'!$A:$A,"&lt;"&amp;$J783+7),0))</f>
        <v/>
      </c>
      <c r="F783">
        <f>IF($J783="","",IFERROR(SUMIFS('Weekly Log'!$F:$F,'Weekly Log'!$A:$A,"&gt;="&amp;$J783,'Weekly Log'!$A:$A,"&lt;"&amp;$J783+7)/SUMIFS('Weekly Log'!$E:$E,'Weekly Log'!$A:$A,"&gt;="&amp;$J783,'Weekly Log'!$A:$A,"&lt;"&amp;$J783+7),0))</f>
        <v/>
      </c>
      <c r="G783">
        <f>IF($J783="","",IFERROR(LOOKUP(2,1/(('Weekly Log'!$A$5:$A$5000&gt;=$J783)*('Weekly Log'!$A$5:$A$5000&lt;$J783+7)*('Weekly Log'!$M$5:$M$5000&lt;&gt;"")),'Weekly Log'!$M$5:$M$5000),0))</f>
        <v/>
      </c>
      <c r="J783">
        <f>IF(COUNT('Weekly Log'!$A$5:$A$5000)=0,"",IF(MIN('Weekly Log'!$A$5:$A$5000)+7*(ROW()-10)&gt;MAX('Weekly Log'!$A$5:$A$5000),"",MIN('Weekly Log'!$A$5:$A$5000)+7*(ROW()-10)))</f>
        <v/>
      </c>
    </row>
    <row r="784">
      <c r="A784">
        <f>IF($J784="","",YEAR($J784-WEEKDAY($J784,2)+4)&amp;"-W"&amp;TEXT(WEEKNUM($J784,21),"00"))</f>
        <v/>
      </c>
      <c r="B784">
        <f>IF($J784="","",SUMIFS('Weekly Log'!$C:$C,'Weekly Log'!$A:$A,"&gt;="&amp;$J784,'Weekly Log'!$A:$A,"&lt;"&amp;$J784+7))</f>
        <v/>
      </c>
      <c r="C784">
        <f>IF($J784="","",IFERROR(COUNTIFS('Weekly Log'!$G:$G,"Y",'Weekly Log'!$A:$A,"&gt;="&amp;$J784,'Weekly Log'!$A:$A,"&lt;"&amp;$J784+7)/COUNTIFS('Weekly Log'!$G:$G,"&lt;&gt;",'Weekly Log'!$A:$A,"&gt;="&amp;$J784,'Weekly Log'!$A:$A,"&lt;"&amp;$J784+7),0))</f>
        <v/>
      </c>
      <c r="D784">
        <f>IF($J784="","",IFERROR(COUNTIFS('Weekly Log'!$H:$H,"Y",'Weekly Log'!$A:$A,"&gt;="&amp;$J784,'Weekly Log'!$A:$A,"&lt;"&amp;$J784+7)/COUNTIFS('Weekly Log'!$H:$H,"&lt;&gt;",'Weekly Log'!$A:$A,"&gt;="&amp;$J784,'Weekly Log'!$A:$A,"&lt;"&amp;$J784+7),0))</f>
        <v/>
      </c>
      <c r="E784">
        <f>IF($J784="","",IFERROR(AVERAGEIFS('Weekly Log'!$F:$F,'Weekly Log'!$A:$A,"&gt;="&amp;$J784,'Weekly Log'!$A:$A,"&lt;"&amp;$J784+7),0))</f>
        <v/>
      </c>
      <c r="F784">
        <f>IF($J784="","",IFERROR(SUMIFS('Weekly Log'!$F:$F,'Weekly Log'!$A:$A,"&gt;="&amp;$J784,'Weekly Log'!$A:$A,"&lt;"&amp;$J784+7)/SUMIFS('Weekly Log'!$E:$E,'Weekly Log'!$A:$A,"&gt;="&amp;$J784,'Weekly Log'!$A:$A,"&lt;"&amp;$J784+7),0))</f>
        <v/>
      </c>
      <c r="G784">
        <f>IF($J784="","",IFERROR(LOOKUP(2,1/(('Weekly Log'!$A$5:$A$5000&gt;=$J784)*('Weekly Log'!$A$5:$A$5000&lt;$J784+7)*('Weekly Log'!$M$5:$M$5000&lt;&gt;"")),'Weekly Log'!$M$5:$M$5000),0))</f>
        <v/>
      </c>
      <c r="J784">
        <f>IF(COUNT('Weekly Log'!$A$5:$A$5000)=0,"",IF(MIN('Weekly Log'!$A$5:$A$5000)+7*(ROW()-10)&gt;MAX('Weekly Log'!$A$5:$A$5000),"",MIN('Weekly Log'!$A$5:$A$5000)+7*(ROW()-10)))</f>
        <v/>
      </c>
    </row>
    <row r="785">
      <c r="A785">
        <f>IF($J785="","",YEAR($J785-WEEKDAY($J785,2)+4)&amp;"-W"&amp;TEXT(WEEKNUM($J785,21),"00"))</f>
        <v/>
      </c>
      <c r="B785">
        <f>IF($J785="","",SUMIFS('Weekly Log'!$C:$C,'Weekly Log'!$A:$A,"&gt;="&amp;$J785,'Weekly Log'!$A:$A,"&lt;"&amp;$J785+7))</f>
        <v/>
      </c>
      <c r="C785">
        <f>IF($J785="","",IFERROR(COUNTIFS('Weekly Log'!$G:$G,"Y",'Weekly Log'!$A:$A,"&gt;="&amp;$J785,'Weekly Log'!$A:$A,"&lt;"&amp;$J785+7)/COUNTIFS('Weekly Log'!$G:$G,"&lt;&gt;",'Weekly Log'!$A:$A,"&gt;="&amp;$J785,'Weekly Log'!$A:$A,"&lt;"&amp;$J785+7),0))</f>
        <v/>
      </c>
      <c r="D785">
        <f>IF($J785="","",IFERROR(COUNTIFS('Weekly Log'!$H:$H,"Y",'Weekly Log'!$A:$A,"&gt;="&amp;$J785,'Weekly Log'!$A:$A,"&lt;"&amp;$J785+7)/COUNTIFS('Weekly Log'!$H:$H,"&lt;&gt;",'Weekly Log'!$A:$A,"&gt;="&amp;$J785,'Weekly Log'!$A:$A,"&lt;"&amp;$J785+7),0))</f>
        <v/>
      </c>
      <c r="E785">
        <f>IF($J785="","",IFERROR(AVERAGEIFS('Weekly Log'!$F:$F,'Weekly Log'!$A:$A,"&gt;="&amp;$J785,'Weekly Log'!$A:$A,"&lt;"&amp;$J785+7),0))</f>
        <v/>
      </c>
      <c r="F785">
        <f>IF($J785="","",IFERROR(SUMIFS('Weekly Log'!$F:$F,'Weekly Log'!$A:$A,"&gt;="&amp;$J785,'Weekly Log'!$A:$A,"&lt;"&amp;$J785+7)/SUMIFS('Weekly Log'!$E:$E,'Weekly Log'!$A:$A,"&gt;="&amp;$J785,'Weekly Log'!$A:$A,"&lt;"&amp;$J785+7),0))</f>
        <v/>
      </c>
      <c r="G785">
        <f>IF($J785="","",IFERROR(LOOKUP(2,1/(('Weekly Log'!$A$5:$A$5000&gt;=$J785)*('Weekly Log'!$A$5:$A$5000&lt;$J785+7)*('Weekly Log'!$M$5:$M$5000&lt;&gt;"")),'Weekly Log'!$M$5:$M$5000),0))</f>
        <v/>
      </c>
      <c r="J785">
        <f>IF(COUNT('Weekly Log'!$A$5:$A$5000)=0,"",IF(MIN('Weekly Log'!$A$5:$A$5000)+7*(ROW()-10)&gt;MAX('Weekly Log'!$A$5:$A$5000),"",MIN('Weekly Log'!$A$5:$A$5000)+7*(ROW()-10)))</f>
        <v/>
      </c>
    </row>
    <row r="786">
      <c r="A786">
        <f>IF($J786="","",YEAR($J786-WEEKDAY($J786,2)+4)&amp;"-W"&amp;TEXT(WEEKNUM($J786,21),"00"))</f>
        <v/>
      </c>
      <c r="B786">
        <f>IF($J786="","",SUMIFS('Weekly Log'!$C:$C,'Weekly Log'!$A:$A,"&gt;="&amp;$J786,'Weekly Log'!$A:$A,"&lt;"&amp;$J786+7))</f>
        <v/>
      </c>
      <c r="C786">
        <f>IF($J786="","",IFERROR(COUNTIFS('Weekly Log'!$G:$G,"Y",'Weekly Log'!$A:$A,"&gt;="&amp;$J786,'Weekly Log'!$A:$A,"&lt;"&amp;$J786+7)/COUNTIFS('Weekly Log'!$G:$G,"&lt;&gt;",'Weekly Log'!$A:$A,"&gt;="&amp;$J786,'Weekly Log'!$A:$A,"&lt;"&amp;$J786+7),0))</f>
        <v/>
      </c>
      <c r="D786">
        <f>IF($J786="","",IFERROR(COUNTIFS('Weekly Log'!$H:$H,"Y",'Weekly Log'!$A:$A,"&gt;="&amp;$J786,'Weekly Log'!$A:$A,"&lt;"&amp;$J786+7)/COUNTIFS('Weekly Log'!$H:$H,"&lt;&gt;",'Weekly Log'!$A:$A,"&gt;="&amp;$J786,'Weekly Log'!$A:$A,"&lt;"&amp;$J786+7),0))</f>
        <v/>
      </c>
      <c r="E786">
        <f>IF($J786="","",IFERROR(AVERAGEIFS('Weekly Log'!$F:$F,'Weekly Log'!$A:$A,"&gt;="&amp;$J786,'Weekly Log'!$A:$A,"&lt;"&amp;$J786+7),0))</f>
        <v/>
      </c>
      <c r="F786">
        <f>IF($J786="","",IFERROR(SUMIFS('Weekly Log'!$F:$F,'Weekly Log'!$A:$A,"&gt;="&amp;$J786,'Weekly Log'!$A:$A,"&lt;"&amp;$J786+7)/SUMIFS('Weekly Log'!$E:$E,'Weekly Log'!$A:$A,"&gt;="&amp;$J786,'Weekly Log'!$A:$A,"&lt;"&amp;$J786+7),0))</f>
        <v/>
      </c>
      <c r="G786">
        <f>IF($J786="","",IFERROR(LOOKUP(2,1/(('Weekly Log'!$A$5:$A$5000&gt;=$J786)*('Weekly Log'!$A$5:$A$5000&lt;$J786+7)*('Weekly Log'!$M$5:$M$5000&lt;&gt;"")),'Weekly Log'!$M$5:$M$5000),0))</f>
        <v/>
      </c>
      <c r="J786">
        <f>IF(COUNT('Weekly Log'!$A$5:$A$5000)=0,"",IF(MIN('Weekly Log'!$A$5:$A$5000)+7*(ROW()-10)&gt;MAX('Weekly Log'!$A$5:$A$5000),"",MIN('Weekly Log'!$A$5:$A$5000)+7*(ROW()-10)))</f>
        <v/>
      </c>
    </row>
    <row r="787">
      <c r="A787">
        <f>IF($J787="","",YEAR($J787-WEEKDAY($J787,2)+4)&amp;"-W"&amp;TEXT(WEEKNUM($J787,21),"00"))</f>
        <v/>
      </c>
      <c r="B787">
        <f>IF($J787="","",SUMIFS('Weekly Log'!$C:$C,'Weekly Log'!$A:$A,"&gt;="&amp;$J787,'Weekly Log'!$A:$A,"&lt;"&amp;$J787+7))</f>
        <v/>
      </c>
      <c r="C787">
        <f>IF($J787="","",IFERROR(COUNTIFS('Weekly Log'!$G:$G,"Y",'Weekly Log'!$A:$A,"&gt;="&amp;$J787,'Weekly Log'!$A:$A,"&lt;"&amp;$J787+7)/COUNTIFS('Weekly Log'!$G:$G,"&lt;&gt;",'Weekly Log'!$A:$A,"&gt;="&amp;$J787,'Weekly Log'!$A:$A,"&lt;"&amp;$J787+7),0))</f>
        <v/>
      </c>
      <c r="D787">
        <f>IF($J787="","",IFERROR(COUNTIFS('Weekly Log'!$H:$H,"Y",'Weekly Log'!$A:$A,"&gt;="&amp;$J787,'Weekly Log'!$A:$A,"&lt;"&amp;$J787+7)/COUNTIFS('Weekly Log'!$H:$H,"&lt;&gt;",'Weekly Log'!$A:$A,"&gt;="&amp;$J787,'Weekly Log'!$A:$A,"&lt;"&amp;$J787+7),0))</f>
        <v/>
      </c>
      <c r="E787">
        <f>IF($J787="","",IFERROR(AVERAGEIFS('Weekly Log'!$F:$F,'Weekly Log'!$A:$A,"&gt;="&amp;$J787,'Weekly Log'!$A:$A,"&lt;"&amp;$J787+7),0))</f>
        <v/>
      </c>
      <c r="F787">
        <f>IF($J787="","",IFERROR(SUMIFS('Weekly Log'!$F:$F,'Weekly Log'!$A:$A,"&gt;="&amp;$J787,'Weekly Log'!$A:$A,"&lt;"&amp;$J787+7)/SUMIFS('Weekly Log'!$E:$E,'Weekly Log'!$A:$A,"&gt;="&amp;$J787,'Weekly Log'!$A:$A,"&lt;"&amp;$J787+7),0))</f>
        <v/>
      </c>
      <c r="G787">
        <f>IF($J787="","",IFERROR(LOOKUP(2,1/(('Weekly Log'!$A$5:$A$5000&gt;=$J787)*('Weekly Log'!$A$5:$A$5000&lt;$J787+7)*('Weekly Log'!$M$5:$M$5000&lt;&gt;"")),'Weekly Log'!$M$5:$M$5000),0))</f>
        <v/>
      </c>
      <c r="J787">
        <f>IF(COUNT('Weekly Log'!$A$5:$A$5000)=0,"",IF(MIN('Weekly Log'!$A$5:$A$5000)+7*(ROW()-10)&gt;MAX('Weekly Log'!$A$5:$A$5000),"",MIN('Weekly Log'!$A$5:$A$5000)+7*(ROW()-10)))</f>
        <v/>
      </c>
    </row>
    <row r="788">
      <c r="A788">
        <f>IF($J788="","",YEAR($J788-WEEKDAY($J788,2)+4)&amp;"-W"&amp;TEXT(WEEKNUM($J788,21),"00"))</f>
        <v/>
      </c>
      <c r="B788">
        <f>IF($J788="","",SUMIFS('Weekly Log'!$C:$C,'Weekly Log'!$A:$A,"&gt;="&amp;$J788,'Weekly Log'!$A:$A,"&lt;"&amp;$J788+7))</f>
        <v/>
      </c>
      <c r="C788">
        <f>IF($J788="","",IFERROR(COUNTIFS('Weekly Log'!$G:$G,"Y",'Weekly Log'!$A:$A,"&gt;="&amp;$J788,'Weekly Log'!$A:$A,"&lt;"&amp;$J788+7)/COUNTIFS('Weekly Log'!$G:$G,"&lt;&gt;",'Weekly Log'!$A:$A,"&gt;="&amp;$J788,'Weekly Log'!$A:$A,"&lt;"&amp;$J788+7),0))</f>
        <v/>
      </c>
      <c r="D788">
        <f>IF($J788="","",IFERROR(COUNTIFS('Weekly Log'!$H:$H,"Y",'Weekly Log'!$A:$A,"&gt;="&amp;$J788,'Weekly Log'!$A:$A,"&lt;"&amp;$J788+7)/COUNTIFS('Weekly Log'!$H:$H,"&lt;&gt;",'Weekly Log'!$A:$A,"&gt;="&amp;$J788,'Weekly Log'!$A:$A,"&lt;"&amp;$J788+7),0))</f>
        <v/>
      </c>
      <c r="E788">
        <f>IF($J788="","",IFERROR(AVERAGEIFS('Weekly Log'!$F:$F,'Weekly Log'!$A:$A,"&gt;="&amp;$J788,'Weekly Log'!$A:$A,"&lt;"&amp;$J788+7),0))</f>
        <v/>
      </c>
      <c r="F788">
        <f>IF($J788="","",IFERROR(SUMIFS('Weekly Log'!$F:$F,'Weekly Log'!$A:$A,"&gt;="&amp;$J788,'Weekly Log'!$A:$A,"&lt;"&amp;$J788+7)/SUMIFS('Weekly Log'!$E:$E,'Weekly Log'!$A:$A,"&gt;="&amp;$J788,'Weekly Log'!$A:$A,"&lt;"&amp;$J788+7),0))</f>
        <v/>
      </c>
      <c r="G788">
        <f>IF($J788="","",IFERROR(LOOKUP(2,1/(('Weekly Log'!$A$5:$A$5000&gt;=$J788)*('Weekly Log'!$A$5:$A$5000&lt;$J788+7)*('Weekly Log'!$M$5:$M$5000&lt;&gt;"")),'Weekly Log'!$M$5:$M$5000),0))</f>
        <v/>
      </c>
      <c r="J788">
        <f>IF(COUNT('Weekly Log'!$A$5:$A$5000)=0,"",IF(MIN('Weekly Log'!$A$5:$A$5000)+7*(ROW()-10)&gt;MAX('Weekly Log'!$A$5:$A$5000),"",MIN('Weekly Log'!$A$5:$A$5000)+7*(ROW()-10)))</f>
        <v/>
      </c>
    </row>
    <row r="789">
      <c r="A789">
        <f>IF($J789="","",YEAR($J789-WEEKDAY($J789,2)+4)&amp;"-W"&amp;TEXT(WEEKNUM($J789,21),"00"))</f>
        <v/>
      </c>
      <c r="B789">
        <f>IF($J789="","",SUMIFS('Weekly Log'!$C:$C,'Weekly Log'!$A:$A,"&gt;="&amp;$J789,'Weekly Log'!$A:$A,"&lt;"&amp;$J789+7))</f>
        <v/>
      </c>
      <c r="C789">
        <f>IF($J789="","",IFERROR(COUNTIFS('Weekly Log'!$G:$G,"Y",'Weekly Log'!$A:$A,"&gt;="&amp;$J789,'Weekly Log'!$A:$A,"&lt;"&amp;$J789+7)/COUNTIFS('Weekly Log'!$G:$G,"&lt;&gt;",'Weekly Log'!$A:$A,"&gt;="&amp;$J789,'Weekly Log'!$A:$A,"&lt;"&amp;$J789+7),0))</f>
        <v/>
      </c>
      <c r="D789">
        <f>IF($J789="","",IFERROR(COUNTIFS('Weekly Log'!$H:$H,"Y",'Weekly Log'!$A:$A,"&gt;="&amp;$J789,'Weekly Log'!$A:$A,"&lt;"&amp;$J789+7)/COUNTIFS('Weekly Log'!$H:$H,"&lt;&gt;",'Weekly Log'!$A:$A,"&gt;="&amp;$J789,'Weekly Log'!$A:$A,"&lt;"&amp;$J789+7),0))</f>
        <v/>
      </c>
      <c r="E789">
        <f>IF($J789="","",IFERROR(AVERAGEIFS('Weekly Log'!$F:$F,'Weekly Log'!$A:$A,"&gt;="&amp;$J789,'Weekly Log'!$A:$A,"&lt;"&amp;$J789+7),0))</f>
        <v/>
      </c>
      <c r="F789">
        <f>IF($J789="","",IFERROR(SUMIFS('Weekly Log'!$F:$F,'Weekly Log'!$A:$A,"&gt;="&amp;$J789,'Weekly Log'!$A:$A,"&lt;"&amp;$J789+7)/SUMIFS('Weekly Log'!$E:$E,'Weekly Log'!$A:$A,"&gt;="&amp;$J789,'Weekly Log'!$A:$A,"&lt;"&amp;$J789+7),0))</f>
        <v/>
      </c>
      <c r="G789">
        <f>IF($J789="","",IFERROR(LOOKUP(2,1/(('Weekly Log'!$A$5:$A$5000&gt;=$J789)*('Weekly Log'!$A$5:$A$5000&lt;$J789+7)*('Weekly Log'!$M$5:$M$5000&lt;&gt;"")),'Weekly Log'!$M$5:$M$5000),0))</f>
        <v/>
      </c>
      <c r="J789">
        <f>IF(COUNT('Weekly Log'!$A$5:$A$5000)=0,"",IF(MIN('Weekly Log'!$A$5:$A$5000)+7*(ROW()-10)&gt;MAX('Weekly Log'!$A$5:$A$5000),"",MIN('Weekly Log'!$A$5:$A$5000)+7*(ROW()-10)))</f>
        <v/>
      </c>
    </row>
    <row r="790">
      <c r="A790">
        <f>IF($J790="","",YEAR($J790-WEEKDAY($J790,2)+4)&amp;"-W"&amp;TEXT(WEEKNUM($J790,21),"00"))</f>
        <v/>
      </c>
      <c r="B790">
        <f>IF($J790="","",SUMIFS('Weekly Log'!$C:$C,'Weekly Log'!$A:$A,"&gt;="&amp;$J790,'Weekly Log'!$A:$A,"&lt;"&amp;$J790+7))</f>
        <v/>
      </c>
      <c r="C790">
        <f>IF($J790="","",IFERROR(COUNTIFS('Weekly Log'!$G:$G,"Y",'Weekly Log'!$A:$A,"&gt;="&amp;$J790,'Weekly Log'!$A:$A,"&lt;"&amp;$J790+7)/COUNTIFS('Weekly Log'!$G:$G,"&lt;&gt;",'Weekly Log'!$A:$A,"&gt;="&amp;$J790,'Weekly Log'!$A:$A,"&lt;"&amp;$J790+7),0))</f>
        <v/>
      </c>
      <c r="D790">
        <f>IF($J790="","",IFERROR(COUNTIFS('Weekly Log'!$H:$H,"Y",'Weekly Log'!$A:$A,"&gt;="&amp;$J790,'Weekly Log'!$A:$A,"&lt;"&amp;$J790+7)/COUNTIFS('Weekly Log'!$H:$H,"&lt;&gt;",'Weekly Log'!$A:$A,"&gt;="&amp;$J790,'Weekly Log'!$A:$A,"&lt;"&amp;$J790+7),0))</f>
        <v/>
      </c>
      <c r="E790">
        <f>IF($J790="","",IFERROR(AVERAGEIFS('Weekly Log'!$F:$F,'Weekly Log'!$A:$A,"&gt;="&amp;$J790,'Weekly Log'!$A:$A,"&lt;"&amp;$J790+7),0))</f>
        <v/>
      </c>
      <c r="F790">
        <f>IF($J790="","",IFERROR(SUMIFS('Weekly Log'!$F:$F,'Weekly Log'!$A:$A,"&gt;="&amp;$J790,'Weekly Log'!$A:$A,"&lt;"&amp;$J790+7)/SUMIFS('Weekly Log'!$E:$E,'Weekly Log'!$A:$A,"&gt;="&amp;$J790,'Weekly Log'!$A:$A,"&lt;"&amp;$J790+7),0))</f>
        <v/>
      </c>
      <c r="G790">
        <f>IF($J790="","",IFERROR(LOOKUP(2,1/(('Weekly Log'!$A$5:$A$5000&gt;=$J790)*('Weekly Log'!$A$5:$A$5000&lt;$J790+7)*('Weekly Log'!$M$5:$M$5000&lt;&gt;"")),'Weekly Log'!$M$5:$M$5000),0))</f>
        <v/>
      </c>
      <c r="J790">
        <f>IF(COUNT('Weekly Log'!$A$5:$A$5000)=0,"",IF(MIN('Weekly Log'!$A$5:$A$5000)+7*(ROW()-10)&gt;MAX('Weekly Log'!$A$5:$A$5000),"",MIN('Weekly Log'!$A$5:$A$5000)+7*(ROW()-10)))</f>
        <v/>
      </c>
    </row>
    <row r="791">
      <c r="A791">
        <f>IF($J791="","",YEAR($J791-WEEKDAY($J791,2)+4)&amp;"-W"&amp;TEXT(WEEKNUM($J791,21),"00"))</f>
        <v/>
      </c>
      <c r="B791">
        <f>IF($J791="","",SUMIFS('Weekly Log'!$C:$C,'Weekly Log'!$A:$A,"&gt;="&amp;$J791,'Weekly Log'!$A:$A,"&lt;"&amp;$J791+7))</f>
        <v/>
      </c>
      <c r="C791">
        <f>IF($J791="","",IFERROR(COUNTIFS('Weekly Log'!$G:$G,"Y",'Weekly Log'!$A:$A,"&gt;="&amp;$J791,'Weekly Log'!$A:$A,"&lt;"&amp;$J791+7)/COUNTIFS('Weekly Log'!$G:$G,"&lt;&gt;",'Weekly Log'!$A:$A,"&gt;="&amp;$J791,'Weekly Log'!$A:$A,"&lt;"&amp;$J791+7),0))</f>
        <v/>
      </c>
      <c r="D791">
        <f>IF($J791="","",IFERROR(COUNTIFS('Weekly Log'!$H:$H,"Y",'Weekly Log'!$A:$A,"&gt;="&amp;$J791,'Weekly Log'!$A:$A,"&lt;"&amp;$J791+7)/COUNTIFS('Weekly Log'!$H:$H,"&lt;&gt;",'Weekly Log'!$A:$A,"&gt;="&amp;$J791,'Weekly Log'!$A:$A,"&lt;"&amp;$J791+7),0))</f>
        <v/>
      </c>
      <c r="E791">
        <f>IF($J791="","",IFERROR(AVERAGEIFS('Weekly Log'!$F:$F,'Weekly Log'!$A:$A,"&gt;="&amp;$J791,'Weekly Log'!$A:$A,"&lt;"&amp;$J791+7),0))</f>
        <v/>
      </c>
      <c r="F791">
        <f>IF($J791="","",IFERROR(SUMIFS('Weekly Log'!$F:$F,'Weekly Log'!$A:$A,"&gt;="&amp;$J791,'Weekly Log'!$A:$A,"&lt;"&amp;$J791+7)/SUMIFS('Weekly Log'!$E:$E,'Weekly Log'!$A:$A,"&gt;="&amp;$J791,'Weekly Log'!$A:$A,"&lt;"&amp;$J791+7),0))</f>
        <v/>
      </c>
      <c r="G791">
        <f>IF($J791="","",IFERROR(LOOKUP(2,1/(('Weekly Log'!$A$5:$A$5000&gt;=$J791)*('Weekly Log'!$A$5:$A$5000&lt;$J791+7)*('Weekly Log'!$M$5:$M$5000&lt;&gt;"")),'Weekly Log'!$M$5:$M$5000),0))</f>
        <v/>
      </c>
      <c r="J791">
        <f>IF(COUNT('Weekly Log'!$A$5:$A$5000)=0,"",IF(MIN('Weekly Log'!$A$5:$A$5000)+7*(ROW()-10)&gt;MAX('Weekly Log'!$A$5:$A$5000),"",MIN('Weekly Log'!$A$5:$A$5000)+7*(ROW()-10)))</f>
        <v/>
      </c>
    </row>
    <row r="792">
      <c r="A792">
        <f>IF($J792="","",YEAR($J792-WEEKDAY($J792,2)+4)&amp;"-W"&amp;TEXT(WEEKNUM($J792,21),"00"))</f>
        <v/>
      </c>
      <c r="B792">
        <f>IF($J792="","",SUMIFS('Weekly Log'!$C:$C,'Weekly Log'!$A:$A,"&gt;="&amp;$J792,'Weekly Log'!$A:$A,"&lt;"&amp;$J792+7))</f>
        <v/>
      </c>
      <c r="C792">
        <f>IF($J792="","",IFERROR(COUNTIFS('Weekly Log'!$G:$G,"Y",'Weekly Log'!$A:$A,"&gt;="&amp;$J792,'Weekly Log'!$A:$A,"&lt;"&amp;$J792+7)/COUNTIFS('Weekly Log'!$G:$G,"&lt;&gt;",'Weekly Log'!$A:$A,"&gt;="&amp;$J792,'Weekly Log'!$A:$A,"&lt;"&amp;$J792+7),0))</f>
        <v/>
      </c>
      <c r="D792">
        <f>IF($J792="","",IFERROR(COUNTIFS('Weekly Log'!$H:$H,"Y",'Weekly Log'!$A:$A,"&gt;="&amp;$J792,'Weekly Log'!$A:$A,"&lt;"&amp;$J792+7)/COUNTIFS('Weekly Log'!$H:$H,"&lt;&gt;",'Weekly Log'!$A:$A,"&gt;="&amp;$J792,'Weekly Log'!$A:$A,"&lt;"&amp;$J792+7),0))</f>
        <v/>
      </c>
      <c r="E792">
        <f>IF($J792="","",IFERROR(AVERAGEIFS('Weekly Log'!$F:$F,'Weekly Log'!$A:$A,"&gt;="&amp;$J792,'Weekly Log'!$A:$A,"&lt;"&amp;$J792+7),0))</f>
        <v/>
      </c>
      <c r="F792">
        <f>IF($J792="","",IFERROR(SUMIFS('Weekly Log'!$F:$F,'Weekly Log'!$A:$A,"&gt;="&amp;$J792,'Weekly Log'!$A:$A,"&lt;"&amp;$J792+7)/SUMIFS('Weekly Log'!$E:$E,'Weekly Log'!$A:$A,"&gt;="&amp;$J792,'Weekly Log'!$A:$A,"&lt;"&amp;$J792+7),0))</f>
        <v/>
      </c>
      <c r="G792">
        <f>IF($J792="","",IFERROR(LOOKUP(2,1/(('Weekly Log'!$A$5:$A$5000&gt;=$J792)*('Weekly Log'!$A$5:$A$5000&lt;$J792+7)*('Weekly Log'!$M$5:$M$5000&lt;&gt;"")),'Weekly Log'!$M$5:$M$5000),0))</f>
        <v/>
      </c>
      <c r="J792">
        <f>IF(COUNT('Weekly Log'!$A$5:$A$5000)=0,"",IF(MIN('Weekly Log'!$A$5:$A$5000)+7*(ROW()-10)&gt;MAX('Weekly Log'!$A$5:$A$5000),"",MIN('Weekly Log'!$A$5:$A$5000)+7*(ROW()-10)))</f>
        <v/>
      </c>
    </row>
    <row r="793">
      <c r="A793">
        <f>IF($J793="","",YEAR($J793-WEEKDAY($J793,2)+4)&amp;"-W"&amp;TEXT(WEEKNUM($J793,21),"00"))</f>
        <v/>
      </c>
      <c r="B793">
        <f>IF($J793="","",SUMIFS('Weekly Log'!$C:$C,'Weekly Log'!$A:$A,"&gt;="&amp;$J793,'Weekly Log'!$A:$A,"&lt;"&amp;$J793+7))</f>
        <v/>
      </c>
      <c r="C793">
        <f>IF($J793="","",IFERROR(COUNTIFS('Weekly Log'!$G:$G,"Y",'Weekly Log'!$A:$A,"&gt;="&amp;$J793,'Weekly Log'!$A:$A,"&lt;"&amp;$J793+7)/COUNTIFS('Weekly Log'!$G:$G,"&lt;&gt;",'Weekly Log'!$A:$A,"&gt;="&amp;$J793,'Weekly Log'!$A:$A,"&lt;"&amp;$J793+7),0))</f>
        <v/>
      </c>
      <c r="D793">
        <f>IF($J793="","",IFERROR(COUNTIFS('Weekly Log'!$H:$H,"Y",'Weekly Log'!$A:$A,"&gt;="&amp;$J793,'Weekly Log'!$A:$A,"&lt;"&amp;$J793+7)/COUNTIFS('Weekly Log'!$H:$H,"&lt;&gt;",'Weekly Log'!$A:$A,"&gt;="&amp;$J793,'Weekly Log'!$A:$A,"&lt;"&amp;$J793+7),0))</f>
        <v/>
      </c>
      <c r="E793">
        <f>IF($J793="","",IFERROR(AVERAGEIFS('Weekly Log'!$F:$F,'Weekly Log'!$A:$A,"&gt;="&amp;$J793,'Weekly Log'!$A:$A,"&lt;"&amp;$J793+7),0))</f>
        <v/>
      </c>
      <c r="F793">
        <f>IF($J793="","",IFERROR(SUMIFS('Weekly Log'!$F:$F,'Weekly Log'!$A:$A,"&gt;="&amp;$J793,'Weekly Log'!$A:$A,"&lt;"&amp;$J793+7)/SUMIFS('Weekly Log'!$E:$E,'Weekly Log'!$A:$A,"&gt;="&amp;$J793,'Weekly Log'!$A:$A,"&lt;"&amp;$J793+7),0))</f>
        <v/>
      </c>
      <c r="G793">
        <f>IF($J793="","",IFERROR(LOOKUP(2,1/(('Weekly Log'!$A$5:$A$5000&gt;=$J793)*('Weekly Log'!$A$5:$A$5000&lt;$J793+7)*('Weekly Log'!$M$5:$M$5000&lt;&gt;"")),'Weekly Log'!$M$5:$M$5000),0))</f>
        <v/>
      </c>
      <c r="J793">
        <f>IF(COUNT('Weekly Log'!$A$5:$A$5000)=0,"",IF(MIN('Weekly Log'!$A$5:$A$5000)+7*(ROW()-10)&gt;MAX('Weekly Log'!$A$5:$A$5000),"",MIN('Weekly Log'!$A$5:$A$5000)+7*(ROW()-10)))</f>
        <v/>
      </c>
    </row>
    <row r="794">
      <c r="A794">
        <f>IF($J794="","",YEAR($J794-WEEKDAY($J794,2)+4)&amp;"-W"&amp;TEXT(WEEKNUM($J794,21),"00"))</f>
        <v/>
      </c>
      <c r="B794">
        <f>IF($J794="","",SUMIFS('Weekly Log'!$C:$C,'Weekly Log'!$A:$A,"&gt;="&amp;$J794,'Weekly Log'!$A:$A,"&lt;"&amp;$J794+7))</f>
        <v/>
      </c>
      <c r="C794">
        <f>IF($J794="","",IFERROR(COUNTIFS('Weekly Log'!$G:$G,"Y",'Weekly Log'!$A:$A,"&gt;="&amp;$J794,'Weekly Log'!$A:$A,"&lt;"&amp;$J794+7)/COUNTIFS('Weekly Log'!$G:$G,"&lt;&gt;",'Weekly Log'!$A:$A,"&gt;="&amp;$J794,'Weekly Log'!$A:$A,"&lt;"&amp;$J794+7),0))</f>
        <v/>
      </c>
      <c r="D794">
        <f>IF($J794="","",IFERROR(COUNTIFS('Weekly Log'!$H:$H,"Y",'Weekly Log'!$A:$A,"&gt;="&amp;$J794,'Weekly Log'!$A:$A,"&lt;"&amp;$J794+7)/COUNTIFS('Weekly Log'!$H:$H,"&lt;&gt;",'Weekly Log'!$A:$A,"&gt;="&amp;$J794,'Weekly Log'!$A:$A,"&lt;"&amp;$J794+7),0))</f>
        <v/>
      </c>
      <c r="E794">
        <f>IF($J794="","",IFERROR(AVERAGEIFS('Weekly Log'!$F:$F,'Weekly Log'!$A:$A,"&gt;="&amp;$J794,'Weekly Log'!$A:$A,"&lt;"&amp;$J794+7),0))</f>
        <v/>
      </c>
      <c r="F794">
        <f>IF($J794="","",IFERROR(SUMIFS('Weekly Log'!$F:$F,'Weekly Log'!$A:$A,"&gt;="&amp;$J794,'Weekly Log'!$A:$A,"&lt;"&amp;$J794+7)/SUMIFS('Weekly Log'!$E:$E,'Weekly Log'!$A:$A,"&gt;="&amp;$J794,'Weekly Log'!$A:$A,"&lt;"&amp;$J794+7),0))</f>
        <v/>
      </c>
      <c r="G794">
        <f>IF($J794="","",IFERROR(LOOKUP(2,1/(('Weekly Log'!$A$5:$A$5000&gt;=$J794)*('Weekly Log'!$A$5:$A$5000&lt;$J794+7)*('Weekly Log'!$M$5:$M$5000&lt;&gt;"")),'Weekly Log'!$M$5:$M$5000),0))</f>
        <v/>
      </c>
      <c r="J794">
        <f>IF(COUNT('Weekly Log'!$A$5:$A$5000)=0,"",IF(MIN('Weekly Log'!$A$5:$A$5000)+7*(ROW()-10)&gt;MAX('Weekly Log'!$A$5:$A$5000),"",MIN('Weekly Log'!$A$5:$A$5000)+7*(ROW()-10)))</f>
        <v/>
      </c>
    </row>
    <row r="795">
      <c r="A795">
        <f>IF($J795="","",YEAR($J795-WEEKDAY($J795,2)+4)&amp;"-W"&amp;TEXT(WEEKNUM($J795,21),"00"))</f>
        <v/>
      </c>
      <c r="B795">
        <f>IF($J795="","",SUMIFS('Weekly Log'!$C:$C,'Weekly Log'!$A:$A,"&gt;="&amp;$J795,'Weekly Log'!$A:$A,"&lt;"&amp;$J795+7))</f>
        <v/>
      </c>
      <c r="C795">
        <f>IF($J795="","",IFERROR(COUNTIFS('Weekly Log'!$G:$G,"Y",'Weekly Log'!$A:$A,"&gt;="&amp;$J795,'Weekly Log'!$A:$A,"&lt;"&amp;$J795+7)/COUNTIFS('Weekly Log'!$G:$G,"&lt;&gt;",'Weekly Log'!$A:$A,"&gt;="&amp;$J795,'Weekly Log'!$A:$A,"&lt;"&amp;$J795+7),0))</f>
        <v/>
      </c>
      <c r="D795">
        <f>IF($J795="","",IFERROR(COUNTIFS('Weekly Log'!$H:$H,"Y",'Weekly Log'!$A:$A,"&gt;="&amp;$J795,'Weekly Log'!$A:$A,"&lt;"&amp;$J795+7)/COUNTIFS('Weekly Log'!$H:$H,"&lt;&gt;",'Weekly Log'!$A:$A,"&gt;="&amp;$J795,'Weekly Log'!$A:$A,"&lt;"&amp;$J795+7),0))</f>
        <v/>
      </c>
      <c r="E795">
        <f>IF($J795="","",IFERROR(AVERAGEIFS('Weekly Log'!$F:$F,'Weekly Log'!$A:$A,"&gt;="&amp;$J795,'Weekly Log'!$A:$A,"&lt;"&amp;$J795+7),0))</f>
        <v/>
      </c>
      <c r="F795">
        <f>IF($J795="","",IFERROR(SUMIFS('Weekly Log'!$F:$F,'Weekly Log'!$A:$A,"&gt;="&amp;$J795,'Weekly Log'!$A:$A,"&lt;"&amp;$J795+7)/SUMIFS('Weekly Log'!$E:$E,'Weekly Log'!$A:$A,"&gt;="&amp;$J795,'Weekly Log'!$A:$A,"&lt;"&amp;$J795+7),0))</f>
        <v/>
      </c>
      <c r="G795">
        <f>IF($J795="","",IFERROR(LOOKUP(2,1/(('Weekly Log'!$A$5:$A$5000&gt;=$J795)*('Weekly Log'!$A$5:$A$5000&lt;$J795+7)*('Weekly Log'!$M$5:$M$5000&lt;&gt;"")),'Weekly Log'!$M$5:$M$5000),0))</f>
        <v/>
      </c>
      <c r="J795">
        <f>IF(COUNT('Weekly Log'!$A$5:$A$5000)=0,"",IF(MIN('Weekly Log'!$A$5:$A$5000)+7*(ROW()-10)&gt;MAX('Weekly Log'!$A$5:$A$5000),"",MIN('Weekly Log'!$A$5:$A$5000)+7*(ROW()-10)))</f>
        <v/>
      </c>
    </row>
    <row r="796">
      <c r="A796">
        <f>IF($J796="","",YEAR($J796-WEEKDAY($J796,2)+4)&amp;"-W"&amp;TEXT(WEEKNUM($J796,21),"00"))</f>
        <v/>
      </c>
      <c r="B796">
        <f>IF($J796="","",SUMIFS('Weekly Log'!$C:$C,'Weekly Log'!$A:$A,"&gt;="&amp;$J796,'Weekly Log'!$A:$A,"&lt;"&amp;$J796+7))</f>
        <v/>
      </c>
      <c r="C796">
        <f>IF($J796="","",IFERROR(COUNTIFS('Weekly Log'!$G:$G,"Y",'Weekly Log'!$A:$A,"&gt;="&amp;$J796,'Weekly Log'!$A:$A,"&lt;"&amp;$J796+7)/COUNTIFS('Weekly Log'!$G:$G,"&lt;&gt;",'Weekly Log'!$A:$A,"&gt;="&amp;$J796,'Weekly Log'!$A:$A,"&lt;"&amp;$J796+7),0))</f>
        <v/>
      </c>
      <c r="D796">
        <f>IF($J796="","",IFERROR(COUNTIFS('Weekly Log'!$H:$H,"Y",'Weekly Log'!$A:$A,"&gt;="&amp;$J796,'Weekly Log'!$A:$A,"&lt;"&amp;$J796+7)/COUNTIFS('Weekly Log'!$H:$H,"&lt;&gt;",'Weekly Log'!$A:$A,"&gt;="&amp;$J796,'Weekly Log'!$A:$A,"&lt;"&amp;$J796+7),0))</f>
        <v/>
      </c>
      <c r="E796">
        <f>IF($J796="","",IFERROR(AVERAGEIFS('Weekly Log'!$F:$F,'Weekly Log'!$A:$A,"&gt;="&amp;$J796,'Weekly Log'!$A:$A,"&lt;"&amp;$J796+7),0))</f>
        <v/>
      </c>
      <c r="F796">
        <f>IF($J796="","",IFERROR(SUMIFS('Weekly Log'!$F:$F,'Weekly Log'!$A:$A,"&gt;="&amp;$J796,'Weekly Log'!$A:$A,"&lt;"&amp;$J796+7)/SUMIFS('Weekly Log'!$E:$E,'Weekly Log'!$A:$A,"&gt;="&amp;$J796,'Weekly Log'!$A:$A,"&lt;"&amp;$J796+7),0))</f>
        <v/>
      </c>
      <c r="G796">
        <f>IF($J796="","",IFERROR(LOOKUP(2,1/(('Weekly Log'!$A$5:$A$5000&gt;=$J796)*('Weekly Log'!$A$5:$A$5000&lt;$J796+7)*('Weekly Log'!$M$5:$M$5000&lt;&gt;"")),'Weekly Log'!$M$5:$M$5000),0))</f>
        <v/>
      </c>
      <c r="J796">
        <f>IF(COUNT('Weekly Log'!$A$5:$A$5000)=0,"",IF(MIN('Weekly Log'!$A$5:$A$5000)+7*(ROW()-10)&gt;MAX('Weekly Log'!$A$5:$A$5000),"",MIN('Weekly Log'!$A$5:$A$5000)+7*(ROW()-10)))</f>
        <v/>
      </c>
    </row>
    <row r="797">
      <c r="A797">
        <f>IF($J797="","",YEAR($J797-WEEKDAY($J797,2)+4)&amp;"-W"&amp;TEXT(WEEKNUM($J797,21),"00"))</f>
        <v/>
      </c>
      <c r="B797">
        <f>IF($J797="","",SUMIFS('Weekly Log'!$C:$C,'Weekly Log'!$A:$A,"&gt;="&amp;$J797,'Weekly Log'!$A:$A,"&lt;"&amp;$J797+7))</f>
        <v/>
      </c>
      <c r="C797">
        <f>IF($J797="","",IFERROR(COUNTIFS('Weekly Log'!$G:$G,"Y",'Weekly Log'!$A:$A,"&gt;="&amp;$J797,'Weekly Log'!$A:$A,"&lt;"&amp;$J797+7)/COUNTIFS('Weekly Log'!$G:$G,"&lt;&gt;",'Weekly Log'!$A:$A,"&gt;="&amp;$J797,'Weekly Log'!$A:$A,"&lt;"&amp;$J797+7),0))</f>
        <v/>
      </c>
      <c r="D797">
        <f>IF($J797="","",IFERROR(COUNTIFS('Weekly Log'!$H:$H,"Y",'Weekly Log'!$A:$A,"&gt;="&amp;$J797,'Weekly Log'!$A:$A,"&lt;"&amp;$J797+7)/COUNTIFS('Weekly Log'!$H:$H,"&lt;&gt;",'Weekly Log'!$A:$A,"&gt;="&amp;$J797,'Weekly Log'!$A:$A,"&lt;"&amp;$J797+7),0))</f>
        <v/>
      </c>
      <c r="E797">
        <f>IF($J797="","",IFERROR(AVERAGEIFS('Weekly Log'!$F:$F,'Weekly Log'!$A:$A,"&gt;="&amp;$J797,'Weekly Log'!$A:$A,"&lt;"&amp;$J797+7),0))</f>
        <v/>
      </c>
      <c r="F797">
        <f>IF($J797="","",IFERROR(SUMIFS('Weekly Log'!$F:$F,'Weekly Log'!$A:$A,"&gt;="&amp;$J797,'Weekly Log'!$A:$A,"&lt;"&amp;$J797+7)/SUMIFS('Weekly Log'!$E:$E,'Weekly Log'!$A:$A,"&gt;="&amp;$J797,'Weekly Log'!$A:$A,"&lt;"&amp;$J797+7),0))</f>
        <v/>
      </c>
      <c r="G797">
        <f>IF($J797="","",IFERROR(LOOKUP(2,1/(('Weekly Log'!$A$5:$A$5000&gt;=$J797)*('Weekly Log'!$A$5:$A$5000&lt;$J797+7)*('Weekly Log'!$M$5:$M$5000&lt;&gt;"")),'Weekly Log'!$M$5:$M$5000),0))</f>
        <v/>
      </c>
      <c r="J797">
        <f>IF(COUNT('Weekly Log'!$A$5:$A$5000)=0,"",IF(MIN('Weekly Log'!$A$5:$A$5000)+7*(ROW()-10)&gt;MAX('Weekly Log'!$A$5:$A$5000),"",MIN('Weekly Log'!$A$5:$A$5000)+7*(ROW()-10)))</f>
        <v/>
      </c>
    </row>
    <row r="798">
      <c r="A798">
        <f>IF($J798="","",YEAR($J798-WEEKDAY($J798,2)+4)&amp;"-W"&amp;TEXT(WEEKNUM($J798,21),"00"))</f>
        <v/>
      </c>
      <c r="B798">
        <f>IF($J798="","",SUMIFS('Weekly Log'!$C:$C,'Weekly Log'!$A:$A,"&gt;="&amp;$J798,'Weekly Log'!$A:$A,"&lt;"&amp;$J798+7))</f>
        <v/>
      </c>
      <c r="C798">
        <f>IF($J798="","",IFERROR(COUNTIFS('Weekly Log'!$G:$G,"Y",'Weekly Log'!$A:$A,"&gt;="&amp;$J798,'Weekly Log'!$A:$A,"&lt;"&amp;$J798+7)/COUNTIFS('Weekly Log'!$G:$G,"&lt;&gt;",'Weekly Log'!$A:$A,"&gt;="&amp;$J798,'Weekly Log'!$A:$A,"&lt;"&amp;$J798+7),0))</f>
        <v/>
      </c>
      <c r="D798">
        <f>IF($J798="","",IFERROR(COUNTIFS('Weekly Log'!$H:$H,"Y",'Weekly Log'!$A:$A,"&gt;="&amp;$J798,'Weekly Log'!$A:$A,"&lt;"&amp;$J798+7)/COUNTIFS('Weekly Log'!$H:$H,"&lt;&gt;",'Weekly Log'!$A:$A,"&gt;="&amp;$J798,'Weekly Log'!$A:$A,"&lt;"&amp;$J798+7),0))</f>
        <v/>
      </c>
      <c r="E798">
        <f>IF($J798="","",IFERROR(AVERAGEIFS('Weekly Log'!$F:$F,'Weekly Log'!$A:$A,"&gt;="&amp;$J798,'Weekly Log'!$A:$A,"&lt;"&amp;$J798+7),0))</f>
        <v/>
      </c>
      <c r="F798">
        <f>IF($J798="","",IFERROR(SUMIFS('Weekly Log'!$F:$F,'Weekly Log'!$A:$A,"&gt;="&amp;$J798,'Weekly Log'!$A:$A,"&lt;"&amp;$J798+7)/SUMIFS('Weekly Log'!$E:$E,'Weekly Log'!$A:$A,"&gt;="&amp;$J798,'Weekly Log'!$A:$A,"&lt;"&amp;$J798+7),0))</f>
        <v/>
      </c>
      <c r="G798">
        <f>IF($J798="","",IFERROR(LOOKUP(2,1/(('Weekly Log'!$A$5:$A$5000&gt;=$J798)*('Weekly Log'!$A$5:$A$5000&lt;$J798+7)*('Weekly Log'!$M$5:$M$5000&lt;&gt;"")),'Weekly Log'!$M$5:$M$5000),0))</f>
        <v/>
      </c>
      <c r="J798">
        <f>IF(COUNT('Weekly Log'!$A$5:$A$5000)=0,"",IF(MIN('Weekly Log'!$A$5:$A$5000)+7*(ROW()-10)&gt;MAX('Weekly Log'!$A$5:$A$5000),"",MIN('Weekly Log'!$A$5:$A$5000)+7*(ROW()-10)))</f>
        <v/>
      </c>
    </row>
    <row r="799">
      <c r="A799">
        <f>IF($J799="","",YEAR($J799-WEEKDAY($J799,2)+4)&amp;"-W"&amp;TEXT(WEEKNUM($J799,21),"00"))</f>
        <v/>
      </c>
      <c r="B799">
        <f>IF($J799="","",SUMIFS('Weekly Log'!$C:$C,'Weekly Log'!$A:$A,"&gt;="&amp;$J799,'Weekly Log'!$A:$A,"&lt;"&amp;$J799+7))</f>
        <v/>
      </c>
      <c r="C799">
        <f>IF($J799="","",IFERROR(COUNTIFS('Weekly Log'!$G:$G,"Y",'Weekly Log'!$A:$A,"&gt;="&amp;$J799,'Weekly Log'!$A:$A,"&lt;"&amp;$J799+7)/COUNTIFS('Weekly Log'!$G:$G,"&lt;&gt;",'Weekly Log'!$A:$A,"&gt;="&amp;$J799,'Weekly Log'!$A:$A,"&lt;"&amp;$J799+7),0))</f>
        <v/>
      </c>
      <c r="D799">
        <f>IF($J799="","",IFERROR(COUNTIFS('Weekly Log'!$H:$H,"Y",'Weekly Log'!$A:$A,"&gt;="&amp;$J799,'Weekly Log'!$A:$A,"&lt;"&amp;$J799+7)/COUNTIFS('Weekly Log'!$H:$H,"&lt;&gt;",'Weekly Log'!$A:$A,"&gt;="&amp;$J799,'Weekly Log'!$A:$A,"&lt;"&amp;$J799+7),0))</f>
        <v/>
      </c>
      <c r="E799">
        <f>IF($J799="","",IFERROR(AVERAGEIFS('Weekly Log'!$F:$F,'Weekly Log'!$A:$A,"&gt;="&amp;$J799,'Weekly Log'!$A:$A,"&lt;"&amp;$J799+7),0))</f>
        <v/>
      </c>
      <c r="F799">
        <f>IF($J799="","",IFERROR(SUMIFS('Weekly Log'!$F:$F,'Weekly Log'!$A:$A,"&gt;="&amp;$J799,'Weekly Log'!$A:$A,"&lt;"&amp;$J799+7)/SUMIFS('Weekly Log'!$E:$E,'Weekly Log'!$A:$A,"&gt;="&amp;$J799,'Weekly Log'!$A:$A,"&lt;"&amp;$J799+7),0))</f>
        <v/>
      </c>
      <c r="G799">
        <f>IF($J799="","",IFERROR(LOOKUP(2,1/(('Weekly Log'!$A$5:$A$5000&gt;=$J799)*('Weekly Log'!$A$5:$A$5000&lt;$J799+7)*('Weekly Log'!$M$5:$M$5000&lt;&gt;"")),'Weekly Log'!$M$5:$M$5000),0))</f>
        <v/>
      </c>
      <c r="J799">
        <f>IF(COUNT('Weekly Log'!$A$5:$A$5000)=0,"",IF(MIN('Weekly Log'!$A$5:$A$5000)+7*(ROW()-10)&gt;MAX('Weekly Log'!$A$5:$A$5000),"",MIN('Weekly Log'!$A$5:$A$5000)+7*(ROW()-10)))</f>
        <v/>
      </c>
    </row>
    <row r="800">
      <c r="A800">
        <f>IF($J800="","",YEAR($J800-WEEKDAY($J800,2)+4)&amp;"-W"&amp;TEXT(WEEKNUM($J800,21),"00"))</f>
        <v/>
      </c>
      <c r="B800">
        <f>IF($J800="","",SUMIFS('Weekly Log'!$C:$C,'Weekly Log'!$A:$A,"&gt;="&amp;$J800,'Weekly Log'!$A:$A,"&lt;"&amp;$J800+7))</f>
        <v/>
      </c>
      <c r="C800">
        <f>IF($J800="","",IFERROR(COUNTIFS('Weekly Log'!$G:$G,"Y",'Weekly Log'!$A:$A,"&gt;="&amp;$J800,'Weekly Log'!$A:$A,"&lt;"&amp;$J800+7)/COUNTIFS('Weekly Log'!$G:$G,"&lt;&gt;",'Weekly Log'!$A:$A,"&gt;="&amp;$J800,'Weekly Log'!$A:$A,"&lt;"&amp;$J800+7),0))</f>
        <v/>
      </c>
      <c r="D800">
        <f>IF($J800="","",IFERROR(COUNTIFS('Weekly Log'!$H:$H,"Y",'Weekly Log'!$A:$A,"&gt;="&amp;$J800,'Weekly Log'!$A:$A,"&lt;"&amp;$J800+7)/COUNTIFS('Weekly Log'!$H:$H,"&lt;&gt;",'Weekly Log'!$A:$A,"&gt;="&amp;$J800,'Weekly Log'!$A:$A,"&lt;"&amp;$J800+7),0))</f>
        <v/>
      </c>
      <c r="E800">
        <f>IF($J800="","",IFERROR(AVERAGEIFS('Weekly Log'!$F:$F,'Weekly Log'!$A:$A,"&gt;="&amp;$J800,'Weekly Log'!$A:$A,"&lt;"&amp;$J800+7),0))</f>
        <v/>
      </c>
      <c r="F800">
        <f>IF($J800="","",IFERROR(SUMIFS('Weekly Log'!$F:$F,'Weekly Log'!$A:$A,"&gt;="&amp;$J800,'Weekly Log'!$A:$A,"&lt;"&amp;$J800+7)/SUMIFS('Weekly Log'!$E:$E,'Weekly Log'!$A:$A,"&gt;="&amp;$J800,'Weekly Log'!$A:$A,"&lt;"&amp;$J800+7),0))</f>
        <v/>
      </c>
      <c r="G800">
        <f>IF($J800="","",IFERROR(LOOKUP(2,1/(('Weekly Log'!$A$5:$A$5000&gt;=$J800)*('Weekly Log'!$A$5:$A$5000&lt;$J800+7)*('Weekly Log'!$M$5:$M$5000&lt;&gt;"")),'Weekly Log'!$M$5:$M$5000),0))</f>
        <v/>
      </c>
      <c r="J800">
        <f>IF(COUNT('Weekly Log'!$A$5:$A$5000)=0,"",IF(MIN('Weekly Log'!$A$5:$A$5000)+7*(ROW()-10)&gt;MAX('Weekly Log'!$A$5:$A$5000),"",MIN('Weekly Log'!$A$5:$A$5000)+7*(ROW()-10)))</f>
        <v/>
      </c>
    </row>
    <row r="801">
      <c r="A801">
        <f>IF($J801="","",YEAR($J801-WEEKDAY($J801,2)+4)&amp;"-W"&amp;TEXT(WEEKNUM($J801,21),"00"))</f>
        <v/>
      </c>
      <c r="B801">
        <f>IF($J801="","",SUMIFS('Weekly Log'!$C:$C,'Weekly Log'!$A:$A,"&gt;="&amp;$J801,'Weekly Log'!$A:$A,"&lt;"&amp;$J801+7))</f>
        <v/>
      </c>
      <c r="C801">
        <f>IF($J801="","",IFERROR(COUNTIFS('Weekly Log'!$G:$G,"Y",'Weekly Log'!$A:$A,"&gt;="&amp;$J801,'Weekly Log'!$A:$A,"&lt;"&amp;$J801+7)/COUNTIFS('Weekly Log'!$G:$G,"&lt;&gt;",'Weekly Log'!$A:$A,"&gt;="&amp;$J801,'Weekly Log'!$A:$A,"&lt;"&amp;$J801+7),0))</f>
        <v/>
      </c>
      <c r="D801">
        <f>IF($J801="","",IFERROR(COUNTIFS('Weekly Log'!$H:$H,"Y",'Weekly Log'!$A:$A,"&gt;="&amp;$J801,'Weekly Log'!$A:$A,"&lt;"&amp;$J801+7)/COUNTIFS('Weekly Log'!$H:$H,"&lt;&gt;",'Weekly Log'!$A:$A,"&gt;="&amp;$J801,'Weekly Log'!$A:$A,"&lt;"&amp;$J801+7),0))</f>
        <v/>
      </c>
      <c r="E801">
        <f>IF($J801="","",IFERROR(AVERAGEIFS('Weekly Log'!$F:$F,'Weekly Log'!$A:$A,"&gt;="&amp;$J801,'Weekly Log'!$A:$A,"&lt;"&amp;$J801+7),0))</f>
        <v/>
      </c>
      <c r="F801">
        <f>IF($J801="","",IFERROR(SUMIFS('Weekly Log'!$F:$F,'Weekly Log'!$A:$A,"&gt;="&amp;$J801,'Weekly Log'!$A:$A,"&lt;"&amp;$J801+7)/SUMIFS('Weekly Log'!$E:$E,'Weekly Log'!$A:$A,"&gt;="&amp;$J801,'Weekly Log'!$A:$A,"&lt;"&amp;$J801+7),0))</f>
        <v/>
      </c>
      <c r="G801">
        <f>IF($J801="","",IFERROR(LOOKUP(2,1/(('Weekly Log'!$A$5:$A$5000&gt;=$J801)*('Weekly Log'!$A$5:$A$5000&lt;$J801+7)*('Weekly Log'!$M$5:$M$5000&lt;&gt;"")),'Weekly Log'!$M$5:$M$5000),0))</f>
        <v/>
      </c>
      <c r="J801">
        <f>IF(COUNT('Weekly Log'!$A$5:$A$5000)=0,"",IF(MIN('Weekly Log'!$A$5:$A$5000)+7*(ROW()-10)&gt;MAX('Weekly Log'!$A$5:$A$5000),"",MIN('Weekly Log'!$A$5:$A$5000)+7*(ROW()-10)))</f>
        <v/>
      </c>
    </row>
    <row r="802">
      <c r="A802">
        <f>IF($J802="","",YEAR($J802-WEEKDAY($J802,2)+4)&amp;"-W"&amp;TEXT(WEEKNUM($J802,21),"00"))</f>
        <v/>
      </c>
      <c r="B802">
        <f>IF($J802="","",SUMIFS('Weekly Log'!$C:$C,'Weekly Log'!$A:$A,"&gt;="&amp;$J802,'Weekly Log'!$A:$A,"&lt;"&amp;$J802+7))</f>
        <v/>
      </c>
      <c r="C802">
        <f>IF($J802="","",IFERROR(COUNTIFS('Weekly Log'!$G:$G,"Y",'Weekly Log'!$A:$A,"&gt;="&amp;$J802,'Weekly Log'!$A:$A,"&lt;"&amp;$J802+7)/COUNTIFS('Weekly Log'!$G:$G,"&lt;&gt;",'Weekly Log'!$A:$A,"&gt;="&amp;$J802,'Weekly Log'!$A:$A,"&lt;"&amp;$J802+7),0))</f>
        <v/>
      </c>
      <c r="D802">
        <f>IF($J802="","",IFERROR(COUNTIFS('Weekly Log'!$H:$H,"Y",'Weekly Log'!$A:$A,"&gt;="&amp;$J802,'Weekly Log'!$A:$A,"&lt;"&amp;$J802+7)/COUNTIFS('Weekly Log'!$H:$H,"&lt;&gt;",'Weekly Log'!$A:$A,"&gt;="&amp;$J802,'Weekly Log'!$A:$A,"&lt;"&amp;$J802+7),0))</f>
        <v/>
      </c>
      <c r="E802">
        <f>IF($J802="","",IFERROR(AVERAGEIFS('Weekly Log'!$F:$F,'Weekly Log'!$A:$A,"&gt;="&amp;$J802,'Weekly Log'!$A:$A,"&lt;"&amp;$J802+7),0))</f>
        <v/>
      </c>
      <c r="F802">
        <f>IF($J802="","",IFERROR(SUMIFS('Weekly Log'!$F:$F,'Weekly Log'!$A:$A,"&gt;="&amp;$J802,'Weekly Log'!$A:$A,"&lt;"&amp;$J802+7)/SUMIFS('Weekly Log'!$E:$E,'Weekly Log'!$A:$A,"&gt;="&amp;$J802,'Weekly Log'!$A:$A,"&lt;"&amp;$J802+7),0))</f>
        <v/>
      </c>
      <c r="G802">
        <f>IF($J802="","",IFERROR(LOOKUP(2,1/(('Weekly Log'!$A$5:$A$5000&gt;=$J802)*('Weekly Log'!$A$5:$A$5000&lt;$J802+7)*('Weekly Log'!$M$5:$M$5000&lt;&gt;"")),'Weekly Log'!$M$5:$M$5000),0))</f>
        <v/>
      </c>
      <c r="J802">
        <f>IF(COUNT('Weekly Log'!$A$5:$A$5000)=0,"",IF(MIN('Weekly Log'!$A$5:$A$5000)+7*(ROW()-10)&gt;MAX('Weekly Log'!$A$5:$A$5000),"",MIN('Weekly Log'!$A$5:$A$5000)+7*(ROW()-10)))</f>
        <v/>
      </c>
    </row>
    <row r="803">
      <c r="A803">
        <f>IF($J803="","",YEAR($J803-WEEKDAY($J803,2)+4)&amp;"-W"&amp;TEXT(WEEKNUM($J803,21),"00"))</f>
        <v/>
      </c>
      <c r="B803">
        <f>IF($J803="","",SUMIFS('Weekly Log'!$C:$C,'Weekly Log'!$A:$A,"&gt;="&amp;$J803,'Weekly Log'!$A:$A,"&lt;"&amp;$J803+7))</f>
        <v/>
      </c>
      <c r="C803">
        <f>IF($J803="","",IFERROR(COUNTIFS('Weekly Log'!$G:$G,"Y",'Weekly Log'!$A:$A,"&gt;="&amp;$J803,'Weekly Log'!$A:$A,"&lt;"&amp;$J803+7)/COUNTIFS('Weekly Log'!$G:$G,"&lt;&gt;",'Weekly Log'!$A:$A,"&gt;="&amp;$J803,'Weekly Log'!$A:$A,"&lt;"&amp;$J803+7),0))</f>
        <v/>
      </c>
      <c r="D803">
        <f>IF($J803="","",IFERROR(COUNTIFS('Weekly Log'!$H:$H,"Y",'Weekly Log'!$A:$A,"&gt;="&amp;$J803,'Weekly Log'!$A:$A,"&lt;"&amp;$J803+7)/COUNTIFS('Weekly Log'!$H:$H,"&lt;&gt;",'Weekly Log'!$A:$A,"&gt;="&amp;$J803,'Weekly Log'!$A:$A,"&lt;"&amp;$J803+7),0))</f>
        <v/>
      </c>
      <c r="E803">
        <f>IF($J803="","",IFERROR(AVERAGEIFS('Weekly Log'!$F:$F,'Weekly Log'!$A:$A,"&gt;="&amp;$J803,'Weekly Log'!$A:$A,"&lt;"&amp;$J803+7),0))</f>
        <v/>
      </c>
      <c r="F803">
        <f>IF($J803="","",IFERROR(SUMIFS('Weekly Log'!$F:$F,'Weekly Log'!$A:$A,"&gt;="&amp;$J803,'Weekly Log'!$A:$A,"&lt;"&amp;$J803+7)/SUMIFS('Weekly Log'!$E:$E,'Weekly Log'!$A:$A,"&gt;="&amp;$J803,'Weekly Log'!$A:$A,"&lt;"&amp;$J803+7),0))</f>
        <v/>
      </c>
      <c r="G803">
        <f>IF($J803="","",IFERROR(LOOKUP(2,1/(('Weekly Log'!$A$5:$A$5000&gt;=$J803)*('Weekly Log'!$A$5:$A$5000&lt;$J803+7)*('Weekly Log'!$M$5:$M$5000&lt;&gt;"")),'Weekly Log'!$M$5:$M$5000),0))</f>
        <v/>
      </c>
      <c r="J803">
        <f>IF(COUNT('Weekly Log'!$A$5:$A$5000)=0,"",IF(MIN('Weekly Log'!$A$5:$A$5000)+7*(ROW()-10)&gt;MAX('Weekly Log'!$A$5:$A$5000),"",MIN('Weekly Log'!$A$5:$A$5000)+7*(ROW()-10)))</f>
        <v/>
      </c>
    </row>
    <row r="804">
      <c r="A804">
        <f>IF($J804="","",YEAR($J804-WEEKDAY($J804,2)+4)&amp;"-W"&amp;TEXT(WEEKNUM($J804,21),"00"))</f>
        <v/>
      </c>
      <c r="B804">
        <f>IF($J804="","",SUMIFS('Weekly Log'!$C:$C,'Weekly Log'!$A:$A,"&gt;="&amp;$J804,'Weekly Log'!$A:$A,"&lt;"&amp;$J804+7))</f>
        <v/>
      </c>
      <c r="C804">
        <f>IF($J804="","",IFERROR(COUNTIFS('Weekly Log'!$G:$G,"Y",'Weekly Log'!$A:$A,"&gt;="&amp;$J804,'Weekly Log'!$A:$A,"&lt;"&amp;$J804+7)/COUNTIFS('Weekly Log'!$G:$G,"&lt;&gt;",'Weekly Log'!$A:$A,"&gt;="&amp;$J804,'Weekly Log'!$A:$A,"&lt;"&amp;$J804+7),0))</f>
        <v/>
      </c>
      <c r="D804">
        <f>IF($J804="","",IFERROR(COUNTIFS('Weekly Log'!$H:$H,"Y",'Weekly Log'!$A:$A,"&gt;="&amp;$J804,'Weekly Log'!$A:$A,"&lt;"&amp;$J804+7)/COUNTIFS('Weekly Log'!$H:$H,"&lt;&gt;",'Weekly Log'!$A:$A,"&gt;="&amp;$J804,'Weekly Log'!$A:$A,"&lt;"&amp;$J804+7),0))</f>
        <v/>
      </c>
      <c r="E804">
        <f>IF($J804="","",IFERROR(AVERAGEIFS('Weekly Log'!$F:$F,'Weekly Log'!$A:$A,"&gt;="&amp;$J804,'Weekly Log'!$A:$A,"&lt;"&amp;$J804+7),0))</f>
        <v/>
      </c>
      <c r="F804">
        <f>IF($J804="","",IFERROR(SUMIFS('Weekly Log'!$F:$F,'Weekly Log'!$A:$A,"&gt;="&amp;$J804,'Weekly Log'!$A:$A,"&lt;"&amp;$J804+7)/SUMIFS('Weekly Log'!$E:$E,'Weekly Log'!$A:$A,"&gt;="&amp;$J804,'Weekly Log'!$A:$A,"&lt;"&amp;$J804+7),0))</f>
        <v/>
      </c>
      <c r="G804">
        <f>IF($J804="","",IFERROR(LOOKUP(2,1/(('Weekly Log'!$A$5:$A$5000&gt;=$J804)*('Weekly Log'!$A$5:$A$5000&lt;$J804+7)*('Weekly Log'!$M$5:$M$5000&lt;&gt;"")),'Weekly Log'!$M$5:$M$5000),0))</f>
        <v/>
      </c>
      <c r="J804">
        <f>IF(COUNT('Weekly Log'!$A$5:$A$5000)=0,"",IF(MIN('Weekly Log'!$A$5:$A$5000)+7*(ROW()-10)&gt;MAX('Weekly Log'!$A$5:$A$5000),"",MIN('Weekly Log'!$A$5:$A$5000)+7*(ROW()-10)))</f>
        <v/>
      </c>
    </row>
    <row r="805">
      <c r="A805">
        <f>IF($J805="","",YEAR($J805-WEEKDAY($J805,2)+4)&amp;"-W"&amp;TEXT(WEEKNUM($J805,21),"00"))</f>
        <v/>
      </c>
      <c r="B805">
        <f>IF($J805="","",SUMIFS('Weekly Log'!$C:$C,'Weekly Log'!$A:$A,"&gt;="&amp;$J805,'Weekly Log'!$A:$A,"&lt;"&amp;$J805+7))</f>
        <v/>
      </c>
      <c r="C805">
        <f>IF($J805="","",IFERROR(COUNTIFS('Weekly Log'!$G:$G,"Y",'Weekly Log'!$A:$A,"&gt;="&amp;$J805,'Weekly Log'!$A:$A,"&lt;"&amp;$J805+7)/COUNTIFS('Weekly Log'!$G:$G,"&lt;&gt;",'Weekly Log'!$A:$A,"&gt;="&amp;$J805,'Weekly Log'!$A:$A,"&lt;"&amp;$J805+7),0))</f>
        <v/>
      </c>
      <c r="D805">
        <f>IF($J805="","",IFERROR(COUNTIFS('Weekly Log'!$H:$H,"Y",'Weekly Log'!$A:$A,"&gt;="&amp;$J805,'Weekly Log'!$A:$A,"&lt;"&amp;$J805+7)/COUNTIFS('Weekly Log'!$H:$H,"&lt;&gt;",'Weekly Log'!$A:$A,"&gt;="&amp;$J805,'Weekly Log'!$A:$A,"&lt;"&amp;$J805+7),0))</f>
        <v/>
      </c>
      <c r="E805">
        <f>IF($J805="","",IFERROR(AVERAGEIFS('Weekly Log'!$F:$F,'Weekly Log'!$A:$A,"&gt;="&amp;$J805,'Weekly Log'!$A:$A,"&lt;"&amp;$J805+7),0))</f>
        <v/>
      </c>
      <c r="F805">
        <f>IF($J805="","",IFERROR(SUMIFS('Weekly Log'!$F:$F,'Weekly Log'!$A:$A,"&gt;="&amp;$J805,'Weekly Log'!$A:$A,"&lt;"&amp;$J805+7)/SUMIFS('Weekly Log'!$E:$E,'Weekly Log'!$A:$A,"&gt;="&amp;$J805,'Weekly Log'!$A:$A,"&lt;"&amp;$J805+7),0))</f>
        <v/>
      </c>
      <c r="G805">
        <f>IF($J805="","",IFERROR(LOOKUP(2,1/(('Weekly Log'!$A$5:$A$5000&gt;=$J805)*('Weekly Log'!$A$5:$A$5000&lt;$J805+7)*('Weekly Log'!$M$5:$M$5000&lt;&gt;"")),'Weekly Log'!$M$5:$M$5000),0))</f>
        <v/>
      </c>
      <c r="J805">
        <f>IF(COUNT('Weekly Log'!$A$5:$A$5000)=0,"",IF(MIN('Weekly Log'!$A$5:$A$5000)+7*(ROW()-10)&gt;MAX('Weekly Log'!$A$5:$A$5000),"",MIN('Weekly Log'!$A$5:$A$5000)+7*(ROW()-10)))</f>
        <v/>
      </c>
    </row>
    <row r="806">
      <c r="A806">
        <f>IF($J806="","",YEAR($J806-WEEKDAY($J806,2)+4)&amp;"-W"&amp;TEXT(WEEKNUM($J806,21),"00"))</f>
        <v/>
      </c>
      <c r="B806">
        <f>IF($J806="","",SUMIFS('Weekly Log'!$C:$C,'Weekly Log'!$A:$A,"&gt;="&amp;$J806,'Weekly Log'!$A:$A,"&lt;"&amp;$J806+7))</f>
        <v/>
      </c>
      <c r="C806">
        <f>IF($J806="","",IFERROR(COUNTIFS('Weekly Log'!$G:$G,"Y",'Weekly Log'!$A:$A,"&gt;="&amp;$J806,'Weekly Log'!$A:$A,"&lt;"&amp;$J806+7)/COUNTIFS('Weekly Log'!$G:$G,"&lt;&gt;",'Weekly Log'!$A:$A,"&gt;="&amp;$J806,'Weekly Log'!$A:$A,"&lt;"&amp;$J806+7),0))</f>
        <v/>
      </c>
      <c r="D806">
        <f>IF($J806="","",IFERROR(COUNTIFS('Weekly Log'!$H:$H,"Y",'Weekly Log'!$A:$A,"&gt;="&amp;$J806,'Weekly Log'!$A:$A,"&lt;"&amp;$J806+7)/COUNTIFS('Weekly Log'!$H:$H,"&lt;&gt;",'Weekly Log'!$A:$A,"&gt;="&amp;$J806,'Weekly Log'!$A:$A,"&lt;"&amp;$J806+7),0))</f>
        <v/>
      </c>
      <c r="E806">
        <f>IF($J806="","",IFERROR(AVERAGEIFS('Weekly Log'!$F:$F,'Weekly Log'!$A:$A,"&gt;="&amp;$J806,'Weekly Log'!$A:$A,"&lt;"&amp;$J806+7),0))</f>
        <v/>
      </c>
      <c r="F806">
        <f>IF($J806="","",IFERROR(SUMIFS('Weekly Log'!$F:$F,'Weekly Log'!$A:$A,"&gt;="&amp;$J806,'Weekly Log'!$A:$A,"&lt;"&amp;$J806+7)/SUMIFS('Weekly Log'!$E:$E,'Weekly Log'!$A:$A,"&gt;="&amp;$J806,'Weekly Log'!$A:$A,"&lt;"&amp;$J806+7),0))</f>
        <v/>
      </c>
      <c r="G806">
        <f>IF($J806="","",IFERROR(LOOKUP(2,1/(('Weekly Log'!$A$5:$A$5000&gt;=$J806)*('Weekly Log'!$A$5:$A$5000&lt;$J806+7)*('Weekly Log'!$M$5:$M$5000&lt;&gt;"")),'Weekly Log'!$M$5:$M$5000),0))</f>
        <v/>
      </c>
      <c r="J806">
        <f>IF(COUNT('Weekly Log'!$A$5:$A$5000)=0,"",IF(MIN('Weekly Log'!$A$5:$A$5000)+7*(ROW()-10)&gt;MAX('Weekly Log'!$A$5:$A$5000),"",MIN('Weekly Log'!$A$5:$A$5000)+7*(ROW()-10)))</f>
        <v/>
      </c>
    </row>
    <row r="807">
      <c r="A807">
        <f>IF($J807="","",YEAR($J807-WEEKDAY($J807,2)+4)&amp;"-W"&amp;TEXT(WEEKNUM($J807,21),"00"))</f>
        <v/>
      </c>
      <c r="B807">
        <f>IF($J807="","",SUMIFS('Weekly Log'!$C:$C,'Weekly Log'!$A:$A,"&gt;="&amp;$J807,'Weekly Log'!$A:$A,"&lt;"&amp;$J807+7))</f>
        <v/>
      </c>
      <c r="C807">
        <f>IF($J807="","",IFERROR(COUNTIFS('Weekly Log'!$G:$G,"Y",'Weekly Log'!$A:$A,"&gt;="&amp;$J807,'Weekly Log'!$A:$A,"&lt;"&amp;$J807+7)/COUNTIFS('Weekly Log'!$G:$G,"&lt;&gt;",'Weekly Log'!$A:$A,"&gt;="&amp;$J807,'Weekly Log'!$A:$A,"&lt;"&amp;$J807+7),0))</f>
        <v/>
      </c>
      <c r="D807">
        <f>IF($J807="","",IFERROR(COUNTIFS('Weekly Log'!$H:$H,"Y",'Weekly Log'!$A:$A,"&gt;="&amp;$J807,'Weekly Log'!$A:$A,"&lt;"&amp;$J807+7)/COUNTIFS('Weekly Log'!$H:$H,"&lt;&gt;",'Weekly Log'!$A:$A,"&gt;="&amp;$J807,'Weekly Log'!$A:$A,"&lt;"&amp;$J807+7),0))</f>
        <v/>
      </c>
      <c r="E807">
        <f>IF($J807="","",IFERROR(AVERAGEIFS('Weekly Log'!$F:$F,'Weekly Log'!$A:$A,"&gt;="&amp;$J807,'Weekly Log'!$A:$A,"&lt;"&amp;$J807+7),0))</f>
        <v/>
      </c>
      <c r="F807">
        <f>IF($J807="","",IFERROR(SUMIFS('Weekly Log'!$F:$F,'Weekly Log'!$A:$A,"&gt;="&amp;$J807,'Weekly Log'!$A:$A,"&lt;"&amp;$J807+7)/SUMIFS('Weekly Log'!$E:$E,'Weekly Log'!$A:$A,"&gt;="&amp;$J807,'Weekly Log'!$A:$A,"&lt;"&amp;$J807+7),0))</f>
        <v/>
      </c>
      <c r="G807">
        <f>IF($J807="","",IFERROR(LOOKUP(2,1/(('Weekly Log'!$A$5:$A$5000&gt;=$J807)*('Weekly Log'!$A$5:$A$5000&lt;$J807+7)*('Weekly Log'!$M$5:$M$5000&lt;&gt;"")),'Weekly Log'!$M$5:$M$5000),0))</f>
        <v/>
      </c>
      <c r="J807">
        <f>IF(COUNT('Weekly Log'!$A$5:$A$5000)=0,"",IF(MIN('Weekly Log'!$A$5:$A$5000)+7*(ROW()-10)&gt;MAX('Weekly Log'!$A$5:$A$5000),"",MIN('Weekly Log'!$A$5:$A$5000)+7*(ROW()-10)))</f>
        <v/>
      </c>
    </row>
    <row r="808">
      <c r="A808">
        <f>IF($J808="","",YEAR($J808-WEEKDAY($J808,2)+4)&amp;"-W"&amp;TEXT(WEEKNUM($J808,21),"00"))</f>
        <v/>
      </c>
      <c r="B808">
        <f>IF($J808="","",SUMIFS('Weekly Log'!$C:$C,'Weekly Log'!$A:$A,"&gt;="&amp;$J808,'Weekly Log'!$A:$A,"&lt;"&amp;$J808+7))</f>
        <v/>
      </c>
      <c r="C808">
        <f>IF($J808="","",IFERROR(COUNTIFS('Weekly Log'!$G:$G,"Y",'Weekly Log'!$A:$A,"&gt;="&amp;$J808,'Weekly Log'!$A:$A,"&lt;"&amp;$J808+7)/COUNTIFS('Weekly Log'!$G:$G,"&lt;&gt;",'Weekly Log'!$A:$A,"&gt;="&amp;$J808,'Weekly Log'!$A:$A,"&lt;"&amp;$J808+7),0))</f>
        <v/>
      </c>
      <c r="D808">
        <f>IF($J808="","",IFERROR(COUNTIFS('Weekly Log'!$H:$H,"Y",'Weekly Log'!$A:$A,"&gt;="&amp;$J808,'Weekly Log'!$A:$A,"&lt;"&amp;$J808+7)/COUNTIFS('Weekly Log'!$H:$H,"&lt;&gt;",'Weekly Log'!$A:$A,"&gt;="&amp;$J808,'Weekly Log'!$A:$A,"&lt;"&amp;$J808+7),0))</f>
        <v/>
      </c>
      <c r="E808">
        <f>IF($J808="","",IFERROR(AVERAGEIFS('Weekly Log'!$F:$F,'Weekly Log'!$A:$A,"&gt;="&amp;$J808,'Weekly Log'!$A:$A,"&lt;"&amp;$J808+7),0))</f>
        <v/>
      </c>
      <c r="F808">
        <f>IF($J808="","",IFERROR(SUMIFS('Weekly Log'!$F:$F,'Weekly Log'!$A:$A,"&gt;="&amp;$J808,'Weekly Log'!$A:$A,"&lt;"&amp;$J808+7)/SUMIFS('Weekly Log'!$E:$E,'Weekly Log'!$A:$A,"&gt;="&amp;$J808,'Weekly Log'!$A:$A,"&lt;"&amp;$J808+7),0))</f>
        <v/>
      </c>
      <c r="G808">
        <f>IF($J808="","",IFERROR(LOOKUP(2,1/(('Weekly Log'!$A$5:$A$5000&gt;=$J808)*('Weekly Log'!$A$5:$A$5000&lt;$J808+7)*('Weekly Log'!$M$5:$M$5000&lt;&gt;"")),'Weekly Log'!$M$5:$M$5000),0))</f>
        <v/>
      </c>
      <c r="J808">
        <f>IF(COUNT('Weekly Log'!$A$5:$A$5000)=0,"",IF(MIN('Weekly Log'!$A$5:$A$5000)+7*(ROW()-10)&gt;MAX('Weekly Log'!$A$5:$A$5000),"",MIN('Weekly Log'!$A$5:$A$5000)+7*(ROW()-10)))</f>
        <v/>
      </c>
    </row>
    <row r="809">
      <c r="A809">
        <f>IF($J809="","",YEAR($J809-WEEKDAY($J809,2)+4)&amp;"-W"&amp;TEXT(WEEKNUM($J809,21),"00"))</f>
        <v/>
      </c>
      <c r="B809">
        <f>IF($J809="","",SUMIFS('Weekly Log'!$C:$C,'Weekly Log'!$A:$A,"&gt;="&amp;$J809,'Weekly Log'!$A:$A,"&lt;"&amp;$J809+7))</f>
        <v/>
      </c>
      <c r="C809">
        <f>IF($J809="","",IFERROR(COUNTIFS('Weekly Log'!$G:$G,"Y",'Weekly Log'!$A:$A,"&gt;="&amp;$J809,'Weekly Log'!$A:$A,"&lt;"&amp;$J809+7)/COUNTIFS('Weekly Log'!$G:$G,"&lt;&gt;",'Weekly Log'!$A:$A,"&gt;="&amp;$J809,'Weekly Log'!$A:$A,"&lt;"&amp;$J809+7),0))</f>
        <v/>
      </c>
      <c r="D809">
        <f>IF($J809="","",IFERROR(COUNTIFS('Weekly Log'!$H:$H,"Y",'Weekly Log'!$A:$A,"&gt;="&amp;$J809,'Weekly Log'!$A:$A,"&lt;"&amp;$J809+7)/COUNTIFS('Weekly Log'!$H:$H,"&lt;&gt;",'Weekly Log'!$A:$A,"&gt;="&amp;$J809,'Weekly Log'!$A:$A,"&lt;"&amp;$J809+7),0))</f>
        <v/>
      </c>
      <c r="E809">
        <f>IF($J809="","",IFERROR(AVERAGEIFS('Weekly Log'!$F:$F,'Weekly Log'!$A:$A,"&gt;="&amp;$J809,'Weekly Log'!$A:$A,"&lt;"&amp;$J809+7),0))</f>
        <v/>
      </c>
      <c r="F809">
        <f>IF($J809="","",IFERROR(SUMIFS('Weekly Log'!$F:$F,'Weekly Log'!$A:$A,"&gt;="&amp;$J809,'Weekly Log'!$A:$A,"&lt;"&amp;$J809+7)/SUMIFS('Weekly Log'!$E:$E,'Weekly Log'!$A:$A,"&gt;="&amp;$J809,'Weekly Log'!$A:$A,"&lt;"&amp;$J809+7),0))</f>
        <v/>
      </c>
      <c r="G809">
        <f>IF($J809="","",IFERROR(LOOKUP(2,1/(('Weekly Log'!$A$5:$A$5000&gt;=$J809)*('Weekly Log'!$A$5:$A$5000&lt;$J809+7)*('Weekly Log'!$M$5:$M$5000&lt;&gt;"")),'Weekly Log'!$M$5:$M$5000),0))</f>
        <v/>
      </c>
      <c r="J809">
        <f>IF(COUNT('Weekly Log'!$A$5:$A$5000)=0,"",IF(MIN('Weekly Log'!$A$5:$A$5000)+7*(ROW()-10)&gt;MAX('Weekly Log'!$A$5:$A$5000),"",MIN('Weekly Log'!$A$5:$A$5000)+7*(ROW()-10)))</f>
        <v/>
      </c>
    </row>
    <row r="810">
      <c r="A810">
        <f>IF($J810="","",YEAR($J810-WEEKDAY($J810,2)+4)&amp;"-W"&amp;TEXT(WEEKNUM($J810,21),"00"))</f>
        <v/>
      </c>
      <c r="B810">
        <f>IF($J810="","",SUMIFS('Weekly Log'!$C:$C,'Weekly Log'!$A:$A,"&gt;="&amp;$J810,'Weekly Log'!$A:$A,"&lt;"&amp;$J810+7))</f>
        <v/>
      </c>
      <c r="C810">
        <f>IF($J810="","",IFERROR(COUNTIFS('Weekly Log'!$G:$G,"Y",'Weekly Log'!$A:$A,"&gt;="&amp;$J810,'Weekly Log'!$A:$A,"&lt;"&amp;$J810+7)/COUNTIFS('Weekly Log'!$G:$G,"&lt;&gt;",'Weekly Log'!$A:$A,"&gt;="&amp;$J810,'Weekly Log'!$A:$A,"&lt;"&amp;$J810+7),0))</f>
        <v/>
      </c>
      <c r="D810">
        <f>IF($J810="","",IFERROR(COUNTIFS('Weekly Log'!$H:$H,"Y",'Weekly Log'!$A:$A,"&gt;="&amp;$J810,'Weekly Log'!$A:$A,"&lt;"&amp;$J810+7)/COUNTIFS('Weekly Log'!$H:$H,"&lt;&gt;",'Weekly Log'!$A:$A,"&gt;="&amp;$J810,'Weekly Log'!$A:$A,"&lt;"&amp;$J810+7),0))</f>
        <v/>
      </c>
      <c r="E810">
        <f>IF($J810="","",IFERROR(AVERAGEIFS('Weekly Log'!$F:$F,'Weekly Log'!$A:$A,"&gt;="&amp;$J810,'Weekly Log'!$A:$A,"&lt;"&amp;$J810+7),0))</f>
        <v/>
      </c>
      <c r="F810">
        <f>IF($J810="","",IFERROR(SUMIFS('Weekly Log'!$F:$F,'Weekly Log'!$A:$A,"&gt;="&amp;$J810,'Weekly Log'!$A:$A,"&lt;"&amp;$J810+7)/SUMIFS('Weekly Log'!$E:$E,'Weekly Log'!$A:$A,"&gt;="&amp;$J810,'Weekly Log'!$A:$A,"&lt;"&amp;$J810+7),0))</f>
        <v/>
      </c>
      <c r="G810">
        <f>IF($J810="","",IFERROR(LOOKUP(2,1/(('Weekly Log'!$A$5:$A$5000&gt;=$J810)*('Weekly Log'!$A$5:$A$5000&lt;$J810+7)*('Weekly Log'!$M$5:$M$5000&lt;&gt;"")),'Weekly Log'!$M$5:$M$5000),0))</f>
        <v/>
      </c>
      <c r="J810">
        <f>IF(COUNT('Weekly Log'!$A$5:$A$5000)=0,"",IF(MIN('Weekly Log'!$A$5:$A$5000)+7*(ROW()-10)&gt;MAX('Weekly Log'!$A$5:$A$5000),"",MIN('Weekly Log'!$A$5:$A$5000)+7*(ROW()-10)))</f>
        <v/>
      </c>
    </row>
    <row r="811">
      <c r="A811">
        <f>IF($J811="","",YEAR($J811-WEEKDAY($J811,2)+4)&amp;"-W"&amp;TEXT(WEEKNUM($J811,21),"00"))</f>
        <v/>
      </c>
      <c r="B811">
        <f>IF($J811="","",SUMIFS('Weekly Log'!$C:$C,'Weekly Log'!$A:$A,"&gt;="&amp;$J811,'Weekly Log'!$A:$A,"&lt;"&amp;$J811+7))</f>
        <v/>
      </c>
      <c r="C811">
        <f>IF($J811="","",IFERROR(COUNTIFS('Weekly Log'!$G:$G,"Y",'Weekly Log'!$A:$A,"&gt;="&amp;$J811,'Weekly Log'!$A:$A,"&lt;"&amp;$J811+7)/COUNTIFS('Weekly Log'!$G:$G,"&lt;&gt;",'Weekly Log'!$A:$A,"&gt;="&amp;$J811,'Weekly Log'!$A:$A,"&lt;"&amp;$J811+7),0))</f>
        <v/>
      </c>
      <c r="D811">
        <f>IF($J811="","",IFERROR(COUNTIFS('Weekly Log'!$H:$H,"Y",'Weekly Log'!$A:$A,"&gt;="&amp;$J811,'Weekly Log'!$A:$A,"&lt;"&amp;$J811+7)/COUNTIFS('Weekly Log'!$H:$H,"&lt;&gt;",'Weekly Log'!$A:$A,"&gt;="&amp;$J811,'Weekly Log'!$A:$A,"&lt;"&amp;$J811+7),0))</f>
        <v/>
      </c>
      <c r="E811">
        <f>IF($J811="","",IFERROR(AVERAGEIFS('Weekly Log'!$F:$F,'Weekly Log'!$A:$A,"&gt;="&amp;$J811,'Weekly Log'!$A:$A,"&lt;"&amp;$J811+7),0))</f>
        <v/>
      </c>
      <c r="F811">
        <f>IF($J811="","",IFERROR(SUMIFS('Weekly Log'!$F:$F,'Weekly Log'!$A:$A,"&gt;="&amp;$J811,'Weekly Log'!$A:$A,"&lt;"&amp;$J811+7)/SUMIFS('Weekly Log'!$E:$E,'Weekly Log'!$A:$A,"&gt;="&amp;$J811,'Weekly Log'!$A:$A,"&lt;"&amp;$J811+7),0))</f>
        <v/>
      </c>
      <c r="G811">
        <f>IF($J811="","",IFERROR(LOOKUP(2,1/(('Weekly Log'!$A$5:$A$5000&gt;=$J811)*('Weekly Log'!$A$5:$A$5000&lt;$J811+7)*('Weekly Log'!$M$5:$M$5000&lt;&gt;"")),'Weekly Log'!$M$5:$M$5000),0))</f>
        <v/>
      </c>
      <c r="J811">
        <f>IF(COUNT('Weekly Log'!$A$5:$A$5000)=0,"",IF(MIN('Weekly Log'!$A$5:$A$5000)+7*(ROW()-10)&gt;MAX('Weekly Log'!$A$5:$A$5000),"",MIN('Weekly Log'!$A$5:$A$5000)+7*(ROW()-10)))</f>
        <v/>
      </c>
    </row>
    <row r="812">
      <c r="A812">
        <f>IF($J812="","",YEAR($J812-WEEKDAY($J812,2)+4)&amp;"-W"&amp;TEXT(WEEKNUM($J812,21),"00"))</f>
        <v/>
      </c>
      <c r="B812">
        <f>IF($J812="","",SUMIFS('Weekly Log'!$C:$C,'Weekly Log'!$A:$A,"&gt;="&amp;$J812,'Weekly Log'!$A:$A,"&lt;"&amp;$J812+7))</f>
        <v/>
      </c>
      <c r="C812">
        <f>IF($J812="","",IFERROR(COUNTIFS('Weekly Log'!$G:$G,"Y",'Weekly Log'!$A:$A,"&gt;="&amp;$J812,'Weekly Log'!$A:$A,"&lt;"&amp;$J812+7)/COUNTIFS('Weekly Log'!$G:$G,"&lt;&gt;",'Weekly Log'!$A:$A,"&gt;="&amp;$J812,'Weekly Log'!$A:$A,"&lt;"&amp;$J812+7),0))</f>
        <v/>
      </c>
      <c r="D812">
        <f>IF($J812="","",IFERROR(COUNTIFS('Weekly Log'!$H:$H,"Y",'Weekly Log'!$A:$A,"&gt;="&amp;$J812,'Weekly Log'!$A:$A,"&lt;"&amp;$J812+7)/COUNTIFS('Weekly Log'!$H:$H,"&lt;&gt;",'Weekly Log'!$A:$A,"&gt;="&amp;$J812,'Weekly Log'!$A:$A,"&lt;"&amp;$J812+7),0))</f>
        <v/>
      </c>
      <c r="E812">
        <f>IF($J812="","",IFERROR(AVERAGEIFS('Weekly Log'!$F:$F,'Weekly Log'!$A:$A,"&gt;="&amp;$J812,'Weekly Log'!$A:$A,"&lt;"&amp;$J812+7),0))</f>
        <v/>
      </c>
      <c r="F812">
        <f>IF($J812="","",IFERROR(SUMIFS('Weekly Log'!$F:$F,'Weekly Log'!$A:$A,"&gt;="&amp;$J812,'Weekly Log'!$A:$A,"&lt;"&amp;$J812+7)/SUMIFS('Weekly Log'!$E:$E,'Weekly Log'!$A:$A,"&gt;="&amp;$J812,'Weekly Log'!$A:$A,"&lt;"&amp;$J812+7),0))</f>
        <v/>
      </c>
      <c r="G812">
        <f>IF($J812="","",IFERROR(LOOKUP(2,1/(('Weekly Log'!$A$5:$A$5000&gt;=$J812)*('Weekly Log'!$A$5:$A$5000&lt;$J812+7)*('Weekly Log'!$M$5:$M$5000&lt;&gt;"")),'Weekly Log'!$M$5:$M$5000),0))</f>
        <v/>
      </c>
      <c r="J812">
        <f>IF(COUNT('Weekly Log'!$A$5:$A$5000)=0,"",IF(MIN('Weekly Log'!$A$5:$A$5000)+7*(ROW()-10)&gt;MAX('Weekly Log'!$A$5:$A$5000),"",MIN('Weekly Log'!$A$5:$A$5000)+7*(ROW()-10)))</f>
        <v/>
      </c>
    </row>
    <row r="813">
      <c r="A813">
        <f>IF($J813="","",YEAR($J813-WEEKDAY($J813,2)+4)&amp;"-W"&amp;TEXT(WEEKNUM($J813,21),"00"))</f>
        <v/>
      </c>
      <c r="B813">
        <f>IF($J813="","",SUMIFS('Weekly Log'!$C:$C,'Weekly Log'!$A:$A,"&gt;="&amp;$J813,'Weekly Log'!$A:$A,"&lt;"&amp;$J813+7))</f>
        <v/>
      </c>
      <c r="C813">
        <f>IF($J813="","",IFERROR(COUNTIFS('Weekly Log'!$G:$G,"Y",'Weekly Log'!$A:$A,"&gt;="&amp;$J813,'Weekly Log'!$A:$A,"&lt;"&amp;$J813+7)/COUNTIFS('Weekly Log'!$G:$G,"&lt;&gt;",'Weekly Log'!$A:$A,"&gt;="&amp;$J813,'Weekly Log'!$A:$A,"&lt;"&amp;$J813+7),0))</f>
        <v/>
      </c>
      <c r="D813">
        <f>IF($J813="","",IFERROR(COUNTIFS('Weekly Log'!$H:$H,"Y",'Weekly Log'!$A:$A,"&gt;="&amp;$J813,'Weekly Log'!$A:$A,"&lt;"&amp;$J813+7)/COUNTIFS('Weekly Log'!$H:$H,"&lt;&gt;",'Weekly Log'!$A:$A,"&gt;="&amp;$J813,'Weekly Log'!$A:$A,"&lt;"&amp;$J813+7),0))</f>
        <v/>
      </c>
      <c r="E813">
        <f>IF($J813="","",IFERROR(AVERAGEIFS('Weekly Log'!$F:$F,'Weekly Log'!$A:$A,"&gt;="&amp;$J813,'Weekly Log'!$A:$A,"&lt;"&amp;$J813+7),0))</f>
        <v/>
      </c>
      <c r="F813">
        <f>IF($J813="","",IFERROR(SUMIFS('Weekly Log'!$F:$F,'Weekly Log'!$A:$A,"&gt;="&amp;$J813,'Weekly Log'!$A:$A,"&lt;"&amp;$J813+7)/SUMIFS('Weekly Log'!$E:$E,'Weekly Log'!$A:$A,"&gt;="&amp;$J813,'Weekly Log'!$A:$A,"&lt;"&amp;$J813+7),0))</f>
        <v/>
      </c>
      <c r="G813">
        <f>IF($J813="","",IFERROR(LOOKUP(2,1/(('Weekly Log'!$A$5:$A$5000&gt;=$J813)*('Weekly Log'!$A$5:$A$5000&lt;$J813+7)*('Weekly Log'!$M$5:$M$5000&lt;&gt;"")),'Weekly Log'!$M$5:$M$5000),0))</f>
        <v/>
      </c>
      <c r="J813">
        <f>IF(COUNT('Weekly Log'!$A$5:$A$5000)=0,"",IF(MIN('Weekly Log'!$A$5:$A$5000)+7*(ROW()-10)&gt;MAX('Weekly Log'!$A$5:$A$5000),"",MIN('Weekly Log'!$A$5:$A$5000)+7*(ROW()-10)))</f>
        <v/>
      </c>
    </row>
    <row r="814">
      <c r="A814">
        <f>IF($J814="","",YEAR($J814-WEEKDAY($J814,2)+4)&amp;"-W"&amp;TEXT(WEEKNUM($J814,21),"00"))</f>
        <v/>
      </c>
      <c r="B814">
        <f>IF($J814="","",SUMIFS('Weekly Log'!$C:$C,'Weekly Log'!$A:$A,"&gt;="&amp;$J814,'Weekly Log'!$A:$A,"&lt;"&amp;$J814+7))</f>
        <v/>
      </c>
      <c r="C814">
        <f>IF($J814="","",IFERROR(COUNTIFS('Weekly Log'!$G:$G,"Y",'Weekly Log'!$A:$A,"&gt;="&amp;$J814,'Weekly Log'!$A:$A,"&lt;"&amp;$J814+7)/COUNTIFS('Weekly Log'!$G:$G,"&lt;&gt;",'Weekly Log'!$A:$A,"&gt;="&amp;$J814,'Weekly Log'!$A:$A,"&lt;"&amp;$J814+7),0))</f>
        <v/>
      </c>
      <c r="D814">
        <f>IF($J814="","",IFERROR(COUNTIFS('Weekly Log'!$H:$H,"Y",'Weekly Log'!$A:$A,"&gt;="&amp;$J814,'Weekly Log'!$A:$A,"&lt;"&amp;$J814+7)/COUNTIFS('Weekly Log'!$H:$H,"&lt;&gt;",'Weekly Log'!$A:$A,"&gt;="&amp;$J814,'Weekly Log'!$A:$A,"&lt;"&amp;$J814+7),0))</f>
        <v/>
      </c>
      <c r="E814">
        <f>IF($J814="","",IFERROR(AVERAGEIFS('Weekly Log'!$F:$F,'Weekly Log'!$A:$A,"&gt;="&amp;$J814,'Weekly Log'!$A:$A,"&lt;"&amp;$J814+7),0))</f>
        <v/>
      </c>
      <c r="F814">
        <f>IF($J814="","",IFERROR(SUMIFS('Weekly Log'!$F:$F,'Weekly Log'!$A:$A,"&gt;="&amp;$J814,'Weekly Log'!$A:$A,"&lt;"&amp;$J814+7)/SUMIFS('Weekly Log'!$E:$E,'Weekly Log'!$A:$A,"&gt;="&amp;$J814,'Weekly Log'!$A:$A,"&lt;"&amp;$J814+7),0))</f>
        <v/>
      </c>
      <c r="G814">
        <f>IF($J814="","",IFERROR(LOOKUP(2,1/(('Weekly Log'!$A$5:$A$5000&gt;=$J814)*('Weekly Log'!$A$5:$A$5000&lt;$J814+7)*('Weekly Log'!$M$5:$M$5000&lt;&gt;"")),'Weekly Log'!$M$5:$M$5000),0))</f>
        <v/>
      </c>
      <c r="J814">
        <f>IF(COUNT('Weekly Log'!$A$5:$A$5000)=0,"",IF(MIN('Weekly Log'!$A$5:$A$5000)+7*(ROW()-10)&gt;MAX('Weekly Log'!$A$5:$A$5000),"",MIN('Weekly Log'!$A$5:$A$5000)+7*(ROW()-10)))</f>
        <v/>
      </c>
    </row>
    <row r="815">
      <c r="A815">
        <f>IF($J815="","",YEAR($J815-WEEKDAY($J815,2)+4)&amp;"-W"&amp;TEXT(WEEKNUM($J815,21),"00"))</f>
        <v/>
      </c>
      <c r="B815">
        <f>IF($J815="","",SUMIFS('Weekly Log'!$C:$C,'Weekly Log'!$A:$A,"&gt;="&amp;$J815,'Weekly Log'!$A:$A,"&lt;"&amp;$J815+7))</f>
        <v/>
      </c>
      <c r="C815">
        <f>IF($J815="","",IFERROR(COUNTIFS('Weekly Log'!$G:$G,"Y",'Weekly Log'!$A:$A,"&gt;="&amp;$J815,'Weekly Log'!$A:$A,"&lt;"&amp;$J815+7)/COUNTIFS('Weekly Log'!$G:$G,"&lt;&gt;",'Weekly Log'!$A:$A,"&gt;="&amp;$J815,'Weekly Log'!$A:$A,"&lt;"&amp;$J815+7),0))</f>
        <v/>
      </c>
      <c r="D815">
        <f>IF($J815="","",IFERROR(COUNTIFS('Weekly Log'!$H:$H,"Y",'Weekly Log'!$A:$A,"&gt;="&amp;$J815,'Weekly Log'!$A:$A,"&lt;"&amp;$J815+7)/COUNTIFS('Weekly Log'!$H:$H,"&lt;&gt;",'Weekly Log'!$A:$A,"&gt;="&amp;$J815,'Weekly Log'!$A:$A,"&lt;"&amp;$J815+7),0))</f>
        <v/>
      </c>
      <c r="E815">
        <f>IF($J815="","",IFERROR(AVERAGEIFS('Weekly Log'!$F:$F,'Weekly Log'!$A:$A,"&gt;="&amp;$J815,'Weekly Log'!$A:$A,"&lt;"&amp;$J815+7),0))</f>
        <v/>
      </c>
      <c r="F815">
        <f>IF($J815="","",IFERROR(SUMIFS('Weekly Log'!$F:$F,'Weekly Log'!$A:$A,"&gt;="&amp;$J815,'Weekly Log'!$A:$A,"&lt;"&amp;$J815+7)/SUMIFS('Weekly Log'!$E:$E,'Weekly Log'!$A:$A,"&gt;="&amp;$J815,'Weekly Log'!$A:$A,"&lt;"&amp;$J815+7),0))</f>
        <v/>
      </c>
      <c r="G815">
        <f>IF($J815="","",IFERROR(LOOKUP(2,1/(('Weekly Log'!$A$5:$A$5000&gt;=$J815)*('Weekly Log'!$A$5:$A$5000&lt;$J815+7)*('Weekly Log'!$M$5:$M$5000&lt;&gt;"")),'Weekly Log'!$M$5:$M$5000),0))</f>
        <v/>
      </c>
      <c r="J815">
        <f>IF(COUNT('Weekly Log'!$A$5:$A$5000)=0,"",IF(MIN('Weekly Log'!$A$5:$A$5000)+7*(ROW()-10)&gt;MAX('Weekly Log'!$A$5:$A$5000),"",MIN('Weekly Log'!$A$5:$A$5000)+7*(ROW()-10)))</f>
        <v/>
      </c>
    </row>
    <row r="816">
      <c r="A816">
        <f>IF($J816="","",YEAR($J816-WEEKDAY($J816,2)+4)&amp;"-W"&amp;TEXT(WEEKNUM($J816,21),"00"))</f>
        <v/>
      </c>
      <c r="B816">
        <f>IF($J816="","",SUMIFS('Weekly Log'!$C:$C,'Weekly Log'!$A:$A,"&gt;="&amp;$J816,'Weekly Log'!$A:$A,"&lt;"&amp;$J816+7))</f>
        <v/>
      </c>
      <c r="C816">
        <f>IF($J816="","",IFERROR(COUNTIFS('Weekly Log'!$G:$G,"Y",'Weekly Log'!$A:$A,"&gt;="&amp;$J816,'Weekly Log'!$A:$A,"&lt;"&amp;$J816+7)/COUNTIFS('Weekly Log'!$G:$G,"&lt;&gt;",'Weekly Log'!$A:$A,"&gt;="&amp;$J816,'Weekly Log'!$A:$A,"&lt;"&amp;$J816+7),0))</f>
        <v/>
      </c>
      <c r="D816">
        <f>IF($J816="","",IFERROR(COUNTIFS('Weekly Log'!$H:$H,"Y",'Weekly Log'!$A:$A,"&gt;="&amp;$J816,'Weekly Log'!$A:$A,"&lt;"&amp;$J816+7)/COUNTIFS('Weekly Log'!$H:$H,"&lt;&gt;",'Weekly Log'!$A:$A,"&gt;="&amp;$J816,'Weekly Log'!$A:$A,"&lt;"&amp;$J816+7),0))</f>
        <v/>
      </c>
      <c r="E816">
        <f>IF($J816="","",IFERROR(AVERAGEIFS('Weekly Log'!$F:$F,'Weekly Log'!$A:$A,"&gt;="&amp;$J816,'Weekly Log'!$A:$A,"&lt;"&amp;$J816+7),0))</f>
        <v/>
      </c>
      <c r="F816">
        <f>IF($J816="","",IFERROR(SUMIFS('Weekly Log'!$F:$F,'Weekly Log'!$A:$A,"&gt;="&amp;$J816,'Weekly Log'!$A:$A,"&lt;"&amp;$J816+7)/SUMIFS('Weekly Log'!$E:$E,'Weekly Log'!$A:$A,"&gt;="&amp;$J816,'Weekly Log'!$A:$A,"&lt;"&amp;$J816+7),0))</f>
        <v/>
      </c>
      <c r="G816">
        <f>IF($J816="","",IFERROR(LOOKUP(2,1/(('Weekly Log'!$A$5:$A$5000&gt;=$J816)*('Weekly Log'!$A$5:$A$5000&lt;$J816+7)*('Weekly Log'!$M$5:$M$5000&lt;&gt;"")),'Weekly Log'!$M$5:$M$5000),0))</f>
        <v/>
      </c>
      <c r="J816">
        <f>IF(COUNT('Weekly Log'!$A$5:$A$5000)=0,"",IF(MIN('Weekly Log'!$A$5:$A$5000)+7*(ROW()-10)&gt;MAX('Weekly Log'!$A$5:$A$5000),"",MIN('Weekly Log'!$A$5:$A$5000)+7*(ROW()-10)))</f>
        <v/>
      </c>
    </row>
    <row r="817">
      <c r="A817">
        <f>IF($J817="","",YEAR($J817-WEEKDAY($J817,2)+4)&amp;"-W"&amp;TEXT(WEEKNUM($J817,21),"00"))</f>
        <v/>
      </c>
      <c r="B817">
        <f>IF($J817="","",SUMIFS('Weekly Log'!$C:$C,'Weekly Log'!$A:$A,"&gt;="&amp;$J817,'Weekly Log'!$A:$A,"&lt;"&amp;$J817+7))</f>
        <v/>
      </c>
      <c r="C817">
        <f>IF($J817="","",IFERROR(COUNTIFS('Weekly Log'!$G:$G,"Y",'Weekly Log'!$A:$A,"&gt;="&amp;$J817,'Weekly Log'!$A:$A,"&lt;"&amp;$J817+7)/COUNTIFS('Weekly Log'!$G:$G,"&lt;&gt;",'Weekly Log'!$A:$A,"&gt;="&amp;$J817,'Weekly Log'!$A:$A,"&lt;"&amp;$J817+7),0))</f>
        <v/>
      </c>
      <c r="D817">
        <f>IF($J817="","",IFERROR(COUNTIFS('Weekly Log'!$H:$H,"Y",'Weekly Log'!$A:$A,"&gt;="&amp;$J817,'Weekly Log'!$A:$A,"&lt;"&amp;$J817+7)/COUNTIFS('Weekly Log'!$H:$H,"&lt;&gt;",'Weekly Log'!$A:$A,"&gt;="&amp;$J817,'Weekly Log'!$A:$A,"&lt;"&amp;$J817+7),0))</f>
        <v/>
      </c>
      <c r="E817">
        <f>IF($J817="","",IFERROR(AVERAGEIFS('Weekly Log'!$F:$F,'Weekly Log'!$A:$A,"&gt;="&amp;$J817,'Weekly Log'!$A:$A,"&lt;"&amp;$J817+7),0))</f>
        <v/>
      </c>
      <c r="F817">
        <f>IF($J817="","",IFERROR(SUMIFS('Weekly Log'!$F:$F,'Weekly Log'!$A:$A,"&gt;="&amp;$J817,'Weekly Log'!$A:$A,"&lt;"&amp;$J817+7)/SUMIFS('Weekly Log'!$E:$E,'Weekly Log'!$A:$A,"&gt;="&amp;$J817,'Weekly Log'!$A:$A,"&lt;"&amp;$J817+7),0))</f>
        <v/>
      </c>
      <c r="G817">
        <f>IF($J817="","",IFERROR(LOOKUP(2,1/(('Weekly Log'!$A$5:$A$5000&gt;=$J817)*('Weekly Log'!$A$5:$A$5000&lt;$J817+7)*('Weekly Log'!$M$5:$M$5000&lt;&gt;"")),'Weekly Log'!$M$5:$M$5000),0))</f>
        <v/>
      </c>
      <c r="J817">
        <f>IF(COUNT('Weekly Log'!$A$5:$A$5000)=0,"",IF(MIN('Weekly Log'!$A$5:$A$5000)+7*(ROW()-10)&gt;MAX('Weekly Log'!$A$5:$A$5000),"",MIN('Weekly Log'!$A$5:$A$5000)+7*(ROW()-10)))</f>
        <v/>
      </c>
    </row>
    <row r="818">
      <c r="A818">
        <f>IF($J818="","",YEAR($J818-WEEKDAY($J818,2)+4)&amp;"-W"&amp;TEXT(WEEKNUM($J818,21),"00"))</f>
        <v/>
      </c>
      <c r="B818">
        <f>IF($J818="","",SUMIFS('Weekly Log'!$C:$C,'Weekly Log'!$A:$A,"&gt;="&amp;$J818,'Weekly Log'!$A:$A,"&lt;"&amp;$J818+7))</f>
        <v/>
      </c>
      <c r="C818">
        <f>IF($J818="","",IFERROR(COUNTIFS('Weekly Log'!$G:$G,"Y",'Weekly Log'!$A:$A,"&gt;="&amp;$J818,'Weekly Log'!$A:$A,"&lt;"&amp;$J818+7)/COUNTIFS('Weekly Log'!$G:$G,"&lt;&gt;",'Weekly Log'!$A:$A,"&gt;="&amp;$J818,'Weekly Log'!$A:$A,"&lt;"&amp;$J818+7),0))</f>
        <v/>
      </c>
      <c r="D818">
        <f>IF($J818="","",IFERROR(COUNTIFS('Weekly Log'!$H:$H,"Y",'Weekly Log'!$A:$A,"&gt;="&amp;$J818,'Weekly Log'!$A:$A,"&lt;"&amp;$J818+7)/COUNTIFS('Weekly Log'!$H:$H,"&lt;&gt;",'Weekly Log'!$A:$A,"&gt;="&amp;$J818,'Weekly Log'!$A:$A,"&lt;"&amp;$J818+7),0))</f>
        <v/>
      </c>
      <c r="E818">
        <f>IF($J818="","",IFERROR(AVERAGEIFS('Weekly Log'!$F:$F,'Weekly Log'!$A:$A,"&gt;="&amp;$J818,'Weekly Log'!$A:$A,"&lt;"&amp;$J818+7),0))</f>
        <v/>
      </c>
      <c r="F818">
        <f>IF($J818="","",IFERROR(SUMIFS('Weekly Log'!$F:$F,'Weekly Log'!$A:$A,"&gt;="&amp;$J818,'Weekly Log'!$A:$A,"&lt;"&amp;$J818+7)/SUMIFS('Weekly Log'!$E:$E,'Weekly Log'!$A:$A,"&gt;="&amp;$J818,'Weekly Log'!$A:$A,"&lt;"&amp;$J818+7),0))</f>
        <v/>
      </c>
      <c r="G818">
        <f>IF($J818="","",IFERROR(LOOKUP(2,1/(('Weekly Log'!$A$5:$A$5000&gt;=$J818)*('Weekly Log'!$A$5:$A$5000&lt;$J818+7)*('Weekly Log'!$M$5:$M$5000&lt;&gt;"")),'Weekly Log'!$M$5:$M$5000),0))</f>
        <v/>
      </c>
      <c r="J818">
        <f>IF(COUNT('Weekly Log'!$A$5:$A$5000)=0,"",IF(MIN('Weekly Log'!$A$5:$A$5000)+7*(ROW()-10)&gt;MAX('Weekly Log'!$A$5:$A$5000),"",MIN('Weekly Log'!$A$5:$A$5000)+7*(ROW()-10)))</f>
        <v/>
      </c>
    </row>
    <row r="819">
      <c r="A819">
        <f>IF($J819="","",YEAR($J819-WEEKDAY($J819,2)+4)&amp;"-W"&amp;TEXT(WEEKNUM($J819,21),"00"))</f>
        <v/>
      </c>
      <c r="B819">
        <f>IF($J819="","",SUMIFS('Weekly Log'!$C:$C,'Weekly Log'!$A:$A,"&gt;="&amp;$J819,'Weekly Log'!$A:$A,"&lt;"&amp;$J819+7))</f>
        <v/>
      </c>
      <c r="C819">
        <f>IF($J819="","",IFERROR(COUNTIFS('Weekly Log'!$G:$G,"Y",'Weekly Log'!$A:$A,"&gt;="&amp;$J819,'Weekly Log'!$A:$A,"&lt;"&amp;$J819+7)/COUNTIFS('Weekly Log'!$G:$G,"&lt;&gt;",'Weekly Log'!$A:$A,"&gt;="&amp;$J819,'Weekly Log'!$A:$A,"&lt;"&amp;$J819+7),0))</f>
        <v/>
      </c>
      <c r="D819">
        <f>IF($J819="","",IFERROR(COUNTIFS('Weekly Log'!$H:$H,"Y",'Weekly Log'!$A:$A,"&gt;="&amp;$J819,'Weekly Log'!$A:$A,"&lt;"&amp;$J819+7)/COUNTIFS('Weekly Log'!$H:$H,"&lt;&gt;",'Weekly Log'!$A:$A,"&gt;="&amp;$J819,'Weekly Log'!$A:$A,"&lt;"&amp;$J819+7),0))</f>
        <v/>
      </c>
      <c r="E819">
        <f>IF($J819="","",IFERROR(AVERAGEIFS('Weekly Log'!$F:$F,'Weekly Log'!$A:$A,"&gt;="&amp;$J819,'Weekly Log'!$A:$A,"&lt;"&amp;$J819+7),0))</f>
        <v/>
      </c>
      <c r="F819">
        <f>IF($J819="","",IFERROR(SUMIFS('Weekly Log'!$F:$F,'Weekly Log'!$A:$A,"&gt;="&amp;$J819,'Weekly Log'!$A:$A,"&lt;"&amp;$J819+7)/SUMIFS('Weekly Log'!$E:$E,'Weekly Log'!$A:$A,"&gt;="&amp;$J819,'Weekly Log'!$A:$A,"&lt;"&amp;$J819+7),0))</f>
        <v/>
      </c>
      <c r="G819">
        <f>IF($J819="","",IFERROR(LOOKUP(2,1/(('Weekly Log'!$A$5:$A$5000&gt;=$J819)*('Weekly Log'!$A$5:$A$5000&lt;$J819+7)*('Weekly Log'!$M$5:$M$5000&lt;&gt;"")),'Weekly Log'!$M$5:$M$5000),0))</f>
        <v/>
      </c>
      <c r="J819">
        <f>IF(COUNT('Weekly Log'!$A$5:$A$5000)=0,"",IF(MIN('Weekly Log'!$A$5:$A$5000)+7*(ROW()-10)&gt;MAX('Weekly Log'!$A$5:$A$5000),"",MIN('Weekly Log'!$A$5:$A$5000)+7*(ROW()-10)))</f>
        <v/>
      </c>
    </row>
    <row r="820">
      <c r="A820">
        <f>IF($J820="","",YEAR($J820-WEEKDAY($J820,2)+4)&amp;"-W"&amp;TEXT(WEEKNUM($J820,21),"00"))</f>
        <v/>
      </c>
      <c r="B820">
        <f>IF($J820="","",SUMIFS('Weekly Log'!$C:$C,'Weekly Log'!$A:$A,"&gt;="&amp;$J820,'Weekly Log'!$A:$A,"&lt;"&amp;$J820+7))</f>
        <v/>
      </c>
      <c r="C820">
        <f>IF($J820="","",IFERROR(COUNTIFS('Weekly Log'!$G:$G,"Y",'Weekly Log'!$A:$A,"&gt;="&amp;$J820,'Weekly Log'!$A:$A,"&lt;"&amp;$J820+7)/COUNTIFS('Weekly Log'!$G:$G,"&lt;&gt;",'Weekly Log'!$A:$A,"&gt;="&amp;$J820,'Weekly Log'!$A:$A,"&lt;"&amp;$J820+7),0))</f>
        <v/>
      </c>
      <c r="D820">
        <f>IF($J820="","",IFERROR(COUNTIFS('Weekly Log'!$H:$H,"Y",'Weekly Log'!$A:$A,"&gt;="&amp;$J820,'Weekly Log'!$A:$A,"&lt;"&amp;$J820+7)/COUNTIFS('Weekly Log'!$H:$H,"&lt;&gt;",'Weekly Log'!$A:$A,"&gt;="&amp;$J820,'Weekly Log'!$A:$A,"&lt;"&amp;$J820+7),0))</f>
        <v/>
      </c>
      <c r="E820">
        <f>IF($J820="","",IFERROR(AVERAGEIFS('Weekly Log'!$F:$F,'Weekly Log'!$A:$A,"&gt;="&amp;$J820,'Weekly Log'!$A:$A,"&lt;"&amp;$J820+7),0))</f>
        <v/>
      </c>
      <c r="F820">
        <f>IF($J820="","",IFERROR(SUMIFS('Weekly Log'!$F:$F,'Weekly Log'!$A:$A,"&gt;="&amp;$J820,'Weekly Log'!$A:$A,"&lt;"&amp;$J820+7)/SUMIFS('Weekly Log'!$E:$E,'Weekly Log'!$A:$A,"&gt;="&amp;$J820,'Weekly Log'!$A:$A,"&lt;"&amp;$J820+7),0))</f>
        <v/>
      </c>
      <c r="G820">
        <f>IF($J820="","",IFERROR(LOOKUP(2,1/(('Weekly Log'!$A$5:$A$5000&gt;=$J820)*('Weekly Log'!$A$5:$A$5000&lt;$J820+7)*('Weekly Log'!$M$5:$M$5000&lt;&gt;"")),'Weekly Log'!$M$5:$M$5000),0))</f>
        <v/>
      </c>
      <c r="J820">
        <f>IF(COUNT('Weekly Log'!$A$5:$A$5000)=0,"",IF(MIN('Weekly Log'!$A$5:$A$5000)+7*(ROW()-10)&gt;MAX('Weekly Log'!$A$5:$A$5000),"",MIN('Weekly Log'!$A$5:$A$5000)+7*(ROW()-10)))</f>
        <v/>
      </c>
    </row>
    <row r="821">
      <c r="A821">
        <f>IF($J821="","",YEAR($J821-WEEKDAY($J821,2)+4)&amp;"-W"&amp;TEXT(WEEKNUM($J821,21),"00"))</f>
        <v/>
      </c>
      <c r="B821">
        <f>IF($J821="","",SUMIFS('Weekly Log'!$C:$C,'Weekly Log'!$A:$A,"&gt;="&amp;$J821,'Weekly Log'!$A:$A,"&lt;"&amp;$J821+7))</f>
        <v/>
      </c>
      <c r="C821">
        <f>IF($J821="","",IFERROR(COUNTIFS('Weekly Log'!$G:$G,"Y",'Weekly Log'!$A:$A,"&gt;="&amp;$J821,'Weekly Log'!$A:$A,"&lt;"&amp;$J821+7)/COUNTIFS('Weekly Log'!$G:$G,"&lt;&gt;",'Weekly Log'!$A:$A,"&gt;="&amp;$J821,'Weekly Log'!$A:$A,"&lt;"&amp;$J821+7),0))</f>
        <v/>
      </c>
      <c r="D821">
        <f>IF($J821="","",IFERROR(COUNTIFS('Weekly Log'!$H:$H,"Y",'Weekly Log'!$A:$A,"&gt;="&amp;$J821,'Weekly Log'!$A:$A,"&lt;"&amp;$J821+7)/COUNTIFS('Weekly Log'!$H:$H,"&lt;&gt;",'Weekly Log'!$A:$A,"&gt;="&amp;$J821,'Weekly Log'!$A:$A,"&lt;"&amp;$J821+7),0))</f>
        <v/>
      </c>
      <c r="E821">
        <f>IF($J821="","",IFERROR(AVERAGEIFS('Weekly Log'!$F:$F,'Weekly Log'!$A:$A,"&gt;="&amp;$J821,'Weekly Log'!$A:$A,"&lt;"&amp;$J821+7),0))</f>
        <v/>
      </c>
      <c r="F821">
        <f>IF($J821="","",IFERROR(SUMIFS('Weekly Log'!$F:$F,'Weekly Log'!$A:$A,"&gt;="&amp;$J821,'Weekly Log'!$A:$A,"&lt;"&amp;$J821+7)/SUMIFS('Weekly Log'!$E:$E,'Weekly Log'!$A:$A,"&gt;="&amp;$J821,'Weekly Log'!$A:$A,"&lt;"&amp;$J821+7),0))</f>
        <v/>
      </c>
      <c r="G821">
        <f>IF($J821="","",IFERROR(LOOKUP(2,1/(('Weekly Log'!$A$5:$A$5000&gt;=$J821)*('Weekly Log'!$A$5:$A$5000&lt;$J821+7)*('Weekly Log'!$M$5:$M$5000&lt;&gt;"")),'Weekly Log'!$M$5:$M$5000),0))</f>
        <v/>
      </c>
      <c r="J821">
        <f>IF(COUNT('Weekly Log'!$A$5:$A$5000)=0,"",IF(MIN('Weekly Log'!$A$5:$A$5000)+7*(ROW()-10)&gt;MAX('Weekly Log'!$A$5:$A$5000),"",MIN('Weekly Log'!$A$5:$A$5000)+7*(ROW()-10)))</f>
        <v/>
      </c>
    </row>
    <row r="822">
      <c r="A822">
        <f>IF($J822="","",YEAR($J822-WEEKDAY($J822,2)+4)&amp;"-W"&amp;TEXT(WEEKNUM($J822,21),"00"))</f>
        <v/>
      </c>
      <c r="B822">
        <f>IF($J822="","",SUMIFS('Weekly Log'!$C:$C,'Weekly Log'!$A:$A,"&gt;="&amp;$J822,'Weekly Log'!$A:$A,"&lt;"&amp;$J822+7))</f>
        <v/>
      </c>
      <c r="C822">
        <f>IF($J822="","",IFERROR(COUNTIFS('Weekly Log'!$G:$G,"Y",'Weekly Log'!$A:$A,"&gt;="&amp;$J822,'Weekly Log'!$A:$A,"&lt;"&amp;$J822+7)/COUNTIFS('Weekly Log'!$G:$G,"&lt;&gt;",'Weekly Log'!$A:$A,"&gt;="&amp;$J822,'Weekly Log'!$A:$A,"&lt;"&amp;$J822+7),0))</f>
        <v/>
      </c>
      <c r="D822">
        <f>IF($J822="","",IFERROR(COUNTIFS('Weekly Log'!$H:$H,"Y",'Weekly Log'!$A:$A,"&gt;="&amp;$J822,'Weekly Log'!$A:$A,"&lt;"&amp;$J822+7)/COUNTIFS('Weekly Log'!$H:$H,"&lt;&gt;",'Weekly Log'!$A:$A,"&gt;="&amp;$J822,'Weekly Log'!$A:$A,"&lt;"&amp;$J822+7),0))</f>
        <v/>
      </c>
      <c r="E822">
        <f>IF($J822="","",IFERROR(AVERAGEIFS('Weekly Log'!$F:$F,'Weekly Log'!$A:$A,"&gt;="&amp;$J822,'Weekly Log'!$A:$A,"&lt;"&amp;$J822+7),0))</f>
        <v/>
      </c>
      <c r="F822">
        <f>IF($J822="","",IFERROR(SUMIFS('Weekly Log'!$F:$F,'Weekly Log'!$A:$A,"&gt;="&amp;$J822,'Weekly Log'!$A:$A,"&lt;"&amp;$J822+7)/SUMIFS('Weekly Log'!$E:$E,'Weekly Log'!$A:$A,"&gt;="&amp;$J822,'Weekly Log'!$A:$A,"&lt;"&amp;$J822+7),0))</f>
        <v/>
      </c>
      <c r="G822">
        <f>IF($J822="","",IFERROR(LOOKUP(2,1/(('Weekly Log'!$A$5:$A$5000&gt;=$J822)*('Weekly Log'!$A$5:$A$5000&lt;$J822+7)*('Weekly Log'!$M$5:$M$5000&lt;&gt;"")),'Weekly Log'!$M$5:$M$5000),0))</f>
        <v/>
      </c>
      <c r="J822">
        <f>IF(COUNT('Weekly Log'!$A$5:$A$5000)=0,"",IF(MIN('Weekly Log'!$A$5:$A$5000)+7*(ROW()-10)&gt;MAX('Weekly Log'!$A$5:$A$5000),"",MIN('Weekly Log'!$A$5:$A$5000)+7*(ROW()-10)))</f>
        <v/>
      </c>
    </row>
    <row r="823">
      <c r="A823">
        <f>IF($J823="","",YEAR($J823-WEEKDAY($J823,2)+4)&amp;"-W"&amp;TEXT(WEEKNUM($J823,21),"00"))</f>
        <v/>
      </c>
      <c r="B823">
        <f>IF($J823="","",SUMIFS('Weekly Log'!$C:$C,'Weekly Log'!$A:$A,"&gt;="&amp;$J823,'Weekly Log'!$A:$A,"&lt;"&amp;$J823+7))</f>
        <v/>
      </c>
      <c r="C823">
        <f>IF($J823="","",IFERROR(COUNTIFS('Weekly Log'!$G:$G,"Y",'Weekly Log'!$A:$A,"&gt;="&amp;$J823,'Weekly Log'!$A:$A,"&lt;"&amp;$J823+7)/COUNTIFS('Weekly Log'!$G:$G,"&lt;&gt;",'Weekly Log'!$A:$A,"&gt;="&amp;$J823,'Weekly Log'!$A:$A,"&lt;"&amp;$J823+7),0))</f>
        <v/>
      </c>
      <c r="D823">
        <f>IF($J823="","",IFERROR(COUNTIFS('Weekly Log'!$H:$H,"Y",'Weekly Log'!$A:$A,"&gt;="&amp;$J823,'Weekly Log'!$A:$A,"&lt;"&amp;$J823+7)/COUNTIFS('Weekly Log'!$H:$H,"&lt;&gt;",'Weekly Log'!$A:$A,"&gt;="&amp;$J823,'Weekly Log'!$A:$A,"&lt;"&amp;$J823+7),0))</f>
        <v/>
      </c>
      <c r="E823">
        <f>IF($J823="","",IFERROR(AVERAGEIFS('Weekly Log'!$F:$F,'Weekly Log'!$A:$A,"&gt;="&amp;$J823,'Weekly Log'!$A:$A,"&lt;"&amp;$J823+7),0))</f>
        <v/>
      </c>
      <c r="F823">
        <f>IF($J823="","",IFERROR(SUMIFS('Weekly Log'!$F:$F,'Weekly Log'!$A:$A,"&gt;="&amp;$J823,'Weekly Log'!$A:$A,"&lt;"&amp;$J823+7)/SUMIFS('Weekly Log'!$E:$E,'Weekly Log'!$A:$A,"&gt;="&amp;$J823,'Weekly Log'!$A:$A,"&lt;"&amp;$J823+7),0))</f>
        <v/>
      </c>
      <c r="G823">
        <f>IF($J823="","",IFERROR(LOOKUP(2,1/(('Weekly Log'!$A$5:$A$5000&gt;=$J823)*('Weekly Log'!$A$5:$A$5000&lt;$J823+7)*('Weekly Log'!$M$5:$M$5000&lt;&gt;"")),'Weekly Log'!$M$5:$M$5000),0))</f>
        <v/>
      </c>
      <c r="J823">
        <f>IF(COUNT('Weekly Log'!$A$5:$A$5000)=0,"",IF(MIN('Weekly Log'!$A$5:$A$5000)+7*(ROW()-10)&gt;MAX('Weekly Log'!$A$5:$A$5000),"",MIN('Weekly Log'!$A$5:$A$5000)+7*(ROW()-10)))</f>
        <v/>
      </c>
    </row>
    <row r="824">
      <c r="A824">
        <f>IF($J824="","",YEAR($J824-WEEKDAY($J824,2)+4)&amp;"-W"&amp;TEXT(WEEKNUM($J824,21),"00"))</f>
        <v/>
      </c>
      <c r="B824">
        <f>IF($J824="","",SUMIFS('Weekly Log'!$C:$C,'Weekly Log'!$A:$A,"&gt;="&amp;$J824,'Weekly Log'!$A:$A,"&lt;"&amp;$J824+7))</f>
        <v/>
      </c>
      <c r="C824">
        <f>IF($J824="","",IFERROR(COUNTIFS('Weekly Log'!$G:$G,"Y",'Weekly Log'!$A:$A,"&gt;="&amp;$J824,'Weekly Log'!$A:$A,"&lt;"&amp;$J824+7)/COUNTIFS('Weekly Log'!$G:$G,"&lt;&gt;",'Weekly Log'!$A:$A,"&gt;="&amp;$J824,'Weekly Log'!$A:$A,"&lt;"&amp;$J824+7),0))</f>
        <v/>
      </c>
      <c r="D824">
        <f>IF($J824="","",IFERROR(COUNTIFS('Weekly Log'!$H:$H,"Y",'Weekly Log'!$A:$A,"&gt;="&amp;$J824,'Weekly Log'!$A:$A,"&lt;"&amp;$J824+7)/COUNTIFS('Weekly Log'!$H:$H,"&lt;&gt;",'Weekly Log'!$A:$A,"&gt;="&amp;$J824,'Weekly Log'!$A:$A,"&lt;"&amp;$J824+7),0))</f>
        <v/>
      </c>
      <c r="E824">
        <f>IF($J824="","",IFERROR(AVERAGEIFS('Weekly Log'!$F:$F,'Weekly Log'!$A:$A,"&gt;="&amp;$J824,'Weekly Log'!$A:$A,"&lt;"&amp;$J824+7),0))</f>
        <v/>
      </c>
      <c r="F824">
        <f>IF($J824="","",IFERROR(SUMIFS('Weekly Log'!$F:$F,'Weekly Log'!$A:$A,"&gt;="&amp;$J824,'Weekly Log'!$A:$A,"&lt;"&amp;$J824+7)/SUMIFS('Weekly Log'!$E:$E,'Weekly Log'!$A:$A,"&gt;="&amp;$J824,'Weekly Log'!$A:$A,"&lt;"&amp;$J824+7),0))</f>
        <v/>
      </c>
      <c r="G824">
        <f>IF($J824="","",IFERROR(LOOKUP(2,1/(('Weekly Log'!$A$5:$A$5000&gt;=$J824)*('Weekly Log'!$A$5:$A$5000&lt;$J824+7)*('Weekly Log'!$M$5:$M$5000&lt;&gt;"")),'Weekly Log'!$M$5:$M$5000),0))</f>
        <v/>
      </c>
      <c r="J824">
        <f>IF(COUNT('Weekly Log'!$A$5:$A$5000)=0,"",IF(MIN('Weekly Log'!$A$5:$A$5000)+7*(ROW()-10)&gt;MAX('Weekly Log'!$A$5:$A$5000),"",MIN('Weekly Log'!$A$5:$A$5000)+7*(ROW()-10)))</f>
        <v/>
      </c>
    </row>
    <row r="825">
      <c r="A825">
        <f>IF($J825="","",YEAR($J825-WEEKDAY($J825,2)+4)&amp;"-W"&amp;TEXT(WEEKNUM($J825,21),"00"))</f>
        <v/>
      </c>
      <c r="B825">
        <f>IF($J825="","",SUMIFS('Weekly Log'!$C:$C,'Weekly Log'!$A:$A,"&gt;="&amp;$J825,'Weekly Log'!$A:$A,"&lt;"&amp;$J825+7))</f>
        <v/>
      </c>
      <c r="C825">
        <f>IF($J825="","",IFERROR(COUNTIFS('Weekly Log'!$G:$G,"Y",'Weekly Log'!$A:$A,"&gt;="&amp;$J825,'Weekly Log'!$A:$A,"&lt;"&amp;$J825+7)/COUNTIFS('Weekly Log'!$G:$G,"&lt;&gt;",'Weekly Log'!$A:$A,"&gt;="&amp;$J825,'Weekly Log'!$A:$A,"&lt;"&amp;$J825+7),0))</f>
        <v/>
      </c>
      <c r="D825">
        <f>IF($J825="","",IFERROR(COUNTIFS('Weekly Log'!$H:$H,"Y",'Weekly Log'!$A:$A,"&gt;="&amp;$J825,'Weekly Log'!$A:$A,"&lt;"&amp;$J825+7)/COUNTIFS('Weekly Log'!$H:$H,"&lt;&gt;",'Weekly Log'!$A:$A,"&gt;="&amp;$J825,'Weekly Log'!$A:$A,"&lt;"&amp;$J825+7),0))</f>
        <v/>
      </c>
      <c r="E825">
        <f>IF($J825="","",IFERROR(AVERAGEIFS('Weekly Log'!$F:$F,'Weekly Log'!$A:$A,"&gt;="&amp;$J825,'Weekly Log'!$A:$A,"&lt;"&amp;$J825+7),0))</f>
        <v/>
      </c>
      <c r="F825">
        <f>IF($J825="","",IFERROR(SUMIFS('Weekly Log'!$F:$F,'Weekly Log'!$A:$A,"&gt;="&amp;$J825,'Weekly Log'!$A:$A,"&lt;"&amp;$J825+7)/SUMIFS('Weekly Log'!$E:$E,'Weekly Log'!$A:$A,"&gt;="&amp;$J825,'Weekly Log'!$A:$A,"&lt;"&amp;$J825+7),0))</f>
        <v/>
      </c>
      <c r="G825">
        <f>IF($J825="","",IFERROR(LOOKUP(2,1/(('Weekly Log'!$A$5:$A$5000&gt;=$J825)*('Weekly Log'!$A$5:$A$5000&lt;$J825+7)*('Weekly Log'!$M$5:$M$5000&lt;&gt;"")),'Weekly Log'!$M$5:$M$5000),0))</f>
        <v/>
      </c>
      <c r="J825">
        <f>IF(COUNT('Weekly Log'!$A$5:$A$5000)=0,"",IF(MIN('Weekly Log'!$A$5:$A$5000)+7*(ROW()-10)&gt;MAX('Weekly Log'!$A$5:$A$5000),"",MIN('Weekly Log'!$A$5:$A$5000)+7*(ROW()-10)))</f>
        <v/>
      </c>
    </row>
    <row r="826">
      <c r="A826">
        <f>IF($J826="","",YEAR($J826-WEEKDAY($J826,2)+4)&amp;"-W"&amp;TEXT(WEEKNUM($J826,21),"00"))</f>
        <v/>
      </c>
      <c r="B826">
        <f>IF($J826="","",SUMIFS('Weekly Log'!$C:$C,'Weekly Log'!$A:$A,"&gt;="&amp;$J826,'Weekly Log'!$A:$A,"&lt;"&amp;$J826+7))</f>
        <v/>
      </c>
      <c r="C826">
        <f>IF($J826="","",IFERROR(COUNTIFS('Weekly Log'!$G:$G,"Y",'Weekly Log'!$A:$A,"&gt;="&amp;$J826,'Weekly Log'!$A:$A,"&lt;"&amp;$J826+7)/COUNTIFS('Weekly Log'!$G:$G,"&lt;&gt;",'Weekly Log'!$A:$A,"&gt;="&amp;$J826,'Weekly Log'!$A:$A,"&lt;"&amp;$J826+7),0))</f>
        <v/>
      </c>
      <c r="D826">
        <f>IF($J826="","",IFERROR(COUNTIFS('Weekly Log'!$H:$H,"Y",'Weekly Log'!$A:$A,"&gt;="&amp;$J826,'Weekly Log'!$A:$A,"&lt;"&amp;$J826+7)/COUNTIFS('Weekly Log'!$H:$H,"&lt;&gt;",'Weekly Log'!$A:$A,"&gt;="&amp;$J826,'Weekly Log'!$A:$A,"&lt;"&amp;$J826+7),0))</f>
        <v/>
      </c>
      <c r="E826">
        <f>IF($J826="","",IFERROR(AVERAGEIFS('Weekly Log'!$F:$F,'Weekly Log'!$A:$A,"&gt;="&amp;$J826,'Weekly Log'!$A:$A,"&lt;"&amp;$J826+7),0))</f>
        <v/>
      </c>
      <c r="F826">
        <f>IF($J826="","",IFERROR(SUMIFS('Weekly Log'!$F:$F,'Weekly Log'!$A:$A,"&gt;="&amp;$J826,'Weekly Log'!$A:$A,"&lt;"&amp;$J826+7)/SUMIFS('Weekly Log'!$E:$E,'Weekly Log'!$A:$A,"&gt;="&amp;$J826,'Weekly Log'!$A:$A,"&lt;"&amp;$J826+7),0))</f>
        <v/>
      </c>
      <c r="G826">
        <f>IF($J826="","",IFERROR(LOOKUP(2,1/(('Weekly Log'!$A$5:$A$5000&gt;=$J826)*('Weekly Log'!$A$5:$A$5000&lt;$J826+7)*('Weekly Log'!$M$5:$M$5000&lt;&gt;"")),'Weekly Log'!$M$5:$M$5000),0))</f>
        <v/>
      </c>
      <c r="J826">
        <f>IF(COUNT('Weekly Log'!$A$5:$A$5000)=0,"",IF(MIN('Weekly Log'!$A$5:$A$5000)+7*(ROW()-10)&gt;MAX('Weekly Log'!$A$5:$A$5000),"",MIN('Weekly Log'!$A$5:$A$5000)+7*(ROW()-10)))</f>
        <v/>
      </c>
    </row>
    <row r="827">
      <c r="A827">
        <f>IF($J827="","",YEAR($J827-WEEKDAY($J827,2)+4)&amp;"-W"&amp;TEXT(WEEKNUM($J827,21),"00"))</f>
        <v/>
      </c>
      <c r="B827">
        <f>IF($J827="","",SUMIFS('Weekly Log'!$C:$C,'Weekly Log'!$A:$A,"&gt;="&amp;$J827,'Weekly Log'!$A:$A,"&lt;"&amp;$J827+7))</f>
        <v/>
      </c>
      <c r="C827">
        <f>IF($J827="","",IFERROR(COUNTIFS('Weekly Log'!$G:$G,"Y",'Weekly Log'!$A:$A,"&gt;="&amp;$J827,'Weekly Log'!$A:$A,"&lt;"&amp;$J827+7)/COUNTIFS('Weekly Log'!$G:$G,"&lt;&gt;",'Weekly Log'!$A:$A,"&gt;="&amp;$J827,'Weekly Log'!$A:$A,"&lt;"&amp;$J827+7),0))</f>
        <v/>
      </c>
      <c r="D827">
        <f>IF($J827="","",IFERROR(COUNTIFS('Weekly Log'!$H:$H,"Y",'Weekly Log'!$A:$A,"&gt;="&amp;$J827,'Weekly Log'!$A:$A,"&lt;"&amp;$J827+7)/COUNTIFS('Weekly Log'!$H:$H,"&lt;&gt;",'Weekly Log'!$A:$A,"&gt;="&amp;$J827,'Weekly Log'!$A:$A,"&lt;"&amp;$J827+7),0))</f>
        <v/>
      </c>
      <c r="E827">
        <f>IF($J827="","",IFERROR(AVERAGEIFS('Weekly Log'!$F:$F,'Weekly Log'!$A:$A,"&gt;="&amp;$J827,'Weekly Log'!$A:$A,"&lt;"&amp;$J827+7),0))</f>
        <v/>
      </c>
      <c r="F827">
        <f>IF($J827="","",IFERROR(SUMIFS('Weekly Log'!$F:$F,'Weekly Log'!$A:$A,"&gt;="&amp;$J827,'Weekly Log'!$A:$A,"&lt;"&amp;$J827+7)/SUMIFS('Weekly Log'!$E:$E,'Weekly Log'!$A:$A,"&gt;="&amp;$J827,'Weekly Log'!$A:$A,"&lt;"&amp;$J827+7),0))</f>
        <v/>
      </c>
      <c r="G827">
        <f>IF($J827="","",IFERROR(LOOKUP(2,1/(('Weekly Log'!$A$5:$A$5000&gt;=$J827)*('Weekly Log'!$A$5:$A$5000&lt;$J827+7)*('Weekly Log'!$M$5:$M$5000&lt;&gt;"")),'Weekly Log'!$M$5:$M$5000),0))</f>
        <v/>
      </c>
      <c r="J827">
        <f>IF(COUNT('Weekly Log'!$A$5:$A$5000)=0,"",IF(MIN('Weekly Log'!$A$5:$A$5000)+7*(ROW()-10)&gt;MAX('Weekly Log'!$A$5:$A$5000),"",MIN('Weekly Log'!$A$5:$A$5000)+7*(ROW()-10)))</f>
        <v/>
      </c>
    </row>
    <row r="828">
      <c r="A828">
        <f>IF($J828="","",YEAR($J828-WEEKDAY($J828,2)+4)&amp;"-W"&amp;TEXT(WEEKNUM($J828,21),"00"))</f>
        <v/>
      </c>
      <c r="B828">
        <f>IF($J828="","",SUMIFS('Weekly Log'!$C:$C,'Weekly Log'!$A:$A,"&gt;="&amp;$J828,'Weekly Log'!$A:$A,"&lt;"&amp;$J828+7))</f>
        <v/>
      </c>
      <c r="C828">
        <f>IF($J828="","",IFERROR(COUNTIFS('Weekly Log'!$G:$G,"Y",'Weekly Log'!$A:$A,"&gt;="&amp;$J828,'Weekly Log'!$A:$A,"&lt;"&amp;$J828+7)/COUNTIFS('Weekly Log'!$G:$G,"&lt;&gt;",'Weekly Log'!$A:$A,"&gt;="&amp;$J828,'Weekly Log'!$A:$A,"&lt;"&amp;$J828+7),0))</f>
        <v/>
      </c>
      <c r="D828">
        <f>IF($J828="","",IFERROR(COUNTIFS('Weekly Log'!$H:$H,"Y",'Weekly Log'!$A:$A,"&gt;="&amp;$J828,'Weekly Log'!$A:$A,"&lt;"&amp;$J828+7)/COUNTIFS('Weekly Log'!$H:$H,"&lt;&gt;",'Weekly Log'!$A:$A,"&gt;="&amp;$J828,'Weekly Log'!$A:$A,"&lt;"&amp;$J828+7),0))</f>
        <v/>
      </c>
      <c r="E828">
        <f>IF($J828="","",IFERROR(AVERAGEIFS('Weekly Log'!$F:$F,'Weekly Log'!$A:$A,"&gt;="&amp;$J828,'Weekly Log'!$A:$A,"&lt;"&amp;$J828+7),0))</f>
        <v/>
      </c>
      <c r="F828">
        <f>IF($J828="","",IFERROR(SUMIFS('Weekly Log'!$F:$F,'Weekly Log'!$A:$A,"&gt;="&amp;$J828,'Weekly Log'!$A:$A,"&lt;"&amp;$J828+7)/SUMIFS('Weekly Log'!$E:$E,'Weekly Log'!$A:$A,"&gt;="&amp;$J828,'Weekly Log'!$A:$A,"&lt;"&amp;$J828+7),0))</f>
        <v/>
      </c>
      <c r="G828">
        <f>IF($J828="","",IFERROR(LOOKUP(2,1/(('Weekly Log'!$A$5:$A$5000&gt;=$J828)*('Weekly Log'!$A$5:$A$5000&lt;$J828+7)*('Weekly Log'!$M$5:$M$5000&lt;&gt;"")),'Weekly Log'!$M$5:$M$5000),0))</f>
        <v/>
      </c>
      <c r="J828">
        <f>IF(COUNT('Weekly Log'!$A$5:$A$5000)=0,"",IF(MIN('Weekly Log'!$A$5:$A$5000)+7*(ROW()-10)&gt;MAX('Weekly Log'!$A$5:$A$5000),"",MIN('Weekly Log'!$A$5:$A$5000)+7*(ROW()-10)))</f>
        <v/>
      </c>
    </row>
    <row r="829">
      <c r="A829">
        <f>IF($J829="","",YEAR($J829-WEEKDAY($J829,2)+4)&amp;"-W"&amp;TEXT(WEEKNUM($J829,21),"00"))</f>
        <v/>
      </c>
      <c r="B829">
        <f>IF($J829="","",SUMIFS('Weekly Log'!$C:$C,'Weekly Log'!$A:$A,"&gt;="&amp;$J829,'Weekly Log'!$A:$A,"&lt;"&amp;$J829+7))</f>
        <v/>
      </c>
      <c r="C829">
        <f>IF($J829="","",IFERROR(COUNTIFS('Weekly Log'!$G:$G,"Y",'Weekly Log'!$A:$A,"&gt;="&amp;$J829,'Weekly Log'!$A:$A,"&lt;"&amp;$J829+7)/COUNTIFS('Weekly Log'!$G:$G,"&lt;&gt;",'Weekly Log'!$A:$A,"&gt;="&amp;$J829,'Weekly Log'!$A:$A,"&lt;"&amp;$J829+7),0))</f>
        <v/>
      </c>
      <c r="D829">
        <f>IF($J829="","",IFERROR(COUNTIFS('Weekly Log'!$H:$H,"Y",'Weekly Log'!$A:$A,"&gt;="&amp;$J829,'Weekly Log'!$A:$A,"&lt;"&amp;$J829+7)/COUNTIFS('Weekly Log'!$H:$H,"&lt;&gt;",'Weekly Log'!$A:$A,"&gt;="&amp;$J829,'Weekly Log'!$A:$A,"&lt;"&amp;$J829+7),0))</f>
        <v/>
      </c>
      <c r="E829">
        <f>IF($J829="","",IFERROR(AVERAGEIFS('Weekly Log'!$F:$F,'Weekly Log'!$A:$A,"&gt;="&amp;$J829,'Weekly Log'!$A:$A,"&lt;"&amp;$J829+7),0))</f>
        <v/>
      </c>
      <c r="F829">
        <f>IF($J829="","",IFERROR(SUMIFS('Weekly Log'!$F:$F,'Weekly Log'!$A:$A,"&gt;="&amp;$J829,'Weekly Log'!$A:$A,"&lt;"&amp;$J829+7)/SUMIFS('Weekly Log'!$E:$E,'Weekly Log'!$A:$A,"&gt;="&amp;$J829,'Weekly Log'!$A:$A,"&lt;"&amp;$J829+7),0))</f>
        <v/>
      </c>
      <c r="G829">
        <f>IF($J829="","",IFERROR(LOOKUP(2,1/(('Weekly Log'!$A$5:$A$5000&gt;=$J829)*('Weekly Log'!$A$5:$A$5000&lt;$J829+7)*('Weekly Log'!$M$5:$M$5000&lt;&gt;"")),'Weekly Log'!$M$5:$M$5000),0))</f>
        <v/>
      </c>
      <c r="J829">
        <f>IF(COUNT('Weekly Log'!$A$5:$A$5000)=0,"",IF(MIN('Weekly Log'!$A$5:$A$5000)+7*(ROW()-10)&gt;MAX('Weekly Log'!$A$5:$A$5000),"",MIN('Weekly Log'!$A$5:$A$5000)+7*(ROW()-10)))</f>
        <v/>
      </c>
    </row>
    <row r="830">
      <c r="A830">
        <f>IF($J830="","",YEAR($J830-WEEKDAY($J830,2)+4)&amp;"-W"&amp;TEXT(WEEKNUM($J830,21),"00"))</f>
        <v/>
      </c>
      <c r="B830">
        <f>IF($J830="","",SUMIFS('Weekly Log'!$C:$C,'Weekly Log'!$A:$A,"&gt;="&amp;$J830,'Weekly Log'!$A:$A,"&lt;"&amp;$J830+7))</f>
        <v/>
      </c>
      <c r="C830">
        <f>IF($J830="","",IFERROR(COUNTIFS('Weekly Log'!$G:$G,"Y",'Weekly Log'!$A:$A,"&gt;="&amp;$J830,'Weekly Log'!$A:$A,"&lt;"&amp;$J830+7)/COUNTIFS('Weekly Log'!$G:$G,"&lt;&gt;",'Weekly Log'!$A:$A,"&gt;="&amp;$J830,'Weekly Log'!$A:$A,"&lt;"&amp;$J830+7),0))</f>
        <v/>
      </c>
      <c r="D830">
        <f>IF($J830="","",IFERROR(COUNTIFS('Weekly Log'!$H:$H,"Y",'Weekly Log'!$A:$A,"&gt;="&amp;$J830,'Weekly Log'!$A:$A,"&lt;"&amp;$J830+7)/COUNTIFS('Weekly Log'!$H:$H,"&lt;&gt;",'Weekly Log'!$A:$A,"&gt;="&amp;$J830,'Weekly Log'!$A:$A,"&lt;"&amp;$J830+7),0))</f>
        <v/>
      </c>
      <c r="E830">
        <f>IF($J830="","",IFERROR(AVERAGEIFS('Weekly Log'!$F:$F,'Weekly Log'!$A:$A,"&gt;="&amp;$J830,'Weekly Log'!$A:$A,"&lt;"&amp;$J830+7),0))</f>
        <v/>
      </c>
      <c r="F830">
        <f>IF($J830="","",IFERROR(SUMIFS('Weekly Log'!$F:$F,'Weekly Log'!$A:$A,"&gt;="&amp;$J830,'Weekly Log'!$A:$A,"&lt;"&amp;$J830+7)/SUMIFS('Weekly Log'!$E:$E,'Weekly Log'!$A:$A,"&gt;="&amp;$J830,'Weekly Log'!$A:$A,"&lt;"&amp;$J830+7),0))</f>
        <v/>
      </c>
      <c r="G830">
        <f>IF($J830="","",IFERROR(LOOKUP(2,1/(('Weekly Log'!$A$5:$A$5000&gt;=$J830)*('Weekly Log'!$A$5:$A$5000&lt;$J830+7)*('Weekly Log'!$M$5:$M$5000&lt;&gt;"")),'Weekly Log'!$M$5:$M$5000),0))</f>
        <v/>
      </c>
      <c r="J830">
        <f>IF(COUNT('Weekly Log'!$A$5:$A$5000)=0,"",IF(MIN('Weekly Log'!$A$5:$A$5000)+7*(ROW()-10)&gt;MAX('Weekly Log'!$A$5:$A$5000),"",MIN('Weekly Log'!$A$5:$A$5000)+7*(ROW()-10)))</f>
        <v/>
      </c>
    </row>
    <row r="831">
      <c r="A831">
        <f>IF($J831="","",YEAR($J831-WEEKDAY($J831,2)+4)&amp;"-W"&amp;TEXT(WEEKNUM($J831,21),"00"))</f>
        <v/>
      </c>
      <c r="B831">
        <f>IF($J831="","",SUMIFS('Weekly Log'!$C:$C,'Weekly Log'!$A:$A,"&gt;="&amp;$J831,'Weekly Log'!$A:$A,"&lt;"&amp;$J831+7))</f>
        <v/>
      </c>
      <c r="C831">
        <f>IF($J831="","",IFERROR(COUNTIFS('Weekly Log'!$G:$G,"Y",'Weekly Log'!$A:$A,"&gt;="&amp;$J831,'Weekly Log'!$A:$A,"&lt;"&amp;$J831+7)/COUNTIFS('Weekly Log'!$G:$G,"&lt;&gt;",'Weekly Log'!$A:$A,"&gt;="&amp;$J831,'Weekly Log'!$A:$A,"&lt;"&amp;$J831+7),0))</f>
        <v/>
      </c>
      <c r="D831">
        <f>IF($J831="","",IFERROR(COUNTIFS('Weekly Log'!$H:$H,"Y",'Weekly Log'!$A:$A,"&gt;="&amp;$J831,'Weekly Log'!$A:$A,"&lt;"&amp;$J831+7)/COUNTIFS('Weekly Log'!$H:$H,"&lt;&gt;",'Weekly Log'!$A:$A,"&gt;="&amp;$J831,'Weekly Log'!$A:$A,"&lt;"&amp;$J831+7),0))</f>
        <v/>
      </c>
      <c r="E831">
        <f>IF($J831="","",IFERROR(AVERAGEIFS('Weekly Log'!$F:$F,'Weekly Log'!$A:$A,"&gt;="&amp;$J831,'Weekly Log'!$A:$A,"&lt;"&amp;$J831+7),0))</f>
        <v/>
      </c>
      <c r="F831">
        <f>IF($J831="","",IFERROR(SUMIFS('Weekly Log'!$F:$F,'Weekly Log'!$A:$A,"&gt;="&amp;$J831,'Weekly Log'!$A:$A,"&lt;"&amp;$J831+7)/SUMIFS('Weekly Log'!$E:$E,'Weekly Log'!$A:$A,"&gt;="&amp;$J831,'Weekly Log'!$A:$A,"&lt;"&amp;$J831+7),0))</f>
        <v/>
      </c>
      <c r="G831">
        <f>IF($J831="","",IFERROR(LOOKUP(2,1/(('Weekly Log'!$A$5:$A$5000&gt;=$J831)*('Weekly Log'!$A$5:$A$5000&lt;$J831+7)*('Weekly Log'!$M$5:$M$5000&lt;&gt;"")),'Weekly Log'!$M$5:$M$5000),0))</f>
        <v/>
      </c>
      <c r="J831">
        <f>IF(COUNT('Weekly Log'!$A$5:$A$5000)=0,"",IF(MIN('Weekly Log'!$A$5:$A$5000)+7*(ROW()-10)&gt;MAX('Weekly Log'!$A$5:$A$5000),"",MIN('Weekly Log'!$A$5:$A$5000)+7*(ROW()-10)))</f>
        <v/>
      </c>
    </row>
    <row r="832">
      <c r="A832">
        <f>IF($J832="","",YEAR($J832-WEEKDAY($J832,2)+4)&amp;"-W"&amp;TEXT(WEEKNUM($J832,21),"00"))</f>
        <v/>
      </c>
      <c r="B832">
        <f>IF($J832="","",SUMIFS('Weekly Log'!$C:$C,'Weekly Log'!$A:$A,"&gt;="&amp;$J832,'Weekly Log'!$A:$A,"&lt;"&amp;$J832+7))</f>
        <v/>
      </c>
      <c r="C832">
        <f>IF($J832="","",IFERROR(COUNTIFS('Weekly Log'!$G:$G,"Y",'Weekly Log'!$A:$A,"&gt;="&amp;$J832,'Weekly Log'!$A:$A,"&lt;"&amp;$J832+7)/COUNTIFS('Weekly Log'!$G:$G,"&lt;&gt;",'Weekly Log'!$A:$A,"&gt;="&amp;$J832,'Weekly Log'!$A:$A,"&lt;"&amp;$J832+7),0))</f>
        <v/>
      </c>
      <c r="D832">
        <f>IF($J832="","",IFERROR(COUNTIFS('Weekly Log'!$H:$H,"Y",'Weekly Log'!$A:$A,"&gt;="&amp;$J832,'Weekly Log'!$A:$A,"&lt;"&amp;$J832+7)/COUNTIFS('Weekly Log'!$H:$H,"&lt;&gt;",'Weekly Log'!$A:$A,"&gt;="&amp;$J832,'Weekly Log'!$A:$A,"&lt;"&amp;$J832+7),0))</f>
        <v/>
      </c>
      <c r="E832">
        <f>IF($J832="","",IFERROR(AVERAGEIFS('Weekly Log'!$F:$F,'Weekly Log'!$A:$A,"&gt;="&amp;$J832,'Weekly Log'!$A:$A,"&lt;"&amp;$J832+7),0))</f>
        <v/>
      </c>
      <c r="F832">
        <f>IF($J832="","",IFERROR(SUMIFS('Weekly Log'!$F:$F,'Weekly Log'!$A:$A,"&gt;="&amp;$J832,'Weekly Log'!$A:$A,"&lt;"&amp;$J832+7)/SUMIFS('Weekly Log'!$E:$E,'Weekly Log'!$A:$A,"&gt;="&amp;$J832,'Weekly Log'!$A:$A,"&lt;"&amp;$J832+7),0))</f>
        <v/>
      </c>
      <c r="G832">
        <f>IF($J832="","",IFERROR(LOOKUP(2,1/(('Weekly Log'!$A$5:$A$5000&gt;=$J832)*('Weekly Log'!$A$5:$A$5000&lt;$J832+7)*('Weekly Log'!$M$5:$M$5000&lt;&gt;"")),'Weekly Log'!$M$5:$M$5000),0))</f>
        <v/>
      </c>
      <c r="J832">
        <f>IF(COUNT('Weekly Log'!$A$5:$A$5000)=0,"",IF(MIN('Weekly Log'!$A$5:$A$5000)+7*(ROW()-10)&gt;MAX('Weekly Log'!$A$5:$A$5000),"",MIN('Weekly Log'!$A$5:$A$5000)+7*(ROW()-10)))</f>
        <v/>
      </c>
    </row>
    <row r="833">
      <c r="A833">
        <f>IF($J833="","",YEAR($J833-WEEKDAY($J833,2)+4)&amp;"-W"&amp;TEXT(WEEKNUM($J833,21),"00"))</f>
        <v/>
      </c>
      <c r="B833">
        <f>IF($J833="","",SUMIFS('Weekly Log'!$C:$C,'Weekly Log'!$A:$A,"&gt;="&amp;$J833,'Weekly Log'!$A:$A,"&lt;"&amp;$J833+7))</f>
        <v/>
      </c>
      <c r="C833">
        <f>IF($J833="","",IFERROR(COUNTIFS('Weekly Log'!$G:$G,"Y",'Weekly Log'!$A:$A,"&gt;="&amp;$J833,'Weekly Log'!$A:$A,"&lt;"&amp;$J833+7)/COUNTIFS('Weekly Log'!$G:$G,"&lt;&gt;",'Weekly Log'!$A:$A,"&gt;="&amp;$J833,'Weekly Log'!$A:$A,"&lt;"&amp;$J833+7),0))</f>
        <v/>
      </c>
      <c r="D833">
        <f>IF($J833="","",IFERROR(COUNTIFS('Weekly Log'!$H:$H,"Y",'Weekly Log'!$A:$A,"&gt;="&amp;$J833,'Weekly Log'!$A:$A,"&lt;"&amp;$J833+7)/COUNTIFS('Weekly Log'!$H:$H,"&lt;&gt;",'Weekly Log'!$A:$A,"&gt;="&amp;$J833,'Weekly Log'!$A:$A,"&lt;"&amp;$J833+7),0))</f>
        <v/>
      </c>
      <c r="E833">
        <f>IF($J833="","",IFERROR(AVERAGEIFS('Weekly Log'!$F:$F,'Weekly Log'!$A:$A,"&gt;="&amp;$J833,'Weekly Log'!$A:$A,"&lt;"&amp;$J833+7),0))</f>
        <v/>
      </c>
      <c r="F833">
        <f>IF($J833="","",IFERROR(SUMIFS('Weekly Log'!$F:$F,'Weekly Log'!$A:$A,"&gt;="&amp;$J833,'Weekly Log'!$A:$A,"&lt;"&amp;$J833+7)/SUMIFS('Weekly Log'!$E:$E,'Weekly Log'!$A:$A,"&gt;="&amp;$J833,'Weekly Log'!$A:$A,"&lt;"&amp;$J833+7),0))</f>
        <v/>
      </c>
      <c r="G833">
        <f>IF($J833="","",IFERROR(LOOKUP(2,1/(('Weekly Log'!$A$5:$A$5000&gt;=$J833)*('Weekly Log'!$A$5:$A$5000&lt;$J833+7)*('Weekly Log'!$M$5:$M$5000&lt;&gt;"")),'Weekly Log'!$M$5:$M$5000),0))</f>
        <v/>
      </c>
      <c r="J833">
        <f>IF(COUNT('Weekly Log'!$A$5:$A$5000)=0,"",IF(MIN('Weekly Log'!$A$5:$A$5000)+7*(ROW()-10)&gt;MAX('Weekly Log'!$A$5:$A$5000),"",MIN('Weekly Log'!$A$5:$A$5000)+7*(ROW()-10)))</f>
        <v/>
      </c>
    </row>
    <row r="834">
      <c r="A834">
        <f>IF($J834="","",YEAR($J834-WEEKDAY($J834,2)+4)&amp;"-W"&amp;TEXT(WEEKNUM($J834,21),"00"))</f>
        <v/>
      </c>
      <c r="B834">
        <f>IF($J834="","",SUMIFS('Weekly Log'!$C:$C,'Weekly Log'!$A:$A,"&gt;="&amp;$J834,'Weekly Log'!$A:$A,"&lt;"&amp;$J834+7))</f>
        <v/>
      </c>
      <c r="C834">
        <f>IF($J834="","",IFERROR(COUNTIFS('Weekly Log'!$G:$G,"Y",'Weekly Log'!$A:$A,"&gt;="&amp;$J834,'Weekly Log'!$A:$A,"&lt;"&amp;$J834+7)/COUNTIFS('Weekly Log'!$G:$G,"&lt;&gt;",'Weekly Log'!$A:$A,"&gt;="&amp;$J834,'Weekly Log'!$A:$A,"&lt;"&amp;$J834+7),0))</f>
        <v/>
      </c>
      <c r="D834">
        <f>IF($J834="","",IFERROR(COUNTIFS('Weekly Log'!$H:$H,"Y",'Weekly Log'!$A:$A,"&gt;="&amp;$J834,'Weekly Log'!$A:$A,"&lt;"&amp;$J834+7)/COUNTIFS('Weekly Log'!$H:$H,"&lt;&gt;",'Weekly Log'!$A:$A,"&gt;="&amp;$J834,'Weekly Log'!$A:$A,"&lt;"&amp;$J834+7),0))</f>
        <v/>
      </c>
      <c r="E834">
        <f>IF($J834="","",IFERROR(AVERAGEIFS('Weekly Log'!$F:$F,'Weekly Log'!$A:$A,"&gt;="&amp;$J834,'Weekly Log'!$A:$A,"&lt;"&amp;$J834+7),0))</f>
        <v/>
      </c>
      <c r="F834">
        <f>IF($J834="","",IFERROR(SUMIFS('Weekly Log'!$F:$F,'Weekly Log'!$A:$A,"&gt;="&amp;$J834,'Weekly Log'!$A:$A,"&lt;"&amp;$J834+7)/SUMIFS('Weekly Log'!$E:$E,'Weekly Log'!$A:$A,"&gt;="&amp;$J834,'Weekly Log'!$A:$A,"&lt;"&amp;$J834+7),0))</f>
        <v/>
      </c>
      <c r="G834">
        <f>IF($J834="","",IFERROR(LOOKUP(2,1/(('Weekly Log'!$A$5:$A$5000&gt;=$J834)*('Weekly Log'!$A$5:$A$5000&lt;$J834+7)*('Weekly Log'!$M$5:$M$5000&lt;&gt;"")),'Weekly Log'!$M$5:$M$5000),0))</f>
        <v/>
      </c>
      <c r="J834">
        <f>IF(COUNT('Weekly Log'!$A$5:$A$5000)=0,"",IF(MIN('Weekly Log'!$A$5:$A$5000)+7*(ROW()-10)&gt;MAX('Weekly Log'!$A$5:$A$5000),"",MIN('Weekly Log'!$A$5:$A$5000)+7*(ROW()-10)))</f>
        <v/>
      </c>
    </row>
    <row r="835">
      <c r="A835">
        <f>IF($J835="","",YEAR($J835-WEEKDAY($J835,2)+4)&amp;"-W"&amp;TEXT(WEEKNUM($J835,21),"00"))</f>
        <v/>
      </c>
      <c r="B835">
        <f>IF($J835="","",SUMIFS('Weekly Log'!$C:$C,'Weekly Log'!$A:$A,"&gt;="&amp;$J835,'Weekly Log'!$A:$A,"&lt;"&amp;$J835+7))</f>
        <v/>
      </c>
      <c r="C835">
        <f>IF($J835="","",IFERROR(COUNTIFS('Weekly Log'!$G:$G,"Y",'Weekly Log'!$A:$A,"&gt;="&amp;$J835,'Weekly Log'!$A:$A,"&lt;"&amp;$J835+7)/COUNTIFS('Weekly Log'!$G:$G,"&lt;&gt;",'Weekly Log'!$A:$A,"&gt;="&amp;$J835,'Weekly Log'!$A:$A,"&lt;"&amp;$J835+7),0))</f>
        <v/>
      </c>
      <c r="D835">
        <f>IF($J835="","",IFERROR(COUNTIFS('Weekly Log'!$H:$H,"Y",'Weekly Log'!$A:$A,"&gt;="&amp;$J835,'Weekly Log'!$A:$A,"&lt;"&amp;$J835+7)/COUNTIFS('Weekly Log'!$H:$H,"&lt;&gt;",'Weekly Log'!$A:$A,"&gt;="&amp;$J835,'Weekly Log'!$A:$A,"&lt;"&amp;$J835+7),0))</f>
        <v/>
      </c>
      <c r="E835">
        <f>IF($J835="","",IFERROR(AVERAGEIFS('Weekly Log'!$F:$F,'Weekly Log'!$A:$A,"&gt;="&amp;$J835,'Weekly Log'!$A:$A,"&lt;"&amp;$J835+7),0))</f>
        <v/>
      </c>
      <c r="F835">
        <f>IF($J835="","",IFERROR(SUMIFS('Weekly Log'!$F:$F,'Weekly Log'!$A:$A,"&gt;="&amp;$J835,'Weekly Log'!$A:$A,"&lt;"&amp;$J835+7)/SUMIFS('Weekly Log'!$E:$E,'Weekly Log'!$A:$A,"&gt;="&amp;$J835,'Weekly Log'!$A:$A,"&lt;"&amp;$J835+7),0))</f>
        <v/>
      </c>
      <c r="G835">
        <f>IF($J835="","",IFERROR(LOOKUP(2,1/(('Weekly Log'!$A$5:$A$5000&gt;=$J835)*('Weekly Log'!$A$5:$A$5000&lt;$J835+7)*('Weekly Log'!$M$5:$M$5000&lt;&gt;"")),'Weekly Log'!$M$5:$M$5000),0))</f>
        <v/>
      </c>
      <c r="J835">
        <f>IF(COUNT('Weekly Log'!$A$5:$A$5000)=0,"",IF(MIN('Weekly Log'!$A$5:$A$5000)+7*(ROW()-10)&gt;MAX('Weekly Log'!$A$5:$A$5000),"",MIN('Weekly Log'!$A$5:$A$5000)+7*(ROW()-10)))</f>
        <v/>
      </c>
    </row>
    <row r="836">
      <c r="A836">
        <f>IF($J836="","",YEAR($J836-WEEKDAY($J836,2)+4)&amp;"-W"&amp;TEXT(WEEKNUM($J836,21),"00"))</f>
        <v/>
      </c>
      <c r="B836">
        <f>IF($J836="","",SUMIFS('Weekly Log'!$C:$C,'Weekly Log'!$A:$A,"&gt;="&amp;$J836,'Weekly Log'!$A:$A,"&lt;"&amp;$J836+7))</f>
        <v/>
      </c>
      <c r="C836">
        <f>IF($J836="","",IFERROR(COUNTIFS('Weekly Log'!$G:$G,"Y",'Weekly Log'!$A:$A,"&gt;="&amp;$J836,'Weekly Log'!$A:$A,"&lt;"&amp;$J836+7)/COUNTIFS('Weekly Log'!$G:$G,"&lt;&gt;",'Weekly Log'!$A:$A,"&gt;="&amp;$J836,'Weekly Log'!$A:$A,"&lt;"&amp;$J836+7),0))</f>
        <v/>
      </c>
      <c r="D836">
        <f>IF($J836="","",IFERROR(COUNTIFS('Weekly Log'!$H:$H,"Y",'Weekly Log'!$A:$A,"&gt;="&amp;$J836,'Weekly Log'!$A:$A,"&lt;"&amp;$J836+7)/COUNTIFS('Weekly Log'!$H:$H,"&lt;&gt;",'Weekly Log'!$A:$A,"&gt;="&amp;$J836,'Weekly Log'!$A:$A,"&lt;"&amp;$J836+7),0))</f>
        <v/>
      </c>
      <c r="E836">
        <f>IF($J836="","",IFERROR(AVERAGEIFS('Weekly Log'!$F:$F,'Weekly Log'!$A:$A,"&gt;="&amp;$J836,'Weekly Log'!$A:$A,"&lt;"&amp;$J836+7),0))</f>
        <v/>
      </c>
      <c r="F836">
        <f>IF($J836="","",IFERROR(SUMIFS('Weekly Log'!$F:$F,'Weekly Log'!$A:$A,"&gt;="&amp;$J836,'Weekly Log'!$A:$A,"&lt;"&amp;$J836+7)/SUMIFS('Weekly Log'!$E:$E,'Weekly Log'!$A:$A,"&gt;="&amp;$J836,'Weekly Log'!$A:$A,"&lt;"&amp;$J836+7),0))</f>
        <v/>
      </c>
      <c r="G836">
        <f>IF($J836="","",IFERROR(LOOKUP(2,1/(('Weekly Log'!$A$5:$A$5000&gt;=$J836)*('Weekly Log'!$A$5:$A$5000&lt;$J836+7)*('Weekly Log'!$M$5:$M$5000&lt;&gt;"")),'Weekly Log'!$M$5:$M$5000),0))</f>
        <v/>
      </c>
      <c r="J836">
        <f>IF(COUNT('Weekly Log'!$A$5:$A$5000)=0,"",IF(MIN('Weekly Log'!$A$5:$A$5000)+7*(ROW()-10)&gt;MAX('Weekly Log'!$A$5:$A$5000),"",MIN('Weekly Log'!$A$5:$A$5000)+7*(ROW()-10)))</f>
        <v/>
      </c>
    </row>
    <row r="837">
      <c r="A837">
        <f>IF($J837="","",YEAR($J837-WEEKDAY($J837,2)+4)&amp;"-W"&amp;TEXT(WEEKNUM($J837,21),"00"))</f>
        <v/>
      </c>
      <c r="B837">
        <f>IF($J837="","",SUMIFS('Weekly Log'!$C:$C,'Weekly Log'!$A:$A,"&gt;="&amp;$J837,'Weekly Log'!$A:$A,"&lt;"&amp;$J837+7))</f>
        <v/>
      </c>
      <c r="C837">
        <f>IF($J837="","",IFERROR(COUNTIFS('Weekly Log'!$G:$G,"Y",'Weekly Log'!$A:$A,"&gt;="&amp;$J837,'Weekly Log'!$A:$A,"&lt;"&amp;$J837+7)/COUNTIFS('Weekly Log'!$G:$G,"&lt;&gt;",'Weekly Log'!$A:$A,"&gt;="&amp;$J837,'Weekly Log'!$A:$A,"&lt;"&amp;$J837+7),0))</f>
        <v/>
      </c>
      <c r="D837">
        <f>IF($J837="","",IFERROR(COUNTIFS('Weekly Log'!$H:$H,"Y",'Weekly Log'!$A:$A,"&gt;="&amp;$J837,'Weekly Log'!$A:$A,"&lt;"&amp;$J837+7)/COUNTIFS('Weekly Log'!$H:$H,"&lt;&gt;",'Weekly Log'!$A:$A,"&gt;="&amp;$J837,'Weekly Log'!$A:$A,"&lt;"&amp;$J837+7),0))</f>
        <v/>
      </c>
      <c r="E837">
        <f>IF($J837="","",IFERROR(AVERAGEIFS('Weekly Log'!$F:$F,'Weekly Log'!$A:$A,"&gt;="&amp;$J837,'Weekly Log'!$A:$A,"&lt;"&amp;$J837+7),0))</f>
        <v/>
      </c>
      <c r="F837">
        <f>IF($J837="","",IFERROR(SUMIFS('Weekly Log'!$F:$F,'Weekly Log'!$A:$A,"&gt;="&amp;$J837,'Weekly Log'!$A:$A,"&lt;"&amp;$J837+7)/SUMIFS('Weekly Log'!$E:$E,'Weekly Log'!$A:$A,"&gt;="&amp;$J837,'Weekly Log'!$A:$A,"&lt;"&amp;$J837+7),0))</f>
        <v/>
      </c>
      <c r="G837">
        <f>IF($J837="","",IFERROR(LOOKUP(2,1/(('Weekly Log'!$A$5:$A$5000&gt;=$J837)*('Weekly Log'!$A$5:$A$5000&lt;$J837+7)*('Weekly Log'!$M$5:$M$5000&lt;&gt;"")),'Weekly Log'!$M$5:$M$5000),0))</f>
        <v/>
      </c>
      <c r="J837">
        <f>IF(COUNT('Weekly Log'!$A$5:$A$5000)=0,"",IF(MIN('Weekly Log'!$A$5:$A$5000)+7*(ROW()-10)&gt;MAX('Weekly Log'!$A$5:$A$5000),"",MIN('Weekly Log'!$A$5:$A$5000)+7*(ROW()-10)))</f>
        <v/>
      </c>
    </row>
    <row r="838">
      <c r="A838">
        <f>IF($J838="","",YEAR($J838-WEEKDAY($J838,2)+4)&amp;"-W"&amp;TEXT(WEEKNUM($J838,21),"00"))</f>
        <v/>
      </c>
      <c r="B838">
        <f>IF($J838="","",SUMIFS('Weekly Log'!$C:$C,'Weekly Log'!$A:$A,"&gt;="&amp;$J838,'Weekly Log'!$A:$A,"&lt;"&amp;$J838+7))</f>
        <v/>
      </c>
      <c r="C838">
        <f>IF($J838="","",IFERROR(COUNTIFS('Weekly Log'!$G:$G,"Y",'Weekly Log'!$A:$A,"&gt;="&amp;$J838,'Weekly Log'!$A:$A,"&lt;"&amp;$J838+7)/COUNTIFS('Weekly Log'!$G:$G,"&lt;&gt;",'Weekly Log'!$A:$A,"&gt;="&amp;$J838,'Weekly Log'!$A:$A,"&lt;"&amp;$J838+7),0))</f>
        <v/>
      </c>
      <c r="D838">
        <f>IF($J838="","",IFERROR(COUNTIFS('Weekly Log'!$H:$H,"Y",'Weekly Log'!$A:$A,"&gt;="&amp;$J838,'Weekly Log'!$A:$A,"&lt;"&amp;$J838+7)/COUNTIFS('Weekly Log'!$H:$H,"&lt;&gt;",'Weekly Log'!$A:$A,"&gt;="&amp;$J838,'Weekly Log'!$A:$A,"&lt;"&amp;$J838+7),0))</f>
        <v/>
      </c>
      <c r="E838">
        <f>IF($J838="","",IFERROR(AVERAGEIFS('Weekly Log'!$F:$F,'Weekly Log'!$A:$A,"&gt;="&amp;$J838,'Weekly Log'!$A:$A,"&lt;"&amp;$J838+7),0))</f>
        <v/>
      </c>
      <c r="F838">
        <f>IF($J838="","",IFERROR(SUMIFS('Weekly Log'!$F:$F,'Weekly Log'!$A:$A,"&gt;="&amp;$J838,'Weekly Log'!$A:$A,"&lt;"&amp;$J838+7)/SUMIFS('Weekly Log'!$E:$E,'Weekly Log'!$A:$A,"&gt;="&amp;$J838,'Weekly Log'!$A:$A,"&lt;"&amp;$J838+7),0))</f>
        <v/>
      </c>
      <c r="G838">
        <f>IF($J838="","",IFERROR(LOOKUP(2,1/(('Weekly Log'!$A$5:$A$5000&gt;=$J838)*('Weekly Log'!$A$5:$A$5000&lt;$J838+7)*('Weekly Log'!$M$5:$M$5000&lt;&gt;"")),'Weekly Log'!$M$5:$M$5000),0))</f>
        <v/>
      </c>
      <c r="J838">
        <f>IF(COUNT('Weekly Log'!$A$5:$A$5000)=0,"",IF(MIN('Weekly Log'!$A$5:$A$5000)+7*(ROW()-10)&gt;MAX('Weekly Log'!$A$5:$A$5000),"",MIN('Weekly Log'!$A$5:$A$5000)+7*(ROW()-10)))</f>
        <v/>
      </c>
    </row>
    <row r="839">
      <c r="A839">
        <f>IF($J839="","",YEAR($J839-WEEKDAY($J839,2)+4)&amp;"-W"&amp;TEXT(WEEKNUM($J839,21),"00"))</f>
        <v/>
      </c>
      <c r="B839">
        <f>IF($J839="","",SUMIFS('Weekly Log'!$C:$C,'Weekly Log'!$A:$A,"&gt;="&amp;$J839,'Weekly Log'!$A:$A,"&lt;"&amp;$J839+7))</f>
        <v/>
      </c>
      <c r="C839">
        <f>IF($J839="","",IFERROR(COUNTIFS('Weekly Log'!$G:$G,"Y",'Weekly Log'!$A:$A,"&gt;="&amp;$J839,'Weekly Log'!$A:$A,"&lt;"&amp;$J839+7)/COUNTIFS('Weekly Log'!$G:$G,"&lt;&gt;",'Weekly Log'!$A:$A,"&gt;="&amp;$J839,'Weekly Log'!$A:$A,"&lt;"&amp;$J839+7),0))</f>
        <v/>
      </c>
      <c r="D839">
        <f>IF($J839="","",IFERROR(COUNTIFS('Weekly Log'!$H:$H,"Y",'Weekly Log'!$A:$A,"&gt;="&amp;$J839,'Weekly Log'!$A:$A,"&lt;"&amp;$J839+7)/COUNTIFS('Weekly Log'!$H:$H,"&lt;&gt;",'Weekly Log'!$A:$A,"&gt;="&amp;$J839,'Weekly Log'!$A:$A,"&lt;"&amp;$J839+7),0))</f>
        <v/>
      </c>
      <c r="E839">
        <f>IF($J839="","",IFERROR(AVERAGEIFS('Weekly Log'!$F:$F,'Weekly Log'!$A:$A,"&gt;="&amp;$J839,'Weekly Log'!$A:$A,"&lt;"&amp;$J839+7),0))</f>
        <v/>
      </c>
      <c r="F839">
        <f>IF($J839="","",IFERROR(SUMIFS('Weekly Log'!$F:$F,'Weekly Log'!$A:$A,"&gt;="&amp;$J839,'Weekly Log'!$A:$A,"&lt;"&amp;$J839+7)/SUMIFS('Weekly Log'!$E:$E,'Weekly Log'!$A:$A,"&gt;="&amp;$J839,'Weekly Log'!$A:$A,"&lt;"&amp;$J839+7),0))</f>
        <v/>
      </c>
      <c r="G839">
        <f>IF($J839="","",IFERROR(LOOKUP(2,1/(('Weekly Log'!$A$5:$A$5000&gt;=$J839)*('Weekly Log'!$A$5:$A$5000&lt;$J839+7)*('Weekly Log'!$M$5:$M$5000&lt;&gt;"")),'Weekly Log'!$M$5:$M$5000),0))</f>
        <v/>
      </c>
      <c r="J839">
        <f>IF(COUNT('Weekly Log'!$A$5:$A$5000)=0,"",IF(MIN('Weekly Log'!$A$5:$A$5000)+7*(ROW()-10)&gt;MAX('Weekly Log'!$A$5:$A$5000),"",MIN('Weekly Log'!$A$5:$A$5000)+7*(ROW()-10)))</f>
        <v/>
      </c>
    </row>
    <row r="840">
      <c r="A840">
        <f>IF($J840="","",YEAR($J840-WEEKDAY($J840,2)+4)&amp;"-W"&amp;TEXT(WEEKNUM($J840,21),"00"))</f>
        <v/>
      </c>
      <c r="B840">
        <f>IF($J840="","",SUMIFS('Weekly Log'!$C:$C,'Weekly Log'!$A:$A,"&gt;="&amp;$J840,'Weekly Log'!$A:$A,"&lt;"&amp;$J840+7))</f>
        <v/>
      </c>
      <c r="C840">
        <f>IF($J840="","",IFERROR(COUNTIFS('Weekly Log'!$G:$G,"Y",'Weekly Log'!$A:$A,"&gt;="&amp;$J840,'Weekly Log'!$A:$A,"&lt;"&amp;$J840+7)/COUNTIFS('Weekly Log'!$G:$G,"&lt;&gt;",'Weekly Log'!$A:$A,"&gt;="&amp;$J840,'Weekly Log'!$A:$A,"&lt;"&amp;$J840+7),0))</f>
        <v/>
      </c>
      <c r="D840">
        <f>IF($J840="","",IFERROR(COUNTIFS('Weekly Log'!$H:$H,"Y",'Weekly Log'!$A:$A,"&gt;="&amp;$J840,'Weekly Log'!$A:$A,"&lt;"&amp;$J840+7)/COUNTIFS('Weekly Log'!$H:$H,"&lt;&gt;",'Weekly Log'!$A:$A,"&gt;="&amp;$J840,'Weekly Log'!$A:$A,"&lt;"&amp;$J840+7),0))</f>
        <v/>
      </c>
      <c r="E840">
        <f>IF($J840="","",IFERROR(AVERAGEIFS('Weekly Log'!$F:$F,'Weekly Log'!$A:$A,"&gt;="&amp;$J840,'Weekly Log'!$A:$A,"&lt;"&amp;$J840+7),0))</f>
        <v/>
      </c>
      <c r="F840">
        <f>IF($J840="","",IFERROR(SUMIFS('Weekly Log'!$F:$F,'Weekly Log'!$A:$A,"&gt;="&amp;$J840,'Weekly Log'!$A:$A,"&lt;"&amp;$J840+7)/SUMIFS('Weekly Log'!$E:$E,'Weekly Log'!$A:$A,"&gt;="&amp;$J840,'Weekly Log'!$A:$A,"&lt;"&amp;$J840+7),0))</f>
        <v/>
      </c>
      <c r="G840">
        <f>IF($J840="","",IFERROR(LOOKUP(2,1/(('Weekly Log'!$A$5:$A$5000&gt;=$J840)*('Weekly Log'!$A$5:$A$5000&lt;$J840+7)*('Weekly Log'!$M$5:$M$5000&lt;&gt;"")),'Weekly Log'!$M$5:$M$5000),0))</f>
        <v/>
      </c>
      <c r="J840">
        <f>IF(COUNT('Weekly Log'!$A$5:$A$5000)=0,"",IF(MIN('Weekly Log'!$A$5:$A$5000)+7*(ROW()-10)&gt;MAX('Weekly Log'!$A$5:$A$5000),"",MIN('Weekly Log'!$A$5:$A$5000)+7*(ROW()-10)))</f>
        <v/>
      </c>
    </row>
    <row r="841">
      <c r="A841">
        <f>IF($J841="","",YEAR($J841-WEEKDAY($J841,2)+4)&amp;"-W"&amp;TEXT(WEEKNUM($J841,21),"00"))</f>
        <v/>
      </c>
      <c r="B841">
        <f>IF($J841="","",SUMIFS('Weekly Log'!$C:$C,'Weekly Log'!$A:$A,"&gt;="&amp;$J841,'Weekly Log'!$A:$A,"&lt;"&amp;$J841+7))</f>
        <v/>
      </c>
      <c r="C841">
        <f>IF($J841="","",IFERROR(COUNTIFS('Weekly Log'!$G:$G,"Y",'Weekly Log'!$A:$A,"&gt;="&amp;$J841,'Weekly Log'!$A:$A,"&lt;"&amp;$J841+7)/COUNTIFS('Weekly Log'!$G:$G,"&lt;&gt;",'Weekly Log'!$A:$A,"&gt;="&amp;$J841,'Weekly Log'!$A:$A,"&lt;"&amp;$J841+7),0))</f>
        <v/>
      </c>
      <c r="D841">
        <f>IF($J841="","",IFERROR(COUNTIFS('Weekly Log'!$H:$H,"Y",'Weekly Log'!$A:$A,"&gt;="&amp;$J841,'Weekly Log'!$A:$A,"&lt;"&amp;$J841+7)/COUNTIFS('Weekly Log'!$H:$H,"&lt;&gt;",'Weekly Log'!$A:$A,"&gt;="&amp;$J841,'Weekly Log'!$A:$A,"&lt;"&amp;$J841+7),0))</f>
        <v/>
      </c>
      <c r="E841">
        <f>IF($J841="","",IFERROR(AVERAGEIFS('Weekly Log'!$F:$F,'Weekly Log'!$A:$A,"&gt;="&amp;$J841,'Weekly Log'!$A:$A,"&lt;"&amp;$J841+7),0))</f>
        <v/>
      </c>
      <c r="F841">
        <f>IF($J841="","",IFERROR(SUMIFS('Weekly Log'!$F:$F,'Weekly Log'!$A:$A,"&gt;="&amp;$J841,'Weekly Log'!$A:$A,"&lt;"&amp;$J841+7)/SUMIFS('Weekly Log'!$E:$E,'Weekly Log'!$A:$A,"&gt;="&amp;$J841,'Weekly Log'!$A:$A,"&lt;"&amp;$J841+7),0))</f>
        <v/>
      </c>
      <c r="G841">
        <f>IF($J841="","",IFERROR(LOOKUP(2,1/(('Weekly Log'!$A$5:$A$5000&gt;=$J841)*('Weekly Log'!$A$5:$A$5000&lt;$J841+7)*('Weekly Log'!$M$5:$M$5000&lt;&gt;"")),'Weekly Log'!$M$5:$M$5000),0))</f>
        <v/>
      </c>
      <c r="J841">
        <f>IF(COUNT('Weekly Log'!$A$5:$A$5000)=0,"",IF(MIN('Weekly Log'!$A$5:$A$5000)+7*(ROW()-10)&gt;MAX('Weekly Log'!$A$5:$A$5000),"",MIN('Weekly Log'!$A$5:$A$5000)+7*(ROW()-10)))</f>
        <v/>
      </c>
    </row>
    <row r="842">
      <c r="A842">
        <f>IF($J842="","",YEAR($J842-WEEKDAY($J842,2)+4)&amp;"-W"&amp;TEXT(WEEKNUM($J842,21),"00"))</f>
        <v/>
      </c>
      <c r="B842">
        <f>IF($J842="","",SUMIFS('Weekly Log'!$C:$C,'Weekly Log'!$A:$A,"&gt;="&amp;$J842,'Weekly Log'!$A:$A,"&lt;"&amp;$J842+7))</f>
        <v/>
      </c>
      <c r="C842">
        <f>IF($J842="","",IFERROR(COUNTIFS('Weekly Log'!$G:$G,"Y",'Weekly Log'!$A:$A,"&gt;="&amp;$J842,'Weekly Log'!$A:$A,"&lt;"&amp;$J842+7)/COUNTIFS('Weekly Log'!$G:$G,"&lt;&gt;",'Weekly Log'!$A:$A,"&gt;="&amp;$J842,'Weekly Log'!$A:$A,"&lt;"&amp;$J842+7),0))</f>
        <v/>
      </c>
      <c r="D842">
        <f>IF($J842="","",IFERROR(COUNTIFS('Weekly Log'!$H:$H,"Y",'Weekly Log'!$A:$A,"&gt;="&amp;$J842,'Weekly Log'!$A:$A,"&lt;"&amp;$J842+7)/COUNTIFS('Weekly Log'!$H:$H,"&lt;&gt;",'Weekly Log'!$A:$A,"&gt;="&amp;$J842,'Weekly Log'!$A:$A,"&lt;"&amp;$J842+7),0))</f>
        <v/>
      </c>
      <c r="E842">
        <f>IF($J842="","",IFERROR(AVERAGEIFS('Weekly Log'!$F:$F,'Weekly Log'!$A:$A,"&gt;="&amp;$J842,'Weekly Log'!$A:$A,"&lt;"&amp;$J842+7),0))</f>
        <v/>
      </c>
      <c r="F842">
        <f>IF($J842="","",IFERROR(SUMIFS('Weekly Log'!$F:$F,'Weekly Log'!$A:$A,"&gt;="&amp;$J842,'Weekly Log'!$A:$A,"&lt;"&amp;$J842+7)/SUMIFS('Weekly Log'!$E:$E,'Weekly Log'!$A:$A,"&gt;="&amp;$J842,'Weekly Log'!$A:$A,"&lt;"&amp;$J842+7),0))</f>
        <v/>
      </c>
      <c r="G842">
        <f>IF($J842="","",IFERROR(LOOKUP(2,1/(('Weekly Log'!$A$5:$A$5000&gt;=$J842)*('Weekly Log'!$A$5:$A$5000&lt;$J842+7)*('Weekly Log'!$M$5:$M$5000&lt;&gt;"")),'Weekly Log'!$M$5:$M$5000),0))</f>
        <v/>
      </c>
      <c r="J842">
        <f>IF(COUNT('Weekly Log'!$A$5:$A$5000)=0,"",IF(MIN('Weekly Log'!$A$5:$A$5000)+7*(ROW()-10)&gt;MAX('Weekly Log'!$A$5:$A$5000),"",MIN('Weekly Log'!$A$5:$A$5000)+7*(ROW()-10)))</f>
        <v/>
      </c>
    </row>
    <row r="843">
      <c r="A843">
        <f>IF($J843="","",YEAR($J843-WEEKDAY($J843,2)+4)&amp;"-W"&amp;TEXT(WEEKNUM($J843,21),"00"))</f>
        <v/>
      </c>
      <c r="B843">
        <f>IF($J843="","",SUMIFS('Weekly Log'!$C:$C,'Weekly Log'!$A:$A,"&gt;="&amp;$J843,'Weekly Log'!$A:$A,"&lt;"&amp;$J843+7))</f>
        <v/>
      </c>
      <c r="C843">
        <f>IF($J843="","",IFERROR(COUNTIFS('Weekly Log'!$G:$G,"Y",'Weekly Log'!$A:$A,"&gt;="&amp;$J843,'Weekly Log'!$A:$A,"&lt;"&amp;$J843+7)/COUNTIFS('Weekly Log'!$G:$G,"&lt;&gt;",'Weekly Log'!$A:$A,"&gt;="&amp;$J843,'Weekly Log'!$A:$A,"&lt;"&amp;$J843+7),0))</f>
        <v/>
      </c>
      <c r="D843">
        <f>IF($J843="","",IFERROR(COUNTIFS('Weekly Log'!$H:$H,"Y",'Weekly Log'!$A:$A,"&gt;="&amp;$J843,'Weekly Log'!$A:$A,"&lt;"&amp;$J843+7)/COUNTIFS('Weekly Log'!$H:$H,"&lt;&gt;",'Weekly Log'!$A:$A,"&gt;="&amp;$J843,'Weekly Log'!$A:$A,"&lt;"&amp;$J843+7),0))</f>
        <v/>
      </c>
      <c r="E843">
        <f>IF($J843="","",IFERROR(AVERAGEIFS('Weekly Log'!$F:$F,'Weekly Log'!$A:$A,"&gt;="&amp;$J843,'Weekly Log'!$A:$A,"&lt;"&amp;$J843+7),0))</f>
        <v/>
      </c>
      <c r="F843">
        <f>IF($J843="","",IFERROR(SUMIFS('Weekly Log'!$F:$F,'Weekly Log'!$A:$A,"&gt;="&amp;$J843,'Weekly Log'!$A:$A,"&lt;"&amp;$J843+7)/SUMIFS('Weekly Log'!$E:$E,'Weekly Log'!$A:$A,"&gt;="&amp;$J843,'Weekly Log'!$A:$A,"&lt;"&amp;$J843+7),0))</f>
        <v/>
      </c>
      <c r="G843">
        <f>IF($J843="","",IFERROR(LOOKUP(2,1/(('Weekly Log'!$A$5:$A$5000&gt;=$J843)*('Weekly Log'!$A$5:$A$5000&lt;$J843+7)*('Weekly Log'!$M$5:$M$5000&lt;&gt;"")),'Weekly Log'!$M$5:$M$5000),0))</f>
        <v/>
      </c>
      <c r="J843">
        <f>IF(COUNT('Weekly Log'!$A$5:$A$5000)=0,"",IF(MIN('Weekly Log'!$A$5:$A$5000)+7*(ROW()-10)&gt;MAX('Weekly Log'!$A$5:$A$5000),"",MIN('Weekly Log'!$A$5:$A$5000)+7*(ROW()-10)))</f>
        <v/>
      </c>
    </row>
    <row r="844">
      <c r="A844">
        <f>IF($J844="","",YEAR($J844-WEEKDAY($J844,2)+4)&amp;"-W"&amp;TEXT(WEEKNUM($J844,21),"00"))</f>
        <v/>
      </c>
      <c r="B844">
        <f>IF($J844="","",SUMIFS('Weekly Log'!$C:$C,'Weekly Log'!$A:$A,"&gt;="&amp;$J844,'Weekly Log'!$A:$A,"&lt;"&amp;$J844+7))</f>
        <v/>
      </c>
      <c r="C844">
        <f>IF($J844="","",IFERROR(COUNTIFS('Weekly Log'!$G:$G,"Y",'Weekly Log'!$A:$A,"&gt;="&amp;$J844,'Weekly Log'!$A:$A,"&lt;"&amp;$J844+7)/COUNTIFS('Weekly Log'!$G:$G,"&lt;&gt;",'Weekly Log'!$A:$A,"&gt;="&amp;$J844,'Weekly Log'!$A:$A,"&lt;"&amp;$J844+7),0))</f>
        <v/>
      </c>
      <c r="D844">
        <f>IF($J844="","",IFERROR(COUNTIFS('Weekly Log'!$H:$H,"Y",'Weekly Log'!$A:$A,"&gt;="&amp;$J844,'Weekly Log'!$A:$A,"&lt;"&amp;$J844+7)/COUNTIFS('Weekly Log'!$H:$H,"&lt;&gt;",'Weekly Log'!$A:$A,"&gt;="&amp;$J844,'Weekly Log'!$A:$A,"&lt;"&amp;$J844+7),0))</f>
        <v/>
      </c>
      <c r="E844">
        <f>IF($J844="","",IFERROR(AVERAGEIFS('Weekly Log'!$F:$F,'Weekly Log'!$A:$A,"&gt;="&amp;$J844,'Weekly Log'!$A:$A,"&lt;"&amp;$J844+7),0))</f>
        <v/>
      </c>
      <c r="F844">
        <f>IF($J844="","",IFERROR(SUMIFS('Weekly Log'!$F:$F,'Weekly Log'!$A:$A,"&gt;="&amp;$J844,'Weekly Log'!$A:$A,"&lt;"&amp;$J844+7)/SUMIFS('Weekly Log'!$E:$E,'Weekly Log'!$A:$A,"&gt;="&amp;$J844,'Weekly Log'!$A:$A,"&lt;"&amp;$J844+7),0))</f>
        <v/>
      </c>
      <c r="G844">
        <f>IF($J844="","",IFERROR(LOOKUP(2,1/(('Weekly Log'!$A$5:$A$5000&gt;=$J844)*('Weekly Log'!$A$5:$A$5000&lt;$J844+7)*('Weekly Log'!$M$5:$M$5000&lt;&gt;"")),'Weekly Log'!$M$5:$M$5000),0))</f>
        <v/>
      </c>
      <c r="J844">
        <f>IF(COUNT('Weekly Log'!$A$5:$A$5000)=0,"",IF(MIN('Weekly Log'!$A$5:$A$5000)+7*(ROW()-10)&gt;MAX('Weekly Log'!$A$5:$A$5000),"",MIN('Weekly Log'!$A$5:$A$5000)+7*(ROW()-10)))</f>
        <v/>
      </c>
    </row>
    <row r="845">
      <c r="A845">
        <f>IF($J845="","",YEAR($J845-WEEKDAY($J845,2)+4)&amp;"-W"&amp;TEXT(WEEKNUM($J845,21),"00"))</f>
        <v/>
      </c>
      <c r="B845">
        <f>IF($J845="","",SUMIFS('Weekly Log'!$C:$C,'Weekly Log'!$A:$A,"&gt;="&amp;$J845,'Weekly Log'!$A:$A,"&lt;"&amp;$J845+7))</f>
        <v/>
      </c>
      <c r="C845">
        <f>IF($J845="","",IFERROR(COUNTIFS('Weekly Log'!$G:$G,"Y",'Weekly Log'!$A:$A,"&gt;="&amp;$J845,'Weekly Log'!$A:$A,"&lt;"&amp;$J845+7)/COUNTIFS('Weekly Log'!$G:$G,"&lt;&gt;",'Weekly Log'!$A:$A,"&gt;="&amp;$J845,'Weekly Log'!$A:$A,"&lt;"&amp;$J845+7),0))</f>
        <v/>
      </c>
      <c r="D845">
        <f>IF($J845="","",IFERROR(COUNTIFS('Weekly Log'!$H:$H,"Y",'Weekly Log'!$A:$A,"&gt;="&amp;$J845,'Weekly Log'!$A:$A,"&lt;"&amp;$J845+7)/COUNTIFS('Weekly Log'!$H:$H,"&lt;&gt;",'Weekly Log'!$A:$A,"&gt;="&amp;$J845,'Weekly Log'!$A:$A,"&lt;"&amp;$J845+7),0))</f>
        <v/>
      </c>
      <c r="E845">
        <f>IF($J845="","",IFERROR(AVERAGEIFS('Weekly Log'!$F:$F,'Weekly Log'!$A:$A,"&gt;="&amp;$J845,'Weekly Log'!$A:$A,"&lt;"&amp;$J845+7),0))</f>
        <v/>
      </c>
      <c r="F845">
        <f>IF($J845="","",IFERROR(SUMIFS('Weekly Log'!$F:$F,'Weekly Log'!$A:$A,"&gt;="&amp;$J845,'Weekly Log'!$A:$A,"&lt;"&amp;$J845+7)/SUMIFS('Weekly Log'!$E:$E,'Weekly Log'!$A:$A,"&gt;="&amp;$J845,'Weekly Log'!$A:$A,"&lt;"&amp;$J845+7),0))</f>
        <v/>
      </c>
      <c r="G845">
        <f>IF($J845="","",IFERROR(LOOKUP(2,1/(('Weekly Log'!$A$5:$A$5000&gt;=$J845)*('Weekly Log'!$A$5:$A$5000&lt;$J845+7)*('Weekly Log'!$M$5:$M$5000&lt;&gt;"")),'Weekly Log'!$M$5:$M$5000),0))</f>
        <v/>
      </c>
      <c r="J845">
        <f>IF(COUNT('Weekly Log'!$A$5:$A$5000)=0,"",IF(MIN('Weekly Log'!$A$5:$A$5000)+7*(ROW()-10)&gt;MAX('Weekly Log'!$A$5:$A$5000),"",MIN('Weekly Log'!$A$5:$A$5000)+7*(ROW()-10)))</f>
        <v/>
      </c>
    </row>
    <row r="846">
      <c r="A846">
        <f>IF($J846="","",YEAR($J846-WEEKDAY($J846,2)+4)&amp;"-W"&amp;TEXT(WEEKNUM($J846,21),"00"))</f>
        <v/>
      </c>
      <c r="B846">
        <f>IF($J846="","",SUMIFS('Weekly Log'!$C:$C,'Weekly Log'!$A:$A,"&gt;="&amp;$J846,'Weekly Log'!$A:$A,"&lt;"&amp;$J846+7))</f>
        <v/>
      </c>
      <c r="C846">
        <f>IF($J846="","",IFERROR(COUNTIFS('Weekly Log'!$G:$G,"Y",'Weekly Log'!$A:$A,"&gt;="&amp;$J846,'Weekly Log'!$A:$A,"&lt;"&amp;$J846+7)/COUNTIFS('Weekly Log'!$G:$G,"&lt;&gt;",'Weekly Log'!$A:$A,"&gt;="&amp;$J846,'Weekly Log'!$A:$A,"&lt;"&amp;$J846+7),0))</f>
        <v/>
      </c>
      <c r="D846">
        <f>IF($J846="","",IFERROR(COUNTIFS('Weekly Log'!$H:$H,"Y",'Weekly Log'!$A:$A,"&gt;="&amp;$J846,'Weekly Log'!$A:$A,"&lt;"&amp;$J846+7)/COUNTIFS('Weekly Log'!$H:$H,"&lt;&gt;",'Weekly Log'!$A:$A,"&gt;="&amp;$J846,'Weekly Log'!$A:$A,"&lt;"&amp;$J846+7),0))</f>
        <v/>
      </c>
      <c r="E846">
        <f>IF($J846="","",IFERROR(AVERAGEIFS('Weekly Log'!$F:$F,'Weekly Log'!$A:$A,"&gt;="&amp;$J846,'Weekly Log'!$A:$A,"&lt;"&amp;$J846+7),0))</f>
        <v/>
      </c>
      <c r="F846">
        <f>IF($J846="","",IFERROR(SUMIFS('Weekly Log'!$F:$F,'Weekly Log'!$A:$A,"&gt;="&amp;$J846,'Weekly Log'!$A:$A,"&lt;"&amp;$J846+7)/SUMIFS('Weekly Log'!$E:$E,'Weekly Log'!$A:$A,"&gt;="&amp;$J846,'Weekly Log'!$A:$A,"&lt;"&amp;$J846+7),0))</f>
        <v/>
      </c>
      <c r="G846">
        <f>IF($J846="","",IFERROR(LOOKUP(2,1/(('Weekly Log'!$A$5:$A$5000&gt;=$J846)*('Weekly Log'!$A$5:$A$5000&lt;$J846+7)*('Weekly Log'!$M$5:$M$5000&lt;&gt;"")),'Weekly Log'!$M$5:$M$5000),0))</f>
        <v/>
      </c>
      <c r="J846">
        <f>IF(COUNT('Weekly Log'!$A$5:$A$5000)=0,"",IF(MIN('Weekly Log'!$A$5:$A$5000)+7*(ROW()-10)&gt;MAX('Weekly Log'!$A$5:$A$5000),"",MIN('Weekly Log'!$A$5:$A$5000)+7*(ROW()-10)))</f>
        <v/>
      </c>
    </row>
    <row r="847">
      <c r="A847">
        <f>IF($J847="","",YEAR($J847-WEEKDAY($J847,2)+4)&amp;"-W"&amp;TEXT(WEEKNUM($J847,21),"00"))</f>
        <v/>
      </c>
      <c r="B847">
        <f>IF($J847="","",SUMIFS('Weekly Log'!$C:$C,'Weekly Log'!$A:$A,"&gt;="&amp;$J847,'Weekly Log'!$A:$A,"&lt;"&amp;$J847+7))</f>
        <v/>
      </c>
      <c r="C847">
        <f>IF($J847="","",IFERROR(COUNTIFS('Weekly Log'!$G:$G,"Y",'Weekly Log'!$A:$A,"&gt;="&amp;$J847,'Weekly Log'!$A:$A,"&lt;"&amp;$J847+7)/COUNTIFS('Weekly Log'!$G:$G,"&lt;&gt;",'Weekly Log'!$A:$A,"&gt;="&amp;$J847,'Weekly Log'!$A:$A,"&lt;"&amp;$J847+7),0))</f>
        <v/>
      </c>
      <c r="D847">
        <f>IF($J847="","",IFERROR(COUNTIFS('Weekly Log'!$H:$H,"Y",'Weekly Log'!$A:$A,"&gt;="&amp;$J847,'Weekly Log'!$A:$A,"&lt;"&amp;$J847+7)/COUNTIFS('Weekly Log'!$H:$H,"&lt;&gt;",'Weekly Log'!$A:$A,"&gt;="&amp;$J847,'Weekly Log'!$A:$A,"&lt;"&amp;$J847+7),0))</f>
        <v/>
      </c>
      <c r="E847">
        <f>IF($J847="","",IFERROR(AVERAGEIFS('Weekly Log'!$F:$F,'Weekly Log'!$A:$A,"&gt;="&amp;$J847,'Weekly Log'!$A:$A,"&lt;"&amp;$J847+7),0))</f>
        <v/>
      </c>
      <c r="F847">
        <f>IF($J847="","",IFERROR(SUMIFS('Weekly Log'!$F:$F,'Weekly Log'!$A:$A,"&gt;="&amp;$J847,'Weekly Log'!$A:$A,"&lt;"&amp;$J847+7)/SUMIFS('Weekly Log'!$E:$E,'Weekly Log'!$A:$A,"&gt;="&amp;$J847,'Weekly Log'!$A:$A,"&lt;"&amp;$J847+7),0))</f>
        <v/>
      </c>
      <c r="G847">
        <f>IF($J847="","",IFERROR(LOOKUP(2,1/(('Weekly Log'!$A$5:$A$5000&gt;=$J847)*('Weekly Log'!$A$5:$A$5000&lt;$J847+7)*('Weekly Log'!$M$5:$M$5000&lt;&gt;"")),'Weekly Log'!$M$5:$M$5000),0))</f>
        <v/>
      </c>
      <c r="J847">
        <f>IF(COUNT('Weekly Log'!$A$5:$A$5000)=0,"",IF(MIN('Weekly Log'!$A$5:$A$5000)+7*(ROW()-10)&gt;MAX('Weekly Log'!$A$5:$A$5000),"",MIN('Weekly Log'!$A$5:$A$5000)+7*(ROW()-10)))</f>
        <v/>
      </c>
    </row>
    <row r="848">
      <c r="A848">
        <f>IF($J848="","",YEAR($J848-WEEKDAY($J848,2)+4)&amp;"-W"&amp;TEXT(WEEKNUM($J848,21),"00"))</f>
        <v/>
      </c>
      <c r="B848">
        <f>IF($J848="","",SUMIFS('Weekly Log'!$C:$C,'Weekly Log'!$A:$A,"&gt;="&amp;$J848,'Weekly Log'!$A:$A,"&lt;"&amp;$J848+7))</f>
        <v/>
      </c>
      <c r="C848">
        <f>IF($J848="","",IFERROR(COUNTIFS('Weekly Log'!$G:$G,"Y",'Weekly Log'!$A:$A,"&gt;="&amp;$J848,'Weekly Log'!$A:$A,"&lt;"&amp;$J848+7)/COUNTIFS('Weekly Log'!$G:$G,"&lt;&gt;",'Weekly Log'!$A:$A,"&gt;="&amp;$J848,'Weekly Log'!$A:$A,"&lt;"&amp;$J848+7),0))</f>
        <v/>
      </c>
      <c r="D848">
        <f>IF($J848="","",IFERROR(COUNTIFS('Weekly Log'!$H:$H,"Y",'Weekly Log'!$A:$A,"&gt;="&amp;$J848,'Weekly Log'!$A:$A,"&lt;"&amp;$J848+7)/COUNTIFS('Weekly Log'!$H:$H,"&lt;&gt;",'Weekly Log'!$A:$A,"&gt;="&amp;$J848,'Weekly Log'!$A:$A,"&lt;"&amp;$J848+7),0))</f>
        <v/>
      </c>
      <c r="E848">
        <f>IF($J848="","",IFERROR(AVERAGEIFS('Weekly Log'!$F:$F,'Weekly Log'!$A:$A,"&gt;="&amp;$J848,'Weekly Log'!$A:$A,"&lt;"&amp;$J848+7),0))</f>
        <v/>
      </c>
      <c r="F848">
        <f>IF($J848="","",IFERROR(SUMIFS('Weekly Log'!$F:$F,'Weekly Log'!$A:$A,"&gt;="&amp;$J848,'Weekly Log'!$A:$A,"&lt;"&amp;$J848+7)/SUMIFS('Weekly Log'!$E:$E,'Weekly Log'!$A:$A,"&gt;="&amp;$J848,'Weekly Log'!$A:$A,"&lt;"&amp;$J848+7),0))</f>
        <v/>
      </c>
      <c r="G848">
        <f>IF($J848="","",IFERROR(LOOKUP(2,1/(('Weekly Log'!$A$5:$A$5000&gt;=$J848)*('Weekly Log'!$A$5:$A$5000&lt;$J848+7)*('Weekly Log'!$M$5:$M$5000&lt;&gt;"")),'Weekly Log'!$M$5:$M$5000),0))</f>
        <v/>
      </c>
      <c r="J848">
        <f>IF(COUNT('Weekly Log'!$A$5:$A$5000)=0,"",IF(MIN('Weekly Log'!$A$5:$A$5000)+7*(ROW()-10)&gt;MAX('Weekly Log'!$A$5:$A$5000),"",MIN('Weekly Log'!$A$5:$A$5000)+7*(ROW()-10)))</f>
        <v/>
      </c>
    </row>
    <row r="849">
      <c r="A849">
        <f>IF($J849="","",YEAR($J849-WEEKDAY($J849,2)+4)&amp;"-W"&amp;TEXT(WEEKNUM($J849,21),"00"))</f>
        <v/>
      </c>
      <c r="B849">
        <f>IF($J849="","",SUMIFS('Weekly Log'!$C:$C,'Weekly Log'!$A:$A,"&gt;="&amp;$J849,'Weekly Log'!$A:$A,"&lt;"&amp;$J849+7))</f>
        <v/>
      </c>
      <c r="C849">
        <f>IF($J849="","",IFERROR(COUNTIFS('Weekly Log'!$G:$G,"Y",'Weekly Log'!$A:$A,"&gt;="&amp;$J849,'Weekly Log'!$A:$A,"&lt;"&amp;$J849+7)/COUNTIFS('Weekly Log'!$G:$G,"&lt;&gt;",'Weekly Log'!$A:$A,"&gt;="&amp;$J849,'Weekly Log'!$A:$A,"&lt;"&amp;$J849+7),0))</f>
        <v/>
      </c>
      <c r="D849">
        <f>IF($J849="","",IFERROR(COUNTIFS('Weekly Log'!$H:$H,"Y",'Weekly Log'!$A:$A,"&gt;="&amp;$J849,'Weekly Log'!$A:$A,"&lt;"&amp;$J849+7)/COUNTIFS('Weekly Log'!$H:$H,"&lt;&gt;",'Weekly Log'!$A:$A,"&gt;="&amp;$J849,'Weekly Log'!$A:$A,"&lt;"&amp;$J849+7),0))</f>
        <v/>
      </c>
      <c r="E849">
        <f>IF($J849="","",IFERROR(AVERAGEIFS('Weekly Log'!$F:$F,'Weekly Log'!$A:$A,"&gt;="&amp;$J849,'Weekly Log'!$A:$A,"&lt;"&amp;$J849+7),0))</f>
        <v/>
      </c>
      <c r="F849">
        <f>IF($J849="","",IFERROR(SUMIFS('Weekly Log'!$F:$F,'Weekly Log'!$A:$A,"&gt;="&amp;$J849,'Weekly Log'!$A:$A,"&lt;"&amp;$J849+7)/SUMIFS('Weekly Log'!$E:$E,'Weekly Log'!$A:$A,"&gt;="&amp;$J849,'Weekly Log'!$A:$A,"&lt;"&amp;$J849+7),0))</f>
        <v/>
      </c>
      <c r="G849">
        <f>IF($J849="","",IFERROR(LOOKUP(2,1/(('Weekly Log'!$A$5:$A$5000&gt;=$J849)*('Weekly Log'!$A$5:$A$5000&lt;$J849+7)*('Weekly Log'!$M$5:$M$5000&lt;&gt;"")),'Weekly Log'!$M$5:$M$5000),0))</f>
        <v/>
      </c>
      <c r="J849">
        <f>IF(COUNT('Weekly Log'!$A$5:$A$5000)=0,"",IF(MIN('Weekly Log'!$A$5:$A$5000)+7*(ROW()-10)&gt;MAX('Weekly Log'!$A$5:$A$5000),"",MIN('Weekly Log'!$A$5:$A$5000)+7*(ROW()-10)))</f>
        <v/>
      </c>
    </row>
    <row r="850">
      <c r="A850">
        <f>IF($J850="","",YEAR($J850-WEEKDAY($J850,2)+4)&amp;"-W"&amp;TEXT(WEEKNUM($J850,21),"00"))</f>
        <v/>
      </c>
      <c r="B850">
        <f>IF($J850="","",SUMIFS('Weekly Log'!$C:$C,'Weekly Log'!$A:$A,"&gt;="&amp;$J850,'Weekly Log'!$A:$A,"&lt;"&amp;$J850+7))</f>
        <v/>
      </c>
      <c r="C850">
        <f>IF($J850="","",IFERROR(COUNTIFS('Weekly Log'!$G:$G,"Y",'Weekly Log'!$A:$A,"&gt;="&amp;$J850,'Weekly Log'!$A:$A,"&lt;"&amp;$J850+7)/COUNTIFS('Weekly Log'!$G:$G,"&lt;&gt;",'Weekly Log'!$A:$A,"&gt;="&amp;$J850,'Weekly Log'!$A:$A,"&lt;"&amp;$J850+7),0))</f>
        <v/>
      </c>
      <c r="D850">
        <f>IF($J850="","",IFERROR(COUNTIFS('Weekly Log'!$H:$H,"Y",'Weekly Log'!$A:$A,"&gt;="&amp;$J850,'Weekly Log'!$A:$A,"&lt;"&amp;$J850+7)/COUNTIFS('Weekly Log'!$H:$H,"&lt;&gt;",'Weekly Log'!$A:$A,"&gt;="&amp;$J850,'Weekly Log'!$A:$A,"&lt;"&amp;$J850+7),0))</f>
        <v/>
      </c>
      <c r="E850">
        <f>IF($J850="","",IFERROR(AVERAGEIFS('Weekly Log'!$F:$F,'Weekly Log'!$A:$A,"&gt;="&amp;$J850,'Weekly Log'!$A:$A,"&lt;"&amp;$J850+7),0))</f>
        <v/>
      </c>
      <c r="F850">
        <f>IF($J850="","",IFERROR(SUMIFS('Weekly Log'!$F:$F,'Weekly Log'!$A:$A,"&gt;="&amp;$J850,'Weekly Log'!$A:$A,"&lt;"&amp;$J850+7)/SUMIFS('Weekly Log'!$E:$E,'Weekly Log'!$A:$A,"&gt;="&amp;$J850,'Weekly Log'!$A:$A,"&lt;"&amp;$J850+7),0))</f>
        <v/>
      </c>
      <c r="G850">
        <f>IF($J850="","",IFERROR(LOOKUP(2,1/(('Weekly Log'!$A$5:$A$5000&gt;=$J850)*('Weekly Log'!$A$5:$A$5000&lt;$J850+7)*('Weekly Log'!$M$5:$M$5000&lt;&gt;"")),'Weekly Log'!$M$5:$M$5000),0))</f>
        <v/>
      </c>
      <c r="J850">
        <f>IF(COUNT('Weekly Log'!$A$5:$A$5000)=0,"",IF(MIN('Weekly Log'!$A$5:$A$5000)+7*(ROW()-10)&gt;MAX('Weekly Log'!$A$5:$A$5000),"",MIN('Weekly Log'!$A$5:$A$5000)+7*(ROW()-10)))</f>
        <v/>
      </c>
    </row>
    <row r="851">
      <c r="A851">
        <f>IF($J851="","",YEAR($J851-WEEKDAY($J851,2)+4)&amp;"-W"&amp;TEXT(WEEKNUM($J851,21),"00"))</f>
        <v/>
      </c>
      <c r="B851">
        <f>IF($J851="","",SUMIFS('Weekly Log'!$C:$C,'Weekly Log'!$A:$A,"&gt;="&amp;$J851,'Weekly Log'!$A:$A,"&lt;"&amp;$J851+7))</f>
        <v/>
      </c>
      <c r="C851">
        <f>IF($J851="","",IFERROR(COUNTIFS('Weekly Log'!$G:$G,"Y",'Weekly Log'!$A:$A,"&gt;="&amp;$J851,'Weekly Log'!$A:$A,"&lt;"&amp;$J851+7)/COUNTIFS('Weekly Log'!$G:$G,"&lt;&gt;",'Weekly Log'!$A:$A,"&gt;="&amp;$J851,'Weekly Log'!$A:$A,"&lt;"&amp;$J851+7),0))</f>
        <v/>
      </c>
      <c r="D851">
        <f>IF($J851="","",IFERROR(COUNTIFS('Weekly Log'!$H:$H,"Y",'Weekly Log'!$A:$A,"&gt;="&amp;$J851,'Weekly Log'!$A:$A,"&lt;"&amp;$J851+7)/COUNTIFS('Weekly Log'!$H:$H,"&lt;&gt;",'Weekly Log'!$A:$A,"&gt;="&amp;$J851,'Weekly Log'!$A:$A,"&lt;"&amp;$J851+7),0))</f>
        <v/>
      </c>
      <c r="E851">
        <f>IF($J851="","",IFERROR(AVERAGEIFS('Weekly Log'!$F:$F,'Weekly Log'!$A:$A,"&gt;="&amp;$J851,'Weekly Log'!$A:$A,"&lt;"&amp;$J851+7),0))</f>
        <v/>
      </c>
      <c r="F851">
        <f>IF($J851="","",IFERROR(SUMIFS('Weekly Log'!$F:$F,'Weekly Log'!$A:$A,"&gt;="&amp;$J851,'Weekly Log'!$A:$A,"&lt;"&amp;$J851+7)/SUMIFS('Weekly Log'!$E:$E,'Weekly Log'!$A:$A,"&gt;="&amp;$J851,'Weekly Log'!$A:$A,"&lt;"&amp;$J851+7),0))</f>
        <v/>
      </c>
      <c r="G851">
        <f>IF($J851="","",IFERROR(LOOKUP(2,1/(('Weekly Log'!$A$5:$A$5000&gt;=$J851)*('Weekly Log'!$A$5:$A$5000&lt;$J851+7)*('Weekly Log'!$M$5:$M$5000&lt;&gt;"")),'Weekly Log'!$M$5:$M$5000),0))</f>
        <v/>
      </c>
      <c r="J851">
        <f>IF(COUNT('Weekly Log'!$A$5:$A$5000)=0,"",IF(MIN('Weekly Log'!$A$5:$A$5000)+7*(ROW()-10)&gt;MAX('Weekly Log'!$A$5:$A$5000),"",MIN('Weekly Log'!$A$5:$A$5000)+7*(ROW()-10)))</f>
        <v/>
      </c>
    </row>
    <row r="852">
      <c r="A852">
        <f>IF($J852="","",YEAR($J852-WEEKDAY($J852,2)+4)&amp;"-W"&amp;TEXT(WEEKNUM($J852,21),"00"))</f>
        <v/>
      </c>
      <c r="B852">
        <f>IF($J852="","",SUMIFS('Weekly Log'!$C:$C,'Weekly Log'!$A:$A,"&gt;="&amp;$J852,'Weekly Log'!$A:$A,"&lt;"&amp;$J852+7))</f>
        <v/>
      </c>
      <c r="C852">
        <f>IF($J852="","",IFERROR(COUNTIFS('Weekly Log'!$G:$G,"Y",'Weekly Log'!$A:$A,"&gt;="&amp;$J852,'Weekly Log'!$A:$A,"&lt;"&amp;$J852+7)/COUNTIFS('Weekly Log'!$G:$G,"&lt;&gt;",'Weekly Log'!$A:$A,"&gt;="&amp;$J852,'Weekly Log'!$A:$A,"&lt;"&amp;$J852+7),0))</f>
        <v/>
      </c>
      <c r="D852">
        <f>IF($J852="","",IFERROR(COUNTIFS('Weekly Log'!$H:$H,"Y",'Weekly Log'!$A:$A,"&gt;="&amp;$J852,'Weekly Log'!$A:$A,"&lt;"&amp;$J852+7)/COUNTIFS('Weekly Log'!$H:$H,"&lt;&gt;",'Weekly Log'!$A:$A,"&gt;="&amp;$J852,'Weekly Log'!$A:$A,"&lt;"&amp;$J852+7),0))</f>
        <v/>
      </c>
      <c r="E852">
        <f>IF($J852="","",IFERROR(AVERAGEIFS('Weekly Log'!$F:$F,'Weekly Log'!$A:$A,"&gt;="&amp;$J852,'Weekly Log'!$A:$A,"&lt;"&amp;$J852+7),0))</f>
        <v/>
      </c>
      <c r="F852">
        <f>IF($J852="","",IFERROR(SUMIFS('Weekly Log'!$F:$F,'Weekly Log'!$A:$A,"&gt;="&amp;$J852,'Weekly Log'!$A:$A,"&lt;"&amp;$J852+7)/SUMIFS('Weekly Log'!$E:$E,'Weekly Log'!$A:$A,"&gt;="&amp;$J852,'Weekly Log'!$A:$A,"&lt;"&amp;$J852+7),0))</f>
        <v/>
      </c>
      <c r="G852">
        <f>IF($J852="","",IFERROR(LOOKUP(2,1/(('Weekly Log'!$A$5:$A$5000&gt;=$J852)*('Weekly Log'!$A$5:$A$5000&lt;$J852+7)*('Weekly Log'!$M$5:$M$5000&lt;&gt;"")),'Weekly Log'!$M$5:$M$5000),0))</f>
        <v/>
      </c>
      <c r="J852">
        <f>IF(COUNT('Weekly Log'!$A$5:$A$5000)=0,"",IF(MIN('Weekly Log'!$A$5:$A$5000)+7*(ROW()-10)&gt;MAX('Weekly Log'!$A$5:$A$5000),"",MIN('Weekly Log'!$A$5:$A$5000)+7*(ROW()-10)))</f>
        <v/>
      </c>
    </row>
    <row r="853">
      <c r="A853">
        <f>IF($J853="","",YEAR($J853-WEEKDAY($J853,2)+4)&amp;"-W"&amp;TEXT(WEEKNUM($J853,21),"00"))</f>
        <v/>
      </c>
      <c r="B853">
        <f>IF($J853="","",SUMIFS('Weekly Log'!$C:$C,'Weekly Log'!$A:$A,"&gt;="&amp;$J853,'Weekly Log'!$A:$A,"&lt;"&amp;$J853+7))</f>
        <v/>
      </c>
      <c r="C853">
        <f>IF($J853="","",IFERROR(COUNTIFS('Weekly Log'!$G:$G,"Y",'Weekly Log'!$A:$A,"&gt;="&amp;$J853,'Weekly Log'!$A:$A,"&lt;"&amp;$J853+7)/COUNTIFS('Weekly Log'!$G:$G,"&lt;&gt;",'Weekly Log'!$A:$A,"&gt;="&amp;$J853,'Weekly Log'!$A:$A,"&lt;"&amp;$J853+7),0))</f>
        <v/>
      </c>
      <c r="D853">
        <f>IF($J853="","",IFERROR(COUNTIFS('Weekly Log'!$H:$H,"Y",'Weekly Log'!$A:$A,"&gt;="&amp;$J853,'Weekly Log'!$A:$A,"&lt;"&amp;$J853+7)/COUNTIFS('Weekly Log'!$H:$H,"&lt;&gt;",'Weekly Log'!$A:$A,"&gt;="&amp;$J853,'Weekly Log'!$A:$A,"&lt;"&amp;$J853+7),0))</f>
        <v/>
      </c>
      <c r="E853">
        <f>IF($J853="","",IFERROR(AVERAGEIFS('Weekly Log'!$F:$F,'Weekly Log'!$A:$A,"&gt;="&amp;$J853,'Weekly Log'!$A:$A,"&lt;"&amp;$J853+7),0))</f>
        <v/>
      </c>
      <c r="F853">
        <f>IF($J853="","",IFERROR(SUMIFS('Weekly Log'!$F:$F,'Weekly Log'!$A:$A,"&gt;="&amp;$J853,'Weekly Log'!$A:$A,"&lt;"&amp;$J853+7)/SUMIFS('Weekly Log'!$E:$E,'Weekly Log'!$A:$A,"&gt;="&amp;$J853,'Weekly Log'!$A:$A,"&lt;"&amp;$J853+7),0))</f>
        <v/>
      </c>
      <c r="G853">
        <f>IF($J853="","",IFERROR(LOOKUP(2,1/(('Weekly Log'!$A$5:$A$5000&gt;=$J853)*('Weekly Log'!$A$5:$A$5000&lt;$J853+7)*('Weekly Log'!$M$5:$M$5000&lt;&gt;"")),'Weekly Log'!$M$5:$M$5000),0))</f>
        <v/>
      </c>
      <c r="J853">
        <f>IF(COUNT('Weekly Log'!$A$5:$A$5000)=0,"",IF(MIN('Weekly Log'!$A$5:$A$5000)+7*(ROW()-10)&gt;MAX('Weekly Log'!$A$5:$A$5000),"",MIN('Weekly Log'!$A$5:$A$5000)+7*(ROW()-10)))</f>
        <v/>
      </c>
    </row>
    <row r="854">
      <c r="A854">
        <f>IF($J854="","",YEAR($J854-WEEKDAY($J854,2)+4)&amp;"-W"&amp;TEXT(WEEKNUM($J854,21),"00"))</f>
        <v/>
      </c>
      <c r="B854">
        <f>IF($J854="","",SUMIFS('Weekly Log'!$C:$C,'Weekly Log'!$A:$A,"&gt;="&amp;$J854,'Weekly Log'!$A:$A,"&lt;"&amp;$J854+7))</f>
        <v/>
      </c>
      <c r="C854">
        <f>IF($J854="","",IFERROR(COUNTIFS('Weekly Log'!$G:$G,"Y",'Weekly Log'!$A:$A,"&gt;="&amp;$J854,'Weekly Log'!$A:$A,"&lt;"&amp;$J854+7)/COUNTIFS('Weekly Log'!$G:$G,"&lt;&gt;",'Weekly Log'!$A:$A,"&gt;="&amp;$J854,'Weekly Log'!$A:$A,"&lt;"&amp;$J854+7),0))</f>
        <v/>
      </c>
      <c r="D854">
        <f>IF($J854="","",IFERROR(COUNTIFS('Weekly Log'!$H:$H,"Y",'Weekly Log'!$A:$A,"&gt;="&amp;$J854,'Weekly Log'!$A:$A,"&lt;"&amp;$J854+7)/COUNTIFS('Weekly Log'!$H:$H,"&lt;&gt;",'Weekly Log'!$A:$A,"&gt;="&amp;$J854,'Weekly Log'!$A:$A,"&lt;"&amp;$J854+7),0))</f>
        <v/>
      </c>
      <c r="E854">
        <f>IF($J854="","",IFERROR(AVERAGEIFS('Weekly Log'!$F:$F,'Weekly Log'!$A:$A,"&gt;="&amp;$J854,'Weekly Log'!$A:$A,"&lt;"&amp;$J854+7),0))</f>
        <v/>
      </c>
      <c r="F854">
        <f>IF($J854="","",IFERROR(SUMIFS('Weekly Log'!$F:$F,'Weekly Log'!$A:$A,"&gt;="&amp;$J854,'Weekly Log'!$A:$A,"&lt;"&amp;$J854+7)/SUMIFS('Weekly Log'!$E:$E,'Weekly Log'!$A:$A,"&gt;="&amp;$J854,'Weekly Log'!$A:$A,"&lt;"&amp;$J854+7),0))</f>
        <v/>
      </c>
      <c r="G854">
        <f>IF($J854="","",IFERROR(LOOKUP(2,1/(('Weekly Log'!$A$5:$A$5000&gt;=$J854)*('Weekly Log'!$A$5:$A$5000&lt;$J854+7)*('Weekly Log'!$M$5:$M$5000&lt;&gt;"")),'Weekly Log'!$M$5:$M$5000),0))</f>
        <v/>
      </c>
      <c r="J854">
        <f>IF(COUNT('Weekly Log'!$A$5:$A$5000)=0,"",IF(MIN('Weekly Log'!$A$5:$A$5000)+7*(ROW()-10)&gt;MAX('Weekly Log'!$A$5:$A$5000),"",MIN('Weekly Log'!$A$5:$A$5000)+7*(ROW()-10)))</f>
        <v/>
      </c>
    </row>
    <row r="855">
      <c r="A855">
        <f>IF($J855="","",YEAR($J855-WEEKDAY($J855,2)+4)&amp;"-W"&amp;TEXT(WEEKNUM($J855,21),"00"))</f>
        <v/>
      </c>
      <c r="B855">
        <f>IF($J855="","",SUMIFS('Weekly Log'!$C:$C,'Weekly Log'!$A:$A,"&gt;="&amp;$J855,'Weekly Log'!$A:$A,"&lt;"&amp;$J855+7))</f>
        <v/>
      </c>
      <c r="C855">
        <f>IF($J855="","",IFERROR(COUNTIFS('Weekly Log'!$G:$G,"Y",'Weekly Log'!$A:$A,"&gt;="&amp;$J855,'Weekly Log'!$A:$A,"&lt;"&amp;$J855+7)/COUNTIFS('Weekly Log'!$G:$G,"&lt;&gt;",'Weekly Log'!$A:$A,"&gt;="&amp;$J855,'Weekly Log'!$A:$A,"&lt;"&amp;$J855+7),0))</f>
        <v/>
      </c>
      <c r="D855">
        <f>IF($J855="","",IFERROR(COUNTIFS('Weekly Log'!$H:$H,"Y",'Weekly Log'!$A:$A,"&gt;="&amp;$J855,'Weekly Log'!$A:$A,"&lt;"&amp;$J855+7)/COUNTIFS('Weekly Log'!$H:$H,"&lt;&gt;",'Weekly Log'!$A:$A,"&gt;="&amp;$J855,'Weekly Log'!$A:$A,"&lt;"&amp;$J855+7),0))</f>
        <v/>
      </c>
      <c r="E855">
        <f>IF($J855="","",IFERROR(AVERAGEIFS('Weekly Log'!$F:$F,'Weekly Log'!$A:$A,"&gt;="&amp;$J855,'Weekly Log'!$A:$A,"&lt;"&amp;$J855+7),0))</f>
        <v/>
      </c>
      <c r="F855">
        <f>IF($J855="","",IFERROR(SUMIFS('Weekly Log'!$F:$F,'Weekly Log'!$A:$A,"&gt;="&amp;$J855,'Weekly Log'!$A:$A,"&lt;"&amp;$J855+7)/SUMIFS('Weekly Log'!$E:$E,'Weekly Log'!$A:$A,"&gt;="&amp;$J855,'Weekly Log'!$A:$A,"&lt;"&amp;$J855+7),0))</f>
        <v/>
      </c>
      <c r="G855">
        <f>IF($J855="","",IFERROR(LOOKUP(2,1/(('Weekly Log'!$A$5:$A$5000&gt;=$J855)*('Weekly Log'!$A$5:$A$5000&lt;$J855+7)*('Weekly Log'!$M$5:$M$5000&lt;&gt;"")),'Weekly Log'!$M$5:$M$5000),0))</f>
        <v/>
      </c>
      <c r="J855">
        <f>IF(COUNT('Weekly Log'!$A$5:$A$5000)=0,"",IF(MIN('Weekly Log'!$A$5:$A$5000)+7*(ROW()-10)&gt;MAX('Weekly Log'!$A$5:$A$5000),"",MIN('Weekly Log'!$A$5:$A$5000)+7*(ROW()-10)))</f>
        <v/>
      </c>
    </row>
    <row r="856">
      <c r="A856">
        <f>IF($J856="","",YEAR($J856-WEEKDAY($J856,2)+4)&amp;"-W"&amp;TEXT(WEEKNUM($J856,21),"00"))</f>
        <v/>
      </c>
      <c r="B856">
        <f>IF($J856="","",SUMIFS('Weekly Log'!$C:$C,'Weekly Log'!$A:$A,"&gt;="&amp;$J856,'Weekly Log'!$A:$A,"&lt;"&amp;$J856+7))</f>
        <v/>
      </c>
      <c r="C856">
        <f>IF($J856="","",IFERROR(COUNTIFS('Weekly Log'!$G:$G,"Y",'Weekly Log'!$A:$A,"&gt;="&amp;$J856,'Weekly Log'!$A:$A,"&lt;"&amp;$J856+7)/COUNTIFS('Weekly Log'!$G:$G,"&lt;&gt;",'Weekly Log'!$A:$A,"&gt;="&amp;$J856,'Weekly Log'!$A:$A,"&lt;"&amp;$J856+7),0))</f>
        <v/>
      </c>
      <c r="D856">
        <f>IF($J856="","",IFERROR(COUNTIFS('Weekly Log'!$H:$H,"Y",'Weekly Log'!$A:$A,"&gt;="&amp;$J856,'Weekly Log'!$A:$A,"&lt;"&amp;$J856+7)/COUNTIFS('Weekly Log'!$H:$H,"&lt;&gt;",'Weekly Log'!$A:$A,"&gt;="&amp;$J856,'Weekly Log'!$A:$A,"&lt;"&amp;$J856+7),0))</f>
        <v/>
      </c>
      <c r="E856">
        <f>IF($J856="","",IFERROR(AVERAGEIFS('Weekly Log'!$F:$F,'Weekly Log'!$A:$A,"&gt;="&amp;$J856,'Weekly Log'!$A:$A,"&lt;"&amp;$J856+7),0))</f>
        <v/>
      </c>
      <c r="F856">
        <f>IF($J856="","",IFERROR(SUMIFS('Weekly Log'!$F:$F,'Weekly Log'!$A:$A,"&gt;="&amp;$J856,'Weekly Log'!$A:$A,"&lt;"&amp;$J856+7)/SUMIFS('Weekly Log'!$E:$E,'Weekly Log'!$A:$A,"&gt;="&amp;$J856,'Weekly Log'!$A:$A,"&lt;"&amp;$J856+7),0))</f>
        <v/>
      </c>
      <c r="G856">
        <f>IF($J856="","",IFERROR(LOOKUP(2,1/(('Weekly Log'!$A$5:$A$5000&gt;=$J856)*('Weekly Log'!$A$5:$A$5000&lt;$J856+7)*('Weekly Log'!$M$5:$M$5000&lt;&gt;"")),'Weekly Log'!$M$5:$M$5000),0))</f>
        <v/>
      </c>
      <c r="J856">
        <f>IF(COUNT('Weekly Log'!$A$5:$A$5000)=0,"",IF(MIN('Weekly Log'!$A$5:$A$5000)+7*(ROW()-10)&gt;MAX('Weekly Log'!$A$5:$A$5000),"",MIN('Weekly Log'!$A$5:$A$5000)+7*(ROW()-10)))</f>
        <v/>
      </c>
    </row>
    <row r="857">
      <c r="A857">
        <f>IF($J857="","",YEAR($J857-WEEKDAY($J857,2)+4)&amp;"-W"&amp;TEXT(WEEKNUM($J857,21),"00"))</f>
        <v/>
      </c>
      <c r="B857">
        <f>IF($J857="","",SUMIFS('Weekly Log'!$C:$C,'Weekly Log'!$A:$A,"&gt;="&amp;$J857,'Weekly Log'!$A:$A,"&lt;"&amp;$J857+7))</f>
        <v/>
      </c>
      <c r="C857">
        <f>IF($J857="","",IFERROR(COUNTIFS('Weekly Log'!$G:$G,"Y",'Weekly Log'!$A:$A,"&gt;="&amp;$J857,'Weekly Log'!$A:$A,"&lt;"&amp;$J857+7)/COUNTIFS('Weekly Log'!$G:$G,"&lt;&gt;",'Weekly Log'!$A:$A,"&gt;="&amp;$J857,'Weekly Log'!$A:$A,"&lt;"&amp;$J857+7),0))</f>
        <v/>
      </c>
      <c r="D857">
        <f>IF($J857="","",IFERROR(COUNTIFS('Weekly Log'!$H:$H,"Y",'Weekly Log'!$A:$A,"&gt;="&amp;$J857,'Weekly Log'!$A:$A,"&lt;"&amp;$J857+7)/COUNTIFS('Weekly Log'!$H:$H,"&lt;&gt;",'Weekly Log'!$A:$A,"&gt;="&amp;$J857,'Weekly Log'!$A:$A,"&lt;"&amp;$J857+7),0))</f>
        <v/>
      </c>
      <c r="E857">
        <f>IF($J857="","",IFERROR(AVERAGEIFS('Weekly Log'!$F:$F,'Weekly Log'!$A:$A,"&gt;="&amp;$J857,'Weekly Log'!$A:$A,"&lt;"&amp;$J857+7),0))</f>
        <v/>
      </c>
      <c r="F857">
        <f>IF($J857="","",IFERROR(SUMIFS('Weekly Log'!$F:$F,'Weekly Log'!$A:$A,"&gt;="&amp;$J857,'Weekly Log'!$A:$A,"&lt;"&amp;$J857+7)/SUMIFS('Weekly Log'!$E:$E,'Weekly Log'!$A:$A,"&gt;="&amp;$J857,'Weekly Log'!$A:$A,"&lt;"&amp;$J857+7),0))</f>
        <v/>
      </c>
      <c r="G857">
        <f>IF($J857="","",IFERROR(LOOKUP(2,1/(('Weekly Log'!$A$5:$A$5000&gt;=$J857)*('Weekly Log'!$A$5:$A$5000&lt;$J857+7)*('Weekly Log'!$M$5:$M$5000&lt;&gt;"")),'Weekly Log'!$M$5:$M$5000),0))</f>
        <v/>
      </c>
      <c r="J857">
        <f>IF(COUNT('Weekly Log'!$A$5:$A$5000)=0,"",IF(MIN('Weekly Log'!$A$5:$A$5000)+7*(ROW()-10)&gt;MAX('Weekly Log'!$A$5:$A$5000),"",MIN('Weekly Log'!$A$5:$A$5000)+7*(ROW()-10)))</f>
        <v/>
      </c>
    </row>
    <row r="858">
      <c r="A858">
        <f>IF($J858="","",YEAR($J858-WEEKDAY($J858,2)+4)&amp;"-W"&amp;TEXT(WEEKNUM($J858,21),"00"))</f>
        <v/>
      </c>
      <c r="B858">
        <f>IF($J858="","",SUMIFS('Weekly Log'!$C:$C,'Weekly Log'!$A:$A,"&gt;="&amp;$J858,'Weekly Log'!$A:$A,"&lt;"&amp;$J858+7))</f>
        <v/>
      </c>
      <c r="C858">
        <f>IF($J858="","",IFERROR(COUNTIFS('Weekly Log'!$G:$G,"Y",'Weekly Log'!$A:$A,"&gt;="&amp;$J858,'Weekly Log'!$A:$A,"&lt;"&amp;$J858+7)/COUNTIFS('Weekly Log'!$G:$G,"&lt;&gt;",'Weekly Log'!$A:$A,"&gt;="&amp;$J858,'Weekly Log'!$A:$A,"&lt;"&amp;$J858+7),0))</f>
        <v/>
      </c>
      <c r="D858">
        <f>IF($J858="","",IFERROR(COUNTIFS('Weekly Log'!$H:$H,"Y",'Weekly Log'!$A:$A,"&gt;="&amp;$J858,'Weekly Log'!$A:$A,"&lt;"&amp;$J858+7)/COUNTIFS('Weekly Log'!$H:$H,"&lt;&gt;",'Weekly Log'!$A:$A,"&gt;="&amp;$J858,'Weekly Log'!$A:$A,"&lt;"&amp;$J858+7),0))</f>
        <v/>
      </c>
      <c r="E858">
        <f>IF($J858="","",IFERROR(AVERAGEIFS('Weekly Log'!$F:$F,'Weekly Log'!$A:$A,"&gt;="&amp;$J858,'Weekly Log'!$A:$A,"&lt;"&amp;$J858+7),0))</f>
        <v/>
      </c>
      <c r="F858">
        <f>IF($J858="","",IFERROR(SUMIFS('Weekly Log'!$F:$F,'Weekly Log'!$A:$A,"&gt;="&amp;$J858,'Weekly Log'!$A:$A,"&lt;"&amp;$J858+7)/SUMIFS('Weekly Log'!$E:$E,'Weekly Log'!$A:$A,"&gt;="&amp;$J858,'Weekly Log'!$A:$A,"&lt;"&amp;$J858+7),0))</f>
        <v/>
      </c>
      <c r="G858">
        <f>IF($J858="","",IFERROR(LOOKUP(2,1/(('Weekly Log'!$A$5:$A$5000&gt;=$J858)*('Weekly Log'!$A$5:$A$5000&lt;$J858+7)*('Weekly Log'!$M$5:$M$5000&lt;&gt;"")),'Weekly Log'!$M$5:$M$5000),0))</f>
        <v/>
      </c>
      <c r="J858">
        <f>IF(COUNT('Weekly Log'!$A$5:$A$5000)=0,"",IF(MIN('Weekly Log'!$A$5:$A$5000)+7*(ROW()-10)&gt;MAX('Weekly Log'!$A$5:$A$5000),"",MIN('Weekly Log'!$A$5:$A$5000)+7*(ROW()-10)))</f>
        <v/>
      </c>
    </row>
    <row r="859">
      <c r="A859">
        <f>IF($J859="","",YEAR($J859-WEEKDAY($J859,2)+4)&amp;"-W"&amp;TEXT(WEEKNUM($J859,21),"00"))</f>
        <v/>
      </c>
      <c r="B859">
        <f>IF($J859="","",SUMIFS('Weekly Log'!$C:$C,'Weekly Log'!$A:$A,"&gt;="&amp;$J859,'Weekly Log'!$A:$A,"&lt;"&amp;$J859+7))</f>
        <v/>
      </c>
      <c r="C859">
        <f>IF($J859="","",IFERROR(COUNTIFS('Weekly Log'!$G:$G,"Y",'Weekly Log'!$A:$A,"&gt;="&amp;$J859,'Weekly Log'!$A:$A,"&lt;"&amp;$J859+7)/COUNTIFS('Weekly Log'!$G:$G,"&lt;&gt;",'Weekly Log'!$A:$A,"&gt;="&amp;$J859,'Weekly Log'!$A:$A,"&lt;"&amp;$J859+7),0))</f>
        <v/>
      </c>
      <c r="D859">
        <f>IF($J859="","",IFERROR(COUNTIFS('Weekly Log'!$H:$H,"Y",'Weekly Log'!$A:$A,"&gt;="&amp;$J859,'Weekly Log'!$A:$A,"&lt;"&amp;$J859+7)/COUNTIFS('Weekly Log'!$H:$H,"&lt;&gt;",'Weekly Log'!$A:$A,"&gt;="&amp;$J859,'Weekly Log'!$A:$A,"&lt;"&amp;$J859+7),0))</f>
        <v/>
      </c>
      <c r="E859">
        <f>IF($J859="","",IFERROR(AVERAGEIFS('Weekly Log'!$F:$F,'Weekly Log'!$A:$A,"&gt;="&amp;$J859,'Weekly Log'!$A:$A,"&lt;"&amp;$J859+7),0))</f>
        <v/>
      </c>
      <c r="F859">
        <f>IF($J859="","",IFERROR(SUMIFS('Weekly Log'!$F:$F,'Weekly Log'!$A:$A,"&gt;="&amp;$J859,'Weekly Log'!$A:$A,"&lt;"&amp;$J859+7)/SUMIFS('Weekly Log'!$E:$E,'Weekly Log'!$A:$A,"&gt;="&amp;$J859,'Weekly Log'!$A:$A,"&lt;"&amp;$J859+7),0))</f>
        <v/>
      </c>
      <c r="G859">
        <f>IF($J859="","",IFERROR(LOOKUP(2,1/(('Weekly Log'!$A$5:$A$5000&gt;=$J859)*('Weekly Log'!$A$5:$A$5000&lt;$J859+7)*('Weekly Log'!$M$5:$M$5000&lt;&gt;"")),'Weekly Log'!$M$5:$M$5000),0))</f>
        <v/>
      </c>
      <c r="J859">
        <f>IF(COUNT('Weekly Log'!$A$5:$A$5000)=0,"",IF(MIN('Weekly Log'!$A$5:$A$5000)+7*(ROW()-10)&gt;MAX('Weekly Log'!$A$5:$A$5000),"",MIN('Weekly Log'!$A$5:$A$5000)+7*(ROW()-10)))</f>
        <v/>
      </c>
    </row>
    <row r="860">
      <c r="A860">
        <f>IF($J860="","",YEAR($J860-WEEKDAY($J860,2)+4)&amp;"-W"&amp;TEXT(WEEKNUM($J860,21),"00"))</f>
        <v/>
      </c>
      <c r="B860">
        <f>IF($J860="","",SUMIFS('Weekly Log'!$C:$C,'Weekly Log'!$A:$A,"&gt;="&amp;$J860,'Weekly Log'!$A:$A,"&lt;"&amp;$J860+7))</f>
        <v/>
      </c>
      <c r="C860">
        <f>IF($J860="","",IFERROR(COUNTIFS('Weekly Log'!$G:$G,"Y",'Weekly Log'!$A:$A,"&gt;="&amp;$J860,'Weekly Log'!$A:$A,"&lt;"&amp;$J860+7)/COUNTIFS('Weekly Log'!$G:$G,"&lt;&gt;",'Weekly Log'!$A:$A,"&gt;="&amp;$J860,'Weekly Log'!$A:$A,"&lt;"&amp;$J860+7),0))</f>
        <v/>
      </c>
      <c r="D860">
        <f>IF($J860="","",IFERROR(COUNTIFS('Weekly Log'!$H:$H,"Y",'Weekly Log'!$A:$A,"&gt;="&amp;$J860,'Weekly Log'!$A:$A,"&lt;"&amp;$J860+7)/COUNTIFS('Weekly Log'!$H:$H,"&lt;&gt;",'Weekly Log'!$A:$A,"&gt;="&amp;$J860,'Weekly Log'!$A:$A,"&lt;"&amp;$J860+7),0))</f>
        <v/>
      </c>
      <c r="E860">
        <f>IF($J860="","",IFERROR(AVERAGEIFS('Weekly Log'!$F:$F,'Weekly Log'!$A:$A,"&gt;="&amp;$J860,'Weekly Log'!$A:$A,"&lt;"&amp;$J860+7),0))</f>
        <v/>
      </c>
      <c r="F860">
        <f>IF($J860="","",IFERROR(SUMIFS('Weekly Log'!$F:$F,'Weekly Log'!$A:$A,"&gt;="&amp;$J860,'Weekly Log'!$A:$A,"&lt;"&amp;$J860+7)/SUMIFS('Weekly Log'!$E:$E,'Weekly Log'!$A:$A,"&gt;="&amp;$J860,'Weekly Log'!$A:$A,"&lt;"&amp;$J860+7),0))</f>
        <v/>
      </c>
      <c r="G860">
        <f>IF($J860="","",IFERROR(LOOKUP(2,1/(('Weekly Log'!$A$5:$A$5000&gt;=$J860)*('Weekly Log'!$A$5:$A$5000&lt;$J860+7)*('Weekly Log'!$M$5:$M$5000&lt;&gt;"")),'Weekly Log'!$M$5:$M$5000),0))</f>
        <v/>
      </c>
      <c r="J860">
        <f>IF(COUNT('Weekly Log'!$A$5:$A$5000)=0,"",IF(MIN('Weekly Log'!$A$5:$A$5000)+7*(ROW()-10)&gt;MAX('Weekly Log'!$A$5:$A$5000),"",MIN('Weekly Log'!$A$5:$A$5000)+7*(ROW()-10)))</f>
        <v/>
      </c>
    </row>
    <row r="861">
      <c r="A861">
        <f>IF($J861="","",YEAR($J861-WEEKDAY($J861,2)+4)&amp;"-W"&amp;TEXT(WEEKNUM($J861,21),"00"))</f>
        <v/>
      </c>
      <c r="B861">
        <f>IF($J861="","",SUMIFS('Weekly Log'!$C:$C,'Weekly Log'!$A:$A,"&gt;="&amp;$J861,'Weekly Log'!$A:$A,"&lt;"&amp;$J861+7))</f>
        <v/>
      </c>
      <c r="C861">
        <f>IF($J861="","",IFERROR(COUNTIFS('Weekly Log'!$G:$G,"Y",'Weekly Log'!$A:$A,"&gt;="&amp;$J861,'Weekly Log'!$A:$A,"&lt;"&amp;$J861+7)/COUNTIFS('Weekly Log'!$G:$G,"&lt;&gt;",'Weekly Log'!$A:$A,"&gt;="&amp;$J861,'Weekly Log'!$A:$A,"&lt;"&amp;$J861+7),0))</f>
        <v/>
      </c>
      <c r="D861">
        <f>IF($J861="","",IFERROR(COUNTIFS('Weekly Log'!$H:$H,"Y",'Weekly Log'!$A:$A,"&gt;="&amp;$J861,'Weekly Log'!$A:$A,"&lt;"&amp;$J861+7)/COUNTIFS('Weekly Log'!$H:$H,"&lt;&gt;",'Weekly Log'!$A:$A,"&gt;="&amp;$J861,'Weekly Log'!$A:$A,"&lt;"&amp;$J861+7),0))</f>
        <v/>
      </c>
      <c r="E861">
        <f>IF($J861="","",IFERROR(AVERAGEIFS('Weekly Log'!$F:$F,'Weekly Log'!$A:$A,"&gt;="&amp;$J861,'Weekly Log'!$A:$A,"&lt;"&amp;$J861+7),0))</f>
        <v/>
      </c>
      <c r="F861">
        <f>IF($J861="","",IFERROR(SUMIFS('Weekly Log'!$F:$F,'Weekly Log'!$A:$A,"&gt;="&amp;$J861,'Weekly Log'!$A:$A,"&lt;"&amp;$J861+7)/SUMIFS('Weekly Log'!$E:$E,'Weekly Log'!$A:$A,"&gt;="&amp;$J861,'Weekly Log'!$A:$A,"&lt;"&amp;$J861+7),0))</f>
        <v/>
      </c>
      <c r="G861">
        <f>IF($J861="","",IFERROR(LOOKUP(2,1/(('Weekly Log'!$A$5:$A$5000&gt;=$J861)*('Weekly Log'!$A$5:$A$5000&lt;$J861+7)*('Weekly Log'!$M$5:$M$5000&lt;&gt;"")),'Weekly Log'!$M$5:$M$5000),0))</f>
        <v/>
      </c>
      <c r="J861">
        <f>IF(COUNT('Weekly Log'!$A$5:$A$5000)=0,"",IF(MIN('Weekly Log'!$A$5:$A$5000)+7*(ROW()-10)&gt;MAX('Weekly Log'!$A$5:$A$5000),"",MIN('Weekly Log'!$A$5:$A$5000)+7*(ROW()-10)))</f>
        <v/>
      </c>
    </row>
    <row r="862">
      <c r="A862">
        <f>IF($J862="","",YEAR($J862-WEEKDAY($J862,2)+4)&amp;"-W"&amp;TEXT(WEEKNUM($J862,21),"00"))</f>
        <v/>
      </c>
      <c r="B862">
        <f>IF($J862="","",SUMIFS('Weekly Log'!$C:$C,'Weekly Log'!$A:$A,"&gt;="&amp;$J862,'Weekly Log'!$A:$A,"&lt;"&amp;$J862+7))</f>
        <v/>
      </c>
      <c r="C862">
        <f>IF($J862="","",IFERROR(COUNTIFS('Weekly Log'!$G:$G,"Y",'Weekly Log'!$A:$A,"&gt;="&amp;$J862,'Weekly Log'!$A:$A,"&lt;"&amp;$J862+7)/COUNTIFS('Weekly Log'!$G:$G,"&lt;&gt;",'Weekly Log'!$A:$A,"&gt;="&amp;$J862,'Weekly Log'!$A:$A,"&lt;"&amp;$J862+7),0))</f>
        <v/>
      </c>
      <c r="D862">
        <f>IF($J862="","",IFERROR(COUNTIFS('Weekly Log'!$H:$H,"Y",'Weekly Log'!$A:$A,"&gt;="&amp;$J862,'Weekly Log'!$A:$A,"&lt;"&amp;$J862+7)/COUNTIFS('Weekly Log'!$H:$H,"&lt;&gt;",'Weekly Log'!$A:$A,"&gt;="&amp;$J862,'Weekly Log'!$A:$A,"&lt;"&amp;$J862+7),0))</f>
        <v/>
      </c>
      <c r="E862">
        <f>IF($J862="","",IFERROR(AVERAGEIFS('Weekly Log'!$F:$F,'Weekly Log'!$A:$A,"&gt;="&amp;$J862,'Weekly Log'!$A:$A,"&lt;"&amp;$J862+7),0))</f>
        <v/>
      </c>
      <c r="F862">
        <f>IF($J862="","",IFERROR(SUMIFS('Weekly Log'!$F:$F,'Weekly Log'!$A:$A,"&gt;="&amp;$J862,'Weekly Log'!$A:$A,"&lt;"&amp;$J862+7)/SUMIFS('Weekly Log'!$E:$E,'Weekly Log'!$A:$A,"&gt;="&amp;$J862,'Weekly Log'!$A:$A,"&lt;"&amp;$J862+7),0))</f>
        <v/>
      </c>
      <c r="G862">
        <f>IF($J862="","",IFERROR(LOOKUP(2,1/(('Weekly Log'!$A$5:$A$5000&gt;=$J862)*('Weekly Log'!$A$5:$A$5000&lt;$J862+7)*('Weekly Log'!$M$5:$M$5000&lt;&gt;"")),'Weekly Log'!$M$5:$M$5000),0))</f>
        <v/>
      </c>
      <c r="J862">
        <f>IF(COUNT('Weekly Log'!$A$5:$A$5000)=0,"",IF(MIN('Weekly Log'!$A$5:$A$5000)+7*(ROW()-10)&gt;MAX('Weekly Log'!$A$5:$A$5000),"",MIN('Weekly Log'!$A$5:$A$5000)+7*(ROW()-10)))</f>
        <v/>
      </c>
    </row>
    <row r="863">
      <c r="A863">
        <f>IF($J863="","",YEAR($J863-WEEKDAY($J863,2)+4)&amp;"-W"&amp;TEXT(WEEKNUM($J863,21),"00"))</f>
        <v/>
      </c>
      <c r="B863">
        <f>IF($J863="","",SUMIFS('Weekly Log'!$C:$C,'Weekly Log'!$A:$A,"&gt;="&amp;$J863,'Weekly Log'!$A:$A,"&lt;"&amp;$J863+7))</f>
        <v/>
      </c>
      <c r="C863">
        <f>IF($J863="","",IFERROR(COUNTIFS('Weekly Log'!$G:$G,"Y",'Weekly Log'!$A:$A,"&gt;="&amp;$J863,'Weekly Log'!$A:$A,"&lt;"&amp;$J863+7)/COUNTIFS('Weekly Log'!$G:$G,"&lt;&gt;",'Weekly Log'!$A:$A,"&gt;="&amp;$J863,'Weekly Log'!$A:$A,"&lt;"&amp;$J863+7),0))</f>
        <v/>
      </c>
      <c r="D863">
        <f>IF($J863="","",IFERROR(COUNTIFS('Weekly Log'!$H:$H,"Y",'Weekly Log'!$A:$A,"&gt;="&amp;$J863,'Weekly Log'!$A:$A,"&lt;"&amp;$J863+7)/COUNTIFS('Weekly Log'!$H:$H,"&lt;&gt;",'Weekly Log'!$A:$A,"&gt;="&amp;$J863,'Weekly Log'!$A:$A,"&lt;"&amp;$J863+7),0))</f>
        <v/>
      </c>
      <c r="E863">
        <f>IF($J863="","",IFERROR(AVERAGEIFS('Weekly Log'!$F:$F,'Weekly Log'!$A:$A,"&gt;="&amp;$J863,'Weekly Log'!$A:$A,"&lt;"&amp;$J863+7),0))</f>
        <v/>
      </c>
      <c r="F863">
        <f>IF($J863="","",IFERROR(SUMIFS('Weekly Log'!$F:$F,'Weekly Log'!$A:$A,"&gt;="&amp;$J863,'Weekly Log'!$A:$A,"&lt;"&amp;$J863+7)/SUMIFS('Weekly Log'!$E:$E,'Weekly Log'!$A:$A,"&gt;="&amp;$J863,'Weekly Log'!$A:$A,"&lt;"&amp;$J863+7),0))</f>
        <v/>
      </c>
      <c r="G863">
        <f>IF($J863="","",IFERROR(LOOKUP(2,1/(('Weekly Log'!$A$5:$A$5000&gt;=$J863)*('Weekly Log'!$A$5:$A$5000&lt;$J863+7)*('Weekly Log'!$M$5:$M$5000&lt;&gt;"")),'Weekly Log'!$M$5:$M$5000),0))</f>
        <v/>
      </c>
      <c r="J863">
        <f>IF(COUNT('Weekly Log'!$A$5:$A$5000)=0,"",IF(MIN('Weekly Log'!$A$5:$A$5000)+7*(ROW()-10)&gt;MAX('Weekly Log'!$A$5:$A$5000),"",MIN('Weekly Log'!$A$5:$A$5000)+7*(ROW()-10)))</f>
        <v/>
      </c>
    </row>
    <row r="864">
      <c r="A864">
        <f>IF($J864="","",YEAR($J864-WEEKDAY($J864,2)+4)&amp;"-W"&amp;TEXT(WEEKNUM($J864,21),"00"))</f>
        <v/>
      </c>
      <c r="B864">
        <f>IF($J864="","",SUMIFS('Weekly Log'!$C:$C,'Weekly Log'!$A:$A,"&gt;="&amp;$J864,'Weekly Log'!$A:$A,"&lt;"&amp;$J864+7))</f>
        <v/>
      </c>
      <c r="C864">
        <f>IF($J864="","",IFERROR(COUNTIFS('Weekly Log'!$G:$G,"Y",'Weekly Log'!$A:$A,"&gt;="&amp;$J864,'Weekly Log'!$A:$A,"&lt;"&amp;$J864+7)/COUNTIFS('Weekly Log'!$G:$G,"&lt;&gt;",'Weekly Log'!$A:$A,"&gt;="&amp;$J864,'Weekly Log'!$A:$A,"&lt;"&amp;$J864+7),0))</f>
        <v/>
      </c>
      <c r="D864">
        <f>IF($J864="","",IFERROR(COUNTIFS('Weekly Log'!$H:$H,"Y",'Weekly Log'!$A:$A,"&gt;="&amp;$J864,'Weekly Log'!$A:$A,"&lt;"&amp;$J864+7)/COUNTIFS('Weekly Log'!$H:$H,"&lt;&gt;",'Weekly Log'!$A:$A,"&gt;="&amp;$J864,'Weekly Log'!$A:$A,"&lt;"&amp;$J864+7),0))</f>
        <v/>
      </c>
      <c r="E864">
        <f>IF($J864="","",IFERROR(AVERAGEIFS('Weekly Log'!$F:$F,'Weekly Log'!$A:$A,"&gt;="&amp;$J864,'Weekly Log'!$A:$A,"&lt;"&amp;$J864+7),0))</f>
        <v/>
      </c>
      <c r="F864">
        <f>IF($J864="","",IFERROR(SUMIFS('Weekly Log'!$F:$F,'Weekly Log'!$A:$A,"&gt;="&amp;$J864,'Weekly Log'!$A:$A,"&lt;"&amp;$J864+7)/SUMIFS('Weekly Log'!$E:$E,'Weekly Log'!$A:$A,"&gt;="&amp;$J864,'Weekly Log'!$A:$A,"&lt;"&amp;$J864+7),0))</f>
        <v/>
      </c>
      <c r="G864">
        <f>IF($J864="","",IFERROR(LOOKUP(2,1/(('Weekly Log'!$A$5:$A$5000&gt;=$J864)*('Weekly Log'!$A$5:$A$5000&lt;$J864+7)*('Weekly Log'!$M$5:$M$5000&lt;&gt;"")),'Weekly Log'!$M$5:$M$5000),0))</f>
        <v/>
      </c>
      <c r="J864">
        <f>IF(COUNT('Weekly Log'!$A$5:$A$5000)=0,"",IF(MIN('Weekly Log'!$A$5:$A$5000)+7*(ROW()-10)&gt;MAX('Weekly Log'!$A$5:$A$5000),"",MIN('Weekly Log'!$A$5:$A$5000)+7*(ROW()-10)))</f>
        <v/>
      </c>
    </row>
    <row r="865">
      <c r="A865">
        <f>IF($J865="","",YEAR($J865-WEEKDAY($J865,2)+4)&amp;"-W"&amp;TEXT(WEEKNUM($J865,21),"00"))</f>
        <v/>
      </c>
      <c r="B865">
        <f>IF($J865="","",SUMIFS('Weekly Log'!$C:$C,'Weekly Log'!$A:$A,"&gt;="&amp;$J865,'Weekly Log'!$A:$A,"&lt;"&amp;$J865+7))</f>
        <v/>
      </c>
      <c r="C865">
        <f>IF($J865="","",IFERROR(COUNTIFS('Weekly Log'!$G:$G,"Y",'Weekly Log'!$A:$A,"&gt;="&amp;$J865,'Weekly Log'!$A:$A,"&lt;"&amp;$J865+7)/COUNTIFS('Weekly Log'!$G:$G,"&lt;&gt;",'Weekly Log'!$A:$A,"&gt;="&amp;$J865,'Weekly Log'!$A:$A,"&lt;"&amp;$J865+7),0))</f>
        <v/>
      </c>
      <c r="D865">
        <f>IF($J865="","",IFERROR(COUNTIFS('Weekly Log'!$H:$H,"Y",'Weekly Log'!$A:$A,"&gt;="&amp;$J865,'Weekly Log'!$A:$A,"&lt;"&amp;$J865+7)/COUNTIFS('Weekly Log'!$H:$H,"&lt;&gt;",'Weekly Log'!$A:$A,"&gt;="&amp;$J865,'Weekly Log'!$A:$A,"&lt;"&amp;$J865+7),0))</f>
        <v/>
      </c>
      <c r="E865">
        <f>IF($J865="","",IFERROR(AVERAGEIFS('Weekly Log'!$F:$F,'Weekly Log'!$A:$A,"&gt;="&amp;$J865,'Weekly Log'!$A:$A,"&lt;"&amp;$J865+7),0))</f>
        <v/>
      </c>
      <c r="F865">
        <f>IF($J865="","",IFERROR(SUMIFS('Weekly Log'!$F:$F,'Weekly Log'!$A:$A,"&gt;="&amp;$J865,'Weekly Log'!$A:$A,"&lt;"&amp;$J865+7)/SUMIFS('Weekly Log'!$E:$E,'Weekly Log'!$A:$A,"&gt;="&amp;$J865,'Weekly Log'!$A:$A,"&lt;"&amp;$J865+7),0))</f>
        <v/>
      </c>
      <c r="G865">
        <f>IF($J865="","",IFERROR(LOOKUP(2,1/(('Weekly Log'!$A$5:$A$5000&gt;=$J865)*('Weekly Log'!$A$5:$A$5000&lt;$J865+7)*('Weekly Log'!$M$5:$M$5000&lt;&gt;"")),'Weekly Log'!$M$5:$M$5000),0))</f>
        <v/>
      </c>
      <c r="J865">
        <f>IF(COUNT('Weekly Log'!$A$5:$A$5000)=0,"",IF(MIN('Weekly Log'!$A$5:$A$5000)+7*(ROW()-10)&gt;MAX('Weekly Log'!$A$5:$A$5000),"",MIN('Weekly Log'!$A$5:$A$5000)+7*(ROW()-10)))</f>
        <v/>
      </c>
    </row>
    <row r="866">
      <c r="A866">
        <f>IF($J866="","",YEAR($J866-WEEKDAY($J866,2)+4)&amp;"-W"&amp;TEXT(WEEKNUM($J866,21),"00"))</f>
        <v/>
      </c>
      <c r="B866">
        <f>IF($J866="","",SUMIFS('Weekly Log'!$C:$C,'Weekly Log'!$A:$A,"&gt;="&amp;$J866,'Weekly Log'!$A:$A,"&lt;"&amp;$J866+7))</f>
        <v/>
      </c>
      <c r="C866">
        <f>IF($J866="","",IFERROR(COUNTIFS('Weekly Log'!$G:$G,"Y",'Weekly Log'!$A:$A,"&gt;="&amp;$J866,'Weekly Log'!$A:$A,"&lt;"&amp;$J866+7)/COUNTIFS('Weekly Log'!$G:$G,"&lt;&gt;",'Weekly Log'!$A:$A,"&gt;="&amp;$J866,'Weekly Log'!$A:$A,"&lt;"&amp;$J866+7),0))</f>
        <v/>
      </c>
      <c r="D866">
        <f>IF($J866="","",IFERROR(COUNTIFS('Weekly Log'!$H:$H,"Y",'Weekly Log'!$A:$A,"&gt;="&amp;$J866,'Weekly Log'!$A:$A,"&lt;"&amp;$J866+7)/COUNTIFS('Weekly Log'!$H:$H,"&lt;&gt;",'Weekly Log'!$A:$A,"&gt;="&amp;$J866,'Weekly Log'!$A:$A,"&lt;"&amp;$J866+7),0))</f>
        <v/>
      </c>
      <c r="E866">
        <f>IF($J866="","",IFERROR(AVERAGEIFS('Weekly Log'!$F:$F,'Weekly Log'!$A:$A,"&gt;="&amp;$J866,'Weekly Log'!$A:$A,"&lt;"&amp;$J866+7),0))</f>
        <v/>
      </c>
      <c r="F866">
        <f>IF($J866="","",IFERROR(SUMIFS('Weekly Log'!$F:$F,'Weekly Log'!$A:$A,"&gt;="&amp;$J866,'Weekly Log'!$A:$A,"&lt;"&amp;$J866+7)/SUMIFS('Weekly Log'!$E:$E,'Weekly Log'!$A:$A,"&gt;="&amp;$J866,'Weekly Log'!$A:$A,"&lt;"&amp;$J866+7),0))</f>
        <v/>
      </c>
      <c r="G866">
        <f>IF($J866="","",IFERROR(LOOKUP(2,1/(('Weekly Log'!$A$5:$A$5000&gt;=$J866)*('Weekly Log'!$A$5:$A$5000&lt;$J866+7)*('Weekly Log'!$M$5:$M$5000&lt;&gt;"")),'Weekly Log'!$M$5:$M$5000),0))</f>
        <v/>
      </c>
      <c r="J866">
        <f>IF(COUNT('Weekly Log'!$A$5:$A$5000)=0,"",IF(MIN('Weekly Log'!$A$5:$A$5000)+7*(ROW()-10)&gt;MAX('Weekly Log'!$A$5:$A$5000),"",MIN('Weekly Log'!$A$5:$A$5000)+7*(ROW()-10)))</f>
        <v/>
      </c>
    </row>
    <row r="867">
      <c r="A867">
        <f>IF($J867="","",YEAR($J867-WEEKDAY($J867,2)+4)&amp;"-W"&amp;TEXT(WEEKNUM($J867,21),"00"))</f>
        <v/>
      </c>
      <c r="B867">
        <f>IF($J867="","",SUMIFS('Weekly Log'!$C:$C,'Weekly Log'!$A:$A,"&gt;="&amp;$J867,'Weekly Log'!$A:$A,"&lt;"&amp;$J867+7))</f>
        <v/>
      </c>
      <c r="C867">
        <f>IF($J867="","",IFERROR(COUNTIFS('Weekly Log'!$G:$G,"Y",'Weekly Log'!$A:$A,"&gt;="&amp;$J867,'Weekly Log'!$A:$A,"&lt;"&amp;$J867+7)/COUNTIFS('Weekly Log'!$G:$G,"&lt;&gt;",'Weekly Log'!$A:$A,"&gt;="&amp;$J867,'Weekly Log'!$A:$A,"&lt;"&amp;$J867+7),0))</f>
        <v/>
      </c>
      <c r="D867">
        <f>IF($J867="","",IFERROR(COUNTIFS('Weekly Log'!$H:$H,"Y",'Weekly Log'!$A:$A,"&gt;="&amp;$J867,'Weekly Log'!$A:$A,"&lt;"&amp;$J867+7)/COUNTIFS('Weekly Log'!$H:$H,"&lt;&gt;",'Weekly Log'!$A:$A,"&gt;="&amp;$J867,'Weekly Log'!$A:$A,"&lt;"&amp;$J867+7),0))</f>
        <v/>
      </c>
      <c r="E867">
        <f>IF($J867="","",IFERROR(AVERAGEIFS('Weekly Log'!$F:$F,'Weekly Log'!$A:$A,"&gt;="&amp;$J867,'Weekly Log'!$A:$A,"&lt;"&amp;$J867+7),0))</f>
        <v/>
      </c>
      <c r="F867">
        <f>IF($J867="","",IFERROR(SUMIFS('Weekly Log'!$F:$F,'Weekly Log'!$A:$A,"&gt;="&amp;$J867,'Weekly Log'!$A:$A,"&lt;"&amp;$J867+7)/SUMIFS('Weekly Log'!$E:$E,'Weekly Log'!$A:$A,"&gt;="&amp;$J867,'Weekly Log'!$A:$A,"&lt;"&amp;$J867+7),0))</f>
        <v/>
      </c>
      <c r="G867">
        <f>IF($J867="","",IFERROR(LOOKUP(2,1/(('Weekly Log'!$A$5:$A$5000&gt;=$J867)*('Weekly Log'!$A$5:$A$5000&lt;$J867+7)*('Weekly Log'!$M$5:$M$5000&lt;&gt;"")),'Weekly Log'!$M$5:$M$5000),0))</f>
        <v/>
      </c>
      <c r="J867">
        <f>IF(COUNT('Weekly Log'!$A$5:$A$5000)=0,"",IF(MIN('Weekly Log'!$A$5:$A$5000)+7*(ROW()-10)&gt;MAX('Weekly Log'!$A$5:$A$5000),"",MIN('Weekly Log'!$A$5:$A$5000)+7*(ROW()-10)))</f>
        <v/>
      </c>
    </row>
    <row r="868">
      <c r="A868">
        <f>IF($J868="","",YEAR($J868-WEEKDAY($J868,2)+4)&amp;"-W"&amp;TEXT(WEEKNUM($J868,21),"00"))</f>
        <v/>
      </c>
      <c r="B868">
        <f>IF($J868="","",SUMIFS('Weekly Log'!$C:$C,'Weekly Log'!$A:$A,"&gt;="&amp;$J868,'Weekly Log'!$A:$A,"&lt;"&amp;$J868+7))</f>
        <v/>
      </c>
      <c r="C868">
        <f>IF($J868="","",IFERROR(COUNTIFS('Weekly Log'!$G:$G,"Y",'Weekly Log'!$A:$A,"&gt;="&amp;$J868,'Weekly Log'!$A:$A,"&lt;"&amp;$J868+7)/COUNTIFS('Weekly Log'!$G:$G,"&lt;&gt;",'Weekly Log'!$A:$A,"&gt;="&amp;$J868,'Weekly Log'!$A:$A,"&lt;"&amp;$J868+7),0))</f>
        <v/>
      </c>
      <c r="D868">
        <f>IF($J868="","",IFERROR(COUNTIFS('Weekly Log'!$H:$H,"Y",'Weekly Log'!$A:$A,"&gt;="&amp;$J868,'Weekly Log'!$A:$A,"&lt;"&amp;$J868+7)/COUNTIFS('Weekly Log'!$H:$H,"&lt;&gt;",'Weekly Log'!$A:$A,"&gt;="&amp;$J868,'Weekly Log'!$A:$A,"&lt;"&amp;$J868+7),0))</f>
        <v/>
      </c>
      <c r="E868">
        <f>IF($J868="","",IFERROR(AVERAGEIFS('Weekly Log'!$F:$F,'Weekly Log'!$A:$A,"&gt;="&amp;$J868,'Weekly Log'!$A:$A,"&lt;"&amp;$J868+7),0))</f>
        <v/>
      </c>
      <c r="F868">
        <f>IF($J868="","",IFERROR(SUMIFS('Weekly Log'!$F:$F,'Weekly Log'!$A:$A,"&gt;="&amp;$J868,'Weekly Log'!$A:$A,"&lt;"&amp;$J868+7)/SUMIFS('Weekly Log'!$E:$E,'Weekly Log'!$A:$A,"&gt;="&amp;$J868,'Weekly Log'!$A:$A,"&lt;"&amp;$J868+7),0))</f>
        <v/>
      </c>
      <c r="G868">
        <f>IF($J868="","",IFERROR(LOOKUP(2,1/(('Weekly Log'!$A$5:$A$5000&gt;=$J868)*('Weekly Log'!$A$5:$A$5000&lt;$J868+7)*('Weekly Log'!$M$5:$M$5000&lt;&gt;"")),'Weekly Log'!$M$5:$M$5000),0))</f>
        <v/>
      </c>
      <c r="J868">
        <f>IF(COUNT('Weekly Log'!$A$5:$A$5000)=0,"",IF(MIN('Weekly Log'!$A$5:$A$5000)+7*(ROW()-10)&gt;MAX('Weekly Log'!$A$5:$A$5000),"",MIN('Weekly Log'!$A$5:$A$5000)+7*(ROW()-10)))</f>
        <v/>
      </c>
    </row>
    <row r="869">
      <c r="A869">
        <f>IF($J869="","",YEAR($J869-WEEKDAY($J869,2)+4)&amp;"-W"&amp;TEXT(WEEKNUM($J869,21),"00"))</f>
        <v/>
      </c>
      <c r="B869">
        <f>IF($J869="","",SUMIFS('Weekly Log'!$C:$C,'Weekly Log'!$A:$A,"&gt;="&amp;$J869,'Weekly Log'!$A:$A,"&lt;"&amp;$J869+7))</f>
        <v/>
      </c>
      <c r="C869">
        <f>IF($J869="","",IFERROR(COUNTIFS('Weekly Log'!$G:$G,"Y",'Weekly Log'!$A:$A,"&gt;="&amp;$J869,'Weekly Log'!$A:$A,"&lt;"&amp;$J869+7)/COUNTIFS('Weekly Log'!$G:$G,"&lt;&gt;",'Weekly Log'!$A:$A,"&gt;="&amp;$J869,'Weekly Log'!$A:$A,"&lt;"&amp;$J869+7),0))</f>
        <v/>
      </c>
      <c r="D869">
        <f>IF($J869="","",IFERROR(COUNTIFS('Weekly Log'!$H:$H,"Y",'Weekly Log'!$A:$A,"&gt;="&amp;$J869,'Weekly Log'!$A:$A,"&lt;"&amp;$J869+7)/COUNTIFS('Weekly Log'!$H:$H,"&lt;&gt;",'Weekly Log'!$A:$A,"&gt;="&amp;$J869,'Weekly Log'!$A:$A,"&lt;"&amp;$J869+7),0))</f>
        <v/>
      </c>
      <c r="E869">
        <f>IF($J869="","",IFERROR(AVERAGEIFS('Weekly Log'!$F:$F,'Weekly Log'!$A:$A,"&gt;="&amp;$J869,'Weekly Log'!$A:$A,"&lt;"&amp;$J869+7),0))</f>
        <v/>
      </c>
      <c r="F869">
        <f>IF($J869="","",IFERROR(SUMIFS('Weekly Log'!$F:$F,'Weekly Log'!$A:$A,"&gt;="&amp;$J869,'Weekly Log'!$A:$A,"&lt;"&amp;$J869+7)/SUMIFS('Weekly Log'!$E:$E,'Weekly Log'!$A:$A,"&gt;="&amp;$J869,'Weekly Log'!$A:$A,"&lt;"&amp;$J869+7),0))</f>
        <v/>
      </c>
      <c r="G869">
        <f>IF($J869="","",IFERROR(LOOKUP(2,1/(('Weekly Log'!$A$5:$A$5000&gt;=$J869)*('Weekly Log'!$A$5:$A$5000&lt;$J869+7)*('Weekly Log'!$M$5:$M$5000&lt;&gt;"")),'Weekly Log'!$M$5:$M$5000),0))</f>
        <v/>
      </c>
      <c r="J869">
        <f>IF(COUNT('Weekly Log'!$A$5:$A$5000)=0,"",IF(MIN('Weekly Log'!$A$5:$A$5000)+7*(ROW()-10)&gt;MAX('Weekly Log'!$A$5:$A$5000),"",MIN('Weekly Log'!$A$5:$A$5000)+7*(ROW()-10)))</f>
        <v/>
      </c>
    </row>
    <row r="870">
      <c r="A870">
        <f>IF($J870="","",YEAR($J870-WEEKDAY($J870,2)+4)&amp;"-W"&amp;TEXT(WEEKNUM($J870,21),"00"))</f>
        <v/>
      </c>
      <c r="B870">
        <f>IF($J870="","",SUMIFS('Weekly Log'!$C:$C,'Weekly Log'!$A:$A,"&gt;="&amp;$J870,'Weekly Log'!$A:$A,"&lt;"&amp;$J870+7))</f>
        <v/>
      </c>
      <c r="C870">
        <f>IF($J870="","",IFERROR(COUNTIFS('Weekly Log'!$G:$G,"Y",'Weekly Log'!$A:$A,"&gt;="&amp;$J870,'Weekly Log'!$A:$A,"&lt;"&amp;$J870+7)/COUNTIFS('Weekly Log'!$G:$G,"&lt;&gt;",'Weekly Log'!$A:$A,"&gt;="&amp;$J870,'Weekly Log'!$A:$A,"&lt;"&amp;$J870+7),0))</f>
        <v/>
      </c>
      <c r="D870">
        <f>IF($J870="","",IFERROR(COUNTIFS('Weekly Log'!$H:$H,"Y",'Weekly Log'!$A:$A,"&gt;="&amp;$J870,'Weekly Log'!$A:$A,"&lt;"&amp;$J870+7)/COUNTIFS('Weekly Log'!$H:$H,"&lt;&gt;",'Weekly Log'!$A:$A,"&gt;="&amp;$J870,'Weekly Log'!$A:$A,"&lt;"&amp;$J870+7),0))</f>
        <v/>
      </c>
      <c r="E870">
        <f>IF($J870="","",IFERROR(AVERAGEIFS('Weekly Log'!$F:$F,'Weekly Log'!$A:$A,"&gt;="&amp;$J870,'Weekly Log'!$A:$A,"&lt;"&amp;$J870+7),0))</f>
        <v/>
      </c>
      <c r="F870">
        <f>IF($J870="","",IFERROR(SUMIFS('Weekly Log'!$F:$F,'Weekly Log'!$A:$A,"&gt;="&amp;$J870,'Weekly Log'!$A:$A,"&lt;"&amp;$J870+7)/SUMIFS('Weekly Log'!$E:$E,'Weekly Log'!$A:$A,"&gt;="&amp;$J870,'Weekly Log'!$A:$A,"&lt;"&amp;$J870+7),0))</f>
        <v/>
      </c>
      <c r="G870">
        <f>IF($J870="","",IFERROR(LOOKUP(2,1/(('Weekly Log'!$A$5:$A$5000&gt;=$J870)*('Weekly Log'!$A$5:$A$5000&lt;$J870+7)*('Weekly Log'!$M$5:$M$5000&lt;&gt;"")),'Weekly Log'!$M$5:$M$5000),0))</f>
        <v/>
      </c>
      <c r="J870">
        <f>IF(COUNT('Weekly Log'!$A$5:$A$5000)=0,"",IF(MIN('Weekly Log'!$A$5:$A$5000)+7*(ROW()-10)&gt;MAX('Weekly Log'!$A$5:$A$5000),"",MIN('Weekly Log'!$A$5:$A$5000)+7*(ROW()-10)))</f>
        <v/>
      </c>
    </row>
    <row r="871">
      <c r="A871">
        <f>IF($J871="","",YEAR($J871-WEEKDAY($J871,2)+4)&amp;"-W"&amp;TEXT(WEEKNUM($J871,21),"00"))</f>
        <v/>
      </c>
      <c r="B871">
        <f>IF($J871="","",SUMIFS('Weekly Log'!$C:$C,'Weekly Log'!$A:$A,"&gt;="&amp;$J871,'Weekly Log'!$A:$A,"&lt;"&amp;$J871+7))</f>
        <v/>
      </c>
      <c r="C871">
        <f>IF($J871="","",IFERROR(COUNTIFS('Weekly Log'!$G:$G,"Y",'Weekly Log'!$A:$A,"&gt;="&amp;$J871,'Weekly Log'!$A:$A,"&lt;"&amp;$J871+7)/COUNTIFS('Weekly Log'!$G:$G,"&lt;&gt;",'Weekly Log'!$A:$A,"&gt;="&amp;$J871,'Weekly Log'!$A:$A,"&lt;"&amp;$J871+7),0))</f>
        <v/>
      </c>
      <c r="D871">
        <f>IF($J871="","",IFERROR(COUNTIFS('Weekly Log'!$H:$H,"Y",'Weekly Log'!$A:$A,"&gt;="&amp;$J871,'Weekly Log'!$A:$A,"&lt;"&amp;$J871+7)/COUNTIFS('Weekly Log'!$H:$H,"&lt;&gt;",'Weekly Log'!$A:$A,"&gt;="&amp;$J871,'Weekly Log'!$A:$A,"&lt;"&amp;$J871+7),0))</f>
        <v/>
      </c>
      <c r="E871">
        <f>IF($J871="","",IFERROR(AVERAGEIFS('Weekly Log'!$F:$F,'Weekly Log'!$A:$A,"&gt;="&amp;$J871,'Weekly Log'!$A:$A,"&lt;"&amp;$J871+7),0))</f>
        <v/>
      </c>
      <c r="F871">
        <f>IF($J871="","",IFERROR(SUMIFS('Weekly Log'!$F:$F,'Weekly Log'!$A:$A,"&gt;="&amp;$J871,'Weekly Log'!$A:$A,"&lt;"&amp;$J871+7)/SUMIFS('Weekly Log'!$E:$E,'Weekly Log'!$A:$A,"&gt;="&amp;$J871,'Weekly Log'!$A:$A,"&lt;"&amp;$J871+7),0))</f>
        <v/>
      </c>
      <c r="G871">
        <f>IF($J871="","",IFERROR(LOOKUP(2,1/(('Weekly Log'!$A$5:$A$5000&gt;=$J871)*('Weekly Log'!$A$5:$A$5000&lt;$J871+7)*('Weekly Log'!$M$5:$M$5000&lt;&gt;"")),'Weekly Log'!$M$5:$M$5000),0))</f>
        <v/>
      </c>
      <c r="J871">
        <f>IF(COUNT('Weekly Log'!$A$5:$A$5000)=0,"",IF(MIN('Weekly Log'!$A$5:$A$5000)+7*(ROW()-10)&gt;MAX('Weekly Log'!$A$5:$A$5000),"",MIN('Weekly Log'!$A$5:$A$5000)+7*(ROW()-10)))</f>
        <v/>
      </c>
    </row>
    <row r="872">
      <c r="A872">
        <f>IF($J872="","",YEAR($J872-WEEKDAY($J872,2)+4)&amp;"-W"&amp;TEXT(WEEKNUM($J872,21),"00"))</f>
        <v/>
      </c>
      <c r="B872">
        <f>IF($J872="","",SUMIFS('Weekly Log'!$C:$C,'Weekly Log'!$A:$A,"&gt;="&amp;$J872,'Weekly Log'!$A:$A,"&lt;"&amp;$J872+7))</f>
        <v/>
      </c>
      <c r="C872">
        <f>IF($J872="","",IFERROR(COUNTIFS('Weekly Log'!$G:$G,"Y",'Weekly Log'!$A:$A,"&gt;="&amp;$J872,'Weekly Log'!$A:$A,"&lt;"&amp;$J872+7)/COUNTIFS('Weekly Log'!$G:$G,"&lt;&gt;",'Weekly Log'!$A:$A,"&gt;="&amp;$J872,'Weekly Log'!$A:$A,"&lt;"&amp;$J872+7),0))</f>
        <v/>
      </c>
      <c r="D872">
        <f>IF($J872="","",IFERROR(COUNTIFS('Weekly Log'!$H:$H,"Y",'Weekly Log'!$A:$A,"&gt;="&amp;$J872,'Weekly Log'!$A:$A,"&lt;"&amp;$J872+7)/COUNTIFS('Weekly Log'!$H:$H,"&lt;&gt;",'Weekly Log'!$A:$A,"&gt;="&amp;$J872,'Weekly Log'!$A:$A,"&lt;"&amp;$J872+7),0))</f>
        <v/>
      </c>
      <c r="E872">
        <f>IF($J872="","",IFERROR(AVERAGEIFS('Weekly Log'!$F:$F,'Weekly Log'!$A:$A,"&gt;="&amp;$J872,'Weekly Log'!$A:$A,"&lt;"&amp;$J872+7),0))</f>
        <v/>
      </c>
      <c r="F872">
        <f>IF($J872="","",IFERROR(SUMIFS('Weekly Log'!$F:$F,'Weekly Log'!$A:$A,"&gt;="&amp;$J872,'Weekly Log'!$A:$A,"&lt;"&amp;$J872+7)/SUMIFS('Weekly Log'!$E:$E,'Weekly Log'!$A:$A,"&gt;="&amp;$J872,'Weekly Log'!$A:$A,"&lt;"&amp;$J872+7),0))</f>
        <v/>
      </c>
      <c r="G872">
        <f>IF($J872="","",IFERROR(LOOKUP(2,1/(('Weekly Log'!$A$5:$A$5000&gt;=$J872)*('Weekly Log'!$A$5:$A$5000&lt;$J872+7)*('Weekly Log'!$M$5:$M$5000&lt;&gt;"")),'Weekly Log'!$M$5:$M$5000),0))</f>
        <v/>
      </c>
      <c r="J872">
        <f>IF(COUNT('Weekly Log'!$A$5:$A$5000)=0,"",IF(MIN('Weekly Log'!$A$5:$A$5000)+7*(ROW()-10)&gt;MAX('Weekly Log'!$A$5:$A$5000),"",MIN('Weekly Log'!$A$5:$A$5000)+7*(ROW()-10)))</f>
        <v/>
      </c>
    </row>
    <row r="873">
      <c r="A873">
        <f>IF($J873="","",YEAR($J873-WEEKDAY($J873,2)+4)&amp;"-W"&amp;TEXT(WEEKNUM($J873,21),"00"))</f>
        <v/>
      </c>
      <c r="B873">
        <f>IF($J873="","",SUMIFS('Weekly Log'!$C:$C,'Weekly Log'!$A:$A,"&gt;="&amp;$J873,'Weekly Log'!$A:$A,"&lt;"&amp;$J873+7))</f>
        <v/>
      </c>
      <c r="C873">
        <f>IF($J873="","",IFERROR(COUNTIFS('Weekly Log'!$G:$G,"Y",'Weekly Log'!$A:$A,"&gt;="&amp;$J873,'Weekly Log'!$A:$A,"&lt;"&amp;$J873+7)/COUNTIFS('Weekly Log'!$G:$G,"&lt;&gt;",'Weekly Log'!$A:$A,"&gt;="&amp;$J873,'Weekly Log'!$A:$A,"&lt;"&amp;$J873+7),0))</f>
        <v/>
      </c>
      <c r="D873">
        <f>IF($J873="","",IFERROR(COUNTIFS('Weekly Log'!$H:$H,"Y",'Weekly Log'!$A:$A,"&gt;="&amp;$J873,'Weekly Log'!$A:$A,"&lt;"&amp;$J873+7)/COUNTIFS('Weekly Log'!$H:$H,"&lt;&gt;",'Weekly Log'!$A:$A,"&gt;="&amp;$J873,'Weekly Log'!$A:$A,"&lt;"&amp;$J873+7),0))</f>
        <v/>
      </c>
      <c r="E873">
        <f>IF($J873="","",IFERROR(AVERAGEIFS('Weekly Log'!$F:$F,'Weekly Log'!$A:$A,"&gt;="&amp;$J873,'Weekly Log'!$A:$A,"&lt;"&amp;$J873+7),0))</f>
        <v/>
      </c>
      <c r="F873">
        <f>IF($J873="","",IFERROR(SUMIFS('Weekly Log'!$F:$F,'Weekly Log'!$A:$A,"&gt;="&amp;$J873,'Weekly Log'!$A:$A,"&lt;"&amp;$J873+7)/SUMIFS('Weekly Log'!$E:$E,'Weekly Log'!$A:$A,"&gt;="&amp;$J873,'Weekly Log'!$A:$A,"&lt;"&amp;$J873+7),0))</f>
        <v/>
      </c>
      <c r="G873">
        <f>IF($J873="","",IFERROR(LOOKUP(2,1/(('Weekly Log'!$A$5:$A$5000&gt;=$J873)*('Weekly Log'!$A$5:$A$5000&lt;$J873+7)*('Weekly Log'!$M$5:$M$5000&lt;&gt;"")),'Weekly Log'!$M$5:$M$5000),0))</f>
        <v/>
      </c>
      <c r="J873">
        <f>IF(COUNT('Weekly Log'!$A$5:$A$5000)=0,"",IF(MIN('Weekly Log'!$A$5:$A$5000)+7*(ROW()-10)&gt;MAX('Weekly Log'!$A$5:$A$5000),"",MIN('Weekly Log'!$A$5:$A$5000)+7*(ROW()-10)))</f>
        <v/>
      </c>
    </row>
    <row r="874">
      <c r="A874">
        <f>IF($J874="","",YEAR($J874-WEEKDAY($J874,2)+4)&amp;"-W"&amp;TEXT(WEEKNUM($J874,21),"00"))</f>
        <v/>
      </c>
      <c r="B874">
        <f>IF($J874="","",SUMIFS('Weekly Log'!$C:$C,'Weekly Log'!$A:$A,"&gt;="&amp;$J874,'Weekly Log'!$A:$A,"&lt;"&amp;$J874+7))</f>
        <v/>
      </c>
      <c r="C874">
        <f>IF($J874="","",IFERROR(COUNTIFS('Weekly Log'!$G:$G,"Y",'Weekly Log'!$A:$A,"&gt;="&amp;$J874,'Weekly Log'!$A:$A,"&lt;"&amp;$J874+7)/COUNTIFS('Weekly Log'!$G:$G,"&lt;&gt;",'Weekly Log'!$A:$A,"&gt;="&amp;$J874,'Weekly Log'!$A:$A,"&lt;"&amp;$J874+7),0))</f>
        <v/>
      </c>
      <c r="D874">
        <f>IF($J874="","",IFERROR(COUNTIFS('Weekly Log'!$H:$H,"Y",'Weekly Log'!$A:$A,"&gt;="&amp;$J874,'Weekly Log'!$A:$A,"&lt;"&amp;$J874+7)/COUNTIFS('Weekly Log'!$H:$H,"&lt;&gt;",'Weekly Log'!$A:$A,"&gt;="&amp;$J874,'Weekly Log'!$A:$A,"&lt;"&amp;$J874+7),0))</f>
        <v/>
      </c>
      <c r="E874">
        <f>IF($J874="","",IFERROR(AVERAGEIFS('Weekly Log'!$F:$F,'Weekly Log'!$A:$A,"&gt;="&amp;$J874,'Weekly Log'!$A:$A,"&lt;"&amp;$J874+7),0))</f>
        <v/>
      </c>
      <c r="F874">
        <f>IF($J874="","",IFERROR(SUMIFS('Weekly Log'!$F:$F,'Weekly Log'!$A:$A,"&gt;="&amp;$J874,'Weekly Log'!$A:$A,"&lt;"&amp;$J874+7)/SUMIFS('Weekly Log'!$E:$E,'Weekly Log'!$A:$A,"&gt;="&amp;$J874,'Weekly Log'!$A:$A,"&lt;"&amp;$J874+7),0))</f>
        <v/>
      </c>
      <c r="G874">
        <f>IF($J874="","",IFERROR(LOOKUP(2,1/(('Weekly Log'!$A$5:$A$5000&gt;=$J874)*('Weekly Log'!$A$5:$A$5000&lt;$J874+7)*('Weekly Log'!$M$5:$M$5000&lt;&gt;"")),'Weekly Log'!$M$5:$M$5000),0))</f>
        <v/>
      </c>
      <c r="J874">
        <f>IF(COUNT('Weekly Log'!$A$5:$A$5000)=0,"",IF(MIN('Weekly Log'!$A$5:$A$5000)+7*(ROW()-10)&gt;MAX('Weekly Log'!$A$5:$A$5000),"",MIN('Weekly Log'!$A$5:$A$5000)+7*(ROW()-10)))</f>
        <v/>
      </c>
    </row>
    <row r="875">
      <c r="A875">
        <f>IF($J875="","",YEAR($J875-WEEKDAY($J875,2)+4)&amp;"-W"&amp;TEXT(WEEKNUM($J875,21),"00"))</f>
        <v/>
      </c>
      <c r="B875">
        <f>IF($J875="","",SUMIFS('Weekly Log'!$C:$C,'Weekly Log'!$A:$A,"&gt;="&amp;$J875,'Weekly Log'!$A:$A,"&lt;"&amp;$J875+7))</f>
        <v/>
      </c>
      <c r="C875">
        <f>IF($J875="","",IFERROR(COUNTIFS('Weekly Log'!$G:$G,"Y",'Weekly Log'!$A:$A,"&gt;="&amp;$J875,'Weekly Log'!$A:$A,"&lt;"&amp;$J875+7)/COUNTIFS('Weekly Log'!$G:$G,"&lt;&gt;",'Weekly Log'!$A:$A,"&gt;="&amp;$J875,'Weekly Log'!$A:$A,"&lt;"&amp;$J875+7),0))</f>
        <v/>
      </c>
      <c r="D875">
        <f>IF($J875="","",IFERROR(COUNTIFS('Weekly Log'!$H:$H,"Y",'Weekly Log'!$A:$A,"&gt;="&amp;$J875,'Weekly Log'!$A:$A,"&lt;"&amp;$J875+7)/COUNTIFS('Weekly Log'!$H:$H,"&lt;&gt;",'Weekly Log'!$A:$A,"&gt;="&amp;$J875,'Weekly Log'!$A:$A,"&lt;"&amp;$J875+7),0))</f>
        <v/>
      </c>
      <c r="E875">
        <f>IF($J875="","",IFERROR(AVERAGEIFS('Weekly Log'!$F:$F,'Weekly Log'!$A:$A,"&gt;="&amp;$J875,'Weekly Log'!$A:$A,"&lt;"&amp;$J875+7),0))</f>
        <v/>
      </c>
      <c r="F875">
        <f>IF($J875="","",IFERROR(SUMIFS('Weekly Log'!$F:$F,'Weekly Log'!$A:$A,"&gt;="&amp;$J875,'Weekly Log'!$A:$A,"&lt;"&amp;$J875+7)/SUMIFS('Weekly Log'!$E:$E,'Weekly Log'!$A:$A,"&gt;="&amp;$J875,'Weekly Log'!$A:$A,"&lt;"&amp;$J875+7),0))</f>
        <v/>
      </c>
      <c r="G875">
        <f>IF($J875="","",IFERROR(LOOKUP(2,1/(('Weekly Log'!$A$5:$A$5000&gt;=$J875)*('Weekly Log'!$A$5:$A$5000&lt;$J875+7)*('Weekly Log'!$M$5:$M$5000&lt;&gt;"")),'Weekly Log'!$M$5:$M$5000),0))</f>
        <v/>
      </c>
      <c r="J875">
        <f>IF(COUNT('Weekly Log'!$A$5:$A$5000)=0,"",IF(MIN('Weekly Log'!$A$5:$A$5000)+7*(ROW()-10)&gt;MAX('Weekly Log'!$A$5:$A$5000),"",MIN('Weekly Log'!$A$5:$A$5000)+7*(ROW()-10)))</f>
        <v/>
      </c>
    </row>
    <row r="876">
      <c r="A876">
        <f>IF($J876="","",YEAR($J876-WEEKDAY($J876,2)+4)&amp;"-W"&amp;TEXT(WEEKNUM($J876,21),"00"))</f>
        <v/>
      </c>
      <c r="B876">
        <f>IF($J876="","",SUMIFS('Weekly Log'!$C:$C,'Weekly Log'!$A:$A,"&gt;="&amp;$J876,'Weekly Log'!$A:$A,"&lt;"&amp;$J876+7))</f>
        <v/>
      </c>
      <c r="C876">
        <f>IF($J876="","",IFERROR(COUNTIFS('Weekly Log'!$G:$G,"Y",'Weekly Log'!$A:$A,"&gt;="&amp;$J876,'Weekly Log'!$A:$A,"&lt;"&amp;$J876+7)/COUNTIFS('Weekly Log'!$G:$G,"&lt;&gt;",'Weekly Log'!$A:$A,"&gt;="&amp;$J876,'Weekly Log'!$A:$A,"&lt;"&amp;$J876+7),0))</f>
        <v/>
      </c>
      <c r="D876">
        <f>IF($J876="","",IFERROR(COUNTIFS('Weekly Log'!$H:$H,"Y",'Weekly Log'!$A:$A,"&gt;="&amp;$J876,'Weekly Log'!$A:$A,"&lt;"&amp;$J876+7)/COUNTIFS('Weekly Log'!$H:$H,"&lt;&gt;",'Weekly Log'!$A:$A,"&gt;="&amp;$J876,'Weekly Log'!$A:$A,"&lt;"&amp;$J876+7),0))</f>
        <v/>
      </c>
      <c r="E876">
        <f>IF($J876="","",IFERROR(AVERAGEIFS('Weekly Log'!$F:$F,'Weekly Log'!$A:$A,"&gt;="&amp;$J876,'Weekly Log'!$A:$A,"&lt;"&amp;$J876+7),0))</f>
        <v/>
      </c>
      <c r="F876">
        <f>IF($J876="","",IFERROR(SUMIFS('Weekly Log'!$F:$F,'Weekly Log'!$A:$A,"&gt;="&amp;$J876,'Weekly Log'!$A:$A,"&lt;"&amp;$J876+7)/SUMIFS('Weekly Log'!$E:$E,'Weekly Log'!$A:$A,"&gt;="&amp;$J876,'Weekly Log'!$A:$A,"&lt;"&amp;$J876+7),0))</f>
        <v/>
      </c>
      <c r="G876">
        <f>IF($J876="","",IFERROR(LOOKUP(2,1/(('Weekly Log'!$A$5:$A$5000&gt;=$J876)*('Weekly Log'!$A$5:$A$5000&lt;$J876+7)*('Weekly Log'!$M$5:$M$5000&lt;&gt;"")),'Weekly Log'!$M$5:$M$5000),0))</f>
        <v/>
      </c>
      <c r="J876">
        <f>IF(COUNT('Weekly Log'!$A$5:$A$5000)=0,"",IF(MIN('Weekly Log'!$A$5:$A$5000)+7*(ROW()-10)&gt;MAX('Weekly Log'!$A$5:$A$5000),"",MIN('Weekly Log'!$A$5:$A$5000)+7*(ROW()-10)))</f>
        <v/>
      </c>
    </row>
    <row r="877">
      <c r="A877">
        <f>IF($J877="","",YEAR($J877-WEEKDAY($J877,2)+4)&amp;"-W"&amp;TEXT(WEEKNUM($J877,21),"00"))</f>
        <v/>
      </c>
      <c r="B877">
        <f>IF($J877="","",SUMIFS('Weekly Log'!$C:$C,'Weekly Log'!$A:$A,"&gt;="&amp;$J877,'Weekly Log'!$A:$A,"&lt;"&amp;$J877+7))</f>
        <v/>
      </c>
      <c r="C877">
        <f>IF($J877="","",IFERROR(COUNTIFS('Weekly Log'!$G:$G,"Y",'Weekly Log'!$A:$A,"&gt;="&amp;$J877,'Weekly Log'!$A:$A,"&lt;"&amp;$J877+7)/COUNTIFS('Weekly Log'!$G:$G,"&lt;&gt;",'Weekly Log'!$A:$A,"&gt;="&amp;$J877,'Weekly Log'!$A:$A,"&lt;"&amp;$J877+7),0))</f>
        <v/>
      </c>
      <c r="D877">
        <f>IF($J877="","",IFERROR(COUNTIFS('Weekly Log'!$H:$H,"Y",'Weekly Log'!$A:$A,"&gt;="&amp;$J877,'Weekly Log'!$A:$A,"&lt;"&amp;$J877+7)/COUNTIFS('Weekly Log'!$H:$H,"&lt;&gt;",'Weekly Log'!$A:$A,"&gt;="&amp;$J877,'Weekly Log'!$A:$A,"&lt;"&amp;$J877+7),0))</f>
        <v/>
      </c>
      <c r="E877">
        <f>IF($J877="","",IFERROR(AVERAGEIFS('Weekly Log'!$F:$F,'Weekly Log'!$A:$A,"&gt;="&amp;$J877,'Weekly Log'!$A:$A,"&lt;"&amp;$J877+7),0))</f>
        <v/>
      </c>
      <c r="F877">
        <f>IF($J877="","",IFERROR(SUMIFS('Weekly Log'!$F:$F,'Weekly Log'!$A:$A,"&gt;="&amp;$J877,'Weekly Log'!$A:$A,"&lt;"&amp;$J877+7)/SUMIFS('Weekly Log'!$E:$E,'Weekly Log'!$A:$A,"&gt;="&amp;$J877,'Weekly Log'!$A:$A,"&lt;"&amp;$J877+7),0))</f>
        <v/>
      </c>
      <c r="G877">
        <f>IF($J877="","",IFERROR(LOOKUP(2,1/(('Weekly Log'!$A$5:$A$5000&gt;=$J877)*('Weekly Log'!$A$5:$A$5000&lt;$J877+7)*('Weekly Log'!$M$5:$M$5000&lt;&gt;"")),'Weekly Log'!$M$5:$M$5000),0))</f>
        <v/>
      </c>
      <c r="J877">
        <f>IF(COUNT('Weekly Log'!$A$5:$A$5000)=0,"",IF(MIN('Weekly Log'!$A$5:$A$5000)+7*(ROW()-10)&gt;MAX('Weekly Log'!$A$5:$A$5000),"",MIN('Weekly Log'!$A$5:$A$5000)+7*(ROW()-10)))</f>
        <v/>
      </c>
    </row>
    <row r="878">
      <c r="A878">
        <f>IF($J878="","",YEAR($J878-WEEKDAY($J878,2)+4)&amp;"-W"&amp;TEXT(WEEKNUM($J878,21),"00"))</f>
        <v/>
      </c>
      <c r="B878">
        <f>IF($J878="","",SUMIFS('Weekly Log'!$C:$C,'Weekly Log'!$A:$A,"&gt;="&amp;$J878,'Weekly Log'!$A:$A,"&lt;"&amp;$J878+7))</f>
        <v/>
      </c>
      <c r="C878">
        <f>IF($J878="","",IFERROR(COUNTIFS('Weekly Log'!$G:$G,"Y",'Weekly Log'!$A:$A,"&gt;="&amp;$J878,'Weekly Log'!$A:$A,"&lt;"&amp;$J878+7)/COUNTIFS('Weekly Log'!$G:$G,"&lt;&gt;",'Weekly Log'!$A:$A,"&gt;="&amp;$J878,'Weekly Log'!$A:$A,"&lt;"&amp;$J878+7),0))</f>
        <v/>
      </c>
      <c r="D878">
        <f>IF($J878="","",IFERROR(COUNTIFS('Weekly Log'!$H:$H,"Y",'Weekly Log'!$A:$A,"&gt;="&amp;$J878,'Weekly Log'!$A:$A,"&lt;"&amp;$J878+7)/COUNTIFS('Weekly Log'!$H:$H,"&lt;&gt;",'Weekly Log'!$A:$A,"&gt;="&amp;$J878,'Weekly Log'!$A:$A,"&lt;"&amp;$J878+7),0))</f>
        <v/>
      </c>
      <c r="E878">
        <f>IF($J878="","",IFERROR(AVERAGEIFS('Weekly Log'!$F:$F,'Weekly Log'!$A:$A,"&gt;="&amp;$J878,'Weekly Log'!$A:$A,"&lt;"&amp;$J878+7),0))</f>
        <v/>
      </c>
      <c r="F878">
        <f>IF($J878="","",IFERROR(SUMIFS('Weekly Log'!$F:$F,'Weekly Log'!$A:$A,"&gt;="&amp;$J878,'Weekly Log'!$A:$A,"&lt;"&amp;$J878+7)/SUMIFS('Weekly Log'!$E:$E,'Weekly Log'!$A:$A,"&gt;="&amp;$J878,'Weekly Log'!$A:$A,"&lt;"&amp;$J878+7),0))</f>
        <v/>
      </c>
      <c r="G878">
        <f>IF($J878="","",IFERROR(LOOKUP(2,1/(('Weekly Log'!$A$5:$A$5000&gt;=$J878)*('Weekly Log'!$A$5:$A$5000&lt;$J878+7)*('Weekly Log'!$M$5:$M$5000&lt;&gt;"")),'Weekly Log'!$M$5:$M$5000),0))</f>
        <v/>
      </c>
      <c r="J878">
        <f>IF(COUNT('Weekly Log'!$A$5:$A$5000)=0,"",IF(MIN('Weekly Log'!$A$5:$A$5000)+7*(ROW()-10)&gt;MAX('Weekly Log'!$A$5:$A$5000),"",MIN('Weekly Log'!$A$5:$A$5000)+7*(ROW()-10)))</f>
        <v/>
      </c>
    </row>
    <row r="879">
      <c r="A879">
        <f>IF($J879="","",YEAR($J879-WEEKDAY($J879,2)+4)&amp;"-W"&amp;TEXT(WEEKNUM($J879,21),"00"))</f>
        <v/>
      </c>
      <c r="B879">
        <f>IF($J879="","",SUMIFS('Weekly Log'!$C:$C,'Weekly Log'!$A:$A,"&gt;="&amp;$J879,'Weekly Log'!$A:$A,"&lt;"&amp;$J879+7))</f>
        <v/>
      </c>
      <c r="C879">
        <f>IF($J879="","",IFERROR(COUNTIFS('Weekly Log'!$G:$G,"Y",'Weekly Log'!$A:$A,"&gt;="&amp;$J879,'Weekly Log'!$A:$A,"&lt;"&amp;$J879+7)/COUNTIFS('Weekly Log'!$G:$G,"&lt;&gt;",'Weekly Log'!$A:$A,"&gt;="&amp;$J879,'Weekly Log'!$A:$A,"&lt;"&amp;$J879+7),0))</f>
        <v/>
      </c>
      <c r="D879">
        <f>IF($J879="","",IFERROR(COUNTIFS('Weekly Log'!$H:$H,"Y",'Weekly Log'!$A:$A,"&gt;="&amp;$J879,'Weekly Log'!$A:$A,"&lt;"&amp;$J879+7)/COUNTIFS('Weekly Log'!$H:$H,"&lt;&gt;",'Weekly Log'!$A:$A,"&gt;="&amp;$J879,'Weekly Log'!$A:$A,"&lt;"&amp;$J879+7),0))</f>
        <v/>
      </c>
      <c r="E879">
        <f>IF($J879="","",IFERROR(AVERAGEIFS('Weekly Log'!$F:$F,'Weekly Log'!$A:$A,"&gt;="&amp;$J879,'Weekly Log'!$A:$A,"&lt;"&amp;$J879+7),0))</f>
        <v/>
      </c>
      <c r="F879">
        <f>IF($J879="","",IFERROR(SUMIFS('Weekly Log'!$F:$F,'Weekly Log'!$A:$A,"&gt;="&amp;$J879,'Weekly Log'!$A:$A,"&lt;"&amp;$J879+7)/SUMIFS('Weekly Log'!$E:$E,'Weekly Log'!$A:$A,"&gt;="&amp;$J879,'Weekly Log'!$A:$A,"&lt;"&amp;$J879+7),0))</f>
        <v/>
      </c>
      <c r="G879">
        <f>IF($J879="","",IFERROR(LOOKUP(2,1/(('Weekly Log'!$A$5:$A$5000&gt;=$J879)*('Weekly Log'!$A$5:$A$5000&lt;$J879+7)*('Weekly Log'!$M$5:$M$5000&lt;&gt;"")),'Weekly Log'!$M$5:$M$5000),0))</f>
        <v/>
      </c>
      <c r="J879">
        <f>IF(COUNT('Weekly Log'!$A$5:$A$5000)=0,"",IF(MIN('Weekly Log'!$A$5:$A$5000)+7*(ROW()-10)&gt;MAX('Weekly Log'!$A$5:$A$5000),"",MIN('Weekly Log'!$A$5:$A$5000)+7*(ROW()-10)))</f>
        <v/>
      </c>
    </row>
    <row r="880">
      <c r="A880">
        <f>IF($J880="","",YEAR($J880-WEEKDAY($J880,2)+4)&amp;"-W"&amp;TEXT(WEEKNUM($J880,21),"00"))</f>
        <v/>
      </c>
      <c r="B880">
        <f>IF($J880="","",SUMIFS('Weekly Log'!$C:$C,'Weekly Log'!$A:$A,"&gt;="&amp;$J880,'Weekly Log'!$A:$A,"&lt;"&amp;$J880+7))</f>
        <v/>
      </c>
      <c r="C880">
        <f>IF($J880="","",IFERROR(COUNTIFS('Weekly Log'!$G:$G,"Y",'Weekly Log'!$A:$A,"&gt;="&amp;$J880,'Weekly Log'!$A:$A,"&lt;"&amp;$J880+7)/COUNTIFS('Weekly Log'!$G:$G,"&lt;&gt;",'Weekly Log'!$A:$A,"&gt;="&amp;$J880,'Weekly Log'!$A:$A,"&lt;"&amp;$J880+7),0))</f>
        <v/>
      </c>
      <c r="D880">
        <f>IF($J880="","",IFERROR(COUNTIFS('Weekly Log'!$H:$H,"Y",'Weekly Log'!$A:$A,"&gt;="&amp;$J880,'Weekly Log'!$A:$A,"&lt;"&amp;$J880+7)/COUNTIFS('Weekly Log'!$H:$H,"&lt;&gt;",'Weekly Log'!$A:$A,"&gt;="&amp;$J880,'Weekly Log'!$A:$A,"&lt;"&amp;$J880+7),0))</f>
        <v/>
      </c>
      <c r="E880">
        <f>IF($J880="","",IFERROR(AVERAGEIFS('Weekly Log'!$F:$F,'Weekly Log'!$A:$A,"&gt;="&amp;$J880,'Weekly Log'!$A:$A,"&lt;"&amp;$J880+7),0))</f>
        <v/>
      </c>
      <c r="F880">
        <f>IF($J880="","",IFERROR(SUMIFS('Weekly Log'!$F:$F,'Weekly Log'!$A:$A,"&gt;="&amp;$J880,'Weekly Log'!$A:$A,"&lt;"&amp;$J880+7)/SUMIFS('Weekly Log'!$E:$E,'Weekly Log'!$A:$A,"&gt;="&amp;$J880,'Weekly Log'!$A:$A,"&lt;"&amp;$J880+7),0))</f>
        <v/>
      </c>
      <c r="G880">
        <f>IF($J880="","",IFERROR(LOOKUP(2,1/(('Weekly Log'!$A$5:$A$5000&gt;=$J880)*('Weekly Log'!$A$5:$A$5000&lt;$J880+7)*('Weekly Log'!$M$5:$M$5000&lt;&gt;"")),'Weekly Log'!$M$5:$M$5000),0))</f>
        <v/>
      </c>
      <c r="J880">
        <f>IF(COUNT('Weekly Log'!$A$5:$A$5000)=0,"",IF(MIN('Weekly Log'!$A$5:$A$5000)+7*(ROW()-10)&gt;MAX('Weekly Log'!$A$5:$A$5000),"",MIN('Weekly Log'!$A$5:$A$5000)+7*(ROW()-10)))</f>
        <v/>
      </c>
    </row>
    <row r="881">
      <c r="A881">
        <f>IF($J881="","",YEAR($J881-WEEKDAY($J881,2)+4)&amp;"-W"&amp;TEXT(WEEKNUM($J881,21),"00"))</f>
        <v/>
      </c>
      <c r="B881">
        <f>IF($J881="","",SUMIFS('Weekly Log'!$C:$C,'Weekly Log'!$A:$A,"&gt;="&amp;$J881,'Weekly Log'!$A:$A,"&lt;"&amp;$J881+7))</f>
        <v/>
      </c>
      <c r="C881">
        <f>IF($J881="","",IFERROR(COUNTIFS('Weekly Log'!$G:$G,"Y",'Weekly Log'!$A:$A,"&gt;="&amp;$J881,'Weekly Log'!$A:$A,"&lt;"&amp;$J881+7)/COUNTIFS('Weekly Log'!$G:$G,"&lt;&gt;",'Weekly Log'!$A:$A,"&gt;="&amp;$J881,'Weekly Log'!$A:$A,"&lt;"&amp;$J881+7),0))</f>
        <v/>
      </c>
      <c r="D881">
        <f>IF($J881="","",IFERROR(COUNTIFS('Weekly Log'!$H:$H,"Y",'Weekly Log'!$A:$A,"&gt;="&amp;$J881,'Weekly Log'!$A:$A,"&lt;"&amp;$J881+7)/COUNTIFS('Weekly Log'!$H:$H,"&lt;&gt;",'Weekly Log'!$A:$A,"&gt;="&amp;$J881,'Weekly Log'!$A:$A,"&lt;"&amp;$J881+7),0))</f>
        <v/>
      </c>
      <c r="E881">
        <f>IF($J881="","",IFERROR(AVERAGEIFS('Weekly Log'!$F:$F,'Weekly Log'!$A:$A,"&gt;="&amp;$J881,'Weekly Log'!$A:$A,"&lt;"&amp;$J881+7),0))</f>
        <v/>
      </c>
      <c r="F881">
        <f>IF($J881="","",IFERROR(SUMIFS('Weekly Log'!$F:$F,'Weekly Log'!$A:$A,"&gt;="&amp;$J881,'Weekly Log'!$A:$A,"&lt;"&amp;$J881+7)/SUMIFS('Weekly Log'!$E:$E,'Weekly Log'!$A:$A,"&gt;="&amp;$J881,'Weekly Log'!$A:$A,"&lt;"&amp;$J881+7),0))</f>
        <v/>
      </c>
      <c r="G881">
        <f>IF($J881="","",IFERROR(LOOKUP(2,1/(('Weekly Log'!$A$5:$A$5000&gt;=$J881)*('Weekly Log'!$A$5:$A$5000&lt;$J881+7)*('Weekly Log'!$M$5:$M$5000&lt;&gt;"")),'Weekly Log'!$M$5:$M$5000),0))</f>
        <v/>
      </c>
      <c r="J881">
        <f>IF(COUNT('Weekly Log'!$A$5:$A$5000)=0,"",IF(MIN('Weekly Log'!$A$5:$A$5000)+7*(ROW()-10)&gt;MAX('Weekly Log'!$A$5:$A$5000),"",MIN('Weekly Log'!$A$5:$A$5000)+7*(ROW()-10)))</f>
        <v/>
      </c>
    </row>
    <row r="882">
      <c r="A882">
        <f>IF($J882="","",YEAR($J882-WEEKDAY($J882,2)+4)&amp;"-W"&amp;TEXT(WEEKNUM($J882,21),"00"))</f>
        <v/>
      </c>
      <c r="B882">
        <f>IF($J882="","",SUMIFS('Weekly Log'!$C:$C,'Weekly Log'!$A:$A,"&gt;="&amp;$J882,'Weekly Log'!$A:$A,"&lt;"&amp;$J882+7))</f>
        <v/>
      </c>
      <c r="C882">
        <f>IF($J882="","",IFERROR(COUNTIFS('Weekly Log'!$G:$G,"Y",'Weekly Log'!$A:$A,"&gt;="&amp;$J882,'Weekly Log'!$A:$A,"&lt;"&amp;$J882+7)/COUNTIFS('Weekly Log'!$G:$G,"&lt;&gt;",'Weekly Log'!$A:$A,"&gt;="&amp;$J882,'Weekly Log'!$A:$A,"&lt;"&amp;$J882+7),0))</f>
        <v/>
      </c>
      <c r="D882">
        <f>IF($J882="","",IFERROR(COUNTIFS('Weekly Log'!$H:$H,"Y",'Weekly Log'!$A:$A,"&gt;="&amp;$J882,'Weekly Log'!$A:$A,"&lt;"&amp;$J882+7)/COUNTIFS('Weekly Log'!$H:$H,"&lt;&gt;",'Weekly Log'!$A:$A,"&gt;="&amp;$J882,'Weekly Log'!$A:$A,"&lt;"&amp;$J882+7),0))</f>
        <v/>
      </c>
      <c r="E882">
        <f>IF($J882="","",IFERROR(AVERAGEIFS('Weekly Log'!$F:$F,'Weekly Log'!$A:$A,"&gt;="&amp;$J882,'Weekly Log'!$A:$A,"&lt;"&amp;$J882+7),0))</f>
        <v/>
      </c>
      <c r="F882">
        <f>IF($J882="","",IFERROR(SUMIFS('Weekly Log'!$F:$F,'Weekly Log'!$A:$A,"&gt;="&amp;$J882,'Weekly Log'!$A:$A,"&lt;"&amp;$J882+7)/SUMIFS('Weekly Log'!$E:$E,'Weekly Log'!$A:$A,"&gt;="&amp;$J882,'Weekly Log'!$A:$A,"&lt;"&amp;$J882+7),0))</f>
        <v/>
      </c>
      <c r="G882">
        <f>IF($J882="","",IFERROR(LOOKUP(2,1/(('Weekly Log'!$A$5:$A$5000&gt;=$J882)*('Weekly Log'!$A$5:$A$5000&lt;$J882+7)*('Weekly Log'!$M$5:$M$5000&lt;&gt;"")),'Weekly Log'!$M$5:$M$5000),0))</f>
        <v/>
      </c>
      <c r="J882">
        <f>IF(COUNT('Weekly Log'!$A$5:$A$5000)=0,"",IF(MIN('Weekly Log'!$A$5:$A$5000)+7*(ROW()-10)&gt;MAX('Weekly Log'!$A$5:$A$5000),"",MIN('Weekly Log'!$A$5:$A$5000)+7*(ROW()-10)))</f>
        <v/>
      </c>
    </row>
    <row r="883">
      <c r="A883">
        <f>IF($J883="","",YEAR($J883-WEEKDAY($J883,2)+4)&amp;"-W"&amp;TEXT(WEEKNUM($J883,21),"00"))</f>
        <v/>
      </c>
      <c r="B883">
        <f>IF($J883="","",SUMIFS('Weekly Log'!$C:$C,'Weekly Log'!$A:$A,"&gt;="&amp;$J883,'Weekly Log'!$A:$A,"&lt;"&amp;$J883+7))</f>
        <v/>
      </c>
      <c r="C883">
        <f>IF($J883="","",IFERROR(COUNTIFS('Weekly Log'!$G:$G,"Y",'Weekly Log'!$A:$A,"&gt;="&amp;$J883,'Weekly Log'!$A:$A,"&lt;"&amp;$J883+7)/COUNTIFS('Weekly Log'!$G:$G,"&lt;&gt;",'Weekly Log'!$A:$A,"&gt;="&amp;$J883,'Weekly Log'!$A:$A,"&lt;"&amp;$J883+7),0))</f>
        <v/>
      </c>
      <c r="D883">
        <f>IF($J883="","",IFERROR(COUNTIFS('Weekly Log'!$H:$H,"Y",'Weekly Log'!$A:$A,"&gt;="&amp;$J883,'Weekly Log'!$A:$A,"&lt;"&amp;$J883+7)/COUNTIFS('Weekly Log'!$H:$H,"&lt;&gt;",'Weekly Log'!$A:$A,"&gt;="&amp;$J883,'Weekly Log'!$A:$A,"&lt;"&amp;$J883+7),0))</f>
        <v/>
      </c>
      <c r="E883">
        <f>IF($J883="","",IFERROR(AVERAGEIFS('Weekly Log'!$F:$F,'Weekly Log'!$A:$A,"&gt;="&amp;$J883,'Weekly Log'!$A:$A,"&lt;"&amp;$J883+7),0))</f>
        <v/>
      </c>
      <c r="F883">
        <f>IF($J883="","",IFERROR(SUMIFS('Weekly Log'!$F:$F,'Weekly Log'!$A:$A,"&gt;="&amp;$J883,'Weekly Log'!$A:$A,"&lt;"&amp;$J883+7)/SUMIFS('Weekly Log'!$E:$E,'Weekly Log'!$A:$A,"&gt;="&amp;$J883,'Weekly Log'!$A:$A,"&lt;"&amp;$J883+7),0))</f>
        <v/>
      </c>
      <c r="G883">
        <f>IF($J883="","",IFERROR(LOOKUP(2,1/(('Weekly Log'!$A$5:$A$5000&gt;=$J883)*('Weekly Log'!$A$5:$A$5000&lt;$J883+7)*('Weekly Log'!$M$5:$M$5000&lt;&gt;"")),'Weekly Log'!$M$5:$M$5000),0))</f>
        <v/>
      </c>
      <c r="J883">
        <f>IF(COUNT('Weekly Log'!$A$5:$A$5000)=0,"",IF(MIN('Weekly Log'!$A$5:$A$5000)+7*(ROW()-10)&gt;MAX('Weekly Log'!$A$5:$A$5000),"",MIN('Weekly Log'!$A$5:$A$5000)+7*(ROW()-10)))</f>
        <v/>
      </c>
    </row>
    <row r="884">
      <c r="A884">
        <f>IF($J884="","",YEAR($J884-WEEKDAY($J884,2)+4)&amp;"-W"&amp;TEXT(WEEKNUM($J884,21),"00"))</f>
        <v/>
      </c>
      <c r="B884">
        <f>IF($J884="","",SUMIFS('Weekly Log'!$C:$C,'Weekly Log'!$A:$A,"&gt;="&amp;$J884,'Weekly Log'!$A:$A,"&lt;"&amp;$J884+7))</f>
        <v/>
      </c>
      <c r="C884">
        <f>IF($J884="","",IFERROR(COUNTIFS('Weekly Log'!$G:$G,"Y",'Weekly Log'!$A:$A,"&gt;="&amp;$J884,'Weekly Log'!$A:$A,"&lt;"&amp;$J884+7)/COUNTIFS('Weekly Log'!$G:$G,"&lt;&gt;",'Weekly Log'!$A:$A,"&gt;="&amp;$J884,'Weekly Log'!$A:$A,"&lt;"&amp;$J884+7),0))</f>
        <v/>
      </c>
      <c r="D884">
        <f>IF($J884="","",IFERROR(COUNTIFS('Weekly Log'!$H:$H,"Y",'Weekly Log'!$A:$A,"&gt;="&amp;$J884,'Weekly Log'!$A:$A,"&lt;"&amp;$J884+7)/COUNTIFS('Weekly Log'!$H:$H,"&lt;&gt;",'Weekly Log'!$A:$A,"&gt;="&amp;$J884,'Weekly Log'!$A:$A,"&lt;"&amp;$J884+7),0))</f>
        <v/>
      </c>
      <c r="E884">
        <f>IF($J884="","",IFERROR(AVERAGEIFS('Weekly Log'!$F:$F,'Weekly Log'!$A:$A,"&gt;="&amp;$J884,'Weekly Log'!$A:$A,"&lt;"&amp;$J884+7),0))</f>
        <v/>
      </c>
      <c r="F884">
        <f>IF($J884="","",IFERROR(SUMIFS('Weekly Log'!$F:$F,'Weekly Log'!$A:$A,"&gt;="&amp;$J884,'Weekly Log'!$A:$A,"&lt;"&amp;$J884+7)/SUMIFS('Weekly Log'!$E:$E,'Weekly Log'!$A:$A,"&gt;="&amp;$J884,'Weekly Log'!$A:$A,"&lt;"&amp;$J884+7),0))</f>
        <v/>
      </c>
      <c r="G884">
        <f>IF($J884="","",IFERROR(LOOKUP(2,1/(('Weekly Log'!$A$5:$A$5000&gt;=$J884)*('Weekly Log'!$A$5:$A$5000&lt;$J884+7)*('Weekly Log'!$M$5:$M$5000&lt;&gt;"")),'Weekly Log'!$M$5:$M$5000),0))</f>
        <v/>
      </c>
      <c r="J884">
        <f>IF(COUNT('Weekly Log'!$A$5:$A$5000)=0,"",IF(MIN('Weekly Log'!$A$5:$A$5000)+7*(ROW()-10)&gt;MAX('Weekly Log'!$A$5:$A$5000),"",MIN('Weekly Log'!$A$5:$A$5000)+7*(ROW()-10)))</f>
        <v/>
      </c>
    </row>
    <row r="885">
      <c r="A885">
        <f>IF($J885="","",YEAR($J885-WEEKDAY($J885,2)+4)&amp;"-W"&amp;TEXT(WEEKNUM($J885,21),"00"))</f>
        <v/>
      </c>
      <c r="B885">
        <f>IF($J885="","",SUMIFS('Weekly Log'!$C:$C,'Weekly Log'!$A:$A,"&gt;="&amp;$J885,'Weekly Log'!$A:$A,"&lt;"&amp;$J885+7))</f>
        <v/>
      </c>
      <c r="C885">
        <f>IF($J885="","",IFERROR(COUNTIFS('Weekly Log'!$G:$G,"Y",'Weekly Log'!$A:$A,"&gt;="&amp;$J885,'Weekly Log'!$A:$A,"&lt;"&amp;$J885+7)/COUNTIFS('Weekly Log'!$G:$G,"&lt;&gt;",'Weekly Log'!$A:$A,"&gt;="&amp;$J885,'Weekly Log'!$A:$A,"&lt;"&amp;$J885+7),0))</f>
        <v/>
      </c>
      <c r="D885">
        <f>IF($J885="","",IFERROR(COUNTIFS('Weekly Log'!$H:$H,"Y",'Weekly Log'!$A:$A,"&gt;="&amp;$J885,'Weekly Log'!$A:$A,"&lt;"&amp;$J885+7)/COUNTIFS('Weekly Log'!$H:$H,"&lt;&gt;",'Weekly Log'!$A:$A,"&gt;="&amp;$J885,'Weekly Log'!$A:$A,"&lt;"&amp;$J885+7),0))</f>
        <v/>
      </c>
      <c r="E885">
        <f>IF($J885="","",IFERROR(AVERAGEIFS('Weekly Log'!$F:$F,'Weekly Log'!$A:$A,"&gt;="&amp;$J885,'Weekly Log'!$A:$A,"&lt;"&amp;$J885+7),0))</f>
        <v/>
      </c>
      <c r="F885">
        <f>IF($J885="","",IFERROR(SUMIFS('Weekly Log'!$F:$F,'Weekly Log'!$A:$A,"&gt;="&amp;$J885,'Weekly Log'!$A:$A,"&lt;"&amp;$J885+7)/SUMIFS('Weekly Log'!$E:$E,'Weekly Log'!$A:$A,"&gt;="&amp;$J885,'Weekly Log'!$A:$A,"&lt;"&amp;$J885+7),0))</f>
        <v/>
      </c>
      <c r="G885">
        <f>IF($J885="","",IFERROR(LOOKUP(2,1/(('Weekly Log'!$A$5:$A$5000&gt;=$J885)*('Weekly Log'!$A$5:$A$5000&lt;$J885+7)*('Weekly Log'!$M$5:$M$5000&lt;&gt;"")),'Weekly Log'!$M$5:$M$5000),0))</f>
        <v/>
      </c>
      <c r="J885">
        <f>IF(COUNT('Weekly Log'!$A$5:$A$5000)=0,"",IF(MIN('Weekly Log'!$A$5:$A$5000)+7*(ROW()-10)&gt;MAX('Weekly Log'!$A$5:$A$5000),"",MIN('Weekly Log'!$A$5:$A$5000)+7*(ROW()-10)))</f>
        <v/>
      </c>
    </row>
    <row r="886">
      <c r="A886">
        <f>IF($J886="","",YEAR($J886-WEEKDAY($J886,2)+4)&amp;"-W"&amp;TEXT(WEEKNUM($J886,21),"00"))</f>
        <v/>
      </c>
      <c r="B886">
        <f>IF($J886="","",SUMIFS('Weekly Log'!$C:$C,'Weekly Log'!$A:$A,"&gt;="&amp;$J886,'Weekly Log'!$A:$A,"&lt;"&amp;$J886+7))</f>
        <v/>
      </c>
      <c r="C886">
        <f>IF($J886="","",IFERROR(COUNTIFS('Weekly Log'!$G:$G,"Y",'Weekly Log'!$A:$A,"&gt;="&amp;$J886,'Weekly Log'!$A:$A,"&lt;"&amp;$J886+7)/COUNTIFS('Weekly Log'!$G:$G,"&lt;&gt;",'Weekly Log'!$A:$A,"&gt;="&amp;$J886,'Weekly Log'!$A:$A,"&lt;"&amp;$J886+7),0))</f>
        <v/>
      </c>
      <c r="D886">
        <f>IF($J886="","",IFERROR(COUNTIFS('Weekly Log'!$H:$H,"Y",'Weekly Log'!$A:$A,"&gt;="&amp;$J886,'Weekly Log'!$A:$A,"&lt;"&amp;$J886+7)/COUNTIFS('Weekly Log'!$H:$H,"&lt;&gt;",'Weekly Log'!$A:$A,"&gt;="&amp;$J886,'Weekly Log'!$A:$A,"&lt;"&amp;$J886+7),0))</f>
        <v/>
      </c>
      <c r="E886">
        <f>IF($J886="","",IFERROR(AVERAGEIFS('Weekly Log'!$F:$F,'Weekly Log'!$A:$A,"&gt;="&amp;$J886,'Weekly Log'!$A:$A,"&lt;"&amp;$J886+7),0))</f>
        <v/>
      </c>
      <c r="F886">
        <f>IF($J886="","",IFERROR(SUMIFS('Weekly Log'!$F:$F,'Weekly Log'!$A:$A,"&gt;="&amp;$J886,'Weekly Log'!$A:$A,"&lt;"&amp;$J886+7)/SUMIFS('Weekly Log'!$E:$E,'Weekly Log'!$A:$A,"&gt;="&amp;$J886,'Weekly Log'!$A:$A,"&lt;"&amp;$J886+7),0))</f>
        <v/>
      </c>
      <c r="G886">
        <f>IF($J886="","",IFERROR(LOOKUP(2,1/(('Weekly Log'!$A$5:$A$5000&gt;=$J886)*('Weekly Log'!$A$5:$A$5000&lt;$J886+7)*('Weekly Log'!$M$5:$M$5000&lt;&gt;"")),'Weekly Log'!$M$5:$M$5000),0))</f>
        <v/>
      </c>
      <c r="J886">
        <f>IF(COUNT('Weekly Log'!$A$5:$A$5000)=0,"",IF(MIN('Weekly Log'!$A$5:$A$5000)+7*(ROW()-10)&gt;MAX('Weekly Log'!$A$5:$A$5000),"",MIN('Weekly Log'!$A$5:$A$5000)+7*(ROW()-10)))</f>
        <v/>
      </c>
    </row>
    <row r="887">
      <c r="A887">
        <f>IF($J887="","",YEAR($J887-WEEKDAY($J887,2)+4)&amp;"-W"&amp;TEXT(WEEKNUM($J887,21),"00"))</f>
        <v/>
      </c>
      <c r="B887">
        <f>IF($J887="","",SUMIFS('Weekly Log'!$C:$C,'Weekly Log'!$A:$A,"&gt;="&amp;$J887,'Weekly Log'!$A:$A,"&lt;"&amp;$J887+7))</f>
        <v/>
      </c>
      <c r="C887">
        <f>IF($J887="","",IFERROR(COUNTIFS('Weekly Log'!$G:$G,"Y",'Weekly Log'!$A:$A,"&gt;="&amp;$J887,'Weekly Log'!$A:$A,"&lt;"&amp;$J887+7)/COUNTIFS('Weekly Log'!$G:$G,"&lt;&gt;",'Weekly Log'!$A:$A,"&gt;="&amp;$J887,'Weekly Log'!$A:$A,"&lt;"&amp;$J887+7),0))</f>
        <v/>
      </c>
      <c r="D887">
        <f>IF($J887="","",IFERROR(COUNTIFS('Weekly Log'!$H:$H,"Y",'Weekly Log'!$A:$A,"&gt;="&amp;$J887,'Weekly Log'!$A:$A,"&lt;"&amp;$J887+7)/COUNTIFS('Weekly Log'!$H:$H,"&lt;&gt;",'Weekly Log'!$A:$A,"&gt;="&amp;$J887,'Weekly Log'!$A:$A,"&lt;"&amp;$J887+7),0))</f>
        <v/>
      </c>
      <c r="E887">
        <f>IF($J887="","",IFERROR(AVERAGEIFS('Weekly Log'!$F:$F,'Weekly Log'!$A:$A,"&gt;="&amp;$J887,'Weekly Log'!$A:$A,"&lt;"&amp;$J887+7),0))</f>
        <v/>
      </c>
      <c r="F887">
        <f>IF($J887="","",IFERROR(SUMIFS('Weekly Log'!$F:$F,'Weekly Log'!$A:$A,"&gt;="&amp;$J887,'Weekly Log'!$A:$A,"&lt;"&amp;$J887+7)/SUMIFS('Weekly Log'!$E:$E,'Weekly Log'!$A:$A,"&gt;="&amp;$J887,'Weekly Log'!$A:$A,"&lt;"&amp;$J887+7),0))</f>
        <v/>
      </c>
      <c r="G887">
        <f>IF($J887="","",IFERROR(LOOKUP(2,1/(('Weekly Log'!$A$5:$A$5000&gt;=$J887)*('Weekly Log'!$A$5:$A$5000&lt;$J887+7)*('Weekly Log'!$M$5:$M$5000&lt;&gt;"")),'Weekly Log'!$M$5:$M$5000),0))</f>
        <v/>
      </c>
      <c r="J887">
        <f>IF(COUNT('Weekly Log'!$A$5:$A$5000)=0,"",IF(MIN('Weekly Log'!$A$5:$A$5000)+7*(ROW()-10)&gt;MAX('Weekly Log'!$A$5:$A$5000),"",MIN('Weekly Log'!$A$5:$A$5000)+7*(ROW()-10)))</f>
        <v/>
      </c>
    </row>
    <row r="888">
      <c r="A888">
        <f>IF($J888="","",YEAR($J888-WEEKDAY($J888,2)+4)&amp;"-W"&amp;TEXT(WEEKNUM($J888,21),"00"))</f>
        <v/>
      </c>
      <c r="B888">
        <f>IF($J888="","",SUMIFS('Weekly Log'!$C:$C,'Weekly Log'!$A:$A,"&gt;="&amp;$J888,'Weekly Log'!$A:$A,"&lt;"&amp;$J888+7))</f>
        <v/>
      </c>
      <c r="C888">
        <f>IF($J888="","",IFERROR(COUNTIFS('Weekly Log'!$G:$G,"Y",'Weekly Log'!$A:$A,"&gt;="&amp;$J888,'Weekly Log'!$A:$A,"&lt;"&amp;$J888+7)/COUNTIFS('Weekly Log'!$G:$G,"&lt;&gt;",'Weekly Log'!$A:$A,"&gt;="&amp;$J888,'Weekly Log'!$A:$A,"&lt;"&amp;$J888+7),0))</f>
        <v/>
      </c>
      <c r="D888">
        <f>IF($J888="","",IFERROR(COUNTIFS('Weekly Log'!$H:$H,"Y",'Weekly Log'!$A:$A,"&gt;="&amp;$J888,'Weekly Log'!$A:$A,"&lt;"&amp;$J888+7)/COUNTIFS('Weekly Log'!$H:$H,"&lt;&gt;",'Weekly Log'!$A:$A,"&gt;="&amp;$J888,'Weekly Log'!$A:$A,"&lt;"&amp;$J888+7),0))</f>
        <v/>
      </c>
      <c r="E888">
        <f>IF($J888="","",IFERROR(AVERAGEIFS('Weekly Log'!$F:$F,'Weekly Log'!$A:$A,"&gt;="&amp;$J888,'Weekly Log'!$A:$A,"&lt;"&amp;$J888+7),0))</f>
        <v/>
      </c>
      <c r="F888">
        <f>IF($J888="","",IFERROR(SUMIFS('Weekly Log'!$F:$F,'Weekly Log'!$A:$A,"&gt;="&amp;$J888,'Weekly Log'!$A:$A,"&lt;"&amp;$J888+7)/SUMIFS('Weekly Log'!$E:$E,'Weekly Log'!$A:$A,"&gt;="&amp;$J888,'Weekly Log'!$A:$A,"&lt;"&amp;$J888+7),0))</f>
        <v/>
      </c>
      <c r="G888">
        <f>IF($J888="","",IFERROR(LOOKUP(2,1/(('Weekly Log'!$A$5:$A$5000&gt;=$J888)*('Weekly Log'!$A$5:$A$5000&lt;$J888+7)*('Weekly Log'!$M$5:$M$5000&lt;&gt;"")),'Weekly Log'!$M$5:$M$5000),0))</f>
        <v/>
      </c>
      <c r="J888">
        <f>IF(COUNT('Weekly Log'!$A$5:$A$5000)=0,"",IF(MIN('Weekly Log'!$A$5:$A$5000)+7*(ROW()-10)&gt;MAX('Weekly Log'!$A$5:$A$5000),"",MIN('Weekly Log'!$A$5:$A$5000)+7*(ROW()-10)))</f>
        <v/>
      </c>
    </row>
    <row r="889">
      <c r="A889">
        <f>IF($J889="","",YEAR($J889-WEEKDAY($J889,2)+4)&amp;"-W"&amp;TEXT(WEEKNUM($J889,21),"00"))</f>
        <v/>
      </c>
      <c r="B889">
        <f>IF($J889="","",SUMIFS('Weekly Log'!$C:$C,'Weekly Log'!$A:$A,"&gt;="&amp;$J889,'Weekly Log'!$A:$A,"&lt;"&amp;$J889+7))</f>
        <v/>
      </c>
      <c r="C889">
        <f>IF($J889="","",IFERROR(COUNTIFS('Weekly Log'!$G:$G,"Y",'Weekly Log'!$A:$A,"&gt;="&amp;$J889,'Weekly Log'!$A:$A,"&lt;"&amp;$J889+7)/COUNTIFS('Weekly Log'!$G:$G,"&lt;&gt;",'Weekly Log'!$A:$A,"&gt;="&amp;$J889,'Weekly Log'!$A:$A,"&lt;"&amp;$J889+7),0))</f>
        <v/>
      </c>
      <c r="D889">
        <f>IF($J889="","",IFERROR(COUNTIFS('Weekly Log'!$H:$H,"Y",'Weekly Log'!$A:$A,"&gt;="&amp;$J889,'Weekly Log'!$A:$A,"&lt;"&amp;$J889+7)/COUNTIFS('Weekly Log'!$H:$H,"&lt;&gt;",'Weekly Log'!$A:$A,"&gt;="&amp;$J889,'Weekly Log'!$A:$A,"&lt;"&amp;$J889+7),0))</f>
        <v/>
      </c>
      <c r="E889">
        <f>IF($J889="","",IFERROR(AVERAGEIFS('Weekly Log'!$F:$F,'Weekly Log'!$A:$A,"&gt;="&amp;$J889,'Weekly Log'!$A:$A,"&lt;"&amp;$J889+7),0))</f>
        <v/>
      </c>
      <c r="F889">
        <f>IF($J889="","",IFERROR(SUMIFS('Weekly Log'!$F:$F,'Weekly Log'!$A:$A,"&gt;="&amp;$J889,'Weekly Log'!$A:$A,"&lt;"&amp;$J889+7)/SUMIFS('Weekly Log'!$E:$E,'Weekly Log'!$A:$A,"&gt;="&amp;$J889,'Weekly Log'!$A:$A,"&lt;"&amp;$J889+7),0))</f>
        <v/>
      </c>
      <c r="G889">
        <f>IF($J889="","",IFERROR(LOOKUP(2,1/(('Weekly Log'!$A$5:$A$5000&gt;=$J889)*('Weekly Log'!$A$5:$A$5000&lt;$J889+7)*('Weekly Log'!$M$5:$M$5000&lt;&gt;"")),'Weekly Log'!$M$5:$M$5000),0))</f>
        <v/>
      </c>
      <c r="J889">
        <f>IF(COUNT('Weekly Log'!$A$5:$A$5000)=0,"",IF(MIN('Weekly Log'!$A$5:$A$5000)+7*(ROW()-10)&gt;MAX('Weekly Log'!$A$5:$A$5000),"",MIN('Weekly Log'!$A$5:$A$5000)+7*(ROW()-10)))</f>
        <v/>
      </c>
    </row>
    <row r="890">
      <c r="A890">
        <f>IF($J890="","",YEAR($J890-WEEKDAY($J890,2)+4)&amp;"-W"&amp;TEXT(WEEKNUM($J890,21),"00"))</f>
        <v/>
      </c>
      <c r="B890">
        <f>IF($J890="","",SUMIFS('Weekly Log'!$C:$C,'Weekly Log'!$A:$A,"&gt;="&amp;$J890,'Weekly Log'!$A:$A,"&lt;"&amp;$J890+7))</f>
        <v/>
      </c>
      <c r="C890">
        <f>IF($J890="","",IFERROR(COUNTIFS('Weekly Log'!$G:$G,"Y",'Weekly Log'!$A:$A,"&gt;="&amp;$J890,'Weekly Log'!$A:$A,"&lt;"&amp;$J890+7)/COUNTIFS('Weekly Log'!$G:$G,"&lt;&gt;",'Weekly Log'!$A:$A,"&gt;="&amp;$J890,'Weekly Log'!$A:$A,"&lt;"&amp;$J890+7),0))</f>
        <v/>
      </c>
      <c r="D890">
        <f>IF($J890="","",IFERROR(COUNTIFS('Weekly Log'!$H:$H,"Y",'Weekly Log'!$A:$A,"&gt;="&amp;$J890,'Weekly Log'!$A:$A,"&lt;"&amp;$J890+7)/COUNTIFS('Weekly Log'!$H:$H,"&lt;&gt;",'Weekly Log'!$A:$A,"&gt;="&amp;$J890,'Weekly Log'!$A:$A,"&lt;"&amp;$J890+7),0))</f>
        <v/>
      </c>
      <c r="E890">
        <f>IF($J890="","",IFERROR(AVERAGEIFS('Weekly Log'!$F:$F,'Weekly Log'!$A:$A,"&gt;="&amp;$J890,'Weekly Log'!$A:$A,"&lt;"&amp;$J890+7),0))</f>
        <v/>
      </c>
      <c r="F890">
        <f>IF($J890="","",IFERROR(SUMIFS('Weekly Log'!$F:$F,'Weekly Log'!$A:$A,"&gt;="&amp;$J890,'Weekly Log'!$A:$A,"&lt;"&amp;$J890+7)/SUMIFS('Weekly Log'!$E:$E,'Weekly Log'!$A:$A,"&gt;="&amp;$J890,'Weekly Log'!$A:$A,"&lt;"&amp;$J890+7),0))</f>
        <v/>
      </c>
      <c r="G890">
        <f>IF($J890="","",IFERROR(LOOKUP(2,1/(('Weekly Log'!$A$5:$A$5000&gt;=$J890)*('Weekly Log'!$A$5:$A$5000&lt;$J890+7)*('Weekly Log'!$M$5:$M$5000&lt;&gt;"")),'Weekly Log'!$M$5:$M$5000),0))</f>
        <v/>
      </c>
      <c r="J890">
        <f>IF(COUNT('Weekly Log'!$A$5:$A$5000)=0,"",IF(MIN('Weekly Log'!$A$5:$A$5000)+7*(ROW()-10)&gt;MAX('Weekly Log'!$A$5:$A$5000),"",MIN('Weekly Log'!$A$5:$A$5000)+7*(ROW()-10)))</f>
        <v/>
      </c>
    </row>
    <row r="891">
      <c r="A891">
        <f>IF($J891="","",YEAR($J891-WEEKDAY($J891,2)+4)&amp;"-W"&amp;TEXT(WEEKNUM($J891,21),"00"))</f>
        <v/>
      </c>
      <c r="B891">
        <f>IF($J891="","",SUMIFS('Weekly Log'!$C:$C,'Weekly Log'!$A:$A,"&gt;="&amp;$J891,'Weekly Log'!$A:$A,"&lt;"&amp;$J891+7))</f>
        <v/>
      </c>
      <c r="C891">
        <f>IF($J891="","",IFERROR(COUNTIFS('Weekly Log'!$G:$G,"Y",'Weekly Log'!$A:$A,"&gt;="&amp;$J891,'Weekly Log'!$A:$A,"&lt;"&amp;$J891+7)/COUNTIFS('Weekly Log'!$G:$G,"&lt;&gt;",'Weekly Log'!$A:$A,"&gt;="&amp;$J891,'Weekly Log'!$A:$A,"&lt;"&amp;$J891+7),0))</f>
        <v/>
      </c>
      <c r="D891">
        <f>IF($J891="","",IFERROR(COUNTIFS('Weekly Log'!$H:$H,"Y",'Weekly Log'!$A:$A,"&gt;="&amp;$J891,'Weekly Log'!$A:$A,"&lt;"&amp;$J891+7)/COUNTIFS('Weekly Log'!$H:$H,"&lt;&gt;",'Weekly Log'!$A:$A,"&gt;="&amp;$J891,'Weekly Log'!$A:$A,"&lt;"&amp;$J891+7),0))</f>
        <v/>
      </c>
      <c r="E891">
        <f>IF($J891="","",IFERROR(AVERAGEIFS('Weekly Log'!$F:$F,'Weekly Log'!$A:$A,"&gt;="&amp;$J891,'Weekly Log'!$A:$A,"&lt;"&amp;$J891+7),0))</f>
        <v/>
      </c>
      <c r="F891">
        <f>IF($J891="","",IFERROR(SUMIFS('Weekly Log'!$F:$F,'Weekly Log'!$A:$A,"&gt;="&amp;$J891,'Weekly Log'!$A:$A,"&lt;"&amp;$J891+7)/SUMIFS('Weekly Log'!$E:$E,'Weekly Log'!$A:$A,"&gt;="&amp;$J891,'Weekly Log'!$A:$A,"&lt;"&amp;$J891+7),0))</f>
        <v/>
      </c>
      <c r="G891">
        <f>IF($J891="","",IFERROR(LOOKUP(2,1/(('Weekly Log'!$A$5:$A$5000&gt;=$J891)*('Weekly Log'!$A$5:$A$5000&lt;$J891+7)*('Weekly Log'!$M$5:$M$5000&lt;&gt;"")),'Weekly Log'!$M$5:$M$5000),0))</f>
        <v/>
      </c>
      <c r="J891">
        <f>IF(COUNT('Weekly Log'!$A$5:$A$5000)=0,"",IF(MIN('Weekly Log'!$A$5:$A$5000)+7*(ROW()-10)&gt;MAX('Weekly Log'!$A$5:$A$5000),"",MIN('Weekly Log'!$A$5:$A$5000)+7*(ROW()-10)))</f>
        <v/>
      </c>
    </row>
    <row r="892">
      <c r="A892">
        <f>IF($J892="","",YEAR($J892-WEEKDAY($J892,2)+4)&amp;"-W"&amp;TEXT(WEEKNUM($J892,21),"00"))</f>
        <v/>
      </c>
      <c r="B892">
        <f>IF($J892="","",SUMIFS('Weekly Log'!$C:$C,'Weekly Log'!$A:$A,"&gt;="&amp;$J892,'Weekly Log'!$A:$A,"&lt;"&amp;$J892+7))</f>
        <v/>
      </c>
      <c r="C892">
        <f>IF($J892="","",IFERROR(COUNTIFS('Weekly Log'!$G:$G,"Y",'Weekly Log'!$A:$A,"&gt;="&amp;$J892,'Weekly Log'!$A:$A,"&lt;"&amp;$J892+7)/COUNTIFS('Weekly Log'!$G:$G,"&lt;&gt;",'Weekly Log'!$A:$A,"&gt;="&amp;$J892,'Weekly Log'!$A:$A,"&lt;"&amp;$J892+7),0))</f>
        <v/>
      </c>
      <c r="D892">
        <f>IF($J892="","",IFERROR(COUNTIFS('Weekly Log'!$H:$H,"Y",'Weekly Log'!$A:$A,"&gt;="&amp;$J892,'Weekly Log'!$A:$A,"&lt;"&amp;$J892+7)/COUNTIFS('Weekly Log'!$H:$H,"&lt;&gt;",'Weekly Log'!$A:$A,"&gt;="&amp;$J892,'Weekly Log'!$A:$A,"&lt;"&amp;$J892+7),0))</f>
        <v/>
      </c>
      <c r="E892">
        <f>IF($J892="","",IFERROR(AVERAGEIFS('Weekly Log'!$F:$F,'Weekly Log'!$A:$A,"&gt;="&amp;$J892,'Weekly Log'!$A:$A,"&lt;"&amp;$J892+7),0))</f>
        <v/>
      </c>
      <c r="F892">
        <f>IF($J892="","",IFERROR(SUMIFS('Weekly Log'!$F:$F,'Weekly Log'!$A:$A,"&gt;="&amp;$J892,'Weekly Log'!$A:$A,"&lt;"&amp;$J892+7)/SUMIFS('Weekly Log'!$E:$E,'Weekly Log'!$A:$A,"&gt;="&amp;$J892,'Weekly Log'!$A:$A,"&lt;"&amp;$J892+7),0))</f>
        <v/>
      </c>
      <c r="G892">
        <f>IF($J892="","",IFERROR(LOOKUP(2,1/(('Weekly Log'!$A$5:$A$5000&gt;=$J892)*('Weekly Log'!$A$5:$A$5000&lt;$J892+7)*('Weekly Log'!$M$5:$M$5000&lt;&gt;"")),'Weekly Log'!$M$5:$M$5000),0))</f>
        <v/>
      </c>
      <c r="J892">
        <f>IF(COUNT('Weekly Log'!$A$5:$A$5000)=0,"",IF(MIN('Weekly Log'!$A$5:$A$5000)+7*(ROW()-10)&gt;MAX('Weekly Log'!$A$5:$A$5000),"",MIN('Weekly Log'!$A$5:$A$5000)+7*(ROW()-10)))</f>
        <v/>
      </c>
    </row>
    <row r="893">
      <c r="A893">
        <f>IF($J893="","",YEAR($J893-WEEKDAY($J893,2)+4)&amp;"-W"&amp;TEXT(WEEKNUM($J893,21),"00"))</f>
        <v/>
      </c>
      <c r="B893">
        <f>IF($J893="","",SUMIFS('Weekly Log'!$C:$C,'Weekly Log'!$A:$A,"&gt;="&amp;$J893,'Weekly Log'!$A:$A,"&lt;"&amp;$J893+7))</f>
        <v/>
      </c>
      <c r="C893">
        <f>IF($J893="","",IFERROR(COUNTIFS('Weekly Log'!$G:$G,"Y",'Weekly Log'!$A:$A,"&gt;="&amp;$J893,'Weekly Log'!$A:$A,"&lt;"&amp;$J893+7)/COUNTIFS('Weekly Log'!$G:$G,"&lt;&gt;",'Weekly Log'!$A:$A,"&gt;="&amp;$J893,'Weekly Log'!$A:$A,"&lt;"&amp;$J893+7),0))</f>
        <v/>
      </c>
      <c r="D893">
        <f>IF($J893="","",IFERROR(COUNTIFS('Weekly Log'!$H:$H,"Y",'Weekly Log'!$A:$A,"&gt;="&amp;$J893,'Weekly Log'!$A:$A,"&lt;"&amp;$J893+7)/COUNTIFS('Weekly Log'!$H:$H,"&lt;&gt;",'Weekly Log'!$A:$A,"&gt;="&amp;$J893,'Weekly Log'!$A:$A,"&lt;"&amp;$J893+7),0))</f>
        <v/>
      </c>
      <c r="E893">
        <f>IF($J893="","",IFERROR(AVERAGEIFS('Weekly Log'!$F:$F,'Weekly Log'!$A:$A,"&gt;="&amp;$J893,'Weekly Log'!$A:$A,"&lt;"&amp;$J893+7),0))</f>
        <v/>
      </c>
      <c r="F893">
        <f>IF($J893="","",IFERROR(SUMIFS('Weekly Log'!$F:$F,'Weekly Log'!$A:$A,"&gt;="&amp;$J893,'Weekly Log'!$A:$A,"&lt;"&amp;$J893+7)/SUMIFS('Weekly Log'!$E:$E,'Weekly Log'!$A:$A,"&gt;="&amp;$J893,'Weekly Log'!$A:$A,"&lt;"&amp;$J893+7),0))</f>
        <v/>
      </c>
      <c r="G893">
        <f>IF($J893="","",IFERROR(LOOKUP(2,1/(('Weekly Log'!$A$5:$A$5000&gt;=$J893)*('Weekly Log'!$A$5:$A$5000&lt;$J893+7)*('Weekly Log'!$M$5:$M$5000&lt;&gt;"")),'Weekly Log'!$M$5:$M$5000),0))</f>
        <v/>
      </c>
      <c r="J893">
        <f>IF(COUNT('Weekly Log'!$A$5:$A$5000)=0,"",IF(MIN('Weekly Log'!$A$5:$A$5000)+7*(ROW()-10)&gt;MAX('Weekly Log'!$A$5:$A$5000),"",MIN('Weekly Log'!$A$5:$A$5000)+7*(ROW()-10)))</f>
        <v/>
      </c>
    </row>
    <row r="894">
      <c r="A894">
        <f>IF($J894="","",YEAR($J894-WEEKDAY($J894,2)+4)&amp;"-W"&amp;TEXT(WEEKNUM($J894,21),"00"))</f>
        <v/>
      </c>
      <c r="B894">
        <f>IF($J894="","",SUMIFS('Weekly Log'!$C:$C,'Weekly Log'!$A:$A,"&gt;="&amp;$J894,'Weekly Log'!$A:$A,"&lt;"&amp;$J894+7))</f>
        <v/>
      </c>
      <c r="C894">
        <f>IF($J894="","",IFERROR(COUNTIFS('Weekly Log'!$G:$G,"Y",'Weekly Log'!$A:$A,"&gt;="&amp;$J894,'Weekly Log'!$A:$A,"&lt;"&amp;$J894+7)/COUNTIFS('Weekly Log'!$G:$G,"&lt;&gt;",'Weekly Log'!$A:$A,"&gt;="&amp;$J894,'Weekly Log'!$A:$A,"&lt;"&amp;$J894+7),0))</f>
        <v/>
      </c>
      <c r="D894">
        <f>IF($J894="","",IFERROR(COUNTIFS('Weekly Log'!$H:$H,"Y",'Weekly Log'!$A:$A,"&gt;="&amp;$J894,'Weekly Log'!$A:$A,"&lt;"&amp;$J894+7)/COUNTIFS('Weekly Log'!$H:$H,"&lt;&gt;",'Weekly Log'!$A:$A,"&gt;="&amp;$J894,'Weekly Log'!$A:$A,"&lt;"&amp;$J894+7),0))</f>
        <v/>
      </c>
      <c r="E894">
        <f>IF($J894="","",IFERROR(AVERAGEIFS('Weekly Log'!$F:$F,'Weekly Log'!$A:$A,"&gt;="&amp;$J894,'Weekly Log'!$A:$A,"&lt;"&amp;$J894+7),0))</f>
        <v/>
      </c>
      <c r="F894">
        <f>IF($J894="","",IFERROR(SUMIFS('Weekly Log'!$F:$F,'Weekly Log'!$A:$A,"&gt;="&amp;$J894,'Weekly Log'!$A:$A,"&lt;"&amp;$J894+7)/SUMIFS('Weekly Log'!$E:$E,'Weekly Log'!$A:$A,"&gt;="&amp;$J894,'Weekly Log'!$A:$A,"&lt;"&amp;$J894+7),0))</f>
        <v/>
      </c>
      <c r="G894">
        <f>IF($J894="","",IFERROR(LOOKUP(2,1/(('Weekly Log'!$A$5:$A$5000&gt;=$J894)*('Weekly Log'!$A$5:$A$5000&lt;$J894+7)*('Weekly Log'!$M$5:$M$5000&lt;&gt;"")),'Weekly Log'!$M$5:$M$5000),0))</f>
        <v/>
      </c>
      <c r="J894">
        <f>IF(COUNT('Weekly Log'!$A$5:$A$5000)=0,"",IF(MIN('Weekly Log'!$A$5:$A$5000)+7*(ROW()-10)&gt;MAX('Weekly Log'!$A$5:$A$5000),"",MIN('Weekly Log'!$A$5:$A$5000)+7*(ROW()-10)))</f>
        <v/>
      </c>
    </row>
    <row r="895">
      <c r="A895">
        <f>IF($J895="","",YEAR($J895-WEEKDAY($J895,2)+4)&amp;"-W"&amp;TEXT(WEEKNUM($J895,21),"00"))</f>
        <v/>
      </c>
      <c r="B895">
        <f>IF($J895="","",SUMIFS('Weekly Log'!$C:$C,'Weekly Log'!$A:$A,"&gt;="&amp;$J895,'Weekly Log'!$A:$A,"&lt;"&amp;$J895+7))</f>
        <v/>
      </c>
      <c r="C895">
        <f>IF($J895="","",IFERROR(COUNTIFS('Weekly Log'!$G:$G,"Y",'Weekly Log'!$A:$A,"&gt;="&amp;$J895,'Weekly Log'!$A:$A,"&lt;"&amp;$J895+7)/COUNTIFS('Weekly Log'!$G:$G,"&lt;&gt;",'Weekly Log'!$A:$A,"&gt;="&amp;$J895,'Weekly Log'!$A:$A,"&lt;"&amp;$J895+7),0))</f>
        <v/>
      </c>
      <c r="D895">
        <f>IF($J895="","",IFERROR(COUNTIFS('Weekly Log'!$H:$H,"Y",'Weekly Log'!$A:$A,"&gt;="&amp;$J895,'Weekly Log'!$A:$A,"&lt;"&amp;$J895+7)/COUNTIFS('Weekly Log'!$H:$H,"&lt;&gt;",'Weekly Log'!$A:$A,"&gt;="&amp;$J895,'Weekly Log'!$A:$A,"&lt;"&amp;$J895+7),0))</f>
        <v/>
      </c>
      <c r="E895">
        <f>IF($J895="","",IFERROR(AVERAGEIFS('Weekly Log'!$F:$F,'Weekly Log'!$A:$A,"&gt;="&amp;$J895,'Weekly Log'!$A:$A,"&lt;"&amp;$J895+7),0))</f>
        <v/>
      </c>
      <c r="F895">
        <f>IF($J895="","",IFERROR(SUMIFS('Weekly Log'!$F:$F,'Weekly Log'!$A:$A,"&gt;="&amp;$J895,'Weekly Log'!$A:$A,"&lt;"&amp;$J895+7)/SUMIFS('Weekly Log'!$E:$E,'Weekly Log'!$A:$A,"&gt;="&amp;$J895,'Weekly Log'!$A:$A,"&lt;"&amp;$J895+7),0))</f>
        <v/>
      </c>
      <c r="G895">
        <f>IF($J895="","",IFERROR(LOOKUP(2,1/(('Weekly Log'!$A$5:$A$5000&gt;=$J895)*('Weekly Log'!$A$5:$A$5000&lt;$J895+7)*('Weekly Log'!$M$5:$M$5000&lt;&gt;"")),'Weekly Log'!$M$5:$M$5000),0))</f>
        <v/>
      </c>
      <c r="J895">
        <f>IF(COUNT('Weekly Log'!$A$5:$A$5000)=0,"",IF(MIN('Weekly Log'!$A$5:$A$5000)+7*(ROW()-10)&gt;MAX('Weekly Log'!$A$5:$A$5000),"",MIN('Weekly Log'!$A$5:$A$5000)+7*(ROW()-10)))</f>
        <v/>
      </c>
    </row>
    <row r="896">
      <c r="A896">
        <f>IF($J896="","",YEAR($J896-WEEKDAY($J896,2)+4)&amp;"-W"&amp;TEXT(WEEKNUM($J896,21),"00"))</f>
        <v/>
      </c>
      <c r="B896">
        <f>IF($J896="","",SUMIFS('Weekly Log'!$C:$C,'Weekly Log'!$A:$A,"&gt;="&amp;$J896,'Weekly Log'!$A:$A,"&lt;"&amp;$J896+7))</f>
        <v/>
      </c>
      <c r="C896">
        <f>IF($J896="","",IFERROR(COUNTIFS('Weekly Log'!$G:$G,"Y",'Weekly Log'!$A:$A,"&gt;="&amp;$J896,'Weekly Log'!$A:$A,"&lt;"&amp;$J896+7)/COUNTIFS('Weekly Log'!$G:$G,"&lt;&gt;",'Weekly Log'!$A:$A,"&gt;="&amp;$J896,'Weekly Log'!$A:$A,"&lt;"&amp;$J896+7),0))</f>
        <v/>
      </c>
      <c r="D896">
        <f>IF($J896="","",IFERROR(COUNTIFS('Weekly Log'!$H:$H,"Y",'Weekly Log'!$A:$A,"&gt;="&amp;$J896,'Weekly Log'!$A:$A,"&lt;"&amp;$J896+7)/COUNTIFS('Weekly Log'!$H:$H,"&lt;&gt;",'Weekly Log'!$A:$A,"&gt;="&amp;$J896,'Weekly Log'!$A:$A,"&lt;"&amp;$J896+7),0))</f>
        <v/>
      </c>
      <c r="E896">
        <f>IF($J896="","",IFERROR(AVERAGEIFS('Weekly Log'!$F:$F,'Weekly Log'!$A:$A,"&gt;="&amp;$J896,'Weekly Log'!$A:$A,"&lt;"&amp;$J896+7),0))</f>
        <v/>
      </c>
      <c r="F896">
        <f>IF($J896="","",IFERROR(SUMIFS('Weekly Log'!$F:$F,'Weekly Log'!$A:$A,"&gt;="&amp;$J896,'Weekly Log'!$A:$A,"&lt;"&amp;$J896+7)/SUMIFS('Weekly Log'!$E:$E,'Weekly Log'!$A:$A,"&gt;="&amp;$J896,'Weekly Log'!$A:$A,"&lt;"&amp;$J896+7),0))</f>
        <v/>
      </c>
      <c r="G896">
        <f>IF($J896="","",IFERROR(LOOKUP(2,1/(('Weekly Log'!$A$5:$A$5000&gt;=$J896)*('Weekly Log'!$A$5:$A$5000&lt;$J896+7)*('Weekly Log'!$M$5:$M$5000&lt;&gt;"")),'Weekly Log'!$M$5:$M$5000),0))</f>
        <v/>
      </c>
      <c r="J896">
        <f>IF(COUNT('Weekly Log'!$A$5:$A$5000)=0,"",IF(MIN('Weekly Log'!$A$5:$A$5000)+7*(ROW()-10)&gt;MAX('Weekly Log'!$A$5:$A$5000),"",MIN('Weekly Log'!$A$5:$A$5000)+7*(ROW()-10)))</f>
        <v/>
      </c>
    </row>
    <row r="897">
      <c r="A897">
        <f>IF($J897="","",YEAR($J897-WEEKDAY($J897,2)+4)&amp;"-W"&amp;TEXT(WEEKNUM($J897,21),"00"))</f>
        <v/>
      </c>
      <c r="B897">
        <f>IF($J897="","",SUMIFS('Weekly Log'!$C:$C,'Weekly Log'!$A:$A,"&gt;="&amp;$J897,'Weekly Log'!$A:$A,"&lt;"&amp;$J897+7))</f>
        <v/>
      </c>
      <c r="C897">
        <f>IF($J897="","",IFERROR(COUNTIFS('Weekly Log'!$G:$G,"Y",'Weekly Log'!$A:$A,"&gt;="&amp;$J897,'Weekly Log'!$A:$A,"&lt;"&amp;$J897+7)/COUNTIFS('Weekly Log'!$G:$G,"&lt;&gt;",'Weekly Log'!$A:$A,"&gt;="&amp;$J897,'Weekly Log'!$A:$A,"&lt;"&amp;$J897+7),0))</f>
        <v/>
      </c>
      <c r="D897">
        <f>IF($J897="","",IFERROR(COUNTIFS('Weekly Log'!$H:$H,"Y",'Weekly Log'!$A:$A,"&gt;="&amp;$J897,'Weekly Log'!$A:$A,"&lt;"&amp;$J897+7)/COUNTIFS('Weekly Log'!$H:$H,"&lt;&gt;",'Weekly Log'!$A:$A,"&gt;="&amp;$J897,'Weekly Log'!$A:$A,"&lt;"&amp;$J897+7),0))</f>
        <v/>
      </c>
      <c r="E897">
        <f>IF($J897="","",IFERROR(AVERAGEIFS('Weekly Log'!$F:$F,'Weekly Log'!$A:$A,"&gt;="&amp;$J897,'Weekly Log'!$A:$A,"&lt;"&amp;$J897+7),0))</f>
        <v/>
      </c>
      <c r="F897">
        <f>IF($J897="","",IFERROR(SUMIFS('Weekly Log'!$F:$F,'Weekly Log'!$A:$A,"&gt;="&amp;$J897,'Weekly Log'!$A:$A,"&lt;"&amp;$J897+7)/SUMIFS('Weekly Log'!$E:$E,'Weekly Log'!$A:$A,"&gt;="&amp;$J897,'Weekly Log'!$A:$A,"&lt;"&amp;$J897+7),0))</f>
        <v/>
      </c>
      <c r="G897">
        <f>IF($J897="","",IFERROR(LOOKUP(2,1/(('Weekly Log'!$A$5:$A$5000&gt;=$J897)*('Weekly Log'!$A$5:$A$5000&lt;$J897+7)*('Weekly Log'!$M$5:$M$5000&lt;&gt;"")),'Weekly Log'!$M$5:$M$5000),0))</f>
        <v/>
      </c>
      <c r="J897">
        <f>IF(COUNT('Weekly Log'!$A$5:$A$5000)=0,"",IF(MIN('Weekly Log'!$A$5:$A$5000)+7*(ROW()-10)&gt;MAX('Weekly Log'!$A$5:$A$5000),"",MIN('Weekly Log'!$A$5:$A$5000)+7*(ROW()-10)))</f>
        <v/>
      </c>
    </row>
    <row r="898">
      <c r="A898">
        <f>IF($J898="","",YEAR($J898-WEEKDAY($J898,2)+4)&amp;"-W"&amp;TEXT(WEEKNUM($J898,21),"00"))</f>
        <v/>
      </c>
      <c r="B898">
        <f>IF($J898="","",SUMIFS('Weekly Log'!$C:$C,'Weekly Log'!$A:$A,"&gt;="&amp;$J898,'Weekly Log'!$A:$A,"&lt;"&amp;$J898+7))</f>
        <v/>
      </c>
      <c r="C898">
        <f>IF($J898="","",IFERROR(COUNTIFS('Weekly Log'!$G:$G,"Y",'Weekly Log'!$A:$A,"&gt;="&amp;$J898,'Weekly Log'!$A:$A,"&lt;"&amp;$J898+7)/COUNTIFS('Weekly Log'!$G:$G,"&lt;&gt;",'Weekly Log'!$A:$A,"&gt;="&amp;$J898,'Weekly Log'!$A:$A,"&lt;"&amp;$J898+7),0))</f>
        <v/>
      </c>
      <c r="D898">
        <f>IF($J898="","",IFERROR(COUNTIFS('Weekly Log'!$H:$H,"Y",'Weekly Log'!$A:$A,"&gt;="&amp;$J898,'Weekly Log'!$A:$A,"&lt;"&amp;$J898+7)/COUNTIFS('Weekly Log'!$H:$H,"&lt;&gt;",'Weekly Log'!$A:$A,"&gt;="&amp;$J898,'Weekly Log'!$A:$A,"&lt;"&amp;$J898+7),0))</f>
        <v/>
      </c>
      <c r="E898">
        <f>IF($J898="","",IFERROR(AVERAGEIFS('Weekly Log'!$F:$F,'Weekly Log'!$A:$A,"&gt;="&amp;$J898,'Weekly Log'!$A:$A,"&lt;"&amp;$J898+7),0))</f>
        <v/>
      </c>
      <c r="F898">
        <f>IF($J898="","",IFERROR(SUMIFS('Weekly Log'!$F:$F,'Weekly Log'!$A:$A,"&gt;="&amp;$J898,'Weekly Log'!$A:$A,"&lt;"&amp;$J898+7)/SUMIFS('Weekly Log'!$E:$E,'Weekly Log'!$A:$A,"&gt;="&amp;$J898,'Weekly Log'!$A:$A,"&lt;"&amp;$J898+7),0))</f>
        <v/>
      </c>
      <c r="G898">
        <f>IF($J898="","",IFERROR(LOOKUP(2,1/(('Weekly Log'!$A$5:$A$5000&gt;=$J898)*('Weekly Log'!$A$5:$A$5000&lt;$J898+7)*('Weekly Log'!$M$5:$M$5000&lt;&gt;"")),'Weekly Log'!$M$5:$M$5000),0))</f>
        <v/>
      </c>
      <c r="J898">
        <f>IF(COUNT('Weekly Log'!$A$5:$A$5000)=0,"",IF(MIN('Weekly Log'!$A$5:$A$5000)+7*(ROW()-10)&gt;MAX('Weekly Log'!$A$5:$A$5000),"",MIN('Weekly Log'!$A$5:$A$5000)+7*(ROW()-10)))</f>
        <v/>
      </c>
    </row>
    <row r="899">
      <c r="A899">
        <f>IF($J899="","",YEAR($J899-WEEKDAY($J899,2)+4)&amp;"-W"&amp;TEXT(WEEKNUM($J899,21),"00"))</f>
        <v/>
      </c>
      <c r="B899">
        <f>IF($J899="","",SUMIFS('Weekly Log'!$C:$C,'Weekly Log'!$A:$A,"&gt;="&amp;$J899,'Weekly Log'!$A:$A,"&lt;"&amp;$J899+7))</f>
        <v/>
      </c>
      <c r="C899">
        <f>IF($J899="","",IFERROR(COUNTIFS('Weekly Log'!$G:$G,"Y",'Weekly Log'!$A:$A,"&gt;="&amp;$J899,'Weekly Log'!$A:$A,"&lt;"&amp;$J899+7)/COUNTIFS('Weekly Log'!$G:$G,"&lt;&gt;",'Weekly Log'!$A:$A,"&gt;="&amp;$J899,'Weekly Log'!$A:$A,"&lt;"&amp;$J899+7),0))</f>
        <v/>
      </c>
      <c r="D899">
        <f>IF($J899="","",IFERROR(COUNTIFS('Weekly Log'!$H:$H,"Y",'Weekly Log'!$A:$A,"&gt;="&amp;$J899,'Weekly Log'!$A:$A,"&lt;"&amp;$J899+7)/COUNTIFS('Weekly Log'!$H:$H,"&lt;&gt;",'Weekly Log'!$A:$A,"&gt;="&amp;$J899,'Weekly Log'!$A:$A,"&lt;"&amp;$J899+7),0))</f>
        <v/>
      </c>
      <c r="E899">
        <f>IF($J899="","",IFERROR(AVERAGEIFS('Weekly Log'!$F:$F,'Weekly Log'!$A:$A,"&gt;="&amp;$J899,'Weekly Log'!$A:$A,"&lt;"&amp;$J899+7),0))</f>
        <v/>
      </c>
      <c r="F899">
        <f>IF($J899="","",IFERROR(SUMIFS('Weekly Log'!$F:$F,'Weekly Log'!$A:$A,"&gt;="&amp;$J899,'Weekly Log'!$A:$A,"&lt;"&amp;$J899+7)/SUMIFS('Weekly Log'!$E:$E,'Weekly Log'!$A:$A,"&gt;="&amp;$J899,'Weekly Log'!$A:$A,"&lt;"&amp;$J899+7),0))</f>
        <v/>
      </c>
      <c r="G899">
        <f>IF($J899="","",IFERROR(LOOKUP(2,1/(('Weekly Log'!$A$5:$A$5000&gt;=$J899)*('Weekly Log'!$A$5:$A$5000&lt;$J899+7)*('Weekly Log'!$M$5:$M$5000&lt;&gt;"")),'Weekly Log'!$M$5:$M$5000),0))</f>
        <v/>
      </c>
      <c r="J899">
        <f>IF(COUNT('Weekly Log'!$A$5:$A$5000)=0,"",IF(MIN('Weekly Log'!$A$5:$A$5000)+7*(ROW()-10)&gt;MAX('Weekly Log'!$A$5:$A$5000),"",MIN('Weekly Log'!$A$5:$A$5000)+7*(ROW()-10)))</f>
        <v/>
      </c>
    </row>
    <row r="900">
      <c r="A900">
        <f>IF($J900="","",YEAR($J900-WEEKDAY($J900,2)+4)&amp;"-W"&amp;TEXT(WEEKNUM($J900,21),"00"))</f>
        <v/>
      </c>
      <c r="B900">
        <f>IF($J900="","",SUMIFS('Weekly Log'!$C:$C,'Weekly Log'!$A:$A,"&gt;="&amp;$J900,'Weekly Log'!$A:$A,"&lt;"&amp;$J900+7))</f>
        <v/>
      </c>
      <c r="C900">
        <f>IF($J900="","",IFERROR(COUNTIFS('Weekly Log'!$G:$G,"Y",'Weekly Log'!$A:$A,"&gt;="&amp;$J900,'Weekly Log'!$A:$A,"&lt;"&amp;$J900+7)/COUNTIFS('Weekly Log'!$G:$G,"&lt;&gt;",'Weekly Log'!$A:$A,"&gt;="&amp;$J900,'Weekly Log'!$A:$A,"&lt;"&amp;$J900+7),0))</f>
        <v/>
      </c>
      <c r="D900">
        <f>IF($J900="","",IFERROR(COUNTIFS('Weekly Log'!$H:$H,"Y",'Weekly Log'!$A:$A,"&gt;="&amp;$J900,'Weekly Log'!$A:$A,"&lt;"&amp;$J900+7)/COUNTIFS('Weekly Log'!$H:$H,"&lt;&gt;",'Weekly Log'!$A:$A,"&gt;="&amp;$J900,'Weekly Log'!$A:$A,"&lt;"&amp;$J900+7),0))</f>
        <v/>
      </c>
      <c r="E900">
        <f>IF($J900="","",IFERROR(AVERAGEIFS('Weekly Log'!$F:$F,'Weekly Log'!$A:$A,"&gt;="&amp;$J900,'Weekly Log'!$A:$A,"&lt;"&amp;$J900+7),0))</f>
        <v/>
      </c>
      <c r="F900">
        <f>IF($J900="","",IFERROR(SUMIFS('Weekly Log'!$F:$F,'Weekly Log'!$A:$A,"&gt;="&amp;$J900,'Weekly Log'!$A:$A,"&lt;"&amp;$J900+7)/SUMIFS('Weekly Log'!$E:$E,'Weekly Log'!$A:$A,"&gt;="&amp;$J900,'Weekly Log'!$A:$A,"&lt;"&amp;$J900+7),0))</f>
        <v/>
      </c>
      <c r="G900">
        <f>IF($J900="","",IFERROR(LOOKUP(2,1/(('Weekly Log'!$A$5:$A$5000&gt;=$J900)*('Weekly Log'!$A$5:$A$5000&lt;$J900+7)*('Weekly Log'!$M$5:$M$5000&lt;&gt;"")),'Weekly Log'!$M$5:$M$5000),0))</f>
        <v/>
      </c>
      <c r="J900">
        <f>IF(COUNT('Weekly Log'!$A$5:$A$5000)=0,"",IF(MIN('Weekly Log'!$A$5:$A$5000)+7*(ROW()-10)&gt;MAX('Weekly Log'!$A$5:$A$5000),"",MIN('Weekly Log'!$A$5:$A$5000)+7*(ROW()-10)))</f>
        <v/>
      </c>
    </row>
    <row r="901">
      <c r="A901">
        <f>IF($J901="","",YEAR($J901-WEEKDAY($J901,2)+4)&amp;"-W"&amp;TEXT(WEEKNUM($J901,21),"00"))</f>
        <v/>
      </c>
      <c r="B901">
        <f>IF($J901="","",SUMIFS('Weekly Log'!$C:$C,'Weekly Log'!$A:$A,"&gt;="&amp;$J901,'Weekly Log'!$A:$A,"&lt;"&amp;$J901+7))</f>
        <v/>
      </c>
      <c r="C901">
        <f>IF($J901="","",IFERROR(COUNTIFS('Weekly Log'!$G:$G,"Y",'Weekly Log'!$A:$A,"&gt;="&amp;$J901,'Weekly Log'!$A:$A,"&lt;"&amp;$J901+7)/COUNTIFS('Weekly Log'!$G:$G,"&lt;&gt;",'Weekly Log'!$A:$A,"&gt;="&amp;$J901,'Weekly Log'!$A:$A,"&lt;"&amp;$J901+7),0))</f>
        <v/>
      </c>
      <c r="D901">
        <f>IF($J901="","",IFERROR(COUNTIFS('Weekly Log'!$H:$H,"Y",'Weekly Log'!$A:$A,"&gt;="&amp;$J901,'Weekly Log'!$A:$A,"&lt;"&amp;$J901+7)/COUNTIFS('Weekly Log'!$H:$H,"&lt;&gt;",'Weekly Log'!$A:$A,"&gt;="&amp;$J901,'Weekly Log'!$A:$A,"&lt;"&amp;$J901+7),0))</f>
        <v/>
      </c>
      <c r="E901">
        <f>IF($J901="","",IFERROR(AVERAGEIFS('Weekly Log'!$F:$F,'Weekly Log'!$A:$A,"&gt;="&amp;$J901,'Weekly Log'!$A:$A,"&lt;"&amp;$J901+7),0))</f>
        <v/>
      </c>
      <c r="F901">
        <f>IF($J901="","",IFERROR(SUMIFS('Weekly Log'!$F:$F,'Weekly Log'!$A:$A,"&gt;="&amp;$J901,'Weekly Log'!$A:$A,"&lt;"&amp;$J901+7)/SUMIFS('Weekly Log'!$E:$E,'Weekly Log'!$A:$A,"&gt;="&amp;$J901,'Weekly Log'!$A:$A,"&lt;"&amp;$J901+7),0))</f>
        <v/>
      </c>
      <c r="G901">
        <f>IF($J901="","",IFERROR(LOOKUP(2,1/(('Weekly Log'!$A$5:$A$5000&gt;=$J901)*('Weekly Log'!$A$5:$A$5000&lt;$J901+7)*('Weekly Log'!$M$5:$M$5000&lt;&gt;"")),'Weekly Log'!$M$5:$M$5000),0))</f>
        <v/>
      </c>
      <c r="J901">
        <f>IF(COUNT('Weekly Log'!$A$5:$A$5000)=0,"",IF(MIN('Weekly Log'!$A$5:$A$5000)+7*(ROW()-10)&gt;MAX('Weekly Log'!$A$5:$A$5000),"",MIN('Weekly Log'!$A$5:$A$5000)+7*(ROW()-10)))</f>
        <v/>
      </c>
    </row>
    <row r="902">
      <c r="A902">
        <f>IF($J902="","",YEAR($J902-WEEKDAY($J902,2)+4)&amp;"-W"&amp;TEXT(WEEKNUM($J902,21),"00"))</f>
        <v/>
      </c>
      <c r="B902">
        <f>IF($J902="","",SUMIFS('Weekly Log'!$C:$C,'Weekly Log'!$A:$A,"&gt;="&amp;$J902,'Weekly Log'!$A:$A,"&lt;"&amp;$J902+7))</f>
        <v/>
      </c>
      <c r="C902">
        <f>IF($J902="","",IFERROR(COUNTIFS('Weekly Log'!$G:$G,"Y",'Weekly Log'!$A:$A,"&gt;="&amp;$J902,'Weekly Log'!$A:$A,"&lt;"&amp;$J902+7)/COUNTIFS('Weekly Log'!$G:$G,"&lt;&gt;",'Weekly Log'!$A:$A,"&gt;="&amp;$J902,'Weekly Log'!$A:$A,"&lt;"&amp;$J902+7),0))</f>
        <v/>
      </c>
      <c r="D902">
        <f>IF($J902="","",IFERROR(COUNTIFS('Weekly Log'!$H:$H,"Y",'Weekly Log'!$A:$A,"&gt;="&amp;$J902,'Weekly Log'!$A:$A,"&lt;"&amp;$J902+7)/COUNTIFS('Weekly Log'!$H:$H,"&lt;&gt;",'Weekly Log'!$A:$A,"&gt;="&amp;$J902,'Weekly Log'!$A:$A,"&lt;"&amp;$J902+7),0))</f>
        <v/>
      </c>
      <c r="E902">
        <f>IF($J902="","",IFERROR(AVERAGEIFS('Weekly Log'!$F:$F,'Weekly Log'!$A:$A,"&gt;="&amp;$J902,'Weekly Log'!$A:$A,"&lt;"&amp;$J902+7),0))</f>
        <v/>
      </c>
      <c r="F902">
        <f>IF($J902="","",IFERROR(SUMIFS('Weekly Log'!$F:$F,'Weekly Log'!$A:$A,"&gt;="&amp;$J902,'Weekly Log'!$A:$A,"&lt;"&amp;$J902+7)/SUMIFS('Weekly Log'!$E:$E,'Weekly Log'!$A:$A,"&gt;="&amp;$J902,'Weekly Log'!$A:$A,"&lt;"&amp;$J902+7),0))</f>
        <v/>
      </c>
      <c r="G902">
        <f>IF($J902="","",IFERROR(LOOKUP(2,1/(('Weekly Log'!$A$5:$A$5000&gt;=$J902)*('Weekly Log'!$A$5:$A$5000&lt;$J902+7)*('Weekly Log'!$M$5:$M$5000&lt;&gt;"")),'Weekly Log'!$M$5:$M$5000),0))</f>
        <v/>
      </c>
      <c r="J902">
        <f>IF(COUNT('Weekly Log'!$A$5:$A$5000)=0,"",IF(MIN('Weekly Log'!$A$5:$A$5000)+7*(ROW()-10)&gt;MAX('Weekly Log'!$A$5:$A$5000),"",MIN('Weekly Log'!$A$5:$A$5000)+7*(ROW()-10)))</f>
        <v/>
      </c>
    </row>
    <row r="903">
      <c r="A903">
        <f>IF($J903="","",YEAR($J903-WEEKDAY($J903,2)+4)&amp;"-W"&amp;TEXT(WEEKNUM($J903,21),"00"))</f>
        <v/>
      </c>
      <c r="B903">
        <f>IF($J903="","",SUMIFS('Weekly Log'!$C:$C,'Weekly Log'!$A:$A,"&gt;="&amp;$J903,'Weekly Log'!$A:$A,"&lt;"&amp;$J903+7))</f>
        <v/>
      </c>
      <c r="C903">
        <f>IF($J903="","",IFERROR(COUNTIFS('Weekly Log'!$G:$G,"Y",'Weekly Log'!$A:$A,"&gt;="&amp;$J903,'Weekly Log'!$A:$A,"&lt;"&amp;$J903+7)/COUNTIFS('Weekly Log'!$G:$G,"&lt;&gt;",'Weekly Log'!$A:$A,"&gt;="&amp;$J903,'Weekly Log'!$A:$A,"&lt;"&amp;$J903+7),0))</f>
        <v/>
      </c>
      <c r="D903">
        <f>IF($J903="","",IFERROR(COUNTIFS('Weekly Log'!$H:$H,"Y",'Weekly Log'!$A:$A,"&gt;="&amp;$J903,'Weekly Log'!$A:$A,"&lt;"&amp;$J903+7)/COUNTIFS('Weekly Log'!$H:$H,"&lt;&gt;",'Weekly Log'!$A:$A,"&gt;="&amp;$J903,'Weekly Log'!$A:$A,"&lt;"&amp;$J903+7),0))</f>
        <v/>
      </c>
      <c r="E903">
        <f>IF($J903="","",IFERROR(AVERAGEIFS('Weekly Log'!$F:$F,'Weekly Log'!$A:$A,"&gt;="&amp;$J903,'Weekly Log'!$A:$A,"&lt;"&amp;$J903+7),0))</f>
        <v/>
      </c>
      <c r="F903">
        <f>IF($J903="","",IFERROR(SUMIFS('Weekly Log'!$F:$F,'Weekly Log'!$A:$A,"&gt;="&amp;$J903,'Weekly Log'!$A:$A,"&lt;"&amp;$J903+7)/SUMIFS('Weekly Log'!$E:$E,'Weekly Log'!$A:$A,"&gt;="&amp;$J903,'Weekly Log'!$A:$A,"&lt;"&amp;$J903+7),0))</f>
        <v/>
      </c>
      <c r="G903">
        <f>IF($J903="","",IFERROR(LOOKUP(2,1/(('Weekly Log'!$A$5:$A$5000&gt;=$J903)*('Weekly Log'!$A$5:$A$5000&lt;$J903+7)*('Weekly Log'!$M$5:$M$5000&lt;&gt;"")),'Weekly Log'!$M$5:$M$5000),0))</f>
        <v/>
      </c>
      <c r="J903">
        <f>IF(COUNT('Weekly Log'!$A$5:$A$5000)=0,"",IF(MIN('Weekly Log'!$A$5:$A$5000)+7*(ROW()-10)&gt;MAX('Weekly Log'!$A$5:$A$5000),"",MIN('Weekly Log'!$A$5:$A$5000)+7*(ROW()-10)))</f>
        <v/>
      </c>
    </row>
    <row r="904">
      <c r="A904">
        <f>IF($J904="","",YEAR($J904-WEEKDAY($J904,2)+4)&amp;"-W"&amp;TEXT(WEEKNUM($J904,21),"00"))</f>
        <v/>
      </c>
      <c r="B904">
        <f>IF($J904="","",SUMIFS('Weekly Log'!$C:$C,'Weekly Log'!$A:$A,"&gt;="&amp;$J904,'Weekly Log'!$A:$A,"&lt;"&amp;$J904+7))</f>
        <v/>
      </c>
      <c r="C904">
        <f>IF($J904="","",IFERROR(COUNTIFS('Weekly Log'!$G:$G,"Y",'Weekly Log'!$A:$A,"&gt;="&amp;$J904,'Weekly Log'!$A:$A,"&lt;"&amp;$J904+7)/COUNTIFS('Weekly Log'!$G:$G,"&lt;&gt;",'Weekly Log'!$A:$A,"&gt;="&amp;$J904,'Weekly Log'!$A:$A,"&lt;"&amp;$J904+7),0))</f>
        <v/>
      </c>
      <c r="D904">
        <f>IF($J904="","",IFERROR(COUNTIFS('Weekly Log'!$H:$H,"Y",'Weekly Log'!$A:$A,"&gt;="&amp;$J904,'Weekly Log'!$A:$A,"&lt;"&amp;$J904+7)/COUNTIFS('Weekly Log'!$H:$H,"&lt;&gt;",'Weekly Log'!$A:$A,"&gt;="&amp;$J904,'Weekly Log'!$A:$A,"&lt;"&amp;$J904+7),0))</f>
        <v/>
      </c>
      <c r="E904">
        <f>IF($J904="","",IFERROR(AVERAGEIFS('Weekly Log'!$F:$F,'Weekly Log'!$A:$A,"&gt;="&amp;$J904,'Weekly Log'!$A:$A,"&lt;"&amp;$J904+7),0))</f>
        <v/>
      </c>
      <c r="F904">
        <f>IF($J904="","",IFERROR(SUMIFS('Weekly Log'!$F:$F,'Weekly Log'!$A:$A,"&gt;="&amp;$J904,'Weekly Log'!$A:$A,"&lt;"&amp;$J904+7)/SUMIFS('Weekly Log'!$E:$E,'Weekly Log'!$A:$A,"&gt;="&amp;$J904,'Weekly Log'!$A:$A,"&lt;"&amp;$J904+7),0))</f>
        <v/>
      </c>
      <c r="G904">
        <f>IF($J904="","",IFERROR(LOOKUP(2,1/(('Weekly Log'!$A$5:$A$5000&gt;=$J904)*('Weekly Log'!$A$5:$A$5000&lt;$J904+7)*('Weekly Log'!$M$5:$M$5000&lt;&gt;"")),'Weekly Log'!$M$5:$M$5000),0))</f>
        <v/>
      </c>
      <c r="J904">
        <f>IF(COUNT('Weekly Log'!$A$5:$A$5000)=0,"",IF(MIN('Weekly Log'!$A$5:$A$5000)+7*(ROW()-10)&gt;MAX('Weekly Log'!$A$5:$A$5000),"",MIN('Weekly Log'!$A$5:$A$5000)+7*(ROW()-10)))</f>
        <v/>
      </c>
    </row>
    <row r="905">
      <c r="A905">
        <f>IF($J905="","",YEAR($J905-WEEKDAY($J905,2)+4)&amp;"-W"&amp;TEXT(WEEKNUM($J905,21),"00"))</f>
        <v/>
      </c>
      <c r="B905">
        <f>IF($J905="","",SUMIFS('Weekly Log'!$C:$C,'Weekly Log'!$A:$A,"&gt;="&amp;$J905,'Weekly Log'!$A:$A,"&lt;"&amp;$J905+7))</f>
        <v/>
      </c>
      <c r="C905">
        <f>IF($J905="","",IFERROR(COUNTIFS('Weekly Log'!$G:$G,"Y",'Weekly Log'!$A:$A,"&gt;="&amp;$J905,'Weekly Log'!$A:$A,"&lt;"&amp;$J905+7)/COUNTIFS('Weekly Log'!$G:$G,"&lt;&gt;",'Weekly Log'!$A:$A,"&gt;="&amp;$J905,'Weekly Log'!$A:$A,"&lt;"&amp;$J905+7),0))</f>
        <v/>
      </c>
      <c r="D905">
        <f>IF($J905="","",IFERROR(COUNTIFS('Weekly Log'!$H:$H,"Y",'Weekly Log'!$A:$A,"&gt;="&amp;$J905,'Weekly Log'!$A:$A,"&lt;"&amp;$J905+7)/COUNTIFS('Weekly Log'!$H:$H,"&lt;&gt;",'Weekly Log'!$A:$A,"&gt;="&amp;$J905,'Weekly Log'!$A:$A,"&lt;"&amp;$J905+7),0))</f>
        <v/>
      </c>
      <c r="E905">
        <f>IF($J905="","",IFERROR(AVERAGEIFS('Weekly Log'!$F:$F,'Weekly Log'!$A:$A,"&gt;="&amp;$J905,'Weekly Log'!$A:$A,"&lt;"&amp;$J905+7),0))</f>
        <v/>
      </c>
      <c r="F905">
        <f>IF($J905="","",IFERROR(SUMIFS('Weekly Log'!$F:$F,'Weekly Log'!$A:$A,"&gt;="&amp;$J905,'Weekly Log'!$A:$A,"&lt;"&amp;$J905+7)/SUMIFS('Weekly Log'!$E:$E,'Weekly Log'!$A:$A,"&gt;="&amp;$J905,'Weekly Log'!$A:$A,"&lt;"&amp;$J905+7),0))</f>
        <v/>
      </c>
      <c r="G905">
        <f>IF($J905="","",IFERROR(LOOKUP(2,1/(('Weekly Log'!$A$5:$A$5000&gt;=$J905)*('Weekly Log'!$A$5:$A$5000&lt;$J905+7)*('Weekly Log'!$M$5:$M$5000&lt;&gt;"")),'Weekly Log'!$M$5:$M$5000),0))</f>
        <v/>
      </c>
      <c r="J905">
        <f>IF(COUNT('Weekly Log'!$A$5:$A$5000)=0,"",IF(MIN('Weekly Log'!$A$5:$A$5000)+7*(ROW()-10)&gt;MAX('Weekly Log'!$A$5:$A$5000),"",MIN('Weekly Log'!$A$5:$A$5000)+7*(ROW()-10)))</f>
        <v/>
      </c>
    </row>
    <row r="906">
      <c r="A906">
        <f>IF($J906="","",YEAR($J906-WEEKDAY($J906,2)+4)&amp;"-W"&amp;TEXT(WEEKNUM($J906,21),"00"))</f>
        <v/>
      </c>
      <c r="B906">
        <f>IF($J906="","",SUMIFS('Weekly Log'!$C:$C,'Weekly Log'!$A:$A,"&gt;="&amp;$J906,'Weekly Log'!$A:$A,"&lt;"&amp;$J906+7))</f>
        <v/>
      </c>
      <c r="C906">
        <f>IF($J906="","",IFERROR(COUNTIFS('Weekly Log'!$G:$G,"Y",'Weekly Log'!$A:$A,"&gt;="&amp;$J906,'Weekly Log'!$A:$A,"&lt;"&amp;$J906+7)/COUNTIFS('Weekly Log'!$G:$G,"&lt;&gt;",'Weekly Log'!$A:$A,"&gt;="&amp;$J906,'Weekly Log'!$A:$A,"&lt;"&amp;$J906+7),0))</f>
        <v/>
      </c>
      <c r="D906">
        <f>IF($J906="","",IFERROR(COUNTIFS('Weekly Log'!$H:$H,"Y",'Weekly Log'!$A:$A,"&gt;="&amp;$J906,'Weekly Log'!$A:$A,"&lt;"&amp;$J906+7)/COUNTIFS('Weekly Log'!$H:$H,"&lt;&gt;",'Weekly Log'!$A:$A,"&gt;="&amp;$J906,'Weekly Log'!$A:$A,"&lt;"&amp;$J906+7),0))</f>
        <v/>
      </c>
      <c r="E906">
        <f>IF($J906="","",IFERROR(AVERAGEIFS('Weekly Log'!$F:$F,'Weekly Log'!$A:$A,"&gt;="&amp;$J906,'Weekly Log'!$A:$A,"&lt;"&amp;$J906+7),0))</f>
        <v/>
      </c>
      <c r="F906">
        <f>IF($J906="","",IFERROR(SUMIFS('Weekly Log'!$F:$F,'Weekly Log'!$A:$A,"&gt;="&amp;$J906,'Weekly Log'!$A:$A,"&lt;"&amp;$J906+7)/SUMIFS('Weekly Log'!$E:$E,'Weekly Log'!$A:$A,"&gt;="&amp;$J906,'Weekly Log'!$A:$A,"&lt;"&amp;$J906+7),0))</f>
        <v/>
      </c>
      <c r="G906">
        <f>IF($J906="","",IFERROR(LOOKUP(2,1/(('Weekly Log'!$A$5:$A$5000&gt;=$J906)*('Weekly Log'!$A$5:$A$5000&lt;$J906+7)*('Weekly Log'!$M$5:$M$5000&lt;&gt;"")),'Weekly Log'!$M$5:$M$5000),0))</f>
        <v/>
      </c>
      <c r="J906">
        <f>IF(COUNT('Weekly Log'!$A$5:$A$5000)=0,"",IF(MIN('Weekly Log'!$A$5:$A$5000)+7*(ROW()-10)&gt;MAX('Weekly Log'!$A$5:$A$5000),"",MIN('Weekly Log'!$A$5:$A$5000)+7*(ROW()-10)))</f>
        <v/>
      </c>
    </row>
    <row r="907">
      <c r="A907">
        <f>IF($J907="","",YEAR($J907-WEEKDAY($J907,2)+4)&amp;"-W"&amp;TEXT(WEEKNUM($J907,21),"00"))</f>
        <v/>
      </c>
      <c r="B907">
        <f>IF($J907="","",SUMIFS('Weekly Log'!$C:$C,'Weekly Log'!$A:$A,"&gt;="&amp;$J907,'Weekly Log'!$A:$A,"&lt;"&amp;$J907+7))</f>
        <v/>
      </c>
      <c r="C907">
        <f>IF($J907="","",IFERROR(COUNTIFS('Weekly Log'!$G:$G,"Y",'Weekly Log'!$A:$A,"&gt;="&amp;$J907,'Weekly Log'!$A:$A,"&lt;"&amp;$J907+7)/COUNTIFS('Weekly Log'!$G:$G,"&lt;&gt;",'Weekly Log'!$A:$A,"&gt;="&amp;$J907,'Weekly Log'!$A:$A,"&lt;"&amp;$J907+7),0))</f>
        <v/>
      </c>
      <c r="D907">
        <f>IF($J907="","",IFERROR(COUNTIFS('Weekly Log'!$H:$H,"Y",'Weekly Log'!$A:$A,"&gt;="&amp;$J907,'Weekly Log'!$A:$A,"&lt;"&amp;$J907+7)/COUNTIFS('Weekly Log'!$H:$H,"&lt;&gt;",'Weekly Log'!$A:$A,"&gt;="&amp;$J907,'Weekly Log'!$A:$A,"&lt;"&amp;$J907+7),0))</f>
        <v/>
      </c>
      <c r="E907">
        <f>IF($J907="","",IFERROR(AVERAGEIFS('Weekly Log'!$F:$F,'Weekly Log'!$A:$A,"&gt;="&amp;$J907,'Weekly Log'!$A:$A,"&lt;"&amp;$J907+7),0))</f>
        <v/>
      </c>
      <c r="F907">
        <f>IF($J907="","",IFERROR(SUMIFS('Weekly Log'!$F:$F,'Weekly Log'!$A:$A,"&gt;="&amp;$J907,'Weekly Log'!$A:$A,"&lt;"&amp;$J907+7)/SUMIFS('Weekly Log'!$E:$E,'Weekly Log'!$A:$A,"&gt;="&amp;$J907,'Weekly Log'!$A:$A,"&lt;"&amp;$J907+7),0))</f>
        <v/>
      </c>
      <c r="G907">
        <f>IF($J907="","",IFERROR(LOOKUP(2,1/(('Weekly Log'!$A$5:$A$5000&gt;=$J907)*('Weekly Log'!$A$5:$A$5000&lt;$J907+7)*('Weekly Log'!$M$5:$M$5000&lt;&gt;"")),'Weekly Log'!$M$5:$M$5000),0))</f>
        <v/>
      </c>
      <c r="J907">
        <f>IF(COUNT('Weekly Log'!$A$5:$A$5000)=0,"",IF(MIN('Weekly Log'!$A$5:$A$5000)+7*(ROW()-10)&gt;MAX('Weekly Log'!$A$5:$A$5000),"",MIN('Weekly Log'!$A$5:$A$5000)+7*(ROW()-10)))</f>
        <v/>
      </c>
    </row>
    <row r="908">
      <c r="A908">
        <f>IF($J908="","",YEAR($J908-WEEKDAY($J908,2)+4)&amp;"-W"&amp;TEXT(WEEKNUM($J908,21),"00"))</f>
        <v/>
      </c>
      <c r="B908">
        <f>IF($J908="","",SUMIFS('Weekly Log'!$C:$C,'Weekly Log'!$A:$A,"&gt;="&amp;$J908,'Weekly Log'!$A:$A,"&lt;"&amp;$J908+7))</f>
        <v/>
      </c>
      <c r="C908">
        <f>IF($J908="","",IFERROR(COUNTIFS('Weekly Log'!$G:$G,"Y",'Weekly Log'!$A:$A,"&gt;="&amp;$J908,'Weekly Log'!$A:$A,"&lt;"&amp;$J908+7)/COUNTIFS('Weekly Log'!$G:$G,"&lt;&gt;",'Weekly Log'!$A:$A,"&gt;="&amp;$J908,'Weekly Log'!$A:$A,"&lt;"&amp;$J908+7),0))</f>
        <v/>
      </c>
      <c r="D908">
        <f>IF($J908="","",IFERROR(COUNTIFS('Weekly Log'!$H:$H,"Y",'Weekly Log'!$A:$A,"&gt;="&amp;$J908,'Weekly Log'!$A:$A,"&lt;"&amp;$J908+7)/COUNTIFS('Weekly Log'!$H:$H,"&lt;&gt;",'Weekly Log'!$A:$A,"&gt;="&amp;$J908,'Weekly Log'!$A:$A,"&lt;"&amp;$J908+7),0))</f>
        <v/>
      </c>
      <c r="E908">
        <f>IF($J908="","",IFERROR(AVERAGEIFS('Weekly Log'!$F:$F,'Weekly Log'!$A:$A,"&gt;="&amp;$J908,'Weekly Log'!$A:$A,"&lt;"&amp;$J908+7),0))</f>
        <v/>
      </c>
      <c r="F908">
        <f>IF($J908="","",IFERROR(SUMIFS('Weekly Log'!$F:$F,'Weekly Log'!$A:$A,"&gt;="&amp;$J908,'Weekly Log'!$A:$A,"&lt;"&amp;$J908+7)/SUMIFS('Weekly Log'!$E:$E,'Weekly Log'!$A:$A,"&gt;="&amp;$J908,'Weekly Log'!$A:$A,"&lt;"&amp;$J908+7),0))</f>
        <v/>
      </c>
      <c r="G908">
        <f>IF($J908="","",IFERROR(LOOKUP(2,1/(('Weekly Log'!$A$5:$A$5000&gt;=$J908)*('Weekly Log'!$A$5:$A$5000&lt;$J908+7)*('Weekly Log'!$M$5:$M$5000&lt;&gt;"")),'Weekly Log'!$M$5:$M$5000),0))</f>
        <v/>
      </c>
      <c r="J908">
        <f>IF(COUNT('Weekly Log'!$A$5:$A$5000)=0,"",IF(MIN('Weekly Log'!$A$5:$A$5000)+7*(ROW()-10)&gt;MAX('Weekly Log'!$A$5:$A$5000),"",MIN('Weekly Log'!$A$5:$A$5000)+7*(ROW()-10)))</f>
        <v/>
      </c>
    </row>
    <row r="909">
      <c r="A909">
        <f>IF($J909="","",YEAR($J909-WEEKDAY($J909,2)+4)&amp;"-W"&amp;TEXT(WEEKNUM($J909,21),"00"))</f>
        <v/>
      </c>
      <c r="B909">
        <f>IF($J909="","",SUMIFS('Weekly Log'!$C:$C,'Weekly Log'!$A:$A,"&gt;="&amp;$J909,'Weekly Log'!$A:$A,"&lt;"&amp;$J909+7))</f>
        <v/>
      </c>
      <c r="C909">
        <f>IF($J909="","",IFERROR(COUNTIFS('Weekly Log'!$G:$G,"Y",'Weekly Log'!$A:$A,"&gt;="&amp;$J909,'Weekly Log'!$A:$A,"&lt;"&amp;$J909+7)/COUNTIFS('Weekly Log'!$G:$G,"&lt;&gt;",'Weekly Log'!$A:$A,"&gt;="&amp;$J909,'Weekly Log'!$A:$A,"&lt;"&amp;$J909+7),0))</f>
        <v/>
      </c>
      <c r="D909">
        <f>IF($J909="","",IFERROR(COUNTIFS('Weekly Log'!$H:$H,"Y",'Weekly Log'!$A:$A,"&gt;="&amp;$J909,'Weekly Log'!$A:$A,"&lt;"&amp;$J909+7)/COUNTIFS('Weekly Log'!$H:$H,"&lt;&gt;",'Weekly Log'!$A:$A,"&gt;="&amp;$J909,'Weekly Log'!$A:$A,"&lt;"&amp;$J909+7),0))</f>
        <v/>
      </c>
      <c r="E909">
        <f>IF($J909="","",IFERROR(AVERAGEIFS('Weekly Log'!$F:$F,'Weekly Log'!$A:$A,"&gt;="&amp;$J909,'Weekly Log'!$A:$A,"&lt;"&amp;$J909+7),0))</f>
        <v/>
      </c>
      <c r="F909">
        <f>IF($J909="","",IFERROR(SUMIFS('Weekly Log'!$F:$F,'Weekly Log'!$A:$A,"&gt;="&amp;$J909,'Weekly Log'!$A:$A,"&lt;"&amp;$J909+7)/SUMIFS('Weekly Log'!$E:$E,'Weekly Log'!$A:$A,"&gt;="&amp;$J909,'Weekly Log'!$A:$A,"&lt;"&amp;$J909+7),0))</f>
        <v/>
      </c>
      <c r="G909">
        <f>IF($J909="","",IFERROR(LOOKUP(2,1/(('Weekly Log'!$A$5:$A$5000&gt;=$J909)*('Weekly Log'!$A$5:$A$5000&lt;$J909+7)*('Weekly Log'!$M$5:$M$5000&lt;&gt;"")),'Weekly Log'!$M$5:$M$5000),0))</f>
        <v/>
      </c>
      <c r="J909">
        <f>IF(COUNT('Weekly Log'!$A$5:$A$5000)=0,"",IF(MIN('Weekly Log'!$A$5:$A$5000)+7*(ROW()-10)&gt;MAX('Weekly Log'!$A$5:$A$5000),"",MIN('Weekly Log'!$A$5:$A$5000)+7*(ROW()-10)))</f>
        <v/>
      </c>
    </row>
    <row r="910">
      <c r="A910">
        <f>IF($J910="","",YEAR($J910-WEEKDAY($J910,2)+4)&amp;"-W"&amp;TEXT(WEEKNUM($J910,21),"00"))</f>
        <v/>
      </c>
      <c r="B910">
        <f>IF($J910="","",SUMIFS('Weekly Log'!$C:$C,'Weekly Log'!$A:$A,"&gt;="&amp;$J910,'Weekly Log'!$A:$A,"&lt;"&amp;$J910+7))</f>
        <v/>
      </c>
      <c r="C910">
        <f>IF($J910="","",IFERROR(COUNTIFS('Weekly Log'!$G:$G,"Y",'Weekly Log'!$A:$A,"&gt;="&amp;$J910,'Weekly Log'!$A:$A,"&lt;"&amp;$J910+7)/COUNTIFS('Weekly Log'!$G:$G,"&lt;&gt;",'Weekly Log'!$A:$A,"&gt;="&amp;$J910,'Weekly Log'!$A:$A,"&lt;"&amp;$J910+7),0))</f>
        <v/>
      </c>
      <c r="D910">
        <f>IF($J910="","",IFERROR(COUNTIFS('Weekly Log'!$H:$H,"Y",'Weekly Log'!$A:$A,"&gt;="&amp;$J910,'Weekly Log'!$A:$A,"&lt;"&amp;$J910+7)/COUNTIFS('Weekly Log'!$H:$H,"&lt;&gt;",'Weekly Log'!$A:$A,"&gt;="&amp;$J910,'Weekly Log'!$A:$A,"&lt;"&amp;$J910+7),0))</f>
        <v/>
      </c>
      <c r="E910">
        <f>IF($J910="","",IFERROR(AVERAGEIFS('Weekly Log'!$F:$F,'Weekly Log'!$A:$A,"&gt;="&amp;$J910,'Weekly Log'!$A:$A,"&lt;"&amp;$J910+7),0))</f>
        <v/>
      </c>
      <c r="F910">
        <f>IF($J910="","",IFERROR(SUMIFS('Weekly Log'!$F:$F,'Weekly Log'!$A:$A,"&gt;="&amp;$J910,'Weekly Log'!$A:$A,"&lt;"&amp;$J910+7)/SUMIFS('Weekly Log'!$E:$E,'Weekly Log'!$A:$A,"&gt;="&amp;$J910,'Weekly Log'!$A:$A,"&lt;"&amp;$J910+7),0))</f>
        <v/>
      </c>
      <c r="G910">
        <f>IF($J910="","",IFERROR(LOOKUP(2,1/(('Weekly Log'!$A$5:$A$5000&gt;=$J910)*('Weekly Log'!$A$5:$A$5000&lt;$J910+7)*('Weekly Log'!$M$5:$M$5000&lt;&gt;"")),'Weekly Log'!$M$5:$M$5000),0))</f>
        <v/>
      </c>
      <c r="J910">
        <f>IF(COUNT('Weekly Log'!$A$5:$A$5000)=0,"",IF(MIN('Weekly Log'!$A$5:$A$5000)+7*(ROW()-10)&gt;MAX('Weekly Log'!$A$5:$A$5000),"",MIN('Weekly Log'!$A$5:$A$5000)+7*(ROW()-10)))</f>
        <v/>
      </c>
    </row>
    <row r="911">
      <c r="A911">
        <f>IF($J911="","",YEAR($J911-WEEKDAY($J911,2)+4)&amp;"-W"&amp;TEXT(WEEKNUM($J911,21),"00"))</f>
        <v/>
      </c>
      <c r="B911">
        <f>IF($J911="","",SUMIFS('Weekly Log'!$C:$C,'Weekly Log'!$A:$A,"&gt;="&amp;$J911,'Weekly Log'!$A:$A,"&lt;"&amp;$J911+7))</f>
        <v/>
      </c>
      <c r="C911">
        <f>IF($J911="","",IFERROR(COUNTIFS('Weekly Log'!$G:$G,"Y",'Weekly Log'!$A:$A,"&gt;="&amp;$J911,'Weekly Log'!$A:$A,"&lt;"&amp;$J911+7)/COUNTIFS('Weekly Log'!$G:$G,"&lt;&gt;",'Weekly Log'!$A:$A,"&gt;="&amp;$J911,'Weekly Log'!$A:$A,"&lt;"&amp;$J911+7),0))</f>
        <v/>
      </c>
      <c r="D911">
        <f>IF($J911="","",IFERROR(COUNTIFS('Weekly Log'!$H:$H,"Y",'Weekly Log'!$A:$A,"&gt;="&amp;$J911,'Weekly Log'!$A:$A,"&lt;"&amp;$J911+7)/COUNTIFS('Weekly Log'!$H:$H,"&lt;&gt;",'Weekly Log'!$A:$A,"&gt;="&amp;$J911,'Weekly Log'!$A:$A,"&lt;"&amp;$J911+7),0))</f>
        <v/>
      </c>
      <c r="E911">
        <f>IF($J911="","",IFERROR(AVERAGEIFS('Weekly Log'!$F:$F,'Weekly Log'!$A:$A,"&gt;="&amp;$J911,'Weekly Log'!$A:$A,"&lt;"&amp;$J911+7),0))</f>
        <v/>
      </c>
      <c r="F911">
        <f>IF($J911="","",IFERROR(SUMIFS('Weekly Log'!$F:$F,'Weekly Log'!$A:$A,"&gt;="&amp;$J911,'Weekly Log'!$A:$A,"&lt;"&amp;$J911+7)/SUMIFS('Weekly Log'!$E:$E,'Weekly Log'!$A:$A,"&gt;="&amp;$J911,'Weekly Log'!$A:$A,"&lt;"&amp;$J911+7),0))</f>
        <v/>
      </c>
      <c r="G911">
        <f>IF($J911="","",IFERROR(LOOKUP(2,1/(('Weekly Log'!$A$5:$A$5000&gt;=$J911)*('Weekly Log'!$A$5:$A$5000&lt;$J911+7)*('Weekly Log'!$M$5:$M$5000&lt;&gt;"")),'Weekly Log'!$M$5:$M$5000),0))</f>
        <v/>
      </c>
      <c r="J911">
        <f>IF(COUNT('Weekly Log'!$A$5:$A$5000)=0,"",IF(MIN('Weekly Log'!$A$5:$A$5000)+7*(ROW()-10)&gt;MAX('Weekly Log'!$A$5:$A$5000),"",MIN('Weekly Log'!$A$5:$A$5000)+7*(ROW()-10)))</f>
        <v/>
      </c>
    </row>
    <row r="912">
      <c r="A912">
        <f>IF($J912="","",YEAR($J912-WEEKDAY($J912,2)+4)&amp;"-W"&amp;TEXT(WEEKNUM($J912,21),"00"))</f>
        <v/>
      </c>
      <c r="B912">
        <f>IF($J912="","",SUMIFS('Weekly Log'!$C:$C,'Weekly Log'!$A:$A,"&gt;="&amp;$J912,'Weekly Log'!$A:$A,"&lt;"&amp;$J912+7))</f>
        <v/>
      </c>
      <c r="C912">
        <f>IF($J912="","",IFERROR(COUNTIFS('Weekly Log'!$G:$G,"Y",'Weekly Log'!$A:$A,"&gt;="&amp;$J912,'Weekly Log'!$A:$A,"&lt;"&amp;$J912+7)/COUNTIFS('Weekly Log'!$G:$G,"&lt;&gt;",'Weekly Log'!$A:$A,"&gt;="&amp;$J912,'Weekly Log'!$A:$A,"&lt;"&amp;$J912+7),0))</f>
        <v/>
      </c>
      <c r="D912">
        <f>IF($J912="","",IFERROR(COUNTIFS('Weekly Log'!$H:$H,"Y",'Weekly Log'!$A:$A,"&gt;="&amp;$J912,'Weekly Log'!$A:$A,"&lt;"&amp;$J912+7)/COUNTIFS('Weekly Log'!$H:$H,"&lt;&gt;",'Weekly Log'!$A:$A,"&gt;="&amp;$J912,'Weekly Log'!$A:$A,"&lt;"&amp;$J912+7),0))</f>
        <v/>
      </c>
      <c r="E912">
        <f>IF($J912="","",IFERROR(AVERAGEIFS('Weekly Log'!$F:$F,'Weekly Log'!$A:$A,"&gt;="&amp;$J912,'Weekly Log'!$A:$A,"&lt;"&amp;$J912+7),0))</f>
        <v/>
      </c>
      <c r="F912">
        <f>IF($J912="","",IFERROR(SUMIFS('Weekly Log'!$F:$F,'Weekly Log'!$A:$A,"&gt;="&amp;$J912,'Weekly Log'!$A:$A,"&lt;"&amp;$J912+7)/SUMIFS('Weekly Log'!$E:$E,'Weekly Log'!$A:$A,"&gt;="&amp;$J912,'Weekly Log'!$A:$A,"&lt;"&amp;$J912+7),0))</f>
        <v/>
      </c>
      <c r="G912">
        <f>IF($J912="","",IFERROR(LOOKUP(2,1/(('Weekly Log'!$A$5:$A$5000&gt;=$J912)*('Weekly Log'!$A$5:$A$5000&lt;$J912+7)*('Weekly Log'!$M$5:$M$5000&lt;&gt;"")),'Weekly Log'!$M$5:$M$5000),0))</f>
        <v/>
      </c>
      <c r="J912">
        <f>IF(COUNT('Weekly Log'!$A$5:$A$5000)=0,"",IF(MIN('Weekly Log'!$A$5:$A$5000)+7*(ROW()-10)&gt;MAX('Weekly Log'!$A$5:$A$5000),"",MIN('Weekly Log'!$A$5:$A$5000)+7*(ROW()-10)))</f>
        <v/>
      </c>
    </row>
    <row r="913">
      <c r="A913">
        <f>IF($J913="","",YEAR($J913-WEEKDAY($J913,2)+4)&amp;"-W"&amp;TEXT(WEEKNUM($J913,21),"00"))</f>
        <v/>
      </c>
      <c r="B913">
        <f>IF($J913="","",SUMIFS('Weekly Log'!$C:$C,'Weekly Log'!$A:$A,"&gt;="&amp;$J913,'Weekly Log'!$A:$A,"&lt;"&amp;$J913+7))</f>
        <v/>
      </c>
      <c r="C913">
        <f>IF($J913="","",IFERROR(COUNTIFS('Weekly Log'!$G:$G,"Y",'Weekly Log'!$A:$A,"&gt;="&amp;$J913,'Weekly Log'!$A:$A,"&lt;"&amp;$J913+7)/COUNTIFS('Weekly Log'!$G:$G,"&lt;&gt;",'Weekly Log'!$A:$A,"&gt;="&amp;$J913,'Weekly Log'!$A:$A,"&lt;"&amp;$J913+7),0))</f>
        <v/>
      </c>
      <c r="D913">
        <f>IF($J913="","",IFERROR(COUNTIFS('Weekly Log'!$H:$H,"Y",'Weekly Log'!$A:$A,"&gt;="&amp;$J913,'Weekly Log'!$A:$A,"&lt;"&amp;$J913+7)/COUNTIFS('Weekly Log'!$H:$H,"&lt;&gt;",'Weekly Log'!$A:$A,"&gt;="&amp;$J913,'Weekly Log'!$A:$A,"&lt;"&amp;$J913+7),0))</f>
        <v/>
      </c>
      <c r="E913">
        <f>IF($J913="","",IFERROR(AVERAGEIFS('Weekly Log'!$F:$F,'Weekly Log'!$A:$A,"&gt;="&amp;$J913,'Weekly Log'!$A:$A,"&lt;"&amp;$J913+7),0))</f>
        <v/>
      </c>
      <c r="F913">
        <f>IF($J913="","",IFERROR(SUMIFS('Weekly Log'!$F:$F,'Weekly Log'!$A:$A,"&gt;="&amp;$J913,'Weekly Log'!$A:$A,"&lt;"&amp;$J913+7)/SUMIFS('Weekly Log'!$E:$E,'Weekly Log'!$A:$A,"&gt;="&amp;$J913,'Weekly Log'!$A:$A,"&lt;"&amp;$J913+7),0))</f>
        <v/>
      </c>
      <c r="G913">
        <f>IF($J913="","",IFERROR(LOOKUP(2,1/(('Weekly Log'!$A$5:$A$5000&gt;=$J913)*('Weekly Log'!$A$5:$A$5000&lt;$J913+7)*('Weekly Log'!$M$5:$M$5000&lt;&gt;"")),'Weekly Log'!$M$5:$M$5000),0))</f>
        <v/>
      </c>
      <c r="J913">
        <f>IF(COUNT('Weekly Log'!$A$5:$A$5000)=0,"",IF(MIN('Weekly Log'!$A$5:$A$5000)+7*(ROW()-10)&gt;MAX('Weekly Log'!$A$5:$A$5000),"",MIN('Weekly Log'!$A$5:$A$5000)+7*(ROW()-10)))</f>
        <v/>
      </c>
    </row>
    <row r="914">
      <c r="A914">
        <f>IF($J914="","",YEAR($J914-WEEKDAY($J914,2)+4)&amp;"-W"&amp;TEXT(WEEKNUM($J914,21),"00"))</f>
        <v/>
      </c>
      <c r="B914">
        <f>IF($J914="","",SUMIFS('Weekly Log'!$C:$C,'Weekly Log'!$A:$A,"&gt;="&amp;$J914,'Weekly Log'!$A:$A,"&lt;"&amp;$J914+7))</f>
        <v/>
      </c>
      <c r="C914">
        <f>IF($J914="","",IFERROR(COUNTIFS('Weekly Log'!$G:$G,"Y",'Weekly Log'!$A:$A,"&gt;="&amp;$J914,'Weekly Log'!$A:$A,"&lt;"&amp;$J914+7)/COUNTIFS('Weekly Log'!$G:$G,"&lt;&gt;",'Weekly Log'!$A:$A,"&gt;="&amp;$J914,'Weekly Log'!$A:$A,"&lt;"&amp;$J914+7),0))</f>
        <v/>
      </c>
      <c r="D914">
        <f>IF($J914="","",IFERROR(COUNTIFS('Weekly Log'!$H:$H,"Y",'Weekly Log'!$A:$A,"&gt;="&amp;$J914,'Weekly Log'!$A:$A,"&lt;"&amp;$J914+7)/COUNTIFS('Weekly Log'!$H:$H,"&lt;&gt;",'Weekly Log'!$A:$A,"&gt;="&amp;$J914,'Weekly Log'!$A:$A,"&lt;"&amp;$J914+7),0))</f>
        <v/>
      </c>
      <c r="E914">
        <f>IF($J914="","",IFERROR(AVERAGEIFS('Weekly Log'!$F:$F,'Weekly Log'!$A:$A,"&gt;="&amp;$J914,'Weekly Log'!$A:$A,"&lt;"&amp;$J914+7),0))</f>
        <v/>
      </c>
      <c r="F914">
        <f>IF($J914="","",IFERROR(SUMIFS('Weekly Log'!$F:$F,'Weekly Log'!$A:$A,"&gt;="&amp;$J914,'Weekly Log'!$A:$A,"&lt;"&amp;$J914+7)/SUMIFS('Weekly Log'!$E:$E,'Weekly Log'!$A:$A,"&gt;="&amp;$J914,'Weekly Log'!$A:$A,"&lt;"&amp;$J914+7),0))</f>
        <v/>
      </c>
      <c r="G914">
        <f>IF($J914="","",IFERROR(LOOKUP(2,1/(('Weekly Log'!$A$5:$A$5000&gt;=$J914)*('Weekly Log'!$A$5:$A$5000&lt;$J914+7)*('Weekly Log'!$M$5:$M$5000&lt;&gt;"")),'Weekly Log'!$M$5:$M$5000),0))</f>
        <v/>
      </c>
      <c r="J914">
        <f>IF(COUNT('Weekly Log'!$A$5:$A$5000)=0,"",IF(MIN('Weekly Log'!$A$5:$A$5000)+7*(ROW()-10)&gt;MAX('Weekly Log'!$A$5:$A$5000),"",MIN('Weekly Log'!$A$5:$A$5000)+7*(ROW()-10)))</f>
        <v/>
      </c>
    </row>
    <row r="915">
      <c r="A915">
        <f>IF($J915="","",YEAR($J915-WEEKDAY($J915,2)+4)&amp;"-W"&amp;TEXT(WEEKNUM($J915,21),"00"))</f>
        <v/>
      </c>
      <c r="B915">
        <f>IF($J915="","",SUMIFS('Weekly Log'!$C:$C,'Weekly Log'!$A:$A,"&gt;="&amp;$J915,'Weekly Log'!$A:$A,"&lt;"&amp;$J915+7))</f>
        <v/>
      </c>
      <c r="C915">
        <f>IF($J915="","",IFERROR(COUNTIFS('Weekly Log'!$G:$G,"Y",'Weekly Log'!$A:$A,"&gt;="&amp;$J915,'Weekly Log'!$A:$A,"&lt;"&amp;$J915+7)/COUNTIFS('Weekly Log'!$G:$G,"&lt;&gt;",'Weekly Log'!$A:$A,"&gt;="&amp;$J915,'Weekly Log'!$A:$A,"&lt;"&amp;$J915+7),0))</f>
        <v/>
      </c>
      <c r="D915">
        <f>IF($J915="","",IFERROR(COUNTIFS('Weekly Log'!$H:$H,"Y",'Weekly Log'!$A:$A,"&gt;="&amp;$J915,'Weekly Log'!$A:$A,"&lt;"&amp;$J915+7)/COUNTIFS('Weekly Log'!$H:$H,"&lt;&gt;",'Weekly Log'!$A:$A,"&gt;="&amp;$J915,'Weekly Log'!$A:$A,"&lt;"&amp;$J915+7),0))</f>
        <v/>
      </c>
      <c r="E915">
        <f>IF($J915="","",IFERROR(AVERAGEIFS('Weekly Log'!$F:$F,'Weekly Log'!$A:$A,"&gt;="&amp;$J915,'Weekly Log'!$A:$A,"&lt;"&amp;$J915+7),0))</f>
        <v/>
      </c>
      <c r="F915">
        <f>IF($J915="","",IFERROR(SUMIFS('Weekly Log'!$F:$F,'Weekly Log'!$A:$A,"&gt;="&amp;$J915,'Weekly Log'!$A:$A,"&lt;"&amp;$J915+7)/SUMIFS('Weekly Log'!$E:$E,'Weekly Log'!$A:$A,"&gt;="&amp;$J915,'Weekly Log'!$A:$A,"&lt;"&amp;$J915+7),0))</f>
        <v/>
      </c>
      <c r="G915">
        <f>IF($J915="","",IFERROR(LOOKUP(2,1/(('Weekly Log'!$A$5:$A$5000&gt;=$J915)*('Weekly Log'!$A$5:$A$5000&lt;$J915+7)*('Weekly Log'!$M$5:$M$5000&lt;&gt;"")),'Weekly Log'!$M$5:$M$5000),0))</f>
        <v/>
      </c>
      <c r="J915">
        <f>IF(COUNT('Weekly Log'!$A$5:$A$5000)=0,"",IF(MIN('Weekly Log'!$A$5:$A$5000)+7*(ROW()-10)&gt;MAX('Weekly Log'!$A$5:$A$5000),"",MIN('Weekly Log'!$A$5:$A$5000)+7*(ROW()-10)))</f>
        <v/>
      </c>
    </row>
    <row r="916">
      <c r="A916">
        <f>IF($J916="","",YEAR($J916-WEEKDAY($J916,2)+4)&amp;"-W"&amp;TEXT(WEEKNUM($J916,21),"00"))</f>
        <v/>
      </c>
      <c r="B916">
        <f>IF($J916="","",SUMIFS('Weekly Log'!$C:$C,'Weekly Log'!$A:$A,"&gt;="&amp;$J916,'Weekly Log'!$A:$A,"&lt;"&amp;$J916+7))</f>
        <v/>
      </c>
      <c r="C916">
        <f>IF($J916="","",IFERROR(COUNTIFS('Weekly Log'!$G:$G,"Y",'Weekly Log'!$A:$A,"&gt;="&amp;$J916,'Weekly Log'!$A:$A,"&lt;"&amp;$J916+7)/COUNTIFS('Weekly Log'!$G:$G,"&lt;&gt;",'Weekly Log'!$A:$A,"&gt;="&amp;$J916,'Weekly Log'!$A:$A,"&lt;"&amp;$J916+7),0))</f>
        <v/>
      </c>
      <c r="D916">
        <f>IF($J916="","",IFERROR(COUNTIFS('Weekly Log'!$H:$H,"Y",'Weekly Log'!$A:$A,"&gt;="&amp;$J916,'Weekly Log'!$A:$A,"&lt;"&amp;$J916+7)/COUNTIFS('Weekly Log'!$H:$H,"&lt;&gt;",'Weekly Log'!$A:$A,"&gt;="&amp;$J916,'Weekly Log'!$A:$A,"&lt;"&amp;$J916+7),0))</f>
        <v/>
      </c>
      <c r="E916">
        <f>IF($J916="","",IFERROR(AVERAGEIFS('Weekly Log'!$F:$F,'Weekly Log'!$A:$A,"&gt;="&amp;$J916,'Weekly Log'!$A:$A,"&lt;"&amp;$J916+7),0))</f>
        <v/>
      </c>
      <c r="F916">
        <f>IF($J916="","",IFERROR(SUMIFS('Weekly Log'!$F:$F,'Weekly Log'!$A:$A,"&gt;="&amp;$J916,'Weekly Log'!$A:$A,"&lt;"&amp;$J916+7)/SUMIFS('Weekly Log'!$E:$E,'Weekly Log'!$A:$A,"&gt;="&amp;$J916,'Weekly Log'!$A:$A,"&lt;"&amp;$J916+7),0))</f>
        <v/>
      </c>
      <c r="G916">
        <f>IF($J916="","",IFERROR(LOOKUP(2,1/(('Weekly Log'!$A$5:$A$5000&gt;=$J916)*('Weekly Log'!$A$5:$A$5000&lt;$J916+7)*('Weekly Log'!$M$5:$M$5000&lt;&gt;"")),'Weekly Log'!$M$5:$M$5000),0))</f>
        <v/>
      </c>
      <c r="J916">
        <f>IF(COUNT('Weekly Log'!$A$5:$A$5000)=0,"",IF(MIN('Weekly Log'!$A$5:$A$5000)+7*(ROW()-10)&gt;MAX('Weekly Log'!$A$5:$A$5000),"",MIN('Weekly Log'!$A$5:$A$5000)+7*(ROW()-10)))</f>
        <v/>
      </c>
    </row>
    <row r="917">
      <c r="A917">
        <f>IF($J917="","",YEAR($J917-WEEKDAY($J917,2)+4)&amp;"-W"&amp;TEXT(WEEKNUM($J917,21),"00"))</f>
        <v/>
      </c>
      <c r="B917">
        <f>IF($J917="","",SUMIFS('Weekly Log'!$C:$C,'Weekly Log'!$A:$A,"&gt;="&amp;$J917,'Weekly Log'!$A:$A,"&lt;"&amp;$J917+7))</f>
        <v/>
      </c>
      <c r="C917">
        <f>IF($J917="","",IFERROR(COUNTIFS('Weekly Log'!$G:$G,"Y",'Weekly Log'!$A:$A,"&gt;="&amp;$J917,'Weekly Log'!$A:$A,"&lt;"&amp;$J917+7)/COUNTIFS('Weekly Log'!$G:$G,"&lt;&gt;",'Weekly Log'!$A:$A,"&gt;="&amp;$J917,'Weekly Log'!$A:$A,"&lt;"&amp;$J917+7),0))</f>
        <v/>
      </c>
      <c r="D917">
        <f>IF($J917="","",IFERROR(COUNTIFS('Weekly Log'!$H:$H,"Y",'Weekly Log'!$A:$A,"&gt;="&amp;$J917,'Weekly Log'!$A:$A,"&lt;"&amp;$J917+7)/COUNTIFS('Weekly Log'!$H:$H,"&lt;&gt;",'Weekly Log'!$A:$A,"&gt;="&amp;$J917,'Weekly Log'!$A:$A,"&lt;"&amp;$J917+7),0))</f>
        <v/>
      </c>
      <c r="E917">
        <f>IF($J917="","",IFERROR(AVERAGEIFS('Weekly Log'!$F:$F,'Weekly Log'!$A:$A,"&gt;="&amp;$J917,'Weekly Log'!$A:$A,"&lt;"&amp;$J917+7),0))</f>
        <v/>
      </c>
      <c r="F917">
        <f>IF($J917="","",IFERROR(SUMIFS('Weekly Log'!$F:$F,'Weekly Log'!$A:$A,"&gt;="&amp;$J917,'Weekly Log'!$A:$A,"&lt;"&amp;$J917+7)/SUMIFS('Weekly Log'!$E:$E,'Weekly Log'!$A:$A,"&gt;="&amp;$J917,'Weekly Log'!$A:$A,"&lt;"&amp;$J917+7),0))</f>
        <v/>
      </c>
      <c r="G917">
        <f>IF($J917="","",IFERROR(LOOKUP(2,1/(('Weekly Log'!$A$5:$A$5000&gt;=$J917)*('Weekly Log'!$A$5:$A$5000&lt;$J917+7)*('Weekly Log'!$M$5:$M$5000&lt;&gt;"")),'Weekly Log'!$M$5:$M$5000),0))</f>
        <v/>
      </c>
      <c r="J917">
        <f>IF(COUNT('Weekly Log'!$A$5:$A$5000)=0,"",IF(MIN('Weekly Log'!$A$5:$A$5000)+7*(ROW()-10)&gt;MAX('Weekly Log'!$A$5:$A$5000),"",MIN('Weekly Log'!$A$5:$A$5000)+7*(ROW()-10)))</f>
        <v/>
      </c>
    </row>
    <row r="918">
      <c r="A918">
        <f>IF($J918="","",YEAR($J918-WEEKDAY($J918,2)+4)&amp;"-W"&amp;TEXT(WEEKNUM($J918,21),"00"))</f>
        <v/>
      </c>
      <c r="B918">
        <f>IF($J918="","",SUMIFS('Weekly Log'!$C:$C,'Weekly Log'!$A:$A,"&gt;="&amp;$J918,'Weekly Log'!$A:$A,"&lt;"&amp;$J918+7))</f>
        <v/>
      </c>
      <c r="C918">
        <f>IF($J918="","",IFERROR(COUNTIFS('Weekly Log'!$G:$G,"Y",'Weekly Log'!$A:$A,"&gt;="&amp;$J918,'Weekly Log'!$A:$A,"&lt;"&amp;$J918+7)/COUNTIFS('Weekly Log'!$G:$G,"&lt;&gt;",'Weekly Log'!$A:$A,"&gt;="&amp;$J918,'Weekly Log'!$A:$A,"&lt;"&amp;$J918+7),0))</f>
        <v/>
      </c>
      <c r="D918">
        <f>IF($J918="","",IFERROR(COUNTIFS('Weekly Log'!$H:$H,"Y",'Weekly Log'!$A:$A,"&gt;="&amp;$J918,'Weekly Log'!$A:$A,"&lt;"&amp;$J918+7)/COUNTIFS('Weekly Log'!$H:$H,"&lt;&gt;",'Weekly Log'!$A:$A,"&gt;="&amp;$J918,'Weekly Log'!$A:$A,"&lt;"&amp;$J918+7),0))</f>
        <v/>
      </c>
      <c r="E918">
        <f>IF($J918="","",IFERROR(AVERAGEIFS('Weekly Log'!$F:$F,'Weekly Log'!$A:$A,"&gt;="&amp;$J918,'Weekly Log'!$A:$A,"&lt;"&amp;$J918+7),0))</f>
        <v/>
      </c>
      <c r="F918">
        <f>IF($J918="","",IFERROR(SUMIFS('Weekly Log'!$F:$F,'Weekly Log'!$A:$A,"&gt;="&amp;$J918,'Weekly Log'!$A:$A,"&lt;"&amp;$J918+7)/SUMIFS('Weekly Log'!$E:$E,'Weekly Log'!$A:$A,"&gt;="&amp;$J918,'Weekly Log'!$A:$A,"&lt;"&amp;$J918+7),0))</f>
        <v/>
      </c>
      <c r="G918">
        <f>IF($J918="","",IFERROR(LOOKUP(2,1/(('Weekly Log'!$A$5:$A$5000&gt;=$J918)*('Weekly Log'!$A$5:$A$5000&lt;$J918+7)*('Weekly Log'!$M$5:$M$5000&lt;&gt;"")),'Weekly Log'!$M$5:$M$5000),0))</f>
        <v/>
      </c>
      <c r="J918">
        <f>IF(COUNT('Weekly Log'!$A$5:$A$5000)=0,"",IF(MIN('Weekly Log'!$A$5:$A$5000)+7*(ROW()-10)&gt;MAX('Weekly Log'!$A$5:$A$5000),"",MIN('Weekly Log'!$A$5:$A$5000)+7*(ROW()-10)))</f>
        <v/>
      </c>
    </row>
    <row r="919">
      <c r="A919">
        <f>IF($J919="","",YEAR($J919-WEEKDAY($J919,2)+4)&amp;"-W"&amp;TEXT(WEEKNUM($J919,21),"00"))</f>
        <v/>
      </c>
      <c r="B919">
        <f>IF($J919="","",SUMIFS('Weekly Log'!$C:$C,'Weekly Log'!$A:$A,"&gt;="&amp;$J919,'Weekly Log'!$A:$A,"&lt;"&amp;$J919+7))</f>
        <v/>
      </c>
      <c r="C919">
        <f>IF($J919="","",IFERROR(COUNTIFS('Weekly Log'!$G:$G,"Y",'Weekly Log'!$A:$A,"&gt;="&amp;$J919,'Weekly Log'!$A:$A,"&lt;"&amp;$J919+7)/COUNTIFS('Weekly Log'!$G:$G,"&lt;&gt;",'Weekly Log'!$A:$A,"&gt;="&amp;$J919,'Weekly Log'!$A:$A,"&lt;"&amp;$J919+7),0))</f>
        <v/>
      </c>
      <c r="D919">
        <f>IF($J919="","",IFERROR(COUNTIFS('Weekly Log'!$H:$H,"Y",'Weekly Log'!$A:$A,"&gt;="&amp;$J919,'Weekly Log'!$A:$A,"&lt;"&amp;$J919+7)/COUNTIFS('Weekly Log'!$H:$H,"&lt;&gt;",'Weekly Log'!$A:$A,"&gt;="&amp;$J919,'Weekly Log'!$A:$A,"&lt;"&amp;$J919+7),0))</f>
        <v/>
      </c>
      <c r="E919">
        <f>IF($J919="","",IFERROR(AVERAGEIFS('Weekly Log'!$F:$F,'Weekly Log'!$A:$A,"&gt;="&amp;$J919,'Weekly Log'!$A:$A,"&lt;"&amp;$J919+7),0))</f>
        <v/>
      </c>
      <c r="F919">
        <f>IF($J919="","",IFERROR(SUMIFS('Weekly Log'!$F:$F,'Weekly Log'!$A:$A,"&gt;="&amp;$J919,'Weekly Log'!$A:$A,"&lt;"&amp;$J919+7)/SUMIFS('Weekly Log'!$E:$E,'Weekly Log'!$A:$A,"&gt;="&amp;$J919,'Weekly Log'!$A:$A,"&lt;"&amp;$J919+7),0))</f>
        <v/>
      </c>
      <c r="G919">
        <f>IF($J919="","",IFERROR(LOOKUP(2,1/(('Weekly Log'!$A$5:$A$5000&gt;=$J919)*('Weekly Log'!$A$5:$A$5000&lt;$J919+7)*('Weekly Log'!$M$5:$M$5000&lt;&gt;"")),'Weekly Log'!$M$5:$M$5000),0))</f>
        <v/>
      </c>
      <c r="J919">
        <f>IF(COUNT('Weekly Log'!$A$5:$A$5000)=0,"",IF(MIN('Weekly Log'!$A$5:$A$5000)+7*(ROW()-10)&gt;MAX('Weekly Log'!$A$5:$A$5000),"",MIN('Weekly Log'!$A$5:$A$5000)+7*(ROW()-10)))</f>
        <v/>
      </c>
    </row>
    <row r="920">
      <c r="A920">
        <f>IF($J920="","",YEAR($J920-WEEKDAY($J920,2)+4)&amp;"-W"&amp;TEXT(WEEKNUM($J920,21),"00"))</f>
        <v/>
      </c>
      <c r="B920">
        <f>IF($J920="","",SUMIFS('Weekly Log'!$C:$C,'Weekly Log'!$A:$A,"&gt;="&amp;$J920,'Weekly Log'!$A:$A,"&lt;"&amp;$J920+7))</f>
        <v/>
      </c>
      <c r="C920">
        <f>IF($J920="","",IFERROR(COUNTIFS('Weekly Log'!$G:$G,"Y",'Weekly Log'!$A:$A,"&gt;="&amp;$J920,'Weekly Log'!$A:$A,"&lt;"&amp;$J920+7)/COUNTIFS('Weekly Log'!$G:$G,"&lt;&gt;",'Weekly Log'!$A:$A,"&gt;="&amp;$J920,'Weekly Log'!$A:$A,"&lt;"&amp;$J920+7),0))</f>
        <v/>
      </c>
      <c r="D920">
        <f>IF($J920="","",IFERROR(COUNTIFS('Weekly Log'!$H:$H,"Y",'Weekly Log'!$A:$A,"&gt;="&amp;$J920,'Weekly Log'!$A:$A,"&lt;"&amp;$J920+7)/COUNTIFS('Weekly Log'!$H:$H,"&lt;&gt;",'Weekly Log'!$A:$A,"&gt;="&amp;$J920,'Weekly Log'!$A:$A,"&lt;"&amp;$J920+7),0))</f>
        <v/>
      </c>
      <c r="E920">
        <f>IF($J920="","",IFERROR(AVERAGEIFS('Weekly Log'!$F:$F,'Weekly Log'!$A:$A,"&gt;="&amp;$J920,'Weekly Log'!$A:$A,"&lt;"&amp;$J920+7),0))</f>
        <v/>
      </c>
      <c r="F920">
        <f>IF($J920="","",IFERROR(SUMIFS('Weekly Log'!$F:$F,'Weekly Log'!$A:$A,"&gt;="&amp;$J920,'Weekly Log'!$A:$A,"&lt;"&amp;$J920+7)/SUMIFS('Weekly Log'!$E:$E,'Weekly Log'!$A:$A,"&gt;="&amp;$J920,'Weekly Log'!$A:$A,"&lt;"&amp;$J920+7),0))</f>
        <v/>
      </c>
      <c r="G920">
        <f>IF($J920="","",IFERROR(LOOKUP(2,1/(('Weekly Log'!$A$5:$A$5000&gt;=$J920)*('Weekly Log'!$A$5:$A$5000&lt;$J920+7)*('Weekly Log'!$M$5:$M$5000&lt;&gt;"")),'Weekly Log'!$M$5:$M$5000),0))</f>
        <v/>
      </c>
      <c r="J920">
        <f>IF(COUNT('Weekly Log'!$A$5:$A$5000)=0,"",IF(MIN('Weekly Log'!$A$5:$A$5000)+7*(ROW()-10)&gt;MAX('Weekly Log'!$A$5:$A$5000),"",MIN('Weekly Log'!$A$5:$A$5000)+7*(ROW()-10)))</f>
        <v/>
      </c>
    </row>
    <row r="921">
      <c r="A921">
        <f>IF($J921="","",YEAR($J921-WEEKDAY($J921,2)+4)&amp;"-W"&amp;TEXT(WEEKNUM($J921,21),"00"))</f>
        <v/>
      </c>
      <c r="B921">
        <f>IF($J921="","",SUMIFS('Weekly Log'!$C:$C,'Weekly Log'!$A:$A,"&gt;="&amp;$J921,'Weekly Log'!$A:$A,"&lt;"&amp;$J921+7))</f>
        <v/>
      </c>
      <c r="C921">
        <f>IF($J921="","",IFERROR(COUNTIFS('Weekly Log'!$G:$G,"Y",'Weekly Log'!$A:$A,"&gt;="&amp;$J921,'Weekly Log'!$A:$A,"&lt;"&amp;$J921+7)/COUNTIFS('Weekly Log'!$G:$G,"&lt;&gt;",'Weekly Log'!$A:$A,"&gt;="&amp;$J921,'Weekly Log'!$A:$A,"&lt;"&amp;$J921+7),0))</f>
        <v/>
      </c>
      <c r="D921">
        <f>IF($J921="","",IFERROR(COUNTIFS('Weekly Log'!$H:$H,"Y",'Weekly Log'!$A:$A,"&gt;="&amp;$J921,'Weekly Log'!$A:$A,"&lt;"&amp;$J921+7)/COUNTIFS('Weekly Log'!$H:$H,"&lt;&gt;",'Weekly Log'!$A:$A,"&gt;="&amp;$J921,'Weekly Log'!$A:$A,"&lt;"&amp;$J921+7),0))</f>
        <v/>
      </c>
      <c r="E921">
        <f>IF($J921="","",IFERROR(AVERAGEIFS('Weekly Log'!$F:$F,'Weekly Log'!$A:$A,"&gt;="&amp;$J921,'Weekly Log'!$A:$A,"&lt;"&amp;$J921+7),0))</f>
        <v/>
      </c>
      <c r="F921">
        <f>IF($J921="","",IFERROR(SUMIFS('Weekly Log'!$F:$F,'Weekly Log'!$A:$A,"&gt;="&amp;$J921,'Weekly Log'!$A:$A,"&lt;"&amp;$J921+7)/SUMIFS('Weekly Log'!$E:$E,'Weekly Log'!$A:$A,"&gt;="&amp;$J921,'Weekly Log'!$A:$A,"&lt;"&amp;$J921+7),0))</f>
        <v/>
      </c>
      <c r="G921">
        <f>IF($J921="","",IFERROR(LOOKUP(2,1/(('Weekly Log'!$A$5:$A$5000&gt;=$J921)*('Weekly Log'!$A$5:$A$5000&lt;$J921+7)*('Weekly Log'!$M$5:$M$5000&lt;&gt;"")),'Weekly Log'!$M$5:$M$5000),0))</f>
        <v/>
      </c>
      <c r="J921">
        <f>IF(COUNT('Weekly Log'!$A$5:$A$5000)=0,"",IF(MIN('Weekly Log'!$A$5:$A$5000)+7*(ROW()-10)&gt;MAX('Weekly Log'!$A$5:$A$5000),"",MIN('Weekly Log'!$A$5:$A$5000)+7*(ROW()-10)))</f>
        <v/>
      </c>
    </row>
    <row r="922">
      <c r="A922">
        <f>IF($J922="","",YEAR($J922-WEEKDAY($J922,2)+4)&amp;"-W"&amp;TEXT(WEEKNUM($J922,21),"00"))</f>
        <v/>
      </c>
      <c r="B922">
        <f>IF($J922="","",SUMIFS('Weekly Log'!$C:$C,'Weekly Log'!$A:$A,"&gt;="&amp;$J922,'Weekly Log'!$A:$A,"&lt;"&amp;$J922+7))</f>
        <v/>
      </c>
      <c r="C922">
        <f>IF($J922="","",IFERROR(COUNTIFS('Weekly Log'!$G:$G,"Y",'Weekly Log'!$A:$A,"&gt;="&amp;$J922,'Weekly Log'!$A:$A,"&lt;"&amp;$J922+7)/COUNTIFS('Weekly Log'!$G:$G,"&lt;&gt;",'Weekly Log'!$A:$A,"&gt;="&amp;$J922,'Weekly Log'!$A:$A,"&lt;"&amp;$J922+7),0))</f>
        <v/>
      </c>
      <c r="D922">
        <f>IF($J922="","",IFERROR(COUNTIFS('Weekly Log'!$H:$H,"Y",'Weekly Log'!$A:$A,"&gt;="&amp;$J922,'Weekly Log'!$A:$A,"&lt;"&amp;$J922+7)/COUNTIFS('Weekly Log'!$H:$H,"&lt;&gt;",'Weekly Log'!$A:$A,"&gt;="&amp;$J922,'Weekly Log'!$A:$A,"&lt;"&amp;$J922+7),0))</f>
        <v/>
      </c>
      <c r="E922">
        <f>IF($J922="","",IFERROR(AVERAGEIFS('Weekly Log'!$F:$F,'Weekly Log'!$A:$A,"&gt;="&amp;$J922,'Weekly Log'!$A:$A,"&lt;"&amp;$J922+7),0))</f>
        <v/>
      </c>
      <c r="F922">
        <f>IF($J922="","",IFERROR(SUMIFS('Weekly Log'!$F:$F,'Weekly Log'!$A:$A,"&gt;="&amp;$J922,'Weekly Log'!$A:$A,"&lt;"&amp;$J922+7)/SUMIFS('Weekly Log'!$E:$E,'Weekly Log'!$A:$A,"&gt;="&amp;$J922,'Weekly Log'!$A:$A,"&lt;"&amp;$J922+7),0))</f>
        <v/>
      </c>
      <c r="G922">
        <f>IF($J922="","",IFERROR(LOOKUP(2,1/(('Weekly Log'!$A$5:$A$5000&gt;=$J922)*('Weekly Log'!$A$5:$A$5000&lt;$J922+7)*('Weekly Log'!$M$5:$M$5000&lt;&gt;"")),'Weekly Log'!$M$5:$M$5000),0))</f>
        <v/>
      </c>
      <c r="J922">
        <f>IF(COUNT('Weekly Log'!$A$5:$A$5000)=0,"",IF(MIN('Weekly Log'!$A$5:$A$5000)+7*(ROW()-10)&gt;MAX('Weekly Log'!$A$5:$A$5000),"",MIN('Weekly Log'!$A$5:$A$5000)+7*(ROW()-10)))</f>
        <v/>
      </c>
    </row>
    <row r="923">
      <c r="A923">
        <f>IF($J923="","",YEAR($J923-WEEKDAY($J923,2)+4)&amp;"-W"&amp;TEXT(WEEKNUM($J923,21),"00"))</f>
        <v/>
      </c>
      <c r="B923">
        <f>IF($J923="","",SUMIFS('Weekly Log'!$C:$C,'Weekly Log'!$A:$A,"&gt;="&amp;$J923,'Weekly Log'!$A:$A,"&lt;"&amp;$J923+7))</f>
        <v/>
      </c>
      <c r="C923">
        <f>IF($J923="","",IFERROR(COUNTIFS('Weekly Log'!$G:$G,"Y",'Weekly Log'!$A:$A,"&gt;="&amp;$J923,'Weekly Log'!$A:$A,"&lt;"&amp;$J923+7)/COUNTIFS('Weekly Log'!$G:$G,"&lt;&gt;",'Weekly Log'!$A:$A,"&gt;="&amp;$J923,'Weekly Log'!$A:$A,"&lt;"&amp;$J923+7),0))</f>
        <v/>
      </c>
      <c r="D923">
        <f>IF($J923="","",IFERROR(COUNTIFS('Weekly Log'!$H:$H,"Y",'Weekly Log'!$A:$A,"&gt;="&amp;$J923,'Weekly Log'!$A:$A,"&lt;"&amp;$J923+7)/COUNTIFS('Weekly Log'!$H:$H,"&lt;&gt;",'Weekly Log'!$A:$A,"&gt;="&amp;$J923,'Weekly Log'!$A:$A,"&lt;"&amp;$J923+7),0))</f>
        <v/>
      </c>
      <c r="E923">
        <f>IF($J923="","",IFERROR(AVERAGEIFS('Weekly Log'!$F:$F,'Weekly Log'!$A:$A,"&gt;="&amp;$J923,'Weekly Log'!$A:$A,"&lt;"&amp;$J923+7),0))</f>
        <v/>
      </c>
      <c r="F923">
        <f>IF($J923="","",IFERROR(SUMIFS('Weekly Log'!$F:$F,'Weekly Log'!$A:$A,"&gt;="&amp;$J923,'Weekly Log'!$A:$A,"&lt;"&amp;$J923+7)/SUMIFS('Weekly Log'!$E:$E,'Weekly Log'!$A:$A,"&gt;="&amp;$J923,'Weekly Log'!$A:$A,"&lt;"&amp;$J923+7),0))</f>
        <v/>
      </c>
      <c r="G923">
        <f>IF($J923="","",IFERROR(LOOKUP(2,1/(('Weekly Log'!$A$5:$A$5000&gt;=$J923)*('Weekly Log'!$A$5:$A$5000&lt;$J923+7)*('Weekly Log'!$M$5:$M$5000&lt;&gt;"")),'Weekly Log'!$M$5:$M$5000),0))</f>
        <v/>
      </c>
      <c r="J923">
        <f>IF(COUNT('Weekly Log'!$A$5:$A$5000)=0,"",IF(MIN('Weekly Log'!$A$5:$A$5000)+7*(ROW()-10)&gt;MAX('Weekly Log'!$A$5:$A$5000),"",MIN('Weekly Log'!$A$5:$A$5000)+7*(ROW()-10)))</f>
        <v/>
      </c>
    </row>
    <row r="924">
      <c r="A924">
        <f>IF($J924="","",YEAR($J924-WEEKDAY($J924,2)+4)&amp;"-W"&amp;TEXT(WEEKNUM($J924,21),"00"))</f>
        <v/>
      </c>
      <c r="B924">
        <f>IF($J924="","",SUMIFS('Weekly Log'!$C:$C,'Weekly Log'!$A:$A,"&gt;="&amp;$J924,'Weekly Log'!$A:$A,"&lt;"&amp;$J924+7))</f>
        <v/>
      </c>
      <c r="C924">
        <f>IF($J924="","",IFERROR(COUNTIFS('Weekly Log'!$G:$G,"Y",'Weekly Log'!$A:$A,"&gt;="&amp;$J924,'Weekly Log'!$A:$A,"&lt;"&amp;$J924+7)/COUNTIFS('Weekly Log'!$G:$G,"&lt;&gt;",'Weekly Log'!$A:$A,"&gt;="&amp;$J924,'Weekly Log'!$A:$A,"&lt;"&amp;$J924+7),0))</f>
        <v/>
      </c>
      <c r="D924">
        <f>IF($J924="","",IFERROR(COUNTIFS('Weekly Log'!$H:$H,"Y",'Weekly Log'!$A:$A,"&gt;="&amp;$J924,'Weekly Log'!$A:$A,"&lt;"&amp;$J924+7)/COUNTIFS('Weekly Log'!$H:$H,"&lt;&gt;",'Weekly Log'!$A:$A,"&gt;="&amp;$J924,'Weekly Log'!$A:$A,"&lt;"&amp;$J924+7),0))</f>
        <v/>
      </c>
      <c r="E924">
        <f>IF($J924="","",IFERROR(AVERAGEIFS('Weekly Log'!$F:$F,'Weekly Log'!$A:$A,"&gt;="&amp;$J924,'Weekly Log'!$A:$A,"&lt;"&amp;$J924+7),0))</f>
        <v/>
      </c>
      <c r="F924">
        <f>IF($J924="","",IFERROR(SUMIFS('Weekly Log'!$F:$F,'Weekly Log'!$A:$A,"&gt;="&amp;$J924,'Weekly Log'!$A:$A,"&lt;"&amp;$J924+7)/SUMIFS('Weekly Log'!$E:$E,'Weekly Log'!$A:$A,"&gt;="&amp;$J924,'Weekly Log'!$A:$A,"&lt;"&amp;$J924+7),0))</f>
        <v/>
      </c>
      <c r="G924">
        <f>IF($J924="","",IFERROR(LOOKUP(2,1/(('Weekly Log'!$A$5:$A$5000&gt;=$J924)*('Weekly Log'!$A$5:$A$5000&lt;$J924+7)*('Weekly Log'!$M$5:$M$5000&lt;&gt;"")),'Weekly Log'!$M$5:$M$5000),0))</f>
        <v/>
      </c>
      <c r="J924">
        <f>IF(COUNT('Weekly Log'!$A$5:$A$5000)=0,"",IF(MIN('Weekly Log'!$A$5:$A$5000)+7*(ROW()-10)&gt;MAX('Weekly Log'!$A$5:$A$5000),"",MIN('Weekly Log'!$A$5:$A$5000)+7*(ROW()-10)))</f>
        <v/>
      </c>
    </row>
    <row r="925">
      <c r="A925">
        <f>IF($J925="","",YEAR($J925-WEEKDAY($J925,2)+4)&amp;"-W"&amp;TEXT(WEEKNUM($J925,21),"00"))</f>
        <v/>
      </c>
      <c r="B925">
        <f>IF($J925="","",SUMIFS('Weekly Log'!$C:$C,'Weekly Log'!$A:$A,"&gt;="&amp;$J925,'Weekly Log'!$A:$A,"&lt;"&amp;$J925+7))</f>
        <v/>
      </c>
      <c r="C925">
        <f>IF($J925="","",IFERROR(COUNTIFS('Weekly Log'!$G:$G,"Y",'Weekly Log'!$A:$A,"&gt;="&amp;$J925,'Weekly Log'!$A:$A,"&lt;"&amp;$J925+7)/COUNTIFS('Weekly Log'!$G:$G,"&lt;&gt;",'Weekly Log'!$A:$A,"&gt;="&amp;$J925,'Weekly Log'!$A:$A,"&lt;"&amp;$J925+7),0))</f>
        <v/>
      </c>
      <c r="D925">
        <f>IF($J925="","",IFERROR(COUNTIFS('Weekly Log'!$H:$H,"Y",'Weekly Log'!$A:$A,"&gt;="&amp;$J925,'Weekly Log'!$A:$A,"&lt;"&amp;$J925+7)/COUNTIFS('Weekly Log'!$H:$H,"&lt;&gt;",'Weekly Log'!$A:$A,"&gt;="&amp;$J925,'Weekly Log'!$A:$A,"&lt;"&amp;$J925+7),0))</f>
        <v/>
      </c>
      <c r="E925">
        <f>IF($J925="","",IFERROR(AVERAGEIFS('Weekly Log'!$F:$F,'Weekly Log'!$A:$A,"&gt;="&amp;$J925,'Weekly Log'!$A:$A,"&lt;"&amp;$J925+7),0))</f>
        <v/>
      </c>
      <c r="F925">
        <f>IF($J925="","",IFERROR(SUMIFS('Weekly Log'!$F:$F,'Weekly Log'!$A:$A,"&gt;="&amp;$J925,'Weekly Log'!$A:$A,"&lt;"&amp;$J925+7)/SUMIFS('Weekly Log'!$E:$E,'Weekly Log'!$A:$A,"&gt;="&amp;$J925,'Weekly Log'!$A:$A,"&lt;"&amp;$J925+7),0))</f>
        <v/>
      </c>
      <c r="G925">
        <f>IF($J925="","",IFERROR(LOOKUP(2,1/(('Weekly Log'!$A$5:$A$5000&gt;=$J925)*('Weekly Log'!$A$5:$A$5000&lt;$J925+7)*('Weekly Log'!$M$5:$M$5000&lt;&gt;"")),'Weekly Log'!$M$5:$M$5000),0))</f>
        <v/>
      </c>
      <c r="J925">
        <f>IF(COUNT('Weekly Log'!$A$5:$A$5000)=0,"",IF(MIN('Weekly Log'!$A$5:$A$5000)+7*(ROW()-10)&gt;MAX('Weekly Log'!$A$5:$A$5000),"",MIN('Weekly Log'!$A$5:$A$5000)+7*(ROW()-10)))</f>
        <v/>
      </c>
    </row>
    <row r="926">
      <c r="A926">
        <f>IF($J926="","",YEAR($J926-WEEKDAY($J926,2)+4)&amp;"-W"&amp;TEXT(WEEKNUM($J926,21),"00"))</f>
        <v/>
      </c>
      <c r="B926">
        <f>IF($J926="","",SUMIFS('Weekly Log'!$C:$C,'Weekly Log'!$A:$A,"&gt;="&amp;$J926,'Weekly Log'!$A:$A,"&lt;"&amp;$J926+7))</f>
        <v/>
      </c>
      <c r="C926">
        <f>IF($J926="","",IFERROR(COUNTIFS('Weekly Log'!$G:$G,"Y",'Weekly Log'!$A:$A,"&gt;="&amp;$J926,'Weekly Log'!$A:$A,"&lt;"&amp;$J926+7)/COUNTIFS('Weekly Log'!$G:$G,"&lt;&gt;",'Weekly Log'!$A:$A,"&gt;="&amp;$J926,'Weekly Log'!$A:$A,"&lt;"&amp;$J926+7),0))</f>
        <v/>
      </c>
      <c r="D926">
        <f>IF($J926="","",IFERROR(COUNTIFS('Weekly Log'!$H:$H,"Y",'Weekly Log'!$A:$A,"&gt;="&amp;$J926,'Weekly Log'!$A:$A,"&lt;"&amp;$J926+7)/COUNTIFS('Weekly Log'!$H:$H,"&lt;&gt;",'Weekly Log'!$A:$A,"&gt;="&amp;$J926,'Weekly Log'!$A:$A,"&lt;"&amp;$J926+7),0))</f>
        <v/>
      </c>
      <c r="E926">
        <f>IF($J926="","",IFERROR(AVERAGEIFS('Weekly Log'!$F:$F,'Weekly Log'!$A:$A,"&gt;="&amp;$J926,'Weekly Log'!$A:$A,"&lt;"&amp;$J926+7),0))</f>
        <v/>
      </c>
      <c r="F926">
        <f>IF($J926="","",IFERROR(SUMIFS('Weekly Log'!$F:$F,'Weekly Log'!$A:$A,"&gt;="&amp;$J926,'Weekly Log'!$A:$A,"&lt;"&amp;$J926+7)/SUMIFS('Weekly Log'!$E:$E,'Weekly Log'!$A:$A,"&gt;="&amp;$J926,'Weekly Log'!$A:$A,"&lt;"&amp;$J926+7),0))</f>
        <v/>
      </c>
      <c r="G926">
        <f>IF($J926="","",IFERROR(LOOKUP(2,1/(('Weekly Log'!$A$5:$A$5000&gt;=$J926)*('Weekly Log'!$A$5:$A$5000&lt;$J926+7)*('Weekly Log'!$M$5:$M$5000&lt;&gt;"")),'Weekly Log'!$M$5:$M$5000),0))</f>
        <v/>
      </c>
      <c r="J926">
        <f>IF(COUNT('Weekly Log'!$A$5:$A$5000)=0,"",IF(MIN('Weekly Log'!$A$5:$A$5000)+7*(ROW()-10)&gt;MAX('Weekly Log'!$A$5:$A$5000),"",MIN('Weekly Log'!$A$5:$A$5000)+7*(ROW()-10)))</f>
        <v/>
      </c>
    </row>
    <row r="927">
      <c r="A927">
        <f>IF($J927="","",YEAR($J927-WEEKDAY($J927,2)+4)&amp;"-W"&amp;TEXT(WEEKNUM($J927,21),"00"))</f>
        <v/>
      </c>
      <c r="B927">
        <f>IF($J927="","",SUMIFS('Weekly Log'!$C:$C,'Weekly Log'!$A:$A,"&gt;="&amp;$J927,'Weekly Log'!$A:$A,"&lt;"&amp;$J927+7))</f>
        <v/>
      </c>
      <c r="C927">
        <f>IF($J927="","",IFERROR(COUNTIFS('Weekly Log'!$G:$G,"Y",'Weekly Log'!$A:$A,"&gt;="&amp;$J927,'Weekly Log'!$A:$A,"&lt;"&amp;$J927+7)/COUNTIFS('Weekly Log'!$G:$G,"&lt;&gt;",'Weekly Log'!$A:$A,"&gt;="&amp;$J927,'Weekly Log'!$A:$A,"&lt;"&amp;$J927+7),0))</f>
        <v/>
      </c>
      <c r="D927">
        <f>IF($J927="","",IFERROR(COUNTIFS('Weekly Log'!$H:$H,"Y",'Weekly Log'!$A:$A,"&gt;="&amp;$J927,'Weekly Log'!$A:$A,"&lt;"&amp;$J927+7)/COUNTIFS('Weekly Log'!$H:$H,"&lt;&gt;",'Weekly Log'!$A:$A,"&gt;="&amp;$J927,'Weekly Log'!$A:$A,"&lt;"&amp;$J927+7),0))</f>
        <v/>
      </c>
      <c r="E927">
        <f>IF($J927="","",IFERROR(AVERAGEIFS('Weekly Log'!$F:$F,'Weekly Log'!$A:$A,"&gt;="&amp;$J927,'Weekly Log'!$A:$A,"&lt;"&amp;$J927+7),0))</f>
        <v/>
      </c>
      <c r="F927">
        <f>IF($J927="","",IFERROR(SUMIFS('Weekly Log'!$F:$F,'Weekly Log'!$A:$A,"&gt;="&amp;$J927,'Weekly Log'!$A:$A,"&lt;"&amp;$J927+7)/SUMIFS('Weekly Log'!$E:$E,'Weekly Log'!$A:$A,"&gt;="&amp;$J927,'Weekly Log'!$A:$A,"&lt;"&amp;$J927+7),0))</f>
        <v/>
      </c>
      <c r="G927">
        <f>IF($J927="","",IFERROR(LOOKUP(2,1/(('Weekly Log'!$A$5:$A$5000&gt;=$J927)*('Weekly Log'!$A$5:$A$5000&lt;$J927+7)*('Weekly Log'!$M$5:$M$5000&lt;&gt;"")),'Weekly Log'!$M$5:$M$5000),0))</f>
        <v/>
      </c>
      <c r="J927">
        <f>IF(COUNT('Weekly Log'!$A$5:$A$5000)=0,"",IF(MIN('Weekly Log'!$A$5:$A$5000)+7*(ROW()-10)&gt;MAX('Weekly Log'!$A$5:$A$5000),"",MIN('Weekly Log'!$A$5:$A$5000)+7*(ROW()-10)))</f>
        <v/>
      </c>
    </row>
    <row r="928">
      <c r="A928">
        <f>IF($J928="","",YEAR($J928-WEEKDAY($J928,2)+4)&amp;"-W"&amp;TEXT(WEEKNUM($J928,21),"00"))</f>
        <v/>
      </c>
      <c r="B928">
        <f>IF($J928="","",SUMIFS('Weekly Log'!$C:$C,'Weekly Log'!$A:$A,"&gt;="&amp;$J928,'Weekly Log'!$A:$A,"&lt;"&amp;$J928+7))</f>
        <v/>
      </c>
      <c r="C928">
        <f>IF($J928="","",IFERROR(COUNTIFS('Weekly Log'!$G:$G,"Y",'Weekly Log'!$A:$A,"&gt;="&amp;$J928,'Weekly Log'!$A:$A,"&lt;"&amp;$J928+7)/COUNTIFS('Weekly Log'!$G:$G,"&lt;&gt;",'Weekly Log'!$A:$A,"&gt;="&amp;$J928,'Weekly Log'!$A:$A,"&lt;"&amp;$J928+7),0))</f>
        <v/>
      </c>
      <c r="D928">
        <f>IF($J928="","",IFERROR(COUNTIFS('Weekly Log'!$H:$H,"Y",'Weekly Log'!$A:$A,"&gt;="&amp;$J928,'Weekly Log'!$A:$A,"&lt;"&amp;$J928+7)/COUNTIFS('Weekly Log'!$H:$H,"&lt;&gt;",'Weekly Log'!$A:$A,"&gt;="&amp;$J928,'Weekly Log'!$A:$A,"&lt;"&amp;$J928+7),0))</f>
        <v/>
      </c>
      <c r="E928">
        <f>IF($J928="","",IFERROR(AVERAGEIFS('Weekly Log'!$F:$F,'Weekly Log'!$A:$A,"&gt;="&amp;$J928,'Weekly Log'!$A:$A,"&lt;"&amp;$J928+7),0))</f>
        <v/>
      </c>
      <c r="F928">
        <f>IF($J928="","",IFERROR(SUMIFS('Weekly Log'!$F:$F,'Weekly Log'!$A:$A,"&gt;="&amp;$J928,'Weekly Log'!$A:$A,"&lt;"&amp;$J928+7)/SUMIFS('Weekly Log'!$E:$E,'Weekly Log'!$A:$A,"&gt;="&amp;$J928,'Weekly Log'!$A:$A,"&lt;"&amp;$J928+7),0))</f>
        <v/>
      </c>
      <c r="G928">
        <f>IF($J928="","",IFERROR(LOOKUP(2,1/(('Weekly Log'!$A$5:$A$5000&gt;=$J928)*('Weekly Log'!$A$5:$A$5000&lt;$J928+7)*('Weekly Log'!$M$5:$M$5000&lt;&gt;"")),'Weekly Log'!$M$5:$M$5000),0))</f>
        <v/>
      </c>
      <c r="J928">
        <f>IF(COUNT('Weekly Log'!$A$5:$A$5000)=0,"",IF(MIN('Weekly Log'!$A$5:$A$5000)+7*(ROW()-10)&gt;MAX('Weekly Log'!$A$5:$A$5000),"",MIN('Weekly Log'!$A$5:$A$5000)+7*(ROW()-10)))</f>
        <v/>
      </c>
    </row>
    <row r="929">
      <c r="A929">
        <f>IF($J929="","",YEAR($J929-WEEKDAY($J929,2)+4)&amp;"-W"&amp;TEXT(WEEKNUM($J929,21),"00"))</f>
        <v/>
      </c>
      <c r="B929">
        <f>IF($J929="","",SUMIFS('Weekly Log'!$C:$C,'Weekly Log'!$A:$A,"&gt;="&amp;$J929,'Weekly Log'!$A:$A,"&lt;"&amp;$J929+7))</f>
        <v/>
      </c>
      <c r="C929">
        <f>IF($J929="","",IFERROR(COUNTIFS('Weekly Log'!$G:$G,"Y",'Weekly Log'!$A:$A,"&gt;="&amp;$J929,'Weekly Log'!$A:$A,"&lt;"&amp;$J929+7)/COUNTIFS('Weekly Log'!$G:$G,"&lt;&gt;",'Weekly Log'!$A:$A,"&gt;="&amp;$J929,'Weekly Log'!$A:$A,"&lt;"&amp;$J929+7),0))</f>
        <v/>
      </c>
      <c r="D929">
        <f>IF($J929="","",IFERROR(COUNTIFS('Weekly Log'!$H:$H,"Y",'Weekly Log'!$A:$A,"&gt;="&amp;$J929,'Weekly Log'!$A:$A,"&lt;"&amp;$J929+7)/COUNTIFS('Weekly Log'!$H:$H,"&lt;&gt;",'Weekly Log'!$A:$A,"&gt;="&amp;$J929,'Weekly Log'!$A:$A,"&lt;"&amp;$J929+7),0))</f>
        <v/>
      </c>
      <c r="E929">
        <f>IF($J929="","",IFERROR(AVERAGEIFS('Weekly Log'!$F:$F,'Weekly Log'!$A:$A,"&gt;="&amp;$J929,'Weekly Log'!$A:$A,"&lt;"&amp;$J929+7),0))</f>
        <v/>
      </c>
      <c r="F929">
        <f>IF($J929="","",IFERROR(SUMIFS('Weekly Log'!$F:$F,'Weekly Log'!$A:$A,"&gt;="&amp;$J929,'Weekly Log'!$A:$A,"&lt;"&amp;$J929+7)/SUMIFS('Weekly Log'!$E:$E,'Weekly Log'!$A:$A,"&gt;="&amp;$J929,'Weekly Log'!$A:$A,"&lt;"&amp;$J929+7),0))</f>
        <v/>
      </c>
      <c r="G929">
        <f>IF($J929="","",IFERROR(LOOKUP(2,1/(('Weekly Log'!$A$5:$A$5000&gt;=$J929)*('Weekly Log'!$A$5:$A$5000&lt;$J929+7)*('Weekly Log'!$M$5:$M$5000&lt;&gt;"")),'Weekly Log'!$M$5:$M$5000),0))</f>
        <v/>
      </c>
      <c r="J929">
        <f>IF(COUNT('Weekly Log'!$A$5:$A$5000)=0,"",IF(MIN('Weekly Log'!$A$5:$A$5000)+7*(ROW()-10)&gt;MAX('Weekly Log'!$A$5:$A$5000),"",MIN('Weekly Log'!$A$5:$A$5000)+7*(ROW()-10)))</f>
        <v/>
      </c>
    </row>
    <row r="930">
      <c r="A930">
        <f>IF($J930="","",YEAR($J930-WEEKDAY($J930,2)+4)&amp;"-W"&amp;TEXT(WEEKNUM($J930,21),"00"))</f>
        <v/>
      </c>
      <c r="B930">
        <f>IF($J930="","",SUMIFS('Weekly Log'!$C:$C,'Weekly Log'!$A:$A,"&gt;="&amp;$J930,'Weekly Log'!$A:$A,"&lt;"&amp;$J930+7))</f>
        <v/>
      </c>
      <c r="C930">
        <f>IF($J930="","",IFERROR(COUNTIFS('Weekly Log'!$G:$G,"Y",'Weekly Log'!$A:$A,"&gt;="&amp;$J930,'Weekly Log'!$A:$A,"&lt;"&amp;$J930+7)/COUNTIFS('Weekly Log'!$G:$G,"&lt;&gt;",'Weekly Log'!$A:$A,"&gt;="&amp;$J930,'Weekly Log'!$A:$A,"&lt;"&amp;$J930+7),0))</f>
        <v/>
      </c>
      <c r="D930">
        <f>IF($J930="","",IFERROR(COUNTIFS('Weekly Log'!$H:$H,"Y",'Weekly Log'!$A:$A,"&gt;="&amp;$J930,'Weekly Log'!$A:$A,"&lt;"&amp;$J930+7)/COUNTIFS('Weekly Log'!$H:$H,"&lt;&gt;",'Weekly Log'!$A:$A,"&gt;="&amp;$J930,'Weekly Log'!$A:$A,"&lt;"&amp;$J930+7),0))</f>
        <v/>
      </c>
      <c r="E930">
        <f>IF($J930="","",IFERROR(AVERAGEIFS('Weekly Log'!$F:$F,'Weekly Log'!$A:$A,"&gt;="&amp;$J930,'Weekly Log'!$A:$A,"&lt;"&amp;$J930+7),0))</f>
        <v/>
      </c>
      <c r="F930">
        <f>IF($J930="","",IFERROR(SUMIFS('Weekly Log'!$F:$F,'Weekly Log'!$A:$A,"&gt;="&amp;$J930,'Weekly Log'!$A:$A,"&lt;"&amp;$J930+7)/SUMIFS('Weekly Log'!$E:$E,'Weekly Log'!$A:$A,"&gt;="&amp;$J930,'Weekly Log'!$A:$A,"&lt;"&amp;$J930+7),0))</f>
        <v/>
      </c>
      <c r="G930">
        <f>IF($J930="","",IFERROR(LOOKUP(2,1/(('Weekly Log'!$A$5:$A$5000&gt;=$J930)*('Weekly Log'!$A$5:$A$5000&lt;$J930+7)*('Weekly Log'!$M$5:$M$5000&lt;&gt;"")),'Weekly Log'!$M$5:$M$5000),0))</f>
        <v/>
      </c>
      <c r="J930">
        <f>IF(COUNT('Weekly Log'!$A$5:$A$5000)=0,"",IF(MIN('Weekly Log'!$A$5:$A$5000)+7*(ROW()-10)&gt;MAX('Weekly Log'!$A$5:$A$5000),"",MIN('Weekly Log'!$A$5:$A$5000)+7*(ROW()-10)))</f>
        <v/>
      </c>
    </row>
    <row r="931">
      <c r="A931">
        <f>IF($J931="","",YEAR($J931-WEEKDAY($J931,2)+4)&amp;"-W"&amp;TEXT(WEEKNUM($J931,21),"00"))</f>
        <v/>
      </c>
      <c r="B931">
        <f>IF($J931="","",SUMIFS('Weekly Log'!$C:$C,'Weekly Log'!$A:$A,"&gt;="&amp;$J931,'Weekly Log'!$A:$A,"&lt;"&amp;$J931+7))</f>
        <v/>
      </c>
      <c r="C931">
        <f>IF($J931="","",IFERROR(COUNTIFS('Weekly Log'!$G:$G,"Y",'Weekly Log'!$A:$A,"&gt;="&amp;$J931,'Weekly Log'!$A:$A,"&lt;"&amp;$J931+7)/COUNTIFS('Weekly Log'!$G:$G,"&lt;&gt;",'Weekly Log'!$A:$A,"&gt;="&amp;$J931,'Weekly Log'!$A:$A,"&lt;"&amp;$J931+7),0))</f>
        <v/>
      </c>
      <c r="D931">
        <f>IF($J931="","",IFERROR(COUNTIFS('Weekly Log'!$H:$H,"Y",'Weekly Log'!$A:$A,"&gt;="&amp;$J931,'Weekly Log'!$A:$A,"&lt;"&amp;$J931+7)/COUNTIFS('Weekly Log'!$H:$H,"&lt;&gt;",'Weekly Log'!$A:$A,"&gt;="&amp;$J931,'Weekly Log'!$A:$A,"&lt;"&amp;$J931+7),0))</f>
        <v/>
      </c>
      <c r="E931">
        <f>IF($J931="","",IFERROR(AVERAGEIFS('Weekly Log'!$F:$F,'Weekly Log'!$A:$A,"&gt;="&amp;$J931,'Weekly Log'!$A:$A,"&lt;"&amp;$J931+7),0))</f>
        <v/>
      </c>
      <c r="F931">
        <f>IF($J931="","",IFERROR(SUMIFS('Weekly Log'!$F:$F,'Weekly Log'!$A:$A,"&gt;="&amp;$J931,'Weekly Log'!$A:$A,"&lt;"&amp;$J931+7)/SUMIFS('Weekly Log'!$E:$E,'Weekly Log'!$A:$A,"&gt;="&amp;$J931,'Weekly Log'!$A:$A,"&lt;"&amp;$J931+7),0))</f>
        <v/>
      </c>
      <c r="G931">
        <f>IF($J931="","",IFERROR(LOOKUP(2,1/(('Weekly Log'!$A$5:$A$5000&gt;=$J931)*('Weekly Log'!$A$5:$A$5000&lt;$J931+7)*('Weekly Log'!$M$5:$M$5000&lt;&gt;"")),'Weekly Log'!$M$5:$M$5000),0))</f>
        <v/>
      </c>
      <c r="J931">
        <f>IF(COUNT('Weekly Log'!$A$5:$A$5000)=0,"",IF(MIN('Weekly Log'!$A$5:$A$5000)+7*(ROW()-10)&gt;MAX('Weekly Log'!$A$5:$A$5000),"",MIN('Weekly Log'!$A$5:$A$5000)+7*(ROW()-10)))</f>
        <v/>
      </c>
    </row>
    <row r="932">
      <c r="A932">
        <f>IF($J932="","",YEAR($J932-WEEKDAY($J932,2)+4)&amp;"-W"&amp;TEXT(WEEKNUM($J932,21),"00"))</f>
        <v/>
      </c>
      <c r="B932">
        <f>IF($J932="","",SUMIFS('Weekly Log'!$C:$C,'Weekly Log'!$A:$A,"&gt;="&amp;$J932,'Weekly Log'!$A:$A,"&lt;"&amp;$J932+7))</f>
        <v/>
      </c>
      <c r="C932">
        <f>IF($J932="","",IFERROR(COUNTIFS('Weekly Log'!$G:$G,"Y",'Weekly Log'!$A:$A,"&gt;="&amp;$J932,'Weekly Log'!$A:$A,"&lt;"&amp;$J932+7)/COUNTIFS('Weekly Log'!$G:$G,"&lt;&gt;",'Weekly Log'!$A:$A,"&gt;="&amp;$J932,'Weekly Log'!$A:$A,"&lt;"&amp;$J932+7),0))</f>
        <v/>
      </c>
      <c r="D932">
        <f>IF($J932="","",IFERROR(COUNTIFS('Weekly Log'!$H:$H,"Y",'Weekly Log'!$A:$A,"&gt;="&amp;$J932,'Weekly Log'!$A:$A,"&lt;"&amp;$J932+7)/COUNTIFS('Weekly Log'!$H:$H,"&lt;&gt;",'Weekly Log'!$A:$A,"&gt;="&amp;$J932,'Weekly Log'!$A:$A,"&lt;"&amp;$J932+7),0))</f>
        <v/>
      </c>
      <c r="E932">
        <f>IF($J932="","",IFERROR(AVERAGEIFS('Weekly Log'!$F:$F,'Weekly Log'!$A:$A,"&gt;="&amp;$J932,'Weekly Log'!$A:$A,"&lt;"&amp;$J932+7),0))</f>
        <v/>
      </c>
      <c r="F932">
        <f>IF($J932="","",IFERROR(SUMIFS('Weekly Log'!$F:$F,'Weekly Log'!$A:$A,"&gt;="&amp;$J932,'Weekly Log'!$A:$A,"&lt;"&amp;$J932+7)/SUMIFS('Weekly Log'!$E:$E,'Weekly Log'!$A:$A,"&gt;="&amp;$J932,'Weekly Log'!$A:$A,"&lt;"&amp;$J932+7),0))</f>
        <v/>
      </c>
      <c r="G932">
        <f>IF($J932="","",IFERROR(LOOKUP(2,1/(('Weekly Log'!$A$5:$A$5000&gt;=$J932)*('Weekly Log'!$A$5:$A$5000&lt;$J932+7)*('Weekly Log'!$M$5:$M$5000&lt;&gt;"")),'Weekly Log'!$M$5:$M$5000),0))</f>
        <v/>
      </c>
      <c r="J932">
        <f>IF(COUNT('Weekly Log'!$A$5:$A$5000)=0,"",IF(MIN('Weekly Log'!$A$5:$A$5000)+7*(ROW()-10)&gt;MAX('Weekly Log'!$A$5:$A$5000),"",MIN('Weekly Log'!$A$5:$A$5000)+7*(ROW()-10)))</f>
        <v/>
      </c>
    </row>
    <row r="933">
      <c r="A933">
        <f>IF($J933="","",YEAR($J933-WEEKDAY($J933,2)+4)&amp;"-W"&amp;TEXT(WEEKNUM($J933,21),"00"))</f>
        <v/>
      </c>
      <c r="B933">
        <f>IF($J933="","",SUMIFS('Weekly Log'!$C:$C,'Weekly Log'!$A:$A,"&gt;="&amp;$J933,'Weekly Log'!$A:$A,"&lt;"&amp;$J933+7))</f>
        <v/>
      </c>
      <c r="C933">
        <f>IF($J933="","",IFERROR(COUNTIFS('Weekly Log'!$G:$G,"Y",'Weekly Log'!$A:$A,"&gt;="&amp;$J933,'Weekly Log'!$A:$A,"&lt;"&amp;$J933+7)/COUNTIFS('Weekly Log'!$G:$G,"&lt;&gt;",'Weekly Log'!$A:$A,"&gt;="&amp;$J933,'Weekly Log'!$A:$A,"&lt;"&amp;$J933+7),0))</f>
        <v/>
      </c>
      <c r="D933">
        <f>IF($J933="","",IFERROR(COUNTIFS('Weekly Log'!$H:$H,"Y",'Weekly Log'!$A:$A,"&gt;="&amp;$J933,'Weekly Log'!$A:$A,"&lt;"&amp;$J933+7)/COUNTIFS('Weekly Log'!$H:$H,"&lt;&gt;",'Weekly Log'!$A:$A,"&gt;="&amp;$J933,'Weekly Log'!$A:$A,"&lt;"&amp;$J933+7),0))</f>
        <v/>
      </c>
      <c r="E933">
        <f>IF($J933="","",IFERROR(AVERAGEIFS('Weekly Log'!$F:$F,'Weekly Log'!$A:$A,"&gt;="&amp;$J933,'Weekly Log'!$A:$A,"&lt;"&amp;$J933+7),0))</f>
        <v/>
      </c>
      <c r="F933">
        <f>IF($J933="","",IFERROR(SUMIFS('Weekly Log'!$F:$F,'Weekly Log'!$A:$A,"&gt;="&amp;$J933,'Weekly Log'!$A:$A,"&lt;"&amp;$J933+7)/SUMIFS('Weekly Log'!$E:$E,'Weekly Log'!$A:$A,"&gt;="&amp;$J933,'Weekly Log'!$A:$A,"&lt;"&amp;$J933+7),0))</f>
        <v/>
      </c>
      <c r="G933">
        <f>IF($J933="","",IFERROR(LOOKUP(2,1/(('Weekly Log'!$A$5:$A$5000&gt;=$J933)*('Weekly Log'!$A$5:$A$5000&lt;$J933+7)*('Weekly Log'!$M$5:$M$5000&lt;&gt;"")),'Weekly Log'!$M$5:$M$5000),0))</f>
        <v/>
      </c>
      <c r="J933">
        <f>IF(COUNT('Weekly Log'!$A$5:$A$5000)=0,"",IF(MIN('Weekly Log'!$A$5:$A$5000)+7*(ROW()-10)&gt;MAX('Weekly Log'!$A$5:$A$5000),"",MIN('Weekly Log'!$A$5:$A$5000)+7*(ROW()-10)))</f>
        <v/>
      </c>
    </row>
    <row r="934">
      <c r="A934">
        <f>IF($J934="","",YEAR($J934-WEEKDAY($J934,2)+4)&amp;"-W"&amp;TEXT(WEEKNUM($J934,21),"00"))</f>
        <v/>
      </c>
      <c r="B934">
        <f>IF($J934="","",SUMIFS('Weekly Log'!$C:$C,'Weekly Log'!$A:$A,"&gt;="&amp;$J934,'Weekly Log'!$A:$A,"&lt;"&amp;$J934+7))</f>
        <v/>
      </c>
      <c r="C934">
        <f>IF($J934="","",IFERROR(COUNTIFS('Weekly Log'!$G:$G,"Y",'Weekly Log'!$A:$A,"&gt;="&amp;$J934,'Weekly Log'!$A:$A,"&lt;"&amp;$J934+7)/COUNTIFS('Weekly Log'!$G:$G,"&lt;&gt;",'Weekly Log'!$A:$A,"&gt;="&amp;$J934,'Weekly Log'!$A:$A,"&lt;"&amp;$J934+7),0))</f>
        <v/>
      </c>
      <c r="D934">
        <f>IF($J934="","",IFERROR(COUNTIFS('Weekly Log'!$H:$H,"Y",'Weekly Log'!$A:$A,"&gt;="&amp;$J934,'Weekly Log'!$A:$A,"&lt;"&amp;$J934+7)/COUNTIFS('Weekly Log'!$H:$H,"&lt;&gt;",'Weekly Log'!$A:$A,"&gt;="&amp;$J934,'Weekly Log'!$A:$A,"&lt;"&amp;$J934+7),0))</f>
        <v/>
      </c>
      <c r="E934">
        <f>IF($J934="","",IFERROR(AVERAGEIFS('Weekly Log'!$F:$F,'Weekly Log'!$A:$A,"&gt;="&amp;$J934,'Weekly Log'!$A:$A,"&lt;"&amp;$J934+7),0))</f>
        <v/>
      </c>
      <c r="F934">
        <f>IF($J934="","",IFERROR(SUMIFS('Weekly Log'!$F:$F,'Weekly Log'!$A:$A,"&gt;="&amp;$J934,'Weekly Log'!$A:$A,"&lt;"&amp;$J934+7)/SUMIFS('Weekly Log'!$E:$E,'Weekly Log'!$A:$A,"&gt;="&amp;$J934,'Weekly Log'!$A:$A,"&lt;"&amp;$J934+7),0))</f>
        <v/>
      </c>
      <c r="G934">
        <f>IF($J934="","",IFERROR(LOOKUP(2,1/(('Weekly Log'!$A$5:$A$5000&gt;=$J934)*('Weekly Log'!$A$5:$A$5000&lt;$J934+7)*('Weekly Log'!$M$5:$M$5000&lt;&gt;"")),'Weekly Log'!$M$5:$M$5000),0))</f>
        <v/>
      </c>
      <c r="J934">
        <f>IF(COUNT('Weekly Log'!$A$5:$A$5000)=0,"",IF(MIN('Weekly Log'!$A$5:$A$5000)+7*(ROW()-10)&gt;MAX('Weekly Log'!$A$5:$A$5000),"",MIN('Weekly Log'!$A$5:$A$5000)+7*(ROW()-10)))</f>
        <v/>
      </c>
    </row>
    <row r="935">
      <c r="A935">
        <f>IF($J935="","",YEAR($J935-WEEKDAY($J935,2)+4)&amp;"-W"&amp;TEXT(WEEKNUM($J935,21),"00"))</f>
        <v/>
      </c>
      <c r="B935">
        <f>IF($J935="","",SUMIFS('Weekly Log'!$C:$C,'Weekly Log'!$A:$A,"&gt;="&amp;$J935,'Weekly Log'!$A:$A,"&lt;"&amp;$J935+7))</f>
        <v/>
      </c>
      <c r="C935">
        <f>IF($J935="","",IFERROR(COUNTIFS('Weekly Log'!$G:$G,"Y",'Weekly Log'!$A:$A,"&gt;="&amp;$J935,'Weekly Log'!$A:$A,"&lt;"&amp;$J935+7)/COUNTIFS('Weekly Log'!$G:$G,"&lt;&gt;",'Weekly Log'!$A:$A,"&gt;="&amp;$J935,'Weekly Log'!$A:$A,"&lt;"&amp;$J935+7),0))</f>
        <v/>
      </c>
      <c r="D935">
        <f>IF($J935="","",IFERROR(COUNTIFS('Weekly Log'!$H:$H,"Y",'Weekly Log'!$A:$A,"&gt;="&amp;$J935,'Weekly Log'!$A:$A,"&lt;"&amp;$J935+7)/COUNTIFS('Weekly Log'!$H:$H,"&lt;&gt;",'Weekly Log'!$A:$A,"&gt;="&amp;$J935,'Weekly Log'!$A:$A,"&lt;"&amp;$J935+7),0))</f>
        <v/>
      </c>
      <c r="E935">
        <f>IF($J935="","",IFERROR(AVERAGEIFS('Weekly Log'!$F:$F,'Weekly Log'!$A:$A,"&gt;="&amp;$J935,'Weekly Log'!$A:$A,"&lt;"&amp;$J935+7),0))</f>
        <v/>
      </c>
      <c r="F935">
        <f>IF($J935="","",IFERROR(SUMIFS('Weekly Log'!$F:$F,'Weekly Log'!$A:$A,"&gt;="&amp;$J935,'Weekly Log'!$A:$A,"&lt;"&amp;$J935+7)/SUMIFS('Weekly Log'!$E:$E,'Weekly Log'!$A:$A,"&gt;="&amp;$J935,'Weekly Log'!$A:$A,"&lt;"&amp;$J935+7),0))</f>
        <v/>
      </c>
      <c r="G935">
        <f>IF($J935="","",IFERROR(LOOKUP(2,1/(('Weekly Log'!$A$5:$A$5000&gt;=$J935)*('Weekly Log'!$A$5:$A$5000&lt;$J935+7)*('Weekly Log'!$M$5:$M$5000&lt;&gt;"")),'Weekly Log'!$M$5:$M$5000),0))</f>
        <v/>
      </c>
      <c r="J935">
        <f>IF(COUNT('Weekly Log'!$A$5:$A$5000)=0,"",IF(MIN('Weekly Log'!$A$5:$A$5000)+7*(ROW()-10)&gt;MAX('Weekly Log'!$A$5:$A$5000),"",MIN('Weekly Log'!$A$5:$A$5000)+7*(ROW()-10)))</f>
        <v/>
      </c>
    </row>
    <row r="936">
      <c r="A936">
        <f>IF($J936="","",YEAR($J936-WEEKDAY($J936,2)+4)&amp;"-W"&amp;TEXT(WEEKNUM($J936,21),"00"))</f>
        <v/>
      </c>
      <c r="B936">
        <f>IF($J936="","",SUMIFS('Weekly Log'!$C:$C,'Weekly Log'!$A:$A,"&gt;="&amp;$J936,'Weekly Log'!$A:$A,"&lt;"&amp;$J936+7))</f>
        <v/>
      </c>
      <c r="C936">
        <f>IF($J936="","",IFERROR(COUNTIFS('Weekly Log'!$G:$G,"Y",'Weekly Log'!$A:$A,"&gt;="&amp;$J936,'Weekly Log'!$A:$A,"&lt;"&amp;$J936+7)/COUNTIFS('Weekly Log'!$G:$G,"&lt;&gt;",'Weekly Log'!$A:$A,"&gt;="&amp;$J936,'Weekly Log'!$A:$A,"&lt;"&amp;$J936+7),0))</f>
        <v/>
      </c>
      <c r="D936">
        <f>IF($J936="","",IFERROR(COUNTIFS('Weekly Log'!$H:$H,"Y",'Weekly Log'!$A:$A,"&gt;="&amp;$J936,'Weekly Log'!$A:$A,"&lt;"&amp;$J936+7)/COUNTIFS('Weekly Log'!$H:$H,"&lt;&gt;",'Weekly Log'!$A:$A,"&gt;="&amp;$J936,'Weekly Log'!$A:$A,"&lt;"&amp;$J936+7),0))</f>
        <v/>
      </c>
      <c r="E936">
        <f>IF($J936="","",IFERROR(AVERAGEIFS('Weekly Log'!$F:$F,'Weekly Log'!$A:$A,"&gt;="&amp;$J936,'Weekly Log'!$A:$A,"&lt;"&amp;$J936+7),0))</f>
        <v/>
      </c>
      <c r="F936">
        <f>IF($J936="","",IFERROR(SUMIFS('Weekly Log'!$F:$F,'Weekly Log'!$A:$A,"&gt;="&amp;$J936,'Weekly Log'!$A:$A,"&lt;"&amp;$J936+7)/SUMIFS('Weekly Log'!$E:$E,'Weekly Log'!$A:$A,"&gt;="&amp;$J936,'Weekly Log'!$A:$A,"&lt;"&amp;$J936+7),0))</f>
        <v/>
      </c>
      <c r="G936">
        <f>IF($J936="","",IFERROR(LOOKUP(2,1/(('Weekly Log'!$A$5:$A$5000&gt;=$J936)*('Weekly Log'!$A$5:$A$5000&lt;$J936+7)*('Weekly Log'!$M$5:$M$5000&lt;&gt;"")),'Weekly Log'!$M$5:$M$5000),0))</f>
        <v/>
      </c>
      <c r="J936">
        <f>IF(COUNT('Weekly Log'!$A$5:$A$5000)=0,"",IF(MIN('Weekly Log'!$A$5:$A$5000)+7*(ROW()-10)&gt;MAX('Weekly Log'!$A$5:$A$5000),"",MIN('Weekly Log'!$A$5:$A$5000)+7*(ROW()-10)))</f>
        <v/>
      </c>
    </row>
    <row r="937">
      <c r="A937">
        <f>IF($J937="","",YEAR($J937-WEEKDAY($J937,2)+4)&amp;"-W"&amp;TEXT(WEEKNUM($J937,21),"00"))</f>
        <v/>
      </c>
      <c r="B937">
        <f>IF($J937="","",SUMIFS('Weekly Log'!$C:$C,'Weekly Log'!$A:$A,"&gt;="&amp;$J937,'Weekly Log'!$A:$A,"&lt;"&amp;$J937+7))</f>
        <v/>
      </c>
      <c r="C937">
        <f>IF($J937="","",IFERROR(COUNTIFS('Weekly Log'!$G:$G,"Y",'Weekly Log'!$A:$A,"&gt;="&amp;$J937,'Weekly Log'!$A:$A,"&lt;"&amp;$J937+7)/COUNTIFS('Weekly Log'!$G:$G,"&lt;&gt;",'Weekly Log'!$A:$A,"&gt;="&amp;$J937,'Weekly Log'!$A:$A,"&lt;"&amp;$J937+7),0))</f>
        <v/>
      </c>
      <c r="D937">
        <f>IF($J937="","",IFERROR(COUNTIFS('Weekly Log'!$H:$H,"Y",'Weekly Log'!$A:$A,"&gt;="&amp;$J937,'Weekly Log'!$A:$A,"&lt;"&amp;$J937+7)/COUNTIFS('Weekly Log'!$H:$H,"&lt;&gt;",'Weekly Log'!$A:$A,"&gt;="&amp;$J937,'Weekly Log'!$A:$A,"&lt;"&amp;$J937+7),0))</f>
        <v/>
      </c>
      <c r="E937">
        <f>IF($J937="","",IFERROR(AVERAGEIFS('Weekly Log'!$F:$F,'Weekly Log'!$A:$A,"&gt;="&amp;$J937,'Weekly Log'!$A:$A,"&lt;"&amp;$J937+7),0))</f>
        <v/>
      </c>
      <c r="F937">
        <f>IF($J937="","",IFERROR(SUMIFS('Weekly Log'!$F:$F,'Weekly Log'!$A:$A,"&gt;="&amp;$J937,'Weekly Log'!$A:$A,"&lt;"&amp;$J937+7)/SUMIFS('Weekly Log'!$E:$E,'Weekly Log'!$A:$A,"&gt;="&amp;$J937,'Weekly Log'!$A:$A,"&lt;"&amp;$J937+7),0))</f>
        <v/>
      </c>
      <c r="G937">
        <f>IF($J937="","",IFERROR(LOOKUP(2,1/(('Weekly Log'!$A$5:$A$5000&gt;=$J937)*('Weekly Log'!$A$5:$A$5000&lt;$J937+7)*('Weekly Log'!$M$5:$M$5000&lt;&gt;"")),'Weekly Log'!$M$5:$M$5000),0))</f>
        <v/>
      </c>
      <c r="J937">
        <f>IF(COUNT('Weekly Log'!$A$5:$A$5000)=0,"",IF(MIN('Weekly Log'!$A$5:$A$5000)+7*(ROW()-10)&gt;MAX('Weekly Log'!$A$5:$A$5000),"",MIN('Weekly Log'!$A$5:$A$5000)+7*(ROW()-10)))</f>
        <v/>
      </c>
    </row>
    <row r="938">
      <c r="A938">
        <f>IF($J938="","",YEAR($J938-WEEKDAY($J938,2)+4)&amp;"-W"&amp;TEXT(WEEKNUM($J938,21),"00"))</f>
        <v/>
      </c>
      <c r="B938">
        <f>IF($J938="","",SUMIFS('Weekly Log'!$C:$C,'Weekly Log'!$A:$A,"&gt;="&amp;$J938,'Weekly Log'!$A:$A,"&lt;"&amp;$J938+7))</f>
        <v/>
      </c>
      <c r="C938">
        <f>IF($J938="","",IFERROR(COUNTIFS('Weekly Log'!$G:$G,"Y",'Weekly Log'!$A:$A,"&gt;="&amp;$J938,'Weekly Log'!$A:$A,"&lt;"&amp;$J938+7)/COUNTIFS('Weekly Log'!$G:$G,"&lt;&gt;",'Weekly Log'!$A:$A,"&gt;="&amp;$J938,'Weekly Log'!$A:$A,"&lt;"&amp;$J938+7),0))</f>
        <v/>
      </c>
      <c r="D938">
        <f>IF($J938="","",IFERROR(COUNTIFS('Weekly Log'!$H:$H,"Y",'Weekly Log'!$A:$A,"&gt;="&amp;$J938,'Weekly Log'!$A:$A,"&lt;"&amp;$J938+7)/COUNTIFS('Weekly Log'!$H:$H,"&lt;&gt;",'Weekly Log'!$A:$A,"&gt;="&amp;$J938,'Weekly Log'!$A:$A,"&lt;"&amp;$J938+7),0))</f>
        <v/>
      </c>
      <c r="E938">
        <f>IF($J938="","",IFERROR(AVERAGEIFS('Weekly Log'!$F:$F,'Weekly Log'!$A:$A,"&gt;="&amp;$J938,'Weekly Log'!$A:$A,"&lt;"&amp;$J938+7),0))</f>
        <v/>
      </c>
      <c r="F938">
        <f>IF($J938="","",IFERROR(SUMIFS('Weekly Log'!$F:$F,'Weekly Log'!$A:$A,"&gt;="&amp;$J938,'Weekly Log'!$A:$A,"&lt;"&amp;$J938+7)/SUMIFS('Weekly Log'!$E:$E,'Weekly Log'!$A:$A,"&gt;="&amp;$J938,'Weekly Log'!$A:$A,"&lt;"&amp;$J938+7),0))</f>
        <v/>
      </c>
      <c r="G938">
        <f>IF($J938="","",IFERROR(LOOKUP(2,1/(('Weekly Log'!$A$5:$A$5000&gt;=$J938)*('Weekly Log'!$A$5:$A$5000&lt;$J938+7)*('Weekly Log'!$M$5:$M$5000&lt;&gt;"")),'Weekly Log'!$M$5:$M$5000),0))</f>
        <v/>
      </c>
      <c r="J938">
        <f>IF(COUNT('Weekly Log'!$A$5:$A$5000)=0,"",IF(MIN('Weekly Log'!$A$5:$A$5000)+7*(ROW()-10)&gt;MAX('Weekly Log'!$A$5:$A$5000),"",MIN('Weekly Log'!$A$5:$A$5000)+7*(ROW()-10)))</f>
        <v/>
      </c>
    </row>
    <row r="939">
      <c r="A939">
        <f>IF($J939="","",YEAR($J939-WEEKDAY($J939,2)+4)&amp;"-W"&amp;TEXT(WEEKNUM($J939,21),"00"))</f>
        <v/>
      </c>
      <c r="B939">
        <f>IF($J939="","",SUMIFS('Weekly Log'!$C:$C,'Weekly Log'!$A:$A,"&gt;="&amp;$J939,'Weekly Log'!$A:$A,"&lt;"&amp;$J939+7))</f>
        <v/>
      </c>
      <c r="C939">
        <f>IF($J939="","",IFERROR(COUNTIFS('Weekly Log'!$G:$G,"Y",'Weekly Log'!$A:$A,"&gt;="&amp;$J939,'Weekly Log'!$A:$A,"&lt;"&amp;$J939+7)/COUNTIFS('Weekly Log'!$G:$G,"&lt;&gt;",'Weekly Log'!$A:$A,"&gt;="&amp;$J939,'Weekly Log'!$A:$A,"&lt;"&amp;$J939+7),0))</f>
        <v/>
      </c>
      <c r="D939">
        <f>IF($J939="","",IFERROR(COUNTIFS('Weekly Log'!$H:$H,"Y",'Weekly Log'!$A:$A,"&gt;="&amp;$J939,'Weekly Log'!$A:$A,"&lt;"&amp;$J939+7)/COUNTIFS('Weekly Log'!$H:$H,"&lt;&gt;",'Weekly Log'!$A:$A,"&gt;="&amp;$J939,'Weekly Log'!$A:$A,"&lt;"&amp;$J939+7),0))</f>
        <v/>
      </c>
      <c r="E939">
        <f>IF($J939="","",IFERROR(AVERAGEIFS('Weekly Log'!$F:$F,'Weekly Log'!$A:$A,"&gt;="&amp;$J939,'Weekly Log'!$A:$A,"&lt;"&amp;$J939+7),0))</f>
        <v/>
      </c>
      <c r="F939">
        <f>IF($J939="","",IFERROR(SUMIFS('Weekly Log'!$F:$F,'Weekly Log'!$A:$A,"&gt;="&amp;$J939,'Weekly Log'!$A:$A,"&lt;"&amp;$J939+7)/SUMIFS('Weekly Log'!$E:$E,'Weekly Log'!$A:$A,"&gt;="&amp;$J939,'Weekly Log'!$A:$A,"&lt;"&amp;$J939+7),0))</f>
        <v/>
      </c>
      <c r="G939">
        <f>IF($J939="","",IFERROR(LOOKUP(2,1/(('Weekly Log'!$A$5:$A$5000&gt;=$J939)*('Weekly Log'!$A$5:$A$5000&lt;$J939+7)*('Weekly Log'!$M$5:$M$5000&lt;&gt;"")),'Weekly Log'!$M$5:$M$5000),0))</f>
        <v/>
      </c>
      <c r="J939">
        <f>IF(COUNT('Weekly Log'!$A$5:$A$5000)=0,"",IF(MIN('Weekly Log'!$A$5:$A$5000)+7*(ROW()-10)&gt;MAX('Weekly Log'!$A$5:$A$5000),"",MIN('Weekly Log'!$A$5:$A$5000)+7*(ROW()-10)))</f>
        <v/>
      </c>
    </row>
    <row r="940">
      <c r="A940">
        <f>IF($J940="","",YEAR($J940-WEEKDAY($J940,2)+4)&amp;"-W"&amp;TEXT(WEEKNUM($J940,21),"00"))</f>
        <v/>
      </c>
      <c r="B940">
        <f>IF($J940="","",SUMIFS('Weekly Log'!$C:$C,'Weekly Log'!$A:$A,"&gt;="&amp;$J940,'Weekly Log'!$A:$A,"&lt;"&amp;$J940+7))</f>
        <v/>
      </c>
      <c r="C940">
        <f>IF($J940="","",IFERROR(COUNTIFS('Weekly Log'!$G:$G,"Y",'Weekly Log'!$A:$A,"&gt;="&amp;$J940,'Weekly Log'!$A:$A,"&lt;"&amp;$J940+7)/COUNTIFS('Weekly Log'!$G:$G,"&lt;&gt;",'Weekly Log'!$A:$A,"&gt;="&amp;$J940,'Weekly Log'!$A:$A,"&lt;"&amp;$J940+7),0))</f>
        <v/>
      </c>
      <c r="D940">
        <f>IF($J940="","",IFERROR(COUNTIFS('Weekly Log'!$H:$H,"Y",'Weekly Log'!$A:$A,"&gt;="&amp;$J940,'Weekly Log'!$A:$A,"&lt;"&amp;$J940+7)/COUNTIFS('Weekly Log'!$H:$H,"&lt;&gt;",'Weekly Log'!$A:$A,"&gt;="&amp;$J940,'Weekly Log'!$A:$A,"&lt;"&amp;$J940+7),0))</f>
        <v/>
      </c>
      <c r="E940">
        <f>IF($J940="","",IFERROR(AVERAGEIFS('Weekly Log'!$F:$F,'Weekly Log'!$A:$A,"&gt;="&amp;$J940,'Weekly Log'!$A:$A,"&lt;"&amp;$J940+7),0))</f>
        <v/>
      </c>
      <c r="F940">
        <f>IF($J940="","",IFERROR(SUMIFS('Weekly Log'!$F:$F,'Weekly Log'!$A:$A,"&gt;="&amp;$J940,'Weekly Log'!$A:$A,"&lt;"&amp;$J940+7)/SUMIFS('Weekly Log'!$E:$E,'Weekly Log'!$A:$A,"&gt;="&amp;$J940,'Weekly Log'!$A:$A,"&lt;"&amp;$J940+7),0))</f>
        <v/>
      </c>
      <c r="G940">
        <f>IF($J940="","",IFERROR(LOOKUP(2,1/(('Weekly Log'!$A$5:$A$5000&gt;=$J940)*('Weekly Log'!$A$5:$A$5000&lt;$J940+7)*('Weekly Log'!$M$5:$M$5000&lt;&gt;"")),'Weekly Log'!$M$5:$M$5000),0))</f>
        <v/>
      </c>
      <c r="J940">
        <f>IF(COUNT('Weekly Log'!$A$5:$A$5000)=0,"",IF(MIN('Weekly Log'!$A$5:$A$5000)+7*(ROW()-10)&gt;MAX('Weekly Log'!$A$5:$A$5000),"",MIN('Weekly Log'!$A$5:$A$5000)+7*(ROW()-10)))</f>
        <v/>
      </c>
    </row>
    <row r="941">
      <c r="A941">
        <f>IF($J941="","",YEAR($J941-WEEKDAY($J941,2)+4)&amp;"-W"&amp;TEXT(WEEKNUM($J941,21),"00"))</f>
        <v/>
      </c>
      <c r="B941">
        <f>IF($J941="","",SUMIFS('Weekly Log'!$C:$C,'Weekly Log'!$A:$A,"&gt;="&amp;$J941,'Weekly Log'!$A:$A,"&lt;"&amp;$J941+7))</f>
        <v/>
      </c>
      <c r="C941">
        <f>IF($J941="","",IFERROR(COUNTIFS('Weekly Log'!$G:$G,"Y",'Weekly Log'!$A:$A,"&gt;="&amp;$J941,'Weekly Log'!$A:$A,"&lt;"&amp;$J941+7)/COUNTIFS('Weekly Log'!$G:$G,"&lt;&gt;",'Weekly Log'!$A:$A,"&gt;="&amp;$J941,'Weekly Log'!$A:$A,"&lt;"&amp;$J941+7),0))</f>
        <v/>
      </c>
      <c r="D941">
        <f>IF($J941="","",IFERROR(COUNTIFS('Weekly Log'!$H:$H,"Y",'Weekly Log'!$A:$A,"&gt;="&amp;$J941,'Weekly Log'!$A:$A,"&lt;"&amp;$J941+7)/COUNTIFS('Weekly Log'!$H:$H,"&lt;&gt;",'Weekly Log'!$A:$A,"&gt;="&amp;$J941,'Weekly Log'!$A:$A,"&lt;"&amp;$J941+7),0))</f>
        <v/>
      </c>
      <c r="E941">
        <f>IF($J941="","",IFERROR(AVERAGEIFS('Weekly Log'!$F:$F,'Weekly Log'!$A:$A,"&gt;="&amp;$J941,'Weekly Log'!$A:$A,"&lt;"&amp;$J941+7),0))</f>
        <v/>
      </c>
      <c r="F941">
        <f>IF($J941="","",IFERROR(SUMIFS('Weekly Log'!$F:$F,'Weekly Log'!$A:$A,"&gt;="&amp;$J941,'Weekly Log'!$A:$A,"&lt;"&amp;$J941+7)/SUMIFS('Weekly Log'!$E:$E,'Weekly Log'!$A:$A,"&gt;="&amp;$J941,'Weekly Log'!$A:$A,"&lt;"&amp;$J941+7),0))</f>
        <v/>
      </c>
      <c r="G941">
        <f>IF($J941="","",IFERROR(LOOKUP(2,1/(('Weekly Log'!$A$5:$A$5000&gt;=$J941)*('Weekly Log'!$A$5:$A$5000&lt;$J941+7)*('Weekly Log'!$M$5:$M$5000&lt;&gt;"")),'Weekly Log'!$M$5:$M$5000),0))</f>
        <v/>
      </c>
      <c r="J941">
        <f>IF(COUNT('Weekly Log'!$A$5:$A$5000)=0,"",IF(MIN('Weekly Log'!$A$5:$A$5000)+7*(ROW()-10)&gt;MAX('Weekly Log'!$A$5:$A$5000),"",MIN('Weekly Log'!$A$5:$A$5000)+7*(ROW()-10)))</f>
        <v/>
      </c>
    </row>
    <row r="942">
      <c r="A942">
        <f>IF($J942="","",YEAR($J942-WEEKDAY($J942,2)+4)&amp;"-W"&amp;TEXT(WEEKNUM($J942,21),"00"))</f>
        <v/>
      </c>
      <c r="B942">
        <f>IF($J942="","",SUMIFS('Weekly Log'!$C:$C,'Weekly Log'!$A:$A,"&gt;="&amp;$J942,'Weekly Log'!$A:$A,"&lt;"&amp;$J942+7))</f>
        <v/>
      </c>
      <c r="C942">
        <f>IF($J942="","",IFERROR(COUNTIFS('Weekly Log'!$G:$G,"Y",'Weekly Log'!$A:$A,"&gt;="&amp;$J942,'Weekly Log'!$A:$A,"&lt;"&amp;$J942+7)/COUNTIFS('Weekly Log'!$G:$G,"&lt;&gt;",'Weekly Log'!$A:$A,"&gt;="&amp;$J942,'Weekly Log'!$A:$A,"&lt;"&amp;$J942+7),0))</f>
        <v/>
      </c>
      <c r="D942">
        <f>IF($J942="","",IFERROR(COUNTIFS('Weekly Log'!$H:$H,"Y",'Weekly Log'!$A:$A,"&gt;="&amp;$J942,'Weekly Log'!$A:$A,"&lt;"&amp;$J942+7)/COUNTIFS('Weekly Log'!$H:$H,"&lt;&gt;",'Weekly Log'!$A:$A,"&gt;="&amp;$J942,'Weekly Log'!$A:$A,"&lt;"&amp;$J942+7),0))</f>
        <v/>
      </c>
      <c r="E942">
        <f>IF($J942="","",IFERROR(AVERAGEIFS('Weekly Log'!$F:$F,'Weekly Log'!$A:$A,"&gt;="&amp;$J942,'Weekly Log'!$A:$A,"&lt;"&amp;$J942+7),0))</f>
        <v/>
      </c>
      <c r="F942">
        <f>IF($J942="","",IFERROR(SUMIFS('Weekly Log'!$F:$F,'Weekly Log'!$A:$A,"&gt;="&amp;$J942,'Weekly Log'!$A:$A,"&lt;"&amp;$J942+7)/SUMIFS('Weekly Log'!$E:$E,'Weekly Log'!$A:$A,"&gt;="&amp;$J942,'Weekly Log'!$A:$A,"&lt;"&amp;$J942+7),0))</f>
        <v/>
      </c>
      <c r="G942">
        <f>IF($J942="","",IFERROR(LOOKUP(2,1/(('Weekly Log'!$A$5:$A$5000&gt;=$J942)*('Weekly Log'!$A$5:$A$5000&lt;$J942+7)*('Weekly Log'!$M$5:$M$5000&lt;&gt;"")),'Weekly Log'!$M$5:$M$5000),0))</f>
        <v/>
      </c>
      <c r="J942">
        <f>IF(COUNT('Weekly Log'!$A$5:$A$5000)=0,"",IF(MIN('Weekly Log'!$A$5:$A$5000)+7*(ROW()-10)&gt;MAX('Weekly Log'!$A$5:$A$5000),"",MIN('Weekly Log'!$A$5:$A$5000)+7*(ROW()-10)))</f>
        <v/>
      </c>
    </row>
    <row r="943">
      <c r="A943">
        <f>IF($J943="","",YEAR($J943-WEEKDAY($J943,2)+4)&amp;"-W"&amp;TEXT(WEEKNUM($J943,21),"00"))</f>
        <v/>
      </c>
      <c r="B943">
        <f>IF($J943="","",SUMIFS('Weekly Log'!$C:$C,'Weekly Log'!$A:$A,"&gt;="&amp;$J943,'Weekly Log'!$A:$A,"&lt;"&amp;$J943+7))</f>
        <v/>
      </c>
      <c r="C943">
        <f>IF($J943="","",IFERROR(COUNTIFS('Weekly Log'!$G:$G,"Y",'Weekly Log'!$A:$A,"&gt;="&amp;$J943,'Weekly Log'!$A:$A,"&lt;"&amp;$J943+7)/COUNTIFS('Weekly Log'!$G:$G,"&lt;&gt;",'Weekly Log'!$A:$A,"&gt;="&amp;$J943,'Weekly Log'!$A:$A,"&lt;"&amp;$J943+7),0))</f>
        <v/>
      </c>
      <c r="D943">
        <f>IF($J943="","",IFERROR(COUNTIFS('Weekly Log'!$H:$H,"Y",'Weekly Log'!$A:$A,"&gt;="&amp;$J943,'Weekly Log'!$A:$A,"&lt;"&amp;$J943+7)/COUNTIFS('Weekly Log'!$H:$H,"&lt;&gt;",'Weekly Log'!$A:$A,"&gt;="&amp;$J943,'Weekly Log'!$A:$A,"&lt;"&amp;$J943+7),0))</f>
        <v/>
      </c>
      <c r="E943">
        <f>IF($J943="","",IFERROR(AVERAGEIFS('Weekly Log'!$F:$F,'Weekly Log'!$A:$A,"&gt;="&amp;$J943,'Weekly Log'!$A:$A,"&lt;"&amp;$J943+7),0))</f>
        <v/>
      </c>
      <c r="F943">
        <f>IF($J943="","",IFERROR(SUMIFS('Weekly Log'!$F:$F,'Weekly Log'!$A:$A,"&gt;="&amp;$J943,'Weekly Log'!$A:$A,"&lt;"&amp;$J943+7)/SUMIFS('Weekly Log'!$E:$E,'Weekly Log'!$A:$A,"&gt;="&amp;$J943,'Weekly Log'!$A:$A,"&lt;"&amp;$J943+7),0))</f>
        <v/>
      </c>
      <c r="G943">
        <f>IF($J943="","",IFERROR(LOOKUP(2,1/(('Weekly Log'!$A$5:$A$5000&gt;=$J943)*('Weekly Log'!$A$5:$A$5000&lt;$J943+7)*('Weekly Log'!$M$5:$M$5000&lt;&gt;"")),'Weekly Log'!$M$5:$M$5000),0))</f>
        <v/>
      </c>
      <c r="J943">
        <f>IF(COUNT('Weekly Log'!$A$5:$A$5000)=0,"",IF(MIN('Weekly Log'!$A$5:$A$5000)+7*(ROW()-10)&gt;MAX('Weekly Log'!$A$5:$A$5000),"",MIN('Weekly Log'!$A$5:$A$5000)+7*(ROW()-10)))</f>
        <v/>
      </c>
    </row>
    <row r="944">
      <c r="A944">
        <f>IF($J944="","",YEAR($J944-WEEKDAY($J944,2)+4)&amp;"-W"&amp;TEXT(WEEKNUM($J944,21),"00"))</f>
        <v/>
      </c>
      <c r="B944">
        <f>IF($J944="","",SUMIFS('Weekly Log'!$C:$C,'Weekly Log'!$A:$A,"&gt;="&amp;$J944,'Weekly Log'!$A:$A,"&lt;"&amp;$J944+7))</f>
        <v/>
      </c>
      <c r="C944">
        <f>IF($J944="","",IFERROR(COUNTIFS('Weekly Log'!$G:$G,"Y",'Weekly Log'!$A:$A,"&gt;="&amp;$J944,'Weekly Log'!$A:$A,"&lt;"&amp;$J944+7)/COUNTIFS('Weekly Log'!$G:$G,"&lt;&gt;",'Weekly Log'!$A:$A,"&gt;="&amp;$J944,'Weekly Log'!$A:$A,"&lt;"&amp;$J944+7),0))</f>
        <v/>
      </c>
      <c r="D944">
        <f>IF($J944="","",IFERROR(COUNTIFS('Weekly Log'!$H:$H,"Y",'Weekly Log'!$A:$A,"&gt;="&amp;$J944,'Weekly Log'!$A:$A,"&lt;"&amp;$J944+7)/COUNTIFS('Weekly Log'!$H:$H,"&lt;&gt;",'Weekly Log'!$A:$A,"&gt;="&amp;$J944,'Weekly Log'!$A:$A,"&lt;"&amp;$J944+7),0))</f>
        <v/>
      </c>
      <c r="E944">
        <f>IF($J944="","",IFERROR(AVERAGEIFS('Weekly Log'!$F:$F,'Weekly Log'!$A:$A,"&gt;="&amp;$J944,'Weekly Log'!$A:$A,"&lt;"&amp;$J944+7),0))</f>
        <v/>
      </c>
      <c r="F944">
        <f>IF($J944="","",IFERROR(SUMIFS('Weekly Log'!$F:$F,'Weekly Log'!$A:$A,"&gt;="&amp;$J944,'Weekly Log'!$A:$A,"&lt;"&amp;$J944+7)/SUMIFS('Weekly Log'!$E:$E,'Weekly Log'!$A:$A,"&gt;="&amp;$J944,'Weekly Log'!$A:$A,"&lt;"&amp;$J944+7),0))</f>
        <v/>
      </c>
      <c r="G944">
        <f>IF($J944="","",IFERROR(LOOKUP(2,1/(('Weekly Log'!$A$5:$A$5000&gt;=$J944)*('Weekly Log'!$A$5:$A$5000&lt;$J944+7)*('Weekly Log'!$M$5:$M$5000&lt;&gt;"")),'Weekly Log'!$M$5:$M$5000),0))</f>
        <v/>
      </c>
      <c r="J944">
        <f>IF(COUNT('Weekly Log'!$A$5:$A$5000)=0,"",IF(MIN('Weekly Log'!$A$5:$A$5000)+7*(ROW()-10)&gt;MAX('Weekly Log'!$A$5:$A$5000),"",MIN('Weekly Log'!$A$5:$A$5000)+7*(ROW()-10)))</f>
        <v/>
      </c>
    </row>
    <row r="945">
      <c r="A945">
        <f>IF($J945="","",YEAR($J945-WEEKDAY($J945,2)+4)&amp;"-W"&amp;TEXT(WEEKNUM($J945,21),"00"))</f>
        <v/>
      </c>
      <c r="B945">
        <f>IF($J945="","",SUMIFS('Weekly Log'!$C:$C,'Weekly Log'!$A:$A,"&gt;="&amp;$J945,'Weekly Log'!$A:$A,"&lt;"&amp;$J945+7))</f>
        <v/>
      </c>
      <c r="C945">
        <f>IF($J945="","",IFERROR(COUNTIFS('Weekly Log'!$G:$G,"Y",'Weekly Log'!$A:$A,"&gt;="&amp;$J945,'Weekly Log'!$A:$A,"&lt;"&amp;$J945+7)/COUNTIFS('Weekly Log'!$G:$G,"&lt;&gt;",'Weekly Log'!$A:$A,"&gt;="&amp;$J945,'Weekly Log'!$A:$A,"&lt;"&amp;$J945+7),0))</f>
        <v/>
      </c>
      <c r="D945">
        <f>IF($J945="","",IFERROR(COUNTIFS('Weekly Log'!$H:$H,"Y",'Weekly Log'!$A:$A,"&gt;="&amp;$J945,'Weekly Log'!$A:$A,"&lt;"&amp;$J945+7)/COUNTIFS('Weekly Log'!$H:$H,"&lt;&gt;",'Weekly Log'!$A:$A,"&gt;="&amp;$J945,'Weekly Log'!$A:$A,"&lt;"&amp;$J945+7),0))</f>
        <v/>
      </c>
      <c r="E945">
        <f>IF($J945="","",IFERROR(AVERAGEIFS('Weekly Log'!$F:$F,'Weekly Log'!$A:$A,"&gt;="&amp;$J945,'Weekly Log'!$A:$A,"&lt;"&amp;$J945+7),0))</f>
        <v/>
      </c>
      <c r="F945">
        <f>IF($J945="","",IFERROR(SUMIFS('Weekly Log'!$F:$F,'Weekly Log'!$A:$A,"&gt;="&amp;$J945,'Weekly Log'!$A:$A,"&lt;"&amp;$J945+7)/SUMIFS('Weekly Log'!$E:$E,'Weekly Log'!$A:$A,"&gt;="&amp;$J945,'Weekly Log'!$A:$A,"&lt;"&amp;$J945+7),0))</f>
        <v/>
      </c>
      <c r="G945">
        <f>IF($J945="","",IFERROR(LOOKUP(2,1/(('Weekly Log'!$A$5:$A$5000&gt;=$J945)*('Weekly Log'!$A$5:$A$5000&lt;$J945+7)*('Weekly Log'!$M$5:$M$5000&lt;&gt;"")),'Weekly Log'!$M$5:$M$5000),0))</f>
        <v/>
      </c>
      <c r="J945">
        <f>IF(COUNT('Weekly Log'!$A$5:$A$5000)=0,"",IF(MIN('Weekly Log'!$A$5:$A$5000)+7*(ROW()-10)&gt;MAX('Weekly Log'!$A$5:$A$5000),"",MIN('Weekly Log'!$A$5:$A$5000)+7*(ROW()-10)))</f>
        <v/>
      </c>
    </row>
    <row r="946">
      <c r="A946">
        <f>IF($J946="","",YEAR($J946-WEEKDAY($J946,2)+4)&amp;"-W"&amp;TEXT(WEEKNUM($J946,21),"00"))</f>
        <v/>
      </c>
      <c r="B946">
        <f>IF($J946="","",SUMIFS('Weekly Log'!$C:$C,'Weekly Log'!$A:$A,"&gt;="&amp;$J946,'Weekly Log'!$A:$A,"&lt;"&amp;$J946+7))</f>
        <v/>
      </c>
      <c r="C946">
        <f>IF($J946="","",IFERROR(COUNTIFS('Weekly Log'!$G:$G,"Y",'Weekly Log'!$A:$A,"&gt;="&amp;$J946,'Weekly Log'!$A:$A,"&lt;"&amp;$J946+7)/COUNTIFS('Weekly Log'!$G:$G,"&lt;&gt;",'Weekly Log'!$A:$A,"&gt;="&amp;$J946,'Weekly Log'!$A:$A,"&lt;"&amp;$J946+7),0))</f>
        <v/>
      </c>
      <c r="D946">
        <f>IF($J946="","",IFERROR(COUNTIFS('Weekly Log'!$H:$H,"Y",'Weekly Log'!$A:$A,"&gt;="&amp;$J946,'Weekly Log'!$A:$A,"&lt;"&amp;$J946+7)/COUNTIFS('Weekly Log'!$H:$H,"&lt;&gt;",'Weekly Log'!$A:$A,"&gt;="&amp;$J946,'Weekly Log'!$A:$A,"&lt;"&amp;$J946+7),0))</f>
        <v/>
      </c>
      <c r="E946">
        <f>IF($J946="","",IFERROR(AVERAGEIFS('Weekly Log'!$F:$F,'Weekly Log'!$A:$A,"&gt;="&amp;$J946,'Weekly Log'!$A:$A,"&lt;"&amp;$J946+7),0))</f>
        <v/>
      </c>
      <c r="F946">
        <f>IF($J946="","",IFERROR(SUMIFS('Weekly Log'!$F:$F,'Weekly Log'!$A:$A,"&gt;="&amp;$J946,'Weekly Log'!$A:$A,"&lt;"&amp;$J946+7)/SUMIFS('Weekly Log'!$E:$E,'Weekly Log'!$A:$A,"&gt;="&amp;$J946,'Weekly Log'!$A:$A,"&lt;"&amp;$J946+7),0))</f>
        <v/>
      </c>
      <c r="G946">
        <f>IF($J946="","",IFERROR(LOOKUP(2,1/(('Weekly Log'!$A$5:$A$5000&gt;=$J946)*('Weekly Log'!$A$5:$A$5000&lt;$J946+7)*('Weekly Log'!$M$5:$M$5000&lt;&gt;"")),'Weekly Log'!$M$5:$M$5000),0))</f>
        <v/>
      </c>
      <c r="J946">
        <f>IF(COUNT('Weekly Log'!$A$5:$A$5000)=0,"",IF(MIN('Weekly Log'!$A$5:$A$5000)+7*(ROW()-10)&gt;MAX('Weekly Log'!$A$5:$A$5000),"",MIN('Weekly Log'!$A$5:$A$5000)+7*(ROW()-10)))</f>
        <v/>
      </c>
    </row>
    <row r="947">
      <c r="A947">
        <f>IF($J947="","",YEAR($J947-WEEKDAY($J947,2)+4)&amp;"-W"&amp;TEXT(WEEKNUM($J947,21),"00"))</f>
        <v/>
      </c>
      <c r="B947">
        <f>IF($J947="","",SUMIFS('Weekly Log'!$C:$C,'Weekly Log'!$A:$A,"&gt;="&amp;$J947,'Weekly Log'!$A:$A,"&lt;"&amp;$J947+7))</f>
        <v/>
      </c>
      <c r="C947">
        <f>IF($J947="","",IFERROR(COUNTIFS('Weekly Log'!$G:$G,"Y",'Weekly Log'!$A:$A,"&gt;="&amp;$J947,'Weekly Log'!$A:$A,"&lt;"&amp;$J947+7)/COUNTIFS('Weekly Log'!$G:$G,"&lt;&gt;",'Weekly Log'!$A:$A,"&gt;="&amp;$J947,'Weekly Log'!$A:$A,"&lt;"&amp;$J947+7),0))</f>
        <v/>
      </c>
      <c r="D947">
        <f>IF($J947="","",IFERROR(COUNTIFS('Weekly Log'!$H:$H,"Y",'Weekly Log'!$A:$A,"&gt;="&amp;$J947,'Weekly Log'!$A:$A,"&lt;"&amp;$J947+7)/COUNTIFS('Weekly Log'!$H:$H,"&lt;&gt;",'Weekly Log'!$A:$A,"&gt;="&amp;$J947,'Weekly Log'!$A:$A,"&lt;"&amp;$J947+7),0))</f>
        <v/>
      </c>
      <c r="E947">
        <f>IF($J947="","",IFERROR(AVERAGEIFS('Weekly Log'!$F:$F,'Weekly Log'!$A:$A,"&gt;="&amp;$J947,'Weekly Log'!$A:$A,"&lt;"&amp;$J947+7),0))</f>
        <v/>
      </c>
      <c r="F947">
        <f>IF($J947="","",IFERROR(SUMIFS('Weekly Log'!$F:$F,'Weekly Log'!$A:$A,"&gt;="&amp;$J947,'Weekly Log'!$A:$A,"&lt;"&amp;$J947+7)/SUMIFS('Weekly Log'!$E:$E,'Weekly Log'!$A:$A,"&gt;="&amp;$J947,'Weekly Log'!$A:$A,"&lt;"&amp;$J947+7),0))</f>
        <v/>
      </c>
      <c r="G947">
        <f>IF($J947="","",IFERROR(LOOKUP(2,1/(('Weekly Log'!$A$5:$A$5000&gt;=$J947)*('Weekly Log'!$A$5:$A$5000&lt;$J947+7)*('Weekly Log'!$M$5:$M$5000&lt;&gt;"")),'Weekly Log'!$M$5:$M$5000),0))</f>
        <v/>
      </c>
      <c r="J947">
        <f>IF(COUNT('Weekly Log'!$A$5:$A$5000)=0,"",IF(MIN('Weekly Log'!$A$5:$A$5000)+7*(ROW()-10)&gt;MAX('Weekly Log'!$A$5:$A$5000),"",MIN('Weekly Log'!$A$5:$A$5000)+7*(ROW()-10)))</f>
        <v/>
      </c>
    </row>
    <row r="948">
      <c r="A948">
        <f>IF($J948="","",YEAR($J948-WEEKDAY($J948,2)+4)&amp;"-W"&amp;TEXT(WEEKNUM($J948,21),"00"))</f>
        <v/>
      </c>
      <c r="B948">
        <f>IF($J948="","",SUMIFS('Weekly Log'!$C:$C,'Weekly Log'!$A:$A,"&gt;="&amp;$J948,'Weekly Log'!$A:$A,"&lt;"&amp;$J948+7))</f>
        <v/>
      </c>
      <c r="C948">
        <f>IF($J948="","",IFERROR(COUNTIFS('Weekly Log'!$G:$G,"Y",'Weekly Log'!$A:$A,"&gt;="&amp;$J948,'Weekly Log'!$A:$A,"&lt;"&amp;$J948+7)/COUNTIFS('Weekly Log'!$G:$G,"&lt;&gt;",'Weekly Log'!$A:$A,"&gt;="&amp;$J948,'Weekly Log'!$A:$A,"&lt;"&amp;$J948+7),0))</f>
        <v/>
      </c>
      <c r="D948">
        <f>IF($J948="","",IFERROR(COUNTIFS('Weekly Log'!$H:$H,"Y",'Weekly Log'!$A:$A,"&gt;="&amp;$J948,'Weekly Log'!$A:$A,"&lt;"&amp;$J948+7)/COUNTIFS('Weekly Log'!$H:$H,"&lt;&gt;",'Weekly Log'!$A:$A,"&gt;="&amp;$J948,'Weekly Log'!$A:$A,"&lt;"&amp;$J948+7),0))</f>
        <v/>
      </c>
      <c r="E948">
        <f>IF($J948="","",IFERROR(AVERAGEIFS('Weekly Log'!$F:$F,'Weekly Log'!$A:$A,"&gt;="&amp;$J948,'Weekly Log'!$A:$A,"&lt;"&amp;$J948+7),0))</f>
        <v/>
      </c>
      <c r="F948">
        <f>IF($J948="","",IFERROR(SUMIFS('Weekly Log'!$F:$F,'Weekly Log'!$A:$A,"&gt;="&amp;$J948,'Weekly Log'!$A:$A,"&lt;"&amp;$J948+7)/SUMIFS('Weekly Log'!$E:$E,'Weekly Log'!$A:$A,"&gt;="&amp;$J948,'Weekly Log'!$A:$A,"&lt;"&amp;$J948+7),0))</f>
        <v/>
      </c>
      <c r="G948">
        <f>IF($J948="","",IFERROR(LOOKUP(2,1/(('Weekly Log'!$A$5:$A$5000&gt;=$J948)*('Weekly Log'!$A$5:$A$5000&lt;$J948+7)*('Weekly Log'!$M$5:$M$5000&lt;&gt;"")),'Weekly Log'!$M$5:$M$5000),0))</f>
        <v/>
      </c>
      <c r="J948">
        <f>IF(COUNT('Weekly Log'!$A$5:$A$5000)=0,"",IF(MIN('Weekly Log'!$A$5:$A$5000)+7*(ROW()-10)&gt;MAX('Weekly Log'!$A$5:$A$5000),"",MIN('Weekly Log'!$A$5:$A$5000)+7*(ROW()-10)))</f>
        <v/>
      </c>
    </row>
    <row r="949">
      <c r="A949">
        <f>IF($J949="","",YEAR($J949-WEEKDAY($J949,2)+4)&amp;"-W"&amp;TEXT(WEEKNUM($J949,21),"00"))</f>
        <v/>
      </c>
      <c r="B949">
        <f>IF($J949="","",SUMIFS('Weekly Log'!$C:$C,'Weekly Log'!$A:$A,"&gt;="&amp;$J949,'Weekly Log'!$A:$A,"&lt;"&amp;$J949+7))</f>
        <v/>
      </c>
      <c r="C949">
        <f>IF($J949="","",IFERROR(COUNTIFS('Weekly Log'!$G:$G,"Y",'Weekly Log'!$A:$A,"&gt;="&amp;$J949,'Weekly Log'!$A:$A,"&lt;"&amp;$J949+7)/COUNTIFS('Weekly Log'!$G:$G,"&lt;&gt;",'Weekly Log'!$A:$A,"&gt;="&amp;$J949,'Weekly Log'!$A:$A,"&lt;"&amp;$J949+7),0))</f>
        <v/>
      </c>
      <c r="D949">
        <f>IF($J949="","",IFERROR(COUNTIFS('Weekly Log'!$H:$H,"Y",'Weekly Log'!$A:$A,"&gt;="&amp;$J949,'Weekly Log'!$A:$A,"&lt;"&amp;$J949+7)/COUNTIFS('Weekly Log'!$H:$H,"&lt;&gt;",'Weekly Log'!$A:$A,"&gt;="&amp;$J949,'Weekly Log'!$A:$A,"&lt;"&amp;$J949+7),0))</f>
        <v/>
      </c>
      <c r="E949">
        <f>IF($J949="","",IFERROR(AVERAGEIFS('Weekly Log'!$F:$F,'Weekly Log'!$A:$A,"&gt;="&amp;$J949,'Weekly Log'!$A:$A,"&lt;"&amp;$J949+7),0))</f>
        <v/>
      </c>
      <c r="F949">
        <f>IF($J949="","",IFERROR(SUMIFS('Weekly Log'!$F:$F,'Weekly Log'!$A:$A,"&gt;="&amp;$J949,'Weekly Log'!$A:$A,"&lt;"&amp;$J949+7)/SUMIFS('Weekly Log'!$E:$E,'Weekly Log'!$A:$A,"&gt;="&amp;$J949,'Weekly Log'!$A:$A,"&lt;"&amp;$J949+7),0))</f>
        <v/>
      </c>
      <c r="G949">
        <f>IF($J949="","",IFERROR(LOOKUP(2,1/(('Weekly Log'!$A$5:$A$5000&gt;=$J949)*('Weekly Log'!$A$5:$A$5000&lt;$J949+7)*('Weekly Log'!$M$5:$M$5000&lt;&gt;"")),'Weekly Log'!$M$5:$M$5000),0))</f>
        <v/>
      </c>
      <c r="J949">
        <f>IF(COUNT('Weekly Log'!$A$5:$A$5000)=0,"",IF(MIN('Weekly Log'!$A$5:$A$5000)+7*(ROW()-10)&gt;MAX('Weekly Log'!$A$5:$A$5000),"",MIN('Weekly Log'!$A$5:$A$5000)+7*(ROW()-10)))</f>
        <v/>
      </c>
    </row>
    <row r="950">
      <c r="A950">
        <f>IF($J950="","",YEAR($J950-WEEKDAY($J950,2)+4)&amp;"-W"&amp;TEXT(WEEKNUM($J950,21),"00"))</f>
        <v/>
      </c>
      <c r="B950">
        <f>IF($J950="","",SUMIFS('Weekly Log'!$C:$C,'Weekly Log'!$A:$A,"&gt;="&amp;$J950,'Weekly Log'!$A:$A,"&lt;"&amp;$J950+7))</f>
        <v/>
      </c>
      <c r="C950">
        <f>IF($J950="","",IFERROR(COUNTIFS('Weekly Log'!$G:$G,"Y",'Weekly Log'!$A:$A,"&gt;="&amp;$J950,'Weekly Log'!$A:$A,"&lt;"&amp;$J950+7)/COUNTIFS('Weekly Log'!$G:$G,"&lt;&gt;",'Weekly Log'!$A:$A,"&gt;="&amp;$J950,'Weekly Log'!$A:$A,"&lt;"&amp;$J950+7),0))</f>
        <v/>
      </c>
      <c r="D950">
        <f>IF($J950="","",IFERROR(COUNTIFS('Weekly Log'!$H:$H,"Y",'Weekly Log'!$A:$A,"&gt;="&amp;$J950,'Weekly Log'!$A:$A,"&lt;"&amp;$J950+7)/COUNTIFS('Weekly Log'!$H:$H,"&lt;&gt;",'Weekly Log'!$A:$A,"&gt;="&amp;$J950,'Weekly Log'!$A:$A,"&lt;"&amp;$J950+7),0))</f>
        <v/>
      </c>
      <c r="E950">
        <f>IF($J950="","",IFERROR(AVERAGEIFS('Weekly Log'!$F:$F,'Weekly Log'!$A:$A,"&gt;="&amp;$J950,'Weekly Log'!$A:$A,"&lt;"&amp;$J950+7),0))</f>
        <v/>
      </c>
      <c r="F950">
        <f>IF($J950="","",IFERROR(SUMIFS('Weekly Log'!$F:$F,'Weekly Log'!$A:$A,"&gt;="&amp;$J950,'Weekly Log'!$A:$A,"&lt;"&amp;$J950+7)/SUMIFS('Weekly Log'!$E:$E,'Weekly Log'!$A:$A,"&gt;="&amp;$J950,'Weekly Log'!$A:$A,"&lt;"&amp;$J950+7),0))</f>
        <v/>
      </c>
      <c r="G950">
        <f>IF($J950="","",IFERROR(LOOKUP(2,1/(('Weekly Log'!$A$5:$A$5000&gt;=$J950)*('Weekly Log'!$A$5:$A$5000&lt;$J950+7)*('Weekly Log'!$M$5:$M$5000&lt;&gt;"")),'Weekly Log'!$M$5:$M$5000),0))</f>
        <v/>
      </c>
      <c r="J950">
        <f>IF(COUNT('Weekly Log'!$A$5:$A$5000)=0,"",IF(MIN('Weekly Log'!$A$5:$A$5000)+7*(ROW()-10)&gt;MAX('Weekly Log'!$A$5:$A$5000),"",MIN('Weekly Log'!$A$5:$A$5000)+7*(ROW()-10)))</f>
        <v/>
      </c>
    </row>
    <row r="951">
      <c r="A951">
        <f>IF($J951="","",YEAR($J951-WEEKDAY($J951,2)+4)&amp;"-W"&amp;TEXT(WEEKNUM($J951,21),"00"))</f>
        <v/>
      </c>
      <c r="B951">
        <f>IF($J951="","",SUMIFS('Weekly Log'!$C:$C,'Weekly Log'!$A:$A,"&gt;="&amp;$J951,'Weekly Log'!$A:$A,"&lt;"&amp;$J951+7))</f>
        <v/>
      </c>
      <c r="C951">
        <f>IF($J951="","",IFERROR(COUNTIFS('Weekly Log'!$G:$G,"Y",'Weekly Log'!$A:$A,"&gt;="&amp;$J951,'Weekly Log'!$A:$A,"&lt;"&amp;$J951+7)/COUNTIFS('Weekly Log'!$G:$G,"&lt;&gt;",'Weekly Log'!$A:$A,"&gt;="&amp;$J951,'Weekly Log'!$A:$A,"&lt;"&amp;$J951+7),0))</f>
        <v/>
      </c>
      <c r="D951">
        <f>IF($J951="","",IFERROR(COUNTIFS('Weekly Log'!$H:$H,"Y",'Weekly Log'!$A:$A,"&gt;="&amp;$J951,'Weekly Log'!$A:$A,"&lt;"&amp;$J951+7)/COUNTIFS('Weekly Log'!$H:$H,"&lt;&gt;",'Weekly Log'!$A:$A,"&gt;="&amp;$J951,'Weekly Log'!$A:$A,"&lt;"&amp;$J951+7),0))</f>
        <v/>
      </c>
      <c r="E951">
        <f>IF($J951="","",IFERROR(AVERAGEIFS('Weekly Log'!$F:$F,'Weekly Log'!$A:$A,"&gt;="&amp;$J951,'Weekly Log'!$A:$A,"&lt;"&amp;$J951+7),0))</f>
        <v/>
      </c>
      <c r="F951">
        <f>IF($J951="","",IFERROR(SUMIFS('Weekly Log'!$F:$F,'Weekly Log'!$A:$A,"&gt;="&amp;$J951,'Weekly Log'!$A:$A,"&lt;"&amp;$J951+7)/SUMIFS('Weekly Log'!$E:$E,'Weekly Log'!$A:$A,"&gt;="&amp;$J951,'Weekly Log'!$A:$A,"&lt;"&amp;$J951+7),0))</f>
        <v/>
      </c>
      <c r="G951">
        <f>IF($J951="","",IFERROR(LOOKUP(2,1/(('Weekly Log'!$A$5:$A$5000&gt;=$J951)*('Weekly Log'!$A$5:$A$5000&lt;$J951+7)*('Weekly Log'!$M$5:$M$5000&lt;&gt;"")),'Weekly Log'!$M$5:$M$5000),0))</f>
        <v/>
      </c>
      <c r="J951">
        <f>IF(COUNT('Weekly Log'!$A$5:$A$5000)=0,"",IF(MIN('Weekly Log'!$A$5:$A$5000)+7*(ROW()-10)&gt;MAX('Weekly Log'!$A$5:$A$5000),"",MIN('Weekly Log'!$A$5:$A$5000)+7*(ROW()-10)))</f>
        <v/>
      </c>
    </row>
    <row r="952">
      <c r="A952">
        <f>IF($J952="","",YEAR($J952-WEEKDAY($J952,2)+4)&amp;"-W"&amp;TEXT(WEEKNUM($J952,21),"00"))</f>
        <v/>
      </c>
      <c r="B952">
        <f>IF($J952="","",SUMIFS('Weekly Log'!$C:$C,'Weekly Log'!$A:$A,"&gt;="&amp;$J952,'Weekly Log'!$A:$A,"&lt;"&amp;$J952+7))</f>
        <v/>
      </c>
      <c r="C952">
        <f>IF($J952="","",IFERROR(COUNTIFS('Weekly Log'!$G:$G,"Y",'Weekly Log'!$A:$A,"&gt;="&amp;$J952,'Weekly Log'!$A:$A,"&lt;"&amp;$J952+7)/COUNTIFS('Weekly Log'!$G:$G,"&lt;&gt;",'Weekly Log'!$A:$A,"&gt;="&amp;$J952,'Weekly Log'!$A:$A,"&lt;"&amp;$J952+7),0))</f>
        <v/>
      </c>
      <c r="D952">
        <f>IF($J952="","",IFERROR(COUNTIFS('Weekly Log'!$H:$H,"Y",'Weekly Log'!$A:$A,"&gt;="&amp;$J952,'Weekly Log'!$A:$A,"&lt;"&amp;$J952+7)/COUNTIFS('Weekly Log'!$H:$H,"&lt;&gt;",'Weekly Log'!$A:$A,"&gt;="&amp;$J952,'Weekly Log'!$A:$A,"&lt;"&amp;$J952+7),0))</f>
        <v/>
      </c>
      <c r="E952">
        <f>IF($J952="","",IFERROR(AVERAGEIFS('Weekly Log'!$F:$F,'Weekly Log'!$A:$A,"&gt;="&amp;$J952,'Weekly Log'!$A:$A,"&lt;"&amp;$J952+7),0))</f>
        <v/>
      </c>
      <c r="F952">
        <f>IF($J952="","",IFERROR(SUMIFS('Weekly Log'!$F:$F,'Weekly Log'!$A:$A,"&gt;="&amp;$J952,'Weekly Log'!$A:$A,"&lt;"&amp;$J952+7)/SUMIFS('Weekly Log'!$E:$E,'Weekly Log'!$A:$A,"&gt;="&amp;$J952,'Weekly Log'!$A:$A,"&lt;"&amp;$J952+7),0))</f>
        <v/>
      </c>
      <c r="G952">
        <f>IF($J952="","",IFERROR(LOOKUP(2,1/(('Weekly Log'!$A$5:$A$5000&gt;=$J952)*('Weekly Log'!$A$5:$A$5000&lt;$J952+7)*('Weekly Log'!$M$5:$M$5000&lt;&gt;"")),'Weekly Log'!$M$5:$M$5000),0))</f>
        <v/>
      </c>
      <c r="J952">
        <f>IF(COUNT('Weekly Log'!$A$5:$A$5000)=0,"",IF(MIN('Weekly Log'!$A$5:$A$5000)+7*(ROW()-10)&gt;MAX('Weekly Log'!$A$5:$A$5000),"",MIN('Weekly Log'!$A$5:$A$5000)+7*(ROW()-10)))</f>
        <v/>
      </c>
    </row>
    <row r="953">
      <c r="A953">
        <f>IF($J953="","",YEAR($J953-WEEKDAY($J953,2)+4)&amp;"-W"&amp;TEXT(WEEKNUM($J953,21),"00"))</f>
        <v/>
      </c>
      <c r="B953">
        <f>IF($J953="","",SUMIFS('Weekly Log'!$C:$C,'Weekly Log'!$A:$A,"&gt;="&amp;$J953,'Weekly Log'!$A:$A,"&lt;"&amp;$J953+7))</f>
        <v/>
      </c>
      <c r="C953">
        <f>IF($J953="","",IFERROR(COUNTIFS('Weekly Log'!$G:$G,"Y",'Weekly Log'!$A:$A,"&gt;="&amp;$J953,'Weekly Log'!$A:$A,"&lt;"&amp;$J953+7)/COUNTIFS('Weekly Log'!$G:$G,"&lt;&gt;",'Weekly Log'!$A:$A,"&gt;="&amp;$J953,'Weekly Log'!$A:$A,"&lt;"&amp;$J953+7),0))</f>
        <v/>
      </c>
      <c r="D953">
        <f>IF($J953="","",IFERROR(COUNTIFS('Weekly Log'!$H:$H,"Y",'Weekly Log'!$A:$A,"&gt;="&amp;$J953,'Weekly Log'!$A:$A,"&lt;"&amp;$J953+7)/COUNTIFS('Weekly Log'!$H:$H,"&lt;&gt;",'Weekly Log'!$A:$A,"&gt;="&amp;$J953,'Weekly Log'!$A:$A,"&lt;"&amp;$J953+7),0))</f>
        <v/>
      </c>
      <c r="E953">
        <f>IF($J953="","",IFERROR(AVERAGEIFS('Weekly Log'!$F:$F,'Weekly Log'!$A:$A,"&gt;="&amp;$J953,'Weekly Log'!$A:$A,"&lt;"&amp;$J953+7),0))</f>
        <v/>
      </c>
      <c r="F953">
        <f>IF($J953="","",IFERROR(SUMIFS('Weekly Log'!$F:$F,'Weekly Log'!$A:$A,"&gt;="&amp;$J953,'Weekly Log'!$A:$A,"&lt;"&amp;$J953+7)/SUMIFS('Weekly Log'!$E:$E,'Weekly Log'!$A:$A,"&gt;="&amp;$J953,'Weekly Log'!$A:$A,"&lt;"&amp;$J953+7),0))</f>
        <v/>
      </c>
      <c r="G953">
        <f>IF($J953="","",IFERROR(LOOKUP(2,1/(('Weekly Log'!$A$5:$A$5000&gt;=$J953)*('Weekly Log'!$A$5:$A$5000&lt;$J953+7)*('Weekly Log'!$M$5:$M$5000&lt;&gt;"")),'Weekly Log'!$M$5:$M$5000),0))</f>
        <v/>
      </c>
      <c r="J953">
        <f>IF(COUNT('Weekly Log'!$A$5:$A$5000)=0,"",IF(MIN('Weekly Log'!$A$5:$A$5000)+7*(ROW()-10)&gt;MAX('Weekly Log'!$A$5:$A$5000),"",MIN('Weekly Log'!$A$5:$A$5000)+7*(ROW()-10)))</f>
        <v/>
      </c>
    </row>
    <row r="954">
      <c r="A954">
        <f>IF($J954="","",YEAR($J954-WEEKDAY($J954,2)+4)&amp;"-W"&amp;TEXT(WEEKNUM($J954,21),"00"))</f>
        <v/>
      </c>
      <c r="B954">
        <f>IF($J954="","",SUMIFS('Weekly Log'!$C:$C,'Weekly Log'!$A:$A,"&gt;="&amp;$J954,'Weekly Log'!$A:$A,"&lt;"&amp;$J954+7))</f>
        <v/>
      </c>
      <c r="C954">
        <f>IF($J954="","",IFERROR(COUNTIFS('Weekly Log'!$G:$G,"Y",'Weekly Log'!$A:$A,"&gt;="&amp;$J954,'Weekly Log'!$A:$A,"&lt;"&amp;$J954+7)/COUNTIFS('Weekly Log'!$G:$G,"&lt;&gt;",'Weekly Log'!$A:$A,"&gt;="&amp;$J954,'Weekly Log'!$A:$A,"&lt;"&amp;$J954+7),0))</f>
        <v/>
      </c>
      <c r="D954">
        <f>IF($J954="","",IFERROR(COUNTIFS('Weekly Log'!$H:$H,"Y",'Weekly Log'!$A:$A,"&gt;="&amp;$J954,'Weekly Log'!$A:$A,"&lt;"&amp;$J954+7)/COUNTIFS('Weekly Log'!$H:$H,"&lt;&gt;",'Weekly Log'!$A:$A,"&gt;="&amp;$J954,'Weekly Log'!$A:$A,"&lt;"&amp;$J954+7),0))</f>
        <v/>
      </c>
      <c r="E954">
        <f>IF($J954="","",IFERROR(AVERAGEIFS('Weekly Log'!$F:$F,'Weekly Log'!$A:$A,"&gt;="&amp;$J954,'Weekly Log'!$A:$A,"&lt;"&amp;$J954+7),0))</f>
        <v/>
      </c>
      <c r="F954">
        <f>IF($J954="","",IFERROR(SUMIFS('Weekly Log'!$F:$F,'Weekly Log'!$A:$A,"&gt;="&amp;$J954,'Weekly Log'!$A:$A,"&lt;"&amp;$J954+7)/SUMIFS('Weekly Log'!$E:$E,'Weekly Log'!$A:$A,"&gt;="&amp;$J954,'Weekly Log'!$A:$A,"&lt;"&amp;$J954+7),0))</f>
        <v/>
      </c>
      <c r="G954">
        <f>IF($J954="","",IFERROR(LOOKUP(2,1/(('Weekly Log'!$A$5:$A$5000&gt;=$J954)*('Weekly Log'!$A$5:$A$5000&lt;$J954+7)*('Weekly Log'!$M$5:$M$5000&lt;&gt;"")),'Weekly Log'!$M$5:$M$5000),0))</f>
        <v/>
      </c>
      <c r="J954">
        <f>IF(COUNT('Weekly Log'!$A$5:$A$5000)=0,"",IF(MIN('Weekly Log'!$A$5:$A$5000)+7*(ROW()-10)&gt;MAX('Weekly Log'!$A$5:$A$5000),"",MIN('Weekly Log'!$A$5:$A$5000)+7*(ROW()-10)))</f>
        <v/>
      </c>
    </row>
    <row r="955">
      <c r="A955">
        <f>IF($J955="","",YEAR($J955-WEEKDAY($J955,2)+4)&amp;"-W"&amp;TEXT(WEEKNUM($J955,21),"00"))</f>
        <v/>
      </c>
      <c r="B955">
        <f>IF($J955="","",SUMIFS('Weekly Log'!$C:$C,'Weekly Log'!$A:$A,"&gt;="&amp;$J955,'Weekly Log'!$A:$A,"&lt;"&amp;$J955+7))</f>
        <v/>
      </c>
      <c r="C955">
        <f>IF($J955="","",IFERROR(COUNTIFS('Weekly Log'!$G:$G,"Y",'Weekly Log'!$A:$A,"&gt;="&amp;$J955,'Weekly Log'!$A:$A,"&lt;"&amp;$J955+7)/COUNTIFS('Weekly Log'!$G:$G,"&lt;&gt;",'Weekly Log'!$A:$A,"&gt;="&amp;$J955,'Weekly Log'!$A:$A,"&lt;"&amp;$J955+7),0))</f>
        <v/>
      </c>
      <c r="D955">
        <f>IF($J955="","",IFERROR(COUNTIFS('Weekly Log'!$H:$H,"Y",'Weekly Log'!$A:$A,"&gt;="&amp;$J955,'Weekly Log'!$A:$A,"&lt;"&amp;$J955+7)/COUNTIFS('Weekly Log'!$H:$H,"&lt;&gt;",'Weekly Log'!$A:$A,"&gt;="&amp;$J955,'Weekly Log'!$A:$A,"&lt;"&amp;$J955+7),0))</f>
        <v/>
      </c>
      <c r="E955">
        <f>IF($J955="","",IFERROR(AVERAGEIFS('Weekly Log'!$F:$F,'Weekly Log'!$A:$A,"&gt;="&amp;$J955,'Weekly Log'!$A:$A,"&lt;"&amp;$J955+7),0))</f>
        <v/>
      </c>
      <c r="F955">
        <f>IF($J955="","",IFERROR(SUMIFS('Weekly Log'!$F:$F,'Weekly Log'!$A:$A,"&gt;="&amp;$J955,'Weekly Log'!$A:$A,"&lt;"&amp;$J955+7)/SUMIFS('Weekly Log'!$E:$E,'Weekly Log'!$A:$A,"&gt;="&amp;$J955,'Weekly Log'!$A:$A,"&lt;"&amp;$J955+7),0))</f>
        <v/>
      </c>
      <c r="G955">
        <f>IF($J955="","",IFERROR(LOOKUP(2,1/(('Weekly Log'!$A$5:$A$5000&gt;=$J955)*('Weekly Log'!$A$5:$A$5000&lt;$J955+7)*('Weekly Log'!$M$5:$M$5000&lt;&gt;"")),'Weekly Log'!$M$5:$M$5000),0))</f>
        <v/>
      </c>
      <c r="J955">
        <f>IF(COUNT('Weekly Log'!$A$5:$A$5000)=0,"",IF(MIN('Weekly Log'!$A$5:$A$5000)+7*(ROW()-10)&gt;MAX('Weekly Log'!$A$5:$A$5000),"",MIN('Weekly Log'!$A$5:$A$5000)+7*(ROW()-10)))</f>
        <v/>
      </c>
    </row>
    <row r="956">
      <c r="A956">
        <f>IF($J956="","",YEAR($J956-WEEKDAY($J956,2)+4)&amp;"-W"&amp;TEXT(WEEKNUM($J956,21),"00"))</f>
        <v/>
      </c>
      <c r="B956">
        <f>IF($J956="","",SUMIFS('Weekly Log'!$C:$C,'Weekly Log'!$A:$A,"&gt;="&amp;$J956,'Weekly Log'!$A:$A,"&lt;"&amp;$J956+7))</f>
        <v/>
      </c>
      <c r="C956">
        <f>IF($J956="","",IFERROR(COUNTIFS('Weekly Log'!$G:$G,"Y",'Weekly Log'!$A:$A,"&gt;="&amp;$J956,'Weekly Log'!$A:$A,"&lt;"&amp;$J956+7)/COUNTIFS('Weekly Log'!$G:$G,"&lt;&gt;",'Weekly Log'!$A:$A,"&gt;="&amp;$J956,'Weekly Log'!$A:$A,"&lt;"&amp;$J956+7),0))</f>
        <v/>
      </c>
      <c r="D956">
        <f>IF($J956="","",IFERROR(COUNTIFS('Weekly Log'!$H:$H,"Y",'Weekly Log'!$A:$A,"&gt;="&amp;$J956,'Weekly Log'!$A:$A,"&lt;"&amp;$J956+7)/COUNTIFS('Weekly Log'!$H:$H,"&lt;&gt;",'Weekly Log'!$A:$A,"&gt;="&amp;$J956,'Weekly Log'!$A:$A,"&lt;"&amp;$J956+7),0))</f>
        <v/>
      </c>
      <c r="E956">
        <f>IF($J956="","",IFERROR(AVERAGEIFS('Weekly Log'!$F:$F,'Weekly Log'!$A:$A,"&gt;="&amp;$J956,'Weekly Log'!$A:$A,"&lt;"&amp;$J956+7),0))</f>
        <v/>
      </c>
      <c r="F956">
        <f>IF($J956="","",IFERROR(SUMIFS('Weekly Log'!$F:$F,'Weekly Log'!$A:$A,"&gt;="&amp;$J956,'Weekly Log'!$A:$A,"&lt;"&amp;$J956+7)/SUMIFS('Weekly Log'!$E:$E,'Weekly Log'!$A:$A,"&gt;="&amp;$J956,'Weekly Log'!$A:$A,"&lt;"&amp;$J956+7),0))</f>
        <v/>
      </c>
      <c r="G956">
        <f>IF($J956="","",IFERROR(LOOKUP(2,1/(('Weekly Log'!$A$5:$A$5000&gt;=$J956)*('Weekly Log'!$A$5:$A$5000&lt;$J956+7)*('Weekly Log'!$M$5:$M$5000&lt;&gt;"")),'Weekly Log'!$M$5:$M$5000),0))</f>
        <v/>
      </c>
      <c r="J956">
        <f>IF(COUNT('Weekly Log'!$A$5:$A$5000)=0,"",IF(MIN('Weekly Log'!$A$5:$A$5000)+7*(ROW()-10)&gt;MAX('Weekly Log'!$A$5:$A$5000),"",MIN('Weekly Log'!$A$5:$A$5000)+7*(ROW()-10)))</f>
        <v/>
      </c>
    </row>
    <row r="957">
      <c r="A957">
        <f>IF($J957="","",YEAR($J957-WEEKDAY($J957,2)+4)&amp;"-W"&amp;TEXT(WEEKNUM($J957,21),"00"))</f>
        <v/>
      </c>
      <c r="B957">
        <f>IF($J957="","",SUMIFS('Weekly Log'!$C:$C,'Weekly Log'!$A:$A,"&gt;="&amp;$J957,'Weekly Log'!$A:$A,"&lt;"&amp;$J957+7))</f>
        <v/>
      </c>
      <c r="C957">
        <f>IF($J957="","",IFERROR(COUNTIFS('Weekly Log'!$G:$G,"Y",'Weekly Log'!$A:$A,"&gt;="&amp;$J957,'Weekly Log'!$A:$A,"&lt;"&amp;$J957+7)/COUNTIFS('Weekly Log'!$G:$G,"&lt;&gt;",'Weekly Log'!$A:$A,"&gt;="&amp;$J957,'Weekly Log'!$A:$A,"&lt;"&amp;$J957+7),0))</f>
        <v/>
      </c>
      <c r="D957">
        <f>IF($J957="","",IFERROR(COUNTIFS('Weekly Log'!$H:$H,"Y",'Weekly Log'!$A:$A,"&gt;="&amp;$J957,'Weekly Log'!$A:$A,"&lt;"&amp;$J957+7)/COUNTIFS('Weekly Log'!$H:$H,"&lt;&gt;",'Weekly Log'!$A:$A,"&gt;="&amp;$J957,'Weekly Log'!$A:$A,"&lt;"&amp;$J957+7),0))</f>
        <v/>
      </c>
      <c r="E957">
        <f>IF($J957="","",IFERROR(AVERAGEIFS('Weekly Log'!$F:$F,'Weekly Log'!$A:$A,"&gt;="&amp;$J957,'Weekly Log'!$A:$A,"&lt;"&amp;$J957+7),0))</f>
        <v/>
      </c>
      <c r="F957">
        <f>IF($J957="","",IFERROR(SUMIFS('Weekly Log'!$F:$F,'Weekly Log'!$A:$A,"&gt;="&amp;$J957,'Weekly Log'!$A:$A,"&lt;"&amp;$J957+7)/SUMIFS('Weekly Log'!$E:$E,'Weekly Log'!$A:$A,"&gt;="&amp;$J957,'Weekly Log'!$A:$A,"&lt;"&amp;$J957+7),0))</f>
        <v/>
      </c>
      <c r="G957">
        <f>IF($J957="","",IFERROR(LOOKUP(2,1/(('Weekly Log'!$A$5:$A$5000&gt;=$J957)*('Weekly Log'!$A$5:$A$5000&lt;$J957+7)*('Weekly Log'!$M$5:$M$5000&lt;&gt;"")),'Weekly Log'!$M$5:$M$5000),0))</f>
        <v/>
      </c>
      <c r="J957">
        <f>IF(COUNT('Weekly Log'!$A$5:$A$5000)=0,"",IF(MIN('Weekly Log'!$A$5:$A$5000)+7*(ROW()-10)&gt;MAX('Weekly Log'!$A$5:$A$5000),"",MIN('Weekly Log'!$A$5:$A$5000)+7*(ROW()-10)))</f>
        <v/>
      </c>
    </row>
    <row r="958">
      <c r="A958">
        <f>IF($J958="","",YEAR($J958-WEEKDAY($J958,2)+4)&amp;"-W"&amp;TEXT(WEEKNUM($J958,21),"00"))</f>
        <v/>
      </c>
      <c r="B958">
        <f>IF($J958="","",SUMIFS('Weekly Log'!$C:$C,'Weekly Log'!$A:$A,"&gt;="&amp;$J958,'Weekly Log'!$A:$A,"&lt;"&amp;$J958+7))</f>
        <v/>
      </c>
      <c r="C958">
        <f>IF($J958="","",IFERROR(COUNTIFS('Weekly Log'!$G:$G,"Y",'Weekly Log'!$A:$A,"&gt;="&amp;$J958,'Weekly Log'!$A:$A,"&lt;"&amp;$J958+7)/COUNTIFS('Weekly Log'!$G:$G,"&lt;&gt;",'Weekly Log'!$A:$A,"&gt;="&amp;$J958,'Weekly Log'!$A:$A,"&lt;"&amp;$J958+7),0))</f>
        <v/>
      </c>
      <c r="D958">
        <f>IF($J958="","",IFERROR(COUNTIFS('Weekly Log'!$H:$H,"Y",'Weekly Log'!$A:$A,"&gt;="&amp;$J958,'Weekly Log'!$A:$A,"&lt;"&amp;$J958+7)/COUNTIFS('Weekly Log'!$H:$H,"&lt;&gt;",'Weekly Log'!$A:$A,"&gt;="&amp;$J958,'Weekly Log'!$A:$A,"&lt;"&amp;$J958+7),0))</f>
        <v/>
      </c>
      <c r="E958">
        <f>IF($J958="","",IFERROR(AVERAGEIFS('Weekly Log'!$F:$F,'Weekly Log'!$A:$A,"&gt;="&amp;$J958,'Weekly Log'!$A:$A,"&lt;"&amp;$J958+7),0))</f>
        <v/>
      </c>
      <c r="F958">
        <f>IF($J958="","",IFERROR(SUMIFS('Weekly Log'!$F:$F,'Weekly Log'!$A:$A,"&gt;="&amp;$J958,'Weekly Log'!$A:$A,"&lt;"&amp;$J958+7)/SUMIFS('Weekly Log'!$E:$E,'Weekly Log'!$A:$A,"&gt;="&amp;$J958,'Weekly Log'!$A:$A,"&lt;"&amp;$J958+7),0))</f>
        <v/>
      </c>
      <c r="G958">
        <f>IF($J958="","",IFERROR(LOOKUP(2,1/(('Weekly Log'!$A$5:$A$5000&gt;=$J958)*('Weekly Log'!$A$5:$A$5000&lt;$J958+7)*('Weekly Log'!$M$5:$M$5000&lt;&gt;"")),'Weekly Log'!$M$5:$M$5000),0))</f>
        <v/>
      </c>
      <c r="J958">
        <f>IF(COUNT('Weekly Log'!$A$5:$A$5000)=0,"",IF(MIN('Weekly Log'!$A$5:$A$5000)+7*(ROW()-10)&gt;MAX('Weekly Log'!$A$5:$A$5000),"",MIN('Weekly Log'!$A$5:$A$5000)+7*(ROW()-10)))</f>
        <v/>
      </c>
    </row>
    <row r="959">
      <c r="A959">
        <f>IF($J959="","",YEAR($J959-WEEKDAY($J959,2)+4)&amp;"-W"&amp;TEXT(WEEKNUM($J959,21),"00"))</f>
        <v/>
      </c>
      <c r="B959">
        <f>IF($J959="","",SUMIFS('Weekly Log'!$C:$C,'Weekly Log'!$A:$A,"&gt;="&amp;$J959,'Weekly Log'!$A:$A,"&lt;"&amp;$J959+7))</f>
        <v/>
      </c>
      <c r="C959">
        <f>IF($J959="","",IFERROR(COUNTIFS('Weekly Log'!$G:$G,"Y",'Weekly Log'!$A:$A,"&gt;="&amp;$J959,'Weekly Log'!$A:$A,"&lt;"&amp;$J959+7)/COUNTIFS('Weekly Log'!$G:$G,"&lt;&gt;",'Weekly Log'!$A:$A,"&gt;="&amp;$J959,'Weekly Log'!$A:$A,"&lt;"&amp;$J959+7),0))</f>
        <v/>
      </c>
      <c r="D959">
        <f>IF($J959="","",IFERROR(COUNTIFS('Weekly Log'!$H:$H,"Y",'Weekly Log'!$A:$A,"&gt;="&amp;$J959,'Weekly Log'!$A:$A,"&lt;"&amp;$J959+7)/COUNTIFS('Weekly Log'!$H:$H,"&lt;&gt;",'Weekly Log'!$A:$A,"&gt;="&amp;$J959,'Weekly Log'!$A:$A,"&lt;"&amp;$J959+7),0))</f>
        <v/>
      </c>
      <c r="E959">
        <f>IF($J959="","",IFERROR(AVERAGEIFS('Weekly Log'!$F:$F,'Weekly Log'!$A:$A,"&gt;="&amp;$J959,'Weekly Log'!$A:$A,"&lt;"&amp;$J959+7),0))</f>
        <v/>
      </c>
      <c r="F959">
        <f>IF($J959="","",IFERROR(SUMIFS('Weekly Log'!$F:$F,'Weekly Log'!$A:$A,"&gt;="&amp;$J959,'Weekly Log'!$A:$A,"&lt;"&amp;$J959+7)/SUMIFS('Weekly Log'!$E:$E,'Weekly Log'!$A:$A,"&gt;="&amp;$J959,'Weekly Log'!$A:$A,"&lt;"&amp;$J959+7),0))</f>
        <v/>
      </c>
      <c r="G959">
        <f>IF($J959="","",IFERROR(LOOKUP(2,1/(('Weekly Log'!$A$5:$A$5000&gt;=$J959)*('Weekly Log'!$A$5:$A$5000&lt;$J959+7)*('Weekly Log'!$M$5:$M$5000&lt;&gt;"")),'Weekly Log'!$M$5:$M$5000),0))</f>
        <v/>
      </c>
      <c r="J959">
        <f>IF(COUNT('Weekly Log'!$A$5:$A$5000)=0,"",IF(MIN('Weekly Log'!$A$5:$A$5000)+7*(ROW()-10)&gt;MAX('Weekly Log'!$A$5:$A$5000),"",MIN('Weekly Log'!$A$5:$A$5000)+7*(ROW()-10)))</f>
        <v/>
      </c>
    </row>
    <row r="960">
      <c r="A960">
        <f>IF($J960="","",YEAR($J960-WEEKDAY($J960,2)+4)&amp;"-W"&amp;TEXT(WEEKNUM($J960,21),"00"))</f>
        <v/>
      </c>
      <c r="B960">
        <f>IF($J960="","",SUMIFS('Weekly Log'!$C:$C,'Weekly Log'!$A:$A,"&gt;="&amp;$J960,'Weekly Log'!$A:$A,"&lt;"&amp;$J960+7))</f>
        <v/>
      </c>
      <c r="C960">
        <f>IF($J960="","",IFERROR(COUNTIFS('Weekly Log'!$G:$G,"Y",'Weekly Log'!$A:$A,"&gt;="&amp;$J960,'Weekly Log'!$A:$A,"&lt;"&amp;$J960+7)/COUNTIFS('Weekly Log'!$G:$G,"&lt;&gt;",'Weekly Log'!$A:$A,"&gt;="&amp;$J960,'Weekly Log'!$A:$A,"&lt;"&amp;$J960+7),0))</f>
        <v/>
      </c>
      <c r="D960">
        <f>IF($J960="","",IFERROR(COUNTIFS('Weekly Log'!$H:$H,"Y",'Weekly Log'!$A:$A,"&gt;="&amp;$J960,'Weekly Log'!$A:$A,"&lt;"&amp;$J960+7)/COUNTIFS('Weekly Log'!$H:$H,"&lt;&gt;",'Weekly Log'!$A:$A,"&gt;="&amp;$J960,'Weekly Log'!$A:$A,"&lt;"&amp;$J960+7),0))</f>
        <v/>
      </c>
      <c r="E960">
        <f>IF($J960="","",IFERROR(AVERAGEIFS('Weekly Log'!$F:$F,'Weekly Log'!$A:$A,"&gt;="&amp;$J960,'Weekly Log'!$A:$A,"&lt;"&amp;$J960+7),0))</f>
        <v/>
      </c>
      <c r="F960">
        <f>IF($J960="","",IFERROR(SUMIFS('Weekly Log'!$F:$F,'Weekly Log'!$A:$A,"&gt;="&amp;$J960,'Weekly Log'!$A:$A,"&lt;"&amp;$J960+7)/SUMIFS('Weekly Log'!$E:$E,'Weekly Log'!$A:$A,"&gt;="&amp;$J960,'Weekly Log'!$A:$A,"&lt;"&amp;$J960+7),0))</f>
        <v/>
      </c>
      <c r="G960">
        <f>IF($J960="","",IFERROR(LOOKUP(2,1/(('Weekly Log'!$A$5:$A$5000&gt;=$J960)*('Weekly Log'!$A$5:$A$5000&lt;$J960+7)*('Weekly Log'!$M$5:$M$5000&lt;&gt;"")),'Weekly Log'!$M$5:$M$5000),0))</f>
        <v/>
      </c>
      <c r="J960">
        <f>IF(COUNT('Weekly Log'!$A$5:$A$5000)=0,"",IF(MIN('Weekly Log'!$A$5:$A$5000)+7*(ROW()-10)&gt;MAX('Weekly Log'!$A$5:$A$5000),"",MIN('Weekly Log'!$A$5:$A$5000)+7*(ROW()-10)))</f>
        <v/>
      </c>
    </row>
    <row r="961">
      <c r="A961">
        <f>IF($J961="","",YEAR($J961-WEEKDAY($J961,2)+4)&amp;"-W"&amp;TEXT(WEEKNUM($J961,21),"00"))</f>
        <v/>
      </c>
      <c r="B961">
        <f>IF($J961="","",SUMIFS('Weekly Log'!$C:$C,'Weekly Log'!$A:$A,"&gt;="&amp;$J961,'Weekly Log'!$A:$A,"&lt;"&amp;$J961+7))</f>
        <v/>
      </c>
      <c r="C961">
        <f>IF($J961="","",IFERROR(COUNTIFS('Weekly Log'!$G:$G,"Y",'Weekly Log'!$A:$A,"&gt;="&amp;$J961,'Weekly Log'!$A:$A,"&lt;"&amp;$J961+7)/COUNTIFS('Weekly Log'!$G:$G,"&lt;&gt;",'Weekly Log'!$A:$A,"&gt;="&amp;$J961,'Weekly Log'!$A:$A,"&lt;"&amp;$J961+7),0))</f>
        <v/>
      </c>
      <c r="D961">
        <f>IF($J961="","",IFERROR(COUNTIFS('Weekly Log'!$H:$H,"Y",'Weekly Log'!$A:$A,"&gt;="&amp;$J961,'Weekly Log'!$A:$A,"&lt;"&amp;$J961+7)/COUNTIFS('Weekly Log'!$H:$H,"&lt;&gt;",'Weekly Log'!$A:$A,"&gt;="&amp;$J961,'Weekly Log'!$A:$A,"&lt;"&amp;$J961+7),0))</f>
        <v/>
      </c>
      <c r="E961">
        <f>IF($J961="","",IFERROR(AVERAGEIFS('Weekly Log'!$F:$F,'Weekly Log'!$A:$A,"&gt;="&amp;$J961,'Weekly Log'!$A:$A,"&lt;"&amp;$J961+7),0))</f>
        <v/>
      </c>
      <c r="F961">
        <f>IF($J961="","",IFERROR(SUMIFS('Weekly Log'!$F:$F,'Weekly Log'!$A:$A,"&gt;="&amp;$J961,'Weekly Log'!$A:$A,"&lt;"&amp;$J961+7)/SUMIFS('Weekly Log'!$E:$E,'Weekly Log'!$A:$A,"&gt;="&amp;$J961,'Weekly Log'!$A:$A,"&lt;"&amp;$J961+7),0))</f>
        <v/>
      </c>
      <c r="G961">
        <f>IF($J961="","",IFERROR(LOOKUP(2,1/(('Weekly Log'!$A$5:$A$5000&gt;=$J961)*('Weekly Log'!$A$5:$A$5000&lt;$J961+7)*('Weekly Log'!$M$5:$M$5000&lt;&gt;"")),'Weekly Log'!$M$5:$M$5000),0))</f>
        <v/>
      </c>
      <c r="J961">
        <f>IF(COUNT('Weekly Log'!$A$5:$A$5000)=0,"",IF(MIN('Weekly Log'!$A$5:$A$5000)+7*(ROW()-10)&gt;MAX('Weekly Log'!$A$5:$A$5000),"",MIN('Weekly Log'!$A$5:$A$5000)+7*(ROW()-10)))</f>
        <v/>
      </c>
    </row>
    <row r="962">
      <c r="A962">
        <f>IF($J962="","",YEAR($J962-WEEKDAY($J962,2)+4)&amp;"-W"&amp;TEXT(WEEKNUM($J962,21),"00"))</f>
        <v/>
      </c>
      <c r="B962">
        <f>IF($J962="","",SUMIFS('Weekly Log'!$C:$C,'Weekly Log'!$A:$A,"&gt;="&amp;$J962,'Weekly Log'!$A:$A,"&lt;"&amp;$J962+7))</f>
        <v/>
      </c>
      <c r="C962">
        <f>IF($J962="","",IFERROR(COUNTIFS('Weekly Log'!$G:$G,"Y",'Weekly Log'!$A:$A,"&gt;="&amp;$J962,'Weekly Log'!$A:$A,"&lt;"&amp;$J962+7)/COUNTIFS('Weekly Log'!$G:$G,"&lt;&gt;",'Weekly Log'!$A:$A,"&gt;="&amp;$J962,'Weekly Log'!$A:$A,"&lt;"&amp;$J962+7),0))</f>
        <v/>
      </c>
      <c r="D962">
        <f>IF($J962="","",IFERROR(COUNTIFS('Weekly Log'!$H:$H,"Y",'Weekly Log'!$A:$A,"&gt;="&amp;$J962,'Weekly Log'!$A:$A,"&lt;"&amp;$J962+7)/COUNTIFS('Weekly Log'!$H:$H,"&lt;&gt;",'Weekly Log'!$A:$A,"&gt;="&amp;$J962,'Weekly Log'!$A:$A,"&lt;"&amp;$J962+7),0))</f>
        <v/>
      </c>
      <c r="E962">
        <f>IF($J962="","",IFERROR(AVERAGEIFS('Weekly Log'!$F:$F,'Weekly Log'!$A:$A,"&gt;="&amp;$J962,'Weekly Log'!$A:$A,"&lt;"&amp;$J962+7),0))</f>
        <v/>
      </c>
      <c r="F962">
        <f>IF($J962="","",IFERROR(SUMIFS('Weekly Log'!$F:$F,'Weekly Log'!$A:$A,"&gt;="&amp;$J962,'Weekly Log'!$A:$A,"&lt;"&amp;$J962+7)/SUMIFS('Weekly Log'!$E:$E,'Weekly Log'!$A:$A,"&gt;="&amp;$J962,'Weekly Log'!$A:$A,"&lt;"&amp;$J962+7),0))</f>
        <v/>
      </c>
      <c r="G962">
        <f>IF($J962="","",IFERROR(LOOKUP(2,1/(('Weekly Log'!$A$5:$A$5000&gt;=$J962)*('Weekly Log'!$A$5:$A$5000&lt;$J962+7)*('Weekly Log'!$M$5:$M$5000&lt;&gt;"")),'Weekly Log'!$M$5:$M$5000),0))</f>
        <v/>
      </c>
      <c r="J962">
        <f>IF(COUNT('Weekly Log'!$A$5:$A$5000)=0,"",IF(MIN('Weekly Log'!$A$5:$A$5000)+7*(ROW()-10)&gt;MAX('Weekly Log'!$A$5:$A$5000),"",MIN('Weekly Log'!$A$5:$A$5000)+7*(ROW()-10)))</f>
        <v/>
      </c>
    </row>
    <row r="963">
      <c r="A963">
        <f>IF($J963="","",YEAR($J963-WEEKDAY($J963,2)+4)&amp;"-W"&amp;TEXT(WEEKNUM($J963,21),"00"))</f>
        <v/>
      </c>
      <c r="B963">
        <f>IF($J963="","",SUMIFS('Weekly Log'!$C:$C,'Weekly Log'!$A:$A,"&gt;="&amp;$J963,'Weekly Log'!$A:$A,"&lt;"&amp;$J963+7))</f>
        <v/>
      </c>
      <c r="C963">
        <f>IF($J963="","",IFERROR(COUNTIFS('Weekly Log'!$G:$G,"Y",'Weekly Log'!$A:$A,"&gt;="&amp;$J963,'Weekly Log'!$A:$A,"&lt;"&amp;$J963+7)/COUNTIFS('Weekly Log'!$G:$G,"&lt;&gt;",'Weekly Log'!$A:$A,"&gt;="&amp;$J963,'Weekly Log'!$A:$A,"&lt;"&amp;$J963+7),0))</f>
        <v/>
      </c>
      <c r="D963">
        <f>IF($J963="","",IFERROR(COUNTIFS('Weekly Log'!$H:$H,"Y",'Weekly Log'!$A:$A,"&gt;="&amp;$J963,'Weekly Log'!$A:$A,"&lt;"&amp;$J963+7)/COUNTIFS('Weekly Log'!$H:$H,"&lt;&gt;",'Weekly Log'!$A:$A,"&gt;="&amp;$J963,'Weekly Log'!$A:$A,"&lt;"&amp;$J963+7),0))</f>
        <v/>
      </c>
      <c r="E963">
        <f>IF($J963="","",IFERROR(AVERAGEIFS('Weekly Log'!$F:$F,'Weekly Log'!$A:$A,"&gt;="&amp;$J963,'Weekly Log'!$A:$A,"&lt;"&amp;$J963+7),0))</f>
        <v/>
      </c>
      <c r="F963">
        <f>IF($J963="","",IFERROR(SUMIFS('Weekly Log'!$F:$F,'Weekly Log'!$A:$A,"&gt;="&amp;$J963,'Weekly Log'!$A:$A,"&lt;"&amp;$J963+7)/SUMIFS('Weekly Log'!$E:$E,'Weekly Log'!$A:$A,"&gt;="&amp;$J963,'Weekly Log'!$A:$A,"&lt;"&amp;$J963+7),0))</f>
        <v/>
      </c>
      <c r="G963">
        <f>IF($J963="","",IFERROR(LOOKUP(2,1/(('Weekly Log'!$A$5:$A$5000&gt;=$J963)*('Weekly Log'!$A$5:$A$5000&lt;$J963+7)*('Weekly Log'!$M$5:$M$5000&lt;&gt;"")),'Weekly Log'!$M$5:$M$5000),0))</f>
        <v/>
      </c>
      <c r="J963">
        <f>IF(COUNT('Weekly Log'!$A$5:$A$5000)=0,"",IF(MIN('Weekly Log'!$A$5:$A$5000)+7*(ROW()-10)&gt;MAX('Weekly Log'!$A$5:$A$5000),"",MIN('Weekly Log'!$A$5:$A$5000)+7*(ROW()-10)))</f>
        <v/>
      </c>
    </row>
    <row r="964">
      <c r="A964">
        <f>IF($J964="","",YEAR($J964-WEEKDAY($J964,2)+4)&amp;"-W"&amp;TEXT(WEEKNUM($J964,21),"00"))</f>
        <v/>
      </c>
      <c r="B964">
        <f>IF($J964="","",SUMIFS('Weekly Log'!$C:$C,'Weekly Log'!$A:$A,"&gt;="&amp;$J964,'Weekly Log'!$A:$A,"&lt;"&amp;$J964+7))</f>
        <v/>
      </c>
      <c r="C964">
        <f>IF($J964="","",IFERROR(COUNTIFS('Weekly Log'!$G:$G,"Y",'Weekly Log'!$A:$A,"&gt;="&amp;$J964,'Weekly Log'!$A:$A,"&lt;"&amp;$J964+7)/COUNTIFS('Weekly Log'!$G:$G,"&lt;&gt;",'Weekly Log'!$A:$A,"&gt;="&amp;$J964,'Weekly Log'!$A:$A,"&lt;"&amp;$J964+7),0))</f>
        <v/>
      </c>
      <c r="D964">
        <f>IF($J964="","",IFERROR(COUNTIFS('Weekly Log'!$H:$H,"Y",'Weekly Log'!$A:$A,"&gt;="&amp;$J964,'Weekly Log'!$A:$A,"&lt;"&amp;$J964+7)/COUNTIFS('Weekly Log'!$H:$H,"&lt;&gt;",'Weekly Log'!$A:$A,"&gt;="&amp;$J964,'Weekly Log'!$A:$A,"&lt;"&amp;$J964+7),0))</f>
        <v/>
      </c>
      <c r="E964">
        <f>IF($J964="","",IFERROR(AVERAGEIFS('Weekly Log'!$F:$F,'Weekly Log'!$A:$A,"&gt;="&amp;$J964,'Weekly Log'!$A:$A,"&lt;"&amp;$J964+7),0))</f>
        <v/>
      </c>
      <c r="F964">
        <f>IF($J964="","",IFERROR(SUMIFS('Weekly Log'!$F:$F,'Weekly Log'!$A:$A,"&gt;="&amp;$J964,'Weekly Log'!$A:$A,"&lt;"&amp;$J964+7)/SUMIFS('Weekly Log'!$E:$E,'Weekly Log'!$A:$A,"&gt;="&amp;$J964,'Weekly Log'!$A:$A,"&lt;"&amp;$J964+7),0))</f>
        <v/>
      </c>
      <c r="G964">
        <f>IF($J964="","",IFERROR(LOOKUP(2,1/(('Weekly Log'!$A$5:$A$5000&gt;=$J964)*('Weekly Log'!$A$5:$A$5000&lt;$J964+7)*('Weekly Log'!$M$5:$M$5000&lt;&gt;"")),'Weekly Log'!$M$5:$M$5000),0))</f>
        <v/>
      </c>
      <c r="J964">
        <f>IF(COUNT('Weekly Log'!$A$5:$A$5000)=0,"",IF(MIN('Weekly Log'!$A$5:$A$5000)+7*(ROW()-10)&gt;MAX('Weekly Log'!$A$5:$A$5000),"",MIN('Weekly Log'!$A$5:$A$5000)+7*(ROW()-10)))</f>
        <v/>
      </c>
    </row>
    <row r="965">
      <c r="A965">
        <f>IF($J965="","",YEAR($J965-WEEKDAY($J965,2)+4)&amp;"-W"&amp;TEXT(WEEKNUM($J965,21),"00"))</f>
        <v/>
      </c>
      <c r="B965">
        <f>IF($J965="","",SUMIFS('Weekly Log'!$C:$C,'Weekly Log'!$A:$A,"&gt;="&amp;$J965,'Weekly Log'!$A:$A,"&lt;"&amp;$J965+7))</f>
        <v/>
      </c>
      <c r="C965">
        <f>IF($J965="","",IFERROR(COUNTIFS('Weekly Log'!$G:$G,"Y",'Weekly Log'!$A:$A,"&gt;="&amp;$J965,'Weekly Log'!$A:$A,"&lt;"&amp;$J965+7)/COUNTIFS('Weekly Log'!$G:$G,"&lt;&gt;",'Weekly Log'!$A:$A,"&gt;="&amp;$J965,'Weekly Log'!$A:$A,"&lt;"&amp;$J965+7),0))</f>
        <v/>
      </c>
      <c r="D965">
        <f>IF($J965="","",IFERROR(COUNTIFS('Weekly Log'!$H:$H,"Y",'Weekly Log'!$A:$A,"&gt;="&amp;$J965,'Weekly Log'!$A:$A,"&lt;"&amp;$J965+7)/COUNTIFS('Weekly Log'!$H:$H,"&lt;&gt;",'Weekly Log'!$A:$A,"&gt;="&amp;$J965,'Weekly Log'!$A:$A,"&lt;"&amp;$J965+7),0))</f>
        <v/>
      </c>
      <c r="E965">
        <f>IF($J965="","",IFERROR(AVERAGEIFS('Weekly Log'!$F:$F,'Weekly Log'!$A:$A,"&gt;="&amp;$J965,'Weekly Log'!$A:$A,"&lt;"&amp;$J965+7),0))</f>
        <v/>
      </c>
      <c r="F965">
        <f>IF($J965="","",IFERROR(SUMIFS('Weekly Log'!$F:$F,'Weekly Log'!$A:$A,"&gt;="&amp;$J965,'Weekly Log'!$A:$A,"&lt;"&amp;$J965+7)/SUMIFS('Weekly Log'!$E:$E,'Weekly Log'!$A:$A,"&gt;="&amp;$J965,'Weekly Log'!$A:$A,"&lt;"&amp;$J965+7),0))</f>
        <v/>
      </c>
      <c r="G965">
        <f>IF($J965="","",IFERROR(LOOKUP(2,1/(('Weekly Log'!$A$5:$A$5000&gt;=$J965)*('Weekly Log'!$A$5:$A$5000&lt;$J965+7)*('Weekly Log'!$M$5:$M$5000&lt;&gt;"")),'Weekly Log'!$M$5:$M$5000),0))</f>
        <v/>
      </c>
      <c r="J965">
        <f>IF(COUNT('Weekly Log'!$A$5:$A$5000)=0,"",IF(MIN('Weekly Log'!$A$5:$A$5000)+7*(ROW()-10)&gt;MAX('Weekly Log'!$A$5:$A$5000),"",MIN('Weekly Log'!$A$5:$A$5000)+7*(ROW()-10)))</f>
        <v/>
      </c>
    </row>
    <row r="966">
      <c r="A966">
        <f>IF($J966="","",YEAR($J966-WEEKDAY($J966,2)+4)&amp;"-W"&amp;TEXT(WEEKNUM($J966,21),"00"))</f>
        <v/>
      </c>
      <c r="B966">
        <f>IF($J966="","",SUMIFS('Weekly Log'!$C:$C,'Weekly Log'!$A:$A,"&gt;="&amp;$J966,'Weekly Log'!$A:$A,"&lt;"&amp;$J966+7))</f>
        <v/>
      </c>
      <c r="C966">
        <f>IF($J966="","",IFERROR(COUNTIFS('Weekly Log'!$G:$G,"Y",'Weekly Log'!$A:$A,"&gt;="&amp;$J966,'Weekly Log'!$A:$A,"&lt;"&amp;$J966+7)/COUNTIFS('Weekly Log'!$G:$G,"&lt;&gt;",'Weekly Log'!$A:$A,"&gt;="&amp;$J966,'Weekly Log'!$A:$A,"&lt;"&amp;$J966+7),0))</f>
        <v/>
      </c>
      <c r="D966">
        <f>IF($J966="","",IFERROR(COUNTIFS('Weekly Log'!$H:$H,"Y",'Weekly Log'!$A:$A,"&gt;="&amp;$J966,'Weekly Log'!$A:$A,"&lt;"&amp;$J966+7)/COUNTIFS('Weekly Log'!$H:$H,"&lt;&gt;",'Weekly Log'!$A:$A,"&gt;="&amp;$J966,'Weekly Log'!$A:$A,"&lt;"&amp;$J966+7),0))</f>
        <v/>
      </c>
      <c r="E966">
        <f>IF($J966="","",IFERROR(AVERAGEIFS('Weekly Log'!$F:$F,'Weekly Log'!$A:$A,"&gt;="&amp;$J966,'Weekly Log'!$A:$A,"&lt;"&amp;$J966+7),0))</f>
        <v/>
      </c>
      <c r="F966">
        <f>IF($J966="","",IFERROR(SUMIFS('Weekly Log'!$F:$F,'Weekly Log'!$A:$A,"&gt;="&amp;$J966,'Weekly Log'!$A:$A,"&lt;"&amp;$J966+7)/SUMIFS('Weekly Log'!$E:$E,'Weekly Log'!$A:$A,"&gt;="&amp;$J966,'Weekly Log'!$A:$A,"&lt;"&amp;$J966+7),0))</f>
        <v/>
      </c>
      <c r="G966">
        <f>IF($J966="","",IFERROR(LOOKUP(2,1/(('Weekly Log'!$A$5:$A$5000&gt;=$J966)*('Weekly Log'!$A$5:$A$5000&lt;$J966+7)*('Weekly Log'!$M$5:$M$5000&lt;&gt;"")),'Weekly Log'!$M$5:$M$5000),0))</f>
        <v/>
      </c>
      <c r="J966">
        <f>IF(COUNT('Weekly Log'!$A$5:$A$5000)=0,"",IF(MIN('Weekly Log'!$A$5:$A$5000)+7*(ROW()-10)&gt;MAX('Weekly Log'!$A$5:$A$5000),"",MIN('Weekly Log'!$A$5:$A$5000)+7*(ROW()-10)))</f>
        <v/>
      </c>
    </row>
    <row r="967">
      <c r="A967">
        <f>IF($J967="","",YEAR($J967-WEEKDAY($J967,2)+4)&amp;"-W"&amp;TEXT(WEEKNUM($J967,21),"00"))</f>
        <v/>
      </c>
      <c r="B967">
        <f>IF($J967="","",SUMIFS('Weekly Log'!$C:$C,'Weekly Log'!$A:$A,"&gt;="&amp;$J967,'Weekly Log'!$A:$A,"&lt;"&amp;$J967+7))</f>
        <v/>
      </c>
      <c r="C967">
        <f>IF($J967="","",IFERROR(COUNTIFS('Weekly Log'!$G:$G,"Y",'Weekly Log'!$A:$A,"&gt;="&amp;$J967,'Weekly Log'!$A:$A,"&lt;"&amp;$J967+7)/COUNTIFS('Weekly Log'!$G:$G,"&lt;&gt;",'Weekly Log'!$A:$A,"&gt;="&amp;$J967,'Weekly Log'!$A:$A,"&lt;"&amp;$J967+7),0))</f>
        <v/>
      </c>
      <c r="D967">
        <f>IF($J967="","",IFERROR(COUNTIFS('Weekly Log'!$H:$H,"Y",'Weekly Log'!$A:$A,"&gt;="&amp;$J967,'Weekly Log'!$A:$A,"&lt;"&amp;$J967+7)/COUNTIFS('Weekly Log'!$H:$H,"&lt;&gt;",'Weekly Log'!$A:$A,"&gt;="&amp;$J967,'Weekly Log'!$A:$A,"&lt;"&amp;$J967+7),0))</f>
        <v/>
      </c>
      <c r="E967">
        <f>IF($J967="","",IFERROR(AVERAGEIFS('Weekly Log'!$F:$F,'Weekly Log'!$A:$A,"&gt;="&amp;$J967,'Weekly Log'!$A:$A,"&lt;"&amp;$J967+7),0))</f>
        <v/>
      </c>
      <c r="F967">
        <f>IF($J967="","",IFERROR(SUMIFS('Weekly Log'!$F:$F,'Weekly Log'!$A:$A,"&gt;="&amp;$J967,'Weekly Log'!$A:$A,"&lt;"&amp;$J967+7)/SUMIFS('Weekly Log'!$E:$E,'Weekly Log'!$A:$A,"&gt;="&amp;$J967,'Weekly Log'!$A:$A,"&lt;"&amp;$J967+7),0))</f>
        <v/>
      </c>
      <c r="G967">
        <f>IF($J967="","",IFERROR(LOOKUP(2,1/(('Weekly Log'!$A$5:$A$5000&gt;=$J967)*('Weekly Log'!$A$5:$A$5000&lt;$J967+7)*('Weekly Log'!$M$5:$M$5000&lt;&gt;"")),'Weekly Log'!$M$5:$M$5000),0))</f>
        <v/>
      </c>
      <c r="J967">
        <f>IF(COUNT('Weekly Log'!$A$5:$A$5000)=0,"",IF(MIN('Weekly Log'!$A$5:$A$5000)+7*(ROW()-10)&gt;MAX('Weekly Log'!$A$5:$A$5000),"",MIN('Weekly Log'!$A$5:$A$5000)+7*(ROW()-10)))</f>
        <v/>
      </c>
    </row>
    <row r="968">
      <c r="A968">
        <f>IF($J968="","",YEAR($J968-WEEKDAY($J968,2)+4)&amp;"-W"&amp;TEXT(WEEKNUM($J968,21),"00"))</f>
        <v/>
      </c>
      <c r="B968">
        <f>IF($J968="","",SUMIFS('Weekly Log'!$C:$C,'Weekly Log'!$A:$A,"&gt;="&amp;$J968,'Weekly Log'!$A:$A,"&lt;"&amp;$J968+7))</f>
        <v/>
      </c>
      <c r="C968">
        <f>IF($J968="","",IFERROR(COUNTIFS('Weekly Log'!$G:$G,"Y",'Weekly Log'!$A:$A,"&gt;="&amp;$J968,'Weekly Log'!$A:$A,"&lt;"&amp;$J968+7)/COUNTIFS('Weekly Log'!$G:$G,"&lt;&gt;",'Weekly Log'!$A:$A,"&gt;="&amp;$J968,'Weekly Log'!$A:$A,"&lt;"&amp;$J968+7),0))</f>
        <v/>
      </c>
      <c r="D968">
        <f>IF($J968="","",IFERROR(COUNTIFS('Weekly Log'!$H:$H,"Y",'Weekly Log'!$A:$A,"&gt;="&amp;$J968,'Weekly Log'!$A:$A,"&lt;"&amp;$J968+7)/COUNTIFS('Weekly Log'!$H:$H,"&lt;&gt;",'Weekly Log'!$A:$A,"&gt;="&amp;$J968,'Weekly Log'!$A:$A,"&lt;"&amp;$J968+7),0))</f>
        <v/>
      </c>
      <c r="E968">
        <f>IF($J968="","",IFERROR(AVERAGEIFS('Weekly Log'!$F:$F,'Weekly Log'!$A:$A,"&gt;="&amp;$J968,'Weekly Log'!$A:$A,"&lt;"&amp;$J968+7),0))</f>
        <v/>
      </c>
      <c r="F968">
        <f>IF($J968="","",IFERROR(SUMIFS('Weekly Log'!$F:$F,'Weekly Log'!$A:$A,"&gt;="&amp;$J968,'Weekly Log'!$A:$A,"&lt;"&amp;$J968+7)/SUMIFS('Weekly Log'!$E:$E,'Weekly Log'!$A:$A,"&gt;="&amp;$J968,'Weekly Log'!$A:$A,"&lt;"&amp;$J968+7),0))</f>
        <v/>
      </c>
      <c r="G968">
        <f>IF($J968="","",IFERROR(LOOKUP(2,1/(('Weekly Log'!$A$5:$A$5000&gt;=$J968)*('Weekly Log'!$A$5:$A$5000&lt;$J968+7)*('Weekly Log'!$M$5:$M$5000&lt;&gt;"")),'Weekly Log'!$M$5:$M$5000),0))</f>
        <v/>
      </c>
      <c r="J968">
        <f>IF(COUNT('Weekly Log'!$A$5:$A$5000)=0,"",IF(MIN('Weekly Log'!$A$5:$A$5000)+7*(ROW()-10)&gt;MAX('Weekly Log'!$A$5:$A$5000),"",MIN('Weekly Log'!$A$5:$A$5000)+7*(ROW()-10)))</f>
        <v/>
      </c>
    </row>
    <row r="969">
      <c r="A969">
        <f>IF($J969="","",YEAR($J969-WEEKDAY($J969,2)+4)&amp;"-W"&amp;TEXT(WEEKNUM($J969,21),"00"))</f>
        <v/>
      </c>
      <c r="B969">
        <f>IF($J969="","",SUMIFS('Weekly Log'!$C:$C,'Weekly Log'!$A:$A,"&gt;="&amp;$J969,'Weekly Log'!$A:$A,"&lt;"&amp;$J969+7))</f>
        <v/>
      </c>
      <c r="C969">
        <f>IF($J969="","",IFERROR(COUNTIFS('Weekly Log'!$G:$G,"Y",'Weekly Log'!$A:$A,"&gt;="&amp;$J969,'Weekly Log'!$A:$A,"&lt;"&amp;$J969+7)/COUNTIFS('Weekly Log'!$G:$G,"&lt;&gt;",'Weekly Log'!$A:$A,"&gt;="&amp;$J969,'Weekly Log'!$A:$A,"&lt;"&amp;$J969+7),0))</f>
        <v/>
      </c>
      <c r="D969">
        <f>IF($J969="","",IFERROR(COUNTIFS('Weekly Log'!$H:$H,"Y",'Weekly Log'!$A:$A,"&gt;="&amp;$J969,'Weekly Log'!$A:$A,"&lt;"&amp;$J969+7)/COUNTIFS('Weekly Log'!$H:$H,"&lt;&gt;",'Weekly Log'!$A:$A,"&gt;="&amp;$J969,'Weekly Log'!$A:$A,"&lt;"&amp;$J969+7),0))</f>
        <v/>
      </c>
      <c r="E969">
        <f>IF($J969="","",IFERROR(AVERAGEIFS('Weekly Log'!$F:$F,'Weekly Log'!$A:$A,"&gt;="&amp;$J969,'Weekly Log'!$A:$A,"&lt;"&amp;$J969+7),0))</f>
        <v/>
      </c>
      <c r="F969">
        <f>IF($J969="","",IFERROR(SUMIFS('Weekly Log'!$F:$F,'Weekly Log'!$A:$A,"&gt;="&amp;$J969,'Weekly Log'!$A:$A,"&lt;"&amp;$J969+7)/SUMIFS('Weekly Log'!$E:$E,'Weekly Log'!$A:$A,"&gt;="&amp;$J969,'Weekly Log'!$A:$A,"&lt;"&amp;$J969+7),0))</f>
        <v/>
      </c>
      <c r="G969">
        <f>IF($J969="","",IFERROR(LOOKUP(2,1/(('Weekly Log'!$A$5:$A$5000&gt;=$J969)*('Weekly Log'!$A$5:$A$5000&lt;$J969+7)*('Weekly Log'!$M$5:$M$5000&lt;&gt;"")),'Weekly Log'!$M$5:$M$5000),0))</f>
        <v/>
      </c>
      <c r="J969">
        <f>IF(COUNT('Weekly Log'!$A$5:$A$5000)=0,"",IF(MIN('Weekly Log'!$A$5:$A$5000)+7*(ROW()-10)&gt;MAX('Weekly Log'!$A$5:$A$5000),"",MIN('Weekly Log'!$A$5:$A$5000)+7*(ROW()-10)))</f>
        <v/>
      </c>
    </row>
    <row r="970">
      <c r="A970">
        <f>IF($J970="","",YEAR($J970-WEEKDAY($J970,2)+4)&amp;"-W"&amp;TEXT(WEEKNUM($J970,21),"00"))</f>
        <v/>
      </c>
      <c r="B970">
        <f>IF($J970="","",SUMIFS('Weekly Log'!$C:$C,'Weekly Log'!$A:$A,"&gt;="&amp;$J970,'Weekly Log'!$A:$A,"&lt;"&amp;$J970+7))</f>
        <v/>
      </c>
      <c r="C970">
        <f>IF($J970="","",IFERROR(COUNTIFS('Weekly Log'!$G:$G,"Y",'Weekly Log'!$A:$A,"&gt;="&amp;$J970,'Weekly Log'!$A:$A,"&lt;"&amp;$J970+7)/COUNTIFS('Weekly Log'!$G:$G,"&lt;&gt;",'Weekly Log'!$A:$A,"&gt;="&amp;$J970,'Weekly Log'!$A:$A,"&lt;"&amp;$J970+7),0))</f>
        <v/>
      </c>
      <c r="D970">
        <f>IF($J970="","",IFERROR(COUNTIFS('Weekly Log'!$H:$H,"Y",'Weekly Log'!$A:$A,"&gt;="&amp;$J970,'Weekly Log'!$A:$A,"&lt;"&amp;$J970+7)/COUNTIFS('Weekly Log'!$H:$H,"&lt;&gt;",'Weekly Log'!$A:$A,"&gt;="&amp;$J970,'Weekly Log'!$A:$A,"&lt;"&amp;$J970+7),0))</f>
        <v/>
      </c>
      <c r="E970">
        <f>IF($J970="","",IFERROR(AVERAGEIFS('Weekly Log'!$F:$F,'Weekly Log'!$A:$A,"&gt;="&amp;$J970,'Weekly Log'!$A:$A,"&lt;"&amp;$J970+7),0))</f>
        <v/>
      </c>
      <c r="F970">
        <f>IF($J970="","",IFERROR(SUMIFS('Weekly Log'!$F:$F,'Weekly Log'!$A:$A,"&gt;="&amp;$J970,'Weekly Log'!$A:$A,"&lt;"&amp;$J970+7)/SUMIFS('Weekly Log'!$E:$E,'Weekly Log'!$A:$A,"&gt;="&amp;$J970,'Weekly Log'!$A:$A,"&lt;"&amp;$J970+7),0))</f>
        <v/>
      </c>
      <c r="G970">
        <f>IF($J970="","",IFERROR(LOOKUP(2,1/(('Weekly Log'!$A$5:$A$5000&gt;=$J970)*('Weekly Log'!$A$5:$A$5000&lt;$J970+7)*('Weekly Log'!$M$5:$M$5000&lt;&gt;"")),'Weekly Log'!$M$5:$M$5000),0))</f>
        <v/>
      </c>
      <c r="J970">
        <f>IF(COUNT('Weekly Log'!$A$5:$A$5000)=0,"",IF(MIN('Weekly Log'!$A$5:$A$5000)+7*(ROW()-10)&gt;MAX('Weekly Log'!$A$5:$A$5000),"",MIN('Weekly Log'!$A$5:$A$5000)+7*(ROW()-10)))</f>
        <v/>
      </c>
    </row>
    <row r="971">
      <c r="A971">
        <f>IF($J971="","",YEAR($J971-WEEKDAY($J971,2)+4)&amp;"-W"&amp;TEXT(WEEKNUM($J971,21),"00"))</f>
        <v/>
      </c>
      <c r="B971">
        <f>IF($J971="","",SUMIFS('Weekly Log'!$C:$C,'Weekly Log'!$A:$A,"&gt;="&amp;$J971,'Weekly Log'!$A:$A,"&lt;"&amp;$J971+7))</f>
        <v/>
      </c>
      <c r="C971">
        <f>IF($J971="","",IFERROR(COUNTIFS('Weekly Log'!$G:$G,"Y",'Weekly Log'!$A:$A,"&gt;="&amp;$J971,'Weekly Log'!$A:$A,"&lt;"&amp;$J971+7)/COUNTIFS('Weekly Log'!$G:$G,"&lt;&gt;",'Weekly Log'!$A:$A,"&gt;="&amp;$J971,'Weekly Log'!$A:$A,"&lt;"&amp;$J971+7),0))</f>
        <v/>
      </c>
      <c r="D971">
        <f>IF($J971="","",IFERROR(COUNTIFS('Weekly Log'!$H:$H,"Y",'Weekly Log'!$A:$A,"&gt;="&amp;$J971,'Weekly Log'!$A:$A,"&lt;"&amp;$J971+7)/COUNTIFS('Weekly Log'!$H:$H,"&lt;&gt;",'Weekly Log'!$A:$A,"&gt;="&amp;$J971,'Weekly Log'!$A:$A,"&lt;"&amp;$J971+7),0))</f>
        <v/>
      </c>
      <c r="E971">
        <f>IF($J971="","",IFERROR(AVERAGEIFS('Weekly Log'!$F:$F,'Weekly Log'!$A:$A,"&gt;="&amp;$J971,'Weekly Log'!$A:$A,"&lt;"&amp;$J971+7),0))</f>
        <v/>
      </c>
      <c r="F971">
        <f>IF($J971="","",IFERROR(SUMIFS('Weekly Log'!$F:$F,'Weekly Log'!$A:$A,"&gt;="&amp;$J971,'Weekly Log'!$A:$A,"&lt;"&amp;$J971+7)/SUMIFS('Weekly Log'!$E:$E,'Weekly Log'!$A:$A,"&gt;="&amp;$J971,'Weekly Log'!$A:$A,"&lt;"&amp;$J971+7),0))</f>
        <v/>
      </c>
      <c r="G971">
        <f>IF($J971="","",IFERROR(LOOKUP(2,1/(('Weekly Log'!$A$5:$A$5000&gt;=$J971)*('Weekly Log'!$A$5:$A$5000&lt;$J971+7)*('Weekly Log'!$M$5:$M$5000&lt;&gt;"")),'Weekly Log'!$M$5:$M$5000),0))</f>
        <v/>
      </c>
      <c r="J971">
        <f>IF(COUNT('Weekly Log'!$A$5:$A$5000)=0,"",IF(MIN('Weekly Log'!$A$5:$A$5000)+7*(ROW()-10)&gt;MAX('Weekly Log'!$A$5:$A$5000),"",MIN('Weekly Log'!$A$5:$A$5000)+7*(ROW()-10)))</f>
        <v/>
      </c>
    </row>
    <row r="972">
      <c r="A972">
        <f>IF($J972="","",YEAR($J972-WEEKDAY($J972,2)+4)&amp;"-W"&amp;TEXT(WEEKNUM($J972,21),"00"))</f>
        <v/>
      </c>
      <c r="B972">
        <f>IF($J972="","",SUMIFS('Weekly Log'!$C:$C,'Weekly Log'!$A:$A,"&gt;="&amp;$J972,'Weekly Log'!$A:$A,"&lt;"&amp;$J972+7))</f>
        <v/>
      </c>
      <c r="C972">
        <f>IF($J972="","",IFERROR(COUNTIFS('Weekly Log'!$G:$G,"Y",'Weekly Log'!$A:$A,"&gt;="&amp;$J972,'Weekly Log'!$A:$A,"&lt;"&amp;$J972+7)/COUNTIFS('Weekly Log'!$G:$G,"&lt;&gt;",'Weekly Log'!$A:$A,"&gt;="&amp;$J972,'Weekly Log'!$A:$A,"&lt;"&amp;$J972+7),0))</f>
        <v/>
      </c>
      <c r="D972">
        <f>IF($J972="","",IFERROR(COUNTIFS('Weekly Log'!$H:$H,"Y",'Weekly Log'!$A:$A,"&gt;="&amp;$J972,'Weekly Log'!$A:$A,"&lt;"&amp;$J972+7)/COUNTIFS('Weekly Log'!$H:$H,"&lt;&gt;",'Weekly Log'!$A:$A,"&gt;="&amp;$J972,'Weekly Log'!$A:$A,"&lt;"&amp;$J972+7),0))</f>
        <v/>
      </c>
      <c r="E972">
        <f>IF($J972="","",IFERROR(AVERAGEIFS('Weekly Log'!$F:$F,'Weekly Log'!$A:$A,"&gt;="&amp;$J972,'Weekly Log'!$A:$A,"&lt;"&amp;$J972+7),0))</f>
        <v/>
      </c>
      <c r="F972">
        <f>IF($J972="","",IFERROR(SUMIFS('Weekly Log'!$F:$F,'Weekly Log'!$A:$A,"&gt;="&amp;$J972,'Weekly Log'!$A:$A,"&lt;"&amp;$J972+7)/SUMIFS('Weekly Log'!$E:$E,'Weekly Log'!$A:$A,"&gt;="&amp;$J972,'Weekly Log'!$A:$A,"&lt;"&amp;$J972+7),0))</f>
        <v/>
      </c>
      <c r="G972">
        <f>IF($J972="","",IFERROR(LOOKUP(2,1/(('Weekly Log'!$A$5:$A$5000&gt;=$J972)*('Weekly Log'!$A$5:$A$5000&lt;$J972+7)*('Weekly Log'!$M$5:$M$5000&lt;&gt;"")),'Weekly Log'!$M$5:$M$5000),0))</f>
        <v/>
      </c>
      <c r="J972">
        <f>IF(COUNT('Weekly Log'!$A$5:$A$5000)=0,"",IF(MIN('Weekly Log'!$A$5:$A$5000)+7*(ROW()-10)&gt;MAX('Weekly Log'!$A$5:$A$5000),"",MIN('Weekly Log'!$A$5:$A$5000)+7*(ROW()-10)))</f>
        <v/>
      </c>
    </row>
    <row r="973">
      <c r="A973">
        <f>IF($J973="","",YEAR($J973-WEEKDAY($J973,2)+4)&amp;"-W"&amp;TEXT(WEEKNUM($J973,21),"00"))</f>
        <v/>
      </c>
      <c r="B973">
        <f>IF($J973="","",SUMIFS('Weekly Log'!$C:$C,'Weekly Log'!$A:$A,"&gt;="&amp;$J973,'Weekly Log'!$A:$A,"&lt;"&amp;$J973+7))</f>
        <v/>
      </c>
      <c r="C973">
        <f>IF($J973="","",IFERROR(COUNTIFS('Weekly Log'!$G:$G,"Y",'Weekly Log'!$A:$A,"&gt;="&amp;$J973,'Weekly Log'!$A:$A,"&lt;"&amp;$J973+7)/COUNTIFS('Weekly Log'!$G:$G,"&lt;&gt;",'Weekly Log'!$A:$A,"&gt;="&amp;$J973,'Weekly Log'!$A:$A,"&lt;"&amp;$J973+7),0))</f>
        <v/>
      </c>
      <c r="D973">
        <f>IF($J973="","",IFERROR(COUNTIFS('Weekly Log'!$H:$H,"Y",'Weekly Log'!$A:$A,"&gt;="&amp;$J973,'Weekly Log'!$A:$A,"&lt;"&amp;$J973+7)/COUNTIFS('Weekly Log'!$H:$H,"&lt;&gt;",'Weekly Log'!$A:$A,"&gt;="&amp;$J973,'Weekly Log'!$A:$A,"&lt;"&amp;$J973+7),0))</f>
        <v/>
      </c>
      <c r="E973">
        <f>IF($J973="","",IFERROR(AVERAGEIFS('Weekly Log'!$F:$F,'Weekly Log'!$A:$A,"&gt;="&amp;$J973,'Weekly Log'!$A:$A,"&lt;"&amp;$J973+7),0))</f>
        <v/>
      </c>
      <c r="F973">
        <f>IF($J973="","",IFERROR(SUMIFS('Weekly Log'!$F:$F,'Weekly Log'!$A:$A,"&gt;="&amp;$J973,'Weekly Log'!$A:$A,"&lt;"&amp;$J973+7)/SUMIFS('Weekly Log'!$E:$E,'Weekly Log'!$A:$A,"&gt;="&amp;$J973,'Weekly Log'!$A:$A,"&lt;"&amp;$J973+7),0))</f>
        <v/>
      </c>
      <c r="G973">
        <f>IF($J973="","",IFERROR(LOOKUP(2,1/(('Weekly Log'!$A$5:$A$5000&gt;=$J973)*('Weekly Log'!$A$5:$A$5000&lt;$J973+7)*('Weekly Log'!$M$5:$M$5000&lt;&gt;"")),'Weekly Log'!$M$5:$M$5000),0))</f>
        <v/>
      </c>
      <c r="J973">
        <f>IF(COUNT('Weekly Log'!$A$5:$A$5000)=0,"",IF(MIN('Weekly Log'!$A$5:$A$5000)+7*(ROW()-10)&gt;MAX('Weekly Log'!$A$5:$A$5000),"",MIN('Weekly Log'!$A$5:$A$5000)+7*(ROW()-10)))</f>
        <v/>
      </c>
    </row>
    <row r="974">
      <c r="A974">
        <f>IF($J974="","",YEAR($J974-WEEKDAY($J974,2)+4)&amp;"-W"&amp;TEXT(WEEKNUM($J974,21),"00"))</f>
        <v/>
      </c>
      <c r="B974">
        <f>IF($J974="","",SUMIFS('Weekly Log'!$C:$C,'Weekly Log'!$A:$A,"&gt;="&amp;$J974,'Weekly Log'!$A:$A,"&lt;"&amp;$J974+7))</f>
        <v/>
      </c>
      <c r="C974">
        <f>IF($J974="","",IFERROR(COUNTIFS('Weekly Log'!$G:$G,"Y",'Weekly Log'!$A:$A,"&gt;="&amp;$J974,'Weekly Log'!$A:$A,"&lt;"&amp;$J974+7)/COUNTIFS('Weekly Log'!$G:$G,"&lt;&gt;",'Weekly Log'!$A:$A,"&gt;="&amp;$J974,'Weekly Log'!$A:$A,"&lt;"&amp;$J974+7),0))</f>
        <v/>
      </c>
      <c r="D974">
        <f>IF($J974="","",IFERROR(COUNTIFS('Weekly Log'!$H:$H,"Y",'Weekly Log'!$A:$A,"&gt;="&amp;$J974,'Weekly Log'!$A:$A,"&lt;"&amp;$J974+7)/COUNTIFS('Weekly Log'!$H:$H,"&lt;&gt;",'Weekly Log'!$A:$A,"&gt;="&amp;$J974,'Weekly Log'!$A:$A,"&lt;"&amp;$J974+7),0))</f>
        <v/>
      </c>
      <c r="E974">
        <f>IF($J974="","",IFERROR(AVERAGEIFS('Weekly Log'!$F:$F,'Weekly Log'!$A:$A,"&gt;="&amp;$J974,'Weekly Log'!$A:$A,"&lt;"&amp;$J974+7),0))</f>
        <v/>
      </c>
      <c r="F974">
        <f>IF($J974="","",IFERROR(SUMIFS('Weekly Log'!$F:$F,'Weekly Log'!$A:$A,"&gt;="&amp;$J974,'Weekly Log'!$A:$A,"&lt;"&amp;$J974+7)/SUMIFS('Weekly Log'!$E:$E,'Weekly Log'!$A:$A,"&gt;="&amp;$J974,'Weekly Log'!$A:$A,"&lt;"&amp;$J974+7),0))</f>
        <v/>
      </c>
      <c r="G974">
        <f>IF($J974="","",IFERROR(LOOKUP(2,1/(('Weekly Log'!$A$5:$A$5000&gt;=$J974)*('Weekly Log'!$A$5:$A$5000&lt;$J974+7)*('Weekly Log'!$M$5:$M$5000&lt;&gt;"")),'Weekly Log'!$M$5:$M$5000),0))</f>
        <v/>
      </c>
      <c r="J974">
        <f>IF(COUNT('Weekly Log'!$A$5:$A$5000)=0,"",IF(MIN('Weekly Log'!$A$5:$A$5000)+7*(ROW()-10)&gt;MAX('Weekly Log'!$A$5:$A$5000),"",MIN('Weekly Log'!$A$5:$A$5000)+7*(ROW()-10)))</f>
        <v/>
      </c>
    </row>
    <row r="975">
      <c r="A975">
        <f>IF($J975="","",YEAR($J975-WEEKDAY($J975,2)+4)&amp;"-W"&amp;TEXT(WEEKNUM($J975,21),"00"))</f>
        <v/>
      </c>
      <c r="B975">
        <f>IF($J975="","",SUMIFS('Weekly Log'!$C:$C,'Weekly Log'!$A:$A,"&gt;="&amp;$J975,'Weekly Log'!$A:$A,"&lt;"&amp;$J975+7))</f>
        <v/>
      </c>
      <c r="C975">
        <f>IF($J975="","",IFERROR(COUNTIFS('Weekly Log'!$G:$G,"Y",'Weekly Log'!$A:$A,"&gt;="&amp;$J975,'Weekly Log'!$A:$A,"&lt;"&amp;$J975+7)/COUNTIFS('Weekly Log'!$G:$G,"&lt;&gt;",'Weekly Log'!$A:$A,"&gt;="&amp;$J975,'Weekly Log'!$A:$A,"&lt;"&amp;$J975+7),0))</f>
        <v/>
      </c>
      <c r="D975">
        <f>IF($J975="","",IFERROR(COUNTIFS('Weekly Log'!$H:$H,"Y",'Weekly Log'!$A:$A,"&gt;="&amp;$J975,'Weekly Log'!$A:$A,"&lt;"&amp;$J975+7)/COUNTIFS('Weekly Log'!$H:$H,"&lt;&gt;",'Weekly Log'!$A:$A,"&gt;="&amp;$J975,'Weekly Log'!$A:$A,"&lt;"&amp;$J975+7),0))</f>
        <v/>
      </c>
      <c r="E975">
        <f>IF($J975="","",IFERROR(AVERAGEIFS('Weekly Log'!$F:$F,'Weekly Log'!$A:$A,"&gt;="&amp;$J975,'Weekly Log'!$A:$A,"&lt;"&amp;$J975+7),0))</f>
        <v/>
      </c>
      <c r="F975">
        <f>IF($J975="","",IFERROR(SUMIFS('Weekly Log'!$F:$F,'Weekly Log'!$A:$A,"&gt;="&amp;$J975,'Weekly Log'!$A:$A,"&lt;"&amp;$J975+7)/SUMIFS('Weekly Log'!$E:$E,'Weekly Log'!$A:$A,"&gt;="&amp;$J975,'Weekly Log'!$A:$A,"&lt;"&amp;$J975+7),0))</f>
        <v/>
      </c>
      <c r="G975">
        <f>IF($J975="","",IFERROR(LOOKUP(2,1/(('Weekly Log'!$A$5:$A$5000&gt;=$J975)*('Weekly Log'!$A$5:$A$5000&lt;$J975+7)*('Weekly Log'!$M$5:$M$5000&lt;&gt;"")),'Weekly Log'!$M$5:$M$5000),0))</f>
        <v/>
      </c>
      <c r="J975">
        <f>IF(COUNT('Weekly Log'!$A$5:$A$5000)=0,"",IF(MIN('Weekly Log'!$A$5:$A$5000)+7*(ROW()-10)&gt;MAX('Weekly Log'!$A$5:$A$5000),"",MIN('Weekly Log'!$A$5:$A$5000)+7*(ROW()-10)))</f>
        <v/>
      </c>
    </row>
    <row r="976">
      <c r="A976">
        <f>IF($J976="","",YEAR($J976-WEEKDAY($J976,2)+4)&amp;"-W"&amp;TEXT(WEEKNUM($J976,21),"00"))</f>
        <v/>
      </c>
      <c r="B976">
        <f>IF($J976="","",SUMIFS('Weekly Log'!$C:$C,'Weekly Log'!$A:$A,"&gt;="&amp;$J976,'Weekly Log'!$A:$A,"&lt;"&amp;$J976+7))</f>
        <v/>
      </c>
      <c r="C976">
        <f>IF($J976="","",IFERROR(COUNTIFS('Weekly Log'!$G:$G,"Y",'Weekly Log'!$A:$A,"&gt;="&amp;$J976,'Weekly Log'!$A:$A,"&lt;"&amp;$J976+7)/COUNTIFS('Weekly Log'!$G:$G,"&lt;&gt;",'Weekly Log'!$A:$A,"&gt;="&amp;$J976,'Weekly Log'!$A:$A,"&lt;"&amp;$J976+7),0))</f>
        <v/>
      </c>
      <c r="D976">
        <f>IF($J976="","",IFERROR(COUNTIFS('Weekly Log'!$H:$H,"Y",'Weekly Log'!$A:$A,"&gt;="&amp;$J976,'Weekly Log'!$A:$A,"&lt;"&amp;$J976+7)/COUNTIFS('Weekly Log'!$H:$H,"&lt;&gt;",'Weekly Log'!$A:$A,"&gt;="&amp;$J976,'Weekly Log'!$A:$A,"&lt;"&amp;$J976+7),0))</f>
        <v/>
      </c>
      <c r="E976">
        <f>IF($J976="","",IFERROR(AVERAGEIFS('Weekly Log'!$F:$F,'Weekly Log'!$A:$A,"&gt;="&amp;$J976,'Weekly Log'!$A:$A,"&lt;"&amp;$J976+7),0))</f>
        <v/>
      </c>
      <c r="F976">
        <f>IF($J976="","",IFERROR(SUMIFS('Weekly Log'!$F:$F,'Weekly Log'!$A:$A,"&gt;="&amp;$J976,'Weekly Log'!$A:$A,"&lt;"&amp;$J976+7)/SUMIFS('Weekly Log'!$E:$E,'Weekly Log'!$A:$A,"&gt;="&amp;$J976,'Weekly Log'!$A:$A,"&lt;"&amp;$J976+7),0))</f>
        <v/>
      </c>
      <c r="G976">
        <f>IF($J976="","",IFERROR(LOOKUP(2,1/(('Weekly Log'!$A$5:$A$5000&gt;=$J976)*('Weekly Log'!$A$5:$A$5000&lt;$J976+7)*('Weekly Log'!$M$5:$M$5000&lt;&gt;"")),'Weekly Log'!$M$5:$M$5000),0))</f>
        <v/>
      </c>
      <c r="J976">
        <f>IF(COUNT('Weekly Log'!$A$5:$A$5000)=0,"",IF(MIN('Weekly Log'!$A$5:$A$5000)+7*(ROW()-10)&gt;MAX('Weekly Log'!$A$5:$A$5000),"",MIN('Weekly Log'!$A$5:$A$5000)+7*(ROW()-10)))</f>
        <v/>
      </c>
    </row>
    <row r="977">
      <c r="A977">
        <f>IF($J977="","",YEAR($J977-WEEKDAY($J977,2)+4)&amp;"-W"&amp;TEXT(WEEKNUM($J977,21),"00"))</f>
        <v/>
      </c>
      <c r="B977">
        <f>IF($J977="","",SUMIFS('Weekly Log'!$C:$C,'Weekly Log'!$A:$A,"&gt;="&amp;$J977,'Weekly Log'!$A:$A,"&lt;"&amp;$J977+7))</f>
        <v/>
      </c>
      <c r="C977">
        <f>IF($J977="","",IFERROR(COUNTIFS('Weekly Log'!$G:$G,"Y",'Weekly Log'!$A:$A,"&gt;="&amp;$J977,'Weekly Log'!$A:$A,"&lt;"&amp;$J977+7)/COUNTIFS('Weekly Log'!$G:$G,"&lt;&gt;",'Weekly Log'!$A:$A,"&gt;="&amp;$J977,'Weekly Log'!$A:$A,"&lt;"&amp;$J977+7),0))</f>
        <v/>
      </c>
      <c r="D977">
        <f>IF($J977="","",IFERROR(COUNTIFS('Weekly Log'!$H:$H,"Y",'Weekly Log'!$A:$A,"&gt;="&amp;$J977,'Weekly Log'!$A:$A,"&lt;"&amp;$J977+7)/COUNTIFS('Weekly Log'!$H:$H,"&lt;&gt;",'Weekly Log'!$A:$A,"&gt;="&amp;$J977,'Weekly Log'!$A:$A,"&lt;"&amp;$J977+7),0))</f>
        <v/>
      </c>
      <c r="E977">
        <f>IF($J977="","",IFERROR(AVERAGEIFS('Weekly Log'!$F:$F,'Weekly Log'!$A:$A,"&gt;="&amp;$J977,'Weekly Log'!$A:$A,"&lt;"&amp;$J977+7),0))</f>
        <v/>
      </c>
      <c r="F977">
        <f>IF($J977="","",IFERROR(SUMIFS('Weekly Log'!$F:$F,'Weekly Log'!$A:$A,"&gt;="&amp;$J977,'Weekly Log'!$A:$A,"&lt;"&amp;$J977+7)/SUMIFS('Weekly Log'!$E:$E,'Weekly Log'!$A:$A,"&gt;="&amp;$J977,'Weekly Log'!$A:$A,"&lt;"&amp;$J977+7),0))</f>
        <v/>
      </c>
      <c r="G977">
        <f>IF($J977="","",IFERROR(LOOKUP(2,1/(('Weekly Log'!$A$5:$A$5000&gt;=$J977)*('Weekly Log'!$A$5:$A$5000&lt;$J977+7)*('Weekly Log'!$M$5:$M$5000&lt;&gt;"")),'Weekly Log'!$M$5:$M$5000),0))</f>
        <v/>
      </c>
      <c r="J977">
        <f>IF(COUNT('Weekly Log'!$A$5:$A$5000)=0,"",IF(MIN('Weekly Log'!$A$5:$A$5000)+7*(ROW()-10)&gt;MAX('Weekly Log'!$A$5:$A$5000),"",MIN('Weekly Log'!$A$5:$A$5000)+7*(ROW()-10)))</f>
        <v/>
      </c>
    </row>
    <row r="978">
      <c r="A978">
        <f>IF($J978="","",YEAR($J978-WEEKDAY($J978,2)+4)&amp;"-W"&amp;TEXT(WEEKNUM($J978,21),"00"))</f>
        <v/>
      </c>
      <c r="B978">
        <f>IF($J978="","",SUMIFS('Weekly Log'!$C:$C,'Weekly Log'!$A:$A,"&gt;="&amp;$J978,'Weekly Log'!$A:$A,"&lt;"&amp;$J978+7))</f>
        <v/>
      </c>
      <c r="C978">
        <f>IF($J978="","",IFERROR(COUNTIFS('Weekly Log'!$G:$G,"Y",'Weekly Log'!$A:$A,"&gt;="&amp;$J978,'Weekly Log'!$A:$A,"&lt;"&amp;$J978+7)/COUNTIFS('Weekly Log'!$G:$G,"&lt;&gt;",'Weekly Log'!$A:$A,"&gt;="&amp;$J978,'Weekly Log'!$A:$A,"&lt;"&amp;$J978+7),0))</f>
        <v/>
      </c>
      <c r="D978">
        <f>IF($J978="","",IFERROR(COUNTIFS('Weekly Log'!$H:$H,"Y",'Weekly Log'!$A:$A,"&gt;="&amp;$J978,'Weekly Log'!$A:$A,"&lt;"&amp;$J978+7)/COUNTIFS('Weekly Log'!$H:$H,"&lt;&gt;",'Weekly Log'!$A:$A,"&gt;="&amp;$J978,'Weekly Log'!$A:$A,"&lt;"&amp;$J978+7),0))</f>
        <v/>
      </c>
      <c r="E978">
        <f>IF($J978="","",IFERROR(AVERAGEIFS('Weekly Log'!$F:$F,'Weekly Log'!$A:$A,"&gt;="&amp;$J978,'Weekly Log'!$A:$A,"&lt;"&amp;$J978+7),0))</f>
        <v/>
      </c>
      <c r="F978">
        <f>IF($J978="","",IFERROR(SUMIFS('Weekly Log'!$F:$F,'Weekly Log'!$A:$A,"&gt;="&amp;$J978,'Weekly Log'!$A:$A,"&lt;"&amp;$J978+7)/SUMIFS('Weekly Log'!$E:$E,'Weekly Log'!$A:$A,"&gt;="&amp;$J978,'Weekly Log'!$A:$A,"&lt;"&amp;$J978+7),0))</f>
        <v/>
      </c>
      <c r="G978">
        <f>IF($J978="","",IFERROR(LOOKUP(2,1/(('Weekly Log'!$A$5:$A$5000&gt;=$J978)*('Weekly Log'!$A$5:$A$5000&lt;$J978+7)*('Weekly Log'!$M$5:$M$5000&lt;&gt;"")),'Weekly Log'!$M$5:$M$5000),0))</f>
        <v/>
      </c>
      <c r="J978">
        <f>IF(COUNT('Weekly Log'!$A$5:$A$5000)=0,"",IF(MIN('Weekly Log'!$A$5:$A$5000)+7*(ROW()-10)&gt;MAX('Weekly Log'!$A$5:$A$5000),"",MIN('Weekly Log'!$A$5:$A$5000)+7*(ROW()-10)))</f>
        <v/>
      </c>
    </row>
    <row r="979">
      <c r="A979">
        <f>IF($J979="","",YEAR($J979-WEEKDAY($J979,2)+4)&amp;"-W"&amp;TEXT(WEEKNUM($J979,21),"00"))</f>
        <v/>
      </c>
      <c r="B979">
        <f>IF($J979="","",SUMIFS('Weekly Log'!$C:$C,'Weekly Log'!$A:$A,"&gt;="&amp;$J979,'Weekly Log'!$A:$A,"&lt;"&amp;$J979+7))</f>
        <v/>
      </c>
      <c r="C979">
        <f>IF($J979="","",IFERROR(COUNTIFS('Weekly Log'!$G:$G,"Y",'Weekly Log'!$A:$A,"&gt;="&amp;$J979,'Weekly Log'!$A:$A,"&lt;"&amp;$J979+7)/COUNTIFS('Weekly Log'!$G:$G,"&lt;&gt;",'Weekly Log'!$A:$A,"&gt;="&amp;$J979,'Weekly Log'!$A:$A,"&lt;"&amp;$J979+7),0))</f>
        <v/>
      </c>
      <c r="D979">
        <f>IF($J979="","",IFERROR(COUNTIFS('Weekly Log'!$H:$H,"Y",'Weekly Log'!$A:$A,"&gt;="&amp;$J979,'Weekly Log'!$A:$A,"&lt;"&amp;$J979+7)/COUNTIFS('Weekly Log'!$H:$H,"&lt;&gt;",'Weekly Log'!$A:$A,"&gt;="&amp;$J979,'Weekly Log'!$A:$A,"&lt;"&amp;$J979+7),0))</f>
        <v/>
      </c>
      <c r="E979">
        <f>IF($J979="","",IFERROR(AVERAGEIFS('Weekly Log'!$F:$F,'Weekly Log'!$A:$A,"&gt;="&amp;$J979,'Weekly Log'!$A:$A,"&lt;"&amp;$J979+7),0))</f>
        <v/>
      </c>
      <c r="F979">
        <f>IF($J979="","",IFERROR(SUMIFS('Weekly Log'!$F:$F,'Weekly Log'!$A:$A,"&gt;="&amp;$J979,'Weekly Log'!$A:$A,"&lt;"&amp;$J979+7)/SUMIFS('Weekly Log'!$E:$E,'Weekly Log'!$A:$A,"&gt;="&amp;$J979,'Weekly Log'!$A:$A,"&lt;"&amp;$J979+7),0))</f>
        <v/>
      </c>
      <c r="G979">
        <f>IF($J979="","",IFERROR(LOOKUP(2,1/(('Weekly Log'!$A$5:$A$5000&gt;=$J979)*('Weekly Log'!$A$5:$A$5000&lt;$J979+7)*('Weekly Log'!$M$5:$M$5000&lt;&gt;"")),'Weekly Log'!$M$5:$M$5000),0))</f>
        <v/>
      </c>
      <c r="J979">
        <f>IF(COUNT('Weekly Log'!$A$5:$A$5000)=0,"",IF(MIN('Weekly Log'!$A$5:$A$5000)+7*(ROW()-10)&gt;MAX('Weekly Log'!$A$5:$A$5000),"",MIN('Weekly Log'!$A$5:$A$5000)+7*(ROW()-10)))</f>
        <v/>
      </c>
    </row>
    <row r="980">
      <c r="A980">
        <f>IF($J980="","",YEAR($J980-WEEKDAY($J980,2)+4)&amp;"-W"&amp;TEXT(WEEKNUM($J980,21),"00"))</f>
        <v/>
      </c>
      <c r="B980">
        <f>IF($J980="","",SUMIFS('Weekly Log'!$C:$C,'Weekly Log'!$A:$A,"&gt;="&amp;$J980,'Weekly Log'!$A:$A,"&lt;"&amp;$J980+7))</f>
        <v/>
      </c>
      <c r="C980">
        <f>IF($J980="","",IFERROR(COUNTIFS('Weekly Log'!$G:$G,"Y",'Weekly Log'!$A:$A,"&gt;="&amp;$J980,'Weekly Log'!$A:$A,"&lt;"&amp;$J980+7)/COUNTIFS('Weekly Log'!$G:$G,"&lt;&gt;",'Weekly Log'!$A:$A,"&gt;="&amp;$J980,'Weekly Log'!$A:$A,"&lt;"&amp;$J980+7),0))</f>
        <v/>
      </c>
      <c r="D980">
        <f>IF($J980="","",IFERROR(COUNTIFS('Weekly Log'!$H:$H,"Y",'Weekly Log'!$A:$A,"&gt;="&amp;$J980,'Weekly Log'!$A:$A,"&lt;"&amp;$J980+7)/COUNTIFS('Weekly Log'!$H:$H,"&lt;&gt;",'Weekly Log'!$A:$A,"&gt;="&amp;$J980,'Weekly Log'!$A:$A,"&lt;"&amp;$J980+7),0))</f>
        <v/>
      </c>
      <c r="E980">
        <f>IF($J980="","",IFERROR(AVERAGEIFS('Weekly Log'!$F:$F,'Weekly Log'!$A:$A,"&gt;="&amp;$J980,'Weekly Log'!$A:$A,"&lt;"&amp;$J980+7),0))</f>
        <v/>
      </c>
      <c r="F980">
        <f>IF($J980="","",IFERROR(SUMIFS('Weekly Log'!$F:$F,'Weekly Log'!$A:$A,"&gt;="&amp;$J980,'Weekly Log'!$A:$A,"&lt;"&amp;$J980+7)/SUMIFS('Weekly Log'!$E:$E,'Weekly Log'!$A:$A,"&gt;="&amp;$J980,'Weekly Log'!$A:$A,"&lt;"&amp;$J980+7),0))</f>
        <v/>
      </c>
      <c r="G980">
        <f>IF($J980="","",IFERROR(LOOKUP(2,1/(('Weekly Log'!$A$5:$A$5000&gt;=$J980)*('Weekly Log'!$A$5:$A$5000&lt;$J980+7)*('Weekly Log'!$M$5:$M$5000&lt;&gt;"")),'Weekly Log'!$M$5:$M$5000),0))</f>
        <v/>
      </c>
      <c r="J980">
        <f>IF(COUNT('Weekly Log'!$A$5:$A$5000)=0,"",IF(MIN('Weekly Log'!$A$5:$A$5000)+7*(ROW()-10)&gt;MAX('Weekly Log'!$A$5:$A$5000),"",MIN('Weekly Log'!$A$5:$A$5000)+7*(ROW()-10)))</f>
        <v/>
      </c>
    </row>
    <row r="981">
      <c r="A981">
        <f>IF($J981="","",YEAR($J981-WEEKDAY($J981,2)+4)&amp;"-W"&amp;TEXT(WEEKNUM($J981,21),"00"))</f>
        <v/>
      </c>
      <c r="B981">
        <f>IF($J981="","",SUMIFS('Weekly Log'!$C:$C,'Weekly Log'!$A:$A,"&gt;="&amp;$J981,'Weekly Log'!$A:$A,"&lt;"&amp;$J981+7))</f>
        <v/>
      </c>
      <c r="C981">
        <f>IF($J981="","",IFERROR(COUNTIFS('Weekly Log'!$G:$G,"Y",'Weekly Log'!$A:$A,"&gt;="&amp;$J981,'Weekly Log'!$A:$A,"&lt;"&amp;$J981+7)/COUNTIFS('Weekly Log'!$G:$G,"&lt;&gt;",'Weekly Log'!$A:$A,"&gt;="&amp;$J981,'Weekly Log'!$A:$A,"&lt;"&amp;$J981+7),0))</f>
        <v/>
      </c>
      <c r="D981">
        <f>IF($J981="","",IFERROR(COUNTIFS('Weekly Log'!$H:$H,"Y",'Weekly Log'!$A:$A,"&gt;="&amp;$J981,'Weekly Log'!$A:$A,"&lt;"&amp;$J981+7)/COUNTIFS('Weekly Log'!$H:$H,"&lt;&gt;",'Weekly Log'!$A:$A,"&gt;="&amp;$J981,'Weekly Log'!$A:$A,"&lt;"&amp;$J981+7),0))</f>
        <v/>
      </c>
      <c r="E981">
        <f>IF($J981="","",IFERROR(AVERAGEIFS('Weekly Log'!$F:$F,'Weekly Log'!$A:$A,"&gt;="&amp;$J981,'Weekly Log'!$A:$A,"&lt;"&amp;$J981+7),0))</f>
        <v/>
      </c>
      <c r="F981">
        <f>IF($J981="","",IFERROR(SUMIFS('Weekly Log'!$F:$F,'Weekly Log'!$A:$A,"&gt;="&amp;$J981,'Weekly Log'!$A:$A,"&lt;"&amp;$J981+7)/SUMIFS('Weekly Log'!$E:$E,'Weekly Log'!$A:$A,"&gt;="&amp;$J981,'Weekly Log'!$A:$A,"&lt;"&amp;$J981+7),0))</f>
        <v/>
      </c>
      <c r="G981">
        <f>IF($J981="","",IFERROR(LOOKUP(2,1/(('Weekly Log'!$A$5:$A$5000&gt;=$J981)*('Weekly Log'!$A$5:$A$5000&lt;$J981+7)*('Weekly Log'!$M$5:$M$5000&lt;&gt;"")),'Weekly Log'!$M$5:$M$5000),0))</f>
        <v/>
      </c>
      <c r="J981">
        <f>IF(COUNT('Weekly Log'!$A$5:$A$5000)=0,"",IF(MIN('Weekly Log'!$A$5:$A$5000)+7*(ROW()-10)&gt;MAX('Weekly Log'!$A$5:$A$5000),"",MIN('Weekly Log'!$A$5:$A$5000)+7*(ROW()-10)))</f>
        <v/>
      </c>
    </row>
    <row r="982">
      <c r="A982">
        <f>IF($J982="","",YEAR($J982-WEEKDAY($J982,2)+4)&amp;"-W"&amp;TEXT(WEEKNUM($J982,21),"00"))</f>
        <v/>
      </c>
      <c r="B982">
        <f>IF($J982="","",SUMIFS('Weekly Log'!$C:$C,'Weekly Log'!$A:$A,"&gt;="&amp;$J982,'Weekly Log'!$A:$A,"&lt;"&amp;$J982+7))</f>
        <v/>
      </c>
      <c r="C982">
        <f>IF($J982="","",IFERROR(COUNTIFS('Weekly Log'!$G:$G,"Y",'Weekly Log'!$A:$A,"&gt;="&amp;$J982,'Weekly Log'!$A:$A,"&lt;"&amp;$J982+7)/COUNTIFS('Weekly Log'!$G:$G,"&lt;&gt;",'Weekly Log'!$A:$A,"&gt;="&amp;$J982,'Weekly Log'!$A:$A,"&lt;"&amp;$J982+7),0))</f>
        <v/>
      </c>
      <c r="D982">
        <f>IF($J982="","",IFERROR(COUNTIFS('Weekly Log'!$H:$H,"Y",'Weekly Log'!$A:$A,"&gt;="&amp;$J982,'Weekly Log'!$A:$A,"&lt;"&amp;$J982+7)/COUNTIFS('Weekly Log'!$H:$H,"&lt;&gt;",'Weekly Log'!$A:$A,"&gt;="&amp;$J982,'Weekly Log'!$A:$A,"&lt;"&amp;$J982+7),0))</f>
        <v/>
      </c>
      <c r="E982">
        <f>IF($J982="","",IFERROR(AVERAGEIFS('Weekly Log'!$F:$F,'Weekly Log'!$A:$A,"&gt;="&amp;$J982,'Weekly Log'!$A:$A,"&lt;"&amp;$J982+7),0))</f>
        <v/>
      </c>
      <c r="F982">
        <f>IF($J982="","",IFERROR(SUMIFS('Weekly Log'!$F:$F,'Weekly Log'!$A:$A,"&gt;="&amp;$J982,'Weekly Log'!$A:$A,"&lt;"&amp;$J982+7)/SUMIFS('Weekly Log'!$E:$E,'Weekly Log'!$A:$A,"&gt;="&amp;$J982,'Weekly Log'!$A:$A,"&lt;"&amp;$J982+7),0))</f>
        <v/>
      </c>
      <c r="G982">
        <f>IF($J982="","",IFERROR(LOOKUP(2,1/(('Weekly Log'!$A$5:$A$5000&gt;=$J982)*('Weekly Log'!$A$5:$A$5000&lt;$J982+7)*('Weekly Log'!$M$5:$M$5000&lt;&gt;"")),'Weekly Log'!$M$5:$M$5000),0))</f>
        <v/>
      </c>
      <c r="J982">
        <f>IF(COUNT('Weekly Log'!$A$5:$A$5000)=0,"",IF(MIN('Weekly Log'!$A$5:$A$5000)+7*(ROW()-10)&gt;MAX('Weekly Log'!$A$5:$A$5000),"",MIN('Weekly Log'!$A$5:$A$5000)+7*(ROW()-10)))</f>
        <v/>
      </c>
    </row>
    <row r="983">
      <c r="A983">
        <f>IF($J983="","",YEAR($J983-WEEKDAY($J983,2)+4)&amp;"-W"&amp;TEXT(WEEKNUM($J983,21),"00"))</f>
        <v/>
      </c>
      <c r="B983">
        <f>IF($J983="","",SUMIFS('Weekly Log'!$C:$C,'Weekly Log'!$A:$A,"&gt;="&amp;$J983,'Weekly Log'!$A:$A,"&lt;"&amp;$J983+7))</f>
        <v/>
      </c>
      <c r="C983">
        <f>IF($J983="","",IFERROR(COUNTIFS('Weekly Log'!$G:$G,"Y",'Weekly Log'!$A:$A,"&gt;="&amp;$J983,'Weekly Log'!$A:$A,"&lt;"&amp;$J983+7)/COUNTIFS('Weekly Log'!$G:$G,"&lt;&gt;",'Weekly Log'!$A:$A,"&gt;="&amp;$J983,'Weekly Log'!$A:$A,"&lt;"&amp;$J983+7),0))</f>
        <v/>
      </c>
      <c r="D983">
        <f>IF($J983="","",IFERROR(COUNTIFS('Weekly Log'!$H:$H,"Y",'Weekly Log'!$A:$A,"&gt;="&amp;$J983,'Weekly Log'!$A:$A,"&lt;"&amp;$J983+7)/COUNTIFS('Weekly Log'!$H:$H,"&lt;&gt;",'Weekly Log'!$A:$A,"&gt;="&amp;$J983,'Weekly Log'!$A:$A,"&lt;"&amp;$J983+7),0))</f>
        <v/>
      </c>
      <c r="E983">
        <f>IF($J983="","",IFERROR(AVERAGEIFS('Weekly Log'!$F:$F,'Weekly Log'!$A:$A,"&gt;="&amp;$J983,'Weekly Log'!$A:$A,"&lt;"&amp;$J983+7),0))</f>
        <v/>
      </c>
      <c r="F983">
        <f>IF($J983="","",IFERROR(SUMIFS('Weekly Log'!$F:$F,'Weekly Log'!$A:$A,"&gt;="&amp;$J983,'Weekly Log'!$A:$A,"&lt;"&amp;$J983+7)/SUMIFS('Weekly Log'!$E:$E,'Weekly Log'!$A:$A,"&gt;="&amp;$J983,'Weekly Log'!$A:$A,"&lt;"&amp;$J983+7),0))</f>
        <v/>
      </c>
      <c r="G983">
        <f>IF($J983="","",IFERROR(LOOKUP(2,1/(('Weekly Log'!$A$5:$A$5000&gt;=$J983)*('Weekly Log'!$A$5:$A$5000&lt;$J983+7)*('Weekly Log'!$M$5:$M$5000&lt;&gt;"")),'Weekly Log'!$M$5:$M$5000),0))</f>
        <v/>
      </c>
      <c r="J983">
        <f>IF(COUNT('Weekly Log'!$A$5:$A$5000)=0,"",IF(MIN('Weekly Log'!$A$5:$A$5000)+7*(ROW()-10)&gt;MAX('Weekly Log'!$A$5:$A$5000),"",MIN('Weekly Log'!$A$5:$A$5000)+7*(ROW()-10)))</f>
        <v/>
      </c>
    </row>
    <row r="984">
      <c r="A984">
        <f>IF($J984="","",YEAR($J984-WEEKDAY($J984,2)+4)&amp;"-W"&amp;TEXT(WEEKNUM($J984,21),"00"))</f>
        <v/>
      </c>
      <c r="B984">
        <f>IF($J984="","",SUMIFS('Weekly Log'!$C:$C,'Weekly Log'!$A:$A,"&gt;="&amp;$J984,'Weekly Log'!$A:$A,"&lt;"&amp;$J984+7))</f>
        <v/>
      </c>
      <c r="C984">
        <f>IF($J984="","",IFERROR(COUNTIFS('Weekly Log'!$G:$G,"Y",'Weekly Log'!$A:$A,"&gt;="&amp;$J984,'Weekly Log'!$A:$A,"&lt;"&amp;$J984+7)/COUNTIFS('Weekly Log'!$G:$G,"&lt;&gt;",'Weekly Log'!$A:$A,"&gt;="&amp;$J984,'Weekly Log'!$A:$A,"&lt;"&amp;$J984+7),0))</f>
        <v/>
      </c>
      <c r="D984">
        <f>IF($J984="","",IFERROR(COUNTIFS('Weekly Log'!$H:$H,"Y",'Weekly Log'!$A:$A,"&gt;="&amp;$J984,'Weekly Log'!$A:$A,"&lt;"&amp;$J984+7)/COUNTIFS('Weekly Log'!$H:$H,"&lt;&gt;",'Weekly Log'!$A:$A,"&gt;="&amp;$J984,'Weekly Log'!$A:$A,"&lt;"&amp;$J984+7),0))</f>
        <v/>
      </c>
      <c r="E984">
        <f>IF($J984="","",IFERROR(AVERAGEIFS('Weekly Log'!$F:$F,'Weekly Log'!$A:$A,"&gt;="&amp;$J984,'Weekly Log'!$A:$A,"&lt;"&amp;$J984+7),0))</f>
        <v/>
      </c>
      <c r="F984">
        <f>IF($J984="","",IFERROR(SUMIFS('Weekly Log'!$F:$F,'Weekly Log'!$A:$A,"&gt;="&amp;$J984,'Weekly Log'!$A:$A,"&lt;"&amp;$J984+7)/SUMIFS('Weekly Log'!$E:$E,'Weekly Log'!$A:$A,"&gt;="&amp;$J984,'Weekly Log'!$A:$A,"&lt;"&amp;$J984+7),0))</f>
        <v/>
      </c>
      <c r="G984">
        <f>IF($J984="","",IFERROR(LOOKUP(2,1/(('Weekly Log'!$A$5:$A$5000&gt;=$J984)*('Weekly Log'!$A$5:$A$5000&lt;$J984+7)*('Weekly Log'!$M$5:$M$5000&lt;&gt;"")),'Weekly Log'!$M$5:$M$5000),0))</f>
        <v/>
      </c>
      <c r="J984">
        <f>IF(COUNT('Weekly Log'!$A$5:$A$5000)=0,"",IF(MIN('Weekly Log'!$A$5:$A$5000)+7*(ROW()-10)&gt;MAX('Weekly Log'!$A$5:$A$5000),"",MIN('Weekly Log'!$A$5:$A$5000)+7*(ROW()-10)))</f>
        <v/>
      </c>
    </row>
    <row r="985">
      <c r="A985">
        <f>IF($J985="","",YEAR($J985-WEEKDAY($J985,2)+4)&amp;"-W"&amp;TEXT(WEEKNUM($J985,21),"00"))</f>
        <v/>
      </c>
      <c r="B985">
        <f>IF($J985="","",SUMIFS('Weekly Log'!$C:$C,'Weekly Log'!$A:$A,"&gt;="&amp;$J985,'Weekly Log'!$A:$A,"&lt;"&amp;$J985+7))</f>
        <v/>
      </c>
      <c r="C985">
        <f>IF($J985="","",IFERROR(COUNTIFS('Weekly Log'!$G:$G,"Y",'Weekly Log'!$A:$A,"&gt;="&amp;$J985,'Weekly Log'!$A:$A,"&lt;"&amp;$J985+7)/COUNTIFS('Weekly Log'!$G:$G,"&lt;&gt;",'Weekly Log'!$A:$A,"&gt;="&amp;$J985,'Weekly Log'!$A:$A,"&lt;"&amp;$J985+7),0))</f>
        <v/>
      </c>
      <c r="D985">
        <f>IF($J985="","",IFERROR(COUNTIFS('Weekly Log'!$H:$H,"Y",'Weekly Log'!$A:$A,"&gt;="&amp;$J985,'Weekly Log'!$A:$A,"&lt;"&amp;$J985+7)/COUNTIFS('Weekly Log'!$H:$H,"&lt;&gt;",'Weekly Log'!$A:$A,"&gt;="&amp;$J985,'Weekly Log'!$A:$A,"&lt;"&amp;$J985+7),0))</f>
        <v/>
      </c>
      <c r="E985">
        <f>IF($J985="","",IFERROR(AVERAGEIFS('Weekly Log'!$F:$F,'Weekly Log'!$A:$A,"&gt;="&amp;$J985,'Weekly Log'!$A:$A,"&lt;"&amp;$J985+7),0))</f>
        <v/>
      </c>
      <c r="F985">
        <f>IF($J985="","",IFERROR(SUMIFS('Weekly Log'!$F:$F,'Weekly Log'!$A:$A,"&gt;="&amp;$J985,'Weekly Log'!$A:$A,"&lt;"&amp;$J985+7)/SUMIFS('Weekly Log'!$E:$E,'Weekly Log'!$A:$A,"&gt;="&amp;$J985,'Weekly Log'!$A:$A,"&lt;"&amp;$J985+7),0))</f>
        <v/>
      </c>
      <c r="G985">
        <f>IF($J985="","",IFERROR(LOOKUP(2,1/(('Weekly Log'!$A$5:$A$5000&gt;=$J985)*('Weekly Log'!$A$5:$A$5000&lt;$J985+7)*('Weekly Log'!$M$5:$M$5000&lt;&gt;"")),'Weekly Log'!$M$5:$M$5000),0))</f>
        <v/>
      </c>
      <c r="J985">
        <f>IF(COUNT('Weekly Log'!$A$5:$A$5000)=0,"",IF(MIN('Weekly Log'!$A$5:$A$5000)+7*(ROW()-10)&gt;MAX('Weekly Log'!$A$5:$A$5000),"",MIN('Weekly Log'!$A$5:$A$5000)+7*(ROW()-10)))</f>
        <v/>
      </c>
    </row>
    <row r="986">
      <c r="A986">
        <f>IF($J986="","",YEAR($J986-WEEKDAY($J986,2)+4)&amp;"-W"&amp;TEXT(WEEKNUM($J986,21),"00"))</f>
        <v/>
      </c>
      <c r="B986">
        <f>IF($J986="","",SUMIFS('Weekly Log'!$C:$C,'Weekly Log'!$A:$A,"&gt;="&amp;$J986,'Weekly Log'!$A:$A,"&lt;"&amp;$J986+7))</f>
        <v/>
      </c>
      <c r="C986">
        <f>IF($J986="","",IFERROR(COUNTIFS('Weekly Log'!$G:$G,"Y",'Weekly Log'!$A:$A,"&gt;="&amp;$J986,'Weekly Log'!$A:$A,"&lt;"&amp;$J986+7)/COUNTIFS('Weekly Log'!$G:$G,"&lt;&gt;",'Weekly Log'!$A:$A,"&gt;="&amp;$J986,'Weekly Log'!$A:$A,"&lt;"&amp;$J986+7),0))</f>
        <v/>
      </c>
      <c r="D986">
        <f>IF($J986="","",IFERROR(COUNTIFS('Weekly Log'!$H:$H,"Y",'Weekly Log'!$A:$A,"&gt;="&amp;$J986,'Weekly Log'!$A:$A,"&lt;"&amp;$J986+7)/COUNTIFS('Weekly Log'!$H:$H,"&lt;&gt;",'Weekly Log'!$A:$A,"&gt;="&amp;$J986,'Weekly Log'!$A:$A,"&lt;"&amp;$J986+7),0))</f>
        <v/>
      </c>
      <c r="E986">
        <f>IF($J986="","",IFERROR(AVERAGEIFS('Weekly Log'!$F:$F,'Weekly Log'!$A:$A,"&gt;="&amp;$J986,'Weekly Log'!$A:$A,"&lt;"&amp;$J986+7),0))</f>
        <v/>
      </c>
      <c r="F986">
        <f>IF($J986="","",IFERROR(SUMIFS('Weekly Log'!$F:$F,'Weekly Log'!$A:$A,"&gt;="&amp;$J986,'Weekly Log'!$A:$A,"&lt;"&amp;$J986+7)/SUMIFS('Weekly Log'!$E:$E,'Weekly Log'!$A:$A,"&gt;="&amp;$J986,'Weekly Log'!$A:$A,"&lt;"&amp;$J986+7),0))</f>
        <v/>
      </c>
      <c r="G986">
        <f>IF($J986="","",IFERROR(LOOKUP(2,1/(('Weekly Log'!$A$5:$A$5000&gt;=$J986)*('Weekly Log'!$A$5:$A$5000&lt;$J986+7)*('Weekly Log'!$M$5:$M$5000&lt;&gt;"")),'Weekly Log'!$M$5:$M$5000),0))</f>
        <v/>
      </c>
      <c r="J986">
        <f>IF(COUNT('Weekly Log'!$A$5:$A$5000)=0,"",IF(MIN('Weekly Log'!$A$5:$A$5000)+7*(ROW()-10)&gt;MAX('Weekly Log'!$A$5:$A$5000),"",MIN('Weekly Log'!$A$5:$A$5000)+7*(ROW()-10)))</f>
        <v/>
      </c>
    </row>
    <row r="987">
      <c r="A987">
        <f>IF($J987="","",YEAR($J987-WEEKDAY($J987,2)+4)&amp;"-W"&amp;TEXT(WEEKNUM($J987,21),"00"))</f>
        <v/>
      </c>
      <c r="B987">
        <f>IF($J987="","",SUMIFS('Weekly Log'!$C:$C,'Weekly Log'!$A:$A,"&gt;="&amp;$J987,'Weekly Log'!$A:$A,"&lt;"&amp;$J987+7))</f>
        <v/>
      </c>
      <c r="C987">
        <f>IF($J987="","",IFERROR(COUNTIFS('Weekly Log'!$G:$G,"Y",'Weekly Log'!$A:$A,"&gt;="&amp;$J987,'Weekly Log'!$A:$A,"&lt;"&amp;$J987+7)/COUNTIFS('Weekly Log'!$G:$G,"&lt;&gt;",'Weekly Log'!$A:$A,"&gt;="&amp;$J987,'Weekly Log'!$A:$A,"&lt;"&amp;$J987+7),0))</f>
        <v/>
      </c>
      <c r="D987">
        <f>IF($J987="","",IFERROR(COUNTIFS('Weekly Log'!$H:$H,"Y",'Weekly Log'!$A:$A,"&gt;="&amp;$J987,'Weekly Log'!$A:$A,"&lt;"&amp;$J987+7)/COUNTIFS('Weekly Log'!$H:$H,"&lt;&gt;",'Weekly Log'!$A:$A,"&gt;="&amp;$J987,'Weekly Log'!$A:$A,"&lt;"&amp;$J987+7),0))</f>
        <v/>
      </c>
      <c r="E987">
        <f>IF($J987="","",IFERROR(AVERAGEIFS('Weekly Log'!$F:$F,'Weekly Log'!$A:$A,"&gt;="&amp;$J987,'Weekly Log'!$A:$A,"&lt;"&amp;$J987+7),0))</f>
        <v/>
      </c>
      <c r="F987">
        <f>IF($J987="","",IFERROR(SUMIFS('Weekly Log'!$F:$F,'Weekly Log'!$A:$A,"&gt;="&amp;$J987,'Weekly Log'!$A:$A,"&lt;"&amp;$J987+7)/SUMIFS('Weekly Log'!$E:$E,'Weekly Log'!$A:$A,"&gt;="&amp;$J987,'Weekly Log'!$A:$A,"&lt;"&amp;$J987+7),0))</f>
        <v/>
      </c>
      <c r="G987">
        <f>IF($J987="","",IFERROR(LOOKUP(2,1/(('Weekly Log'!$A$5:$A$5000&gt;=$J987)*('Weekly Log'!$A$5:$A$5000&lt;$J987+7)*('Weekly Log'!$M$5:$M$5000&lt;&gt;"")),'Weekly Log'!$M$5:$M$5000),0))</f>
        <v/>
      </c>
      <c r="J987">
        <f>IF(COUNT('Weekly Log'!$A$5:$A$5000)=0,"",IF(MIN('Weekly Log'!$A$5:$A$5000)+7*(ROW()-10)&gt;MAX('Weekly Log'!$A$5:$A$5000),"",MIN('Weekly Log'!$A$5:$A$5000)+7*(ROW()-10)))</f>
        <v/>
      </c>
    </row>
    <row r="988">
      <c r="A988">
        <f>IF($J988="","",YEAR($J988-WEEKDAY($J988,2)+4)&amp;"-W"&amp;TEXT(WEEKNUM($J988,21),"00"))</f>
        <v/>
      </c>
      <c r="B988">
        <f>IF($J988="","",SUMIFS('Weekly Log'!$C:$C,'Weekly Log'!$A:$A,"&gt;="&amp;$J988,'Weekly Log'!$A:$A,"&lt;"&amp;$J988+7))</f>
        <v/>
      </c>
      <c r="C988">
        <f>IF($J988="","",IFERROR(COUNTIFS('Weekly Log'!$G:$G,"Y",'Weekly Log'!$A:$A,"&gt;="&amp;$J988,'Weekly Log'!$A:$A,"&lt;"&amp;$J988+7)/COUNTIFS('Weekly Log'!$G:$G,"&lt;&gt;",'Weekly Log'!$A:$A,"&gt;="&amp;$J988,'Weekly Log'!$A:$A,"&lt;"&amp;$J988+7),0))</f>
        <v/>
      </c>
      <c r="D988">
        <f>IF($J988="","",IFERROR(COUNTIFS('Weekly Log'!$H:$H,"Y",'Weekly Log'!$A:$A,"&gt;="&amp;$J988,'Weekly Log'!$A:$A,"&lt;"&amp;$J988+7)/COUNTIFS('Weekly Log'!$H:$H,"&lt;&gt;",'Weekly Log'!$A:$A,"&gt;="&amp;$J988,'Weekly Log'!$A:$A,"&lt;"&amp;$J988+7),0))</f>
        <v/>
      </c>
      <c r="E988">
        <f>IF($J988="","",IFERROR(AVERAGEIFS('Weekly Log'!$F:$F,'Weekly Log'!$A:$A,"&gt;="&amp;$J988,'Weekly Log'!$A:$A,"&lt;"&amp;$J988+7),0))</f>
        <v/>
      </c>
      <c r="F988">
        <f>IF($J988="","",IFERROR(SUMIFS('Weekly Log'!$F:$F,'Weekly Log'!$A:$A,"&gt;="&amp;$J988,'Weekly Log'!$A:$A,"&lt;"&amp;$J988+7)/SUMIFS('Weekly Log'!$E:$E,'Weekly Log'!$A:$A,"&gt;="&amp;$J988,'Weekly Log'!$A:$A,"&lt;"&amp;$J988+7),0))</f>
        <v/>
      </c>
      <c r="G988">
        <f>IF($J988="","",IFERROR(LOOKUP(2,1/(('Weekly Log'!$A$5:$A$5000&gt;=$J988)*('Weekly Log'!$A$5:$A$5000&lt;$J988+7)*('Weekly Log'!$M$5:$M$5000&lt;&gt;"")),'Weekly Log'!$M$5:$M$5000),0))</f>
        <v/>
      </c>
      <c r="J988">
        <f>IF(COUNT('Weekly Log'!$A$5:$A$5000)=0,"",IF(MIN('Weekly Log'!$A$5:$A$5000)+7*(ROW()-10)&gt;MAX('Weekly Log'!$A$5:$A$5000),"",MIN('Weekly Log'!$A$5:$A$5000)+7*(ROW()-10)))</f>
        <v/>
      </c>
    </row>
    <row r="989">
      <c r="A989">
        <f>IF($J989="","",YEAR($J989-WEEKDAY($J989,2)+4)&amp;"-W"&amp;TEXT(WEEKNUM($J989,21),"00"))</f>
        <v/>
      </c>
      <c r="B989">
        <f>IF($J989="","",SUMIFS('Weekly Log'!$C:$C,'Weekly Log'!$A:$A,"&gt;="&amp;$J989,'Weekly Log'!$A:$A,"&lt;"&amp;$J989+7))</f>
        <v/>
      </c>
      <c r="C989">
        <f>IF($J989="","",IFERROR(COUNTIFS('Weekly Log'!$G:$G,"Y",'Weekly Log'!$A:$A,"&gt;="&amp;$J989,'Weekly Log'!$A:$A,"&lt;"&amp;$J989+7)/COUNTIFS('Weekly Log'!$G:$G,"&lt;&gt;",'Weekly Log'!$A:$A,"&gt;="&amp;$J989,'Weekly Log'!$A:$A,"&lt;"&amp;$J989+7),0))</f>
        <v/>
      </c>
      <c r="D989">
        <f>IF($J989="","",IFERROR(COUNTIFS('Weekly Log'!$H:$H,"Y",'Weekly Log'!$A:$A,"&gt;="&amp;$J989,'Weekly Log'!$A:$A,"&lt;"&amp;$J989+7)/COUNTIFS('Weekly Log'!$H:$H,"&lt;&gt;",'Weekly Log'!$A:$A,"&gt;="&amp;$J989,'Weekly Log'!$A:$A,"&lt;"&amp;$J989+7),0))</f>
        <v/>
      </c>
      <c r="E989">
        <f>IF($J989="","",IFERROR(AVERAGEIFS('Weekly Log'!$F:$F,'Weekly Log'!$A:$A,"&gt;="&amp;$J989,'Weekly Log'!$A:$A,"&lt;"&amp;$J989+7),0))</f>
        <v/>
      </c>
      <c r="F989">
        <f>IF($J989="","",IFERROR(SUMIFS('Weekly Log'!$F:$F,'Weekly Log'!$A:$A,"&gt;="&amp;$J989,'Weekly Log'!$A:$A,"&lt;"&amp;$J989+7)/SUMIFS('Weekly Log'!$E:$E,'Weekly Log'!$A:$A,"&gt;="&amp;$J989,'Weekly Log'!$A:$A,"&lt;"&amp;$J989+7),0))</f>
        <v/>
      </c>
      <c r="G989">
        <f>IF($J989="","",IFERROR(LOOKUP(2,1/(('Weekly Log'!$A$5:$A$5000&gt;=$J989)*('Weekly Log'!$A$5:$A$5000&lt;$J989+7)*('Weekly Log'!$M$5:$M$5000&lt;&gt;"")),'Weekly Log'!$M$5:$M$5000),0))</f>
        <v/>
      </c>
      <c r="J989">
        <f>IF(COUNT('Weekly Log'!$A$5:$A$5000)=0,"",IF(MIN('Weekly Log'!$A$5:$A$5000)+7*(ROW()-10)&gt;MAX('Weekly Log'!$A$5:$A$5000),"",MIN('Weekly Log'!$A$5:$A$5000)+7*(ROW()-10)))</f>
        <v/>
      </c>
    </row>
    <row r="990">
      <c r="A990">
        <f>IF($J990="","",YEAR($J990-WEEKDAY($J990,2)+4)&amp;"-W"&amp;TEXT(WEEKNUM($J990,21),"00"))</f>
        <v/>
      </c>
      <c r="B990">
        <f>IF($J990="","",SUMIFS('Weekly Log'!$C:$C,'Weekly Log'!$A:$A,"&gt;="&amp;$J990,'Weekly Log'!$A:$A,"&lt;"&amp;$J990+7))</f>
        <v/>
      </c>
      <c r="C990">
        <f>IF($J990="","",IFERROR(COUNTIFS('Weekly Log'!$G:$G,"Y",'Weekly Log'!$A:$A,"&gt;="&amp;$J990,'Weekly Log'!$A:$A,"&lt;"&amp;$J990+7)/COUNTIFS('Weekly Log'!$G:$G,"&lt;&gt;",'Weekly Log'!$A:$A,"&gt;="&amp;$J990,'Weekly Log'!$A:$A,"&lt;"&amp;$J990+7),0))</f>
        <v/>
      </c>
      <c r="D990">
        <f>IF($J990="","",IFERROR(COUNTIFS('Weekly Log'!$H:$H,"Y",'Weekly Log'!$A:$A,"&gt;="&amp;$J990,'Weekly Log'!$A:$A,"&lt;"&amp;$J990+7)/COUNTIFS('Weekly Log'!$H:$H,"&lt;&gt;",'Weekly Log'!$A:$A,"&gt;="&amp;$J990,'Weekly Log'!$A:$A,"&lt;"&amp;$J990+7),0))</f>
        <v/>
      </c>
      <c r="E990">
        <f>IF($J990="","",IFERROR(AVERAGEIFS('Weekly Log'!$F:$F,'Weekly Log'!$A:$A,"&gt;="&amp;$J990,'Weekly Log'!$A:$A,"&lt;"&amp;$J990+7),0))</f>
        <v/>
      </c>
      <c r="F990">
        <f>IF($J990="","",IFERROR(SUMIFS('Weekly Log'!$F:$F,'Weekly Log'!$A:$A,"&gt;="&amp;$J990,'Weekly Log'!$A:$A,"&lt;"&amp;$J990+7)/SUMIFS('Weekly Log'!$E:$E,'Weekly Log'!$A:$A,"&gt;="&amp;$J990,'Weekly Log'!$A:$A,"&lt;"&amp;$J990+7),0))</f>
        <v/>
      </c>
      <c r="G990">
        <f>IF($J990="","",IFERROR(LOOKUP(2,1/(('Weekly Log'!$A$5:$A$5000&gt;=$J990)*('Weekly Log'!$A$5:$A$5000&lt;$J990+7)*('Weekly Log'!$M$5:$M$5000&lt;&gt;"")),'Weekly Log'!$M$5:$M$5000),0))</f>
        <v/>
      </c>
      <c r="J990">
        <f>IF(COUNT('Weekly Log'!$A$5:$A$5000)=0,"",IF(MIN('Weekly Log'!$A$5:$A$5000)+7*(ROW()-10)&gt;MAX('Weekly Log'!$A$5:$A$5000),"",MIN('Weekly Log'!$A$5:$A$5000)+7*(ROW()-10)))</f>
        <v/>
      </c>
    </row>
    <row r="991">
      <c r="A991">
        <f>IF($J991="","",YEAR($J991-WEEKDAY($J991,2)+4)&amp;"-W"&amp;TEXT(WEEKNUM($J991,21),"00"))</f>
        <v/>
      </c>
      <c r="B991">
        <f>IF($J991="","",SUMIFS('Weekly Log'!$C:$C,'Weekly Log'!$A:$A,"&gt;="&amp;$J991,'Weekly Log'!$A:$A,"&lt;"&amp;$J991+7))</f>
        <v/>
      </c>
      <c r="C991">
        <f>IF($J991="","",IFERROR(COUNTIFS('Weekly Log'!$G:$G,"Y",'Weekly Log'!$A:$A,"&gt;="&amp;$J991,'Weekly Log'!$A:$A,"&lt;"&amp;$J991+7)/COUNTIFS('Weekly Log'!$G:$G,"&lt;&gt;",'Weekly Log'!$A:$A,"&gt;="&amp;$J991,'Weekly Log'!$A:$A,"&lt;"&amp;$J991+7),0))</f>
        <v/>
      </c>
      <c r="D991">
        <f>IF($J991="","",IFERROR(COUNTIFS('Weekly Log'!$H:$H,"Y",'Weekly Log'!$A:$A,"&gt;="&amp;$J991,'Weekly Log'!$A:$A,"&lt;"&amp;$J991+7)/COUNTIFS('Weekly Log'!$H:$H,"&lt;&gt;",'Weekly Log'!$A:$A,"&gt;="&amp;$J991,'Weekly Log'!$A:$A,"&lt;"&amp;$J991+7),0))</f>
        <v/>
      </c>
      <c r="E991">
        <f>IF($J991="","",IFERROR(AVERAGEIFS('Weekly Log'!$F:$F,'Weekly Log'!$A:$A,"&gt;="&amp;$J991,'Weekly Log'!$A:$A,"&lt;"&amp;$J991+7),0))</f>
        <v/>
      </c>
      <c r="F991">
        <f>IF($J991="","",IFERROR(SUMIFS('Weekly Log'!$F:$F,'Weekly Log'!$A:$A,"&gt;="&amp;$J991,'Weekly Log'!$A:$A,"&lt;"&amp;$J991+7)/SUMIFS('Weekly Log'!$E:$E,'Weekly Log'!$A:$A,"&gt;="&amp;$J991,'Weekly Log'!$A:$A,"&lt;"&amp;$J991+7),0))</f>
        <v/>
      </c>
      <c r="G991">
        <f>IF($J991="","",IFERROR(LOOKUP(2,1/(('Weekly Log'!$A$5:$A$5000&gt;=$J991)*('Weekly Log'!$A$5:$A$5000&lt;$J991+7)*('Weekly Log'!$M$5:$M$5000&lt;&gt;"")),'Weekly Log'!$M$5:$M$5000),0))</f>
        <v/>
      </c>
      <c r="J991">
        <f>IF(COUNT('Weekly Log'!$A$5:$A$5000)=0,"",IF(MIN('Weekly Log'!$A$5:$A$5000)+7*(ROW()-10)&gt;MAX('Weekly Log'!$A$5:$A$5000),"",MIN('Weekly Log'!$A$5:$A$5000)+7*(ROW()-10)))</f>
        <v/>
      </c>
    </row>
    <row r="992">
      <c r="A992">
        <f>IF($J992="","",YEAR($J992-WEEKDAY($J992,2)+4)&amp;"-W"&amp;TEXT(WEEKNUM($J992,21),"00"))</f>
        <v/>
      </c>
      <c r="B992">
        <f>IF($J992="","",SUMIFS('Weekly Log'!$C:$C,'Weekly Log'!$A:$A,"&gt;="&amp;$J992,'Weekly Log'!$A:$A,"&lt;"&amp;$J992+7))</f>
        <v/>
      </c>
      <c r="C992">
        <f>IF($J992="","",IFERROR(COUNTIFS('Weekly Log'!$G:$G,"Y",'Weekly Log'!$A:$A,"&gt;="&amp;$J992,'Weekly Log'!$A:$A,"&lt;"&amp;$J992+7)/COUNTIFS('Weekly Log'!$G:$G,"&lt;&gt;",'Weekly Log'!$A:$A,"&gt;="&amp;$J992,'Weekly Log'!$A:$A,"&lt;"&amp;$J992+7),0))</f>
        <v/>
      </c>
      <c r="D992">
        <f>IF($J992="","",IFERROR(COUNTIFS('Weekly Log'!$H:$H,"Y",'Weekly Log'!$A:$A,"&gt;="&amp;$J992,'Weekly Log'!$A:$A,"&lt;"&amp;$J992+7)/COUNTIFS('Weekly Log'!$H:$H,"&lt;&gt;",'Weekly Log'!$A:$A,"&gt;="&amp;$J992,'Weekly Log'!$A:$A,"&lt;"&amp;$J992+7),0))</f>
        <v/>
      </c>
      <c r="E992">
        <f>IF($J992="","",IFERROR(AVERAGEIFS('Weekly Log'!$F:$F,'Weekly Log'!$A:$A,"&gt;="&amp;$J992,'Weekly Log'!$A:$A,"&lt;"&amp;$J992+7),0))</f>
        <v/>
      </c>
      <c r="F992">
        <f>IF($J992="","",IFERROR(SUMIFS('Weekly Log'!$F:$F,'Weekly Log'!$A:$A,"&gt;="&amp;$J992,'Weekly Log'!$A:$A,"&lt;"&amp;$J992+7)/SUMIFS('Weekly Log'!$E:$E,'Weekly Log'!$A:$A,"&gt;="&amp;$J992,'Weekly Log'!$A:$A,"&lt;"&amp;$J992+7),0))</f>
        <v/>
      </c>
      <c r="G992">
        <f>IF($J992="","",IFERROR(LOOKUP(2,1/(('Weekly Log'!$A$5:$A$5000&gt;=$J992)*('Weekly Log'!$A$5:$A$5000&lt;$J992+7)*('Weekly Log'!$M$5:$M$5000&lt;&gt;"")),'Weekly Log'!$M$5:$M$5000),0))</f>
        <v/>
      </c>
      <c r="J992">
        <f>IF(COUNT('Weekly Log'!$A$5:$A$5000)=0,"",IF(MIN('Weekly Log'!$A$5:$A$5000)+7*(ROW()-10)&gt;MAX('Weekly Log'!$A$5:$A$5000),"",MIN('Weekly Log'!$A$5:$A$5000)+7*(ROW()-10)))</f>
        <v/>
      </c>
    </row>
    <row r="993">
      <c r="A993">
        <f>IF($J993="","",YEAR($J993-WEEKDAY($J993,2)+4)&amp;"-W"&amp;TEXT(WEEKNUM($J993,21),"00"))</f>
        <v/>
      </c>
      <c r="B993">
        <f>IF($J993="","",SUMIFS('Weekly Log'!$C:$C,'Weekly Log'!$A:$A,"&gt;="&amp;$J993,'Weekly Log'!$A:$A,"&lt;"&amp;$J993+7))</f>
        <v/>
      </c>
      <c r="C993">
        <f>IF($J993="","",IFERROR(COUNTIFS('Weekly Log'!$G:$G,"Y",'Weekly Log'!$A:$A,"&gt;="&amp;$J993,'Weekly Log'!$A:$A,"&lt;"&amp;$J993+7)/COUNTIFS('Weekly Log'!$G:$G,"&lt;&gt;",'Weekly Log'!$A:$A,"&gt;="&amp;$J993,'Weekly Log'!$A:$A,"&lt;"&amp;$J993+7),0))</f>
        <v/>
      </c>
      <c r="D993">
        <f>IF($J993="","",IFERROR(COUNTIFS('Weekly Log'!$H:$H,"Y",'Weekly Log'!$A:$A,"&gt;="&amp;$J993,'Weekly Log'!$A:$A,"&lt;"&amp;$J993+7)/COUNTIFS('Weekly Log'!$H:$H,"&lt;&gt;",'Weekly Log'!$A:$A,"&gt;="&amp;$J993,'Weekly Log'!$A:$A,"&lt;"&amp;$J993+7),0))</f>
        <v/>
      </c>
      <c r="E993">
        <f>IF($J993="","",IFERROR(AVERAGEIFS('Weekly Log'!$F:$F,'Weekly Log'!$A:$A,"&gt;="&amp;$J993,'Weekly Log'!$A:$A,"&lt;"&amp;$J993+7),0))</f>
        <v/>
      </c>
      <c r="F993">
        <f>IF($J993="","",IFERROR(SUMIFS('Weekly Log'!$F:$F,'Weekly Log'!$A:$A,"&gt;="&amp;$J993,'Weekly Log'!$A:$A,"&lt;"&amp;$J993+7)/SUMIFS('Weekly Log'!$E:$E,'Weekly Log'!$A:$A,"&gt;="&amp;$J993,'Weekly Log'!$A:$A,"&lt;"&amp;$J993+7),0))</f>
        <v/>
      </c>
      <c r="G993">
        <f>IF($J993="","",IFERROR(LOOKUP(2,1/(('Weekly Log'!$A$5:$A$5000&gt;=$J993)*('Weekly Log'!$A$5:$A$5000&lt;$J993+7)*('Weekly Log'!$M$5:$M$5000&lt;&gt;"")),'Weekly Log'!$M$5:$M$5000),0))</f>
        <v/>
      </c>
      <c r="J993">
        <f>IF(COUNT('Weekly Log'!$A$5:$A$5000)=0,"",IF(MIN('Weekly Log'!$A$5:$A$5000)+7*(ROW()-10)&gt;MAX('Weekly Log'!$A$5:$A$5000),"",MIN('Weekly Log'!$A$5:$A$5000)+7*(ROW()-10)))</f>
        <v/>
      </c>
    </row>
    <row r="994">
      <c r="A994">
        <f>IF($J994="","",YEAR($J994-WEEKDAY($J994,2)+4)&amp;"-W"&amp;TEXT(WEEKNUM($J994,21),"00"))</f>
        <v/>
      </c>
      <c r="B994">
        <f>IF($J994="","",SUMIFS('Weekly Log'!$C:$C,'Weekly Log'!$A:$A,"&gt;="&amp;$J994,'Weekly Log'!$A:$A,"&lt;"&amp;$J994+7))</f>
        <v/>
      </c>
      <c r="C994">
        <f>IF($J994="","",IFERROR(COUNTIFS('Weekly Log'!$G:$G,"Y",'Weekly Log'!$A:$A,"&gt;="&amp;$J994,'Weekly Log'!$A:$A,"&lt;"&amp;$J994+7)/COUNTIFS('Weekly Log'!$G:$G,"&lt;&gt;",'Weekly Log'!$A:$A,"&gt;="&amp;$J994,'Weekly Log'!$A:$A,"&lt;"&amp;$J994+7),0))</f>
        <v/>
      </c>
      <c r="D994">
        <f>IF($J994="","",IFERROR(COUNTIFS('Weekly Log'!$H:$H,"Y",'Weekly Log'!$A:$A,"&gt;="&amp;$J994,'Weekly Log'!$A:$A,"&lt;"&amp;$J994+7)/COUNTIFS('Weekly Log'!$H:$H,"&lt;&gt;",'Weekly Log'!$A:$A,"&gt;="&amp;$J994,'Weekly Log'!$A:$A,"&lt;"&amp;$J994+7),0))</f>
        <v/>
      </c>
      <c r="E994">
        <f>IF($J994="","",IFERROR(AVERAGEIFS('Weekly Log'!$F:$F,'Weekly Log'!$A:$A,"&gt;="&amp;$J994,'Weekly Log'!$A:$A,"&lt;"&amp;$J994+7),0))</f>
        <v/>
      </c>
      <c r="F994">
        <f>IF($J994="","",IFERROR(SUMIFS('Weekly Log'!$F:$F,'Weekly Log'!$A:$A,"&gt;="&amp;$J994,'Weekly Log'!$A:$A,"&lt;"&amp;$J994+7)/SUMIFS('Weekly Log'!$E:$E,'Weekly Log'!$A:$A,"&gt;="&amp;$J994,'Weekly Log'!$A:$A,"&lt;"&amp;$J994+7),0))</f>
        <v/>
      </c>
      <c r="G994">
        <f>IF($J994="","",IFERROR(LOOKUP(2,1/(('Weekly Log'!$A$5:$A$5000&gt;=$J994)*('Weekly Log'!$A$5:$A$5000&lt;$J994+7)*('Weekly Log'!$M$5:$M$5000&lt;&gt;"")),'Weekly Log'!$M$5:$M$5000),0))</f>
        <v/>
      </c>
      <c r="J994">
        <f>IF(COUNT('Weekly Log'!$A$5:$A$5000)=0,"",IF(MIN('Weekly Log'!$A$5:$A$5000)+7*(ROW()-10)&gt;MAX('Weekly Log'!$A$5:$A$5000),"",MIN('Weekly Log'!$A$5:$A$5000)+7*(ROW()-10)))</f>
        <v/>
      </c>
    </row>
    <row r="995">
      <c r="A995">
        <f>IF($J995="","",YEAR($J995-WEEKDAY($J995,2)+4)&amp;"-W"&amp;TEXT(WEEKNUM($J995,21),"00"))</f>
        <v/>
      </c>
      <c r="B995">
        <f>IF($J995="","",SUMIFS('Weekly Log'!$C:$C,'Weekly Log'!$A:$A,"&gt;="&amp;$J995,'Weekly Log'!$A:$A,"&lt;"&amp;$J995+7))</f>
        <v/>
      </c>
      <c r="C995">
        <f>IF($J995="","",IFERROR(COUNTIFS('Weekly Log'!$G:$G,"Y",'Weekly Log'!$A:$A,"&gt;="&amp;$J995,'Weekly Log'!$A:$A,"&lt;"&amp;$J995+7)/COUNTIFS('Weekly Log'!$G:$G,"&lt;&gt;",'Weekly Log'!$A:$A,"&gt;="&amp;$J995,'Weekly Log'!$A:$A,"&lt;"&amp;$J995+7),0))</f>
        <v/>
      </c>
      <c r="D995">
        <f>IF($J995="","",IFERROR(COUNTIFS('Weekly Log'!$H:$H,"Y",'Weekly Log'!$A:$A,"&gt;="&amp;$J995,'Weekly Log'!$A:$A,"&lt;"&amp;$J995+7)/COUNTIFS('Weekly Log'!$H:$H,"&lt;&gt;",'Weekly Log'!$A:$A,"&gt;="&amp;$J995,'Weekly Log'!$A:$A,"&lt;"&amp;$J995+7),0))</f>
        <v/>
      </c>
      <c r="E995">
        <f>IF($J995="","",IFERROR(AVERAGEIFS('Weekly Log'!$F:$F,'Weekly Log'!$A:$A,"&gt;="&amp;$J995,'Weekly Log'!$A:$A,"&lt;"&amp;$J995+7),0))</f>
        <v/>
      </c>
      <c r="F995">
        <f>IF($J995="","",IFERROR(SUMIFS('Weekly Log'!$F:$F,'Weekly Log'!$A:$A,"&gt;="&amp;$J995,'Weekly Log'!$A:$A,"&lt;"&amp;$J995+7)/SUMIFS('Weekly Log'!$E:$E,'Weekly Log'!$A:$A,"&gt;="&amp;$J995,'Weekly Log'!$A:$A,"&lt;"&amp;$J995+7),0))</f>
        <v/>
      </c>
      <c r="G995">
        <f>IF($J995="","",IFERROR(LOOKUP(2,1/(('Weekly Log'!$A$5:$A$5000&gt;=$J995)*('Weekly Log'!$A$5:$A$5000&lt;$J995+7)*('Weekly Log'!$M$5:$M$5000&lt;&gt;"")),'Weekly Log'!$M$5:$M$5000),0))</f>
        <v/>
      </c>
      <c r="J995">
        <f>IF(COUNT('Weekly Log'!$A$5:$A$5000)=0,"",IF(MIN('Weekly Log'!$A$5:$A$5000)+7*(ROW()-10)&gt;MAX('Weekly Log'!$A$5:$A$5000),"",MIN('Weekly Log'!$A$5:$A$5000)+7*(ROW()-10)))</f>
        <v/>
      </c>
    </row>
    <row r="996">
      <c r="A996">
        <f>IF($J996="","",YEAR($J996-WEEKDAY($J996,2)+4)&amp;"-W"&amp;TEXT(WEEKNUM($J996,21),"00"))</f>
        <v/>
      </c>
      <c r="B996">
        <f>IF($J996="","",SUMIFS('Weekly Log'!$C:$C,'Weekly Log'!$A:$A,"&gt;="&amp;$J996,'Weekly Log'!$A:$A,"&lt;"&amp;$J996+7))</f>
        <v/>
      </c>
      <c r="C996">
        <f>IF($J996="","",IFERROR(COUNTIFS('Weekly Log'!$G:$G,"Y",'Weekly Log'!$A:$A,"&gt;="&amp;$J996,'Weekly Log'!$A:$A,"&lt;"&amp;$J996+7)/COUNTIFS('Weekly Log'!$G:$G,"&lt;&gt;",'Weekly Log'!$A:$A,"&gt;="&amp;$J996,'Weekly Log'!$A:$A,"&lt;"&amp;$J996+7),0))</f>
        <v/>
      </c>
      <c r="D996">
        <f>IF($J996="","",IFERROR(COUNTIFS('Weekly Log'!$H:$H,"Y",'Weekly Log'!$A:$A,"&gt;="&amp;$J996,'Weekly Log'!$A:$A,"&lt;"&amp;$J996+7)/COUNTIFS('Weekly Log'!$H:$H,"&lt;&gt;",'Weekly Log'!$A:$A,"&gt;="&amp;$J996,'Weekly Log'!$A:$A,"&lt;"&amp;$J996+7),0))</f>
        <v/>
      </c>
      <c r="E996">
        <f>IF($J996="","",IFERROR(AVERAGEIFS('Weekly Log'!$F:$F,'Weekly Log'!$A:$A,"&gt;="&amp;$J996,'Weekly Log'!$A:$A,"&lt;"&amp;$J996+7),0))</f>
        <v/>
      </c>
      <c r="F996">
        <f>IF($J996="","",IFERROR(SUMIFS('Weekly Log'!$F:$F,'Weekly Log'!$A:$A,"&gt;="&amp;$J996,'Weekly Log'!$A:$A,"&lt;"&amp;$J996+7)/SUMIFS('Weekly Log'!$E:$E,'Weekly Log'!$A:$A,"&gt;="&amp;$J996,'Weekly Log'!$A:$A,"&lt;"&amp;$J996+7),0))</f>
        <v/>
      </c>
      <c r="G996">
        <f>IF($J996="","",IFERROR(LOOKUP(2,1/(('Weekly Log'!$A$5:$A$5000&gt;=$J996)*('Weekly Log'!$A$5:$A$5000&lt;$J996+7)*('Weekly Log'!$M$5:$M$5000&lt;&gt;"")),'Weekly Log'!$M$5:$M$5000),0))</f>
        <v/>
      </c>
      <c r="J996">
        <f>IF(COUNT('Weekly Log'!$A$5:$A$5000)=0,"",IF(MIN('Weekly Log'!$A$5:$A$5000)+7*(ROW()-10)&gt;MAX('Weekly Log'!$A$5:$A$5000),"",MIN('Weekly Log'!$A$5:$A$5000)+7*(ROW()-10)))</f>
        <v/>
      </c>
    </row>
    <row r="997">
      <c r="A997">
        <f>IF($J997="","",YEAR($J997-WEEKDAY($J997,2)+4)&amp;"-W"&amp;TEXT(WEEKNUM($J997,21),"00"))</f>
        <v/>
      </c>
      <c r="B997">
        <f>IF($J997="","",SUMIFS('Weekly Log'!$C:$C,'Weekly Log'!$A:$A,"&gt;="&amp;$J997,'Weekly Log'!$A:$A,"&lt;"&amp;$J997+7))</f>
        <v/>
      </c>
      <c r="C997">
        <f>IF($J997="","",IFERROR(COUNTIFS('Weekly Log'!$G:$G,"Y",'Weekly Log'!$A:$A,"&gt;="&amp;$J997,'Weekly Log'!$A:$A,"&lt;"&amp;$J997+7)/COUNTIFS('Weekly Log'!$G:$G,"&lt;&gt;",'Weekly Log'!$A:$A,"&gt;="&amp;$J997,'Weekly Log'!$A:$A,"&lt;"&amp;$J997+7),0))</f>
        <v/>
      </c>
      <c r="D997">
        <f>IF($J997="","",IFERROR(COUNTIFS('Weekly Log'!$H:$H,"Y",'Weekly Log'!$A:$A,"&gt;="&amp;$J997,'Weekly Log'!$A:$A,"&lt;"&amp;$J997+7)/COUNTIFS('Weekly Log'!$H:$H,"&lt;&gt;",'Weekly Log'!$A:$A,"&gt;="&amp;$J997,'Weekly Log'!$A:$A,"&lt;"&amp;$J997+7),0))</f>
        <v/>
      </c>
      <c r="E997">
        <f>IF($J997="","",IFERROR(AVERAGEIFS('Weekly Log'!$F:$F,'Weekly Log'!$A:$A,"&gt;="&amp;$J997,'Weekly Log'!$A:$A,"&lt;"&amp;$J997+7),0))</f>
        <v/>
      </c>
      <c r="F997">
        <f>IF($J997="","",IFERROR(SUMIFS('Weekly Log'!$F:$F,'Weekly Log'!$A:$A,"&gt;="&amp;$J997,'Weekly Log'!$A:$A,"&lt;"&amp;$J997+7)/SUMIFS('Weekly Log'!$E:$E,'Weekly Log'!$A:$A,"&gt;="&amp;$J997,'Weekly Log'!$A:$A,"&lt;"&amp;$J997+7),0))</f>
        <v/>
      </c>
      <c r="G997">
        <f>IF($J997="","",IFERROR(LOOKUP(2,1/(('Weekly Log'!$A$5:$A$5000&gt;=$J997)*('Weekly Log'!$A$5:$A$5000&lt;$J997+7)*('Weekly Log'!$M$5:$M$5000&lt;&gt;"")),'Weekly Log'!$M$5:$M$5000),0))</f>
        <v/>
      </c>
      <c r="J997">
        <f>IF(COUNT('Weekly Log'!$A$5:$A$5000)=0,"",IF(MIN('Weekly Log'!$A$5:$A$5000)+7*(ROW()-10)&gt;MAX('Weekly Log'!$A$5:$A$5000),"",MIN('Weekly Log'!$A$5:$A$5000)+7*(ROW()-10)))</f>
        <v/>
      </c>
    </row>
    <row r="998">
      <c r="A998">
        <f>IF($J998="","",YEAR($J998-WEEKDAY($J998,2)+4)&amp;"-W"&amp;TEXT(WEEKNUM($J998,21),"00"))</f>
        <v/>
      </c>
      <c r="B998">
        <f>IF($J998="","",SUMIFS('Weekly Log'!$C:$C,'Weekly Log'!$A:$A,"&gt;="&amp;$J998,'Weekly Log'!$A:$A,"&lt;"&amp;$J998+7))</f>
        <v/>
      </c>
      <c r="C998">
        <f>IF($J998="","",IFERROR(COUNTIFS('Weekly Log'!$G:$G,"Y",'Weekly Log'!$A:$A,"&gt;="&amp;$J998,'Weekly Log'!$A:$A,"&lt;"&amp;$J998+7)/COUNTIFS('Weekly Log'!$G:$G,"&lt;&gt;",'Weekly Log'!$A:$A,"&gt;="&amp;$J998,'Weekly Log'!$A:$A,"&lt;"&amp;$J998+7),0))</f>
        <v/>
      </c>
      <c r="D998">
        <f>IF($J998="","",IFERROR(COUNTIFS('Weekly Log'!$H:$H,"Y",'Weekly Log'!$A:$A,"&gt;="&amp;$J998,'Weekly Log'!$A:$A,"&lt;"&amp;$J998+7)/COUNTIFS('Weekly Log'!$H:$H,"&lt;&gt;",'Weekly Log'!$A:$A,"&gt;="&amp;$J998,'Weekly Log'!$A:$A,"&lt;"&amp;$J998+7),0))</f>
        <v/>
      </c>
      <c r="E998">
        <f>IF($J998="","",IFERROR(AVERAGEIFS('Weekly Log'!$F:$F,'Weekly Log'!$A:$A,"&gt;="&amp;$J998,'Weekly Log'!$A:$A,"&lt;"&amp;$J998+7),0))</f>
        <v/>
      </c>
      <c r="F998">
        <f>IF($J998="","",IFERROR(SUMIFS('Weekly Log'!$F:$F,'Weekly Log'!$A:$A,"&gt;="&amp;$J998,'Weekly Log'!$A:$A,"&lt;"&amp;$J998+7)/SUMIFS('Weekly Log'!$E:$E,'Weekly Log'!$A:$A,"&gt;="&amp;$J998,'Weekly Log'!$A:$A,"&lt;"&amp;$J998+7),0))</f>
        <v/>
      </c>
      <c r="G998">
        <f>IF($J998="","",IFERROR(LOOKUP(2,1/(('Weekly Log'!$A$5:$A$5000&gt;=$J998)*('Weekly Log'!$A$5:$A$5000&lt;$J998+7)*('Weekly Log'!$M$5:$M$5000&lt;&gt;"")),'Weekly Log'!$M$5:$M$5000),0))</f>
        <v/>
      </c>
      <c r="J998">
        <f>IF(COUNT('Weekly Log'!$A$5:$A$5000)=0,"",IF(MIN('Weekly Log'!$A$5:$A$5000)+7*(ROW()-10)&gt;MAX('Weekly Log'!$A$5:$A$5000),"",MIN('Weekly Log'!$A$5:$A$5000)+7*(ROW()-10)))</f>
        <v/>
      </c>
    </row>
    <row r="999">
      <c r="A999">
        <f>IF($J999="","",YEAR($J999-WEEKDAY($J999,2)+4)&amp;"-W"&amp;TEXT(WEEKNUM($J999,21),"00"))</f>
        <v/>
      </c>
      <c r="B999">
        <f>IF($J999="","",SUMIFS('Weekly Log'!$C:$C,'Weekly Log'!$A:$A,"&gt;="&amp;$J999,'Weekly Log'!$A:$A,"&lt;"&amp;$J999+7))</f>
        <v/>
      </c>
      <c r="C999">
        <f>IF($J999="","",IFERROR(COUNTIFS('Weekly Log'!$G:$G,"Y",'Weekly Log'!$A:$A,"&gt;="&amp;$J999,'Weekly Log'!$A:$A,"&lt;"&amp;$J999+7)/COUNTIFS('Weekly Log'!$G:$G,"&lt;&gt;",'Weekly Log'!$A:$A,"&gt;="&amp;$J999,'Weekly Log'!$A:$A,"&lt;"&amp;$J999+7),0))</f>
        <v/>
      </c>
      <c r="D999">
        <f>IF($J999="","",IFERROR(COUNTIFS('Weekly Log'!$H:$H,"Y",'Weekly Log'!$A:$A,"&gt;="&amp;$J999,'Weekly Log'!$A:$A,"&lt;"&amp;$J999+7)/COUNTIFS('Weekly Log'!$H:$H,"&lt;&gt;",'Weekly Log'!$A:$A,"&gt;="&amp;$J999,'Weekly Log'!$A:$A,"&lt;"&amp;$J999+7),0))</f>
        <v/>
      </c>
      <c r="E999">
        <f>IF($J999="","",IFERROR(AVERAGEIFS('Weekly Log'!$F:$F,'Weekly Log'!$A:$A,"&gt;="&amp;$J999,'Weekly Log'!$A:$A,"&lt;"&amp;$J999+7),0))</f>
        <v/>
      </c>
      <c r="F999">
        <f>IF($J999="","",IFERROR(SUMIFS('Weekly Log'!$F:$F,'Weekly Log'!$A:$A,"&gt;="&amp;$J999,'Weekly Log'!$A:$A,"&lt;"&amp;$J999+7)/SUMIFS('Weekly Log'!$E:$E,'Weekly Log'!$A:$A,"&gt;="&amp;$J999,'Weekly Log'!$A:$A,"&lt;"&amp;$J999+7),0))</f>
        <v/>
      </c>
      <c r="G999">
        <f>IF($J999="","",IFERROR(LOOKUP(2,1/(('Weekly Log'!$A$5:$A$5000&gt;=$J999)*('Weekly Log'!$A$5:$A$5000&lt;$J999+7)*('Weekly Log'!$M$5:$M$5000&lt;&gt;"")),'Weekly Log'!$M$5:$M$5000),0))</f>
        <v/>
      </c>
      <c r="J999">
        <f>IF(COUNT('Weekly Log'!$A$5:$A$5000)=0,"",IF(MIN('Weekly Log'!$A$5:$A$5000)+7*(ROW()-10)&gt;MAX('Weekly Log'!$A$5:$A$5000),"",MIN('Weekly Log'!$A$5:$A$5000)+7*(ROW()-10)))</f>
        <v/>
      </c>
    </row>
    <row r="1000">
      <c r="A1000">
        <f>IF($J1000="","",YEAR($J1000-WEEKDAY($J1000,2)+4)&amp;"-W"&amp;TEXT(WEEKNUM($J1000,21),"00"))</f>
        <v/>
      </c>
      <c r="B1000">
        <f>IF($J1000="","",SUMIFS('Weekly Log'!$C:$C,'Weekly Log'!$A:$A,"&gt;="&amp;$J1000,'Weekly Log'!$A:$A,"&lt;"&amp;$J1000+7))</f>
        <v/>
      </c>
      <c r="C1000">
        <f>IF($J1000="","",IFERROR(COUNTIFS('Weekly Log'!$G:$G,"Y",'Weekly Log'!$A:$A,"&gt;="&amp;$J1000,'Weekly Log'!$A:$A,"&lt;"&amp;$J1000+7)/COUNTIFS('Weekly Log'!$G:$G,"&lt;&gt;",'Weekly Log'!$A:$A,"&gt;="&amp;$J1000,'Weekly Log'!$A:$A,"&lt;"&amp;$J1000+7),0))</f>
        <v/>
      </c>
      <c r="D1000">
        <f>IF($J1000="","",IFERROR(COUNTIFS('Weekly Log'!$H:$H,"Y",'Weekly Log'!$A:$A,"&gt;="&amp;$J1000,'Weekly Log'!$A:$A,"&lt;"&amp;$J1000+7)/COUNTIFS('Weekly Log'!$H:$H,"&lt;&gt;",'Weekly Log'!$A:$A,"&gt;="&amp;$J1000,'Weekly Log'!$A:$A,"&lt;"&amp;$J1000+7),0))</f>
        <v/>
      </c>
      <c r="E1000">
        <f>IF($J1000="","",IFERROR(AVERAGEIFS('Weekly Log'!$F:$F,'Weekly Log'!$A:$A,"&gt;="&amp;$J1000,'Weekly Log'!$A:$A,"&lt;"&amp;$J1000+7),0))</f>
        <v/>
      </c>
      <c r="F1000">
        <f>IF($J1000="","",IFERROR(SUMIFS('Weekly Log'!$F:$F,'Weekly Log'!$A:$A,"&gt;="&amp;$J1000,'Weekly Log'!$A:$A,"&lt;"&amp;$J1000+7)/SUMIFS('Weekly Log'!$E:$E,'Weekly Log'!$A:$A,"&gt;="&amp;$J1000,'Weekly Log'!$A:$A,"&lt;"&amp;$J1000+7),0))</f>
        <v/>
      </c>
      <c r="G1000">
        <f>IF($J1000="","",IFERROR(LOOKUP(2,1/(('Weekly Log'!$A$5:$A$5000&gt;=$J1000)*('Weekly Log'!$A$5:$A$5000&lt;$J1000+7)*('Weekly Log'!$M$5:$M$5000&lt;&gt;"")),'Weekly Log'!$M$5:$M$5000),0))</f>
        <v/>
      </c>
      <c r="J1000">
        <f>IF(COUNT('Weekly Log'!$A$5:$A$5000)=0,"",IF(MIN('Weekly Log'!$A$5:$A$5000)+7*(ROW()-10)&gt;MAX('Weekly Log'!$A$5:$A$5000),"",MIN('Weekly Log'!$A$5:$A$5000)+7*(ROW()-10)))</f>
        <v/>
      </c>
    </row>
    <row r="1001">
      <c r="A1001">
        <f>IF($J1001="","",YEAR($J1001-WEEKDAY($J1001,2)+4)&amp;"-W"&amp;TEXT(WEEKNUM($J1001,21),"00"))</f>
        <v/>
      </c>
      <c r="B1001">
        <f>IF($J1001="","",SUMIFS('Weekly Log'!$C:$C,'Weekly Log'!$A:$A,"&gt;="&amp;$J1001,'Weekly Log'!$A:$A,"&lt;"&amp;$J1001+7))</f>
        <v/>
      </c>
      <c r="C1001">
        <f>IF($J1001="","",IFERROR(COUNTIFS('Weekly Log'!$G:$G,"Y",'Weekly Log'!$A:$A,"&gt;="&amp;$J1001,'Weekly Log'!$A:$A,"&lt;"&amp;$J1001+7)/COUNTIFS('Weekly Log'!$G:$G,"&lt;&gt;",'Weekly Log'!$A:$A,"&gt;="&amp;$J1001,'Weekly Log'!$A:$A,"&lt;"&amp;$J1001+7),0))</f>
        <v/>
      </c>
      <c r="D1001">
        <f>IF($J1001="","",IFERROR(COUNTIFS('Weekly Log'!$H:$H,"Y",'Weekly Log'!$A:$A,"&gt;="&amp;$J1001,'Weekly Log'!$A:$A,"&lt;"&amp;$J1001+7)/COUNTIFS('Weekly Log'!$H:$H,"&lt;&gt;",'Weekly Log'!$A:$A,"&gt;="&amp;$J1001,'Weekly Log'!$A:$A,"&lt;"&amp;$J1001+7),0))</f>
        <v/>
      </c>
      <c r="E1001">
        <f>IF($J1001="","",IFERROR(AVERAGEIFS('Weekly Log'!$F:$F,'Weekly Log'!$A:$A,"&gt;="&amp;$J1001,'Weekly Log'!$A:$A,"&lt;"&amp;$J1001+7),0))</f>
        <v/>
      </c>
      <c r="F1001">
        <f>IF($J1001="","",IFERROR(SUMIFS('Weekly Log'!$F:$F,'Weekly Log'!$A:$A,"&gt;="&amp;$J1001,'Weekly Log'!$A:$A,"&lt;"&amp;$J1001+7)/SUMIFS('Weekly Log'!$E:$E,'Weekly Log'!$A:$A,"&gt;="&amp;$J1001,'Weekly Log'!$A:$A,"&lt;"&amp;$J1001+7),0))</f>
        <v/>
      </c>
      <c r="G1001">
        <f>IF($J1001="","",IFERROR(LOOKUP(2,1/(('Weekly Log'!$A$5:$A$5000&gt;=$J1001)*('Weekly Log'!$A$5:$A$5000&lt;$J1001+7)*('Weekly Log'!$M$5:$M$5000&lt;&gt;"")),'Weekly Log'!$M$5:$M$5000),0))</f>
        <v/>
      </c>
      <c r="J1001">
        <f>IF(COUNT('Weekly Log'!$A$5:$A$5000)=0,"",IF(MIN('Weekly Log'!$A$5:$A$5000)+7*(ROW()-10)&gt;MAX('Weekly Log'!$A$5:$A$5000),"",MIN('Weekly Log'!$A$5:$A$5000)+7*(ROW()-10)))</f>
        <v/>
      </c>
    </row>
    <row r="1002">
      <c r="A1002">
        <f>IF($J1002="","",YEAR($J1002-WEEKDAY($J1002,2)+4)&amp;"-W"&amp;TEXT(WEEKNUM($J1002,21),"00"))</f>
        <v/>
      </c>
      <c r="B1002">
        <f>IF($J1002="","",SUMIFS('Weekly Log'!$C:$C,'Weekly Log'!$A:$A,"&gt;="&amp;$J1002,'Weekly Log'!$A:$A,"&lt;"&amp;$J1002+7))</f>
        <v/>
      </c>
      <c r="C1002">
        <f>IF($J1002="","",IFERROR(COUNTIFS('Weekly Log'!$G:$G,"Y",'Weekly Log'!$A:$A,"&gt;="&amp;$J1002,'Weekly Log'!$A:$A,"&lt;"&amp;$J1002+7)/COUNTIFS('Weekly Log'!$G:$G,"&lt;&gt;",'Weekly Log'!$A:$A,"&gt;="&amp;$J1002,'Weekly Log'!$A:$A,"&lt;"&amp;$J1002+7),0))</f>
        <v/>
      </c>
      <c r="D1002">
        <f>IF($J1002="","",IFERROR(COUNTIFS('Weekly Log'!$H:$H,"Y",'Weekly Log'!$A:$A,"&gt;="&amp;$J1002,'Weekly Log'!$A:$A,"&lt;"&amp;$J1002+7)/COUNTIFS('Weekly Log'!$H:$H,"&lt;&gt;",'Weekly Log'!$A:$A,"&gt;="&amp;$J1002,'Weekly Log'!$A:$A,"&lt;"&amp;$J1002+7),0))</f>
        <v/>
      </c>
      <c r="E1002">
        <f>IF($J1002="","",IFERROR(AVERAGEIFS('Weekly Log'!$F:$F,'Weekly Log'!$A:$A,"&gt;="&amp;$J1002,'Weekly Log'!$A:$A,"&lt;"&amp;$J1002+7),0))</f>
        <v/>
      </c>
      <c r="F1002">
        <f>IF($J1002="","",IFERROR(SUMIFS('Weekly Log'!$F:$F,'Weekly Log'!$A:$A,"&gt;="&amp;$J1002,'Weekly Log'!$A:$A,"&lt;"&amp;$J1002+7)/SUMIFS('Weekly Log'!$E:$E,'Weekly Log'!$A:$A,"&gt;="&amp;$J1002,'Weekly Log'!$A:$A,"&lt;"&amp;$J1002+7),0))</f>
        <v/>
      </c>
      <c r="G1002">
        <f>IF($J1002="","",IFERROR(LOOKUP(2,1/(('Weekly Log'!$A$5:$A$5000&gt;=$J1002)*('Weekly Log'!$A$5:$A$5000&lt;$J1002+7)*('Weekly Log'!$M$5:$M$5000&lt;&gt;"")),'Weekly Log'!$M$5:$M$5000),0))</f>
        <v/>
      </c>
      <c r="J1002">
        <f>IF(COUNT('Weekly Log'!$A$5:$A$5000)=0,"",IF(MIN('Weekly Log'!$A$5:$A$5000)+7*(ROW()-10)&gt;MAX('Weekly Log'!$A$5:$A$5000),"",MIN('Weekly Log'!$A$5:$A$5000)+7*(ROW()-10)))</f>
        <v/>
      </c>
    </row>
    <row r="1003">
      <c r="A1003">
        <f>IF($J1003="","",YEAR($J1003-WEEKDAY($J1003,2)+4)&amp;"-W"&amp;TEXT(WEEKNUM($J1003,21),"00"))</f>
        <v/>
      </c>
      <c r="B1003">
        <f>IF($J1003="","",SUMIFS('Weekly Log'!$C:$C,'Weekly Log'!$A:$A,"&gt;="&amp;$J1003,'Weekly Log'!$A:$A,"&lt;"&amp;$J1003+7))</f>
        <v/>
      </c>
      <c r="C1003">
        <f>IF($J1003="","",IFERROR(COUNTIFS('Weekly Log'!$G:$G,"Y",'Weekly Log'!$A:$A,"&gt;="&amp;$J1003,'Weekly Log'!$A:$A,"&lt;"&amp;$J1003+7)/COUNTIFS('Weekly Log'!$G:$G,"&lt;&gt;",'Weekly Log'!$A:$A,"&gt;="&amp;$J1003,'Weekly Log'!$A:$A,"&lt;"&amp;$J1003+7),0))</f>
        <v/>
      </c>
      <c r="D1003">
        <f>IF($J1003="","",IFERROR(COUNTIFS('Weekly Log'!$H:$H,"Y",'Weekly Log'!$A:$A,"&gt;="&amp;$J1003,'Weekly Log'!$A:$A,"&lt;"&amp;$J1003+7)/COUNTIFS('Weekly Log'!$H:$H,"&lt;&gt;",'Weekly Log'!$A:$A,"&gt;="&amp;$J1003,'Weekly Log'!$A:$A,"&lt;"&amp;$J1003+7),0))</f>
        <v/>
      </c>
      <c r="E1003">
        <f>IF($J1003="","",IFERROR(AVERAGEIFS('Weekly Log'!$F:$F,'Weekly Log'!$A:$A,"&gt;="&amp;$J1003,'Weekly Log'!$A:$A,"&lt;"&amp;$J1003+7),0))</f>
        <v/>
      </c>
      <c r="F1003">
        <f>IF($J1003="","",IFERROR(SUMIFS('Weekly Log'!$F:$F,'Weekly Log'!$A:$A,"&gt;="&amp;$J1003,'Weekly Log'!$A:$A,"&lt;"&amp;$J1003+7)/SUMIFS('Weekly Log'!$E:$E,'Weekly Log'!$A:$A,"&gt;="&amp;$J1003,'Weekly Log'!$A:$A,"&lt;"&amp;$J1003+7),0))</f>
        <v/>
      </c>
      <c r="G1003">
        <f>IF($J1003="","",IFERROR(LOOKUP(2,1/(('Weekly Log'!$A$5:$A$5000&gt;=$J1003)*('Weekly Log'!$A$5:$A$5000&lt;$J1003+7)*('Weekly Log'!$M$5:$M$5000&lt;&gt;"")),'Weekly Log'!$M$5:$M$5000),0))</f>
        <v/>
      </c>
      <c r="J1003">
        <f>IF(COUNT('Weekly Log'!$A$5:$A$5000)=0,"",IF(MIN('Weekly Log'!$A$5:$A$5000)+7*(ROW()-10)&gt;MAX('Weekly Log'!$A$5:$A$5000),"",MIN('Weekly Log'!$A$5:$A$5000)+7*(ROW()-10)))</f>
        <v/>
      </c>
    </row>
    <row r="1004">
      <c r="A1004">
        <f>IF($J1004="","",YEAR($J1004-WEEKDAY($J1004,2)+4)&amp;"-W"&amp;TEXT(WEEKNUM($J1004,21),"00"))</f>
        <v/>
      </c>
      <c r="B1004">
        <f>IF($J1004="","",SUMIFS('Weekly Log'!$C:$C,'Weekly Log'!$A:$A,"&gt;="&amp;$J1004,'Weekly Log'!$A:$A,"&lt;"&amp;$J1004+7))</f>
        <v/>
      </c>
      <c r="C1004">
        <f>IF($J1004="","",IFERROR(COUNTIFS('Weekly Log'!$G:$G,"Y",'Weekly Log'!$A:$A,"&gt;="&amp;$J1004,'Weekly Log'!$A:$A,"&lt;"&amp;$J1004+7)/COUNTIFS('Weekly Log'!$G:$G,"&lt;&gt;",'Weekly Log'!$A:$A,"&gt;="&amp;$J1004,'Weekly Log'!$A:$A,"&lt;"&amp;$J1004+7),0))</f>
        <v/>
      </c>
      <c r="D1004">
        <f>IF($J1004="","",IFERROR(COUNTIFS('Weekly Log'!$H:$H,"Y",'Weekly Log'!$A:$A,"&gt;="&amp;$J1004,'Weekly Log'!$A:$A,"&lt;"&amp;$J1004+7)/COUNTIFS('Weekly Log'!$H:$H,"&lt;&gt;",'Weekly Log'!$A:$A,"&gt;="&amp;$J1004,'Weekly Log'!$A:$A,"&lt;"&amp;$J1004+7),0))</f>
        <v/>
      </c>
      <c r="E1004">
        <f>IF($J1004="","",IFERROR(AVERAGEIFS('Weekly Log'!$F:$F,'Weekly Log'!$A:$A,"&gt;="&amp;$J1004,'Weekly Log'!$A:$A,"&lt;"&amp;$J1004+7),0))</f>
        <v/>
      </c>
      <c r="F1004">
        <f>IF($J1004="","",IFERROR(SUMIFS('Weekly Log'!$F:$F,'Weekly Log'!$A:$A,"&gt;="&amp;$J1004,'Weekly Log'!$A:$A,"&lt;"&amp;$J1004+7)/SUMIFS('Weekly Log'!$E:$E,'Weekly Log'!$A:$A,"&gt;="&amp;$J1004,'Weekly Log'!$A:$A,"&lt;"&amp;$J1004+7),0))</f>
        <v/>
      </c>
      <c r="G1004">
        <f>IF($J1004="","",IFERROR(LOOKUP(2,1/(('Weekly Log'!$A$5:$A$5000&gt;=$J1004)*('Weekly Log'!$A$5:$A$5000&lt;$J1004+7)*('Weekly Log'!$M$5:$M$5000&lt;&gt;"")),'Weekly Log'!$M$5:$M$5000),0))</f>
        <v/>
      </c>
      <c r="J1004">
        <f>IF(COUNT('Weekly Log'!$A$5:$A$5000)=0,"",IF(MIN('Weekly Log'!$A$5:$A$5000)+7*(ROW()-10)&gt;MAX('Weekly Log'!$A$5:$A$5000),"",MIN('Weekly Log'!$A$5:$A$5000)+7*(ROW()-10)))</f>
        <v/>
      </c>
    </row>
    <row r="1005">
      <c r="A1005">
        <f>IF($J1005="","",YEAR($J1005-WEEKDAY($J1005,2)+4)&amp;"-W"&amp;TEXT(WEEKNUM($J1005,21),"00"))</f>
        <v/>
      </c>
      <c r="B1005">
        <f>IF($J1005="","",SUMIFS('Weekly Log'!$C:$C,'Weekly Log'!$A:$A,"&gt;="&amp;$J1005,'Weekly Log'!$A:$A,"&lt;"&amp;$J1005+7))</f>
        <v/>
      </c>
      <c r="C1005">
        <f>IF($J1005="","",IFERROR(COUNTIFS('Weekly Log'!$G:$G,"Y",'Weekly Log'!$A:$A,"&gt;="&amp;$J1005,'Weekly Log'!$A:$A,"&lt;"&amp;$J1005+7)/COUNTIFS('Weekly Log'!$G:$G,"&lt;&gt;",'Weekly Log'!$A:$A,"&gt;="&amp;$J1005,'Weekly Log'!$A:$A,"&lt;"&amp;$J1005+7),0))</f>
        <v/>
      </c>
      <c r="D1005">
        <f>IF($J1005="","",IFERROR(COUNTIFS('Weekly Log'!$H:$H,"Y",'Weekly Log'!$A:$A,"&gt;="&amp;$J1005,'Weekly Log'!$A:$A,"&lt;"&amp;$J1005+7)/COUNTIFS('Weekly Log'!$H:$H,"&lt;&gt;",'Weekly Log'!$A:$A,"&gt;="&amp;$J1005,'Weekly Log'!$A:$A,"&lt;"&amp;$J1005+7),0))</f>
        <v/>
      </c>
      <c r="E1005">
        <f>IF($J1005="","",IFERROR(AVERAGEIFS('Weekly Log'!$F:$F,'Weekly Log'!$A:$A,"&gt;="&amp;$J1005,'Weekly Log'!$A:$A,"&lt;"&amp;$J1005+7),0))</f>
        <v/>
      </c>
      <c r="F1005">
        <f>IF($J1005="","",IFERROR(SUMIFS('Weekly Log'!$F:$F,'Weekly Log'!$A:$A,"&gt;="&amp;$J1005,'Weekly Log'!$A:$A,"&lt;"&amp;$J1005+7)/SUMIFS('Weekly Log'!$E:$E,'Weekly Log'!$A:$A,"&gt;="&amp;$J1005,'Weekly Log'!$A:$A,"&lt;"&amp;$J1005+7),0))</f>
        <v/>
      </c>
      <c r="G1005">
        <f>IF($J1005="","",IFERROR(LOOKUP(2,1/(('Weekly Log'!$A$5:$A$5000&gt;=$J1005)*('Weekly Log'!$A$5:$A$5000&lt;$J1005+7)*('Weekly Log'!$M$5:$M$5000&lt;&gt;"")),'Weekly Log'!$M$5:$M$5000),0))</f>
        <v/>
      </c>
      <c r="J1005">
        <f>IF(COUNT('Weekly Log'!$A$5:$A$5000)=0,"",IF(MIN('Weekly Log'!$A$5:$A$5000)+7*(ROW()-10)&gt;MAX('Weekly Log'!$A$5:$A$5000),"",MIN('Weekly Log'!$A$5:$A$5000)+7*(ROW()-10)))</f>
        <v/>
      </c>
    </row>
    <row r="1006">
      <c r="A1006">
        <f>IF($J1006="","",YEAR($J1006-WEEKDAY($J1006,2)+4)&amp;"-W"&amp;TEXT(WEEKNUM($J1006,21),"00"))</f>
        <v/>
      </c>
      <c r="B1006">
        <f>IF($J1006="","",SUMIFS('Weekly Log'!$C:$C,'Weekly Log'!$A:$A,"&gt;="&amp;$J1006,'Weekly Log'!$A:$A,"&lt;"&amp;$J1006+7))</f>
        <v/>
      </c>
      <c r="C1006">
        <f>IF($J1006="","",IFERROR(COUNTIFS('Weekly Log'!$G:$G,"Y",'Weekly Log'!$A:$A,"&gt;="&amp;$J1006,'Weekly Log'!$A:$A,"&lt;"&amp;$J1006+7)/COUNTIFS('Weekly Log'!$G:$G,"&lt;&gt;",'Weekly Log'!$A:$A,"&gt;="&amp;$J1006,'Weekly Log'!$A:$A,"&lt;"&amp;$J1006+7),0))</f>
        <v/>
      </c>
      <c r="D1006">
        <f>IF($J1006="","",IFERROR(COUNTIFS('Weekly Log'!$H:$H,"Y",'Weekly Log'!$A:$A,"&gt;="&amp;$J1006,'Weekly Log'!$A:$A,"&lt;"&amp;$J1006+7)/COUNTIFS('Weekly Log'!$H:$H,"&lt;&gt;",'Weekly Log'!$A:$A,"&gt;="&amp;$J1006,'Weekly Log'!$A:$A,"&lt;"&amp;$J1006+7),0))</f>
        <v/>
      </c>
      <c r="E1006">
        <f>IF($J1006="","",IFERROR(AVERAGEIFS('Weekly Log'!$F:$F,'Weekly Log'!$A:$A,"&gt;="&amp;$J1006,'Weekly Log'!$A:$A,"&lt;"&amp;$J1006+7),0))</f>
        <v/>
      </c>
      <c r="F1006">
        <f>IF($J1006="","",IFERROR(SUMIFS('Weekly Log'!$F:$F,'Weekly Log'!$A:$A,"&gt;="&amp;$J1006,'Weekly Log'!$A:$A,"&lt;"&amp;$J1006+7)/SUMIFS('Weekly Log'!$E:$E,'Weekly Log'!$A:$A,"&gt;="&amp;$J1006,'Weekly Log'!$A:$A,"&lt;"&amp;$J1006+7),0))</f>
        <v/>
      </c>
      <c r="G1006">
        <f>IF($J1006="","",IFERROR(LOOKUP(2,1/(('Weekly Log'!$A$5:$A$5000&gt;=$J1006)*('Weekly Log'!$A$5:$A$5000&lt;$J1006+7)*('Weekly Log'!$M$5:$M$5000&lt;&gt;"")),'Weekly Log'!$M$5:$M$5000),0))</f>
        <v/>
      </c>
      <c r="J1006">
        <f>IF(COUNT('Weekly Log'!$A$5:$A$5000)=0,"",IF(MIN('Weekly Log'!$A$5:$A$5000)+7*(ROW()-10)&gt;MAX('Weekly Log'!$A$5:$A$5000),"",MIN('Weekly Log'!$A$5:$A$5000)+7*(ROW()-10)))</f>
        <v/>
      </c>
    </row>
    <row r="1007">
      <c r="A1007">
        <f>IF($J1007="","",YEAR($J1007-WEEKDAY($J1007,2)+4)&amp;"-W"&amp;TEXT(WEEKNUM($J1007,21),"00"))</f>
        <v/>
      </c>
      <c r="B1007">
        <f>IF($J1007="","",SUMIFS('Weekly Log'!$C:$C,'Weekly Log'!$A:$A,"&gt;="&amp;$J1007,'Weekly Log'!$A:$A,"&lt;"&amp;$J1007+7))</f>
        <v/>
      </c>
      <c r="C1007">
        <f>IF($J1007="","",IFERROR(COUNTIFS('Weekly Log'!$G:$G,"Y",'Weekly Log'!$A:$A,"&gt;="&amp;$J1007,'Weekly Log'!$A:$A,"&lt;"&amp;$J1007+7)/COUNTIFS('Weekly Log'!$G:$G,"&lt;&gt;",'Weekly Log'!$A:$A,"&gt;="&amp;$J1007,'Weekly Log'!$A:$A,"&lt;"&amp;$J1007+7),0))</f>
        <v/>
      </c>
      <c r="D1007">
        <f>IF($J1007="","",IFERROR(COUNTIFS('Weekly Log'!$H:$H,"Y",'Weekly Log'!$A:$A,"&gt;="&amp;$J1007,'Weekly Log'!$A:$A,"&lt;"&amp;$J1007+7)/COUNTIFS('Weekly Log'!$H:$H,"&lt;&gt;",'Weekly Log'!$A:$A,"&gt;="&amp;$J1007,'Weekly Log'!$A:$A,"&lt;"&amp;$J1007+7),0))</f>
        <v/>
      </c>
      <c r="E1007">
        <f>IF($J1007="","",IFERROR(AVERAGEIFS('Weekly Log'!$F:$F,'Weekly Log'!$A:$A,"&gt;="&amp;$J1007,'Weekly Log'!$A:$A,"&lt;"&amp;$J1007+7),0))</f>
        <v/>
      </c>
      <c r="F1007">
        <f>IF($J1007="","",IFERROR(SUMIFS('Weekly Log'!$F:$F,'Weekly Log'!$A:$A,"&gt;="&amp;$J1007,'Weekly Log'!$A:$A,"&lt;"&amp;$J1007+7)/SUMIFS('Weekly Log'!$E:$E,'Weekly Log'!$A:$A,"&gt;="&amp;$J1007,'Weekly Log'!$A:$A,"&lt;"&amp;$J1007+7),0))</f>
        <v/>
      </c>
      <c r="G1007">
        <f>IF($J1007="","",IFERROR(LOOKUP(2,1/(('Weekly Log'!$A$5:$A$5000&gt;=$J1007)*('Weekly Log'!$A$5:$A$5000&lt;$J1007+7)*('Weekly Log'!$M$5:$M$5000&lt;&gt;"")),'Weekly Log'!$M$5:$M$5000),0))</f>
        <v/>
      </c>
      <c r="J1007">
        <f>IF(COUNT('Weekly Log'!$A$5:$A$5000)=0,"",IF(MIN('Weekly Log'!$A$5:$A$5000)+7*(ROW()-10)&gt;MAX('Weekly Log'!$A$5:$A$5000),"",MIN('Weekly Log'!$A$5:$A$5000)+7*(ROW()-10)))</f>
        <v/>
      </c>
    </row>
    <row r="1008">
      <c r="A1008">
        <f>IF($J1008="","",YEAR($J1008-WEEKDAY($J1008,2)+4)&amp;"-W"&amp;TEXT(WEEKNUM($J1008,21),"00"))</f>
        <v/>
      </c>
      <c r="B1008">
        <f>IF($J1008="","",SUMIFS('Weekly Log'!$C:$C,'Weekly Log'!$A:$A,"&gt;="&amp;$J1008,'Weekly Log'!$A:$A,"&lt;"&amp;$J1008+7))</f>
        <v/>
      </c>
      <c r="C1008">
        <f>IF($J1008="","",IFERROR(COUNTIFS('Weekly Log'!$G:$G,"Y",'Weekly Log'!$A:$A,"&gt;="&amp;$J1008,'Weekly Log'!$A:$A,"&lt;"&amp;$J1008+7)/COUNTIFS('Weekly Log'!$G:$G,"&lt;&gt;",'Weekly Log'!$A:$A,"&gt;="&amp;$J1008,'Weekly Log'!$A:$A,"&lt;"&amp;$J1008+7),0))</f>
        <v/>
      </c>
      <c r="D1008">
        <f>IF($J1008="","",IFERROR(COUNTIFS('Weekly Log'!$H:$H,"Y",'Weekly Log'!$A:$A,"&gt;="&amp;$J1008,'Weekly Log'!$A:$A,"&lt;"&amp;$J1008+7)/COUNTIFS('Weekly Log'!$H:$H,"&lt;&gt;",'Weekly Log'!$A:$A,"&gt;="&amp;$J1008,'Weekly Log'!$A:$A,"&lt;"&amp;$J1008+7),0))</f>
        <v/>
      </c>
      <c r="E1008">
        <f>IF($J1008="","",IFERROR(AVERAGEIFS('Weekly Log'!$F:$F,'Weekly Log'!$A:$A,"&gt;="&amp;$J1008,'Weekly Log'!$A:$A,"&lt;"&amp;$J1008+7),0))</f>
        <v/>
      </c>
      <c r="F1008">
        <f>IF($J1008="","",IFERROR(SUMIFS('Weekly Log'!$F:$F,'Weekly Log'!$A:$A,"&gt;="&amp;$J1008,'Weekly Log'!$A:$A,"&lt;"&amp;$J1008+7)/SUMIFS('Weekly Log'!$E:$E,'Weekly Log'!$A:$A,"&gt;="&amp;$J1008,'Weekly Log'!$A:$A,"&lt;"&amp;$J1008+7),0))</f>
        <v/>
      </c>
      <c r="G1008">
        <f>IF($J1008="","",IFERROR(LOOKUP(2,1/(('Weekly Log'!$A$5:$A$5000&gt;=$J1008)*('Weekly Log'!$A$5:$A$5000&lt;$J1008+7)*('Weekly Log'!$M$5:$M$5000&lt;&gt;"")),'Weekly Log'!$M$5:$M$5000),0))</f>
        <v/>
      </c>
      <c r="J1008">
        <f>IF(COUNT('Weekly Log'!$A$5:$A$5000)=0,"",IF(MIN('Weekly Log'!$A$5:$A$5000)+7*(ROW()-10)&gt;MAX('Weekly Log'!$A$5:$A$5000),"",MIN('Weekly Log'!$A$5:$A$5000)+7*(ROW()-10)))</f>
        <v/>
      </c>
    </row>
    <row r="1009">
      <c r="A1009">
        <f>IF($J1009="","",YEAR($J1009-WEEKDAY($J1009,2)+4)&amp;"-W"&amp;TEXT(WEEKNUM($J1009,21),"00"))</f>
        <v/>
      </c>
      <c r="B1009">
        <f>IF($J1009="","",SUMIFS('Weekly Log'!$C:$C,'Weekly Log'!$A:$A,"&gt;="&amp;$J1009,'Weekly Log'!$A:$A,"&lt;"&amp;$J1009+7))</f>
        <v/>
      </c>
      <c r="C1009">
        <f>IF($J1009="","",IFERROR(COUNTIFS('Weekly Log'!$G:$G,"Y",'Weekly Log'!$A:$A,"&gt;="&amp;$J1009,'Weekly Log'!$A:$A,"&lt;"&amp;$J1009+7)/COUNTIFS('Weekly Log'!$G:$G,"&lt;&gt;",'Weekly Log'!$A:$A,"&gt;="&amp;$J1009,'Weekly Log'!$A:$A,"&lt;"&amp;$J1009+7),0))</f>
        <v/>
      </c>
      <c r="D1009">
        <f>IF($J1009="","",IFERROR(COUNTIFS('Weekly Log'!$H:$H,"Y",'Weekly Log'!$A:$A,"&gt;="&amp;$J1009,'Weekly Log'!$A:$A,"&lt;"&amp;$J1009+7)/COUNTIFS('Weekly Log'!$H:$H,"&lt;&gt;",'Weekly Log'!$A:$A,"&gt;="&amp;$J1009,'Weekly Log'!$A:$A,"&lt;"&amp;$J1009+7),0))</f>
        <v/>
      </c>
      <c r="E1009">
        <f>IF($J1009="","",IFERROR(AVERAGEIFS('Weekly Log'!$F:$F,'Weekly Log'!$A:$A,"&gt;="&amp;$J1009,'Weekly Log'!$A:$A,"&lt;"&amp;$J1009+7),0))</f>
        <v/>
      </c>
      <c r="F1009">
        <f>IF($J1009="","",IFERROR(SUMIFS('Weekly Log'!$F:$F,'Weekly Log'!$A:$A,"&gt;="&amp;$J1009,'Weekly Log'!$A:$A,"&lt;"&amp;$J1009+7)/SUMIFS('Weekly Log'!$E:$E,'Weekly Log'!$A:$A,"&gt;="&amp;$J1009,'Weekly Log'!$A:$A,"&lt;"&amp;$J1009+7),0))</f>
        <v/>
      </c>
      <c r="G1009">
        <f>IF($J1009="","",IFERROR(LOOKUP(2,1/(('Weekly Log'!$A$5:$A$5000&gt;=$J1009)*('Weekly Log'!$A$5:$A$5000&lt;$J1009+7)*('Weekly Log'!$M$5:$M$5000&lt;&gt;"")),'Weekly Log'!$M$5:$M$5000),0))</f>
        <v/>
      </c>
      <c r="J1009">
        <f>IF(COUNT('Weekly Log'!$A$5:$A$5000)=0,"",IF(MIN('Weekly Log'!$A$5:$A$5000)+7*(ROW()-10)&gt;MAX('Weekly Log'!$A$5:$A$5000),"",MIN('Weekly Log'!$A$5:$A$5000)+7*(ROW()-10)))</f>
        <v/>
      </c>
    </row>
    <row r="1010">
      <c r="A1010">
        <f>IF($J1010="","",YEAR($J1010-WEEKDAY($J1010,2)+4)&amp;"-W"&amp;TEXT(WEEKNUM($J1010,21),"00"))</f>
        <v/>
      </c>
      <c r="B1010">
        <f>IF($J1010="","",SUMIFS('Weekly Log'!$C:$C,'Weekly Log'!$A:$A,"&gt;="&amp;$J1010,'Weekly Log'!$A:$A,"&lt;"&amp;$J1010+7))</f>
        <v/>
      </c>
      <c r="C1010">
        <f>IF($J1010="","",IFERROR(COUNTIFS('Weekly Log'!$G:$G,"Y",'Weekly Log'!$A:$A,"&gt;="&amp;$J1010,'Weekly Log'!$A:$A,"&lt;"&amp;$J1010+7)/COUNTIFS('Weekly Log'!$G:$G,"&lt;&gt;",'Weekly Log'!$A:$A,"&gt;="&amp;$J1010,'Weekly Log'!$A:$A,"&lt;"&amp;$J1010+7),0))</f>
        <v/>
      </c>
      <c r="D1010">
        <f>IF($J1010="","",IFERROR(COUNTIFS('Weekly Log'!$H:$H,"Y",'Weekly Log'!$A:$A,"&gt;="&amp;$J1010,'Weekly Log'!$A:$A,"&lt;"&amp;$J1010+7)/COUNTIFS('Weekly Log'!$H:$H,"&lt;&gt;",'Weekly Log'!$A:$A,"&gt;="&amp;$J1010,'Weekly Log'!$A:$A,"&lt;"&amp;$J1010+7),0))</f>
        <v/>
      </c>
      <c r="E1010">
        <f>IF($J1010="","",IFERROR(AVERAGEIFS('Weekly Log'!$F:$F,'Weekly Log'!$A:$A,"&gt;="&amp;$J1010,'Weekly Log'!$A:$A,"&lt;"&amp;$J1010+7),0))</f>
        <v/>
      </c>
      <c r="F1010">
        <f>IF($J1010="","",IFERROR(SUMIFS('Weekly Log'!$F:$F,'Weekly Log'!$A:$A,"&gt;="&amp;$J1010,'Weekly Log'!$A:$A,"&lt;"&amp;$J1010+7)/SUMIFS('Weekly Log'!$E:$E,'Weekly Log'!$A:$A,"&gt;="&amp;$J1010,'Weekly Log'!$A:$A,"&lt;"&amp;$J1010+7),0))</f>
        <v/>
      </c>
      <c r="G1010">
        <f>IF($J1010="","",IFERROR(LOOKUP(2,1/(('Weekly Log'!$A$5:$A$5000&gt;=$J1010)*('Weekly Log'!$A$5:$A$5000&lt;$J1010+7)*('Weekly Log'!$M$5:$M$5000&lt;&gt;"")),'Weekly Log'!$M$5:$M$5000),0))</f>
        <v/>
      </c>
      <c r="J1010">
        <f>IF(COUNT('Weekly Log'!$A$5:$A$5000)=0,"",IF(MIN('Weekly Log'!$A$5:$A$5000)+7*(ROW()-10)&gt;MAX('Weekly Log'!$A$5:$A$5000),"",MIN('Weekly Log'!$A$5:$A$5000)+7*(ROW()-10)))</f>
        <v/>
      </c>
    </row>
    <row r="1011">
      <c r="A1011">
        <f>IF($J1011="","",YEAR($J1011-WEEKDAY($J1011,2)+4)&amp;"-W"&amp;TEXT(WEEKNUM($J1011,21),"00"))</f>
        <v/>
      </c>
      <c r="B1011">
        <f>IF($J1011="","",SUMIFS('Weekly Log'!$C:$C,'Weekly Log'!$A:$A,"&gt;="&amp;$J1011,'Weekly Log'!$A:$A,"&lt;"&amp;$J1011+7))</f>
        <v/>
      </c>
      <c r="C1011">
        <f>IF($J1011="","",IFERROR(COUNTIFS('Weekly Log'!$G:$G,"Y",'Weekly Log'!$A:$A,"&gt;="&amp;$J1011,'Weekly Log'!$A:$A,"&lt;"&amp;$J1011+7)/COUNTIFS('Weekly Log'!$G:$G,"&lt;&gt;",'Weekly Log'!$A:$A,"&gt;="&amp;$J1011,'Weekly Log'!$A:$A,"&lt;"&amp;$J1011+7),0))</f>
        <v/>
      </c>
      <c r="D1011">
        <f>IF($J1011="","",IFERROR(COUNTIFS('Weekly Log'!$H:$H,"Y",'Weekly Log'!$A:$A,"&gt;="&amp;$J1011,'Weekly Log'!$A:$A,"&lt;"&amp;$J1011+7)/COUNTIFS('Weekly Log'!$H:$H,"&lt;&gt;",'Weekly Log'!$A:$A,"&gt;="&amp;$J1011,'Weekly Log'!$A:$A,"&lt;"&amp;$J1011+7),0))</f>
        <v/>
      </c>
      <c r="E1011">
        <f>IF($J1011="","",IFERROR(AVERAGEIFS('Weekly Log'!$F:$F,'Weekly Log'!$A:$A,"&gt;="&amp;$J1011,'Weekly Log'!$A:$A,"&lt;"&amp;$J1011+7),0))</f>
        <v/>
      </c>
      <c r="F1011">
        <f>IF($J1011="","",IFERROR(SUMIFS('Weekly Log'!$F:$F,'Weekly Log'!$A:$A,"&gt;="&amp;$J1011,'Weekly Log'!$A:$A,"&lt;"&amp;$J1011+7)/SUMIFS('Weekly Log'!$E:$E,'Weekly Log'!$A:$A,"&gt;="&amp;$J1011,'Weekly Log'!$A:$A,"&lt;"&amp;$J1011+7),0))</f>
        <v/>
      </c>
      <c r="G1011">
        <f>IF($J1011="","",IFERROR(LOOKUP(2,1/(('Weekly Log'!$A$5:$A$5000&gt;=$J1011)*('Weekly Log'!$A$5:$A$5000&lt;$J1011+7)*('Weekly Log'!$M$5:$M$5000&lt;&gt;"")),'Weekly Log'!$M$5:$M$5000),0))</f>
        <v/>
      </c>
      <c r="J1011">
        <f>IF(COUNT('Weekly Log'!$A$5:$A$5000)=0,"",IF(MIN('Weekly Log'!$A$5:$A$5000)+7*(ROW()-10)&gt;MAX('Weekly Log'!$A$5:$A$5000),"",MIN('Weekly Log'!$A$5:$A$5000)+7*(ROW()-10)))</f>
        <v/>
      </c>
    </row>
    <row r="1012">
      <c r="A1012">
        <f>IF($J1012="","",YEAR($J1012-WEEKDAY($J1012,2)+4)&amp;"-W"&amp;TEXT(WEEKNUM($J1012,21),"00"))</f>
        <v/>
      </c>
      <c r="B1012">
        <f>IF($J1012="","",SUMIFS('Weekly Log'!$C:$C,'Weekly Log'!$A:$A,"&gt;="&amp;$J1012,'Weekly Log'!$A:$A,"&lt;"&amp;$J1012+7))</f>
        <v/>
      </c>
      <c r="C1012">
        <f>IF($J1012="","",IFERROR(COUNTIFS('Weekly Log'!$G:$G,"Y",'Weekly Log'!$A:$A,"&gt;="&amp;$J1012,'Weekly Log'!$A:$A,"&lt;"&amp;$J1012+7)/COUNTIFS('Weekly Log'!$G:$G,"&lt;&gt;",'Weekly Log'!$A:$A,"&gt;="&amp;$J1012,'Weekly Log'!$A:$A,"&lt;"&amp;$J1012+7),0))</f>
        <v/>
      </c>
      <c r="D1012">
        <f>IF($J1012="","",IFERROR(COUNTIFS('Weekly Log'!$H:$H,"Y",'Weekly Log'!$A:$A,"&gt;="&amp;$J1012,'Weekly Log'!$A:$A,"&lt;"&amp;$J1012+7)/COUNTIFS('Weekly Log'!$H:$H,"&lt;&gt;",'Weekly Log'!$A:$A,"&gt;="&amp;$J1012,'Weekly Log'!$A:$A,"&lt;"&amp;$J1012+7),0))</f>
        <v/>
      </c>
      <c r="E1012">
        <f>IF($J1012="","",IFERROR(AVERAGEIFS('Weekly Log'!$F:$F,'Weekly Log'!$A:$A,"&gt;="&amp;$J1012,'Weekly Log'!$A:$A,"&lt;"&amp;$J1012+7),0))</f>
        <v/>
      </c>
      <c r="F1012">
        <f>IF($J1012="","",IFERROR(SUMIFS('Weekly Log'!$F:$F,'Weekly Log'!$A:$A,"&gt;="&amp;$J1012,'Weekly Log'!$A:$A,"&lt;"&amp;$J1012+7)/SUMIFS('Weekly Log'!$E:$E,'Weekly Log'!$A:$A,"&gt;="&amp;$J1012,'Weekly Log'!$A:$A,"&lt;"&amp;$J1012+7),0))</f>
        <v/>
      </c>
      <c r="G1012">
        <f>IF($J1012="","",IFERROR(LOOKUP(2,1/(('Weekly Log'!$A$5:$A$5000&gt;=$J1012)*('Weekly Log'!$A$5:$A$5000&lt;$J1012+7)*('Weekly Log'!$M$5:$M$5000&lt;&gt;"")),'Weekly Log'!$M$5:$M$5000),0))</f>
        <v/>
      </c>
      <c r="J1012">
        <f>IF(COUNT('Weekly Log'!$A$5:$A$5000)=0,"",IF(MIN('Weekly Log'!$A$5:$A$5000)+7*(ROW()-10)&gt;MAX('Weekly Log'!$A$5:$A$5000),"",MIN('Weekly Log'!$A$5:$A$5000)+7*(ROW()-10)))</f>
        <v/>
      </c>
    </row>
    <row r="1013">
      <c r="A1013">
        <f>IF($J1013="","",YEAR($J1013-WEEKDAY($J1013,2)+4)&amp;"-W"&amp;TEXT(WEEKNUM($J1013,21),"00"))</f>
        <v/>
      </c>
      <c r="B1013">
        <f>IF($J1013="","",SUMIFS('Weekly Log'!$C:$C,'Weekly Log'!$A:$A,"&gt;="&amp;$J1013,'Weekly Log'!$A:$A,"&lt;"&amp;$J1013+7))</f>
        <v/>
      </c>
      <c r="C1013">
        <f>IF($J1013="","",IFERROR(COUNTIFS('Weekly Log'!$G:$G,"Y",'Weekly Log'!$A:$A,"&gt;="&amp;$J1013,'Weekly Log'!$A:$A,"&lt;"&amp;$J1013+7)/COUNTIFS('Weekly Log'!$G:$G,"&lt;&gt;",'Weekly Log'!$A:$A,"&gt;="&amp;$J1013,'Weekly Log'!$A:$A,"&lt;"&amp;$J1013+7),0))</f>
        <v/>
      </c>
      <c r="D1013">
        <f>IF($J1013="","",IFERROR(COUNTIFS('Weekly Log'!$H:$H,"Y",'Weekly Log'!$A:$A,"&gt;="&amp;$J1013,'Weekly Log'!$A:$A,"&lt;"&amp;$J1013+7)/COUNTIFS('Weekly Log'!$H:$H,"&lt;&gt;",'Weekly Log'!$A:$A,"&gt;="&amp;$J1013,'Weekly Log'!$A:$A,"&lt;"&amp;$J1013+7),0))</f>
        <v/>
      </c>
      <c r="E1013">
        <f>IF($J1013="","",IFERROR(AVERAGEIFS('Weekly Log'!$F:$F,'Weekly Log'!$A:$A,"&gt;="&amp;$J1013,'Weekly Log'!$A:$A,"&lt;"&amp;$J1013+7),0))</f>
        <v/>
      </c>
      <c r="F1013">
        <f>IF($J1013="","",IFERROR(SUMIFS('Weekly Log'!$F:$F,'Weekly Log'!$A:$A,"&gt;="&amp;$J1013,'Weekly Log'!$A:$A,"&lt;"&amp;$J1013+7)/SUMIFS('Weekly Log'!$E:$E,'Weekly Log'!$A:$A,"&gt;="&amp;$J1013,'Weekly Log'!$A:$A,"&lt;"&amp;$J1013+7),0))</f>
        <v/>
      </c>
      <c r="G1013">
        <f>IF($J1013="","",IFERROR(LOOKUP(2,1/(('Weekly Log'!$A$5:$A$5000&gt;=$J1013)*('Weekly Log'!$A$5:$A$5000&lt;$J1013+7)*('Weekly Log'!$M$5:$M$5000&lt;&gt;"")),'Weekly Log'!$M$5:$M$5000),0))</f>
        <v/>
      </c>
      <c r="J1013">
        <f>IF(COUNT('Weekly Log'!$A$5:$A$5000)=0,"",IF(MIN('Weekly Log'!$A$5:$A$5000)+7*(ROW()-10)&gt;MAX('Weekly Log'!$A$5:$A$5000),"",MIN('Weekly Log'!$A$5:$A$5000)+7*(ROW()-10)))</f>
        <v/>
      </c>
    </row>
    <row r="1014">
      <c r="A1014">
        <f>IF($J1014="","",YEAR($J1014-WEEKDAY($J1014,2)+4)&amp;"-W"&amp;TEXT(WEEKNUM($J1014,21),"00"))</f>
        <v/>
      </c>
      <c r="B1014">
        <f>IF($J1014="","",SUMIFS('Weekly Log'!$C:$C,'Weekly Log'!$A:$A,"&gt;="&amp;$J1014,'Weekly Log'!$A:$A,"&lt;"&amp;$J1014+7))</f>
        <v/>
      </c>
      <c r="C1014">
        <f>IF($J1014="","",IFERROR(COUNTIFS('Weekly Log'!$G:$G,"Y",'Weekly Log'!$A:$A,"&gt;="&amp;$J1014,'Weekly Log'!$A:$A,"&lt;"&amp;$J1014+7)/COUNTIFS('Weekly Log'!$G:$G,"&lt;&gt;",'Weekly Log'!$A:$A,"&gt;="&amp;$J1014,'Weekly Log'!$A:$A,"&lt;"&amp;$J1014+7),0))</f>
        <v/>
      </c>
      <c r="D1014">
        <f>IF($J1014="","",IFERROR(COUNTIFS('Weekly Log'!$H:$H,"Y",'Weekly Log'!$A:$A,"&gt;="&amp;$J1014,'Weekly Log'!$A:$A,"&lt;"&amp;$J1014+7)/COUNTIFS('Weekly Log'!$H:$H,"&lt;&gt;",'Weekly Log'!$A:$A,"&gt;="&amp;$J1014,'Weekly Log'!$A:$A,"&lt;"&amp;$J1014+7),0))</f>
        <v/>
      </c>
      <c r="E1014">
        <f>IF($J1014="","",IFERROR(AVERAGEIFS('Weekly Log'!$F:$F,'Weekly Log'!$A:$A,"&gt;="&amp;$J1014,'Weekly Log'!$A:$A,"&lt;"&amp;$J1014+7),0))</f>
        <v/>
      </c>
      <c r="F1014">
        <f>IF($J1014="","",IFERROR(SUMIFS('Weekly Log'!$F:$F,'Weekly Log'!$A:$A,"&gt;="&amp;$J1014,'Weekly Log'!$A:$A,"&lt;"&amp;$J1014+7)/SUMIFS('Weekly Log'!$E:$E,'Weekly Log'!$A:$A,"&gt;="&amp;$J1014,'Weekly Log'!$A:$A,"&lt;"&amp;$J1014+7),0))</f>
        <v/>
      </c>
      <c r="G1014">
        <f>IF($J1014="","",IFERROR(LOOKUP(2,1/(('Weekly Log'!$A$5:$A$5000&gt;=$J1014)*('Weekly Log'!$A$5:$A$5000&lt;$J1014+7)*('Weekly Log'!$M$5:$M$5000&lt;&gt;"")),'Weekly Log'!$M$5:$M$5000),0))</f>
        <v/>
      </c>
      <c r="J1014">
        <f>IF(COUNT('Weekly Log'!$A$5:$A$5000)=0,"",IF(MIN('Weekly Log'!$A$5:$A$5000)+7*(ROW()-10)&gt;MAX('Weekly Log'!$A$5:$A$5000),"",MIN('Weekly Log'!$A$5:$A$5000)+7*(ROW()-10)))</f>
        <v/>
      </c>
    </row>
    <row r="1015">
      <c r="A1015">
        <f>IF($J1015="","",YEAR($J1015-WEEKDAY($J1015,2)+4)&amp;"-W"&amp;TEXT(WEEKNUM($J1015,21),"00"))</f>
        <v/>
      </c>
      <c r="B1015">
        <f>IF($J1015="","",SUMIFS('Weekly Log'!$C:$C,'Weekly Log'!$A:$A,"&gt;="&amp;$J1015,'Weekly Log'!$A:$A,"&lt;"&amp;$J1015+7))</f>
        <v/>
      </c>
      <c r="C1015">
        <f>IF($J1015="","",IFERROR(COUNTIFS('Weekly Log'!$G:$G,"Y",'Weekly Log'!$A:$A,"&gt;="&amp;$J1015,'Weekly Log'!$A:$A,"&lt;"&amp;$J1015+7)/COUNTIFS('Weekly Log'!$G:$G,"&lt;&gt;",'Weekly Log'!$A:$A,"&gt;="&amp;$J1015,'Weekly Log'!$A:$A,"&lt;"&amp;$J1015+7),0))</f>
        <v/>
      </c>
      <c r="D1015">
        <f>IF($J1015="","",IFERROR(COUNTIFS('Weekly Log'!$H:$H,"Y",'Weekly Log'!$A:$A,"&gt;="&amp;$J1015,'Weekly Log'!$A:$A,"&lt;"&amp;$J1015+7)/COUNTIFS('Weekly Log'!$H:$H,"&lt;&gt;",'Weekly Log'!$A:$A,"&gt;="&amp;$J1015,'Weekly Log'!$A:$A,"&lt;"&amp;$J1015+7),0))</f>
        <v/>
      </c>
      <c r="E1015">
        <f>IF($J1015="","",IFERROR(AVERAGEIFS('Weekly Log'!$F:$F,'Weekly Log'!$A:$A,"&gt;="&amp;$J1015,'Weekly Log'!$A:$A,"&lt;"&amp;$J1015+7),0))</f>
        <v/>
      </c>
      <c r="F1015">
        <f>IF($J1015="","",IFERROR(SUMIFS('Weekly Log'!$F:$F,'Weekly Log'!$A:$A,"&gt;="&amp;$J1015,'Weekly Log'!$A:$A,"&lt;"&amp;$J1015+7)/SUMIFS('Weekly Log'!$E:$E,'Weekly Log'!$A:$A,"&gt;="&amp;$J1015,'Weekly Log'!$A:$A,"&lt;"&amp;$J1015+7),0))</f>
        <v/>
      </c>
      <c r="G1015">
        <f>IF($J1015="","",IFERROR(LOOKUP(2,1/(('Weekly Log'!$A$5:$A$5000&gt;=$J1015)*('Weekly Log'!$A$5:$A$5000&lt;$J1015+7)*('Weekly Log'!$M$5:$M$5000&lt;&gt;"")),'Weekly Log'!$M$5:$M$5000),0))</f>
        <v/>
      </c>
      <c r="J1015">
        <f>IF(COUNT('Weekly Log'!$A$5:$A$5000)=0,"",IF(MIN('Weekly Log'!$A$5:$A$5000)+7*(ROW()-10)&gt;MAX('Weekly Log'!$A$5:$A$5000),"",MIN('Weekly Log'!$A$5:$A$5000)+7*(ROW()-10)))</f>
        <v/>
      </c>
    </row>
    <row r="1016">
      <c r="A1016">
        <f>IF($J1016="","",YEAR($J1016-WEEKDAY($J1016,2)+4)&amp;"-W"&amp;TEXT(WEEKNUM($J1016,21),"00"))</f>
        <v/>
      </c>
      <c r="B1016">
        <f>IF($J1016="","",SUMIFS('Weekly Log'!$C:$C,'Weekly Log'!$A:$A,"&gt;="&amp;$J1016,'Weekly Log'!$A:$A,"&lt;"&amp;$J1016+7))</f>
        <v/>
      </c>
      <c r="C1016">
        <f>IF($J1016="","",IFERROR(COUNTIFS('Weekly Log'!$G:$G,"Y",'Weekly Log'!$A:$A,"&gt;="&amp;$J1016,'Weekly Log'!$A:$A,"&lt;"&amp;$J1016+7)/COUNTIFS('Weekly Log'!$G:$G,"&lt;&gt;",'Weekly Log'!$A:$A,"&gt;="&amp;$J1016,'Weekly Log'!$A:$A,"&lt;"&amp;$J1016+7),0))</f>
        <v/>
      </c>
      <c r="D1016">
        <f>IF($J1016="","",IFERROR(COUNTIFS('Weekly Log'!$H:$H,"Y",'Weekly Log'!$A:$A,"&gt;="&amp;$J1016,'Weekly Log'!$A:$A,"&lt;"&amp;$J1016+7)/COUNTIFS('Weekly Log'!$H:$H,"&lt;&gt;",'Weekly Log'!$A:$A,"&gt;="&amp;$J1016,'Weekly Log'!$A:$A,"&lt;"&amp;$J1016+7),0))</f>
        <v/>
      </c>
      <c r="E1016">
        <f>IF($J1016="","",IFERROR(AVERAGEIFS('Weekly Log'!$F:$F,'Weekly Log'!$A:$A,"&gt;="&amp;$J1016,'Weekly Log'!$A:$A,"&lt;"&amp;$J1016+7),0))</f>
        <v/>
      </c>
      <c r="F1016">
        <f>IF($J1016="","",IFERROR(SUMIFS('Weekly Log'!$F:$F,'Weekly Log'!$A:$A,"&gt;="&amp;$J1016,'Weekly Log'!$A:$A,"&lt;"&amp;$J1016+7)/SUMIFS('Weekly Log'!$E:$E,'Weekly Log'!$A:$A,"&gt;="&amp;$J1016,'Weekly Log'!$A:$A,"&lt;"&amp;$J1016+7),0))</f>
        <v/>
      </c>
      <c r="G1016">
        <f>IF($J1016="","",IFERROR(LOOKUP(2,1/(('Weekly Log'!$A$5:$A$5000&gt;=$J1016)*('Weekly Log'!$A$5:$A$5000&lt;$J1016+7)*('Weekly Log'!$M$5:$M$5000&lt;&gt;"")),'Weekly Log'!$M$5:$M$5000),0))</f>
        <v/>
      </c>
      <c r="J1016">
        <f>IF(COUNT('Weekly Log'!$A$5:$A$5000)=0,"",IF(MIN('Weekly Log'!$A$5:$A$5000)+7*(ROW()-10)&gt;MAX('Weekly Log'!$A$5:$A$5000),"",MIN('Weekly Log'!$A$5:$A$5000)+7*(ROW()-10)))</f>
        <v/>
      </c>
    </row>
    <row r="1017">
      <c r="A1017">
        <f>IF($J1017="","",YEAR($J1017-WEEKDAY($J1017,2)+4)&amp;"-W"&amp;TEXT(WEEKNUM($J1017,21),"00"))</f>
        <v/>
      </c>
      <c r="B1017">
        <f>IF($J1017="","",SUMIFS('Weekly Log'!$C:$C,'Weekly Log'!$A:$A,"&gt;="&amp;$J1017,'Weekly Log'!$A:$A,"&lt;"&amp;$J1017+7))</f>
        <v/>
      </c>
      <c r="C1017">
        <f>IF($J1017="","",IFERROR(COUNTIFS('Weekly Log'!$G:$G,"Y",'Weekly Log'!$A:$A,"&gt;="&amp;$J1017,'Weekly Log'!$A:$A,"&lt;"&amp;$J1017+7)/COUNTIFS('Weekly Log'!$G:$G,"&lt;&gt;",'Weekly Log'!$A:$A,"&gt;="&amp;$J1017,'Weekly Log'!$A:$A,"&lt;"&amp;$J1017+7),0))</f>
        <v/>
      </c>
      <c r="D1017">
        <f>IF($J1017="","",IFERROR(COUNTIFS('Weekly Log'!$H:$H,"Y",'Weekly Log'!$A:$A,"&gt;="&amp;$J1017,'Weekly Log'!$A:$A,"&lt;"&amp;$J1017+7)/COUNTIFS('Weekly Log'!$H:$H,"&lt;&gt;",'Weekly Log'!$A:$A,"&gt;="&amp;$J1017,'Weekly Log'!$A:$A,"&lt;"&amp;$J1017+7),0))</f>
        <v/>
      </c>
      <c r="E1017">
        <f>IF($J1017="","",IFERROR(AVERAGEIFS('Weekly Log'!$F:$F,'Weekly Log'!$A:$A,"&gt;="&amp;$J1017,'Weekly Log'!$A:$A,"&lt;"&amp;$J1017+7),0))</f>
        <v/>
      </c>
      <c r="F1017">
        <f>IF($J1017="","",IFERROR(SUMIFS('Weekly Log'!$F:$F,'Weekly Log'!$A:$A,"&gt;="&amp;$J1017,'Weekly Log'!$A:$A,"&lt;"&amp;$J1017+7)/SUMIFS('Weekly Log'!$E:$E,'Weekly Log'!$A:$A,"&gt;="&amp;$J1017,'Weekly Log'!$A:$A,"&lt;"&amp;$J1017+7),0))</f>
        <v/>
      </c>
      <c r="G1017">
        <f>IF($J1017="","",IFERROR(LOOKUP(2,1/(('Weekly Log'!$A$5:$A$5000&gt;=$J1017)*('Weekly Log'!$A$5:$A$5000&lt;$J1017+7)*('Weekly Log'!$M$5:$M$5000&lt;&gt;"")),'Weekly Log'!$M$5:$M$5000),0))</f>
        <v/>
      </c>
      <c r="J1017">
        <f>IF(COUNT('Weekly Log'!$A$5:$A$5000)=0,"",IF(MIN('Weekly Log'!$A$5:$A$5000)+7*(ROW()-10)&gt;MAX('Weekly Log'!$A$5:$A$5000),"",MIN('Weekly Log'!$A$5:$A$5000)+7*(ROW()-10)))</f>
        <v/>
      </c>
    </row>
    <row r="1018">
      <c r="A1018">
        <f>IF($J1018="","",YEAR($J1018-WEEKDAY($J1018,2)+4)&amp;"-W"&amp;TEXT(WEEKNUM($J1018,21),"00"))</f>
        <v/>
      </c>
      <c r="B1018">
        <f>IF($J1018="","",SUMIFS('Weekly Log'!$C:$C,'Weekly Log'!$A:$A,"&gt;="&amp;$J1018,'Weekly Log'!$A:$A,"&lt;"&amp;$J1018+7))</f>
        <v/>
      </c>
      <c r="C1018">
        <f>IF($J1018="","",IFERROR(COUNTIFS('Weekly Log'!$G:$G,"Y",'Weekly Log'!$A:$A,"&gt;="&amp;$J1018,'Weekly Log'!$A:$A,"&lt;"&amp;$J1018+7)/COUNTIFS('Weekly Log'!$G:$G,"&lt;&gt;",'Weekly Log'!$A:$A,"&gt;="&amp;$J1018,'Weekly Log'!$A:$A,"&lt;"&amp;$J1018+7),0))</f>
        <v/>
      </c>
      <c r="D1018">
        <f>IF($J1018="","",IFERROR(COUNTIFS('Weekly Log'!$H:$H,"Y",'Weekly Log'!$A:$A,"&gt;="&amp;$J1018,'Weekly Log'!$A:$A,"&lt;"&amp;$J1018+7)/COUNTIFS('Weekly Log'!$H:$H,"&lt;&gt;",'Weekly Log'!$A:$A,"&gt;="&amp;$J1018,'Weekly Log'!$A:$A,"&lt;"&amp;$J1018+7),0))</f>
        <v/>
      </c>
      <c r="E1018">
        <f>IF($J1018="","",IFERROR(AVERAGEIFS('Weekly Log'!$F:$F,'Weekly Log'!$A:$A,"&gt;="&amp;$J1018,'Weekly Log'!$A:$A,"&lt;"&amp;$J1018+7),0))</f>
        <v/>
      </c>
      <c r="F1018">
        <f>IF($J1018="","",IFERROR(SUMIFS('Weekly Log'!$F:$F,'Weekly Log'!$A:$A,"&gt;="&amp;$J1018,'Weekly Log'!$A:$A,"&lt;"&amp;$J1018+7)/SUMIFS('Weekly Log'!$E:$E,'Weekly Log'!$A:$A,"&gt;="&amp;$J1018,'Weekly Log'!$A:$A,"&lt;"&amp;$J1018+7),0))</f>
        <v/>
      </c>
      <c r="G1018">
        <f>IF($J1018="","",IFERROR(LOOKUP(2,1/(('Weekly Log'!$A$5:$A$5000&gt;=$J1018)*('Weekly Log'!$A$5:$A$5000&lt;$J1018+7)*('Weekly Log'!$M$5:$M$5000&lt;&gt;"")),'Weekly Log'!$M$5:$M$5000),0))</f>
        <v/>
      </c>
      <c r="J1018">
        <f>IF(COUNT('Weekly Log'!$A$5:$A$5000)=0,"",IF(MIN('Weekly Log'!$A$5:$A$5000)+7*(ROW()-10)&gt;MAX('Weekly Log'!$A$5:$A$5000),"",MIN('Weekly Log'!$A$5:$A$5000)+7*(ROW()-10)))</f>
        <v/>
      </c>
    </row>
    <row r="1019">
      <c r="A1019">
        <f>IF($J1019="","",YEAR($J1019-WEEKDAY($J1019,2)+4)&amp;"-W"&amp;TEXT(WEEKNUM($J1019,21),"00"))</f>
        <v/>
      </c>
      <c r="B1019">
        <f>IF($J1019="","",SUMIFS('Weekly Log'!$C:$C,'Weekly Log'!$A:$A,"&gt;="&amp;$J1019,'Weekly Log'!$A:$A,"&lt;"&amp;$J1019+7))</f>
        <v/>
      </c>
      <c r="C1019">
        <f>IF($J1019="","",IFERROR(COUNTIFS('Weekly Log'!$G:$G,"Y",'Weekly Log'!$A:$A,"&gt;="&amp;$J1019,'Weekly Log'!$A:$A,"&lt;"&amp;$J1019+7)/COUNTIFS('Weekly Log'!$G:$G,"&lt;&gt;",'Weekly Log'!$A:$A,"&gt;="&amp;$J1019,'Weekly Log'!$A:$A,"&lt;"&amp;$J1019+7),0))</f>
        <v/>
      </c>
      <c r="D1019">
        <f>IF($J1019="","",IFERROR(COUNTIFS('Weekly Log'!$H:$H,"Y",'Weekly Log'!$A:$A,"&gt;="&amp;$J1019,'Weekly Log'!$A:$A,"&lt;"&amp;$J1019+7)/COUNTIFS('Weekly Log'!$H:$H,"&lt;&gt;",'Weekly Log'!$A:$A,"&gt;="&amp;$J1019,'Weekly Log'!$A:$A,"&lt;"&amp;$J1019+7),0))</f>
        <v/>
      </c>
      <c r="E1019">
        <f>IF($J1019="","",IFERROR(AVERAGEIFS('Weekly Log'!$F:$F,'Weekly Log'!$A:$A,"&gt;="&amp;$J1019,'Weekly Log'!$A:$A,"&lt;"&amp;$J1019+7),0))</f>
        <v/>
      </c>
      <c r="F1019">
        <f>IF($J1019="","",IFERROR(SUMIFS('Weekly Log'!$F:$F,'Weekly Log'!$A:$A,"&gt;="&amp;$J1019,'Weekly Log'!$A:$A,"&lt;"&amp;$J1019+7)/SUMIFS('Weekly Log'!$E:$E,'Weekly Log'!$A:$A,"&gt;="&amp;$J1019,'Weekly Log'!$A:$A,"&lt;"&amp;$J1019+7),0))</f>
        <v/>
      </c>
      <c r="G1019">
        <f>IF($J1019="","",IFERROR(LOOKUP(2,1/(('Weekly Log'!$A$5:$A$5000&gt;=$J1019)*('Weekly Log'!$A$5:$A$5000&lt;$J1019+7)*('Weekly Log'!$M$5:$M$5000&lt;&gt;"")),'Weekly Log'!$M$5:$M$5000),0))</f>
        <v/>
      </c>
      <c r="J1019">
        <f>IF(COUNT('Weekly Log'!$A$5:$A$5000)=0,"",IF(MIN('Weekly Log'!$A$5:$A$5000)+7*(ROW()-10)&gt;MAX('Weekly Log'!$A$5:$A$5000),"",MIN('Weekly Log'!$A$5:$A$5000)+7*(ROW()-10)))</f>
        <v/>
      </c>
    </row>
    <row r="1020">
      <c r="A1020">
        <f>IF($J1020="","",YEAR($J1020-WEEKDAY($J1020,2)+4)&amp;"-W"&amp;TEXT(WEEKNUM($J1020,21),"00"))</f>
        <v/>
      </c>
      <c r="B1020">
        <f>IF($J1020="","",SUMIFS('Weekly Log'!$C:$C,'Weekly Log'!$A:$A,"&gt;="&amp;$J1020,'Weekly Log'!$A:$A,"&lt;"&amp;$J1020+7))</f>
        <v/>
      </c>
      <c r="C1020">
        <f>IF($J1020="","",IFERROR(COUNTIFS('Weekly Log'!$G:$G,"Y",'Weekly Log'!$A:$A,"&gt;="&amp;$J1020,'Weekly Log'!$A:$A,"&lt;"&amp;$J1020+7)/COUNTIFS('Weekly Log'!$G:$G,"&lt;&gt;",'Weekly Log'!$A:$A,"&gt;="&amp;$J1020,'Weekly Log'!$A:$A,"&lt;"&amp;$J1020+7),0))</f>
        <v/>
      </c>
      <c r="D1020">
        <f>IF($J1020="","",IFERROR(COUNTIFS('Weekly Log'!$H:$H,"Y",'Weekly Log'!$A:$A,"&gt;="&amp;$J1020,'Weekly Log'!$A:$A,"&lt;"&amp;$J1020+7)/COUNTIFS('Weekly Log'!$H:$H,"&lt;&gt;",'Weekly Log'!$A:$A,"&gt;="&amp;$J1020,'Weekly Log'!$A:$A,"&lt;"&amp;$J1020+7),0))</f>
        <v/>
      </c>
      <c r="E1020">
        <f>IF($J1020="","",IFERROR(AVERAGEIFS('Weekly Log'!$F:$F,'Weekly Log'!$A:$A,"&gt;="&amp;$J1020,'Weekly Log'!$A:$A,"&lt;"&amp;$J1020+7),0))</f>
        <v/>
      </c>
      <c r="F1020">
        <f>IF($J1020="","",IFERROR(SUMIFS('Weekly Log'!$F:$F,'Weekly Log'!$A:$A,"&gt;="&amp;$J1020,'Weekly Log'!$A:$A,"&lt;"&amp;$J1020+7)/SUMIFS('Weekly Log'!$E:$E,'Weekly Log'!$A:$A,"&gt;="&amp;$J1020,'Weekly Log'!$A:$A,"&lt;"&amp;$J1020+7),0))</f>
        <v/>
      </c>
      <c r="G1020">
        <f>IF($J1020="","",IFERROR(LOOKUP(2,1/(('Weekly Log'!$A$5:$A$5000&gt;=$J1020)*('Weekly Log'!$A$5:$A$5000&lt;$J1020+7)*('Weekly Log'!$M$5:$M$5000&lt;&gt;"")),'Weekly Log'!$M$5:$M$5000),0))</f>
        <v/>
      </c>
      <c r="J1020">
        <f>IF(COUNT('Weekly Log'!$A$5:$A$5000)=0,"",IF(MIN('Weekly Log'!$A$5:$A$5000)+7*(ROW()-10)&gt;MAX('Weekly Log'!$A$5:$A$5000),"",MIN('Weekly Log'!$A$5:$A$5000)+7*(ROW()-10)))</f>
        <v/>
      </c>
    </row>
    <row r="1021">
      <c r="A1021">
        <f>IF($J1021="","",YEAR($J1021-WEEKDAY($J1021,2)+4)&amp;"-W"&amp;TEXT(WEEKNUM($J1021,21),"00"))</f>
        <v/>
      </c>
      <c r="B1021">
        <f>IF($J1021="","",SUMIFS('Weekly Log'!$C:$C,'Weekly Log'!$A:$A,"&gt;="&amp;$J1021,'Weekly Log'!$A:$A,"&lt;"&amp;$J1021+7))</f>
        <v/>
      </c>
      <c r="C1021">
        <f>IF($J1021="","",IFERROR(COUNTIFS('Weekly Log'!$G:$G,"Y",'Weekly Log'!$A:$A,"&gt;="&amp;$J1021,'Weekly Log'!$A:$A,"&lt;"&amp;$J1021+7)/COUNTIFS('Weekly Log'!$G:$G,"&lt;&gt;",'Weekly Log'!$A:$A,"&gt;="&amp;$J1021,'Weekly Log'!$A:$A,"&lt;"&amp;$J1021+7),0))</f>
        <v/>
      </c>
      <c r="D1021">
        <f>IF($J1021="","",IFERROR(COUNTIFS('Weekly Log'!$H:$H,"Y",'Weekly Log'!$A:$A,"&gt;="&amp;$J1021,'Weekly Log'!$A:$A,"&lt;"&amp;$J1021+7)/COUNTIFS('Weekly Log'!$H:$H,"&lt;&gt;",'Weekly Log'!$A:$A,"&gt;="&amp;$J1021,'Weekly Log'!$A:$A,"&lt;"&amp;$J1021+7),0))</f>
        <v/>
      </c>
      <c r="E1021">
        <f>IF($J1021="","",IFERROR(AVERAGEIFS('Weekly Log'!$F:$F,'Weekly Log'!$A:$A,"&gt;="&amp;$J1021,'Weekly Log'!$A:$A,"&lt;"&amp;$J1021+7),0))</f>
        <v/>
      </c>
      <c r="F1021">
        <f>IF($J1021="","",IFERROR(SUMIFS('Weekly Log'!$F:$F,'Weekly Log'!$A:$A,"&gt;="&amp;$J1021,'Weekly Log'!$A:$A,"&lt;"&amp;$J1021+7)/SUMIFS('Weekly Log'!$E:$E,'Weekly Log'!$A:$A,"&gt;="&amp;$J1021,'Weekly Log'!$A:$A,"&lt;"&amp;$J1021+7),0))</f>
        <v/>
      </c>
      <c r="G1021">
        <f>IF($J1021="","",IFERROR(LOOKUP(2,1/(('Weekly Log'!$A$5:$A$5000&gt;=$J1021)*('Weekly Log'!$A$5:$A$5000&lt;$J1021+7)*('Weekly Log'!$M$5:$M$5000&lt;&gt;"")),'Weekly Log'!$M$5:$M$5000),0))</f>
        <v/>
      </c>
      <c r="J1021">
        <f>IF(COUNT('Weekly Log'!$A$5:$A$5000)=0,"",IF(MIN('Weekly Log'!$A$5:$A$5000)+7*(ROW()-10)&gt;MAX('Weekly Log'!$A$5:$A$5000),"",MIN('Weekly Log'!$A$5:$A$5000)+7*(ROW()-10)))</f>
        <v/>
      </c>
    </row>
    <row r="1022">
      <c r="A1022">
        <f>IF($J1022="","",YEAR($J1022-WEEKDAY($J1022,2)+4)&amp;"-W"&amp;TEXT(WEEKNUM($J1022,21),"00"))</f>
        <v/>
      </c>
      <c r="B1022">
        <f>IF($J1022="","",SUMIFS('Weekly Log'!$C:$C,'Weekly Log'!$A:$A,"&gt;="&amp;$J1022,'Weekly Log'!$A:$A,"&lt;"&amp;$J1022+7))</f>
        <v/>
      </c>
      <c r="C1022">
        <f>IF($J1022="","",IFERROR(COUNTIFS('Weekly Log'!$G:$G,"Y",'Weekly Log'!$A:$A,"&gt;="&amp;$J1022,'Weekly Log'!$A:$A,"&lt;"&amp;$J1022+7)/COUNTIFS('Weekly Log'!$G:$G,"&lt;&gt;",'Weekly Log'!$A:$A,"&gt;="&amp;$J1022,'Weekly Log'!$A:$A,"&lt;"&amp;$J1022+7),0))</f>
        <v/>
      </c>
      <c r="D1022">
        <f>IF($J1022="","",IFERROR(COUNTIFS('Weekly Log'!$H:$H,"Y",'Weekly Log'!$A:$A,"&gt;="&amp;$J1022,'Weekly Log'!$A:$A,"&lt;"&amp;$J1022+7)/COUNTIFS('Weekly Log'!$H:$H,"&lt;&gt;",'Weekly Log'!$A:$A,"&gt;="&amp;$J1022,'Weekly Log'!$A:$A,"&lt;"&amp;$J1022+7),0))</f>
        <v/>
      </c>
      <c r="E1022">
        <f>IF($J1022="","",IFERROR(AVERAGEIFS('Weekly Log'!$F:$F,'Weekly Log'!$A:$A,"&gt;="&amp;$J1022,'Weekly Log'!$A:$A,"&lt;"&amp;$J1022+7),0))</f>
        <v/>
      </c>
      <c r="F1022">
        <f>IF($J1022="","",IFERROR(SUMIFS('Weekly Log'!$F:$F,'Weekly Log'!$A:$A,"&gt;="&amp;$J1022,'Weekly Log'!$A:$A,"&lt;"&amp;$J1022+7)/SUMIFS('Weekly Log'!$E:$E,'Weekly Log'!$A:$A,"&gt;="&amp;$J1022,'Weekly Log'!$A:$A,"&lt;"&amp;$J1022+7),0))</f>
        <v/>
      </c>
      <c r="G1022">
        <f>IF($J1022="","",IFERROR(LOOKUP(2,1/(('Weekly Log'!$A$5:$A$5000&gt;=$J1022)*('Weekly Log'!$A$5:$A$5000&lt;$J1022+7)*('Weekly Log'!$M$5:$M$5000&lt;&gt;"")),'Weekly Log'!$M$5:$M$5000),0))</f>
        <v/>
      </c>
      <c r="J1022">
        <f>IF(COUNT('Weekly Log'!$A$5:$A$5000)=0,"",IF(MIN('Weekly Log'!$A$5:$A$5000)+7*(ROW()-10)&gt;MAX('Weekly Log'!$A$5:$A$5000),"",MIN('Weekly Log'!$A$5:$A$5000)+7*(ROW()-10)))</f>
        <v/>
      </c>
    </row>
    <row r="1023">
      <c r="A1023">
        <f>IF($J1023="","",YEAR($J1023-WEEKDAY($J1023,2)+4)&amp;"-W"&amp;TEXT(WEEKNUM($J1023,21),"00"))</f>
        <v/>
      </c>
      <c r="B1023">
        <f>IF($J1023="","",SUMIFS('Weekly Log'!$C:$C,'Weekly Log'!$A:$A,"&gt;="&amp;$J1023,'Weekly Log'!$A:$A,"&lt;"&amp;$J1023+7))</f>
        <v/>
      </c>
      <c r="C1023">
        <f>IF($J1023="","",IFERROR(COUNTIFS('Weekly Log'!$G:$G,"Y",'Weekly Log'!$A:$A,"&gt;="&amp;$J1023,'Weekly Log'!$A:$A,"&lt;"&amp;$J1023+7)/COUNTIFS('Weekly Log'!$G:$G,"&lt;&gt;",'Weekly Log'!$A:$A,"&gt;="&amp;$J1023,'Weekly Log'!$A:$A,"&lt;"&amp;$J1023+7),0))</f>
        <v/>
      </c>
      <c r="D1023">
        <f>IF($J1023="","",IFERROR(COUNTIFS('Weekly Log'!$H:$H,"Y",'Weekly Log'!$A:$A,"&gt;="&amp;$J1023,'Weekly Log'!$A:$A,"&lt;"&amp;$J1023+7)/COUNTIFS('Weekly Log'!$H:$H,"&lt;&gt;",'Weekly Log'!$A:$A,"&gt;="&amp;$J1023,'Weekly Log'!$A:$A,"&lt;"&amp;$J1023+7),0))</f>
        <v/>
      </c>
      <c r="E1023">
        <f>IF($J1023="","",IFERROR(AVERAGEIFS('Weekly Log'!$F:$F,'Weekly Log'!$A:$A,"&gt;="&amp;$J1023,'Weekly Log'!$A:$A,"&lt;"&amp;$J1023+7),0))</f>
        <v/>
      </c>
      <c r="F1023">
        <f>IF($J1023="","",IFERROR(SUMIFS('Weekly Log'!$F:$F,'Weekly Log'!$A:$A,"&gt;="&amp;$J1023,'Weekly Log'!$A:$A,"&lt;"&amp;$J1023+7)/SUMIFS('Weekly Log'!$E:$E,'Weekly Log'!$A:$A,"&gt;="&amp;$J1023,'Weekly Log'!$A:$A,"&lt;"&amp;$J1023+7),0))</f>
        <v/>
      </c>
      <c r="G1023">
        <f>IF($J1023="","",IFERROR(LOOKUP(2,1/(('Weekly Log'!$A$5:$A$5000&gt;=$J1023)*('Weekly Log'!$A$5:$A$5000&lt;$J1023+7)*('Weekly Log'!$M$5:$M$5000&lt;&gt;"")),'Weekly Log'!$M$5:$M$5000),0))</f>
        <v/>
      </c>
      <c r="J1023">
        <f>IF(COUNT('Weekly Log'!$A$5:$A$5000)=0,"",IF(MIN('Weekly Log'!$A$5:$A$5000)+7*(ROW()-10)&gt;MAX('Weekly Log'!$A$5:$A$5000),"",MIN('Weekly Log'!$A$5:$A$5000)+7*(ROW()-10)))</f>
        <v/>
      </c>
    </row>
    <row r="1024">
      <c r="A1024">
        <f>IF($J1024="","",YEAR($J1024-WEEKDAY($J1024,2)+4)&amp;"-W"&amp;TEXT(WEEKNUM($J1024,21),"00"))</f>
        <v/>
      </c>
      <c r="B1024">
        <f>IF($J1024="","",SUMIFS('Weekly Log'!$C:$C,'Weekly Log'!$A:$A,"&gt;="&amp;$J1024,'Weekly Log'!$A:$A,"&lt;"&amp;$J1024+7))</f>
        <v/>
      </c>
      <c r="C1024">
        <f>IF($J1024="","",IFERROR(COUNTIFS('Weekly Log'!$G:$G,"Y",'Weekly Log'!$A:$A,"&gt;="&amp;$J1024,'Weekly Log'!$A:$A,"&lt;"&amp;$J1024+7)/COUNTIFS('Weekly Log'!$G:$G,"&lt;&gt;",'Weekly Log'!$A:$A,"&gt;="&amp;$J1024,'Weekly Log'!$A:$A,"&lt;"&amp;$J1024+7),0))</f>
        <v/>
      </c>
      <c r="D1024">
        <f>IF($J1024="","",IFERROR(COUNTIFS('Weekly Log'!$H:$H,"Y",'Weekly Log'!$A:$A,"&gt;="&amp;$J1024,'Weekly Log'!$A:$A,"&lt;"&amp;$J1024+7)/COUNTIFS('Weekly Log'!$H:$H,"&lt;&gt;",'Weekly Log'!$A:$A,"&gt;="&amp;$J1024,'Weekly Log'!$A:$A,"&lt;"&amp;$J1024+7),0))</f>
        <v/>
      </c>
      <c r="E1024">
        <f>IF($J1024="","",IFERROR(AVERAGEIFS('Weekly Log'!$F:$F,'Weekly Log'!$A:$A,"&gt;="&amp;$J1024,'Weekly Log'!$A:$A,"&lt;"&amp;$J1024+7),0))</f>
        <v/>
      </c>
      <c r="F1024">
        <f>IF($J1024="","",IFERROR(SUMIFS('Weekly Log'!$F:$F,'Weekly Log'!$A:$A,"&gt;="&amp;$J1024,'Weekly Log'!$A:$A,"&lt;"&amp;$J1024+7)/SUMIFS('Weekly Log'!$E:$E,'Weekly Log'!$A:$A,"&gt;="&amp;$J1024,'Weekly Log'!$A:$A,"&lt;"&amp;$J1024+7),0))</f>
        <v/>
      </c>
      <c r="G1024">
        <f>IF($J1024="","",IFERROR(LOOKUP(2,1/(('Weekly Log'!$A$5:$A$5000&gt;=$J1024)*('Weekly Log'!$A$5:$A$5000&lt;$J1024+7)*('Weekly Log'!$M$5:$M$5000&lt;&gt;"")),'Weekly Log'!$M$5:$M$5000),0))</f>
        <v/>
      </c>
      <c r="J1024">
        <f>IF(COUNT('Weekly Log'!$A$5:$A$5000)=0,"",IF(MIN('Weekly Log'!$A$5:$A$5000)+7*(ROW()-10)&gt;MAX('Weekly Log'!$A$5:$A$5000),"",MIN('Weekly Log'!$A$5:$A$5000)+7*(ROW()-10)))</f>
        <v/>
      </c>
    </row>
    <row r="1025">
      <c r="A1025">
        <f>IF($J1025="","",YEAR($J1025-WEEKDAY($J1025,2)+4)&amp;"-W"&amp;TEXT(WEEKNUM($J1025,21),"00"))</f>
        <v/>
      </c>
      <c r="B1025">
        <f>IF($J1025="","",SUMIFS('Weekly Log'!$C:$C,'Weekly Log'!$A:$A,"&gt;="&amp;$J1025,'Weekly Log'!$A:$A,"&lt;"&amp;$J1025+7))</f>
        <v/>
      </c>
      <c r="C1025">
        <f>IF($J1025="","",IFERROR(COUNTIFS('Weekly Log'!$G:$G,"Y",'Weekly Log'!$A:$A,"&gt;="&amp;$J1025,'Weekly Log'!$A:$A,"&lt;"&amp;$J1025+7)/COUNTIFS('Weekly Log'!$G:$G,"&lt;&gt;",'Weekly Log'!$A:$A,"&gt;="&amp;$J1025,'Weekly Log'!$A:$A,"&lt;"&amp;$J1025+7),0))</f>
        <v/>
      </c>
      <c r="D1025">
        <f>IF($J1025="","",IFERROR(COUNTIFS('Weekly Log'!$H:$H,"Y",'Weekly Log'!$A:$A,"&gt;="&amp;$J1025,'Weekly Log'!$A:$A,"&lt;"&amp;$J1025+7)/COUNTIFS('Weekly Log'!$H:$H,"&lt;&gt;",'Weekly Log'!$A:$A,"&gt;="&amp;$J1025,'Weekly Log'!$A:$A,"&lt;"&amp;$J1025+7),0))</f>
        <v/>
      </c>
      <c r="E1025">
        <f>IF($J1025="","",IFERROR(AVERAGEIFS('Weekly Log'!$F:$F,'Weekly Log'!$A:$A,"&gt;="&amp;$J1025,'Weekly Log'!$A:$A,"&lt;"&amp;$J1025+7),0))</f>
        <v/>
      </c>
      <c r="F1025">
        <f>IF($J1025="","",IFERROR(SUMIFS('Weekly Log'!$F:$F,'Weekly Log'!$A:$A,"&gt;="&amp;$J1025,'Weekly Log'!$A:$A,"&lt;"&amp;$J1025+7)/SUMIFS('Weekly Log'!$E:$E,'Weekly Log'!$A:$A,"&gt;="&amp;$J1025,'Weekly Log'!$A:$A,"&lt;"&amp;$J1025+7),0))</f>
        <v/>
      </c>
      <c r="G1025">
        <f>IF($J1025="","",IFERROR(LOOKUP(2,1/(('Weekly Log'!$A$5:$A$5000&gt;=$J1025)*('Weekly Log'!$A$5:$A$5000&lt;$J1025+7)*('Weekly Log'!$M$5:$M$5000&lt;&gt;"")),'Weekly Log'!$M$5:$M$5000),0))</f>
        <v/>
      </c>
      <c r="J1025">
        <f>IF(COUNT('Weekly Log'!$A$5:$A$5000)=0,"",IF(MIN('Weekly Log'!$A$5:$A$5000)+7*(ROW()-10)&gt;MAX('Weekly Log'!$A$5:$A$5000),"",MIN('Weekly Log'!$A$5:$A$5000)+7*(ROW()-10)))</f>
        <v/>
      </c>
    </row>
    <row r="1026">
      <c r="A1026">
        <f>IF($J1026="","",YEAR($J1026-WEEKDAY($J1026,2)+4)&amp;"-W"&amp;TEXT(WEEKNUM($J1026,21),"00"))</f>
        <v/>
      </c>
      <c r="B1026">
        <f>IF($J1026="","",SUMIFS('Weekly Log'!$C:$C,'Weekly Log'!$A:$A,"&gt;="&amp;$J1026,'Weekly Log'!$A:$A,"&lt;"&amp;$J1026+7))</f>
        <v/>
      </c>
      <c r="C1026">
        <f>IF($J1026="","",IFERROR(COUNTIFS('Weekly Log'!$G:$G,"Y",'Weekly Log'!$A:$A,"&gt;="&amp;$J1026,'Weekly Log'!$A:$A,"&lt;"&amp;$J1026+7)/COUNTIFS('Weekly Log'!$G:$G,"&lt;&gt;",'Weekly Log'!$A:$A,"&gt;="&amp;$J1026,'Weekly Log'!$A:$A,"&lt;"&amp;$J1026+7),0))</f>
        <v/>
      </c>
      <c r="D1026">
        <f>IF($J1026="","",IFERROR(COUNTIFS('Weekly Log'!$H:$H,"Y",'Weekly Log'!$A:$A,"&gt;="&amp;$J1026,'Weekly Log'!$A:$A,"&lt;"&amp;$J1026+7)/COUNTIFS('Weekly Log'!$H:$H,"&lt;&gt;",'Weekly Log'!$A:$A,"&gt;="&amp;$J1026,'Weekly Log'!$A:$A,"&lt;"&amp;$J1026+7),0))</f>
        <v/>
      </c>
      <c r="E1026">
        <f>IF($J1026="","",IFERROR(AVERAGEIFS('Weekly Log'!$F:$F,'Weekly Log'!$A:$A,"&gt;="&amp;$J1026,'Weekly Log'!$A:$A,"&lt;"&amp;$J1026+7),0))</f>
        <v/>
      </c>
      <c r="F1026">
        <f>IF($J1026="","",IFERROR(SUMIFS('Weekly Log'!$F:$F,'Weekly Log'!$A:$A,"&gt;="&amp;$J1026,'Weekly Log'!$A:$A,"&lt;"&amp;$J1026+7)/SUMIFS('Weekly Log'!$E:$E,'Weekly Log'!$A:$A,"&gt;="&amp;$J1026,'Weekly Log'!$A:$A,"&lt;"&amp;$J1026+7),0))</f>
        <v/>
      </c>
      <c r="G1026">
        <f>IF($J1026="","",IFERROR(LOOKUP(2,1/(('Weekly Log'!$A$5:$A$5000&gt;=$J1026)*('Weekly Log'!$A$5:$A$5000&lt;$J1026+7)*('Weekly Log'!$M$5:$M$5000&lt;&gt;"")),'Weekly Log'!$M$5:$M$5000),0))</f>
        <v/>
      </c>
      <c r="J1026">
        <f>IF(COUNT('Weekly Log'!$A$5:$A$5000)=0,"",IF(MIN('Weekly Log'!$A$5:$A$5000)+7*(ROW()-10)&gt;MAX('Weekly Log'!$A$5:$A$5000),"",MIN('Weekly Log'!$A$5:$A$5000)+7*(ROW()-10)))</f>
        <v/>
      </c>
    </row>
    <row r="1027">
      <c r="A1027">
        <f>IF($J1027="","",YEAR($J1027-WEEKDAY($J1027,2)+4)&amp;"-W"&amp;TEXT(WEEKNUM($J1027,21),"00"))</f>
        <v/>
      </c>
      <c r="B1027">
        <f>IF($J1027="","",SUMIFS('Weekly Log'!$C:$C,'Weekly Log'!$A:$A,"&gt;="&amp;$J1027,'Weekly Log'!$A:$A,"&lt;"&amp;$J1027+7))</f>
        <v/>
      </c>
      <c r="C1027">
        <f>IF($J1027="","",IFERROR(COUNTIFS('Weekly Log'!$G:$G,"Y",'Weekly Log'!$A:$A,"&gt;="&amp;$J1027,'Weekly Log'!$A:$A,"&lt;"&amp;$J1027+7)/COUNTIFS('Weekly Log'!$G:$G,"&lt;&gt;",'Weekly Log'!$A:$A,"&gt;="&amp;$J1027,'Weekly Log'!$A:$A,"&lt;"&amp;$J1027+7),0))</f>
        <v/>
      </c>
      <c r="D1027">
        <f>IF($J1027="","",IFERROR(COUNTIFS('Weekly Log'!$H:$H,"Y",'Weekly Log'!$A:$A,"&gt;="&amp;$J1027,'Weekly Log'!$A:$A,"&lt;"&amp;$J1027+7)/COUNTIFS('Weekly Log'!$H:$H,"&lt;&gt;",'Weekly Log'!$A:$A,"&gt;="&amp;$J1027,'Weekly Log'!$A:$A,"&lt;"&amp;$J1027+7),0))</f>
        <v/>
      </c>
      <c r="E1027">
        <f>IF($J1027="","",IFERROR(AVERAGEIFS('Weekly Log'!$F:$F,'Weekly Log'!$A:$A,"&gt;="&amp;$J1027,'Weekly Log'!$A:$A,"&lt;"&amp;$J1027+7),0))</f>
        <v/>
      </c>
      <c r="F1027">
        <f>IF($J1027="","",IFERROR(SUMIFS('Weekly Log'!$F:$F,'Weekly Log'!$A:$A,"&gt;="&amp;$J1027,'Weekly Log'!$A:$A,"&lt;"&amp;$J1027+7)/SUMIFS('Weekly Log'!$E:$E,'Weekly Log'!$A:$A,"&gt;="&amp;$J1027,'Weekly Log'!$A:$A,"&lt;"&amp;$J1027+7),0))</f>
        <v/>
      </c>
      <c r="G1027">
        <f>IF($J1027="","",IFERROR(LOOKUP(2,1/(('Weekly Log'!$A$5:$A$5000&gt;=$J1027)*('Weekly Log'!$A$5:$A$5000&lt;$J1027+7)*('Weekly Log'!$M$5:$M$5000&lt;&gt;"")),'Weekly Log'!$M$5:$M$5000),0))</f>
        <v/>
      </c>
      <c r="J1027">
        <f>IF(COUNT('Weekly Log'!$A$5:$A$5000)=0,"",IF(MIN('Weekly Log'!$A$5:$A$5000)+7*(ROW()-10)&gt;MAX('Weekly Log'!$A$5:$A$5000),"",MIN('Weekly Log'!$A$5:$A$5000)+7*(ROW()-10)))</f>
        <v/>
      </c>
    </row>
    <row r="1028">
      <c r="A1028">
        <f>IF($J1028="","",YEAR($J1028-WEEKDAY($J1028,2)+4)&amp;"-W"&amp;TEXT(WEEKNUM($J1028,21),"00"))</f>
        <v/>
      </c>
      <c r="B1028">
        <f>IF($J1028="","",SUMIFS('Weekly Log'!$C:$C,'Weekly Log'!$A:$A,"&gt;="&amp;$J1028,'Weekly Log'!$A:$A,"&lt;"&amp;$J1028+7))</f>
        <v/>
      </c>
      <c r="C1028">
        <f>IF($J1028="","",IFERROR(COUNTIFS('Weekly Log'!$G:$G,"Y",'Weekly Log'!$A:$A,"&gt;="&amp;$J1028,'Weekly Log'!$A:$A,"&lt;"&amp;$J1028+7)/COUNTIFS('Weekly Log'!$G:$G,"&lt;&gt;",'Weekly Log'!$A:$A,"&gt;="&amp;$J1028,'Weekly Log'!$A:$A,"&lt;"&amp;$J1028+7),0))</f>
        <v/>
      </c>
      <c r="D1028">
        <f>IF($J1028="","",IFERROR(COUNTIFS('Weekly Log'!$H:$H,"Y",'Weekly Log'!$A:$A,"&gt;="&amp;$J1028,'Weekly Log'!$A:$A,"&lt;"&amp;$J1028+7)/COUNTIFS('Weekly Log'!$H:$H,"&lt;&gt;",'Weekly Log'!$A:$A,"&gt;="&amp;$J1028,'Weekly Log'!$A:$A,"&lt;"&amp;$J1028+7),0))</f>
        <v/>
      </c>
      <c r="E1028">
        <f>IF($J1028="","",IFERROR(AVERAGEIFS('Weekly Log'!$F:$F,'Weekly Log'!$A:$A,"&gt;="&amp;$J1028,'Weekly Log'!$A:$A,"&lt;"&amp;$J1028+7),0))</f>
        <v/>
      </c>
      <c r="F1028">
        <f>IF($J1028="","",IFERROR(SUMIFS('Weekly Log'!$F:$F,'Weekly Log'!$A:$A,"&gt;="&amp;$J1028,'Weekly Log'!$A:$A,"&lt;"&amp;$J1028+7)/SUMIFS('Weekly Log'!$E:$E,'Weekly Log'!$A:$A,"&gt;="&amp;$J1028,'Weekly Log'!$A:$A,"&lt;"&amp;$J1028+7),0))</f>
        <v/>
      </c>
      <c r="G1028">
        <f>IF($J1028="","",IFERROR(LOOKUP(2,1/(('Weekly Log'!$A$5:$A$5000&gt;=$J1028)*('Weekly Log'!$A$5:$A$5000&lt;$J1028+7)*('Weekly Log'!$M$5:$M$5000&lt;&gt;"")),'Weekly Log'!$M$5:$M$5000),0))</f>
        <v/>
      </c>
      <c r="J1028">
        <f>IF(COUNT('Weekly Log'!$A$5:$A$5000)=0,"",IF(MIN('Weekly Log'!$A$5:$A$5000)+7*(ROW()-10)&gt;MAX('Weekly Log'!$A$5:$A$5000),"",MIN('Weekly Log'!$A$5:$A$5000)+7*(ROW()-10)))</f>
        <v/>
      </c>
    </row>
    <row r="1029">
      <c r="A1029">
        <f>IF($J1029="","",YEAR($J1029-WEEKDAY($J1029,2)+4)&amp;"-W"&amp;TEXT(WEEKNUM($J1029,21),"00"))</f>
        <v/>
      </c>
      <c r="B1029">
        <f>IF($J1029="","",SUMIFS('Weekly Log'!$C:$C,'Weekly Log'!$A:$A,"&gt;="&amp;$J1029,'Weekly Log'!$A:$A,"&lt;"&amp;$J1029+7))</f>
        <v/>
      </c>
      <c r="C1029">
        <f>IF($J1029="","",IFERROR(COUNTIFS('Weekly Log'!$G:$G,"Y",'Weekly Log'!$A:$A,"&gt;="&amp;$J1029,'Weekly Log'!$A:$A,"&lt;"&amp;$J1029+7)/COUNTIFS('Weekly Log'!$G:$G,"&lt;&gt;",'Weekly Log'!$A:$A,"&gt;="&amp;$J1029,'Weekly Log'!$A:$A,"&lt;"&amp;$J1029+7),0))</f>
        <v/>
      </c>
      <c r="D1029">
        <f>IF($J1029="","",IFERROR(COUNTIFS('Weekly Log'!$H:$H,"Y",'Weekly Log'!$A:$A,"&gt;="&amp;$J1029,'Weekly Log'!$A:$A,"&lt;"&amp;$J1029+7)/COUNTIFS('Weekly Log'!$H:$H,"&lt;&gt;",'Weekly Log'!$A:$A,"&gt;="&amp;$J1029,'Weekly Log'!$A:$A,"&lt;"&amp;$J1029+7),0))</f>
        <v/>
      </c>
      <c r="E1029">
        <f>IF($J1029="","",IFERROR(AVERAGEIFS('Weekly Log'!$F:$F,'Weekly Log'!$A:$A,"&gt;="&amp;$J1029,'Weekly Log'!$A:$A,"&lt;"&amp;$J1029+7),0))</f>
        <v/>
      </c>
      <c r="F1029">
        <f>IF($J1029="","",IFERROR(SUMIFS('Weekly Log'!$F:$F,'Weekly Log'!$A:$A,"&gt;="&amp;$J1029,'Weekly Log'!$A:$A,"&lt;"&amp;$J1029+7)/SUMIFS('Weekly Log'!$E:$E,'Weekly Log'!$A:$A,"&gt;="&amp;$J1029,'Weekly Log'!$A:$A,"&lt;"&amp;$J1029+7),0))</f>
        <v/>
      </c>
      <c r="G1029">
        <f>IF($J1029="","",IFERROR(LOOKUP(2,1/(('Weekly Log'!$A$5:$A$5000&gt;=$J1029)*('Weekly Log'!$A$5:$A$5000&lt;$J1029+7)*('Weekly Log'!$M$5:$M$5000&lt;&gt;"")),'Weekly Log'!$M$5:$M$5000),0))</f>
        <v/>
      </c>
      <c r="J1029">
        <f>IF(COUNT('Weekly Log'!$A$5:$A$5000)=0,"",IF(MIN('Weekly Log'!$A$5:$A$5000)+7*(ROW()-10)&gt;MAX('Weekly Log'!$A$5:$A$5000),"",MIN('Weekly Log'!$A$5:$A$5000)+7*(ROW()-10)))</f>
        <v/>
      </c>
    </row>
    <row r="1030">
      <c r="A1030">
        <f>IF($J1030="","",YEAR($J1030-WEEKDAY($J1030,2)+4)&amp;"-W"&amp;TEXT(WEEKNUM($J1030,21),"00"))</f>
        <v/>
      </c>
      <c r="B1030">
        <f>IF($J1030="","",SUMIFS('Weekly Log'!$C:$C,'Weekly Log'!$A:$A,"&gt;="&amp;$J1030,'Weekly Log'!$A:$A,"&lt;"&amp;$J1030+7))</f>
        <v/>
      </c>
      <c r="C1030">
        <f>IF($J1030="","",IFERROR(COUNTIFS('Weekly Log'!$G:$G,"Y",'Weekly Log'!$A:$A,"&gt;="&amp;$J1030,'Weekly Log'!$A:$A,"&lt;"&amp;$J1030+7)/COUNTIFS('Weekly Log'!$G:$G,"&lt;&gt;",'Weekly Log'!$A:$A,"&gt;="&amp;$J1030,'Weekly Log'!$A:$A,"&lt;"&amp;$J1030+7),0))</f>
        <v/>
      </c>
      <c r="D1030">
        <f>IF($J1030="","",IFERROR(COUNTIFS('Weekly Log'!$H:$H,"Y",'Weekly Log'!$A:$A,"&gt;="&amp;$J1030,'Weekly Log'!$A:$A,"&lt;"&amp;$J1030+7)/COUNTIFS('Weekly Log'!$H:$H,"&lt;&gt;",'Weekly Log'!$A:$A,"&gt;="&amp;$J1030,'Weekly Log'!$A:$A,"&lt;"&amp;$J1030+7),0))</f>
        <v/>
      </c>
      <c r="E1030">
        <f>IF($J1030="","",IFERROR(AVERAGEIFS('Weekly Log'!$F:$F,'Weekly Log'!$A:$A,"&gt;="&amp;$J1030,'Weekly Log'!$A:$A,"&lt;"&amp;$J1030+7),0))</f>
        <v/>
      </c>
      <c r="F1030">
        <f>IF($J1030="","",IFERROR(SUMIFS('Weekly Log'!$F:$F,'Weekly Log'!$A:$A,"&gt;="&amp;$J1030,'Weekly Log'!$A:$A,"&lt;"&amp;$J1030+7)/SUMIFS('Weekly Log'!$E:$E,'Weekly Log'!$A:$A,"&gt;="&amp;$J1030,'Weekly Log'!$A:$A,"&lt;"&amp;$J1030+7),0))</f>
        <v/>
      </c>
      <c r="G1030">
        <f>IF($J1030="","",IFERROR(LOOKUP(2,1/(('Weekly Log'!$A$5:$A$5000&gt;=$J1030)*('Weekly Log'!$A$5:$A$5000&lt;$J1030+7)*('Weekly Log'!$M$5:$M$5000&lt;&gt;"")),'Weekly Log'!$M$5:$M$5000),0))</f>
        <v/>
      </c>
      <c r="J1030">
        <f>IF(COUNT('Weekly Log'!$A$5:$A$5000)=0,"",IF(MIN('Weekly Log'!$A$5:$A$5000)+7*(ROW()-10)&gt;MAX('Weekly Log'!$A$5:$A$5000),"",MIN('Weekly Log'!$A$5:$A$5000)+7*(ROW()-10)))</f>
        <v/>
      </c>
    </row>
    <row r="1031">
      <c r="A1031">
        <f>IF($J1031="","",YEAR($J1031-WEEKDAY($J1031,2)+4)&amp;"-W"&amp;TEXT(WEEKNUM($J1031,21),"00"))</f>
        <v/>
      </c>
      <c r="B1031">
        <f>IF($J1031="","",SUMIFS('Weekly Log'!$C:$C,'Weekly Log'!$A:$A,"&gt;="&amp;$J1031,'Weekly Log'!$A:$A,"&lt;"&amp;$J1031+7))</f>
        <v/>
      </c>
      <c r="C1031">
        <f>IF($J1031="","",IFERROR(COUNTIFS('Weekly Log'!$G:$G,"Y",'Weekly Log'!$A:$A,"&gt;="&amp;$J1031,'Weekly Log'!$A:$A,"&lt;"&amp;$J1031+7)/COUNTIFS('Weekly Log'!$G:$G,"&lt;&gt;",'Weekly Log'!$A:$A,"&gt;="&amp;$J1031,'Weekly Log'!$A:$A,"&lt;"&amp;$J1031+7),0))</f>
        <v/>
      </c>
      <c r="D1031">
        <f>IF($J1031="","",IFERROR(COUNTIFS('Weekly Log'!$H:$H,"Y",'Weekly Log'!$A:$A,"&gt;="&amp;$J1031,'Weekly Log'!$A:$A,"&lt;"&amp;$J1031+7)/COUNTIFS('Weekly Log'!$H:$H,"&lt;&gt;",'Weekly Log'!$A:$A,"&gt;="&amp;$J1031,'Weekly Log'!$A:$A,"&lt;"&amp;$J1031+7),0))</f>
        <v/>
      </c>
      <c r="E1031">
        <f>IF($J1031="","",IFERROR(AVERAGEIFS('Weekly Log'!$F:$F,'Weekly Log'!$A:$A,"&gt;="&amp;$J1031,'Weekly Log'!$A:$A,"&lt;"&amp;$J1031+7),0))</f>
        <v/>
      </c>
      <c r="F1031">
        <f>IF($J1031="","",IFERROR(SUMIFS('Weekly Log'!$F:$F,'Weekly Log'!$A:$A,"&gt;="&amp;$J1031,'Weekly Log'!$A:$A,"&lt;"&amp;$J1031+7)/SUMIFS('Weekly Log'!$E:$E,'Weekly Log'!$A:$A,"&gt;="&amp;$J1031,'Weekly Log'!$A:$A,"&lt;"&amp;$J1031+7),0))</f>
        <v/>
      </c>
      <c r="G1031">
        <f>IF($J1031="","",IFERROR(LOOKUP(2,1/(('Weekly Log'!$A$5:$A$5000&gt;=$J1031)*('Weekly Log'!$A$5:$A$5000&lt;$J1031+7)*('Weekly Log'!$M$5:$M$5000&lt;&gt;"")),'Weekly Log'!$M$5:$M$5000),0))</f>
        <v/>
      </c>
      <c r="J1031">
        <f>IF(COUNT('Weekly Log'!$A$5:$A$5000)=0,"",IF(MIN('Weekly Log'!$A$5:$A$5000)+7*(ROW()-10)&gt;MAX('Weekly Log'!$A$5:$A$5000),"",MIN('Weekly Log'!$A$5:$A$5000)+7*(ROW()-10)))</f>
        <v/>
      </c>
    </row>
    <row r="1032">
      <c r="A1032">
        <f>IF($J1032="","",YEAR($J1032-WEEKDAY($J1032,2)+4)&amp;"-W"&amp;TEXT(WEEKNUM($J1032,21),"00"))</f>
        <v/>
      </c>
      <c r="B1032">
        <f>IF($J1032="","",SUMIFS('Weekly Log'!$C:$C,'Weekly Log'!$A:$A,"&gt;="&amp;$J1032,'Weekly Log'!$A:$A,"&lt;"&amp;$J1032+7))</f>
        <v/>
      </c>
      <c r="C1032">
        <f>IF($J1032="","",IFERROR(COUNTIFS('Weekly Log'!$G:$G,"Y",'Weekly Log'!$A:$A,"&gt;="&amp;$J1032,'Weekly Log'!$A:$A,"&lt;"&amp;$J1032+7)/COUNTIFS('Weekly Log'!$G:$G,"&lt;&gt;",'Weekly Log'!$A:$A,"&gt;="&amp;$J1032,'Weekly Log'!$A:$A,"&lt;"&amp;$J1032+7),0))</f>
        <v/>
      </c>
      <c r="D1032">
        <f>IF($J1032="","",IFERROR(COUNTIFS('Weekly Log'!$H:$H,"Y",'Weekly Log'!$A:$A,"&gt;="&amp;$J1032,'Weekly Log'!$A:$A,"&lt;"&amp;$J1032+7)/COUNTIFS('Weekly Log'!$H:$H,"&lt;&gt;",'Weekly Log'!$A:$A,"&gt;="&amp;$J1032,'Weekly Log'!$A:$A,"&lt;"&amp;$J1032+7),0))</f>
        <v/>
      </c>
      <c r="E1032">
        <f>IF($J1032="","",IFERROR(AVERAGEIFS('Weekly Log'!$F:$F,'Weekly Log'!$A:$A,"&gt;="&amp;$J1032,'Weekly Log'!$A:$A,"&lt;"&amp;$J1032+7),0))</f>
        <v/>
      </c>
      <c r="F1032">
        <f>IF($J1032="","",IFERROR(SUMIFS('Weekly Log'!$F:$F,'Weekly Log'!$A:$A,"&gt;="&amp;$J1032,'Weekly Log'!$A:$A,"&lt;"&amp;$J1032+7)/SUMIFS('Weekly Log'!$E:$E,'Weekly Log'!$A:$A,"&gt;="&amp;$J1032,'Weekly Log'!$A:$A,"&lt;"&amp;$J1032+7),0))</f>
        <v/>
      </c>
      <c r="G1032">
        <f>IF($J1032="","",IFERROR(LOOKUP(2,1/(('Weekly Log'!$A$5:$A$5000&gt;=$J1032)*('Weekly Log'!$A$5:$A$5000&lt;$J1032+7)*('Weekly Log'!$M$5:$M$5000&lt;&gt;"")),'Weekly Log'!$M$5:$M$5000),0))</f>
        <v/>
      </c>
      <c r="J1032">
        <f>IF(COUNT('Weekly Log'!$A$5:$A$5000)=0,"",IF(MIN('Weekly Log'!$A$5:$A$5000)+7*(ROW()-10)&gt;MAX('Weekly Log'!$A$5:$A$5000),"",MIN('Weekly Log'!$A$5:$A$5000)+7*(ROW()-10)))</f>
        <v/>
      </c>
    </row>
    <row r="1033">
      <c r="A1033">
        <f>IF($J1033="","",YEAR($J1033-WEEKDAY($J1033,2)+4)&amp;"-W"&amp;TEXT(WEEKNUM($J1033,21),"00"))</f>
        <v/>
      </c>
      <c r="B1033">
        <f>IF($J1033="","",SUMIFS('Weekly Log'!$C:$C,'Weekly Log'!$A:$A,"&gt;="&amp;$J1033,'Weekly Log'!$A:$A,"&lt;"&amp;$J1033+7))</f>
        <v/>
      </c>
      <c r="C1033">
        <f>IF($J1033="","",IFERROR(COUNTIFS('Weekly Log'!$G:$G,"Y",'Weekly Log'!$A:$A,"&gt;="&amp;$J1033,'Weekly Log'!$A:$A,"&lt;"&amp;$J1033+7)/COUNTIFS('Weekly Log'!$G:$G,"&lt;&gt;",'Weekly Log'!$A:$A,"&gt;="&amp;$J1033,'Weekly Log'!$A:$A,"&lt;"&amp;$J1033+7),0))</f>
        <v/>
      </c>
      <c r="D1033">
        <f>IF($J1033="","",IFERROR(COUNTIFS('Weekly Log'!$H:$H,"Y",'Weekly Log'!$A:$A,"&gt;="&amp;$J1033,'Weekly Log'!$A:$A,"&lt;"&amp;$J1033+7)/COUNTIFS('Weekly Log'!$H:$H,"&lt;&gt;",'Weekly Log'!$A:$A,"&gt;="&amp;$J1033,'Weekly Log'!$A:$A,"&lt;"&amp;$J1033+7),0))</f>
        <v/>
      </c>
      <c r="E1033">
        <f>IF($J1033="","",IFERROR(AVERAGEIFS('Weekly Log'!$F:$F,'Weekly Log'!$A:$A,"&gt;="&amp;$J1033,'Weekly Log'!$A:$A,"&lt;"&amp;$J1033+7),0))</f>
        <v/>
      </c>
      <c r="F1033">
        <f>IF($J1033="","",IFERROR(SUMIFS('Weekly Log'!$F:$F,'Weekly Log'!$A:$A,"&gt;="&amp;$J1033,'Weekly Log'!$A:$A,"&lt;"&amp;$J1033+7)/SUMIFS('Weekly Log'!$E:$E,'Weekly Log'!$A:$A,"&gt;="&amp;$J1033,'Weekly Log'!$A:$A,"&lt;"&amp;$J1033+7),0))</f>
        <v/>
      </c>
      <c r="G1033">
        <f>IF($J1033="","",IFERROR(LOOKUP(2,1/(('Weekly Log'!$A$5:$A$5000&gt;=$J1033)*('Weekly Log'!$A$5:$A$5000&lt;$J1033+7)*('Weekly Log'!$M$5:$M$5000&lt;&gt;"")),'Weekly Log'!$M$5:$M$5000),0))</f>
        <v/>
      </c>
      <c r="J1033">
        <f>IF(COUNT('Weekly Log'!$A$5:$A$5000)=0,"",IF(MIN('Weekly Log'!$A$5:$A$5000)+7*(ROW()-10)&gt;MAX('Weekly Log'!$A$5:$A$5000),"",MIN('Weekly Log'!$A$5:$A$5000)+7*(ROW()-10)))</f>
        <v/>
      </c>
    </row>
    <row r="1034">
      <c r="A1034">
        <f>IF($J1034="","",YEAR($J1034-WEEKDAY($J1034,2)+4)&amp;"-W"&amp;TEXT(WEEKNUM($J1034,21),"00"))</f>
        <v/>
      </c>
      <c r="B1034">
        <f>IF($J1034="","",SUMIFS('Weekly Log'!$C:$C,'Weekly Log'!$A:$A,"&gt;="&amp;$J1034,'Weekly Log'!$A:$A,"&lt;"&amp;$J1034+7))</f>
        <v/>
      </c>
      <c r="C1034">
        <f>IF($J1034="","",IFERROR(COUNTIFS('Weekly Log'!$G:$G,"Y",'Weekly Log'!$A:$A,"&gt;="&amp;$J1034,'Weekly Log'!$A:$A,"&lt;"&amp;$J1034+7)/COUNTIFS('Weekly Log'!$G:$G,"&lt;&gt;",'Weekly Log'!$A:$A,"&gt;="&amp;$J1034,'Weekly Log'!$A:$A,"&lt;"&amp;$J1034+7),0))</f>
        <v/>
      </c>
      <c r="D1034">
        <f>IF($J1034="","",IFERROR(COUNTIFS('Weekly Log'!$H:$H,"Y",'Weekly Log'!$A:$A,"&gt;="&amp;$J1034,'Weekly Log'!$A:$A,"&lt;"&amp;$J1034+7)/COUNTIFS('Weekly Log'!$H:$H,"&lt;&gt;",'Weekly Log'!$A:$A,"&gt;="&amp;$J1034,'Weekly Log'!$A:$A,"&lt;"&amp;$J1034+7),0))</f>
        <v/>
      </c>
      <c r="E1034">
        <f>IF($J1034="","",IFERROR(AVERAGEIFS('Weekly Log'!$F:$F,'Weekly Log'!$A:$A,"&gt;="&amp;$J1034,'Weekly Log'!$A:$A,"&lt;"&amp;$J1034+7),0))</f>
        <v/>
      </c>
      <c r="F1034">
        <f>IF($J1034="","",IFERROR(SUMIFS('Weekly Log'!$F:$F,'Weekly Log'!$A:$A,"&gt;="&amp;$J1034,'Weekly Log'!$A:$A,"&lt;"&amp;$J1034+7)/SUMIFS('Weekly Log'!$E:$E,'Weekly Log'!$A:$A,"&gt;="&amp;$J1034,'Weekly Log'!$A:$A,"&lt;"&amp;$J1034+7),0))</f>
        <v/>
      </c>
      <c r="G1034">
        <f>IF($J1034="","",IFERROR(LOOKUP(2,1/(('Weekly Log'!$A$5:$A$5000&gt;=$J1034)*('Weekly Log'!$A$5:$A$5000&lt;$J1034+7)*('Weekly Log'!$M$5:$M$5000&lt;&gt;"")),'Weekly Log'!$M$5:$M$5000),0))</f>
        <v/>
      </c>
      <c r="J1034">
        <f>IF(COUNT('Weekly Log'!$A$5:$A$5000)=0,"",IF(MIN('Weekly Log'!$A$5:$A$5000)+7*(ROW()-10)&gt;MAX('Weekly Log'!$A$5:$A$5000),"",MIN('Weekly Log'!$A$5:$A$5000)+7*(ROW()-10)))</f>
        <v/>
      </c>
    </row>
    <row r="1035">
      <c r="A1035">
        <f>IF($J1035="","",YEAR($J1035-WEEKDAY($J1035,2)+4)&amp;"-W"&amp;TEXT(WEEKNUM($J1035,21),"00"))</f>
        <v/>
      </c>
      <c r="B1035">
        <f>IF($J1035="","",SUMIFS('Weekly Log'!$C:$C,'Weekly Log'!$A:$A,"&gt;="&amp;$J1035,'Weekly Log'!$A:$A,"&lt;"&amp;$J1035+7))</f>
        <v/>
      </c>
      <c r="C1035">
        <f>IF($J1035="","",IFERROR(COUNTIFS('Weekly Log'!$G:$G,"Y",'Weekly Log'!$A:$A,"&gt;="&amp;$J1035,'Weekly Log'!$A:$A,"&lt;"&amp;$J1035+7)/COUNTIFS('Weekly Log'!$G:$G,"&lt;&gt;",'Weekly Log'!$A:$A,"&gt;="&amp;$J1035,'Weekly Log'!$A:$A,"&lt;"&amp;$J1035+7),0))</f>
        <v/>
      </c>
      <c r="D1035">
        <f>IF($J1035="","",IFERROR(COUNTIFS('Weekly Log'!$H:$H,"Y",'Weekly Log'!$A:$A,"&gt;="&amp;$J1035,'Weekly Log'!$A:$A,"&lt;"&amp;$J1035+7)/COUNTIFS('Weekly Log'!$H:$H,"&lt;&gt;",'Weekly Log'!$A:$A,"&gt;="&amp;$J1035,'Weekly Log'!$A:$A,"&lt;"&amp;$J1035+7),0))</f>
        <v/>
      </c>
      <c r="E1035">
        <f>IF($J1035="","",IFERROR(AVERAGEIFS('Weekly Log'!$F:$F,'Weekly Log'!$A:$A,"&gt;="&amp;$J1035,'Weekly Log'!$A:$A,"&lt;"&amp;$J1035+7),0))</f>
        <v/>
      </c>
      <c r="F1035">
        <f>IF($J1035="","",IFERROR(SUMIFS('Weekly Log'!$F:$F,'Weekly Log'!$A:$A,"&gt;="&amp;$J1035,'Weekly Log'!$A:$A,"&lt;"&amp;$J1035+7)/SUMIFS('Weekly Log'!$E:$E,'Weekly Log'!$A:$A,"&gt;="&amp;$J1035,'Weekly Log'!$A:$A,"&lt;"&amp;$J1035+7),0))</f>
        <v/>
      </c>
      <c r="G1035">
        <f>IF($J1035="","",IFERROR(LOOKUP(2,1/(('Weekly Log'!$A$5:$A$5000&gt;=$J1035)*('Weekly Log'!$A$5:$A$5000&lt;$J1035+7)*('Weekly Log'!$M$5:$M$5000&lt;&gt;"")),'Weekly Log'!$M$5:$M$5000),0))</f>
        <v/>
      </c>
      <c r="J1035">
        <f>IF(COUNT('Weekly Log'!$A$5:$A$5000)=0,"",IF(MIN('Weekly Log'!$A$5:$A$5000)+7*(ROW()-10)&gt;MAX('Weekly Log'!$A$5:$A$5000),"",MIN('Weekly Log'!$A$5:$A$5000)+7*(ROW()-10)))</f>
        <v/>
      </c>
    </row>
    <row r="1036">
      <c r="A1036">
        <f>IF($J1036="","",YEAR($J1036-WEEKDAY($J1036,2)+4)&amp;"-W"&amp;TEXT(WEEKNUM($J1036,21),"00"))</f>
        <v/>
      </c>
      <c r="B1036">
        <f>IF($J1036="","",SUMIFS('Weekly Log'!$C:$C,'Weekly Log'!$A:$A,"&gt;="&amp;$J1036,'Weekly Log'!$A:$A,"&lt;"&amp;$J1036+7))</f>
        <v/>
      </c>
      <c r="C1036">
        <f>IF($J1036="","",IFERROR(COUNTIFS('Weekly Log'!$G:$G,"Y",'Weekly Log'!$A:$A,"&gt;="&amp;$J1036,'Weekly Log'!$A:$A,"&lt;"&amp;$J1036+7)/COUNTIFS('Weekly Log'!$G:$G,"&lt;&gt;",'Weekly Log'!$A:$A,"&gt;="&amp;$J1036,'Weekly Log'!$A:$A,"&lt;"&amp;$J1036+7),0))</f>
        <v/>
      </c>
      <c r="D1036">
        <f>IF($J1036="","",IFERROR(COUNTIFS('Weekly Log'!$H:$H,"Y",'Weekly Log'!$A:$A,"&gt;="&amp;$J1036,'Weekly Log'!$A:$A,"&lt;"&amp;$J1036+7)/COUNTIFS('Weekly Log'!$H:$H,"&lt;&gt;",'Weekly Log'!$A:$A,"&gt;="&amp;$J1036,'Weekly Log'!$A:$A,"&lt;"&amp;$J1036+7),0))</f>
        <v/>
      </c>
      <c r="E1036">
        <f>IF($J1036="","",IFERROR(AVERAGEIFS('Weekly Log'!$F:$F,'Weekly Log'!$A:$A,"&gt;="&amp;$J1036,'Weekly Log'!$A:$A,"&lt;"&amp;$J1036+7),0))</f>
        <v/>
      </c>
      <c r="F1036">
        <f>IF($J1036="","",IFERROR(SUMIFS('Weekly Log'!$F:$F,'Weekly Log'!$A:$A,"&gt;="&amp;$J1036,'Weekly Log'!$A:$A,"&lt;"&amp;$J1036+7)/SUMIFS('Weekly Log'!$E:$E,'Weekly Log'!$A:$A,"&gt;="&amp;$J1036,'Weekly Log'!$A:$A,"&lt;"&amp;$J1036+7),0))</f>
        <v/>
      </c>
      <c r="G1036">
        <f>IF($J1036="","",IFERROR(LOOKUP(2,1/(('Weekly Log'!$A$5:$A$5000&gt;=$J1036)*('Weekly Log'!$A$5:$A$5000&lt;$J1036+7)*('Weekly Log'!$M$5:$M$5000&lt;&gt;"")),'Weekly Log'!$M$5:$M$5000),0))</f>
        <v/>
      </c>
      <c r="J1036">
        <f>IF(COUNT('Weekly Log'!$A$5:$A$5000)=0,"",IF(MIN('Weekly Log'!$A$5:$A$5000)+7*(ROW()-10)&gt;MAX('Weekly Log'!$A$5:$A$5000),"",MIN('Weekly Log'!$A$5:$A$5000)+7*(ROW()-10)))</f>
        <v/>
      </c>
    </row>
    <row r="1037">
      <c r="A1037">
        <f>IF($J1037="","",YEAR($J1037-WEEKDAY($J1037,2)+4)&amp;"-W"&amp;TEXT(WEEKNUM($J1037,21),"00"))</f>
        <v/>
      </c>
      <c r="B1037">
        <f>IF($J1037="","",SUMIFS('Weekly Log'!$C:$C,'Weekly Log'!$A:$A,"&gt;="&amp;$J1037,'Weekly Log'!$A:$A,"&lt;"&amp;$J1037+7))</f>
        <v/>
      </c>
      <c r="C1037">
        <f>IF($J1037="","",IFERROR(COUNTIFS('Weekly Log'!$G:$G,"Y",'Weekly Log'!$A:$A,"&gt;="&amp;$J1037,'Weekly Log'!$A:$A,"&lt;"&amp;$J1037+7)/COUNTIFS('Weekly Log'!$G:$G,"&lt;&gt;",'Weekly Log'!$A:$A,"&gt;="&amp;$J1037,'Weekly Log'!$A:$A,"&lt;"&amp;$J1037+7),0))</f>
        <v/>
      </c>
      <c r="D1037">
        <f>IF($J1037="","",IFERROR(COUNTIFS('Weekly Log'!$H:$H,"Y",'Weekly Log'!$A:$A,"&gt;="&amp;$J1037,'Weekly Log'!$A:$A,"&lt;"&amp;$J1037+7)/COUNTIFS('Weekly Log'!$H:$H,"&lt;&gt;",'Weekly Log'!$A:$A,"&gt;="&amp;$J1037,'Weekly Log'!$A:$A,"&lt;"&amp;$J1037+7),0))</f>
        <v/>
      </c>
      <c r="E1037">
        <f>IF($J1037="","",IFERROR(AVERAGEIFS('Weekly Log'!$F:$F,'Weekly Log'!$A:$A,"&gt;="&amp;$J1037,'Weekly Log'!$A:$A,"&lt;"&amp;$J1037+7),0))</f>
        <v/>
      </c>
      <c r="F1037">
        <f>IF($J1037="","",IFERROR(SUMIFS('Weekly Log'!$F:$F,'Weekly Log'!$A:$A,"&gt;="&amp;$J1037,'Weekly Log'!$A:$A,"&lt;"&amp;$J1037+7)/SUMIFS('Weekly Log'!$E:$E,'Weekly Log'!$A:$A,"&gt;="&amp;$J1037,'Weekly Log'!$A:$A,"&lt;"&amp;$J1037+7),0))</f>
        <v/>
      </c>
      <c r="G1037">
        <f>IF($J1037="","",IFERROR(LOOKUP(2,1/(('Weekly Log'!$A$5:$A$5000&gt;=$J1037)*('Weekly Log'!$A$5:$A$5000&lt;$J1037+7)*('Weekly Log'!$M$5:$M$5000&lt;&gt;"")),'Weekly Log'!$M$5:$M$5000),0))</f>
        <v/>
      </c>
      <c r="J1037">
        <f>IF(COUNT('Weekly Log'!$A$5:$A$5000)=0,"",IF(MIN('Weekly Log'!$A$5:$A$5000)+7*(ROW()-10)&gt;MAX('Weekly Log'!$A$5:$A$5000),"",MIN('Weekly Log'!$A$5:$A$5000)+7*(ROW()-10)))</f>
        <v/>
      </c>
    </row>
    <row r="1038">
      <c r="A1038">
        <f>IF($J1038="","",YEAR($J1038-WEEKDAY($J1038,2)+4)&amp;"-W"&amp;TEXT(WEEKNUM($J1038,21),"00"))</f>
        <v/>
      </c>
      <c r="B1038">
        <f>IF($J1038="","",SUMIFS('Weekly Log'!$C:$C,'Weekly Log'!$A:$A,"&gt;="&amp;$J1038,'Weekly Log'!$A:$A,"&lt;"&amp;$J1038+7))</f>
        <v/>
      </c>
      <c r="C1038">
        <f>IF($J1038="","",IFERROR(COUNTIFS('Weekly Log'!$G:$G,"Y",'Weekly Log'!$A:$A,"&gt;="&amp;$J1038,'Weekly Log'!$A:$A,"&lt;"&amp;$J1038+7)/COUNTIFS('Weekly Log'!$G:$G,"&lt;&gt;",'Weekly Log'!$A:$A,"&gt;="&amp;$J1038,'Weekly Log'!$A:$A,"&lt;"&amp;$J1038+7),0))</f>
        <v/>
      </c>
      <c r="D1038">
        <f>IF($J1038="","",IFERROR(COUNTIFS('Weekly Log'!$H:$H,"Y",'Weekly Log'!$A:$A,"&gt;="&amp;$J1038,'Weekly Log'!$A:$A,"&lt;"&amp;$J1038+7)/COUNTIFS('Weekly Log'!$H:$H,"&lt;&gt;",'Weekly Log'!$A:$A,"&gt;="&amp;$J1038,'Weekly Log'!$A:$A,"&lt;"&amp;$J1038+7),0))</f>
        <v/>
      </c>
      <c r="E1038">
        <f>IF($J1038="","",IFERROR(AVERAGEIFS('Weekly Log'!$F:$F,'Weekly Log'!$A:$A,"&gt;="&amp;$J1038,'Weekly Log'!$A:$A,"&lt;"&amp;$J1038+7),0))</f>
        <v/>
      </c>
      <c r="F1038">
        <f>IF($J1038="","",IFERROR(SUMIFS('Weekly Log'!$F:$F,'Weekly Log'!$A:$A,"&gt;="&amp;$J1038,'Weekly Log'!$A:$A,"&lt;"&amp;$J1038+7)/SUMIFS('Weekly Log'!$E:$E,'Weekly Log'!$A:$A,"&gt;="&amp;$J1038,'Weekly Log'!$A:$A,"&lt;"&amp;$J1038+7),0))</f>
        <v/>
      </c>
      <c r="G1038">
        <f>IF($J1038="","",IFERROR(LOOKUP(2,1/(('Weekly Log'!$A$5:$A$5000&gt;=$J1038)*('Weekly Log'!$A$5:$A$5000&lt;$J1038+7)*('Weekly Log'!$M$5:$M$5000&lt;&gt;"")),'Weekly Log'!$M$5:$M$5000),0))</f>
        <v/>
      </c>
      <c r="J1038">
        <f>IF(COUNT('Weekly Log'!$A$5:$A$5000)=0,"",IF(MIN('Weekly Log'!$A$5:$A$5000)+7*(ROW()-10)&gt;MAX('Weekly Log'!$A$5:$A$5000),"",MIN('Weekly Log'!$A$5:$A$5000)+7*(ROW()-10)))</f>
        <v/>
      </c>
    </row>
    <row r="1039">
      <c r="A1039">
        <f>IF($J1039="","",YEAR($J1039-WEEKDAY($J1039,2)+4)&amp;"-W"&amp;TEXT(WEEKNUM($J1039,21),"00"))</f>
        <v/>
      </c>
      <c r="B1039">
        <f>IF($J1039="","",SUMIFS('Weekly Log'!$C:$C,'Weekly Log'!$A:$A,"&gt;="&amp;$J1039,'Weekly Log'!$A:$A,"&lt;"&amp;$J1039+7))</f>
        <v/>
      </c>
      <c r="C1039">
        <f>IF($J1039="","",IFERROR(COUNTIFS('Weekly Log'!$G:$G,"Y",'Weekly Log'!$A:$A,"&gt;="&amp;$J1039,'Weekly Log'!$A:$A,"&lt;"&amp;$J1039+7)/COUNTIFS('Weekly Log'!$G:$G,"&lt;&gt;",'Weekly Log'!$A:$A,"&gt;="&amp;$J1039,'Weekly Log'!$A:$A,"&lt;"&amp;$J1039+7),0))</f>
        <v/>
      </c>
      <c r="D1039">
        <f>IF($J1039="","",IFERROR(COUNTIFS('Weekly Log'!$H:$H,"Y",'Weekly Log'!$A:$A,"&gt;="&amp;$J1039,'Weekly Log'!$A:$A,"&lt;"&amp;$J1039+7)/COUNTIFS('Weekly Log'!$H:$H,"&lt;&gt;",'Weekly Log'!$A:$A,"&gt;="&amp;$J1039,'Weekly Log'!$A:$A,"&lt;"&amp;$J1039+7),0))</f>
        <v/>
      </c>
      <c r="E1039">
        <f>IF($J1039="","",IFERROR(AVERAGEIFS('Weekly Log'!$F:$F,'Weekly Log'!$A:$A,"&gt;="&amp;$J1039,'Weekly Log'!$A:$A,"&lt;"&amp;$J1039+7),0))</f>
        <v/>
      </c>
      <c r="F1039">
        <f>IF($J1039="","",IFERROR(SUMIFS('Weekly Log'!$F:$F,'Weekly Log'!$A:$A,"&gt;="&amp;$J1039,'Weekly Log'!$A:$A,"&lt;"&amp;$J1039+7)/SUMIFS('Weekly Log'!$E:$E,'Weekly Log'!$A:$A,"&gt;="&amp;$J1039,'Weekly Log'!$A:$A,"&lt;"&amp;$J1039+7),0))</f>
        <v/>
      </c>
      <c r="G1039">
        <f>IF($J1039="","",IFERROR(LOOKUP(2,1/(('Weekly Log'!$A$5:$A$5000&gt;=$J1039)*('Weekly Log'!$A$5:$A$5000&lt;$J1039+7)*('Weekly Log'!$M$5:$M$5000&lt;&gt;"")),'Weekly Log'!$M$5:$M$5000),0))</f>
        <v/>
      </c>
      <c r="J1039">
        <f>IF(COUNT('Weekly Log'!$A$5:$A$5000)=0,"",IF(MIN('Weekly Log'!$A$5:$A$5000)+7*(ROW()-10)&gt;MAX('Weekly Log'!$A$5:$A$5000),"",MIN('Weekly Log'!$A$5:$A$5000)+7*(ROW()-10)))</f>
        <v/>
      </c>
    </row>
    <row r="1040">
      <c r="A1040">
        <f>IF($J1040="","",YEAR($J1040-WEEKDAY($J1040,2)+4)&amp;"-W"&amp;TEXT(WEEKNUM($J1040,21),"00"))</f>
        <v/>
      </c>
      <c r="B1040">
        <f>IF($J1040="","",SUMIFS('Weekly Log'!$C:$C,'Weekly Log'!$A:$A,"&gt;="&amp;$J1040,'Weekly Log'!$A:$A,"&lt;"&amp;$J1040+7))</f>
        <v/>
      </c>
      <c r="C1040">
        <f>IF($J1040="","",IFERROR(COUNTIFS('Weekly Log'!$G:$G,"Y",'Weekly Log'!$A:$A,"&gt;="&amp;$J1040,'Weekly Log'!$A:$A,"&lt;"&amp;$J1040+7)/COUNTIFS('Weekly Log'!$G:$G,"&lt;&gt;",'Weekly Log'!$A:$A,"&gt;="&amp;$J1040,'Weekly Log'!$A:$A,"&lt;"&amp;$J1040+7),0))</f>
        <v/>
      </c>
      <c r="D1040">
        <f>IF($J1040="","",IFERROR(COUNTIFS('Weekly Log'!$H:$H,"Y",'Weekly Log'!$A:$A,"&gt;="&amp;$J1040,'Weekly Log'!$A:$A,"&lt;"&amp;$J1040+7)/COUNTIFS('Weekly Log'!$H:$H,"&lt;&gt;",'Weekly Log'!$A:$A,"&gt;="&amp;$J1040,'Weekly Log'!$A:$A,"&lt;"&amp;$J1040+7),0))</f>
        <v/>
      </c>
      <c r="E1040">
        <f>IF($J1040="","",IFERROR(AVERAGEIFS('Weekly Log'!$F:$F,'Weekly Log'!$A:$A,"&gt;="&amp;$J1040,'Weekly Log'!$A:$A,"&lt;"&amp;$J1040+7),0))</f>
        <v/>
      </c>
      <c r="F1040">
        <f>IF($J1040="","",IFERROR(SUMIFS('Weekly Log'!$F:$F,'Weekly Log'!$A:$A,"&gt;="&amp;$J1040,'Weekly Log'!$A:$A,"&lt;"&amp;$J1040+7)/SUMIFS('Weekly Log'!$E:$E,'Weekly Log'!$A:$A,"&gt;="&amp;$J1040,'Weekly Log'!$A:$A,"&lt;"&amp;$J1040+7),0))</f>
        <v/>
      </c>
      <c r="G1040">
        <f>IF($J1040="","",IFERROR(LOOKUP(2,1/(('Weekly Log'!$A$5:$A$5000&gt;=$J1040)*('Weekly Log'!$A$5:$A$5000&lt;$J1040+7)*('Weekly Log'!$M$5:$M$5000&lt;&gt;"")),'Weekly Log'!$M$5:$M$5000),0))</f>
        <v/>
      </c>
      <c r="J1040">
        <f>IF(COUNT('Weekly Log'!$A$5:$A$5000)=0,"",IF(MIN('Weekly Log'!$A$5:$A$5000)+7*(ROW()-10)&gt;MAX('Weekly Log'!$A$5:$A$5000),"",MIN('Weekly Log'!$A$5:$A$5000)+7*(ROW()-10)))</f>
        <v/>
      </c>
    </row>
    <row r="1041">
      <c r="A1041">
        <f>IF($J1041="","",YEAR($J1041-WEEKDAY($J1041,2)+4)&amp;"-W"&amp;TEXT(WEEKNUM($J1041,21),"00"))</f>
        <v/>
      </c>
      <c r="B1041">
        <f>IF($J1041="","",SUMIFS('Weekly Log'!$C:$C,'Weekly Log'!$A:$A,"&gt;="&amp;$J1041,'Weekly Log'!$A:$A,"&lt;"&amp;$J1041+7))</f>
        <v/>
      </c>
      <c r="C1041">
        <f>IF($J1041="","",IFERROR(COUNTIFS('Weekly Log'!$G:$G,"Y",'Weekly Log'!$A:$A,"&gt;="&amp;$J1041,'Weekly Log'!$A:$A,"&lt;"&amp;$J1041+7)/COUNTIFS('Weekly Log'!$G:$G,"&lt;&gt;",'Weekly Log'!$A:$A,"&gt;="&amp;$J1041,'Weekly Log'!$A:$A,"&lt;"&amp;$J1041+7),0))</f>
        <v/>
      </c>
      <c r="D1041">
        <f>IF($J1041="","",IFERROR(COUNTIFS('Weekly Log'!$H:$H,"Y",'Weekly Log'!$A:$A,"&gt;="&amp;$J1041,'Weekly Log'!$A:$A,"&lt;"&amp;$J1041+7)/COUNTIFS('Weekly Log'!$H:$H,"&lt;&gt;",'Weekly Log'!$A:$A,"&gt;="&amp;$J1041,'Weekly Log'!$A:$A,"&lt;"&amp;$J1041+7),0))</f>
        <v/>
      </c>
      <c r="E1041">
        <f>IF($J1041="","",IFERROR(AVERAGEIFS('Weekly Log'!$F:$F,'Weekly Log'!$A:$A,"&gt;="&amp;$J1041,'Weekly Log'!$A:$A,"&lt;"&amp;$J1041+7),0))</f>
        <v/>
      </c>
      <c r="F1041">
        <f>IF($J1041="","",IFERROR(SUMIFS('Weekly Log'!$F:$F,'Weekly Log'!$A:$A,"&gt;="&amp;$J1041,'Weekly Log'!$A:$A,"&lt;"&amp;$J1041+7)/SUMIFS('Weekly Log'!$E:$E,'Weekly Log'!$A:$A,"&gt;="&amp;$J1041,'Weekly Log'!$A:$A,"&lt;"&amp;$J1041+7),0))</f>
        <v/>
      </c>
      <c r="G1041">
        <f>IF($J1041="","",IFERROR(LOOKUP(2,1/(('Weekly Log'!$A$5:$A$5000&gt;=$J1041)*('Weekly Log'!$A$5:$A$5000&lt;$J1041+7)*('Weekly Log'!$M$5:$M$5000&lt;&gt;"")),'Weekly Log'!$M$5:$M$5000),0))</f>
        <v/>
      </c>
      <c r="J1041">
        <f>IF(COUNT('Weekly Log'!$A$5:$A$5000)=0,"",IF(MIN('Weekly Log'!$A$5:$A$5000)+7*(ROW()-10)&gt;MAX('Weekly Log'!$A$5:$A$5000),"",MIN('Weekly Log'!$A$5:$A$5000)+7*(ROW()-10)))</f>
        <v/>
      </c>
    </row>
    <row r="1042">
      <c r="A1042">
        <f>IF($J1042="","",YEAR($J1042-WEEKDAY($J1042,2)+4)&amp;"-W"&amp;TEXT(WEEKNUM($J1042,21),"00"))</f>
        <v/>
      </c>
      <c r="B1042">
        <f>IF($J1042="","",SUMIFS('Weekly Log'!$C:$C,'Weekly Log'!$A:$A,"&gt;="&amp;$J1042,'Weekly Log'!$A:$A,"&lt;"&amp;$J1042+7))</f>
        <v/>
      </c>
      <c r="C1042">
        <f>IF($J1042="","",IFERROR(COUNTIFS('Weekly Log'!$G:$G,"Y",'Weekly Log'!$A:$A,"&gt;="&amp;$J1042,'Weekly Log'!$A:$A,"&lt;"&amp;$J1042+7)/COUNTIFS('Weekly Log'!$G:$G,"&lt;&gt;",'Weekly Log'!$A:$A,"&gt;="&amp;$J1042,'Weekly Log'!$A:$A,"&lt;"&amp;$J1042+7),0))</f>
        <v/>
      </c>
      <c r="D1042">
        <f>IF($J1042="","",IFERROR(COUNTIFS('Weekly Log'!$H:$H,"Y",'Weekly Log'!$A:$A,"&gt;="&amp;$J1042,'Weekly Log'!$A:$A,"&lt;"&amp;$J1042+7)/COUNTIFS('Weekly Log'!$H:$H,"&lt;&gt;",'Weekly Log'!$A:$A,"&gt;="&amp;$J1042,'Weekly Log'!$A:$A,"&lt;"&amp;$J1042+7),0))</f>
        <v/>
      </c>
      <c r="E1042">
        <f>IF($J1042="","",IFERROR(AVERAGEIFS('Weekly Log'!$F:$F,'Weekly Log'!$A:$A,"&gt;="&amp;$J1042,'Weekly Log'!$A:$A,"&lt;"&amp;$J1042+7),0))</f>
        <v/>
      </c>
      <c r="F1042">
        <f>IF($J1042="","",IFERROR(SUMIFS('Weekly Log'!$F:$F,'Weekly Log'!$A:$A,"&gt;="&amp;$J1042,'Weekly Log'!$A:$A,"&lt;"&amp;$J1042+7)/SUMIFS('Weekly Log'!$E:$E,'Weekly Log'!$A:$A,"&gt;="&amp;$J1042,'Weekly Log'!$A:$A,"&lt;"&amp;$J1042+7),0))</f>
        <v/>
      </c>
      <c r="G1042">
        <f>IF($J1042="","",IFERROR(LOOKUP(2,1/(('Weekly Log'!$A$5:$A$5000&gt;=$J1042)*('Weekly Log'!$A$5:$A$5000&lt;$J1042+7)*('Weekly Log'!$M$5:$M$5000&lt;&gt;"")),'Weekly Log'!$M$5:$M$5000),0))</f>
        <v/>
      </c>
      <c r="J1042">
        <f>IF(COUNT('Weekly Log'!$A$5:$A$5000)=0,"",IF(MIN('Weekly Log'!$A$5:$A$5000)+7*(ROW()-10)&gt;MAX('Weekly Log'!$A$5:$A$5000),"",MIN('Weekly Log'!$A$5:$A$5000)+7*(ROW()-10)))</f>
        <v/>
      </c>
    </row>
    <row r="1043">
      <c r="A1043">
        <f>IF($J1043="","",YEAR($J1043-WEEKDAY($J1043,2)+4)&amp;"-W"&amp;TEXT(WEEKNUM($J1043,21),"00"))</f>
        <v/>
      </c>
      <c r="B1043">
        <f>IF($J1043="","",SUMIFS('Weekly Log'!$C:$C,'Weekly Log'!$A:$A,"&gt;="&amp;$J1043,'Weekly Log'!$A:$A,"&lt;"&amp;$J1043+7))</f>
        <v/>
      </c>
      <c r="C1043">
        <f>IF($J1043="","",IFERROR(COUNTIFS('Weekly Log'!$G:$G,"Y",'Weekly Log'!$A:$A,"&gt;="&amp;$J1043,'Weekly Log'!$A:$A,"&lt;"&amp;$J1043+7)/COUNTIFS('Weekly Log'!$G:$G,"&lt;&gt;",'Weekly Log'!$A:$A,"&gt;="&amp;$J1043,'Weekly Log'!$A:$A,"&lt;"&amp;$J1043+7),0))</f>
        <v/>
      </c>
      <c r="D1043">
        <f>IF($J1043="","",IFERROR(COUNTIFS('Weekly Log'!$H:$H,"Y",'Weekly Log'!$A:$A,"&gt;="&amp;$J1043,'Weekly Log'!$A:$A,"&lt;"&amp;$J1043+7)/COUNTIFS('Weekly Log'!$H:$H,"&lt;&gt;",'Weekly Log'!$A:$A,"&gt;="&amp;$J1043,'Weekly Log'!$A:$A,"&lt;"&amp;$J1043+7),0))</f>
        <v/>
      </c>
      <c r="E1043">
        <f>IF($J1043="","",IFERROR(AVERAGEIFS('Weekly Log'!$F:$F,'Weekly Log'!$A:$A,"&gt;="&amp;$J1043,'Weekly Log'!$A:$A,"&lt;"&amp;$J1043+7),0))</f>
        <v/>
      </c>
      <c r="F1043">
        <f>IF($J1043="","",IFERROR(SUMIFS('Weekly Log'!$F:$F,'Weekly Log'!$A:$A,"&gt;="&amp;$J1043,'Weekly Log'!$A:$A,"&lt;"&amp;$J1043+7)/SUMIFS('Weekly Log'!$E:$E,'Weekly Log'!$A:$A,"&gt;="&amp;$J1043,'Weekly Log'!$A:$A,"&lt;"&amp;$J1043+7),0))</f>
        <v/>
      </c>
      <c r="G1043">
        <f>IF($J1043="","",IFERROR(LOOKUP(2,1/(('Weekly Log'!$A$5:$A$5000&gt;=$J1043)*('Weekly Log'!$A$5:$A$5000&lt;$J1043+7)*('Weekly Log'!$M$5:$M$5000&lt;&gt;"")),'Weekly Log'!$M$5:$M$5000),0))</f>
        <v/>
      </c>
      <c r="J1043">
        <f>IF(COUNT('Weekly Log'!$A$5:$A$5000)=0,"",IF(MIN('Weekly Log'!$A$5:$A$5000)+7*(ROW()-10)&gt;MAX('Weekly Log'!$A$5:$A$5000),"",MIN('Weekly Log'!$A$5:$A$5000)+7*(ROW()-10)))</f>
        <v/>
      </c>
    </row>
    <row r="1044">
      <c r="A1044">
        <f>IF($J1044="","",YEAR($J1044-WEEKDAY($J1044,2)+4)&amp;"-W"&amp;TEXT(WEEKNUM($J1044,21),"00"))</f>
        <v/>
      </c>
      <c r="B1044">
        <f>IF($J1044="","",SUMIFS('Weekly Log'!$C:$C,'Weekly Log'!$A:$A,"&gt;="&amp;$J1044,'Weekly Log'!$A:$A,"&lt;"&amp;$J1044+7))</f>
        <v/>
      </c>
      <c r="C1044">
        <f>IF($J1044="","",IFERROR(COUNTIFS('Weekly Log'!$G:$G,"Y",'Weekly Log'!$A:$A,"&gt;="&amp;$J1044,'Weekly Log'!$A:$A,"&lt;"&amp;$J1044+7)/COUNTIFS('Weekly Log'!$G:$G,"&lt;&gt;",'Weekly Log'!$A:$A,"&gt;="&amp;$J1044,'Weekly Log'!$A:$A,"&lt;"&amp;$J1044+7),0))</f>
        <v/>
      </c>
      <c r="D1044">
        <f>IF($J1044="","",IFERROR(COUNTIFS('Weekly Log'!$H:$H,"Y",'Weekly Log'!$A:$A,"&gt;="&amp;$J1044,'Weekly Log'!$A:$A,"&lt;"&amp;$J1044+7)/COUNTIFS('Weekly Log'!$H:$H,"&lt;&gt;",'Weekly Log'!$A:$A,"&gt;="&amp;$J1044,'Weekly Log'!$A:$A,"&lt;"&amp;$J1044+7),0))</f>
        <v/>
      </c>
      <c r="E1044">
        <f>IF($J1044="","",IFERROR(AVERAGEIFS('Weekly Log'!$F:$F,'Weekly Log'!$A:$A,"&gt;="&amp;$J1044,'Weekly Log'!$A:$A,"&lt;"&amp;$J1044+7),0))</f>
        <v/>
      </c>
      <c r="F1044">
        <f>IF($J1044="","",IFERROR(SUMIFS('Weekly Log'!$F:$F,'Weekly Log'!$A:$A,"&gt;="&amp;$J1044,'Weekly Log'!$A:$A,"&lt;"&amp;$J1044+7)/SUMIFS('Weekly Log'!$E:$E,'Weekly Log'!$A:$A,"&gt;="&amp;$J1044,'Weekly Log'!$A:$A,"&lt;"&amp;$J1044+7),0))</f>
        <v/>
      </c>
      <c r="G1044">
        <f>IF($J1044="","",IFERROR(LOOKUP(2,1/(('Weekly Log'!$A$5:$A$5000&gt;=$J1044)*('Weekly Log'!$A$5:$A$5000&lt;$J1044+7)*('Weekly Log'!$M$5:$M$5000&lt;&gt;"")),'Weekly Log'!$M$5:$M$5000),0))</f>
        <v/>
      </c>
      <c r="J1044">
        <f>IF(COUNT('Weekly Log'!$A$5:$A$5000)=0,"",IF(MIN('Weekly Log'!$A$5:$A$5000)+7*(ROW()-10)&gt;MAX('Weekly Log'!$A$5:$A$5000),"",MIN('Weekly Log'!$A$5:$A$5000)+7*(ROW()-10)))</f>
        <v/>
      </c>
    </row>
    <row r="1045">
      <c r="A1045">
        <f>IF($J1045="","",YEAR($J1045-WEEKDAY($J1045,2)+4)&amp;"-W"&amp;TEXT(WEEKNUM($J1045,21),"00"))</f>
        <v/>
      </c>
      <c r="B1045">
        <f>IF($J1045="","",SUMIFS('Weekly Log'!$C:$C,'Weekly Log'!$A:$A,"&gt;="&amp;$J1045,'Weekly Log'!$A:$A,"&lt;"&amp;$J1045+7))</f>
        <v/>
      </c>
      <c r="C1045">
        <f>IF($J1045="","",IFERROR(COUNTIFS('Weekly Log'!$G:$G,"Y",'Weekly Log'!$A:$A,"&gt;="&amp;$J1045,'Weekly Log'!$A:$A,"&lt;"&amp;$J1045+7)/COUNTIFS('Weekly Log'!$G:$G,"&lt;&gt;",'Weekly Log'!$A:$A,"&gt;="&amp;$J1045,'Weekly Log'!$A:$A,"&lt;"&amp;$J1045+7),0))</f>
        <v/>
      </c>
      <c r="D1045">
        <f>IF($J1045="","",IFERROR(COUNTIFS('Weekly Log'!$H:$H,"Y",'Weekly Log'!$A:$A,"&gt;="&amp;$J1045,'Weekly Log'!$A:$A,"&lt;"&amp;$J1045+7)/COUNTIFS('Weekly Log'!$H:$H,"&lt;&gt;",'Weekly Log'!$A:$A,"&gt;="&amp;$J1045,'Weekly Log'!$A:$A,"&lt;"&amp;$J1045+7),0))</f>
        <v/>
      </c>
      <c r="E1045">
        <f>IF($J1045="","",IFERROR(AVERAGEIFS('Weekly Log'!$F:$F,'Weekly Log'!$A:$A,"&gt;="&amp;$J1045,'Weekly Log'!$A:$A,"&lt;"&amp;$J1045+7),0))</f>
        <v/>
      </c>
      <c r="F1045">
        <f>IF($J1045="","",IFERROR(SUMIFS('Weekly Log'!$F:$F,'Weekly Log'!$A:$A,"&gt;="&amp;$J1045,'Weekly Log'!$A:$A,"&lt;"&amp;$J1045+7)/SUMIFS('Weekly Log'!$E:$E,'Weekly Log'!$A:$A,"&gt;="&amp;$J1045,'Weekly Log'!$A:$A,"&lt;"&amp;$J1045+7),0))</f>
        <v/>
      </c>
      <c r="G1045">
        <f>IF($J1045="","",IFERROR(LOOKUP(2,1/(('Weekly Log'!$A$5:$A$5000&gt;=$J1045)*('Weekly Log'!$A$5:$A$5000&lt;$J1045+7)*('Weekly Log'!$M$5:$M$5000&lt;&gt;"")),'Weekly Log'!$M$5:$M$5000),0))</f>
        <v/>
      </c>
      <c r="J1045">
        <f>IF(COUNT('Weekly Log'!$A$5:$A$5000)=0,"",IF(MIN('Weekly Log'!$A$5:$A$5000)+7*(ROW()-10)&gt;MAX('Weekly Log'!$A$5:$A$5000),"",MIN('Weekly Log'!$A$5:$A$5000)+7*(ROW()-10)))</f>
        <v/>
      </c>
    </row>
    <row r="1046">
      <c r="A1046">
        <f>IF($J1046="","",YEAR($J1046-WEEKDAY($J1046,2)+4)&amp;"-W"&amp;TEXT(WEEKNUM($J1046,21),"00"))</f>
        <v/>
      </c>
      <c r="B1046">
        <f>IF($J1046="","",SUMIFS('Weekly Log'!$C:$C,'Weekly Log'!$A:$A,"&gt;="&amp;$J1046,'Weekly Log'!$A:$A,"&lt;"&amp;$J1046+7))</f>
        <v/>
      </c>
      <c r="C1046">
        <f>IF($J1046="","",IFERROR(COUNTIFS('Weekly Log'!$G:$G,"Y",'Weekly Log'!$A:$A,"&gt;="&amp;$J1046,'Weekly Log'!$A:$A,"&lt;"&amp;$J1046+7)/COUNTIFS('Weekly Log'!$G:$G,"&lt;&gt;",'Weekly Log'!$A:$A,"&gt;="&amp;$J1046,'Weekly Log'!$A:$A,"&lt;"&amp;$J1046+7),0))</f>
        <v/>
      </c>
      <c r="D1046">
        <f>IF($J1046="","",IFERROR(COUNTIFS('Weekly Log'!$H:$H,"Y",'Weekly Log'!$A:$A,"&gt;="&amp;$J1046,'Weekly Log'!$A:$A,"&lt;"&amp;$J1046+7)/COUNTIFS('Weekly Log'!$H:$H,"&lt;&gt;",'Weekly Log'!$A:$A,"&gt;="&amp;$J1046,'Weekly Log'!$A:$A,"&lt;"&amp;$J1046+7),0))</f>
        <v/>
      </c>
      <c r="E1046">
        <f>IF($J1046="","",IFERROR(AVERAGEIFS('Weekly Log'!$F:$F,'Weekly Log'!$A:$A,"&gt;="&amp;$J1046,'Weekly Log'!$A:$A,"&lt;"&amp;$J1046+7),0))</f>
        <v/>
      </c>
      <c r="F1046">
        <f>IF($J1046="","",IFERROR(SUMIFS('Weekly Log'!$F:$F,'Weekly Log'!$A:$A,"&gt;="&amp;$J1046,'Weekly Log'!$A:$A,"&lt;"&amp;$J1046+7)/SUMIFS('Weekly Log'!$E:$E,'Weekly Log'!$A:$A,"&gt;="&amp;$J1046,'Weekly Log'!$A:$A,"&lt;"&amp;$J1046+7),0))</f>
        <v/>
      </c>
      <c r="G1046">
        <f>IF($J1046="","",IFERROR(LOOKUP(2,1/(('Weekly Log'!$A$5:$A$5000&gt;=$J1046)*('Weekly Log'!$A$5:$A$5000&lt;$J1046+7)*('Weekly Log'!$M$5:$M$5000&lt;&gt;"")),'Weekly Log'!$M$5:$M$5000),0))</f>
        <v/>
      </c>
      <c r="J1046">
        <f>IF(COUNT('Weekly Log'!$A$5:$A$5000)=0,"",IF(MIN('Weekly Log'!$A$5:$A$5000)+7*(ROW()-10)&gt;MAX('Weekly Log'!$A$5:$A$5000),"",MIN('Weekly Log'!$A$5:$A$5000)+7*(ROW()-10)))</f>
        <v/>
      </c>
    </row>
    <row r="1047">
      <c r="A1047">
        <f>IF($J1047="","",YEAR($J1047-WEEKDAY($J1047,2)+4)&amp;"-W"&amp;TEXT(WEEKNUM($J1047,21),"00"))</f>
        <v/>
      </c>
      <c r="B1047">
        <f>IF($J1047="","",SUMIFS('Weekly Log'!$C:$C,'Weekly Log'!$A:$A,"&gt;="&amp;$J1047,'Weekly Log'!$A:$A,"&lt;"&amp;$J1047+7))</f>
        <v/>
      </c>
      <c r="C1047">
        <f>IF($J1047="","",IFERROR(COUNTIFS('Weekly Log'!$G:$G,"Y",'Weekly Log'!$A:$A,"&gt;="&amp;$J1047,'Weekly Log'!$A:$A,"&lt;"&amp;$J1047+7)/COUNTIFS('Weekly Log'!$G:$G,"&lt;&gt;",'Weekly Log'!$A:$A,"&gt;="&amp;$J1047,'Weekly Log'!$A:$A,"&lt;"&amp;$J1047+7),0))</f>
        <v/>
      </c>
      <c r="D1047">
        <f>IF($J1047="","",IFERROR(COUNTIFS('Weekly Log'!$H:$H,"Y",'Weekly Log'!$A:$A,"&gt;="&amp;$J1047,'Weekly Log'!$A:$A,"&lt;"&amp;$J1047+7)/COUNTIFS('Weekly Log'!$H:$H,"&lt;&gt;",'Weekly Log'!$A:$A,"&gt;="&amp;$J1047,'Weekly Log'!$A:$A,"&lt;"&amp;$J1047+7),0))</f>
        <v/>
      </c>
      <c r="E1047">
        <f>IF($J1047="","",IFERROR(AVERAGEIFS('Weekly Log'!$F:$F,'Weekly Log'!$A:$A,"&gt;="&amp;$J1047,'Weekly Log'!$A:$A,"&lt;"&amp;$J1047+7),0))</f>
        <v/>
      </c>
      <c r="F1047">
        <f>IF($J1047="","",IFERROR(SUMIFS('Weekly Log'!$F:$F,'Weekly Log'!$A:$A,"&gt;="&amp;$J1047,'Weekly Log'!$A:$A,"&lt;"&amp;$J1047+7)/SUMIFS('Weekly Log'!$E:$E,'Weekly Log'!$A:$A,"&gt;="&amp;$J1047,'Weekly Log'!$A:$A,"&lt;"&amp;$J1047+7),0))</f>
        <v/>
      </c>
      <c r="G1047">
        <f>IF($J1047="","",IFERROR(LOOKUP(2,1/(('Weekly Log'!$A$5:$A$5000&gt;=$J1047)*('Weekly Log'!$A$5:$A$5000&lt;$J1047+7)*('Weekly Log'!$M$5:$M$5000&lt;&gt;"")),'Weekly Log'!$M$5:$M$5000),0))</f>
        <v/>
      </c>
      <c r="J1047">
        <f>IF(COUNT('Weekly Log'!$A$5:$A$5000)=0,"",IF(MIN('Weekly Log'!$A$5:$A$5000)+7*(ROW()-10)&gt;MAX('Weekly Log'!$A$5:$A$5000),"",MIN('Weekly Log'!$A$5:$A$5000)+7*(ROW()-10)))</f>
        <v/>
      </c>
    </row>
    <row r="1048">
      <c r="A1048">
        <f>IF($J1048="","",YEAR($J1048-WEEKDAY($J1048,2)+4)&amp;"-W"&amp;TEXT(WEEKNUM($J1048,21),"00"))</f>
        <v/>
      </c>
      <c r="B1048">
        <f>IF($J1048="","",SUMIFS('Weekly Log'!$C:$C,'Weekly Log'!$A:$A,"&gt;="&amp;$J1048,'Weekly Log'!$A:$A,"&lt;"&amp;$J1048+7))</f>
        <v/>
      </c>
      <c r="C1048">
        <f>IF($J1048="","",IFERROR(COUNTIFS('Weekly Log'!$G:$G,"Y",'Weekly Log'!$A:$A,"&gt;="&amp;$J1048,'Weekly Log'!$A:$A,"&lt;"&amp;$J1048+7)/COUNTIFS('Weekly Log'!$G:$G,"&lt;&gt;",'Weekly Log'!$A:$A,"&gt;="&amp;$J1048,'Weekly Log'!$A:$A,"&lt;"&amp;$J1048+7),0))</f>
        <v/>
      </c>
      <c r="D1048">
        <f>IF($J1048="","",IFERROR(COUNTIFS('Weekly Log'!$H:$H,"Y",'Weekly Log'!$A:$A,"&gt;="&amp;$J1048,'Weekly Log'!$A:$A,"&lt;"&amp;$J1048+7)/COUNTIFS('Weekly Log'!$H:$H,"&lt;&gt;",'Weekly Log'!$A:$A,"&gt;="&amp;$J1048,'Weekly Log'!$A:$A,"&lt;"&amp;$J1048+7),0))</f>
        <v/>
      </c>
      <c r="E1048">
        <f>IF($J1048="","",IFERROR(AVERAGEIFS('Weekly Log'!$F:$F,'Weekly Log'!$A:$A,"&gt;="&amp;$J1048,'Weekly Log'!$A:$A,"&lt;"&amp;$J1048+7),0))</f>
        <v/>
      </c>
      <c r="F1048">
        <f>IF($J1048="","",IFERROR(SUMIFS('Weekly Log'!$F:$F,'Weekly Log'!$A:$A,"&gt;="&amp;$J1048,'Weekly Log'!$A:$A,"&lt;"&amp;$J1048+7)/SUMIFS('Weekly Log'!$E:$E,'Weekly Log'!$A:$A,"&gt;="&amp;$J1048,'Weekly Log'!$A:$A,"&lt;"&amp;$J1048+7),0))</f>
        <v/>
      </c>
      <c r="G1048">
        <f>IF($J1048="","",IFERROR(LOOKUP(2,1/(('Weekly Log'!$A$5:$A$5000&gt;=$J1048)*('Weekly Log'!$A$5:$A$5000&lt;$J1048+7)*('Weekly Log'!$M$5:$M$5000&lt;&gt;"")),'Weekly Log'!$M$5:$M$5000),0))</f>
        <v/>
      </c>
      <c r="J1048">
        <f>IF(COUNT('Weekly Log'!$A$5:$A$5000)=0,"",IF(MIN('Weekly Log'!$A$5:$A$5000)+7*(ROW()-10)&gt;MAX('Weekly Log'!$A$5:$A$5000),"",MIN('Weekly Log'!$A$5:$A$5000)+7*(ROW()-10)))</f>
        <v/>
      </c>
    </row>
    <row r="1049">
      <c r="A1049">
        <f>IF($J1049="","",YEAR($J1049-WEEKDAY($J1049,2)+4)&amp;"-W"&amp;TEXT(WEEKNUM($J1049,21),"00"))</f>
        <v/>
      </c>
      <c r="B1049">
        <f>IF($J1049="","",SUMIFS('Weekly Log'!$C:$C,'Weekly Log'!$A:$A,"&gt;="&amp;$J1049,'Weekly Log'!$A:$A,"&lt;"&amp;$J1049+7))</f>
        <v/>
      </c>
      <c r="C1049">
        <f>IF($J1049="","",IFERROR(COUNTIFS('Weekly Log'!$G:$G,"Y",'Weekly Log'!$A:$A,"&gt;="&amp;$J1049,'Weekly Log'!$A:$A,"&lt;"&amp;$J1049+7)/COUNTIFS('Weekly Log'!$G:$G,"&lt;&gt;",'Weekly Log'!$A:$A,"&gt;="&amp;$J1049,'Weekly Log'!$A:$A,"&lt;"&amp;$J1049+7),0))</f>
        <v/>
      </c>
      <c r="D1049">
        <f>IF($J1049="","",IFERROR(COUNTIFS('Weekly Log'!$H:$H,"Y",'Weekly Log'!$A:$A,"&gt;="&amp;$J1049,'Weekly Log'!$A:$A,"&lt;"&amp;$J1049+7)/COUNTIFS('Weekly Log'!$H:$H,"&lt;&gt;",'Weekly Log'!$A:$A,"&gt;="&amp;$J1049,'Weekly Log'!$A:$A,"&lt;"&amp;$J1049+7),0))</f>
        <v/>
      </c>
      <c r="E1049">
        <f>IF($J1049="","",IFERROR(AVERAGEIFS('Weekly Log'!$F:$F,'Weekly Log'!$A:$A,"&gt;="&amp;$J1049,'Weekly Log'!$A:$A,"&lt;"&amp;$J1049+7),0))</f>
        <v/>
      </c>
      <c r="F1049">
        <f>IF($J1049="","",IFERROR(SUMIFS('Weekly Log'!$F:$F,'Weekly Log'!$A:$A,"&gt;="&amp;$J1049,'Weekly Log'!$A:$A,"&lt;"&amp;$J1049+7)/SUMIFS('Weekly Log'!$E:$E,'Weekly Log'!$A:$A,"&gt;="&amp;$J1049,'Weekly Log'!$A:$A,"&lt;"&amp;$J1049+7),0))</f>
        <v/>
      </c>
      <c r="G1049">
        <f>IF($J1049="","",IFERROR(LOOKUP(2,1/(('Weekly Log'!$A$5:$A$5000&gt;=$J1049)*('Weekly Log'!$A$5:$A$5000&lt;$J1049+7)*('Weekly Log'!$M$5:$M$5000&lt;&gt;"")),'Weekly Log'!$M$5:$M$5000),0))</f>
        <v/>
      </c>
      <c r="J1049">
        <f>IF(COUNT('Weekly Log'!$A$5:$A$5000)=0,"",IF(MIN('Weekly Log'!$A$5:$A$5000)+7*(ROW()-10)&gt;MAX('Weekly Log'!$A$5:$A$5000),"",MIN('Weekly Log'!$A$5:$A$5000)+7*(ROW()-10)))</f>
        <v/>
      </c>
    </row>
    <row r="1050">
      <c r="A1050">
        <f>IF($J1050="","",YEAR($J1050-WEEKDAY($J1050,2)+4)&amp;"-W"&amp;TEXT(WEEKNUM($J1050,21),"00"))</f>
        <v/>
      </c>
      <c r="B1050">
        <f>IF($J1050="","",SUMIFS('Weekly Log'!$C:$C,'Weekly Log'!$A:$A,"&gt;="&amp;$J1050,'Weekly Log'!$A:$A,"&lt;"&amp;$J1050+7))</f>
        <v/>
      </c>
      <c r="C1050">
        <f>IF($J1050="","",IFERROR(COUNTIFS('Weekly Log'!$G:$G,"Y",'Weekly Log'!$A:$A,"&gt;="&amp;$J1050,'Weekly Log'!$A:$A,"&lt;"&amp;$J1050+7)/COUNTIFS('Weekly Log'!$G:$G,"&lt;&gt;",'Weekly Log'!$A:$A,"&gt;="&amp;$J1050,'Weekly Log'!$A:$A,"&lt;"&amp;$J1050+7),0))</f>
        <v/>
      </c>
      <c r="D1050">
        <f>IF($J1050="","",IFERROR(COUNTIFS('Weekly Log'!$H:$H,"Y",'Weekly Log'!$A:$A,"&gt;="&amp;$J1050,'Weekly Log'!$A:$A,"&lt;"&amp;$J1050+7)/COUNTIFS('Weekly Log'!$H:$H,"&lt;&gt;",'Weekly Log'!$A:$A,"&gt;="&amp;$J1050,'Weekly Log'!$A:$A,"&lt;"&amp;$J1050+7),0))</f>
        <v/>
      </c>
      <c r="E1050">
        <f>IF($J1050="","",IFERROR(AVERAGEIFS('Weekly Log'!$F:$F,'Weekly Log'!$A:$A,"&gt;="&amp;$J1050,'Weekly Log'!$A:$A,"&lt;"&amp;$J1050+7),0))</f>
        <v/>
      </c>
      <c r="F1050">
        <f>IF($J1050="","",IFERROR(SUMIFS('Weekly Log'!$F:$F,'Weekly Log'!$A:$A,"&gt;="&amp;$J1050,'Weekly Log'!$A:$A,"&lt;"&amp;$J1050+7)/SUMIFS('Weekly Log'!$E:$E,'Weekly Log'!$A:$A,"&gt;="&amp;$J1050,'Weekly Log'!$A:$A,"&lt;"&amp;$J1050+7),0))</f>
        <v/>
      </c>
      <c r="G1050">
        <f>IF($J1050="","",IFERROR(LOOKUP(2,1/(('Weekly Log'!$A$5:$A$5000&gt;=$J1050)*('Weekly Log'!$A$5:$A$5000&lt;$J1050+7)*('Weekly Log'!$M$5:$M$5000&lt;&gt;"")),'Weekly Log'!$M$5:$M$5000),0))</f>
        <v/>
      </c>
      <c r="J1050">
        <f>IF(COUNT('Weekly Log'!$A$5:$A$5000)=0,"",IF(MIN('Weekly Log'!$A$5:$A$5000)+7*(ROW()-10)&gt;MAX('Weekly Log'!$A$5:$A$5000),"",MIN('Weekly Log'!$A$5:$A$5000)+7*(ROW()-10)))</f>
        <v/>
      </c>
    </row>
    <row r="1051">
      <c r="A1051">
        <f>IF($J1051="","",YEAR($J1051-WEEKDAY($J1051,2)+4)&amp;"-W"&amp;TEXT(WEEKNUM($J1051,21),"00"))</f>
        <v/>
      </c>
      <c r="B1051">
        <f>IF($J1051="","",SUMIFS('Weekly Log'!$C:$C,'Weekly Log'!$A:$A,"&gt;="&amp;$J1051,'Weekly Log'!$A:$A,"&lt;"&amp;$J1051+7))</f>
        <v/>
      </c>
      <c r="C1051">
        <f>IF($J1051="","",IFERROR(COUNTIFS('Weekly Log'!$G:$G,"Y",'Weekly Log'!$A:$A,"&gt;="&amp;$J1051,'Weekly Log'!$A:$A,"&lt;"&amp;$J1051+7)/COUNTIFS('Weekly Log'!$G:$G,"&lt;&gt;",'Weekly Log'!$A:$A,"&gt;="&amp;$J1051,'Weekly Log'!$A:$A,"&lt;"&amp;$J1051+7),0))</f>
        <v/>
      </c>
      <c r="D1051">
        <f>IF($J1051="","",IFERROR(COUNTIFS('Weekly Log'!$H:$H,"Y",'Weekly Log'!$A:$A,"&gt;="&amp;$J1051,'Weekly Log'!$A:$A,"&lt;"&amp;$J1051+7)/COUNTIFS('Weekly Log'!$H:$H,"&lt;&gt;",'Weekly Log'!$A:$A,"&gt;="&amp;$J1051,'Weekly Log'!$A:$A,"&lt;"&amp;$J1051+7),0))</f>
        <v/>
      </c>
      <c r="E1051">
        <f>IF($J1051="","",IFERROR(AVERAGEIFS('Weekly Log'!$F:$F,'Weekly Log'!$A:$A,"&gt;="&amp;$J1051,'Weekly Log'!$A:$A,"&lt;"&amp;$J1051+7),0))</f>
        <v/>
      </c>
      <c r="F1051">
        <f>IF($J1051="","",IFERROR(SUMIFS('Weekly Log'!$F:$F,'Weekly Log'!$A:$A,"&gt;="&amp;$J1051,'Weekly Log'!$A:$A,"&lt;"&amp;$J1051+7)/SUMIFS('Weekly Log'!$E:$E,'Weekly Log'!$A:$A,"&gt;="&amp;$J1051,'Weekly Log'!$A:$A,"&lt;"&amp;$J1051+7),0))</f>
        <v/>
      </c>
      <c r="G1051">
        <f>IF($J1051="","",IFERROR(LOOKUP(2,1/(('Weekly Log'!$A$5:$A$5000&gt;=$J1051)*('Weekly Log'!$A$5:$A$5000&lt;$J1051+7)*('Weekly Log'!$M$5:$M$5000&lt;&gt;"")),'Weekly Log'!$M$5:$M$5000),0))</f>
        <v/>
      </c>
      <c r="J1051">
        <f>IF(COUNT('Weekly Log'!$A$5:$A$5000)=0,"",IF(MIN('Weekly Log'!$A$5:$A$5000)+7*(ROW()-10)&gt;MAX('Weekly Log'!$A$5:$A$5000),"",MIN('Weekly Log'!$A$5:$A$5000)+7*(ROW()-10)))</f>
        <v/>
      </c>
    </row>
    <row r="1052">
      <c r="A1052">
        <f>IF($J1052="","",YEAR($J1052-WEEKDAY($J1052,2)+4)&amp;"-W"&amp;TEXT(WEEKNUM($J1052,21),"00"))</f>
        <v/>
      </c>
      <c r="B1052">
        <f>IF($J1052="","",SUMIFS('Weekly Log'!$C:$C,'Weekly Log'!$A:$A,"&gt;="&amp;$J1052,'Weekly Log'!$A:$A,"&lt;"&amp;$J1052+7))</f>
        <v/>
      </c>
      <c r="C1052">
        <f>IF($J1052="","",IFERROR(COUNTIFS('Weekly Log'!$G:$G,"Y",'Weekly Log'!$A:$A,"&gt;="&amp;$J1052,'Weekly Log'!$A:$A,"&lt;"&amp;$J1052+7)/COUNTIFS('Weekly Log'!$G:$G,"&lt;&gt;",'Weekly Log'!$A:$A,"&gt;="&amp;$J1052,'Weekly Log'!$A:$A,"&lt;"&amp;$J1052+7),0))</f>
        <v/>
      </c>
      <c r="D1052">
        <f>IF($J1052="","",IFERROR(COUNTIFS('Weekly Log'!$H:$H,"Y",'Weekly Log'!$A:$A,"&gt;="&amp;$J1052,'Weekly Log'!$A:$A,"&lt;"&amp;$J1052+7)/COUNTIFS('Weekly Log'!$H:$H,"&lt;&gt;",'Weekly Log'!$A:$A,"&gt;="&amp;$J1052,'Weekly Log'!$A:$A,"&lt;"&amp;$J1052+7),0))</f>
        <v/>
      </c>
      <c r="E1052">
        <f>IF($J1052="","",IFERROR(AVERAGEIFS('Weekly Log'!$F:$F,'Weekly Log'!$A:$A,"&gt;="&amp;$J1052,'Weekly Log'!$A:$A,"&lt;"&amp;$J1052+7),0))</f>
        <v/>
      </c>
      <c r="F1052">
        <f>IF($J1052="","",IFERROR(SUMIFS('Weekly Log'!$F:$F,'Weekly Log'!$A:$A,"&gt;="&amp;$J1052,'Weekly Log'!$A:$A,"&lt;"&amp;$J1052+7)/SUMIFS('Weekly Log'!$E:$E,'Weekly Log'!$A:$A,"&gt;="&amp;$J1052,'Weekly Log'!$A:$A,"&lt;"&amp;$J1052+7),0))</f>
        <v/>
      </c>
      <c r="G1052">
        <f>IF($J1052="","",IFERROR(LOOKUP(2,1/(('Weekly Log'!$A$5:$A$5000&gt;=$J1052)*('Weekly Log'!$A$5:$A$5000&lt;$J1052+7)*('Weekly Log'!$M$5:$M$5000&lt;&gt;"")),'Weekly Log'!$M$5:$M$5000),0))</f>
        <v/>
      </c>
      <c r="J1052">
        <f>IF(COUNT('Weekly Log'!$A$5:$A$5000)=0,"",IF(MIN('Weekly Log'!$A$5:$A$5000)+7*(ROW()-10)&gt;MAX('Weekly Log'!$A$5:$A$5000),"",MIN('Weekly Log'!$A$5:$A$5000)+7*(ROW()-10)))</f>
        <v/>
      </c>
    </row>
    <row r="1053">
      <c r="A1053">
        <f>IF($J1053="","",YEAR($J1053-WEEKDAY($J1053,2)+4)&amp;"-W"&amp;TEXT(WEEKNUM($J1053,21),"00"))</f>
        <v/>
      </c>
      <c r="B1053">
        <f>IF($J1053="","",SUMIFS('Weekly Log'!$C:$C,'Weekly Log'!$A:$A,"&gt;="&amp;$J1053,'Weekly Log'!$A:$A,"&lt;"&amp;$J1053+7))</f>
        <v/>
      </c>
      <c r="C1053">
        <f>IF($J1053="","",IFERROR(COUNTIFS('Weekly Log'!$G:$G,"Y",'Weekly Log'!$A:$A,"&gt;="&amp;$J1053,'Weekly Log'!$A:$A,"&lt;"&amp;$J1053+7)/COUNTIFS('Weekly Log'!$G:$G,"&lt;&gt;",'Weekly Log'!$A:$A,"&gt;="&amp;$J1053,'Weekly Log'!$A:$A,"&lt;"&amp;$J1053+7),0))</f>
        <v/>
      </c>
      <c r="D1053">
        <f>IF($J1053="","",IFERROR(COUNTIFS('Weekly Log'!$H:$H,"Y",'Weekly Log'!$A:$A,"&gt;="&amp;$J1053,'Weekly Log'!$A:$A,"&lt;"&amp;$J1053+7)/COUNTIFS('Weekly Log'!$H:$H,"&lt;&gt;",'Weekly Log'!$A:$A,"&gt;="&amp;$J1053,'Weekly Log'!$A:$A,"&lt;"&amp;$J1053+7),0))</f>
        <v/>
      </c>
      <c r="E1053">
        <f>IF($J1053="","",IFERROR(AVERAGEIFS('Weekly Log'!$F:$F,'Weekly Log'!$A:$A,"&gt;="&amp;$J1053,'Weekly Log'!$A:$A,"&lt;"&amp;$J1053+7),0))</f>
        <v/>
      </c>
      <c r="F1053">
        <f>IF($J1053="","",IFERROR(SUMIFS('Weekly Log'!$F:$F,'Weekly Log'!$A:$A,"&gt;="&amp;$J1053,'Weekly Log'!$A:$A,"&lt;"&amp;$J1053+7)/SUMIFS('Weekly Log'!$E:$E,'Weekly Log'!$A:$A,"&gt;="&amp;$J1053,'Weekly Log'!$A:$A,"&lt;"&amp;$J1053+7),0))</f>
        <v/>
      </c>
      <c r="G1053">
        <f>IF($J1053="","",IFERROR(LOOKUP(2,1/(('Weekly Log'!$A$5:$A$5000&gt;=$J1053)*('Weekly Log'!$A$5:$A$5000&lt;$J1053+7)*('Weekly Log'!$M$5:$M$5000&lt;&gt;"")),'Weekly Log'!$M$5:$M$5000),0))</f>
        <v/>
      </c>
      <c r="J1053">
        <f>IF(COUNT('Weekly Log'!$A$5:$A$5000)=0,"",IF(MIN('Weekly Log'!$A$5:$A$5000)+7*(ROW()-10)&gt;MAX('Weekly Log'!$A$5:$A$5000),"",MIN('Weekly Log'!$A$5:$A$5000)+7*(ROW()-10)))</f>
        <v/>
      </c>
    </row>
    <row r="1054">
      <c r="A1054">
        <f>IF($J1054="","",YEAR($J1054-WEEKDAY($J1054,2)+4)&amp;"-W"&amp;TEXT(WEEKNUM($J1054,21),"00"))</f>
        <v/>
      </c>
      <c r="B1054">
        <f>IF($J1054="","",SUMIFS('Weekly Log'!$C:$C,'Weekly Log'!$A:$A,"&gt;="&amp;$J1054,'Weekly Log'!$A:$A,"&lt;"&amp;$J1054+7))</f>
        <v/>
      </c>
      <c r="C1054">
        <f>IF($J1054="","",IFERROR(COUNTIFS('Weekly Log'!$G:$G,"Y",'Weekly Log'!$A:$A,"&gt;="&amp;$J1054,'Weekly Log'!$A:$A,"&lt;"&amp;$J1054+7)/COUNTIFS('Weekly Log'!$G:$G,"&lt;&gt;",'Weekly Log'!$A:$A,"&gt;="&amp;$J1054,'Weekly Log'!$A:$A,"&lt;"&amp;$J1054+7),0))</f>
        <v/>
      </c>
      <c r="D1054">
        <f>IF($J1054="","",IFERROR(COUNTIFS('Weekly Log'!$H:$H,"Y",'Weekly Log'!$A:$A,"&gt;="&amp;$J1054,'Weekly Log'!$A:$A,"&lt;"&amp;$J1054+7)/COUNTIFS('Weekly Log'!$H:$H,"&lt;&gt;",'Weekly Log'!$A:$A,"&gt;="&amp;$J1054,'Weekly Log'!$A:$A,"&lt;"&amp;$J1054+7),0))</f>
        <v/>
      </c>
      <c r="E1054">
        <f>IF($J1054="","",IFERROR(AVERAGEIFS('Weekly Log'!$F:$F,'Weekly Log'!$A:$A,"&gt;="&amp;$J1054,'Weekly Log'!$A:$A,"&lt;"&amp;$J1054+7),0))</f>
        <v/>
      </c>
      <c r="F1054">
        <f>IF($J1054="","",IFERROR(SUMIFS('Weekly Log'!$F:$F,'Weekly Log'!$A:$A,"&gt;="&amp;$J1054,'Weekly Log'!$A:$A,"&lt;"&amp;$J1054+7)/SUMIFS('Weekly Log'!$E:$E,'Weekly Log'!$A:$A,"&gt;="&amp;$J1054,'Weekly Log'!$A:$A,"&lt;"&amp;$J1054+7),0))</f>
        <v/>
      </c>
      <c r="G1054">
        <f>IF($J1054="","",IFERROR(LOOKUP(2,1/(('Weekly Log'!$A$5:$A$5000&gt;=$J1054)*('Weekly Log'!$A$5:$A$5000&lt;$J1054+7)*('Weekly Log'!$M$5:$M$5000&lt;&gt;"")),'Weekly Log'!$M$5:$M$5000),0))</f>
        <v/>
      </c>
      <c r="J1054">
        <f>IF(COUNT('Weekly Log'!$A$5:$A$5000)=0,"",IF(MIN('Weekly Log'!$A$5:$A$5000)+7*(ROW()-10)&gt;MAX('Weekly Log'!$A$5:$A$5000),"",MIN('Weekly Log'!$A$5:$A$5000)+7*(ROW()-10)))</f>
        <v/>
      </c>
    </row>
    <row r="1055">
      <c r="A1055">
        <f>IF($J1055="","",YEAR($J1055-WEEKDAY($J1055,2)+4)&amp;"-W"&amp;TEXT(WEEKNUM($J1055,21),"00"))</f>
        <v/>
      </c>
      <c r="B1055">
        <f>IF($J1055="","",SUMIFS('Weekly Log'!$C:$C,'Weekly Log'!$A:$A,"&gt;="&amp;$J1055,'Weekly Log'!$A:$A,"&lt;"&amp;$J1055+7))</f>
        <v/>
      </c>
      <c r="C1055">
        <f>IF($J1055="","",IFERROR(COUNTIFS('Weekly Log'!$G:$G,"Y",'Weekly Log'!$A:$A,"&gt;="&amp;$J1055,'Weekly Log'!$A:$A,"&lt;"&amp;$J1055+7)/COUNTIFS('Weekly Log'!$G:$G,"&lt;&gt;",'Weekly Log'!$A:$A,"&gt;="&amp;$J1055,'Weekly Log'!$A:$A,"&lt;"&amp;$J1055+7),0))</f>
        <v/>
      </c>
      <c r="D1055">
        <f>IF($J1055="","",IFERROR(COUNTIFS('Weekly Log'!$H:$H,"Y",'Weekly Log'!$A:$A,"&gt;="&amp;$J1055,'Weekly Log'!$A:$A,"&lt;"&amp;$J1055+7)/COUNTIFS('Weekly Log'!$H:$H,"&lt;&gt;",'Weekly Log'!$A:$A,"&gt;="&amp;$J1055,'Weekly Log'!$A:$A,"&lt;"&amp;$J1055+7),0))</f>
        <v/>
      </c>
      <c r="E1055">
        <f>IF($J1055="","",IFERROR(AVERAGEIFS('Weekly Log'!$F:$F,'Weekly Log'!$A:$A,"&gt;="&amp;$J1055,'Weekly Log'!$A:$A,"&lt;"&amp;$J1055+7),0))</f>
        <v/>
      </c>
      <c r="F1055">
        <f>IF($J1055="","",IFERROR(SUMIFS('Weekly Log'!$F:$F,'Weekly Log'!$A:$A,"&gt;="&amp;$J1055,'Weekly Log'!$A:$A,"&lt;"&amp;$J1055+7)/SUMIFS('Weekly Log'!$E:$E,'Weekly Log'!$A:$A,"&gt;="&amp;$J1055,'Weekly Log'!$A:$A,"&lt;"&amp;$J1055+7),0))</f>
        <v/>
      </c>
      <c r="G1055">
        <f>IF($J1055="","",IFERROR(LOOKUP(2,1/(('Weekly Log'!$A$5:$A$5000&gt;=$J1055)*('Weekly Log'!$A$5:$A$5000&lt;$J1055+7)*('Weekly Log'!$M$5:$M$5000&lt;&gt;"")),'Weekly Log'!$M$5:$M$5000),0))</f>
        <v/>
      </c>
      <c r="J1055">
        <f>IF(COUNT('Weekly Log'!$A$5:$A$5000)=0,"",IF(MIN('Weekly Log'!$A$5:$A$5000)+7*(ROW()-10)&gt;MAX('Weekly Log'!$A$5:$A$5000),"",MIN('Weekly Log'!$A$5:$A$5000)+7*(ROW()-10)))</f>
        <v/>
      </c>
    </row>
    <row r="1056">
      <c r="A1056">
        <f>IF($J1056="","",YEAR($J1056-WEEKDAY($J1056,2)+4)&amp;"-W"&amp;TEXT(WEEKNUM($J1056,21),"00"))</f>
        <v/>
      </c>
      <c r="B1056">
        <f>IF($J1056="","",SUMIFS('Weekly Log'!$C:$C,'Weekly Log'!$A:$A,"&gt;="&amp;$J1056,'Weekly Log'!$A:$A,"&lt;"&amp;$J1056+7))</f>
        <v/>
      </c>
      <c r="C1056">
        <f>IF($J1056="","",IFERROR(COUNTIFS('Weekly Log'!$G:$G,"Y",'Weekly Log'!$A:$A,"&gt;="&amp;$J1056,'Weekly Log'!$A:$A,"&lt;"&amp;$J1056+7)/COUNTIFS('Weekly Log'!$G:$G,"&lt;&gt;",'Weekly Log'!$A:$A,"&gt;="&amp;$J1056,'Weekly Log'!$A:$A,"&lt;"&amp;$J1056+7),0))</f>
        <v/>
      </c>
      <c r="D1056">
        <f>IF($J1056="","",IFERROR(COUNTIFS('Weekly Log'!$H:$H,"Y",'Weekly Log'!$A:$A,"&gt;="&amp;$J1056,'Weekly Log'!$A:$A,"&lt;"&amp;$J1056+7)/COUNTIFS('Weekly Log'!$H:$H,"&lt;&gt;",'Weekly Log'!$A:$A,"&gt;="&amp;$J1056,'Weekly Log'!$A:$A,"&lt;"&amp;$J1056+7),0))</f>
        <v/>
      </c>
      <c r="E1056">
        <f>IF($J1056="","",IFERROR(AVERAGEIFS('Weekly Log'!$F:$F,'Weekly Log'!$A:$A,"&gt;="&amp;$J1056,'Weekly Log'!$A:$A,"&lt;"&amp;$J1056+7),0))</f>
        <v/>
      </c>
      <c r="F1056">
        <f>IF($J1056="","",IFERROR(SUMIFS('Weekly Log'!$F:$F,'Weekly Log'!$A:$A,"&gt;="&amp;$J1056,'Weekly Log'!$A:$A,"&lt;"&amp;$J1056+7)/SUMIFS('Weekly Log'!$E:$E,'Weekly Log'!$A:$A,"&gt;="&amp;$J1056,'Weekly Log'!$A:$A,"&lt;"&amp;$J1056+7),0))</f>
        <v/>
      </c>
      <c r="G1056">
        <f>IF($J1056="","",IFERROR(LOOKUP(2,1/(('Weekly Log'!$A$5:$A$5000&gt;=$J1056)*('Weekly Log'!$A$5:$A$5000&lt;$J1056+7)*('Weekly Log'!$M$5:$M$5000&lt;&gt;"")),'Weekly Log'!$M$5:$M$5000),0))</f>
        <v/>
      </c>
      <c r="J1056">
        <f>IF(COUNT('Weekly Log'!$A$5:$A$5000)=0,"",IF(MIN('Weekly Log'!$A$5:$A$5000)+7*(ROW()-10)&gt;MAX('Weekly Log'!$A$5:$A$5000),"",MIN('Weekly Log'!$A$5:$A$5000)+7*(ROW()-10)))</f>
        <v/>
      </c>
    </row>
    <row r="1057">
      <c r="A1057">
        <f>IF($J1057="","",YEAR($J1057-WEEKDAY($J1057,2)+4)&amp;"-W"&amp;TEXT(WEEKNUM($J1057,21),"00"))</f>
        <v/>
      </c>
      <c r="B1057">
        <f>IF($J1057="","",SUMIFS('Weekly Log'!$C:$C,'Weekly Log'!$A:$A,"&gt;="&amp;$J1057,'Weekly Log'!$A:$A,"&lt;"&amp;$J1057+7))</f>
        <v/>
      </c>
      <c r="C1057">
        <f>IF($J1057="","",IFERROR(COUNTIFS('Weekly Log'!$G:$G,"Y",'Weekly Log'!$A:$A,"&gt;="&amp;$J1057,'Weekly Log'!$A:$A,"&lt;"&amp;$J1057+7)/COUNTIFS('Weekly Log'!$G:$G,"&lt;&gt;",'Weekly Log'!$A:$A,"&gt;="&amp;$J1057,'Weekly Log'!$A:$A,"&lt;"&amp;$J1057+7),0))</f>
        <v/>
      </c>
      <c r="D1057">
        <f>IF($J1057="","",IFERROR(COUNTIFS('Weekly Log'!$H:$H,"Y",'Weekly Log'!$A:$A,"&gt;="&amp;$J1057,'Weekly Log'!$A:$A,"&lt;"&amp;$J1057+7)/COUNTIFS('Weekly Log'!$H:$H,"&lt;&gt;",'Weekly Log'!$A:$A,"&gt;="&amp;$J1057,'Weekly Log'!$A:$A,"&lt;"&amp;$J1057+7),0))</f>
        <v/>
      </c>
      <c r="E1057">
        <f>IF($J1057="","",IFERROR(AVERAGEIFS('Weekly Log'!$F:$F,'Weekly Log'!$A:$A,"&gt;="&amp;$J1057,'Weekly Log'!$A:$A,"&lt;"&amp;$J1057+7),0))</f>
        <v/>
      </c>
      <c r="F1057">
        <f>IF($J1057="","",IFERROR(SUMIFS('Weekly Log'!$F:$F,'Weekly Log'!$A:$A,"&gt;="&amp;$J1057,'Weekly Log'!$A:$A,"&lt;"&amp;$J1057+7)/SUMIFS('Weekly Log'!$E:$E,'Weekly Log'!$A:$A,"&gt;="&amp;$J1057,'Weekly Log'!$A:$A,"&lt;"&amp;$J1057+7),0))</f>
        <v/>
      </c>
      <c r="G1057">
        <f>IF($J1057="","",IFERROR(LOOKUP(2,1/(('Weekly Log'!$A$5:$A$5000&gt;=$J1057)*('Weekly Log'!$A$5:$A$5000&lt;$J1057+7)*('Weekly Log'!$M$5:$M$5000&lt;&gt;"")),'Weekly Log'!$M$5:$M$5000),0))</f>
        <v/>
      </c>
      <c r="J1057">
        <f>IF(COUNT('Weekly Log'!$A$5:$A$5000)=0,"",IF(MIN('Weekly Log'!$A$5:$A$5000)+7*(ROW()-10)&gt;MAX('Weekly Log'!$A$5:$A$5000),"",MIN('Weekly Log'!$A$5:$A$5000)+7*(ROW()-10)))</f>
        <v/>
      </c>
    </row>
    <row r="1058">
      <c r="A1058">
        <f>IF($J1058="","",YEAR($J1058-WEEKDAY($J1058,2)+4)&amp;"-W"&amp;TEXT(WEEKNUM($J1058,21),"00"))</f>
        <v/>
      </c>
      <c r="B1058">
        <f>IF($J1058="","",SUMIFS('Weekly Log'!$C:$C,'Weekly Log'!$A:$A,"&gt;="&amp;$J1058,'Weekly Log'!$A:$A,"&lt;"&amp;$J1058+7))</f>
        <v/>
      </c>
      <c r="C1058">
        <f>IF($J1058="","",IFERROR(COUNTIFS('Weekly Log'!$G:$G,"Y",'Weekly Log'!$A:$A,"&gt;="&amp;$J1058,'Weekly Log'!$A:$A,"&lt;"&amp;$J1058+7)/COUNTIFS('Weekly Log'!$G:$G,"&lt;&gt;",'Weekly Log'!$A:$A,"&gt;="&amp;$J1058,'Weekly Log'!$A:$A,"&lt;"&amp;$J1058+7),0))</f>
        <v/>
      </c>
      <c r="D1058">
        <f>IF($J1058="","",IFERROR(COUNTIFS('Weekly Log'!$H:$H,"Y",'Weekly Log'!$A:$A,"&gt;="&amp;$J1058,'Weekly Log'!$A:$A,"&lt;"&amp;$J1058+7)/COUNTIFS('Weekly Log'!$H:$H,"&lt;&gt;",'Weekly Log'!$A:$A,"&gt;="&amp;$J1058,'Weekly Log'!$A:$A,"&lt;"&amp;$J1058+7),0))</f>
        <v/>
      </c>
      <c r="E1058">
        <f>IF($J1058="","",IFERROR(AVERAGEIFS('Weekly Log'!$F:$F,'Weekly Log'!$A:$A,"&gt;="&amp;$J1058,'Weekly Log'!$A:$A,"&lt;"&amp;$J1058+7),0))</f>
        <v/>
      </c>
      <c r="F1058">
        <f>IF($J1058="","",IFERROR(SUMIFS('Weekly Log'!$F:$F,'Weekly Log'!$A:$A,"&gt;="&amp;$J1058,'Weekly Log'!$A:$A,"&lt;"&amp;$J1058+7)/SUMIFS('Weekly Log'!$E:$E,'Weekly Log'!$A:$A,"&gt;="&amp;$J1058,'Weekly Log'!$A:$A,"&lt;"&amp;$J1058+7),0))</f>
        <v/>
      </c>
      <c r="G1058">
        <f>IF($J1058="","",IFERROR(LOOKUP(2,1/(('Weekly Log'!$A$5:$A$5000&gt;=$J1058)*('Weekly Log'!$A$5:$A$5000&lt;$J1058+7)*('Weekly Log'!$M$5:$M$5000&lt;&gt;"")),'Weekly Log'!$M$5:$M$5000),0))</f>
        <v/>
      </c>
      <c r="J1058">
        <f>IF(COUNT('Weekly Log'!$A$5:$A$5000)=0,"",IF(MIN('Weekly Log'!$A$5:$A$5000)+7*(ROW()-10)&gt;MAX('Weekly Log'!$A$5:$A$5000),"",MIN('Weekly Log'!$A$5:$A$5000)+7*(ROW()-10)))</f>
        <v/>
      </c>
    </row>
    <row r="1059">
      <c r="A1059">
        <f>IF($J1059="","",YEAR($J1059-WEEKDAY($J1059,2)+4)&amp;"-W"&amp;TEXT(WEEKNUM($J1059,21),"00"))</f>
        <v/>
      </c>
      <c r="B1059">
        <f>IF($J1059="","",SUMIFS('Weekly Log'!$C:$C,'Weekly Log'!$A:$A,"&gt;="&amp;$J1059,'Weekly Log'!$A:$A,"&lt;"&amp;$J1059+7))</f>
        <v/>
      </c>
      <c r="C1059">
        <f>IF($J1059="","",IFERROR(COUNTIFS('Weekly Log'!$G:$G,"Y",'Weekly Log'!$A:$A,"&gt;="&amp;$J1059,'Weekly Log'!$A:$A,"&lt;"&amp;$J1059+7)/COUNTIFS('Weekly Log'!$G:$G,"&lt;&gt;",'Weekly Log'!$A:$A,"&gt;="&amp;$J1059,'Weekly Log'!$A:$A,"&lt;"&amp;$J1059+7),0))</f>
        <v/>
      </c>
      <c r="D1059">
        <f>IF($J1059="","",IFERROR(COUNTIFS('Weekly Log'!$H:$H,"Y",'Weekly Log'!$A:$A,"&gt;="&amp;$J1059,'Weekly Log'!$A:$A,"&lt;"&amp;$J1059+7)/COUNTIFS('Weekly Log'!$H:$H,"&lt;&gt;",'Weekly Log'!$A:$A,"&gt;="&amp;$J1059,'Weekly Log'!$A:$A,"&lt;"&amp;$J1059+7),0))</f>
        <v/>
      </c>
      <c r="E1059">
        <f>IF($J1059="","",IFERROR(AVERAGEIFS('Weekly Log'!$F:$F,'Weekly Log'!$A:$A,"&gt;="&amp;$J1059,'Weekly Log'!$A:$A,"&lt;"&amp;$J1059+7),0))</f>
        <v/>
      </c>
      <c r="F1059">
        <f>IF($J1059="","",IFERROR(SUMIFS('Weekly Log'!$F:$F,'Weekly Log'!$A:$A,"&gt;="&amp;$J1059,'Weekly Log'!$A:$A,"&lt;"&amp;$J1059+7)/SUMIFS('Weekly Log'!$E:$E,'Weekly Log'!$A:$A,"&gt;="&amp;$J1059,'Weekly Log'!$A:$A,"&lt;"&amp;$J1059+7),0))</f>
        <v/>
      </c>
      <c r="G1059">
        <f>IF($J1059="","",IFERROR(LOOKUP(2,1/(('Weekly Log'!$A$5:$A$5000&gt;=$J1059)*('Weekly Log'!$A$5:$A$5000&lt;$J1059+7)*('Weekly Log'!$M$5:$M$5000&lt;&gt;"")),'Weekly Log'!$M$5:$M$5000),0))</f>
        <v/>
      </c>
      <c r="J1059">
        <f>IF(COUNT('Weekly Log'!$A$5:$A$5000)=0,"",IF(MIN('Weekly Log'!$A$5:$A$5000)+7*(ROW()-10)&gt;MAX('Weekly Log'!$A$5:$A$5000),"",MIN('Weekly Log'!$A$5:$A$5000)+7*(ROW()-10)))</f>
        <v/>
      </c>
    </row>
    <row r="1060">
      <c r="A1060">
        <f>IF($J1060="","",YEAR($J1060-WEEKDAY($J1060,2)+4)&amp;"-W"&amp;TEXT(WEEKNUM($J1060,21),"00"))</f>
        <v/>
      </c>
      <c r="B1060">
        <f>IF($J1060="","",SUMIFS('Weekly Log'!$C:$C,'Weekly Log'!$A:$A,"&gt;="&amp;$J1060,'Weekly Log'!$A:$A,"&lt;"&amp;$J1060+7))</f>
        <v/>
      </c>
      <c r="C1060">
        <f>IF($J1060="","",IFERROR(COUNTIFS('Weekly Log'!$G:$G,"Y",'Weekly Log'!$A:$A,"&gt;="&amp;$J1060,'Weekly Log'!$A:$A,"&lt;"&amp;$J1060+7)/COUNTIFS('Weekly Log'!$G:$G,"&lt;&gt;",'Weekly Log'!$A:$A,"&gt;="&amp;$J1060,'Weekly Log'!$A:$A,"&lt;"&amp;$J1060+7),0))</f>
        <v/>
      </c>
      <c r="D1060">
        <f>IF($J1060="","",IFERROR(COUNTIFS('Weekly Log'!$H:$H,"Y",'Weekly Log'!$A:$A,"&gt;="&amp;$J1060,'Weekly Log'!$A:$A,"&lt;"&amp;$J1060+7)/COUNTIFS('Weekly Log'!$H:$H,"&lt;&gt;",'Weekly Log'!$A:$A,"&gt;="&amp;$J1060,'Weekly Log'!$A:$A,"&lt;"&amp;$J1060+7),0))</f>
        <v/>
      </c>
      <c r="E1060">
        <f>IF($J1060="","",IFERROR(AVERAGEIFS('Weekly Log'!$F:$F,'Weekly Log'!$A:$A,"&gt;="&amp;$J1060,'Weekly Log'!$A:$A,"&lt;"&amp;$J1060+7),0))</f>
        <v/>
      </c>
      <c r="F1060">
        <f>IF($J1060="","",IFERROR(SUMIFS('Weekly Log'!$F:$F,'Weekly Log'!$A:$A,"&gt;="&amp;$J1060,'Weekly Log'!$A:$A,"&lt;"&amp;$J1060+7)/SUMIFS('Weekly Log'!$E:$E,'Weekly Log'!$A:$A,"&gt;="&amp;$J1060,'Weekly Log'!$A:$A,"&lt;"&amp;$J1060+7),0))</f>
        <v/>
      </c>
      <c r="G1060">
        <f>IF($J1060="","",IFERROR(LOOKUP(2,1/(('Weekly Log'!$A$5:$A$5000&gt;=$J1060)*('Weekly Log'!$A$5:$A$5000&lt;$J1060+7)*('Weekly Log'!$M$5:$M$5000&lt;&gt;"")),'Weekly Log'!$M$5:$M$5000),0))</f>
        <v/>
      </c>
      <c r="J1060">
        <f>IF(COUNT('Weekly Log'!$A$5:$A$5000)=0,"",IF(MIN('Weekly Log'!$A$5:$A$5000)+7*(ROW()-10)&gt;MAX('Weekly Log'!$A$5:$A$5000),"",MIN('Weekly Log'!$A$5:$A$5000)+7*(ROW()-10)))</f>
        <v/>
      </c>
    </row>
    <row r="1061">
      <c r="A1061">
        <f>IF($J1061="","",YEAR($J1061-WEEKDAY($J1061,2)+4)&amp;"-W"&amp;TEXT(WEEKNUM($J1061,21),"00"))</f>
        <v/>
      </c>
      <c r="B1061">
        <f>IF($J1061="","",SUMIFS('Weekly Log'!$C:$C,'Weekly Log'!$A:$A,"&gt;="&amp;$J1061,'Weekly Log'!$A:$A,"&lt;"&amp;$J1061+7))</f>
        <v/>
      </c>
      <c r="C1061">
        <f>IF($J1061="","",IFERROR(COUNTIFS('Weekly Log'!$G:$G,"Y",'Weekly Log'!$A:$A,"&gt;="&amp;$J1061,'Weekly Log'!$A:$A,"&lt;"&amp;$J1061+7)/COUNTIFS('Weekly Log'!$G:$G,"&lt;&gt;",'Weekly Log'!$A:$A,"&gt;="&amp;$J1061,'Weekly Log'!$A:$A,"&lt;"&amp;$J1061+7),0))</f>
        <v/>
      </c>
      <c r="D1061">
        <f>IF($J1061="","",IFERROR(COUNTIFS('Weekly Log'!$H:$H,"Y",'Weekly Log'!$A:$A,"&gt;="&amp;$J1061,'Weekly Log'!$A:$A,"&lt;"&amp;$J1061+7)/COUNTIFS('Weekly Log'!$H:$H,"&lt;&gt;",'Weekly Log'!$A:$A,"&gt;="&amp;$J1061,'Weekly Log'!$A:$A,"&lt;"&amp;$J1061+7),0))</f>
        <v/>
      </c>
      <c r="E1061">
        <f>IF($J1061="","",IFERROR(AVERAGEIFS('Weekly Log'!$F:$F,'Weekly Log'!$A:$A,"&gt;="&amp;$J1061,'Weekly Log'!$A:$A,"&lt;"&amp;$J1061+7),0))</f>
        <v/>
      </c>
      <c r="F1061">
        <f>IF($J1061="","",IFERROR(SUMIFS('Weekly Log'!$F:$F,'Weekly Log'!$A:$A,"&gt;="&amp;$J1061,'Weekly Log'!$A:$A,"&lt;"&amp;$J1061+7)/SUMIFS('Weekly Log'!$E:$E,'Weekly Log'!$A:$A,"&gt;="&amp;$J1061,'Weekly Log'!$A:$A,"&lt;"&amp;$J1061+7),0))</f>
        <v/>
      </c>
      <c r="G1061">
        <f>IF($J1061="","",IFERROR(LOOKUP(2,1/(('Weekly Log'!$A$5:$A$5000&gt;=$J1061)*('Weekly Log'!$A$5:$A$5000&lt;$J1061+7)*('Weekly Log'!$M$5:$M$5000&lt;&gt;"")),'Weekly Log'!$M$5:$M$5000),0))</f>
        <v/>
      </c>
      <c r="J1061">
        <f>IF(COUNT('Weekly Log'!$A$5:$A$5000)=0,"",IF(MIN('Weekly Log'!$A$5:$A$5000)+7*(ROW()-10)&gt;MAX('Weekly Log'!$A$5:$A$5000),"",MIN('Weekly Log'!$A$5:$A$5000)+7*(ROW()-10)))</f>
        <v/>
      </c>
    </row>
    <row r="1062">
      <c r="A1062">
        <f>IF($J1062="","",YEAR($J1062-WEEKDAY($J1062,2)+4)&amp;"-W"&amp;TEXT(WEEKNUM($J1062,21),"00"))</f>
        <v/>
      </c>
      <c r="B1062">
        <f>IF($J1062="","",SUMIFS('Weekly Log'!$C:$C,'Weekly Log'!$A:$A,"&gt;="&amp;$J1062,'Weekly Log'!$A:$A,"&lt;"&amp;$J1062+7))</f>
        <v/>
      </c>
      <c r="C1062">
        <f>IF($J1062="","",IFERROR(COUNTIFS('Weekly Log'!$G:$G,"Y",'Weekly Log'!$A:$A,"&gt;="&amp;$J1062,'Weekly Log'!$A:$A,"&lt;"&amp;$J1062+7)/COUNTIFS('Weekly Log'!$G:$G,"&lt;&gt;",'Weekly Log'!$A:$A,"&gt;="&amp;$J1062,'Weekly Log'!$A:$A,"&lt;"&amp;$J1062+7),0))</f>
        <v/>
      </c>
      <c r="D1062">
        <f>IF($J1062="","",IFERROR(COUNTIFS('Weekly Log'!$H:$H,"Y",'Weekly Log'!$A:$A,"&gt;="&amp;$J1062,'Weekly Log'!$A:$A,"&lt;"&amp;$J1062+7)/COUNTIFS('Weekly Log'!$H:$H,"&lt;&gt;",'Weekly Log'!$A:$A,"&gt;="&amp;$J1062,'Weekly Log'!$A:$A,"&lt;"&amp;$J1062+7),0))</f>
        <v/>
      </c>
      <c r="E1062">
        <f>IF($J1062="","",IFERROR(AVERAGEIFS('Weekly Log'!$F:$F,'Weekly Log'!$A:$A,"&gt;="&amp;$J1062,'Weekly Log'!$A:$A,"&lt;"&amp;$J1062+7),0))</f>
        <v/>
      </c>
      <c r="F1062">
        <f>IF($J1062="","",IFERROR(SUMIFS('Weekly Log'!$F:$F,'Weekly Log'!$A:$A,"&gt;="&amp;$J1062,'Weekly Log'!$A:$A,"&lt;"&amp;$J1062+7)/SUMIFS('Weekly Log'!$E:$E,'Weekly Log'!$A:$A,"&gt;="&amp;$J1062,'Weekly Log'!$A:$A,"&lt;"&amp;$J1062+7),0))</f>
        <v/>
      </c>
      <c r="G1062">
        <f>IF($J1062="","",IFERROR(LOOKUP(2,1/(('Weekly Log'!$A$5:$A$5000&gt;=$J1062)*('Weekly Log'!$A$5:$A$5000&lt;$J1062+7)*('Weekly Log'!$M$5:$M$5000&lt;&gt;"")),'Weekly Log'!$M$5:$M$5000),0))</f>
        <v/>
      </c>
      <c r="J1062">
        <f>IF(COUNT('Weekly Log'!$A$5:$A$5000)=0,"",IF(MIN('Weekly Log'!$A$5:$A$5000)+7*(ROW()-10)&gt;MAX('Weekly Log'!$A$5:$A$5000),"",MIN('Weekly Log'!$A$5:$A$5000)+7*(ROW()-10)))</f>
        <v/>
      </c>
    </row>
    <row r="1063">
      <c r="A1063">
        <f>IF($J1063="","",YEAR($J1063-WEEKDAY($J1063,2)+4)&amp;"-W"&amp;TEXT(WEEKNUM($J1063,21),"00"))</f>
        <v/>
      </c>
      <c r="B1063">
        <f>IF($J1063="","",SUMIFS('Weekly Log'!$C:$C,'Weekly Log'!$A:$A,"&gt;="&amp;$J1063,'Weekly Log'!$A:$A,"&lt;"&amp;$J1063+7))</f>
        <v/>
      </c>
      <c r="C1063">
        <f>IF($J1063="","",IFERROR(COUNTIFS('Weekly Log'!$G:$G,"Y",'Weekly Log'!$A:$A,"&gt;="&amp;$J1063,'Weekly Log'!$A:$A,"&lt;"&amp;$J1063+7)/COUNTIFS('Weekly Log'!$G:$G,"&lt;&gt;",'Weekly Log'!$A:$A,"&gt;="&amp;$J1063,'Weekly Log'!$A:$A,"&lt;"&amp;$J1063+7),0))</f>
        <v/>
      </c>
      <c r="D1063">
        <f>IF($J1063="","",IFERROR(COUNTIFS('Weekly Log'!$H:$H,"Y",'Weekly Log'!$A:$A,"&gt;="&amp;$J1063,'Weekly Log'!$A:$A,"&lt;"&amp;$J1063+7)/COUNTIFS('Weekly Log'!$H:$H,"&lt;&gt;",'Weekly Log'!$A:$A,"&gt;="&amp;$J1063,'Weekly Log'!$A:$A,"&lt;"&amp;$J1063+7),0))</f>
        <v/>
      </c>
      <c r="E1063">
        <f>IF($J1063="","",IFERROR(AVERAGEIFS('Weekly Log'!$F:$F,'Weekly Log'!$A:$A,"&gt;="&amp;$J1063,'Weekly Log'!$A:$A,"&lt;"&amp;$J1063+7),0))</f>
        <v/>
      </c>
      <c r="F1063">
        <f>IF($J1063="","",IFERROR(SUMIFS('Weekly Log'!$F:$F,'Weekly Log'!$A:$A,"&gt;="&amp;$J1063,'Weekly Log'!$A:$A,"&lt;"&amp;$J1063+7)/SUMIFS('Weekly Log'!$E:$E,'Weekly Log'!$A:$A,"&gt;="&amp;$J1063,'Weekly Log'!$A:$A,"&lt;"&amp;$J1063+7),0))</f>
        <v/>
      </c>
      <c r="G1063">
        <f>IF($J1063="","",IFERROR(LOOKUP(2,1/(('Weekly Log'!$A$5:$A$5000&gt;=$J1063)*('Weekly Log'!$A$5:$A$5000&lt;$J1063+7)*('Weekly Log'!$M$5:$M$5000&lt;&gt;"")),'Weekly Log'!$M$5:$M$5000),0))</f>
        <v/>
      </c>
      <c r="J1063">
        <f>IF(COUNT('Weekly Log'!$A$5:$A$5000)=0,"",IF(MIN('Weekly Log'!$A$5:$A$5000)+7*(ROW()-10)&gt;MAX('Weekly Log'!$A$5:$A$5000),"",MIN('Weekly Log'!$A$5:$A$5000)+7*(ROW()-10)))</f>
        <v/>
      </c>
    </row>
    <row r="1064">
      <c r="A1064">
        <f>IF($J1064="","",YEAR($J1064-WEEKDAY($J1064,2)+4)&amp;"-W"&amp;TEXT(WEEKNUM($J1064,21),"00"))</f>
        <v/>
      </c>
      <c r="B1064">
        <f>IF($J1064="","",SUMIFS('Weekly Log'!$C:$C,'Weekly Log'!$A:$A,"&gt;="&amp;$J1064,'Weekly Log'!$A:$A,"&lt;"&amp;$J1064+7))</f>
        <v/>
      </c>
      <c r="C1064">
        <f>IF($J1064="","",IFERROR(COUNTIFS('Weekly Log'!$G:$G,"Y",'Weekly Log'!$A:$A,"&gt;="&amp;$J1064,'Weekly Log'!$A:$A,"&lt;"&amp;$J1064+7)/COUNTIFS('Weekly Log'!$G:$G,"&lt;&gt;",'Weekly Log'!$A:$A,"&gt;="&amp;$J1064,'Weekly Log'!$A:$A,"&lt;"&amp;$J1064+7),0))</f>
        <v/>
      </c>
      <c r="D1064">
        <f>IF($J1064="","",IFERROR(COUNTIFS('Weekly Log'!$H:$H,"Y",'Weekly Log'!$A:$A,"&gt;="&amp;$J1064,'Weekly Log'!$A:$A,"&lt;"&amp;$J1064+7)/COUNTIFS('Weekly Log'!$H:$H,"&lt;&gt;",'Weekly Log'!$A:$A,"&gt;="&amp;$J1064,'Weekly Log'!$A:$A,"&lt;"&amp;$J1064+7),0))</f>
        <v/>
      </c>
      <c r="E1064">
        <f>IF($J1064="","",IFERROR(AVERAGEIFS('Weekly Log'!$F:$F,'Weekly Log'!$A:$A,"&gt;="&amp;$J1064,'Weekly Log'!$A:$A,"&lt;"&amp;$J1064+7),0))</f>
        <v/>
      </c>
      <c r="F1064">
        <f>IF($J1064="","",IFERROR(SUMIFS('Weekly Log'!$F:$F,'Weekly Log'!$A:$A,"&gt;="&amp;$J1064,'Weekly Log'!$A:$A,"&lt;"&amp;$J1064+7)/SUMIFS('Weekly Log'!$E:$E,'Weekly Log'!$A:$A,"&gt;="&amp;$J1064,'Weekly Log'!$A:$A,"&lt;"&amp;$J1064+7),0))</f>
        <v/>
      </c>
      <c r="G1064">
        <f>IF($J1064="","",IFERROR(LOOKUP(2,1/(('Weekly Log'!$A$5:$A$5000&gt;=$J1064)*('Weekly Log'!$A$5:$A$5000&lt;$J1064+7)*('Weekly Log'!$M$5:$M$5000&lt;&gt;"")),'Weekly Log'!$M$5:$M$5000),0))</f>
        <v/>
      </c>
      <c r="J1064">
        <f>IF(COUNT('Weekly Log'!$A$5:$A$5000)=0,"",IF(MIN('Weekly Log'!$A$5:$A$5000)+7*(ROW()-10)&gt;MAX('Weekly Log'!$A$5:$A$5000),"",MIN('Weekly Log'!$A$5:$A$5000)+7*(ROW()-10)))</f>
        <v/>
      </c>
    </row>
    <row r="1065">
      <c r="A1065">
        <f>IF($J1065="","",YEAR($J1065-WEEKDAY($J1065,2)+4)&amp;"-W"&amp;TEXT(WEEKNUM($J1065,21),"00"))</f>
        <v/>
      </c>
      <c r="B1065">
        <f>IF($J1065="","",SUMIFS('Weekly Log'!$C:$C,'Weekly Log'!$A:$A,"&gt;="&amp;$J1065,'Weekly Log'!$A:$A,"&lt;"&amp;$J1065+7))</f>
        <v/>
      </c>
      <c r="C1065">
        <f>IF($J1065="","",IFERROR(COUNTIFS('Weekly Log'!$G:$G,"Y",'Weekly Log'!$A:$A,"&gt;="&amp;$J1065,'Weekly Log'!$A:$A,"&lt;"&amp;$J1065+7)/COUNTIFS('Weekly Log'!$G:$G,"&lt;&gt;",'Weekly Log'!$A:$A,"&gt;="&amp;$J1065,'Weekly Log'!$A:$A,"&lt;"&amp;$J1065+7),0))</f>
        <v/>
      </c>
      <c r="D1065">
        <f>IF($J1065="","",IFERROR(COUNTIFS('Weekly Log'!$H:$H,"Y",'Weekly Log'!$A:$A,"&gt;="&amp;$J1065,'Weekly Log'!$A:$A,"&lt;"&amp;$J1065+7)/COUNTIFS('Weekly Log'!$H:$H,"&lt;&gt;",'Weekly Log'!$A:$A,"&gt;="&amp;$J1065,'Weekly Log'!$A:$A,"&lt;"&amp;$J1065+7),0))</f>
        <v/>
      </c>
      <c r="E1065">
        <f>IF($J1065="","",IFERROR(AVERAGEIFS('Weekly Log'!$F:$F,'Weekly Log'!$A:$A,"&gt;="&amp;$J1065,'Weekly Log'!$A:$A,"&lt;"&amp;$J1065+7),0))</f>
        <v/>
      </c>
      <c r="F1065">
        <f>IF($J1065="","",IFERROR(SUMIFS('Weekly Log'!$F:$F,'Weekly Log'!$A:$A,"&gt;="&amp;$J1065,'Weekly Log'!$A:$A,"&lt;"&amp;$J1065+7)/SUMIFS('Weekly Log'!$E:$E,'Weekly Log'!$A:$A,"&gt;="&amp;$J1065,'Weekly Log'!$A:$A,"&lt;"&amp;$J1065+7),0))</f>
        <v/>
      </c>
      <c r="G1065">
        <f>IF($J1065="","",IFERROR(LOOKUP(2,1/(('Weekly Log'!$A$5:$A$5000&gt;=$J1065)*('Weekly Log'!$A$5:$A$5000&lt;$J1065+7)*('Weekly Log'!$M$5:$M$5000&lt;&gt;"")),'Weekly Log'!$M$5:$M$5000),0))</f>
        <v/>
      </c>
      <c r="J1065">
        <f>IF(COUNT('Weekly Log'!$A$5:$A$5000)=0,"",IF(MIN('Weekly Log'!$A$5:$A$5000)+7*(ROW()-10)&gt;MAX('Weekly Log'!$A$5:$A$5000),"",MIN('Weekly Log'!$A$5:$A$5000)+7*(ROW()-10)))</f>
        <v/>
      </c>
    </row>
    <row r="1066">
      <c r="A1066">
        <f>IF($J1066="","",YEAR($J1066-WEEKDAY($J1066,2)+4)&amp;"-W"&amp;TEXT(WEEKNUM($J1066,21),"00"))</f>
        <v/>
      </c>
      <c r="B1066">
        <f>IF($J1066="","",SUMIFS('Weekly Log'!$C:$C,'Weekly Log'!$A:$A,"&gt;="&amp;$J1066,'Weekly Log'!$A:$A,"&lt;"&amp;$J1066+7))</f>
        <v/>
      </c>
      <c r="C1066">
        <f>IF($J1066="","",IFERROR(COUNTIFS('Weekly Log'!$G:$G,"Y",'Weekly Log'!$A:$A,"&gt;="&amp;$J1066,'Weekly Log'!$A:$A,"&lt;"&amp;$J1066+7)/COUNTIFS('Weekly Log'!$G:$G,"&lt;&gt;",'Weekly Log'!$A:$A,"&gt;="&amp;$J1066,'Weekly Log'!$A:$A,"&lt;"&amp;$J1066+7),0))</f>
        <v/>
      </c>
      <c r="D1066">
        <f>IF($J1066="","",IFERROR(COUNTIFS('Weekly Log'!$H:$H,"Y",'Weekly Log'!$A:$A,"&gt;="&amp;$J1066,'Weekly Log'!$A:$A,"&lt;"&amp;$J1066+7)/COUNTIFS('Weekly Log'!$H:$H,"&lt;&gt;",'Weekly Log'!$A:$A,"&gt;="&amp;$J1066,'Weekly Log'!$A:$A,"&lt;"&amp;$J1066+7),0))</f>
        <v/>
      </c>
      <c r="E1066">
        <f>IF($J1066="","",IFERROR(AVERAGEIFS('Weekly Log'!$F:$F,'Weekly Log'!$A:$A,"&gt;="&amp;$J1066,'Weekly Log'!$A:$A,"&lt;"&amp;$J1066+7),0))</f>
        <v/>
      </c>
      <c r="F1066">
        <f>IF($J1066="","",IFERROR(SUMIFS('Weekly Log'!$F:$F,'Weekly Log'!$A:$A,"&gt;="&amp;$J1066,'Weekly Log'!$A:$A,"&lt;"&amp;$J1066+7)/SUMIFS('Weekly Log'!$E:$E,'Weekly Log'!$A:$A,"&gt;="&amp;$J1066,'Weekly Log'!$A:$A,"&lt;"&amp;$J1066+7),0))</f>
        <v/>
      </c>
      <c r="G1066">
        <f>IF($J1066="","",IFERROR(LOOKUP(2,1/(('Weekly Log'!$A$5:$A$5000&gt;=$J1066)*('Weekly Log'!$A$5:$A$5000&lt;$J1066+7)*('Weekly Log'!$M$5:$M$5000&lt;&gt;"")),'Weekly Log'!$M$5:$M$5000),0))</f>
        <v/>
      </c>
      <c r="J1066">
        <f>IF(COUNT('Weekly Log'!$A$5:$A$5000)=0,"",IF(MIN('Weekly Log'!$A$5:$A$5000)+7*(ROW()-10)&gt;MAX('Weekly Log'!$A$5:$A$5000),"",MIN('Weekly Log'!$A$5:$A$5000)+7*(ROW()-10)))</f>
        <v/>
      </c>
    </row>
    <row r="1067">
      <c r="A1067">
        <f>IF($J1067="","",YEAR($J1067-WEEKDAY($J1067,2)+4)&amp;"-W"&amp;TEXT(WEEKNUM($J1067,21),"00"))</f>
        <v/>
      </c>
      <c r="B1067">
        <f>IF($J1067="","",SUMIFS('Weekly Log'!$C:$C,'Weekly Log'!$A:$A,"&gt;="&amp;$J1067,'Weekly Log'!$A:$A,"&lt;"&amp;$J1067+7))</f>
        <v/>
      </c>
      <c r="C1067">
        <f>IF($J1067="","",IFERROR(COUNTIFS('Weekly Log'!$G:$G,"Y",'Weekly Log'!$A:$A,"&gt;="&amp;$J1067,'Weekly Log'!$A:$A,"&lt;"&amp;$J1067+7)/COUNTIFS('Weekly Log'!$G:$G,"&lt;&gt;",'Weekly Log'!$A:$A,"&gt;="&amp;$J1067,'Weekly Log'!$A:$A,"&lt;"&amp;$J1067+7),0))</f>
        <v/>
      </c>
      <c r="D1067">
        <f>IF($J1067="","",IFERROR(COUNTIFS('Weekly Log'!$H:$H,"Y",'Weekly Log'!$A:$A,"&gt;="&amp;$J1067,'Weekly Log'!$A:$A,"&lt;"&amp;$J1067+7)/COUNTIFS('Weekly Log'!$H:$H,"&lt;&gt;",'Weekly Log'!$A:$A,"&gt;="&amp;$J1067,'Weekly Log'!$A:$A,"&lt;"&amp;$J1067+7),0))</f>
        <v/>
      </c>
      <c r="E1067">
        <f>IF($J1067="","",IFERROR(AVERAGEIFS('Weekly Log'!$F:$F,'Weekly Log'!$A:$A,"&gt;="&amp;$J1067,'Weekly Log'!$A:$A,"&lt;"&amp;$J1067+7),0))</f>
        <v/>
      </c>
      <c r="F1067">
        <f>IF($J1067="","",IFERROR(SUMIFS('Weekly Log'!$F:$F,'Weekly Log'!$A:$A,"&gt;="&amp;$J1067,'Weekly Log'!$A:$A,"&lt;"&amp;$J1067+7)/SUMIFS('Weekly Log'!$E:$E,'Weekly Log'!$A:$A,"&gt;="&amp;$J1067,'Weekly Log'!$A:$A,"&lt;"&amp;$J1067+7),0))</f>
        <v/>
      </c>
      <c r="G1067">
        <f>IF($J1067="","",IFERROR(LOOKUP(2,1/(('Weekly Log'!$A$5:$A$5000&gt;=$J1067)*('Weekly Log'!$A$5:$A$5000&lt;$J1067+7)*('Weekly Log'!$M$5:$M$5000&lt;&gt;"")),'Weekly Log'!$M$5:$M$5000),0))</f>
        <v/>
      </c>
      <c r="J1067">
        <f>IF(COUNT('Weekly Log'!$A$5:$A$5000)=0,"",IF(MIN('Weekly Log'!$A$5:$A$5000)+7*(ROW()-10)&gt;MAX('Weekly Log'!$A$5:$A$5000),"",MIN('Weekly Log'!$A$5:$A$5000)+7*(ROW()-10)))</f>
        <v/>
      </c>
    </row>
    <row r="1068">
      <c r="A1068">
        <f>IF($J1068="","",YEAR($J1068-WEEKDAY($J1068,2)+4)&amp;"-W"&amp;TEXT(WEEKNUM($J1068,21),"00"))</f>
        <v/>
      </c>
      <c r="B1068">
        <f>IF($J1068="","",SUMIFS('Weekly Log'!$C:$C,'Weekly Log'!$A:$A,"&gt;="&amp;$J1068,'Weekly Log'!$A:$A,"&lt;"&amp;$J1068+7))</f>
        <v/>
      </c>
      <c r="C1068">
        <f>IF($J1068="","",IFERROR(COUNTIFS('Weekly Log'!$G:$G,"Y",'Weekly Log'!$A:$A,"&gt;="&amp;$J1068,'Weekly Log'!$A:$A,"&lt;"&amp;$J1068+7)/COUNTIFS('Weekly Log'!$G:$G,"&lt;&gt;",'Weekly Log'!$A:$A,"&gt;="&amp;$J1068,'Weekly Log'!$A:$A,"&lt;"&amp;$J1068+7),0))</f>
        <v/>
      </c>
      <c r="D1068">
        <f>IF($J1068="","",IFERROR(COUNTIFS('Weekly Log'!$H:$H,"Y",'Weekly Log'!$A:$A,"&gt;="&amp;$J1068,'Weekly Log'!$A:$A,"&lt;"&amp;$J1068+7)/COUNTIFS('Weekly Log'!$H:$H,"&lt;&gt;",'Weekly Log'!$A:$A,"&gt;="&amp;$J1068,'Weekly Log'!$A:$A,"&lt;"&amp;$J1068+7),0))</f>
        <v/>
      </c>
      <c r="E1068">
        <f>IF($J1068="","",IFERROR(AVERAGEIFS('Weekly Log'!$F:$F,'Weekly Log'!$A:$A,"&gt;="&amp;$J1068,'Weekly Log'!$A:$A,"&lt;"&amp;$J1068+7),0))</f>
        <v/>
      </c>
      <c r="F1068">
        <f>IF($J1068="","",IFERROR(SUMIFS('Weekly Log'!$F:$F,'Weekly Log'!$A:$A,"&gt;="&amp;$J1068,'Weekly Log'!$A:$A,"&lt;"&amp;$J1068+7)/SUMIFS('Weekly Log'!$E:$E,'Weekly Log'!$A:$A,"&gt;="&amp;$J1068,'Weekly Log'!$A:$A,"&lt;"&amp;$J1068+7),0))</f>
        <v/>
      </c>
      <c r="G1068">
        <f>IF($J1068="","",IFERROR(LOOKUP(2,1/(('Weekly Log'!$A$5:$A$5000&gt;=$J1068)*('Weekly Log'!$A$5:$A$5000&lt;$J1068+7)*('Weekly Log'!$M$5:$M$5000&lt;&gt;"")),'Weekly Log'!$M$5:$M$5000),0))</f>
        <v/>
      </c>
      <c r="J1068">
        <f>IF(COUNT('Weekly Log'!$A$5:$A$5000)=0,"",IF(MIN('Weekly Log'!$A$5:$A$5000)+7*(ROW()-10)&gt;MAX('Weekly Log'!$A$5:$A$5000),"",MIN('Weekly Log'!$A$5:$A$5000)+7*(ROW()-10)))</f>
        <v/>
      </c>
    </row>
    <row r="1069">
      <c r="A1069">
        <f>IF($J1069="","",YEAR($J1069-WEEKDAY($J1069,2)+4)&amp;"-W"&amp;TEXT(WEEKNUM($J1069,21),"00"))</f>
        <v/>
      </c>
      <c r="B1069">
        <f>IF($J1069="","",SUMIFS('Weekly Log'!$C:$C,'Weekly Log'!$A:$A,"&gt;="&amp;$J1069,'Weekly Log'!$A:$A,"&lt;"&amp;$J1069+7))</f>
        <v/>
      </c>
      <c r="C1069">
        <f>IF($J1069="","",IFERROR(COUNTIFS('Weekly Log'!$G:$G,"Y",'Weekly Log'!$A:$A,"&gt;="&amp;$J1069,'Weekly Log'!$A:$A,"&lt;"&amp;$J1069+7)/COUNTIFS('Weekly Log'!$G:$G,"&lt;&gt;",'Weekly Log'!$A:$A,"&gt;="&amp;$J1069,'Weekly Log'!$A:$A,"&lt;"&amp;$J1069+7),0))</f>
        <v/>
      </c>
      <c r="D1069">
        <f>IF($J1069="","",IFERROR(COUNTIFS('Weekly Log'!$H:$H,"Y",'Weekly Log'!$A:$A,"&gt;="&amp;$J1069,'Weekly Log'!$A:$A,"&lt;"&amp;$J1069+7)/COUNTIFS('Weekly Log'!$H:$H,"&lt;&gt;",'Weekly Log'!$A:$A,"&gt;="&amp;$J1069,'Weekly Log'!$A:$A,"&lt;"&amp;$J1069+7),0))</f>
        <v/>
      </c>
      <c r="E1069">
        <f>IF($J1069="","",IFERROR(AVERAGEIFS('Weekly Log'!$F:$F,'Weekly Log'!$A:$A,"&gt;="&amp;$J1069,'Weekly Log'!$A:$A,"&lt;"&amp;$J1069+7),0))</f>
        <v/>
      </c>
      <c r="F1069">
        <f>IF($J1069="","",IFERROR(SUMIFS('Weekly Log'!$F:$F,'Weekly Log'!$A:$A,"&gt;="&amp;$J1069,'Weekly Log'!$A:$A,"&lt;"&amp;$J1069+7)/SUMIFS('Weekly Log'!$E:$E,'Weekly Log'!$A:$A,"&gt;="&amp;$J1069,'Weekly Log'!$A:$A,"&lt;"&amp;$J1069+7),0))</f>
        <v/>
      </c>
      <c r="G1069">
        <f>IF($J1069="","",IFERROR(LOOKUP(2,1/(('Weekly Log'!$A$5:$A$5000&gt;=$J1069)*('Weekly Log'!$A$5:$A$5000&lt;$J1069+7)*('Weekly Log'!$M$5:$M$5000&lt;&gt;"")),'Weekly Log'!$M$5:$M$5000),0))</f>
        <v/>
      </c>
      <c r="J1069">
        <f>IF(COUNT('Weekly Log'!$A$5:$A$5000)=0,"",IF(MIN('Weekly Log'!$A$5:$A$5000)+7*(ROW()-10)&gt;MAX('Weekly Log'!$A$5:$A$5000),"",MIN('Weekly Log'!$A$5:$A$5000)+7*(ROW()-10)))</f>
        <v/>
      </c>
    </row>
    <row r="1070">
      <c r="A1070">
        <f>IF($J1070="","",YEAR($J1070-WEEKDAY($J1070,2)+4)&amp;"-W"&amp;TEXT(WEEKNUM($J1070,21),"00"))</f>
        <v/>
      </c>
      <c r="B1070">
        <f>IF($J1070="","",SUMIFS('Weekly Log'!$C:$C,'Weekly Log'!$A:$A,"&gt;="&amp;$J1070,'Weekly Log'!$A:$A,"&lt;"&amp;$J1070+7))</f>
        <v/>
      </c>
      <c r="C1070">
        <f>IF($J1070="","",IFERROR(COUNTIFS('Weekly Log'!$G:$G,"Y",'Weekly Log'!$A:$A,"&gt;="&amp;$J1070,'Weekly Log'!$A:$A,"&lt;"&amp;$J1070+7)/COUNTIFS('Weekly Log'!$G:$G,"&lt;&gt;",'Weekly Log'!$A:$A,"&gt;="&amp;$J1070,'Weekly Log'!$A:$A,"&lt;"&amp;$J1070+7),0))</f>
        <v/>
      </c>
      <c r="D1070">
        <f>IF($J1070="","",IFERROR(COUNTIFS('Weekly Log'!$H:$H,"Y",'Weekly Log'!$A:$A,"&gt;="&amp;$J1070,'Weekly Log'!$A:$A,"&lt;"&amp;$J1070+7)/COUNTIFS('Weekly Log'!$H:$H,"&lt;&gt;",'Weekly Log'!$A:$A,"&gt;="&amp;$J1070,'Weekly Log'!$A:$A,"&lt;"&amp;$J1070+7),0))</f>
        <v/>
      </c>
      <c r="E1070">
        <f>IF($J1070="","",IFERROR(AVERAGEIFS('Weekly Log'!$F:$F,'Weekly Log'!$A:$A,"&gt;="&amp;$J1070,'Weekly Log'!$A:$A,"&lt;"&amp;$J1070+7),0))</f>
        <v/>
      </c>
      <c r="F1070">
        <f>IF($J1070="","",IFERROR(SUMIFS('Weekly Log'!$F:$F,'Weekly Log'!$A:$A,"&gt;="&amp;$J1070,'Weekly Log'!$A:$A,"&lt;"&amp;$J1070+7)/SUMIFS('Weekly Log'!$E:$E,'Weekly Log'!$A:$A,"&gt;="&amp;$J1070,'Weekly Log'!$A:$A,"&lt;"&amp;$J1070+7),0))</f>
        <v/>
      </c>
      <c r="G1070">
        <f>IF($J1070="","",IFERROR(LOOKUP(2,1/(('Weekly Log'!$A$5:$A$5000&gt;=$J1070)*('Weekly Log'!$A$5:$A$5000&lt;$J1070+7)*('Weekly Log'!$M$5:$M$5000&lt;&gt;"")),'Weekly Log'!$M$5:$M$5000),0))</f>
        <v/>
      </c>
      <c r="J1070">
        <f>IF(COUNT('Weekly Log'!$A$5:$A$5000)=0,"",IF(MIN('Weekly Log'!$A$5:$A$5000)+7*(ROW()-10)&gt;MAX('Weekly Log'!$A$5:$A$5000),"",MIN('Weekly Log'!$A$5:$A$5000)+7*(ROW()-10)))</f>
        <v/>
      </c>
    </row>
    <row r="1071">
      <c r="A1071">
        <f>IF($J1071="","",YEAR($J1071-WEEKDAY($J1071,2)+4)&amp;"-W"&amp;TEXT(WEEKNUM($J1071,21),"00"))</f>
        <v/>
      </c>
      <c r="B1071">
        <f>IF($J1071="","",SUMIFS('Weekly Log'!$C:$C,'Weekly Log'!$A:$A,"&gt;="&amp;$J1071,'Weekly Log'!$A:$A,"&lt;"&amp;$J1071+7))</f>
        <v/>
      </c>
      <c r="C1071">
        <f>IF($J1071="","",IFERROR(COUNTIFS('Weekly Log'!$G:$G,"Y",'Weekly Log'!$A:$A,"&gt;="&amp;$J1071,'Weekly Log'!$A:$A,"&lt;"&amp;$J1071+7)/COUNTIFS('Weekly Log'!$G:$G,"&lt;&gt;",'Weekly Log'!$A:$A,"&gt;="&amp;$J1071,'Weekly Log'!$A:$A,"&lt;"&amp;$J1071+7),0))</f>
        <v/>
      </c>
      <c r="D1071">
        <f>IF($J1071="","",IFERROR(COUNTIFS('Weekly Log'!$H:$H,"Y",'Weekly Log'!$A:$A,"&gt;="&amp;$J1071,'Weekly Log'!$A:$A,"&lt;"&amp;$J1071+7)/COUNTIFS('Weekly Log'!$H:$H,"&lt;&gt;",'Weekly Log'!$A:$A,"&gt;="&amp;$J1071,'Weekly Log'!$A:$A,"&lt;"&amp;$J1071+7),0))</f>
        <v/>
      </c>
      <c r="E1071">
        <f>IF($J1071="","",IFERROR(AVERAGEIFS('Weekly Log'!$F:$F,'Weekly Log'!$A:$A,"&gt;="&amp;$J1071,'Weekly Log'!$A:$A,"&lt;"&amp;$J1071+7),0))</f>
        <v/>
      </c>
      <c r="F1071">
        <f>IF($J1071="","",IFERROR(SUMIFS('Weekly Log'!$F:$F,'Weekly Log'!$A:$A,"&gt;="&amp;$J1071,'Weekly Log'!$A:$A,"&lt;"&amp;$J1071+7)/SUMIFS('Weekly Log'!$E:$E,'Weekly Log'!$A:$A,"&gt;="&amp;$J1071,'Weekly Log'!$A:$A,"&lt;"&amp;$J1071+7),0))</f>
        <v/>
      </c>
      <c r="G1071">
        <f>IF($J1071="","",IFERROR(LOOKUP(2,1/(('Weekly Log'!$A$5:$A$5000&gt;=$J1071)*('Weekly Log'!$A$5:$A$5000&lt;$J1071+7)*('Weekly Log'!$M$5:$M$5000&lt;&gt;"")),'Weekly Log'!$M$5:$M$5000),0))</f>
        <v/>
      </c>
      <c r="J1071">
        <f>IF(COUNT('Weekly Log'!$A$5:$A$5000)=0,"",IF(MIN('Weekly Log'!$A$5:$A$5000)+7*(ROW()-10)&gt;MAX('Weekly Log'!$A$5:$A$5000),"",MIN('Weekly Log'!$A$5:$A$5000)+7*(ROW()-10)))</f>
        <v/>
      </c>
    </row>
    <row r="1072">
      <c r="A1072">
        <f>IF($J1072="","",YEAR($J1072-WEEKDAY($J1072,2)+4)&amp;"-W"&amp;TEXT(WEEKNUM($J1072,21),"00"))</f>
        <v/>
      </c>
      <c r="B1072">
        <f>IF($J1072="","",SUMIFS('Weekly Log'!$C:$C,'Weekly Log'!$A:$A,"&gt;="&amp;$J1072,'Weekly Log'!$A:$A,"&lt;"&amp;$J1072+7))</f>
        <v/>
      </c>
      <c r="C1072">
        <f>IF($J1072="","",IFERROR(COUNTIFS('Weekly Log'!$G:$G,"Y",'Weekly Log'!$A:$A,"&gt;="&amp;$J1072,'Weekly Log'!$A:$A,"&lt;"&amp;$J1072+7)/COUNTIFS('Weekly Log'!$G:$G,"&lt;&gt;",'Weekly Log'!$A:$A,"&gt;="&amp;$J1072,'Weekly Log'!$A:$A,"&lt;"&amp;$J1072+7),0))</f>
        <v/>
      </c>
      <c r="D1072">
        <f>IF($J1072="","",IFERROR(COUNTIFS('Weekly Log'!$H:$H,"Y",'Weekly Log'!$A:$A,"&gt;="&amp;$J1072,'Weekly Log'!$A:$A,"&lt;"&amp;$J1072+7)/COUNTIFS('Weekly Log'!$H:$H,"&lt;&gt;",'Weekly Log'!$A:$A,"&gt;="&amp;$J1072,'Weekly Log'!$A:$A,"&lt;"&amp;$J1072+7),0))</f>
        <v/>
      </c>
      <c r="E1072">
        <f>IF($J1072="","",IFERROR(AVERAGEIFS('Weekly Log'!$F:$F,'Weekly Log'!$A:$A,"&gt;="&amp;$J1072,'Weekly Log'!$A:$A,"&lt;"&amp;$J1072+7),0))</f>
        <v/>
      </c>
      <c r="F1072">
        <f>IF($J1072="","",IFERROR(SUMIFS('Weekly Log'!$F:$F,'Weekly Log'!$A:$A,"&gt;="&amp;$J1072,'Weekly Log'!$A:$A,"&lt;"&amp;$J1072+7)/SUMIFS('Weekly Log'!$E:$E,'Weekly Log'!$A:$A,"&gt;="&amp;$J1072,'Weekly Log'!$A:$A,"&lt;"&amp;$J1072+7),0))</f>
        <v/>
      </c>
      <c r="G1072">
        <f>IF($J1072="","",IFERROR(LOOKUP(2,1/(('Weekly Log'!$A$5:$A$5000&gt;=$J1072)*('Weekly Log'!$A$5:$A$5000&lt;$J1072+7)*('Weekly Log'!$M$5:$M$5000&lt;&gt;"")),'Weekly Log'!$M$5:$M$5000),0))</f>
        <v/>
      </c>
      <c r="J1072">
        <f>IF(COUNT('Weekly Log'!$A$5:$A$5000)=0,"",IF(MIN('Weekly Log'!$A$5:$A$5000)+7*(ROW()-10)&gt;MAX('Weekly Log'!$A$5:$A$5000),"",MIN('Weekly Log'!$A$5:$A$5000)+7*(ROW()-10)))</f>
        <v/>
      </c>
    </row>
    <row r="1073">
      <c r="A1073">
        <f>IF($J1073="","",YEAR($J1073-WEEKDAY($J1073,2)+4)&amp;"-W"&amp;TEXT(WEEKNUM($J1073,21),"00"))</f>
        <v/>
      </c>
      <c r="B1073">
        <f>IF($J1073="","",SUMIFS('Weekly Log'!$C:$C,'Weekly Log'!$A:$A,"&gt;="&amp;$J1073,'Weekly Log'!$A:$A,"&lt;"&amp;$J1073+7))</f>
        <v/>
      </c>
      <c r="C1073">
        <f>IF($J1073="","",IFERROR(COUNTIFS('Weekly Log'!$G:$G,"Y",'Weekly Log'!$A:$A,"&gt;="&amp;$J1073,'Weekly Log'!$A:$A,"&lt;"&amp;$J1073+7)/COUNTIFS('Weekly Log'!$G:$G,"&lt;&gt;",'Weekly Log'!$A:$A,"&gt;="&amp;$J1073,'Weekly Log'!$A:$A,"&lt;"&amp;$J1073+7),0))</f>
        <v/>
      </c>
      <c r="D1073">
        <f>IF($J1073="","",IFERROR(COUNTIFS('Weekly Log'!$H:$H,"Y",'Weekly Log'!$A:$A,"&gt;="&amp;$J1073,'Weekly Log'!$A:$A,"&lt;"&amp;$J1073+7)/COUNTIFS('Weekly Log'!$H:$H,"&lt;&gt;",'Weekly Log'!$A:$A,"&gt;="&amp;$J1073,'Weekly Log'!$A:$A,"&lt;"&amp;$J1073+7),0))</f>
        <v/>
      </c>
      <c r="E1073">
        <f>IF($J1073="","",IFERROR(AVERAGEIFS('Weekly Log'!$F:$F,'Weekly Log'!$A:$A,"&gt;="&amp;$J1073,'Weekly Log'!$A:$A,"&lt;"&amp;$J1073+7),0))</f>
        <v/>
      </c>
      <c r="F1073">
        <f>IF($J1073="","",IFERROR(SUMIFS('Weekly Log'!$F:$F,'Weekly Log'!$A:$A,"&gt;="&amp;$J1073,'Weekly Log'!$A:$A,"&lt;"&amp;$J1073+7)/SUMIFS('Weekly Log'!$E:$E,'Weekly Log'!$A:$A,"&gt;="&amp;$J1073,'Weekly Log'!$A:$A,"&lt;"&amp;$J1073+7),0))</f>
        <v/>
      </c>
      <c r="G1073">
        <f>IF($J1073="","",IFERROR(LOOKUP(2,1/(('Weekly Log'!$A$5:$A$5000&gt;=$J1073)*('Weekly Log'!$A$5:$A$5000&lt;$J1073+7)*('Weekly Log'!$M$5:$M$5000&lt;&gt;"")),'Weekly Log'!$M$5:$M$5000),0))</f>
        <v/>
      </c>
      <c r="J1073">
        <f>IF(COUNT('Weekly Log'!$A$5:$A$5000)=0,"",IF(MIN('Weekly Log'!$A$5:$A$5000)+7*(ROW()-10)&gt;MAX('Weekly Log'!$A$5:$A$5000),"",MIN('Weekly Log'!$A$5:$A$5000)+7*(ROW()-10)))</f>
        <v/>
      </c>
    </row>
    <row r="1074">
      <c r="A1074">
        <f>IF($J1074="","",YEAR($J1074-WEEKDAY($J1074,2)+4)&amp;"-W"&amp;TEXT(WEEKNUM($J1074,21),"00"))</f>
        <v/>
      </c>
      <c r="B1074">
        <f>IF($J1074="","",SUMIFS('Weekly Log'!$C:$C,'Weekly Log'!$A:$A,"&gt;="&amp;$J1074,'Weekly Log'!$A:$A,"&lt;"&amp;$J1074+7))</f>
        <v/>
      </c>
      <c r="C1074">
        <f>IF($J1074="","",IFERROR(COUNTIFS('Weekly Log'!$G:$G,"Y",'Weekly Log'!$A:$A,"&gt;="&amp;$J1074,'Weekly Log'!$A:$A,"&lt;"&amp;$J1074+7)/COUNTIFS('Weekly Log'!$G:$G,"&lt;&gt;",'Weekly Log'!$A:$A,"&gt;="&amp;$J1074,'Weekly Log'!$A:$A,"&lt;"&amp;$J1074+7),0))</f>
        <v/>
      </c>
      <c r="D1074">
        <f>IF($J1074="","",IFERROR(COUNTIFS('Weekly Log'!$H:$H,"Y",'Weekly Log'!$A:$A,"&gt;="&amp;$J1074,'Weekly Log'!$A:$A,"&lt;"&amp;$J1074+7)/COUNTIFS('Weekly Log'!$H:$H,"&lt;&gt;",'Weekly Log'!$A:$A,"&gt;="&amp;$J1074,'Weekly Log'!$A:$A,"&lt;"&amp;$J1074+7),0))</f>
        <v/>
      </c>
      <c r="E1074">
        <f>IF($J1074="","",IFERROR(AVERAGEIFS('Weekly Log'!$F:$F,'Weekly Log'!$A:$A,"&gt;="&amp;$J1074,'Weekly Log'!$A:$A,"&lt;"&amp;$J1074+7),0))</f>
        <v/>
      </c>
      <c r="F1074">
        <f>IF($J1074="","",IFERROR(SUMIFS('Weekly Log'!$F:$F,'Weekly Log'!$A:$A,"&gt;="&amp;$J1074,'Weekly Log'!$A:$A,"&lt;"&amp;$J1074+7)/SUMIFS('Weekly Log'!$E:$E,'Weekly Log'!$A:$A,"&gt;="&amp;$J1074,'Weekly Log'!$A:$A,"&lt;"&amp;$J1074+7),0))</f>
        <v/>
      </c>
      <c r="G1074">
        <f>IF($J1074="","",IFERROR(LOOKUP(2,1/(('Weekly Log'!$A$5:$A$5000&gt;=$J1074)*('Weekly Log'!$A$5:$A$5000&lt;$J1074+7)*('Weekly Log'!$M$5:$M$5000&lt;&gt;"")),'Weekly Log'!$M$5:$M$5000),0))</f>
        <v/>
      </c>
      <c r="J1074">
        <f>IF(COUNT('Weekly Log'!$A$5:$A$5000)=0,"",IF(MIN('Weekly Log'!$A$5:$A$5000)+7*(ROW()-10)&gt;MAX('Weekly Log'!$A$5:$A$5000),"",MIN('Weekly Log'!$A$5:$A$5000)+7*(ROW()-10)))</f>
        <v/>
      </c>
    </row>
    <row r="1075">
      <c r="A1075">
        <f>IF($J1075="","",YEAR($J1075-WEEKDAY($J1075,2)+4)&amp;"-W"&amp;TEXT(WEEKNUM($J1075,21),"00"))</f>
        <v/>
      </c>
      <c r="B1075">
        <f>IF($J1075="","",SUMIFS('Weekly Log'!$C:$C,'Weekly Log'!$A:$A,"&gt;="&amp;$J1075,'Weekly Log'!$A:$A,"&lt;"&amp;$J1075+7))</f>
        <v/>
      </c>
      <c r="C1075">
        <f>IF($J1075="","",IFERROR(COUNTIFS('Weekly Log'!$G:$G,"Y",'Weekly Log'!$A:$A,"&gt;="&amp;$J1075,'Weekly Log'!$A:$A,"&lt;"&amp;$J1075+7)/COUNTIFS('Weekly Log'!$G:$G,"&lt;&gt;",'Weekly Log'!$A:$A,"&gt;="&amp;$J1075,'Weekly Log'!$A:$A,"&lt;"&amp;$J1075+7),0))</f>
        <v/>
      </c>
      <c r="D1075">
        <f>IF($J1075="","",IFERROR(COUNTIFS('Weekly Log'!$H:$H,"Y",'Weekly Log'!$A:$A,"&gt;="&amp;$J1075,'Weekly Log'!$A:$A,"&lt;"&amp;$J1075+7)/COUNTIFS('Weekly Log'!$H:$H,"&lt;&gt;",'Weekly Log'!$A:$A,"&gt;="&amp;$J1075,'Weekly Log'!$A:$A,"&lt;"&amp;$J1075+7),0))</f>
        <v/>
      </c>
      <c r="E1075">
        <f>IF($J1075="","",IFERROR(AVERAGEIFS('Weekly Log'!$F:$F,'Weekly Log'!$A:$A,"&gt;="&amp;$J1075,'Weekly Log'!$A:$A,"&lt;"&amp;$J1075+7),0))</f>
        <v/>
      </c>
      <c r="F1075">
        <f>IF($J1075="","",IFERROR(SUMIFS('Weekly Log'!$F:$F,'Weekly Log'!$A:$A,"&gt;="&amp;$J1075,'Weekly Log'!$A:$A,"&lt;"&amp;$J1075+7)/SUMIFS('Weekly Log'!$E:$E,'Weekly Log'!$A:$A,"&gt;="&amp;$J1075,'Weekly Log'!$A:$A,"&lt;"&amp;$J1075+7),0))</f>
        <v/>
      </c>
      <c r="G1075">
        <f>IF($J1075="","",IFERROR(LOOKUP(2,1/(('Weekly Log'!$A$5:$A$5000&gt;=$J1075)*('Weekly Log'!$A$5:$A$5000&lt;$J1075+7)*('Weekly Log'!$M$5:$M$5000&lt;&gt;"")),'Weekly Log'!$M$5:$M$5000),0))</f>
        <v/>
      </c>
      <c r="J1075">
        <f>IF(COUNT('Weekly Log'!$A$5:$A$5000)=0,"",IF(MIN('Weekly Log'!$A$5:$A$5000)+7*(ROW()-10)&gt;MAX('Weekly Log'!$A$5:$A$5000),"",MIN('Weekly Log'!$A$5:$A$5000)+7*(ROW()-10)))</f>
        <v/>
      </c>
    </row>
    <row r="1076">
      <c r="A1076">
        <f>IF($J1076="","",YEAR($J1076-WEEKDAY($J1076,2)+4)&amp;"-W"&amp;TEXT(WEEKNUM($J1076,21),"00"))</f>
        <v/>
      </c>
      <c r="B1076">
        <f>IF($J1076="","",SUMIFS('Weekly Log'!$C:$C,'Weekly Log'!$A:$A,"&gt;="&amp;$J1076,'Weekly Log'!$A:$A,"&lt;"&amp;$J1076+7))</f>
        <v/>
      </c>
      <c r="C1076">
        <f>IF($J1076="","",IFERROR(COUNTIFS('Weekly Log'!$G:$G,"Y",'Weekly Log'!$A:$A,"&gt;="&amp;$J1076,'Weekly Log'!$A:$A,"&lt;"&amp;$J1076+7)/COUNTIFS('Weekly Log'!$G:$G,"&lt;&gt;",'Weekly Log'!$A:$A,"&gt;="&amp;$J1076,'Weekly Log'!$A:$A,"&lt;"&amp;$J1076+7),0))</f>
        <v/>
      </c>
      <c r="D1076">
        <f>IF($J1076="","",IFERROR(COUNTIFS('Weekly Log'!$H:$H,"Y",'Weekly Log'!$A:$A,"&gt;="&amp;$J1076,'Weekly Log'!$A:$A,"&lt;"&amp;$J1076+7)/COUNTIFS('Weekly Log'!$H:$H,"&lt;&gt;",'Weekly Log'!$A:$A,"&gt;="&amp;$J1076,'Weekly Log'!$A:$A,"&lt;"&amp;$J1076+7),0))</f>
        <v/>
      </c>
      <c r="E1076">
        <f>IF($J1076="","",IFERROR(AVERAGEIFS('Weekly Log'!$F:$F,'Weekly Log'!$A:$A,"&gt;="&amp;$J1076,'Weekly Log'!$A:$A,"&lt;"&amp;$J1076+7),0))</f>
        <v/>
      </c>
      <c r="F1076">
        <f>IF($J1076="","",IFERROR(SUMIFS('Weekly Log'!$F:$F,'Weekly Log'!$A:$A,"&gt;="&amp;$J1076,'Weekly Log'!$A:$A,"&lt;"&amp;$J1076+7)/SUMIFS('Weekly Log'!$E:$E,'Weekly Log'!$A:$A,"&gt;="&amp;$J1076,'Weekly Log'!$A:$A,"&lt;"&amp;$J1076+7),0))</f>
        <v/>
      </c>
      <c r="G1076">
        <f>IF($J1076="","",IFERROR(LOOKUP(2,1/(('Weekly Log'!$A$5:$A$5000&gt;=$J1076)*('Weekly Log'!$A$5:$A$5000&lt;$J1076+7)*('Weekly Log'!$M$5:$M$5000&lt;&gt;"")),'Weekly Log'!$M$5:$M$5000),0))</f>
        <v/>
      </c>
      <c r="J1076">
        <f>IF(COUNT('Weekly Log'!$A$5:$A$5000)=0,"",IF(MIN('Weekly Log'!$A$5:$A$5000)+7*(ROW()-10)&gt;MAX('Weekly Log'!$A$5:$A$5000),"",MIN('Weekly Log'!$A$5:$A$5000)+7*(ROW()-10)))</f>
        <v/>
      </c>
    </row>
    <row r="1077">
      <c r="A1077">
        <f>IF($J1077="","",YEAR($J1077-WEEKDAY($J1077,2)+4)&amp;"-W"&amp;TEXT(WEEKNUM($J1077,21),"00"))</f>
        <v/>
      </c>
      <c r="B1077">
        <f>IF($J1077="","",SUMIFS('Weekly Log'!$C:$C,'Weekly Log'!$A:$A,"&gt;="&amp;$J1077,'Weekly Log'!$A:$A,"&lt;"&amp;$J1077+7))</f>
        <v/>
      </c>
      <c r="C1077">
        <f>IF($J1077="","",IFERROR(COUNTIFS('Weekly Log'!$G:$G,"Y",'Weekly Log'!$A:$A,"&gt;="&amp;$J1077,'Weekly Log'!$A:$A,"&lt;"&amp;$J1077+7)/COUNTIFS('Weekly Log'!$G:$G,"&lt;&gt;",'Weekly Log'!$A:$A,"&gt;="&amp;$J1077,'Weekly Log'!$A:$A,"&lt;"&amp;$J1077+7),0))</f>
        <v/>
      </c>
      <c r="D1077">
        <f>IF($J1077="","",IFERROR(COUNTIFS('Weekly Log'!$H:$H,"Y",'Weekly Log'!$A:$A,"&gt;="&amp;$J1077,'Weekly Log'!$A:$A,"&lt;"&amp;$J1077+7)/COUNTIFS('Weekly Log'!$H:$H,"&lt;&gt;",'Weekly Log'!$A:$A,"&gt;="&amp;$J1077,'Weekly Log'!$A:$A,"&lt;"&amp;$J1077+7),0))</f>
        <v/>
      </c>
      <c r="E1077">
        <f>IF($J1077="","",IFERROR(AVERAGEIFS('Weekly Log'!$F:$F,'Weekly Log'!$A:$A,"&gt;="&amp;$J1077,'Weekly Log'!$A:$A,"&lt;"&amp;$J1077+7),0))</f>
        <v/>
      </c>
      <c r="F1077">
        <f>IF($J1077="","",IFERROR(SUMIFS('Weekly Log'!$F:$F,'Weekly Log'!$A:$A,"&gt;="&amp;$J1077,'Weekly Log'!$A:$A,"&lt;"&amp;$J1077+7)/SUMIFS('Weekly Log'!$E:$E,'Weekly Log'!$A:$A,"&gt;="&amp;$J1077,'Weekly Log'!$A:$A,"&lt;"&amp;$J1077+7),0))</f>
        <v/>
      </c>
      <c r="G1077">
        <f>IF($J1077="","",IFERROR(LOOKUP(2,1/(('Weekly Log'!$A$5:$A$5000&gt;=$J1077)*('Weekly Log'!$A$5:$A$5000&lt;$J1077+7)*('Weekly Log'!$M$5:$M$5000&lt;&gt;"")),'Weekly Log'!$M$5:$M$5000),0))</f>
        <v/>
      </c>
      <c r="J1077">
        <f>IF(COUNT('Weekly Log'!$A$5:$A$5000)=0,"",IF(MIN('Weekly Log'!$A$5:$A$5000)+7*(ROW()-10)&gt;MAX('Weekly Log'!$A$5:$A$5000),"",MIN('Weekly Log'!$A$5:$A$5000)+7*(ROW()-10)))</f>
        <v/>
      </c>
    </row>
    <row r="1078">
      <c r="A1078">
        <f>IF($J1078="","",YEAR($J1078-WEEKDAY($J1078,2)+4)&amp;"-W"&amp;TEXT(WEEKNUM($J1078,21),"00"))</f>
        <v/>
      </c>
      <c r="B1078">
        <f>IF($J1078="","",SUMIFS('Weekly Log'!$C:$C,'Weekly Log'!$A:$A,"&gt;="&amp;$J1078,'Weekly Log'!$A:$A,"&lt;"&amp;$J1078+7))</f>
        <v/>
      </c>
      <c r="C1078">
        <f>IF($J1078="","",IFERROR(COUNTIFS('Weekly Log'!$G:$G,"Y",'Weekly Log'!$A:$A,"&gt;="&amp;$J1078,'Weekly Log'!$A:$A,"&lt;"&amp;$J1078+7)/COUNTIFS('Weekly Log'!$G:$G,"&lt;&gt;",'Weekly Log'!$A:$A,"&gt;="&amp;$J1078,'Weekly Log'!$A:$A,"&lt;"&amp;$J1078+7),0))</f>
        <v/>
      </c>
      <c r="D1078">
        <f>IF($J1078="","",IFERROR(COUNTIFS('Weekly Log'!$H:$H,"Y",'Weekly Log'!$A:$A,"&gt;="&amp;$J1078,'Weekly Log'!$A:$A,"&lt;"&amp;$J1078+7)/COUNTIFS('Weekly Log'!$H:$H,"&lt;&gt;",'Weekly Log'!$A:$A,"&gt;="&amp;$J1078,'Weekly Log'!$A:$A,"&lt;"&amp;$J1078+7),0))</f>
        <v/>
      </c>
      <c r="E1078">
        <f>IF($J1078="","",IFERROR(AVERAGEIFS('Weekly Log'!$F:$F,'Weekly Log'!$A:$A,"&gt;="&amp;$J1078,'Weekly Log'!$A:$A,"&lt;"&amp;$J1078+7),0))</f>
        <v/>
      </c>
      <c r="F1078">
        <f>IF($J1078="","",IFERROR(SUMIFS('Weekly Log'!$F:$F,'Weekly Log'!$A:$A,"&gt;="&amp;$J1078,'Weekly Log'!$A:$A,"&lt;"&amp;$J1078+7)/SUMIFS('Weekly Log'!$E:$E,'Weekly Log'!$A:$A,"&gt;="&amp;$J1078,'Weekly Log'!$A:$A,"&lt;"&amp;$J1078+7),0))</f>
        <v/>
      </c>
      <c r="G1078">
        <f>IF($J1078="","",IFERROR(LOOKUP(2,1/(('Weekly Log'!$A$5:$A$5000&gt;=$J1078)*('Weekly Log'!$A$5:$A$5000&lt;$J1078+7)*('Weekly Log'!$M$5:$M$5000&lt;&gt;"")),'Weekly Log'!$M$5:$M$5000),0))</f>
        <v/>
      </c>
      <c r="J1078">
        <f>IF(COUNT('Weekly Log'!$A$5:$A$5000)=0,"",IF(MIN('Weekly Log'!$A$5:$A$5000)+7*(ROW()-10)&gt;MAX('Weekly Log'!$A$5:$A$5000),"",MIN('Weekly Log'!$A$5:$A$5000)+7*(ROW()-10)))</f>
        <v/>
      </c>
    </row>
    <row r="1079">
      <c r="A1079">
        <f>IF($J1079="","",YEAR($J1079-WEEKDAY($J1079,2)+4)&amp;"-W"&amp;TEXT(WEEKNUM($J1079,21),"00"))</f>
        <v/>
      </c>
      <c r="B1079">
        <f>IF($J1079="","",SUMIFS('Weekly Log'!$C:$C,'Weekly Log'!$A:$A,"&gt;="&amp;$J1079,'Weekly Log'!$A:$A,"&lt;"&amp;$J1079+7))</f>
        <v/>
      </c>
      <c r="C1079">
        <f>IF($J1079="","",IFERROR(COUNTIFS('Weekly Log'!$G:$G,"Y",'Weekly Log'!$A:$A,"&gt;="&amp;$J1079,'Weekly Log'!$A:$A,"&lt;"&amp;$J1079+7)/COUNTIFS('Weekly Log'!$G:$G,"&lt;&gt;",'Weekly Log'!$A:$A,"&gt;="&amp;$J1079,'Weekly Log'!$A:$A,"&lt;"&amp;$J1079+7),0))</f>
        <v/>
      </c>
      <c r="D1079">
        <f>IF($J1079="","",IFERROR(COUNTIFS('Weekly Log'!$H:$H,"Y",'Weekly Log'!$A:$A,"&gt;="&amp;$J1079,'Weekly Log'!$A:$A,"&lt;"&amp;$J1079+7)/COUNTIFS('Weekly Log'!$H:$H,"&lt;&gt;",'Weekly Log'!$A:$A,"&gt;="&amp;$J1079,'Weekly Log'!$A:$A,"&lt;"&amp;$J1079+7),0))</f>
        <v/>
      </c>
      <c r="E1079">
        <f>IF($J1079="","",IFERROR(AVERAGEIFS('Weekly Log'!$F:$F,'Weekly Log'!$A:$A,"&gt;="&amp;$J1079,'Weekly Log'!$A:$A,"&lt;"&amp;$J1079+7),0))</f>
        <v/>
      </c>
      <c r="F1079">
        <f>IF($J1079="","",IFERROR(SUMIFS('Weekly Log'!$F:$F,'Weekly Log'!$A:$A,"&gt;="&amp;$J1079,'Weekly Log'!$A:$A,"&lt;"&amp;$J1079+7)/SUMIFS('Weekly Log'!$E:$E,'Weekly Log'!$A:$A,"&gt;="&amp;$J1079,'Weekly Log'!$A:$A,"&lt;"&amp;$J1079+7),0))</f>
        <v/>
      </c>
      <c r="G1079">
        <f>IF($J1079="","",IFERROR(LOOKUP(2,1/(('Weekly Log'!$A$5:$A$5000&gt;=$J1079)*('Weekly Log'!$A$5:$A$5000&lt;$J1079+7)*('Weekly Log'!$M$5:$M$5000&lt;&gt;"")),'Weekly Log'!$M$5:$M$5000),0))</f>
        <v/>
      </c>
      <c r="J1079">
        <f>IF(COUNT('Weekly Log'!$A$5:$A$5000)=0,"",IF(MIN('Weekly Log'!$A$5:$A$5000)+7*(ROW()-10)&gt;MAX('Weekly Log'!$A$5:$A$5000),"",MIN('Weekly Log'!$A$5:$A$5000)+7*(ROW()-10)))</f>
        <v/>
      </c>
    </row>
    <row r="1080">
      <c r="A1080">
        <f>IF($J1080="","",YEAR($J1080-WEEKDAY($J1080,2)+4)&amp;"-W"&amp;TEXT(WEEKNUM($J1080,21),"00"))</f>
        <v/>
      </c>
      <c r="B1080">
        <f>IF($J1080="","",SUMIFS('Weekly Log'!$C:$C,'Weekly Log'!$A:$A,"&gt;="&amp;$J1080,'Weekly Log'!$A:$A,"&lt;"&amp;$J1080+7))</f>
        <v/>
      </c>
      <c r="C1080">
        <f>IF($J1080="","",IFERROR(COUNTIFS('Weekly Log'!$G:$G,"Y",'Weekly Log'!$A:$A,"&gt;="&amp;$J1080,'Weekly Log'!$A:$A,"&lt;"&amp;$J1080+7)/COUNTIFS('Weekly Log'!$G:$G,"&lt;&gt;",'Weekly Log'!$A:$A,"&gt;="&amp;$J1080,'Weekly Log'!$A:$A,"&lt;"&amp;$J1080+7),0))</f>
        <v/>
      </c>
      <c r="D1080">
        <f>IF($J1080="","",IFERROR(COUNTIFS('Weekly Log'!$H:$H,"Y",'Weekly Log'!$A:$A,"&gt;="&amp;$J1080,'Weekly Log'!$A:$A,"&lt;"&amp;$J1080+7)/COUNTIFS('Weekly Log'!$H:$H,"&lt;&gt;",'Weekly Log'!$A:$A,"&gt;="&amp;$J1080,'Weekly Log'!$A:$A,"&lt;"&amp;$J1080+7),0))</f>
        <v/>
      </c>
      <c r="E1080">
        <f>IF($J1080="","",IFERROR(AVERAGEIFS('Weekly Log'!$F:$F,'Weekly Log'!$A:$A,"&gt;="&amp;$J1080,'Weekly Log'!$A:$A,"&lt;"&amp;$J1080+7),0))</f>
        <v/>
      </c>
      <c r="F1080">
        <f>IF($J1080="","",IFERROR(SUMIFS('Weekly Log'!$F:$F,'Weekly Log'!$A:$A,"&gt;="&amp;$J1080,'Weekly Log'!$A:$A,"&lt;"&amp;$J1080+7)/SUMIFS('Weekly Log'!$E:$E,'Weekly Log'!$A:$A,"&gt;="&amp;$J1080,'Weekly Log'!$A:$A,"&lt;"&amp;$J1080+7),0))</f>
        <v/>
      </c>
      <c r="G1080">
        <f>IF($J1080="","",IFERROR(LOOKUP(2,1/(('Weekly Log'!$A$5:$A$5000&gt;=$J1080)*('Weekly Log'!$A$5:$A$5000&lt;$J1080+7)*('Weekly Log'!$M$5:$M$5000&lt;&gt;"")),'Weekly Log'!$M$5:$M$5000),0))</f>
        <v/>
      </c>
      <c r="J1080">
        <f>IF(COUNT('Weekly Log'!$A$5:$A$5000)=0,"",IF(MIN('Weekly Log'!$A$5:$A$5000)+7*(ROW()-10)&gt;MAX('Weekly Log'!$A$5:$A$5000),"",MIN('Weekly Log'!$A$5:$A$5000)+7*(ROW()-10)))</f>
        <v/>
      </c>
    </row>
    <row r="1081">
      <c r="A1081">
        <f>IF($J1081="","",YEAR($J1081-WEEKDAY($J1081,2)+4)&amp;"-W"&amp;TEXT(WEEKNUM($J1081,21),"00"))</f>
        <v/>
      </c>
      <c r="B1081">
        <f>IF($J1081="","",SUMIFS('Weekly Log'!$C:$C,'Weekly Log'!$A:$A,"&gt;="&amp;$J1081,'Weekly Log'!$A:$A,"&lt;"&amp;$J1081+7))</f>
        <v/>
      </c>
      <c r="C1081">
        <f>IF($J1081="","",IFERROR(COUNTIFS('Weekly Log'!$G:$G,"Y",'Weekly Log'!$A:$A,"&gt;="&amp;$J1081,'Weekly Log'!$A:$A,"&lt;"&amp;$J1081+7)/COUNTIFS('Weekly Log'!$G:$G,"&lt;&gt;",'Weekly Log'!$A:$A,"&gt;="&amp;$J1081,'Weekly Log'!$A:$A,"&lt;"&amp;$J1081+7),0))</f>
        <v/>
      </c>
      <c r="D1081">
        <f>IF($J1081="","",IFERROR(COUNTIFS('Weekly Log'!$H:$H,"Y",'Weekly Log'!$A:$A,"&gt;="&amp;$J1081,'Weekly Log'!$A:$A,"&lt;"&amp;$J1081+7)/COUNTIFS('Weekly Log'!$H:$H,"&lt;&gt;",'Weekly Log'!$A:$A,"&gt;="&amp;$J1081,'Weekly Log'!$A:$A,"&lt;"&amp;$J1081+7),0))</f>
        <v/>
      </c>
      <c r="E1081">
        <f>IF($J1081="","",IFERROR(AVERAGEIFS('Weekly Log'!$F:$F,'Weekly Log'!$A:$A,"&gt;="&amp;$J1081,'Weekly Log'!$A:$A,"&lt;"&amp;$J1081+7),0))</f>
        <v/>
      </c>
      <c r="F1081">
        <f>IF($J1081="","",IFERROR(SUMIFS('Weekly Log'!$F:$F,'Weekly Log'!$A:$A,"&gt;="&amp;$J1081,'Weekly Log'!$A:$A,"&lt;"&amp;$J1081+7)/SUMIFS('Weekly Log'!$E:$E,'Weekly Log'!$A:$A,"&gt;="&amp;$J1081,'Weekly Log'!$A:$A,"&lt;"&amp;$J1081+7),0))</f>
        <v/>
      </c>
      <c r="G1081">
        <f>IF($J1081="","",IFERROR(LOOKUP(2,1/(('Weekly Log'!$A$5:$A$5000&gt;=$J1081)*('Weekly Log'!$A$5:$A$5000&lt;$J1081+7)*('Weekly Log'!$M$5:$M$5000&lt;&gt;"")),'Weekly Log'!$M$5:$M$5000),0))</f>
        <v/>
      </c>
      <c r="J1081">
        <f>IF(COUNT('Weekly Log'!$A$5:$A$5000)=0,"",IF(MIN('Weekly Log'!$A$5:$A$5000)+7*(ROW()-10)&gt;MAX('Weekly Log'!$A$5:$A$5000),"",MIN('Weekly Log'!$A$5:$A$5000)+7*(ROW()-10)))</f>
        <v/>
      </c>
    </row>
    <row r="1082">
      <c r="A1082">
        <f>IF($J1082="","",YEAR($J1082-WEEKDAY($J1082,2)+4)&amp;"-W"&amp;TEXT(WEEKNUM($J1082,21),"00"))</f>
        <v/>
      </c>
      <c r="B1082">
        <f>IF($J1082="","",SUMIFS('Weekly Log'!$C:$C,'Weekly Log'!$A:$A,"&gt;="&amp;$J1082,'Weekly Log'!$A:$A,"&lt;"&amp;$J1082+7))</f>
        <v/>
      </c>
      <c r="C1082">
        <f>IF($J1082="","",IFERROR(COUNTIFS('Weekly Log'!$G:$G,"Y",'Weekly Log'!$A:$A,"&gt;="&amp;$J1082,'Weekly Log'!$A:$A,"&lt;"&amp;$J1082+7)/COUNTIFS('Weekly Log'!$G:$G,"&lt;&gt;",'Weekly Log'!$A:$A,"&gt;="&amp;$J1082,'Weekly Log'!$A:$A,"&lt;"&amp;$J1082+7),0))</f>
        <v/>
      </c>
      <c r="D1082">
        <f>IF($J1082="","",IFERROR(COUNTIFS('Weekly Log'!$H:$H,"Y",'Weekly Log'!$A:$A,"&gt;="&amp;$J1082,'Weekly Log'!$A:$A,"&lt;"&amp;$J1082+7)/COUNTIFS('Weekly Log'!$H:$H,"&lt;&gt;",'Weekly Log'!$A:$A,"&gt;="&amp;$J1082,'Weekly Log'!$A:$A,"&lt;"&amp;$J1082+7),0))</f>
        <v/>
      </c>
      <c r="E1082">
        <f>IF($J1082="","",IFERROR(AVERAGEIFS('Weekly Log'!$F:$F,'Weekly Log'!$A:$A,"&gt;="&amp;$J1082,'Weekly Log'!$A:$A,"&lt;"&amp;$J1082+7),0))</f>
        <v/>
      </c>
      <c r="F1082">
        <f>IF($J1082="","",IFERROR(SUMIFS('Weekly Log'!$F:$F,'Weekly Log'!$A:$A,"&gt;="&amp;$J1082,'Weekly Log'!$A:$A,"&lt;"&amp;$J1082+7)/SUMIFS('Weekly Log'!$E:$E,'Weekly Log'!$A:$A,"&gt;="&amp;$J1082,'Weekly Log'!$A:$A,"&lt;"&amp;$J1082+7),0))</f>
        <v/>
      </c>
      <c r="G1082">
        <f>IF($J1082="","",IFERROR(LOOKUP(2,1/(('Weekly Log'!$A$5:$A$5000&gt;=$J1082)*('Weekly Log'!$A$5:$A$5000&lt;$J1082+7)*('Weekly Log'!$M$5:$M$5000&lt;&gt;"")),'Weekly Log'!$M$5:$M$5000),0))</f>
        <v/>
      </c>
      <c r="J1082">
        <f>IF(COUNT('Weekly Log'!$A$5:$A$5000)=0,"",IF(MIN('Weekly Log'!$A$5:$A$5000)+7*(ROW()-10)&gt;MAX('Weekly Log'!$A$5:$A$5000),"",MIN('Weekly Log'!$A$5:$A$5000)+7*(ROW()-10)))</f>
        <v/>
      </c>
    </row>
    <row r="1083">
      <c r="A1083">
        <f>IF($J1083="","",YEAR($J1083-WEEKDAY($J1083,2)+4)&amp;"-W"&amp;TEXT(WEEKNUM($J1083,21),"00"))</f>
        <v/>
      </c>
      <c r="B1083">
        <f>IF($J1083="","",SUMIFS('Weekly Log'!$C:$C,'Weekly Log'!$A:$A,"&gt;="&amp;$J1083,'Weekly Log'!$A:$A,"&lt;"&amp;$J1083+7))</f>
        <v/>
      </c>
      <c r="C1083">
        <f>IF($J1083="","",IFERROR(COUNTIFS('Weekly Log'!$G:$G,"Y",'Weekly Log'!$A:$A,"&gt;="&amp;$J1083,'Weekly Log'!$A:$A,"&lt;"&amp;$J1083+7)/COUNTIFS('Weekly Log'!$G:$G,"&lt;&gt;",'Weekly Log'!$A:$A,"&gt;="&amp;$J1083,'Weekly Log'!$A:$A,"&lt;"&amp;$J1083+7),0))</f>
        <v/>
      </c>
      <c r="D1083">
        <f>IF($J1083="","",IFERROR(COUNTIFS('Weekly Log'!$H:$H,"Y",'Weekly Log'!$A:$A,"&gt;="&amp;$J1083,'Weekly Log'!$A:$A,"&lt;"&amp;$J1083+7)/COUNTIFS('Weekly Log'!$H:$H,"&lt;&gt;",'Weekly Log'!$A:$A,"&gt;="&amp;$J1083,'Weekly Log'!$A:$A,"&lt;"&amp;$J1083+7),0))</f>
        <v/>
      </c>
      <c r="E1083">
        <f>IF($J1083="","",IFERROR(AVERAGEIFS('Weekly Log'!$F:$F,'Weekly Log'!$A:$A,"&gt;="&amp;$J1083,'Weekly Log'!$A:$A,"&lt;"&amp;$J1083+7),0))</f>
        <v/>
      </c>
      <c r="F1083">
        <f>IF($J1083="","",IFERROR(SUMIFS('Weekly Log'!$F:$F,'Weekly Log'!$A:$A,"&gt;="&amp;$J1083,'Weekly Log'!$A:$A,"&lt;"&amp;$J1083+7)/SUMIFS('Weekly Log'!$E:$E,'Weekly Log'!$A:$A,"&gt;="&amp;$J1083,'Weekly Log'!$A:$A,"&lt;"&amp;$J1083+7),0))</f>
        <v/>
      </c>
      <c r="G1083">
        <f>IF($J1083="","",IFERROR(LOOKUP(2,1/(('Weekly Log'!$A$5:$A$5000&gt;=$J1083)*('Weekly Log'!$A$5:$A$5000&lt;$J1083+7)*('Weekly Log'!$M$5:$M$5000&lt;&gt;"")),'Weekly Log'!$M$5:$M$5000),0))</f>
        <v/>
      </c>
      <c r="J1083">
        <f>IF(COUNT('Weekly Log'!$A$5:$A$5000)=0,"",IF(MIN('Weekly Log'!$A$5:$A$5000)+7*(ROW()-10)&gt;MAX('Weekly Log'!$A$5:$A$5000),"",MIN('Weekly Log'!$A$5:$A$5000)+7*(ROW()-10)))</f>
        <v/>
      </c>
    </row>
    <row r="1084">
      <c r="A1084">
        <f>IF($J1084="","",YEAR($J1084-WEEKDAY($J1084,2)+4)&amp;"-W"&amp;TEXT(WEEKNUM($J1084,21),"00"))</f>
        <v/>
      </c>
      <c r="B1084">
        <f>IF($J1084="","",SUMIFS('Weekly Log'!$C:$C,'Weekly Log'!$A:$A,"&gt;="&amp;$J1084,'Weekly Log'!$A:$A,"&lt;"&amp;$J1084+7))</f>
        <v/>
      </c>
      <c r="C1084">
        <f>IF($J1084="","",IFERROR(COUNTIFS('Weekly Log'!$G:$G,"Y",'Weekly Log'!$A:$A,"&gt;="&amp;$J1084,'Weekly Log'!$A:$A,"&lt;"&amp;$J1084+7)/COUNTIFS('Weekly Log'!$G:$G,"&lt;&gt;",'Weekly Log'!$A:$A,"&gt;="&amp;$J1084,'Weekly Log'!$A:$A,"&lt;"&amp;$J1084+7),0))</f>
        <v/>
      </c>
      <c r="D1084">
        <f>IF($J1084="","",IFERROR(COUNTIFS('Weekly Log'!$H:$H,"Y",'Weekly Log'!$A:$A,"&gt;="&amp;$J1084,'Weekly Log'!$A:$A,"&lt;"&amp;$J1084+7)/COUNTIFS('Weekly Log'!$H:$H,"&lt;&gt;",'Weekly Log'!$A:$A,"&gt;="&amp;$J1084,'Weekly Log'!$A:$A,"&lt;"&amp;$J1084+7),0))</f>
        <v/>
      </c>
      <c r="E1084">
        <f>IF($J1084="","",IFERROR(AVERAGEIFS('Weekly Log'!$F:$F,'Weekly Log'!$A:$A,"&gt;="&amp;$J1084,'Weekly Log'!$A:$A,"&lt;"&amp;$J1084+7),0))</f>
        <v/>
      </c>
      <c r="F1084">
        <f>IF($J1084="","",IFERROR(SUMIFS('Weekly Log'!$F:$F,'Weekly Log'!$A:$A,"&gt;="&amp;$J1084,'Weekly Log'!$A:$A,"&lt;"&amp;$J1084+7)/SUMIFS('Weekly Log'!$E:$E,'Weekly Log'!$A:$A,"&gt;="&amp;$J1084,'Weekly Log'!$A:$A,"&lt;"&amp;$J1084+7),0))</f>
        <v/>
      </c>
      <c r="G1084">
        <f>IF($J1084="","",IFERROR(LOOKUP(2,1/(('Weekly Log'!$A$5:$A$5000&gt;=$J1084)*('Weekly Log'!$A$5:$A$5000&lt;$J1084+7)*('Weekly Log'!$M$5:$M$5000&lt;&gt;"")),'Weekly Log'!$M$5:$M$5000),0))</f>
        <v/>
      </c>
      <c r="J1084">
        <f>IF(COUNT('Weekly Log'!$A$5:$A$5000)=0,"",IF(MIN('Weekly Log'!$A$5:$A$5000)+7*(ROW()-10)&gt;MAX('Weekly Log'!$A$5:$A$5000),"",MIN('Weekly Log'!$A$5:$A$5000)+7*(ROW()-10)))</f>
        <v/>
      </c>
    </row>
    <row r="1085">
      <c r="A1085">
        <f>IF($J1085="","",YEAR($J1085-WEEKDAY($J1085,2)+4)&amp;"-W"&amp;TEXT(WEEKNUM($J1085,21),"00"))</f>
        <v/>
      </c>
      <c r="B1085">
        <f>IF($J1085="","",SUMIFS('Weekly Log'!$C:$C,'Weekly Log'!$A:$A,"&gt;="&amp;$J1085,'Weekly Log'!$A:$A,"&lt;"&amp;$J1085+7))</f>
        <v/>
      </c>
      <c r="C1085">
        <f>IF($J1085="","",IFERROR(COUNTIFS('Weekly Log'!$G:$G,"Y",'Weekly Log'!$A:$A,"&gt;="&amp;$J1085,'Weekly Log'!$A:$A,"&lt;"&amp;$J1085+7)/COUNTIFS('Weekly Log'!$G:$G,"&lt;&gt;",'Weekly Log'!$A:$A,"&gt;="&amp;$J1085,'Weekly Log'!$A:$A,"&lt;"&amp;$J1085+7),0))</f>
        <v/>
      </c>
      <c r="D1085">
        <f>IF($J1085="","",IFERROR(COUNTIFS('Weekly Log'!$H:$H,"Y",'Weekly Log'!$A:$A,"&gt;="&amp;$J1085,'Weekly Log'!$A:$A,"&lt;"&amp;$J1085+7)/COUNTIFS('Weekly Log'!$H:$H,"&lt;&gt;",'Weekly Log'!$A:$A,"&gt;="&amp;$J1085,'Weekly Log'!$A:$A,"&lt;"&amp;$J1085+7),0))</f>
        <v/>
      </c>
      <c r="E1085">
        <f>IF($J1085="","",IFERROR(AVERAGEIFS('Weekly Log'!$F:$F,'Weekly Log'!$A:$A,"&gt;="&amp;$J1085,'Weekly Log'!$A:$A,"&lt;"&amp;$J1085+7),0))</f>
        <v/>
      </c>
      <c r="F1085">
        <f>IF($J1085="","",IFERROR(SUMIFS('Weekly Log'!$F:$F,'Weekly Log'!$A:$A,"&gt;="&amp;$J1085,'Weekly Log'!$A:$A,"&lt;"&amp;$J1085+7)/SUMIFS('Weekly Log'!$E:$E,'Weekly Log'!$A:$A,"&gt;="&amp;$J1085,'Weekly Log'!$A:$A,"&lt;"&amp;$J1085+7),0))</f>
        <v/>
      </c>
      <c r="G1085">
        <f>IF($J1085="","",IFERROR(LOOKUP(2,1/(('Weekly Log'!$A$5:$A$5000&gt;=$J1085)*('Weekly Log'!$A$5:$A$5000&lt;$J1085+7)*('Weekly Log'!$M$5:$M$5000&lt;&gt;"")),'Weekly Log'!$M$5:$M$5000),0))</f>
        <v/>
      </c>
      <c r="J1085">
        <f>IF(COUNT('Weekly Log'!$A$5:$A$5000)=0,"",IF(MIN('Weekly Log'!$A$5:$A$5000)+7*(ROW()-10)&gt;MAX('Weekly Log'!$A$5:$A$5000),"",MIN('Weekly Log'!$A$5:$A$5000)+7*(ROW()-10)))</f>
        <v/>
      </c>
    </row>
    <row r="1086">
      <c r="A1086">
        <f>IF($J1086="","",YEAR($J1086-WEEKDAY($J1086,2)+4)&amp;"-W"&amp;TEXT(WEEKNUM($J1086,21),"00"))</f>
        <v/>
      </c>
      <c r="B1086">
        <f>IF($J1086="","",SUMIFS('Weekly Log'!$C:$C,'Weekly Log'!$A:$A,"&gt;="&amp;$J1086,'Weekly Log'!$A:$A,"&lt;"&amp;$J1086+7))</f>
        <v/>
      </c>
      <c r="C1086">
        <f>IF($J1086="","",IFERROR(COUNTIFS('Weekly Log'!$G:$G,"Y",'Weekly Log'!$A:$A,"&gt;="&amp;$J1086,'Weekly Log'!$A:$A,"&lt;"&amp;$J1086+7)/COUNTIFS('Weekly Log'!$G:$G,"&lt;&gt;",'Weekly Log'!$A:$A,"&gt;="&amp;$J1086,'Weekly Log'!$A:$A,"&lt;"&amp;$J1086+7),0))</f>
        <v/>
      </c>
      <c r="D1086">
        <f>IF($J1086="","",IFERROR(COUNTIFS('Weekly Log'!$H:$H,"Y",'Weekly Log'!$A:$A,"&gt;="&amp;$J1086,'Weekly Log'!$A:$A,"&lt;"&amp;$J1086+7)/COUNTIFS('Weekly Log'!$H:$H,"&lt;&gt;",'Weekly Log'!$A:$A,"&gt;="&amp;$J1086,'Weekly Log'!$A:$A,"&lt;"&amp;$J1086+7),0))</f>
        <v/>
      </c>
      <c r="E1086">
        <f>IF($J1086="","",IFERROR(AVERAGEIFS('Weekly Log'!$F:$F,'Weekly Log'!$A:$A,"&gt;="&amp;$J1086,'Weekly Log'!$A:$A,"&lt;"&amp;$J1086+7),0))</f>
        <v/>
      </c>
      <c r="F1086">
        <f>IF($J1086="","",IFERROR(SUMIFS('Weekly Log'!$F:$F,'Weekly Log'!$A:$A,"&gt;="&amp;$J1086,'Weekly Log'!$A:$A,"&lt;"&amp;$J1086+7)/SUMIFS('Weekly Log'!$E:$E,'Weekly Log'!$A:$A,"&gt;="&amp;$J1086,'Weekly Log'!$A:$A,"&lt;"&amp;$J1086+7),0))</f>
        <v/>
      </c>
      <c r="G1086">
        <f>IF($J1086="","",IFERROR(LOOKUP(2,1/(('Weekly Log'!$A$5:$A$5000&gt;=$J1086)*('Weekly Log'!$A$5:$A$5000&lt;$J1086+7)*('Weekly Log'!$M$5:$M$5000&lt;&gt;"")),'Weekly Log'!$M$5:$M$5000),0))</f>
        <v/>
      </c>
      <c r="J1086">
        <f>IF(COUNT('Weekly Log'!$A$5:$A$5000)=0,"",IF(MIN('Weekly Log'!$A$5:$A$5000)+7*(ROW()-10)&gt;MAX('Weekly Log'!$A$5:$A$5000),"",MIN('Weekly Log'!$A$5:$A$5000)+7*(ROW()-10)))</f>
        <v/>
      </c>
    </row>
    <row r="1087">
      <c r="A1087">
        <f>IF($J1087="","",YEAR($J1087-WEEKDAY($J1087,2)+4)&amp;"-W"&amp;TEXT(WEEKNUM($J1087,21),"00"))</f>
        <v/>
      </c>
      <c r="B1087">
        <f>IF($J1087="","",SUMIFS('Weekly Log'!$C:$C,'Weekly Log'!$A:$A,"&gt;="&amp;$J1087,'Weekly Log'!$A:$A,"&lt;"&amp;$J1087+7))</f>
        <v/>
      </c>
      <c r="C1087">
        <f>IF($J1087="","",IFERROR(COUNTIFS('Weekly Log'!$G:$G,"Y",'Weekly Log'!$A:$A,"&gt;="&amp;$J1087,'Weekly Log'!$A:$A,"&lt;"&amp;$J1087+7)/COUNTIFS('Weekly Log'!$G:$G,"&lt;&gt;",'Weekly Log'!$A:$A,"&gt;="&amp;$J1087,'Weekly Log'!$A:$A,"&lt;"&amp;$J1087+7),0))</f>
        <v/>
      </c>
      <c r="D1087">
        <f>IF($J1087="","",IFERROR(COUNTIFS('Weekly Log'!$H:$H,"Y",'Weekly Log'!$A:$A,"&gt;="&amp;$J1087,'Weekly Log'!$A:$A,"&lt;"&amp;$J1087+7)/COUNTIFS('Weekly Log'!$H:$H,"&lt;&gt;",'Weekly Log'!$A:$A,"&gt;="&amp;$J1087,'Weekly Log'!$A:$A,"&lt;"&amp;$J1087+7),0))</f>
        <v/>
      </c>
      <c r="E1087">
        <f>IF($J1087="","",IFERROR(AVERAGEIFS('Weekly Log'!$F:$F,'Weekly Log'!$A:$A,"&gt;="&amp;$J1087,'Weekly Log'!$A:$A,"&lt;"&amp;$J1087+7),0))</f>
        <v/>
      </c>
      <c r="F1087">
        <f>IF($J1087="","",IFERROR(SUMIFS('Weekly Log'!$F:$F,'Weekly Log'!$A:$A,"&gt;="&amp;$J1087,'Weekly Log'!$A:$A,"&lt;"&amp;$J1087+7)/SUMIFS('Weekly Log'!$E:$E,'Weekly Log'!$A:$A,"&gt;="&amp;$J1087,'Weekly Log'!$A:$A,"&lt;"&amp;$J1087+7),0))</f>
        <v/>
      </c>
      <c r="G1087">
        <f>IF($J1087="","",IFERROR(LOOKUP(2,1/(('Weekly Log'!$A$5:$A$5000&gt;=$J1087)*('Weekly Log'!$A$5:$A$5000&lt;$J1087+7)*('Weekly Log'!$M$5:$M$5000&lt;&gt;"")),'Weekly Log'!$M$5:$M$5000),0))</f>
        <v/>
      </c>
      <c r="J1087">
        <f>IF(COUNT('Weekly Log'!$A$5:$A$5000)=0,"",IF(MIN('Weekly Log'!$A$5:$A$5000)+7*(ROW()-10)&gt;MAX('Weekly Log'!$A$5:$A$5000),"",MIN('Weekly Log'!$A$5:$A$5000)+7*(ROW()-10)))</f>
        <v/>
      </c>
    </row>
    <row r="1088">
      <c r="A1088">
        <f>IF($J1088="","",YEAR($J1088-WEEKDAY($J1088,2)+4)&amp;"-W"&amp;TEXT(WEEKNUM($J1088,21),"00"))</f>
        <v/>
      </c>
      <c r="B1088">
        <f>IF($J1088="","",SUMIFS('Weekly Log'!$C:$C,'Weekly Log'!$A:$A,"&gt;="&amp;$J1088,'Weekly Log'!$A:$A,"&lt;"&amp;$J1088+7))</f>
        <v/>
      </c>
      <c r="C1088">
        <f>IF($J1088="","",IFERROR(COUNTIFS('Weekly Log'!$G:$G,"Y",'Weekly Log'!$A:$A,"&gt;="&amp;$J1088,'Weekly Log'!$A:$A,"&lt;"&amp;$J1088+7)/COUNTIFS('Weekly Log'!$G:$G,"&lt;&gt;",'Weekly Log'!$A:$A,"&gt;="&amp;$J1088,'Weekly Log'!$A:$A,"&lt;"&amp;$J1088+7),0))</f>
        <v/>
      </c>
      <c r="D1088">
        <f>IF($J1088="","",IFERROR(COUNTIFS('Weekly Log'!$H:$H,"Y",'Weekly Log'!$A:$A,"&gt;="&amp;$J1088,'Weekly Log'!$A:$A,"&lt;"&amp;$J1088+7)/COUNTIFS('Weekly Log'!$H:$H,"&lt;&gt;",'Weekly Log'!$A:$A,"&gt;="&amp;$J1088,'Weekly Log'!$A:$A,"&lt;"&amp;$J1088+7),0))</f>
        <v/>
      </c>
      <c r="E1088">
        <f>IF($J1088="","",IFERROR(AVERAGEIFS('Weekly Log'!$F:$F,'Weekly Log'!$A:$A,"&gt;="&amp;$J1088,'Weekly Log'!$A:$A,"&lt;"&amp;$J1088+7),0))</f>
        <v/>
      </c>
      <c r="F1088">
        <f>IF($J1088="","",IFERROR(SUMIFS('Weekly Log'!$F:$F,'Weekly Log'!$A:$A,"&gt;="&amp;$J1088,'Weekly Log'!$A:$A,"&lt;"&amp;$J1088+7)/SUMIFS('Weekly Log'!$E:$E,'Weekly Log'!$A:$A,"&gt;="&amp;$J1088,'Weekly Log'!$A:$A,"&lt;"&amp;$J1088+7),0))</f>
        <v/>
      </c>
      <c r="G1088">
        <f>IF($J1088="","",IFERROR(LOOKUP(2,1/(('Weekly Log'!$A$5:$A$5000&gt;=$J1088)*('Weekly Log'!$A$5:$A$5000&lt;$J1088+7)*('Weekly Log'!$M$5:$M$5000&lt;&gt;"")),'Weekly Log'!$M$5:$M$5000),0))</f>
        <v/>
      </c>
      <c r="J1088">
        <f>IF(COUNT('Weekly Log'!$A$5:$A$5000)=0,"",IF(MIN('Weekly Log'!$A$5:$A$5000)+7*(ROW()-10)&gt;MAX('Weekly Log'!$A$5:$A$5000),"",MIN('Weekly Log'!$A$5:$A$5000)+7*(ROW()-10)))</f>
        <v/>
      </c>
    </row>
    <row r="1089">
      <c r="A1089">
        <f>IF($J1089="","",YEAR($J1089-WEEKDAY($J1089,2)+4)&amp;"-W"&amp;TEXT(WEEKNUM($J1089,21),"00"))</f>
        <v/>
      </c>
      <c r="B1089">
        <f>IF($J1089="","",SUMIFS('Weekly Log'!$C:$C,'Weekly Log'!$A:$A,"&gt;="&amp;$J1089,'Weekly Log'!$A:$A,"&lt;"&amp;$J1089+7))</f>
        <v/>
      </c>
      <c r="C1089">
        <f>IF($J1089="","",IFERROR(COUNTIFS('Weekly Log'!$G:$G,"Y",'Weekly Log'!$A:$A,"&gt;="&amp;$J1089,'Weekly Log'!$A:$A,"&lt;"&amp;$J1089+7)/COUNTIFS('Weekly Log'!$G:$G,"&lt;&gt;",'Weekly Log'!$A:$A,"&gt;="&amp;$J1089,'Weekly Log'!$A:$A,"&lt;"&amp;$J1089+7),0))</f>
        <v/>
      </c>
      <c r="D1089">
        <f>IF($J1089="","",IFERROR(COUNTIFS('Weekly Log'!$H:$H,"Y",'Weekly Log'!$A:$A,"&gt;="&amp;$J1089,'Weekly Log'!$A:$A,"&lt;"&amp;$J1089+7)/COUNTIFS('Weekly Log'!$H:$H,"&lt;&gt;",'Weekly Log'!$A:$A,"&gt;="&amp;$J1089,'Weekly Log'!$A:$A,"&lt;"&amp;$J1089+7),0))</f>
        <v/>
      </c>
      <c r="E1089">
        <f>IF($J1089="","",IFERROR(AVERAGEIFS('Weekly Log'!$F:$F,'Weekly Log'!$A:$A,"&gt;="&amp;$J1089,'Weekly Log'!$A:$A,"&lt;"&amp;$J1089+7),0))</f>
        <v/>
      </c>
      <c r="F1089">
        <f>IF($J1089="","",IFERROR(SUMIFS('Weekly Log'!$F:$F,'Weekly Log'!$A:$A,"&gt;="&amp;$J1089,'Weekly Log'!$A:$A,"&lt;"&amp;$J1089+7)/SUMIFS('Weekly Log'!$E:$E,'Weekly Log'!$A:$A,"&gt;="&amp;$J1089,'Weekly Log'!$A:$A,"&lt;"&amp;$J1089+7),0))</f>
        <v/>
      </c>
      <c r="G1089">
        <f>IF($J1089="","",IFERROR(LOOKUP(2,1/(('Weekly Log'!$A$5:$A$5000&gt;=$J1089)*('Weekly Log'!$A$5:$A$5000&lt;$J1089+7)*('Weekly Log'!$M$5:$M$5000&lt;&gt;"")),'Weekly Log'!$M$5:$M$5000),0))</f>
        <v/>
      </c>
      <c r="J1089">
        <f>IF(COUNT('Weekly Log'!$A$5:$A$5000)=0,"",IF(MIN('Weekly Log'!$A$5:$A$5000)+7*(ROW()-10)&gt;MAX('Weekly Log'!$A$5:$A$5000),"",MIN('Weekly Log'!$A$5:$A$5000)+7*(ROW()-10)))</f>
        <v/>
      </c>
    </row>
    <row r="1090">
      <c r="A1090">
        <f>IF($J1090="","",YEAR($J1090-WEEKDAY($J1090,2)+4)&amp;"-W"&amp;TEXT(WEEKNUM($J1090,21),"00"))</f>
        <v/>
      </c>
      <c r="B1090">
        <f>IF($J1090="","",SUMIFS('Weekly Log'!$C:$C,'Weekly Log'!$A:$A,"&gt;="&amp;$J1090,'Weekly Log'!$A:$A,"&lt;"&amp;$J1090+7))</f>
        <v/>
      </c>
      <c r="C1090">
        <f>IF($J1090="","",IFERROR(COUNTIFS('Weekly Log'!$G:$G,"Y",'Weekly Log'!$A:$A,"&gt;="&amp;$J1090,'Weekly Log'!$A:$A,"&lt;"&amp;$J1090+7)/COUNTIFS('Weekly Log'!$G:$G,"&lt;&gt;",'Weekly Log'!$A:$A,"&gt;="&amp;$J1090,'Weekly Log'!$A:$A,"&lt;"&amp;$J1090+7),0))</f>
        <v/>
      </c>
      <c r="D1090">
        <f>IF($J1090="","",IFERROR(COUNTIFS('Weekly Log'!$H:$H,"Y",'Weekly Log'!$A:$A,"&gt;="&amp;$J1090,'Weekly Log'!$A:$A,"&lt;"&amp;$J1090+7)/COUNTIFS('Weekly Log'!$H:$H,"&lt;&gt;",'Weekly Log'!$A:$A,"&gt;="&amp;$J1090,'Weekly Log'!$A:$A,"&lt;"&amp;$J1090+7),0))</f>
        <v/>
      </c>
      <c r="E1090">
        <f>IF($J1090="","",IFERROR(AVERAGEIFS('Weekly Log'!$F:$F,'Weekly Log'!$A:$A,"&gt;="&amp;$J1090,'Weekly Log'!$A:$A,"&lt;"&amp;$J1090+7),0))</f>
        <v/>
      </c>
      <c r="F1090">
        <f>IF($J1090="","",IFERROR(SUMIFS('Weekly Log'!$F:$F,'Weekly Log'!$A:$A,"&gt;="&amp;$J1090,'Weekly Log'!$A:$A,"&lt;"&amp;$J1090+7)/SUMIFS('Weekly Log'!$E:$E,'Weekly Log'!$A:$A,"&gt;="&amp;$J1090,'Weekly Log'!$A:$A,"&lt;"&amp;$J1090+7),0))</f>
        <v/>
      </c>
      <c r="G1090">
        <f>IF($J1090="","",IFERROR(LOOKUP(2,1/(('Weekly Log'!$A$5:$A$5000&gt;=$J1090)*('Weekly Log'!$A$5:$A$5000&lt;$J1090+7)*('Weekly Log'!$M$5:$M$5000&lt;&gt;"")),'Weekly Log'!$M$5:$M$5000),0))</f>
        <v/>
      </c>
      <c r="J1090">
        <f>IF(COUNT('Weekly Log'!$A$5:$A$5000)=0,"",IF(MIN('Weekly Log'!$A$5:$A$5000)+7*(ROW()-10)&gt;MAX('Weekly Log'!$A$5:$A$5000),"",MIN('Weekly Log'!$A$5:$A$5000)+7*(ROW()-10)))</f>
        <v/>
      </c>
    </row>
    <row r="1091">
      <c r="A1091">
        <f>IF($J1091="","",YEAR($J1091-WEEKDAY($J1091,2)+4)&amp;"-W"&amp;TEXT(WEEKNUM($J1091,21),"00"))</f>
        <v/>
      </c>
      <c r="B1091">
        <f>IF($J1091="","",SUMIFS('Weekly Log'!$C:$C,'Weekly Log'!$A:$A,"&gt;="&amp;$J1091,'Weekly Log'!$A:$A,"&lt;"&amp;$J1091+7))</f>
        <v/>
      </c>
      <c r="C1091">
        <f>IF($J1091="","",IFERROR(COUNTIFS('Weekly Log'!$G:$G,"Y",'Weekly Log'!$A:$A,"&gt;="&amp;$J1091,'Weekly Log'!$A:$A,"&lt;"&amp;$J1091+7)/COUNTIFS('Weekly Log'!$G:$G,"&lt;&gt;",'Weekly Log'!$A:$A,"&gt;="&amp;$J1091,'Weekly Log'!$A:$A,"&lt;"&amp;$J1091+7),0))</f>
        <v/>
      </c>
      <c r="D1091">
        <f>IF($J1091="","",IFERROR(COUNTIFS('Weekly Log'!$H:$H,"Y",'Weekly Log'!$A:$A,"&gt;="&amp;$J1091,'Weekly Log'!$A:$A,"&lt;"&amp;$J1091+7)/COUNTIFS('Weekly Log'!$H:$H,"&lt;&gt;",'Weekly Log'!$A:$A,"&gt;="&amp;$J1091,'Weekly Log'!$A:$A,"&lt;"&amp;$J1091+7),0))</f>
        <v/>
      </c>
      <c r="E1091">
        <f>IF($J1091="","",IFERROR(AVERAGEIFS('Weekly Log'!$F:$F,'Weekly Log'!$A:$A,"&gt;="&amp;$J1091,'Weekly Log'!$A:$A,"&lt;"&amp;$J1091+7),0))</f>
        <v/>
      </c>
      <c r="F1091">
        <f>IF($J1091="","",IFERROR(SUMIFS('Weekly Log'!$F:$F,'Weekly Log'!$A:$A,"&gt;="&amp;$J1091,'Weekly Log'!$A:$A,"&lt;"&amp;$J1091+7)/SUMIFS('Weekly Log'!$E:$E,'Weekly Log'!$A:$A,"&gt;="&amp;$J1091,'Weekly Log'!$A:$A,"&lt;"&amp;$J1091+7),0))</f>
        <v/>
      </c>
      <c r="G1091">
        <f>IF($J1091="","",IFERROR(LOOKUP(2,1/(('Weekly Log'!$A$5:$A$5000&gt;=$J1091)*('Weekly Log'!$A$5:$A$5000&lt;$J1091+7)*('Weekly Log'!$M$5:$M$5000&lt;&gt;"")),'Weekly Log'!$M$5:$M$5000),0))</f>
        <v/>
      </c>
      <c r="J1091">
        <f>IF(COUNT('Weekly Log'!$A$5:$A$5000)=0,"",IF(MIN('Weekly Log'!$A$5:$A$5000)+7*(ROW()-10)&gt;MAX('Weekly Log'!$A$5:$A$5000),"",MIN('Weekly Log'!$A$5:$A$5000)+7*(ROW()-10)))</f>
        <v/>
      </c>
    </row>
    <row r="1092">
      <c r="A1092">
        <f>IF($J1092="","",YEAR($J1092-WEEKDAY($J1092,2)+4)&amp;"-W"&amp;TEXT(WEEKNUM($J1092,21),"00"))</f>
        <v/>
      </c>
      <c r="B1092">
        <f>IF($J1092="","",SUMIFS('Weekly Log'!$C:$C,'Weekly Log'!$A:$A,"&gt;="&amp;$J1092,'Weekly Log'!$A:$A,"&lt;"&amp;$J1092+7))</f>
        <v/>
      </c>
      <c r="C1092">
        <f>IF($J1092="","",IFERROR(COUNTIFS('Weekly Log'!$G:$G,"Y",'Weekly Log'!$A:$A,"&gt;="&amp;$J1092,'Weekly Log'!$A:$A,"&lt;"&amp;$J1092+7)/COUNTIFS('Weekly Log'!$G:$G,"&lt;&gt;",'Weekly Log'!$A:$A,"&gt;="&amp;$J1092,'Weekly Log'!$A:$A,"&lt;"&amp;$J1092+7),0))</f>
        <v/>
      </c>
      <c r="D1092">
        <f>IF($J1092="","",IFERROR(COUNTIFS('Weekly Log'!$H:$H,"Y",'Weekly Log'!$A:$A,"&gt;="&amp;$J1092,'Weekly Log'!$A:$A,"&lt;"&amp;$J1092+7)/COUNTIFS('Weekly Log'!$H:$H,"&lt;&gt;",'Weekly Log'!$A:$A,"&gt;="&amp;$J1092,'Weekly Log'!$A:$A,"&lt;"&amp;$J1092+7),0))</f>
        <v/>
      </c>
      <c r="E1092">
        <f>IF($J1092="","",IFERROR(AVERAGEIFS('Weekly Log'!$F:$F,'Weekly Log'!$A:$A,"&gt;="&amp;$J1092,'Weekly Log'!$A:$A,"&lt;"&amp;$J1092+7),0))</f>
        <v/>
      </c>
      <c r="F1092">
        <f>IF($J1092="","",IFERROR(SUMIFS('Weekly Log'!$F:$F,'Weekly Log'!$A:$A,"&gt;="&amp;$J1092,'Weekly Log'!$A:$A,"&lt;"&amp;$J1092+7)/SUMIFS('Weekly Log'!$E:$E,'Weekly Log'!$A:$A,"&gt;="&amp;$J1092,'Weekly Log'!$A:$A,"&lt;"&amp;$J1092+7),0))</f>
        <v/>
      </c>
      <c r="G1092">
        <f>IF($J1092="","",IFERROR(LOOKUP(2,1/(('Weekly Log'!$A$5:$A$5000&gt;=$J1092)*('Weekly Log'!$A$5:$A$5000&lt;$J1092+7)*('Weekly Log'!$M$5:$M$5000&lt;&gt;"")),'Weekly Log'!$M$5:$M$5000),0))</f>
        <v/>
      </c>
      <c r="J1092">
        <f>IF(COUNT('Weekly Log'!$A$5:$A$5000)=0,"",IF(MIN('Weekly Log'!$A$5:$A$5000)+7*(ROW()-10)&gt;MAX('Weekly Log'!$A$5:$A$5000),"",MIN('Weekly Log'!$A$5:$A$5000)+7*(ROW()-10)))</f>
        <v/>
      </c>
    </row>
    <row r="1093">
      <c r="A1093">
        <f>IF($J1093="","",YEAR($J1093-WEEKDAY($J1093,2)+4)&amp;"-W"&amp;TEXT(WEEKNUM($J1093,21),"00"))</f>
        <v/>
      </c>
      <c r="B1093">
        <f>IF($J1093="","",SUMIFS('Weekly Log'!$C:$C,'Weekly Log'!$A:$A,"&gt;="&amp;$J1093,'Weekly Log'!$A:$A,"&lt;"&amp;$J1093+7))</f>
        <v/>
      </c>
      <c r="C1093">
        <f>IF($J1093="","",IFERROR(COUNTIFS('Weekly Log'!$G:$G,"Y",'Weekly Log'!$A:$A,"&gt;="&amp;$J1093,'Weekly Log'!$A:$A,"&lt;"&amp;$J1093+7)/COUNTIFS('Weekly Log'!$G:$G,"&lt;&gt;",'Weekly Log'!$A:$A,"&gt;="&amp;$J1093,'Weekly Log'!$A:$A,"&lt;"&amp;$J1093+7),0))</f>
        <v/>
      </c>
      <c r="D1093">
        <f>IF($J1093="","",IFERROR(COUNTIFS('Weekly Log'!$H:$H,"Y",'Weekly Log'!$A:$A,"&gt;="&amp;$J1093,'Weekly Log'!$A:$A,"&lt;"&amp;$J1093+7)/COUNTIFS('Weekly Log'!$H:$H,"&lt;&gt;",'Weekly Log'!$A:$A,"&gt;="&amp;$J1093,'Weekly Log'!$A:$A,"&lt;"&amp;$J1093+7),0))</f>
        <v/>
      </c>
      <c r="E1093">
        <f>IF($J1093="","",IFERROR(AVERAGEIFS('Weekly Log'!$F:$F,'Weekly Log'!$A:$A,"&gt;="&amp;$J1093,'Weekly Log'!$A:$A,"&lt;"&amp;$J1093+7),0))</f>
        <v/>
      </c>
      <c r="F1093">
        <f>IF($J1093="","",IFERROR(SUMIFS('Weekly Log'!$F:$F,'Weekly Log'!$A:$A,"&gt;="&amp;$J1093,'Weekly Log'!$A:$A,"&lt;"&amp;$J1093+7)/SUMIFS('Weekly Log'!$E:$E,'Weekly Log'!$A:$A,"&gt;="&amp;$J1093,'Weekly Log'!$A:$A,"&lt;"&amp;$J1093+7),0))</f>
        <v/>
      </c>
      <c r="G1093">
        <f>IF($J1093="","",IFERROR(LOOKUP(2,1/(('Weekly Log'!$A$5:$A$5000&gt;=$J1093)*('Weekly Log'!$A$5:$A$5000&lt;$J1093+7)*('Weekly Log'!$M$5:$M$5000&lt;&gt;"")),'Weekly Log'!$M$5:$M$5000),0))</f>
        <v/>
      </c>
      <c r="J1093">
        <f>IF(COUNT('Weekly Log'!$A$5:$A$5000)=0,"",IF(MIN('Weekly Log'!$A$5:$A$5000)+7*(ROW()-10)&gt;MAX('Weekly Log'!$A$5:$A$5000),"",MIN('Weekly Log'!$A$5:$A$5000)+7*(ROW()-10)))</f>
        <v/>
      </c>
    </row>
    <row r="1094">
      <c r="A1094">
        <f>IF($J1094="","",YEAR($J1094-WEEKDAY($J1094,2)+4)&amp;"-W"&amp;TEXT(WEEKNUM($J1094,21),"00"))</f>
        <v/>
      </c>
      <c r="B1094">
        <f>IF($J1094="","",SUMIFS('Weekly Log'!$C:$C,'Weekly Log'!$A:$A,"&gt;="&amp;$J1094,'Weekly Log'!$A:$A,"&lt;"&amp;$J1094+7))</f>
        <v/>
      </c>
      <c r="C1094">
        <f>IF($J1094="","",IFERROR(COUNTIFS('Weekly Log'!$G:$G,"Y",'Weekly Log'!$A:$A,"&gt;="&amp;$J1094,'Weekly Log'!$A:$A,"&lt;"&amp;$J1094+7)/COUNTIFS('Weekly Log'!$G:$G,"&lt;&gt;",'Weekly Log'!$A:$A,"&gt;="&amp;$J1094,'Weekly Log'!$A:$A,"&lt;"&amp;$J1094+7),0))</f>
        <v/>
      </c>
      <c r="D1094">
        <f>IF($J1094="","",IFERROR(COUNTIFS('Weekly Log'!$H:$H,"Y",'Weekly Log'!$A:$A,"&gt;="&amp;$J1094,'Weekly Log'!$A:$A,"&lt;"&amp;$J1094+7)/COUNTIFS('Weekly Log'!$H:$H,"&lt;&gt;",'Weekly Log'!$A:$A,"&gt;="&amp;$J1094,'Weekly Log'!$A:$A,"&lt;"&amp;$J1094+7),0))</f>
        <v/>
      </c>
      <c r="E1094">
        <f>IF($J1094="","",IFERROR(AVERAGEIFS('Weekly Log'!$F:$F,'Weekly Log'!$A:$A,"&gt;="&amp;$J1094,'Weekly Log'!$A:$A,"&lt;"&amp;$J1094+7),0))</f>
        <v/>
      </c>
      <c r="F1094">
        <f>IF($J1094="","",IFERROR(SUMIFS('Weekly Log'!$F:$F,'Weekly Log'!$A:$A,"&gt;="&amp;$J1094,'Weekly Log'!$A:$A,"&lt;"&amp;$J1094+7)/SUMIFS('Weekly Log'!$E:$E,'Weekly Log'!$A:$A,"&gt;="&amp;$J1094,'Weekly Log'!$A:$A,"&lt;"&amp;$J1094+7),0))</f>
        <v/>
      </c>
      <c r="G1094">
        <f>IF($J1094="","",IFERROR(LOOKUP(2,1/(('Weekly Log'!$A$5:$A$5000&gt;=$J1094)*('Weekly Log'!$A$5:$A$5000&lt;$J1094+7)*('Weekly Log'!$M$5:$M$5000&lt;&gt;"")),'Weekly Log'!$M$5:$M$5000),0))</f>
        <v/>
      </c>
      <c r="J1094">
        <f>IF(COUNT('Weekly Log'!$A$5:$A$5000)=0,"",IF(MIN('Weekly Log'!$A$5:$A$5000)+7*(ROW()-10)&gt;MAX('Weekly Log'!$A$5:$A$5000),"",MIN('Weekly Log'!$A$5:$A$5000)+7*(ROW()-10)))</f>
        <v/>
      </c>
    </row>
    <row r="1095">
      <c r="A1095">
        <f>IF($J1095="","",YEAR($J1095-WEEKDAY($J1095,2)+4)&amp;"-W"&amp;TEXT(WEEKNUM($J1095,21),"00"))</f>
        <v/>
      </c>
      <c r="B1095">
        <f>IF($J1095="","",SUMIFS('Weekly Log'!$C:$C,'Weekly Log'!$A:$A,"&gt;="&amp;$J1095,'Weekly Log'!$A:$A,"&lt;"&amp;$J1095+7))</f>
        <v/>
      </c>
      <c r="C1095">
        <f>IF($J1095="","",IFERROR(COUNTIFS('Weekly Log'!$G:$G,"Y",'Weekly Log'!$A:$A,"&gt;="&amp;$J1095,'Weekly Log'!$A:$A,"&lt;"&amp;$J1095+7)/COUNTIFS('Weekly Log'!$G:$G,"&lt;&gt;",'Weekly Log'!$A:$A,"&gt;="&amp;$J1095,'Weekly Log'!$A:$A,"&lt;"&amp;$J1095+7),0))</f>
        <v/>
      </c>
      <c r="D1095">
        <f>IF($J1095="","",IFERROR(COUNTIFS('Weekly Log'!$H:$H,"Y",'Weekly Log'!$A:$A,"&gt;="&amp;$J1095,'Weekly Log'!$A:$A,"&lt;"&amp;$J1095+7)/COUNTIFS('Weekly Log'!$H:$H,"&lt;&gt;",'Weekly Log'!$A:$A,"&gt;="&amp;$J1095,'Weekly Log'!$A:$A,"&lt;"&amp;$J1095+7),0))</f>
        <v/>
      </c>
      <c r="E1095">
        <f>IF($J1095="","",IFERROR(AVERAGEIFS('Weekly Log'!$F:$F,'Weekly Log'!$A:$A,"&gt;="&amp;$J1095,'Weekly Log'!$A:$A,"&lt;"&amp;$J1095+7),0))</f>
        <v/>
      </c>
      <c r="F1095">
        <f>IF($J1095="","",IFERROR(SUMIFS('Weekly Log'!$F:$F,'Weekly Log'!$A:$A,"&gt;="&amp;$J1095,'Weekly Log'!$A:$A,"&lt;"&amp;$J1095+7)/SUMIFS('Weekly Log'!$E:$E,'Weekly Log'!$A:$A,"&gt;="&amp;$J1095,'Weekly Log'!$A:$A,"&lt;"&amp;$J1095+7),0))</f>
        <v/>
      </c>
      <c r="G1095">
        <f>IF($J1095="","",IFERROR(LOOKUP(2,1/(('Weekly Log'!$A$5:$A$5000&gt;=$J1095)*('Weekly Log'!$A$5:$A$5000&lt;$J1095+7)*('Weekly Log'!$M$5:$M$5000&lt;&gt;"")),'Weekly Log'!$M$5:$M$5000),0))</f>
        <v/>
      </c>
      <c r="J1095">
        <f>IF(COUNT('Weekly Log'!$A$5:$A$5000)=0,"",IF(MIN('Weekly Log'!$A$5:$A$5000)+7*(ROW()-10)&gt;MAX('Weekly Log'!$A$5:$A$5000),"",MIN('Weekly Log'!$A$5:$A$5000)+7*(ROW()-10)))</f>
        <v/>
      </c>
    </row>
    <row r="1096">
      <c r="A1096">
        <f>IF($J1096="","",YEAR($J1096-WEEKDAY($J1096,2)+4)&amp;"-W"&amp;TEXT(WEEKNUM($J1096,21),"00"))</f>
        <v/>
      </c>
      <c r="B1096">
        <f>IF($J1096="","",SUMIFS('Weekly Log'!$C:$C,'Weekly Log'!$A:$A,"&gt;="&amp;$J1096,'Weekly Log'!$A:$A,"&lt;"&amp;$J1096+7))</f>
        <v/>
      </c>
      <c r="C1096">
        <f>IF($J1096="","",IFERROR(COUNTIFS('Weekly Log'!$G:$G,"Y",'Weekly Log'!$A:$A,"&gt;="&amp;$J1096,'Weekly Log'!$A:$A,"&lt;"&amp;$J1096+7)/COUNTIFS('Weekly Log'!$G:$G,"&lt;&gt;",'Weekly Log'!$A:$A,"&gt;="&amp;$J1096,'Weekly Log'!$A:$A,"&lt;"&amp;$J1096+7),0))</f>
        <v/>
      </c>
      <c r="D1096">
        <f>IF($J1096="","",IFERROR(COUNTIFS('Weekly Log'!$H:$H,"Y",'Weekly Log'!$A:$A,"&gt;="&amp;$J1096,'Weekly Log'!$A:$A,"&lt;"&amp;$J1096+7)/COUNTIFS('Weekly Log'!$H:$H,"&lt;&gt;",'Weekly Log'!$A:$A,"&gt;="&amp;$J1096,'Weekly Log'!$A:$A,"&lt;"&amp;$J1096+7),0))</f>
        <v/>
      </c>
      <c r="E1096">
        <f>IF($J1096="","",IFERROR(AVERAGEIFS('Weekly Log'!$F:$F,'Weekly Log'!$A:$A,"&gt;="&amp;$J1096,'Weekly Log'!$A:$A,"&lt;"&amp;$J1096+7),0))</f>
        <v/>
      </c>
      <c r="F1096">
        <f>IF($J1096="","",IFERROR(SUMIFS('Weekly Log'!$F:$F,'Weekly Log'!$A:$A,"&gt;="&amp;$J1096,'Weekly Log'!$A:$A,"&lt;"&amp;$J1096+7)/SUMIFS('Weekly Log'!$E:$E,'Weekly Log'!$A:$A,"&gt;="&amp;$J1096,'Weekly Log'!$A:$A,"&lt;"&amp;$J1096+7),0))</f>
        <v/>
      </c>
      <c r="G1096">
        <f>IF($J1096="","",IFERROR(LOOKUP(2,1/(('Weekly Log'!$A$5:$A$5000&gt;=$J1096)*('Weekly Log'!$A$5:$A$5000&lt;$J1096+7)*('Weekly Log'!$M$5:$M$5000&lt;&gt;"")),'Weekly Log'!$M$5:$M$5000),0))</f>
        <v/>
      </c>
      <c r="J1096">
        <f>IF(COUNT('Weekly Log'!$A$5:$A$5000)=0,"",IF(MIN('Weekly Log'!$A$5:$A$5000)+7*(ROW()-10)&gt;MAX('Weekly Log'!$A$5:$A$5000),"",MIN('Weekly Log'!$A$5:$A$5000)+7*(ROW()-10)))</f>
        <v/>
      </c>
    </row>
    <row r="1097">
      <c r="A1097">
        <f>IF($J1097="","",YEAR($J1097-WEEKDAY($J1097,2)+4)&amp;"-W"&amp;TEXT(WEEKNUM($J1097,21),"00"))</f>
        <v/>
      </c>
      <c r="B1097">
        <f>IF($J1097="","",SUMIFS('Weekly Log'!$C:$C,'Weekly Log'!$A:$A,"&gt;="&amp;$J1097,'Weekly Log'!$A:$A,"&lt;"&amp;$J1097+7))</f>
        <v/>
      </c>
      <c r="C1097">
        <f>IF($J1097="","",IFERROR(COUNTIFS('Weekly Log'!$G:$G,"Y",'Weekly Log'!$A:$A,"&gt;="&amp;$J1097,'Weekly Log'!$A:$A,"&lt;"&amp;$J1097+7)/COUNTIFS('Weekly Log'!$G:$G,"&lt;&gt;",'Weekly Log'!$A:$A,"&gt;="&amp;$J1097,'Weekly Log'!$A:$A,"&lt;"&amp;$J1097+7),0))</f>
        <v/>
      </c>
      <c r="D1097">
        <f>IF($J1097="","",IFERROR(COUNTIFS('Weekly Log'!$H:$H,"Y",'Weekly Log'!$A:$A,"&gt;="&amp;$J1097,'Weekly Log'!$A:$A,"&lt;"&amp;$J1097+7)/COUNTIFS('Weekly Log'!$H:$H,"&lt;&gt;",'Weekly Log'!$A:$A,"&gt;="&amp;$J1097,'Weekly Log'!$A:$A,"&lt;"&amp;$J1097+7),0))</f>
        <v/>
      </c>
      <c r="E1097">
        <f>IF($J1097="","",IFERROR(AVERAGEIFS('Weekly Log'!$F:$F,'Weekly Log'!$A:$A,"&gt;="&amp;$J1097,'Weekly Log'!$A:$A,"&lt;"&amp;$J1097+7),0))</f>
        <v/>
      </c>
      <c r="F1097">
        <f>IF($J1097="","",IFERROR(SUMIFS('Weekly Log'!$F:$F,'Weekly Log'!$A:$A,"&gt;="&amp;$J1097,'Weekly Log'!$A:$A,"&lt;"&amp;$J1097+7)/SUMIFS('Weekly Log'!$E:$E,'Weekly Log'!$A:$A,"&gt;="&amp;$J1097,'Weekly Log'!$A:$A,"&lt;"&amp;$J1097+7),0))</f>
        <v/>
      </c>
      <c r="G1097">
        <f>IF($J1097="","",IFERROR(LOOKUP(2,1/(('Weekly Log'!$A$5:$A$5000&gt;=$J1097)*('Weekly Log'!$A$5:$A$5000&lt;$J1097+7)*('Weekly Log'!$M$5:$M$5000&lt;&gt;"")),'Weekly Log'!$M$5:$M$5000),0))</f>
        <v/>
      </c>
      <c r="J1097">
        <f>IF(COUNT('Weekly Log'!$A$5:$A$5000)=0,"",IF(MIN('Weekly Log'!$A$5:$A$5000)+7*(ROW()-10)&gt;MAX('Weekly Log'!$A$5:$A$5000),"",MIN('Weekly Log'!$A$5:$A$5000)+7*(ROW()-10)))</f>
        <v/>
      </c>
    </row>
    <row r="1098">
      <c r="A1098">
        <f>IF($J1098="","",YEAR($J1098-WEEKDAY($J1098,2)+4)&amp;"-W"&amp;TEXT(WEEKNUM($J1098,21),"00"))</f>
        <v/>
      </c>
      <c r="B1098">
        <f>IF($J1098="","",SUMIFS('Weekly Log'!$C:$C,'Weekly Log'!$A:$A,"&gt;="&amp;$J1098,'Weekly Log'!$A:$A,"&lt;"&amp;$J1098+7))</f>
        <v/>
      </c>
      <c r="C1098">
        <f>IF($J1098="","",IFERROR(COUNTIFS('Weekly Log'!$G:$G,"Y",'Weekly Log'!$A:$A,"&gt;="&amp;$J1098,'Weekly Log'!$A:$A,"&lt;"&amp;$J1098+7)/COUNTIFS('Weekly Log'!$G:$G,"&lt;&gt;",'Weekly Log'!$A:$A,"&gt;="&amp;$J1098,'Weekly Log'!$A:$A,"&lt;"&amp;$J1098+7),0))</f>
        <v/>
      </c>
      <c r="D1098">
        <f>IF($J1098="","",IFERROR(COUNTIFS('Weekly Log'!$H:$H,"Y",'Weekly Log'!$A:$A,"&gt;="&amp;$J1098,'Weekly Log'!$A:$A,"&lt;"&amp;$J1098+7)/COUNTIFS('Weekly Log'!$H:$H,"&lt;&gt;",'Weekly Log'!$A:$A,"&gt;="&amp;$J1098,'Weekly Log'!$A:$A,"&lt;"&amp;$J1098+7),0))</f>
        <v/>
      </c>
      <c r="E1098">
        <f>IF($J1098="","",IFERROR(AVERAGEIFS('Weekly Log'!$F:$F,'Weekly Log'!$A:$A,"&gt;="&amp;$J1098,'Weekly Log'!$A:$A,"&lt;"&amp;$J1098+7),0))</f>
        <v/>
      </c>
      <c r="F1098">
        <f>IF($J1098="","",IFERROR(SUMIFS('Weekly Log'!$F:$F,'Weekly Log'!$A:$A,"&gt;="&amp;$J1098,'Weekly Log'!$A:$A,"&lt;"&amp;$J1098+7)/SUMIFS('Weekly Log'!$E:$E,'Weekly Log'!$A:$A,"&gt;="&amp;$J1098,'Weekly Log'!$A:$A,"&lt;"&amp;$J1098+7),0))</f>
        <v/>
      </c>
      <c r="G1098">
        <f>IF($J1098="","",IFERROR(LOOKUP(2,1/(('Weekly Log'!$A$5:$A$5000&gt;=$J1098)*('Weekly Log'!$A$5:$A$5000&lt;$J1098+7)*('Weekly Log'!$M$5:$M$5000&lt;&gt;"")),'Weekly Log'!$M$5:$M$5000),0))</f>
        <v/>
      </c>
      <c r="J1098">
        <f>IF(COUNT('Weekly Log'!$A$5:$A$5000)=0,"",IF(MIN('Weekly Log'!$A$5:$A$5000)+7*(ROW()-10)&gt;MAX('Weekly Log'!$A$5:$A$5000),"",MIN('Weekly Log'!$A$5:$A$5000)+7*(ROW()-10)))</f>
        <v/>
      </c>
    </row>
    <row r="1099">
      <c r="A1099">
        <f>IF($J1099="","",YEAR($J1099-WEEKDAY($J1099,2)+4)&amp;"-W"&amp;TEXT(WEEKNUM($J1099,21),"00"))</f>
        <v/>
      </c>
      <c r="B1099">
        <f>IF($J1099="","",SUMIFS('Weekly Log'!$C:$C,'Weekly Log'!$A:$A,"&gt;="&amp;$J1099,'Weekly Log'!$A:$A,"&lt;"&amp;$J1099+7))</f>
        <v/>
      </c>
      <c r="C1099">
        <f>IF($J1099="","",IFERROR(COUNTIFS('Weekly Log'!$G:$G,"Y",'Weekly Log'!$A:$A,"&gt;="&amp;$J1099,'Weekly Log'!$A:$A,"&lt;"&amp;$J1099+7)/COUNTIFS('Weekly Log'!$G:$G,"&lt;&gt;",'Weekly Log'!$A:$A,"&gt;="&amp;$J1099,'Weekly Log'!$A:$A,"&lt;"&amp;$J1099+7),0))</f>
        <v/>
      </c>
      <c r="D1099">
        <f>IF($J1099="","",IFERROR(COUNTIFS('Weekly Log'!$H:$H,"Y",'Weekly Log'!$A:$A,"&gt;="&amp;$J1099,'Weekly Log'!$A:$A,"&lt;"&amp;$J1099+7)/COUNTIFS('Weekly Log'!$H:$H,"&lt;&gt;",'Weekly Log'!$A:$A,"&gt;="&amp;$J1099,'Weekly Log'!$A:$A,"&lt;"&amp;$J1099+7),0))</f>
        <v/>
      </c>
      <c r="E1099">
        <f>IF($J1099="","",IFERROR(AVERAGEIFS('Weekly Log'!$F:$F,'Weekly Log'!$A:$A,"&gt;="&amp;$J1099,'Weekly Log'!$A:$A,"&lt;"&amp;$J1099+7),0))</f>
        <v/>
      </c>
      <c r="F1099">
        <f>IF($J1099="","",IFERROR(SUMIFS('Weekly Log'!$F:$F,'Weekly Log'!$A:$A,"&gt;="&amp;$J1099,'Weekly Log'!$A:$A,"&lt;"&amp;$J1099+7)/SUMIFS('Weekly Log'!$E:$E,'Weekly Log'!$A:$A,"&gt;="&amp;$J1099,'Weekly Log'!$A:$A,"&lt;"&amp;$J1099+7),0))</f>
        <v/>
      </c>
      <c r="G1099">
        <f>IF($J1099="","",IFERROR(LOOKUP(2,1/(('Weekly Log'!$A$5:$A$5000&gt;=$J1099)*('Weekly Log'!$A$5:$A$5000&lt;$J1099+7)*('Weekly Log'!$M$5:$M$5000&lt;&gt;"")),'Weekly Log'!$M$5:$M$5000),0))</f>
        <v/>
      </c>
      <c r="J1099">
        <f>IF(COUNT('Weekly Log'!$A$5:$A$5000)=0,"",IF(MIN('Weekly Log'!$A$5:$A$5000)+7*(ROW()-10)&gt;MAX('Weekly Log'!$A$5:$A$5000),"",MIN('Weekly Log'!$A$5:$A$5000)+7*(ROW()-10)))</f>
        <v/>
      </c>
    </row>
    <row r="1100">
      <c r="A1100">
        <f>IF($J1100="","",YEAR($J1100-WEEKDAY($J1100,2)+4)&amp;"-W"&amp;TEXT(WEEKNUM($J1100,21),"00"))</f>
        <v/>
      </c>
      <c r="B1100">
        <f>IF($J1100="","",SUMIFS('Weekly Log'!$C:$C,'Weekly Log'!$A:$A,"&gt;="&amp;$J1100,'Weekly Log'!$A:$A,"&lt;"&amp;$J1100+7))</f>
        <v/>
      </c>
      <c r="C1100">
        <f>IF($J1100="","",IFERROR(COUNTIFS('Weekly Log'!$G:$G,"Y",'Weekly Log'!$A:$A,"&gt;="&amp;$J1100,'Weekly Log'!$A:$A,"&lt;"&amp;$J1100+7)/COUNTIFS('Weekly Log'!$G:$G,"&lt;&gt;",'Weekly Log'!$A:$A,"&gt;="&amp;$J1100,'Weekly Log'!$A:$A,"&lt;"&amp;$J1100+7),0))</f>
        <v/>
      </c>
      <c r="D1100">
        <f>IF($J1100="","",IFERROR(COUNTIFS('Weekly Log'!$H:$H,"Y",'Weekly Log'!$A:$A,"&gt;="&amp;$J1100,'Weekly Log'!$A:$A,"&lt;"&amp;$J1100+7)/COUNTIFS('Weekly Log'!$H:$H,"&lt;&gt;",'Weekly Log'!$A:$A,"&gt;="&amp;$J1100,'Weekly Log'!$A:$A,"&lt;"&amp;$J1100+7),0))</f>
        <v/>
      </c>
      <c r="E1100">
        <f>IF($J1100="","",IFERROR(AVERAGEIFS('Weekly Log'!$F:$F,'Weekly Log'!$A:$A,"&gt;="&amp;$J1100,'Weekly Log'!$A:$A,"&lt;"&amp;$J1100+7),0))</f>
        <v/>
      </c>
      <c r="F1100">
        <f>IF($J1100="","",IFERROR(SUMIFS('Weekly Log'!$F:$F,'Weekly Log'!$A:$A,"&gt;="&amp;$J1100,'Weekly Log'!$A:$A,"&lt;"&amp;$J1100+7)/SUMIFS('Weekly Log'!$E:$E,'Weekly Log'!$A:$A,"&gt;="&amp;$J1100,'Weekly Log'!$A:$A,"&lt;"&amp;$J1100+7),0))</f>
        <v/>
      </c>
      <c r="G1100">
        <f>IF($J1100="","",IFERROR(LOOKUP(2,1/(('Weekly Log'!$A$5:$A$5000&gt;=$J1100)*('Weekly Log'!$A$5:$A$5000&lt;$J1100+7)*('Weekly Log'!$M$5:$M$5000&lt;&gt;"")),'Weekly Log'!$M$5:$M$5000),0))</f>
        <v/>
      </c>
      <c r="J1100">
        <f>IF(COUNT('Weekly Log'!$A$5:$A$5000)=0,"",IF(MIN('Weekly Log'!$A$5:$A$5000)+7*(ROW()-10)&gt;MAX('Weekly Log'!$A$5:$A$5000),"",MIN('Weekly Log'!$A$5:$A$5000)+7*(ROW()-10)))</f>
        <v/>
      </c>
    </row>
    <row r="1101">
      <c r="A1101">
        <f>IF($J1101="","",YEAR($J1101-WEEKDAY($J1101,2)+4)&amp;"-W"&amp;TEXT(WEEKNUM($J1101,21),"00"))</f>
        <v/>
      </c>
      <c r="B1101">
        <f>IF($J1101="","",SUMIFS('Weekly Log'!$C:$C,'Weekly Log'!$A:$A,"&gt;="&amp;$J1101,'Weekly Log'!$A:$A,"&lt;"&amp;$J1101+7))</f>
        <v/>
      </c>
      <c r="C1101">
        <f>IF($J1101="","",IFERROR(COUNTIFS('Weekly Log'!$G:$G,"Y",'Weekly Log'!$A:$A,"&gt;="&amp;$J1101,'Weekly Log'!$A:$A,"&lt;"&amp;$J1101+7)/COUNTIFS('Weekly Log'!$G:$G,"&lt;&gt;",'Weekly Log'!$A:$A,"&gt;="&amp;$J1101,'Weekly Log'!$A:$A,"&lt;"&amp;$J1101+7),0))</f>
        <v/>
      </c>
      <c r="D1101">
        <f>IF($J1101="","",IFERROR(COUNTIFS('Weekly Log'!$H:$H,"Y",'Weekly Log'!$A:$A,"&gt;="&amp;$J1101,'Weekly Log'!$A:$A,"&lt;"&amp;$J1101+7)/COUNTIFS('Weekly Log'!$H:$H,"&lt;&gt;",'Weekly Log'!$A:$A,"&gt;="&amp;$J1101,'Weekly Log'!$A:$A,"&lt;"&amp;$J1101+7),0))</f>
        <v/>
      </c>
      <c r="E1101">
        <f>IF($J1101="","",IFERROR(AVERAGEIFS('Weekly Log'!$F:$F,'Weekly Log'!$A:$A,"&gt;="&amp;$J1101,'Weekly Log'!$A:$A,"&lt;"&amp;$J1101+7),0))</f>
        <v/>
      </c>
      <c r="F1101">
        <f>IF($J1101="","",IFERROR(SUMIFS('Weekly Log'!$F:$F,'Weekly Log'!$A:$A,"&gt;="&amp;$J1101,'Weekly Log'!$A:$A,"&lt;"&amp;$J1101+7)/SUMIFS('Weekly Log'!$E:$E,'Weekly Log'!$A:$A,"&gt;="&amp;$J1101,'Weekly Log'!$A:$A,"&lt;"&amp;$J1101+7),0))</f>
        <v/>
      </c>
      <c r="G1101">
        <f>IF($J1101="","",IFERROR(LOOKUP(2,1/(('Weekly Log'!$A$5:$A$5000&gt;=$J1101)*('Weekly Log'!$A$5:$A$5000&lt;$J1101+7)*('Weekly Log'!$M$5:$M$5000&lt;&gt;"")),'Weekly Log'!$M$5:$M$5000),0))</f>
        <v/>
      </c>
      <c r="J1101">
        <f>IF(COUNT('Weekly Log'!$A$5:$A$5000)=0,"",IF(MIN('Weekly Log'!$A$5:$A$5000)+7*(ROW()-10)&gt;MAX('Weekly Log'!$A$5:$A$5000),"",MIN('Weekly Log'!$A$5:$A$5000)+7*(ROW()-10)))</f>
        <v/>
      </c>
    </row>
    <row r="1102">
      <c r="A1102">
        <f>IF($J1102="","",YEAR($J1102-WEEKDAY($J1102,2)+4)&amp;"-W"&amp;TEXT(WEEKNUM($J1102,21),"00"))</f>
        <v/>
      </c>
      <c r="B1102">
        <f>IF($J1102="","",SUMIFS('Weekly Log'!$C:$C,'Weekly Log'!$A:$A,"&gt;="&amp;$J1102,'Weekly Log'!$A:$A,"&lt;"&amp;$J1102+7))</f>
        <v/>
      </c>
      <c r="C1102">
        <f>IF($J1102="","",IFERROR(COUNTIFS('Weekly Log'!$G:$G,"Y",'Weekly Log'!$A:$A,"&gt;="&amp;$J1102,'Weekly Log'!$A:$A,"&lt;"&amp;$J1102+7)/COUNTIFS('Weekly Log'!$G:$G,"&lt;&gt;",'Weekly Log'!$A:$A,"&gt;="&amp;$J1102,'Weekly Log'!$A:$A,"&lt;"&amp;$J1102+7),0))</f>
        <v/>
      </c>
      <c r="D1102">
        <f>IF($J1102="","",IFERROR(COUNTIFS('Weekly Log'!$H:$H,"Y",'Weekly Log'!$A:$A,"&gt;="&amp;$J1102,'Weekly Log'!$A:$A,"&lt;"&amp;$J1102+7)/COUNTIFS('Weekly Log'!$H:$H,"&lt;&gt;",'Weekly Log'!$A:$A,"&gt;="&amp;$J1102,'Weekly Log'!$A:$A,"&lt;"&amp;$J1102+7),0))</f>
        <v/>
      </c>
      <c r="E1102">
        <f>IF($J1102="","",IFERROR(AVERAGEIFS('Weekly Log'!$F:$F,'Weekly Log'!$A:$A,"&gt;="&amp;$J1102,'Weekly Log'!$A:$A,"&lt;"&amp;$J1102+7),0))</f>
        <v/>
      </c>
      <c r="F1102">
        <f>IF($J1102="","",IFERROR(SUMIFS('Weekly Log'!$F:$F,'Weekly Log'!$A:$A,"&gt;="&amp;$J1102,'Weekly Log'!$A:$A,"&lt;"&amp;$J1102+7)/SUMIFS('Weekly Log'!$E:$E,'Weekly Log'!$A:$A,"&gt;="&amp;$J1102,'Weekly Log'!$A:$A,"&lt;"&amp;$J1102+7),0))</f>
        <v/>
      </c>
      <c r="G1102">
        <f>IF($J1102="","",IFERROR(LOOKUP(2,1/(('Weekly Log'!$A$5:$A$5000&gt;=$J1102)*('Weekly Log'!$A$5:$A$5000&lt;$J1102+7)*('Weekly Log'!$M$5:$M$5000&lt;&gt;"")),'Weekly Log'!$M$5:$M$5000),0))</f>
        <v/>
      </c>
      <c r="J1102">
        <f>IF(COUNT('Weekly Log'!$A$5:$A$5000)=0,"",IF(MIN('Weekly Log'!$A$5:$A$5000)+7*(ROW()-10)&gt;MAX('Weekly Log'!$A$5:$A$5000),"",MIN('Weekly Log'!$A$5:$A$5000)+7*(ROW()-10)))</f>
        <v/>
      </c>
    </row>
    <row r="1103">
      <c r="A1103">
        <f>IF($J1103="","",YEAR($J1103-WEEKDAY($J1103,2)+4)&amp;"-W"&amp;TEXT(WEEKNUM($J1103,21),"00"))</f>
        <v/>
      </c>
      <c r="B1103">
        <f>IF($J1103="","",SUMIFS('Weekly Log'!$C:$C,'Weekly Log'!$A:$A,"&gt;="&amp;$J1103,'Weekly Log'!$A:$A,"&lt;"&amp;$J1103+7))</f>
        <v/>
      </c>
      <c r="C1103">
        <f>IF($J1103="","",IFERROR(COUNTIFS('Weekly Log'!$G:$G,"Y",'Weekly Log'!$A:$A,"&gt;="&amp;$J1103,'Weekly Log'!$A:$A,"&lt;"&amp;$J1103+7)/COUNTIFS('Weekly Log'!$G:$G,"&lt;&gt;",'Weekly Log'!$A:$A,"&gt;="&amp;$J1103,'Weekly Log'!$A:$A,"&lt;"&amp;$J1103+7),0))</f>
        <v/>
      </c>
      <c r="D1103">
        <f>IF($J1103="","",IFERROR(COUNTIFS('Weekly Log'!$H:$H,"Y",'Weekly Log'!$A:$A,"&gt;="&amp;$J1103,'Weekly Log'!$A:$A,"&lt;"&amp;$J1103+7)/COUNTIFS('Weekly Log'!$H:$H,"&lt;&gt;",'Weekly Log'!$A:$A,"&gt;="&amp;$J1103,'Weekly Log'!$A:$A,"&lt;"&amp;$J1103+7),0))</f>
        <v/>
      </c>
      <c r="E1103">
        <f>IF($J1103="","",IFERROR(AVERAGEIFS('Weekly Log'!$F:$F,'Weekly Log'!$A:$A,"&gt;="&amp;$J1103,'Weekly Log'!$A:$A,"&lt;"&amp;$J1103+7),0))</f>
        <v/>
      </c>
      <c r="F1103">
        <f>IF($J1103="","",IFERROR(SUMIFS('Weekly Log'!$F:$F,'Weekly Log'!$A:$A,"&gt;="&amp;$J1103,'Weekly Log'!$A:$A,"&lt;"&amp;$J1103+7)/SUMIFS('Weekly Log'!$E:$E,'Weekly Log'!$A:$A,"&gt;="&amp;$J1103,'Weekly Log'!$A:$A,"&lt;"&amp;$J1103+7),0))</f>
        <v/>
      </c>
      <c r="G1103">
        <f>IF($J1103="","",IFERROR(LOOKUP(2,1/(('Weekly Log'!$A$5:$A$5000&gt;=$J1103)*('Weekly Log'!$A$5:$A$5000&lt;$J1103+7)*('Weekly Log'!$M$5:$M$5000&lt;&gt;"")),'Weekly Log'!$M$5:$M$5000),0))</f>
        <v/>
      </c>
      <c r="J1103">
        <f>IF(COUNT('Weekly Log'!$A$5:$A$5000)=0,"",IF(MIN('Weekly Log'!$A$5:$A$5000)+7*(ROW()-10)&gt;MAX('Weekly Log'!$A$5:$A$5000),"",MIN('Weekly Log'!$A$5:$A$5000)+7*(ROW()-10)))</f>
        <v/>
      </c>
    </row>
    <row r="1104">
      <c r="A1104">
        <f>IF($J1104="","",YEAR($J1104-WEEKDAY($J1104,2)+4)&amp;"-W"&amp;TEXT(WEEKNUM($J1104,21),"00"))</f>
        <v/>
      </c>
      <c r="B1104">
        <f>IF($J1104="","",SUMIFS('Weekly Log'!$C:$C,'Weekly Log'!$A:$A,"&gt;="&amp;$J1104,'Weekly Log'!$A:$A,"&lt;"&amp;$J1104+7))</f>
        <v/>
      </c>
      <c r="C1104">
        <f>IF($J1104="","",IFERROR(COUNTIFS('Weekly Log'!$G:$G,"Y",'Weekly Log'!$A:$A,"&gt;="&amp;$J1104,'Weekly Log'!$A:$A,"&lt;"&amp;$J1104+7)/COUNTIFS('Weekly Log'!$G:$G,"&lt;&gt;",'Weekly Log'!$A:$A,"&gt;="&amp;$J1104,'Weekly Log'!$A:$A,"&lt;"&amp;$J1104+7),0))</f>
        <v/>
      </c>
      <c r="D1104">
        <f>IF($J1104="","",IFERROR(COUNTIFS('Weekly Log'!$H:$H,"Y",'Weekly Log'!$A:$A,"&gt;="&amp;$J1104,'Weekly Log'!$A:$A,"&lt;"&amp;$J1104+7)/COUNTIFS('Weekly Log'!$H:$H,"&lt;&gt;",'Weekly Log'!$A:$A,"&gt;="&amp;$J1104,'Weekly Log'!$A:$A,"&lt;"&amp;$J1104+7),0))</f>
        <v/>
      </c>
      <c r="E1104">
        <f>IF($J1104="","",IFERROR(AVERAGEIFS('Weekly Log'!$F:$F,'Weekly Log'!$A:$A,"&gt;="&amp;$J1104,'Weekly Log'!$A:$A,"&lt;"&amp;$J1104+7),0))</f>
        <v/>
      </c>
      <c r="F1104">
        <f>IF($J1104="","",IFERROR(SUMIFS('Weekly Log'!$F:$F,'Weekly Log'!$A:$A,"&gt;="&amp;$J1104,'Weekly Log'!$A:$A,"&lt;"&amp;$J1104+7)/SUMIFS('Weekly Log'!$E:$E,'Weekly Log'!$A:$A,"&gt;="&amp;$J1104,'Weekly Log'!$A:$A,"&lt;"&amp;$J1104+7),0))</f>
        <v/>
      </c>
      <c r="G1104">
        <f>IF($J1104="","",IFERROR(LOOKUP(2,1/(('Weekly Log'!$A$5:$A$5000&gt;=$J1104)*('Weekly Log'!$A$5:$A$5000&lt;$J1104+7)*('Weekly Log'!$M$5:$M$5000&lt;&gt;"")),'Weekly Log'!$M$5:$M$5000),0))</f>
        <v/>
      </c>
      <c r="J1104">
        <f>IF(COUNT('Weekly Log'!$A$5:$A$5000)=0,"",IF(MIN('Weekly Log'!$A$5:$A$5000)+7*(ROW()-10)&gt;MAX('Weekly Log'!$A$5:$A$5000),"",MIN('Weekly Log'!$A$5:$A$5000)+7*(ROW()-10)))</f>
        <v/>
      </c>
    </row>
    <row r="1105">
      <c r="A1105">
        <f>IF($J1105="","",YEAR($J1105-WEEKDAY($J1105,2)+4)&amp;"-W"&amp;TEXT(WEEKNUM($J1105,21),"00"))</f>
        <v/>
      </c>
      <c r="B1105">
        <f>IF($J1105="","",SUMIFS('Weekly Log'!$C:$C,'Weekly Log'!$A:$A,"&gt;="&amp;$J1105,'Weekly Log'!$A:$A,"&lt;"&amp;$J1105+7))</f>
        <v/>
      </c>
      <c r="C1105">
        <f>IF($J1105="","",IFERROR(COUNTIFS('Weekly Log'!$G:$G,"Y",'Weekly Log'!$A:$A,"&gt;="&amp;$J1105,'Weekly Log'!$A:$A,"&lt;"&amp;$J1105+7)/COUNTIFS('Weekly Log'!$G:$G,"&lt;&gt;",'Weekly Log'!$A:$A,"&gt;="&amp;$J1105,'Weekly Log'!$A:$A,"&lt;"&amp;$J1105+7),0))</f>
        <v/>
      </c>
      <c r="D1105">
        <f>IF($J1105="","",IFERROR(COUNTIFS('Weekly Log'!$H:$H,"Y",'Weekly Log'!$A:$A,"&gt;="&amp;$J1105,'Weekly Log'!$A:$A,"&lt;"&amp;$J1105+7)/COUNTIFS('Weekly Log'!$H:$H,"&lt;&gt;",'Weekly Log'!$A:$A,"&gt;="&amp;$J1105,'Weekly Log'!$A:$A,"&lt;"&amp;$J1105+7),0))</f>
        <v/>
      </c>
      <c r="E1105">
        <f>IF($J1105="","",IFERROR(AVERAGEIFS('Weekly Log'!$F:$F,'Weekly Log'!$A:$A,"&gt;="&amp;$J1105,'Weekly Log'!$A:$A,"&lt;"&amp;$J1105+7),0))</f>
        <v/>
      </c>
      <c r="F1105">
        <f>IF($J1105="","",IFERROR(SUMIFS('Weekly Log'!$F:$F,'Weekly Log'!$A:$A,"&gt;="&amp;$J1105,'Weekly Log'!$A:$A,"&lt;"&amp;$J1105+7)/SUMIFS('Weekly Log'!$E:$E,'Weekly Log'!$A:$A,"&gt;="&amp;$J1105,'Weekly Log'!$A:$A,"&lt;"&amp;$J1105+7),0))</f>
        <v/>
      </c>
      <c r="G1105">
        <f>IF($J1105="","",IFERROR(LOOKUP(2,1/(('Weekly Log'!$A$5:$A$5000&gt;=$J1105)*('Weekly Log'!$A$5:$A$5000&lt;$J1105+7)*('Weekly Log'!$M$5:$M$5000&lt;&gt;"")),'Weekly Log'!$M$5:$M$5000),0))</f>
        <v/>
      </c>
      <c r="J1105">
        <f>IF(COUNT('Weekly Log'!$A$5:$A$5000)=0,"",IF(MIN('Weekly Log'!$A$5:$A$5000)+7*(ROW()-10)&gt;MAX('Weekly Log'!$A$5:$A$5000),"",MIN('Weekly Log'!$A$5:$A$5000)+7*(ROW()-10)))</f>
        <v/>
      </c>
    </row>
    <row r="1106">
      <c r="A1106">
        <f>IF($J1106="","",YEAR($J1106-WEEKDAY($J1106,2)+4)&amp;"-W"&amp;TEXT(WEEKNUM($J1106,21),"00"))</f>
        <v/>
      </c>
      <c r="B1106">
        <f>IF($J1106="","",SUMIFS('Weekly Log'!$C:$C,'Weekly Log'!$A:$A,"&gt;="&amp;$J1106,'Weekly Log'!$A:$A,"&lt;"&amp;$J1106+7))</f>
        <v/>
      </c>
      <c r="C1106">
        <f>IF($J1106="","",IFERROR(COUNTIFS('Weekly Log'!$G:$G,"Y",'Weekly Log'!$A:$A,"&gt;="&amp;$J1106,'Weekly Log'!$A:$A,"&lt;"&amp;$J1106+7)/COUNTIFS('Weekly Log'!$G:$G,"&lt;&gt;",'Weekly Log'!$A:$A,"&gt;="&amp;$J1106,'Weekly Log'!$A:$A,"&lt;"&amp;$J1106+7),0))</f>
        <v/>
      </c>
      <c r="D1106">
        <f>IF($J1106="","",IFERROR(COUNTIFS('Weekly Log'!$H:$H,"Y",'Weekly Log'!$A:$A,"&gt;="&amp;$J1106,'Weekly Log'!$A:$A,"&lt;"&amp;$J1106+7)/COUNTIFS('Weekly Log'!$H:$H,"&lt;&gt;",'Weekly Log'!$A:$A,"&gt;="&amp;$J1106,'Weekly Log'!$A:$A,"&lt;"&amp;$J1106+7),0))</f>
        <v/>
      </c>
      <c r="E1106">
        <f>IF($J1106="","",IFERROR(AVERAGEIFS('Weekly Log'!$F:$F,'Weekly Log'!$A:$A,"&gt;="&amp;$J1106,'Weekly Log'!$A:$A,"&lt;"&amp;$J1106+7),0))</f>
        <v/>
      </c>
      <c r="F1106">
        <f>IF($J1106="","",IFERROR(SUMIFS('Weekly Log'!$F:$F,'Weekly Log'!$A:$A,"&gt;="&amp;$J1106,'Weekly Log'!$A:$A,"&lt;"&amp;$J1106+7)/SUMIFS('Weekly Log'!$E:$E,'Weekly Log'!$A:$A,"&gt;="&amp;$J1106,'Weekly Log'!$A:$A,"&lt;"&amp;$J1106+7),0))</f>
        <v/>
      </c>
      <c r="G1106">
        <f>IF($J1106="","",IFERROR(LOOKUP(2,1/(('Weekly Log'!$A$5:$A$5000&gt;=$J1106)*('Weekly Log'!$A$5:$A$5000&lt;$J1106+7)*('Weekly Log'!$M$5:$M$5000&lt;&gt;"")),'Weekly Log'!$M$5:$M$5000),0))</f>
        <v/>
      </c>
      <c r="J1106">
        <f>IF(COUNT('Weekly Log'!$A$5:$A$5000)=0,"",IF(MIN('Weekly Log'!$A$5:$A$5000)+7*(ROW()-10)&gt;MAX('Weekly Log'!$A$5:$A$5000),"",MIN('Weekly Log'!$A$5:$A$5000)+7*(ROW()-10)))</f>
        <v/>
      </c>
    </row>
    <row r="1107">
      <c r="A1107">
        <f>IF($J1107="","",YEAR($J1107-WEEKDAY($J1107,2)+4)&amp;"-W"&amp;TEXT(WEEKNUM($J1107,21),"00"))</f>
        <v/>
      </c>
      <c r="B1107">
        <f>IF($J1107="","",SUMIFS('Weekly Log'!$C:$C,'Weekly Log'!$A:$A,"&gt;="&amp;$J1107,'Weekly Log'!$A:$A,"&lt;"&amp;$J1107+7))</f>
        <v/>
      </c>
      <c r="C1107">
        <f>IF($J1107="","",IFERROR(COUNTIFS('Weekly Log'!$G:$G,"Y",'Weekly Log'!$A:$A,"&gt;="&amp;$J1107,'Weekly Log'!$A:$A,"&lt;"&amp;$J1107+7)/COUNTIFS('Weekly Log'!$G:$G,"&lt;&gt;",'Weekly Log'!$A:$A,"&gt;="&amp;$J1107,'Weekly Log'!$A:$A,"&lt;"&amp;$J1107+7),0))</f>
        <v/>
      </c>
      <c r="D1107">
        <f>IF($J1107="","",IFERROR(COUNTIFS('Weekly Log'!$H:$H,"Y",'Weekly Log'!$A:$A,"&gt;="&amp;$J1107,'Weekly Log'!$A:$A,"&lt;"&amp;$J1107+7)/COUNTIFS('Weekly Log'!$H:$H,"&lt;&gt;",'Weekly Log'!$A:$A,"&gt;="&amp;$J1107,'Weekly Log'!$A:$A,"&lt;"&amp;$J1107+7),0))</f>
        <v/>
      </c>
      <c r="E1107">
        <f>IF($J1107="","",IFERROR(AVERAGEIFS('Weekly Log'!$F:$F,'Weekly Log'!$A:$A,"&gt;="&amp;$J1107,'Weekly Log'!$A:$A,"&lt;"&amp;$J1107+7),0))</f>
        <v/>
      </c>
      <c r="F1107">
        <f>IF($J1107="","",IFERROR(SUMIFS('Weekly Log'!$F:$F,'Weekly Log'!$A:$A,"&gt;="&amp;$J1107,'Weekly Log'!$A:$A,"&lt;"&amp;$J1107+7)/SUMIFS('Weekly Log'!$E:$E,'Weekly Log'!$A:$A,"&gt;="&amp;$J1107,'Weekly Log'!$A:$A,"&lt;"&amp;$J1107+7),0))</f>
        <v/>
      </c>
      <c r="G1107">
        <f>IF($J1107="","",IFERROR(LOOKUP(2,1/(('Weekly Log'!$A$5:$A$5000&gt;=$J1107)*('Weekly Log'!$A$5:$A$5000&lt;$J1107+7)*('Weekly Log'!$M$5:$M$5000&lt;&gt;"")),'Weekly Log'!$M$5:$M$5000),0))</f>
        <v/>
      </c>
      <c r="J1107">
        <f>IF(COUNT('Weekly Log'!$A$5:$A$5000)=0,"",IF(MIN('Weekly Log'!$A$5:$A$5000)+7*(ROW()-10)&gt;MAX('Weekly Log'!$A$5:$A$5000),"",MIN('Weekly Log'!$A$5:$A$5000)+7*(ROW()-10)))</f>
        <v/>
      </c>
    </row>
    <row r="1108">
      <c r="A1108">
        <f>IF($J1108="","",YEAR($J1108-WEEKDAY($J1108,2)+4)&amp;"-W"&amp;TEXT(WEEKNUM($J1108,21),"00"))</f>
        <v/>
      </c>
      <c r="B1108">
        <f>IF($J1108="","",SUMIFS('Weekly Log'!$C:$C,'Weekly Log'!$A:$A,"&gt;="&amp;$J1108,'Weekly Log'!$A:$A,"&lt;"&amp;$J1108+7))</f>
        <v/>
      </c>
      <c r="C1108">
        <f>IF($J1108="","",IFERROR(COUNTIFS('Weekly Log'!$G:$G,"Y",'Weekly Log'!$A:$A,"&gt;="&amp;$J1108,'Weekly Log'!$A:$A,"&lt;"&amp;$J1108+7)/COUNTIFS('Weekly Log'!$G:$G,"&lt;&gt;",'Weekly Log'!$A:$A,"&gt;="&amp;$J1108,'Weekly Log'!$A:$A,"&lt;"&amp;$J1108+7),0))</f>
        <v/>
      </c>
      <c r="D1108">
        <f>IF($J1108="","",IFERROR(COUNTIFS('Weekly Log'!$H:$H,"Y",'Weekly Log'!$A:$A,"&gt;="&amp;$J1108,'Weekly Log'!$A:$A,"&lt;"&amp;$J1108+7)/COUNTIFS('Weekly Log'!$H:$H,"&lt;&gt;",'Weekly Log'!$A:$A,"&gt;="&amp;$J1108,'Weekly Log'!$A:$A,"&lt;"&amp;$J1108+7),0))</f>
        <v/>
      </c>
      <c r="E1108">
        <f>IF($J1108="","",IFERROR(AVERAGEIFS('Weekly Log'!$F:$F,'Weekly Log'!$A:$A,"&gt;="&amp;$J1108,'Weekly Log'!$A:$A,"&lt;"&amp;$J1108+7),0))</f>
        <v/>
      </c>
      <c r="F1108">
        <f>IF($J1108="","",IFERROR(SUMIFS('Weekly Log'!$F:$F,'Weekly Log'!$A:$A,"&gt;="&amp;$J1108,'Weekly Log'!$A:$A,"&lt;"&amp;$J1108+7)/SUMIFS('Weekly Log'!$E:$E,'Weekly Log'!$A:$A,"&gt;="&amp;$J1108,'Weekly Log'!$A:$A,"&lt;"&amp;$J1108+7),0))</f>
        <v/>
      </c>
      <c r="G1108">
        <f>IF($J1108="","",IFERROR(LOOKUP(2,1/(('Weekly Log'!$A$5:$A$5000&gt;=$J1108)*('Weekly Log'!$A$5:$A$5000&lt;$J1108+7)*('Weekly Log'!$M$5:$M$5000&lt;&gt;"")),'Weekly Log'!$M$5:$M$5000),0))</f>
        <v/>
      </c>
      <c r="J1108">
        <f>IF(COUNT('Weekly Log'!$A$5:$A$5000)=0,"",IF(MIN('Weekly Log'!$A$5:$A$5000)+7*(ROW()-10)&gt;MAX('Weekly Log'!$A$5:$A$5000),"",MIN('Weekly Log'!$A$5:$A$5000)+7*(ROW()-10)))</f>
        <v/>
      </c>
    </row>
    <row r="1109">
      <c r="A1109">
        <f>IF($J1109="","",YEAR($J1109-WEEKDAY($J1109,2)+4)&amp;"-W"&amp;TEXT(WEEKNUM($J1109,21),"00"))</f>
        <v/>
      </c>
      <c r="B1109">
        <f>IF($J1109="","",SUMIFS('Weekly Log'!$C:$C,'Weekly Log'!$A:$A,"&gt;="&amp;$J1109,'Weekly Log'!$A:$A,"&lt;"&amp;$J1109+7))</f>
        <v/>
      </c>
      <c r="C1109">
        <f>IF($J1109="","",IFERROR(COUNTIFS('Weekly Log'!$G:$G,"Y",'Weekly Log'!$A:$A,"&gt;="&amp;$J1109,'Weekly Log'!$A:$A,"&lt;"&amp;$J1109+7)/COUNTIFS('Weekly Log'!$G:$G,"&lt;&gt;",'Weekly Log'!$A:$A,"&gt;="&amp;$J1109,'Weekly Log'!$A:$A,"&lt;"&amp;$J1109+7),0))</f>
        <v/>
      </c>
      <c r="D1109">
        <f>IF($J1109="","",IFERROR(COUNTIFS('Weekly Log'!$H:$H,"Y",'Weekly Log'!$A:$A,"&gt;="&amp;$J1109,'Weekly Log'!$A:$A,"&lt;"&amp;$J1109+7)/COUNTIFS('Weekly Log'!$H:$H,"&lt;&gt;",'Weekly Log'!$A:$A,"&gt;="&amp;$J1109,'Weekly Log'!$A:$A,"&lt;"&amp;$J1109+7),0))</f>
        <v/>
      </c>
      <c r="E1109">
        <f>IF($J1109="","",IFERROR(AVERAGEIFS('Weekly Log'!$F:$F,'Weekly Log'!$A:$A,"&gt;="&amp;$J1109,'Weekly Log'!$A:$A,"&lt;"&amp;$J1109+7),0))</f>
        <v/>
      </c>
      <c r="F1109">
        <f>IF($J1109="","",IFERROR(SUMIFS('Weekly Log'!$F:$F,'Weekly Log'!$A:$A,"&gt;="&amp;$J1109,'Weekly Log'!$A:$A,"&lt;"&amp;$J1109+7)/SUMIFS('Weekly Log'!$E:$E,'Weekly Log'!$A:$A,"&gt;="&amp;$J1109,'Weekly Log'!$A:$A,"&lt;"&amp;$J1109+7),0))</f>
        <v/>
      </c>
      <c r="G1109">
        <f>IF($J1109="","",IFERROR(LOOKUP(2,1/(('Weekly Log'!$A$5:$A$5000&gt;=$J1109)*('Weekly Log'!$A$5:$A$5000&lt;$J1109+7)*('Weekly Log'!$M$5:$M$5000&lt;&gt;"")),'Weekly Log'!$M$5:$M$5000),0))</f>
        <v/>
      </c>
      <c r="J1109">
        <f>IF(COUNT('Weekly Log'!$A$5:$A$5000)=0,"",IF(MIN('Weekly Log'!$A$5:$A$5000)+7*(ROW()-10)&gt;MAX('Weekly Log'!$A$5:$A$5000),"",MIN('Weekly Log'!$A$5:$A$5000)+7*(ROW()-10)))</f>
        <v/>
      </c>
    </row>
    <row r="1110">
      <c r="A1110">
        <f>IF($J1110="","",YEAR($J1110-WEEKDAY($J1110,2)+4)&amp;"-W"&amp;TEXT(WEEKNUM($J1110,21),"00"))</f>
        <v/>
      </c>
      <c r="B1110">
        <f>IF($J1110="","",SUMIFS('Weekly Log'!$C:$C,'Weekly Log'!$A:$A,"&gt;="&amp;$J1110,'Weekly Log'!$A:$A,"&lt;"&amp;$J1110+7))</f>
        <v/>
      </c>
      <c r="C1110">
        <f>IF($J1110="","",IFERROR(COUNTIFS('Weekly Log'!$G:$G,"Y",'Weekly Log'!$A:$A,"&gt;="&amp;$J1110,'Weekly Log'!$A:$A,"&lt;"&amp;$J1110+7)/COUNTIFS('Weekly Log'!$G:$G,"&lt;&gt;",'Weekly Log'!$A:$A,"&gt;="&amp;$J1110,'Weekly Log'!$A:$A,"&lt;"&amp;$J1110+7),0))</f>
        <v/>
      </c>
      <c r="D1110">
        <f>IF($J1110="","",IFERROR(COUNTIFS('Weekly Log'!$H:$H,"Y",'Weekly Log'!$A:$A,"&gt;="&amp;$J1110,'Weekly Log'!$A:$A,"&lt;"&amp;$J1110+7)/COUNTIFS('Weekly Log'!$H:$H,"&lt;&gt;",'Weekly Log'!$A:$A,"&gt;="&amp;$J1110,'Weekly Log'!$A:$A,"&lt;"&amp;$J1110+7),0))</f>
        <v/>
      </c>
      <c r="E1110">
        <f>IF($J1110="","",IFERROR(AVERAGEIFS('Weekly Log'!$F:$F,'Weekly Log'!$A:$A,"&gt;="&amp;$J1110,'Weekly Log'!$A:$A,"&lt;"&amp;$J1110+7),0))</f>
        <v/>
      </c>
      <c r="F1110">
        <f>IF($J1110="","",IFERROR(SUMIFS('Weekly Log'!$F:$F,'Weekly Log'!$A:$A,"&gt;="&amp;$J1110,'Weekly Log'!$A:$A,"&lt;"&amp;$J1110+7)/SUMIFS('Weekly Log'!$E:$E,'Weekly Log'!$A:$A,"&gt;="&amp;$J1110,'Weekly Log'!$A:$A,"&lt;"&amp;$J1110+7),0))</f>
        <v/>
      </c>
      <c r="G1110">
        <f>IF($J1110="","",IFERROR(LOOKUP(2,1/(('Weekly Log'!$A$5:$A$5000&gt;=$J1110)*('Weekly Log'!$A$5:$A$5000&lt;$J1110+7)*('Weekly Log'!$M$5:$M$5000&lt;&gt;"")),'Weekly Log'!$M$5:$M$5000),0))</f>
        <v/>
      </c>
      <c r="J1110">
        <f>IF(COUNT('Weekly Log'!$A$5:$A$5000)=0,"",IF(MIN('Weekly Log'!$A$5:$A$5000)+7*(ROW()-10)&gt;MAX('Weekly Log'!$A$5:$A$5000),"",MIN('Weekly Log'!$A$5:$A$5000)+7*(ROW()-10)))</f>
        <v/>
      </c>
    </row>
    <row r="1111">
      <c r="A1111">
        <f>IF($J1111="","",YEAR($J1111-WEEKDAY($J1111,2)+4)&amp;"-W"&amp;TEXT(WEEKNUM($J1111,21),"00"))</f>
        <v/>
      </c>
      <c r="B1111">
        <f>IF($J1111="","",SUMIFS('Weekly Log'!$C:$C,'Weekly Log'!$A:$A,"&gt;="&amp;$J1111,'Weekly Log'!$A:$A,"&lt;"&amp;$J1111+7))</f>
        <v/>
      </c>
      <c r="C1111">
        <f>IF($J1111="","",IFERROR(COUNTIFS('Weekly Log'!$G:$G,"Y",'Weekly Log'!$A:$A,"&gt;="&amp;$J1111,'Weekly Log'!$A:$A,"&lt;"&amp;$J1111+7)/COUNTIFS('Weekly Log'!$G:$G,"&lt;&gt;",'Weekly Log'!$A:$A,"&gt;="&amp;$J1111,'Weekly Log'!$A:$A,"&lt;"&amp;$J1111+7),0))</f>
        <v/>
      </c>
      <c r="D1111">
        <f>IF($J1111="","",IFERROR(COUNTIFS('Weekly Log'!$H:$H,"Y",'Weekly Log'!$A:$A,"&gt;="&amp;$J1111,'Weekly Log'!$A:$A,"&lt;"&amp;$J1111+7)/COUNTIFS('Weekly Log'!$H:$H,"&lt;&gt;",'Weekly Log'!$A:$A,"&gt;="&amp;$J1111,'Weekly Log'!$A:$A,"&lt;"&amp;$J1111+7),0))</f>
        <v/>
      </c>
      <c r="E1111">
        <f>IF($J1111="","",IFERROR(AVERAGEIFS('Weekly Log'!$F:$F,'Weekly Log'!$A:$A,"&gt;="&amp;$J1111,'Weekly Log'!$A:$A,"&lt;"&amp;$J1111+7),0))</f>
        <v/>
      </c>
      <c r="F1111">
        <f>IF($J1111="","",IFERROR(SUMIFS('Weekly Log'!$F:$F,'Weekly Log'!$A:$A,"&gt;="&amp;$J1111,'Weekly Log'!$A:$A,"&lt;"&amp;$J1111+7)/SUMIFS('Weekly Log'!$E:$E,'Weekly Log'!$A:$A,"&gt;="&amp;$J1111,'Weekly Log'!$A:$A,"&lt;"&amp;$J1111+7),0))</f>
        <v/>
      </c>
      <c r="G1111">
        <f>IF($J1111="","",IFERROR(LOOKUP(2,1/(('Weekly Log'!$A$5:$A$5000&gt;=$J1111)*('Weekly Log'!$A$5:$A$5000&lt;$J1111+7)*('Weekly Log'!$M$5:$M$5000&lt;&gt;"")),'Weekly Log'!$M$5:$M$5000),0))</f>
        <v/>
      </c>
      <c r="J1111">
        <f>IF(COUNT('Weekly Log'!$A$5:$A$5000)=0,"",IF(MIN('Weekly Log'!$A$5:$A$5000)+7*(ROW()-10)&gt;MAX('Weekly Log'!$A$5:$A$5000),"",MIN('Weekly Log'!$A$5:$A$5000)+7*(ROW()-10)))</f>
        <v/>
      </c>
    </row>
    <row r="1112">
      <c r="A1112">
        <f>IF($J1112="","",YEAR($J1112-WEEKDAY($J1112,2)+4)&amp;"-W"&amp;TEXT(WEEKNUM($J1112,21),"00"))</f>
        <v/>
      </c>
      <c r="B1112">
        <f>IF($J1112="","",SUMIFS('Weekly Log'!$C:$C,'Weekly Log'!$A:$A,"&gt;="&amp;$J1112,'Weekly Log'!$A:$A,"&lt;"&amp;$J1112+7))</f>
        <v/>
      </c>
      <c r="C1112">
        <f>IF($J1112="","",IFERROR(COUNTIFS('Weekly Log'!$G:$G,"Y",'Weekly Log'!$A:$A,"&gt;="&amp;$J1112,'Weekly Log'!$A:$A,"&lt;"&amp;$J1112+7)/COUNTIFS('Weekly Log'!$G:$G,"&lt;&gt;",'Weekly Log'!$A:$A,"&gt;="&amp;$J1112,'Weekly Log'!$A:$A,"&lt;"&amp;$J1112+7),0))</f>
        <v/>
      </c>
      <c r="D1112">
        <f>IF($J1112="","",IFERROR(COUNTIFS('Weekly Log'!$H:$H,"Y",'Weekly Log'!$A:$A,"&gt;="&amp;$J1112,'Weekly Log'!$A:$A,"&lt;"&amp;$J1112+7)/COUNTIFS('Weekly Log'!$H:$H,"&lt;&gt;",'Weekly Log'!$A:$A,"&gt;="&amp;$J1112,'Weekly Log'!$A:$A,"&lt;"&amp;$J1112+7),0))</f>
        <v/>
      </c>
      <c r="E1112">
        <f>IF($J1112="","",IFERROR(AVERAGEIFS('Weekly Log'!$F:$F,'Weekly Log'!$A:$A,"&gt;="&amp;$J1112,'Weekly Log'!$A:$A,"&lt;"&amp;$J1112+7),0))</f>
        <v/>
      </c>
      <c r="F1112">
        <f>IF($J1112="","",IFERROR(SUMIFS('Weekly Log'!$F:$F,'Weekly Log'!$A:$A,"&gt;="&amp;$J1112,'Weekly Log'!$A:$A,"&lt;"&amp;$J1112+7)/SUMIFS('Weekly Log'!$E:$E,'Weekly Log'!$A:$A,"&gt;="&amp;$J1112,'Weekly Log'!$A:$A,"&lt;"&amp;$J1112+7),0))</f>
        <v/>
      </c>
      <c r="G1112">
        <f>IF($J1112="","",IFERROR(LOOKUP(2,1/(('Weekly Log'!$A$5:$A$5000&gt;=$J1112)*('Weekly Log'!$A$5:$A$5000&lt;$J1112+7)*('Weekly Log'!$M$5:$M$5000&lt;&gt;"")),'Weekly Log'!$M$5:$M$5000),0))</f>
        <v/>
      </c>
      <c r="J1112">
        <f>IF(COUNT('Weekly Log'!$A$5:$A$5000)=0,"",IF(MIN('Weekly Log'!$A$5:$A$5000)+7*(ROW()-10)&gt;MAX('Weekly Log'!$A$5:$A$5000),"",MIN('Weekly Log'!$A$5:$A$5000)+7*(ROW()-10)))</f>
        <v/>
      </c>
    </row>
    <row r="1113">
      <c r="A1113">
        <f>IF($J1113="","",YEAR($J1113-WEEKDAY($J1113,2)+4)&amp;"-W"&amp;TEXT(WEEKNUM($J1113,21),"00"))</f>
        <v/>
      </c>
      <c r="B1113">
        <f>IF($J1113="","",SUMIFS('Weekly Log'!$C:$C,'Weekly Log'!$A:$A,"&gt;="&amp;$J1113,'Weekly Log'!$A:$A,"&lt;"&amp;$J1113+7))</f>
        <v/>
      </c>
      <c r="C1113">
        <f>IF($J1113="","",IFERROR(COUNTIFS('Weekly Log'!$G:$G,"Y",'Weekly Log'!$A:$A,"&gt;="&amp;$J1113,'Weekly Log'!$A:$A,"&lt;"&amp;$J1113+7)/COUNTIFS('Weekly Log'!$G:$G,"&lt;&gt;",'Weekly Log'!$A:$A,"&gt;="&amp;$J1113,'Weekly Log'!$A:$A,"&lt;"&amp;$J1113+7),0))</f>
        <v/>
      </c>
      <c r="D1113">
        <f>IF($J1113="","",IFERROR(COUNTIFS('Weekly Log'!$H:$H,"Y",'Weekly Log'!$A:$A,"&gt;="&amp;$J1113,'Weekly Log'!$A:$A,"&lt;"&amp;$J1113+7)/COUNTIFS('Weekly Log'!$H:$H,"&lt;&gt;",'Weekly Log'!$A:$A,"&gt;="&amp;$J1113,'Weekly Log'!$A:$A,"&lt;"&amp;$J1113+7),0))</f>
        <v/>
      </c>
      <c r="E1113">
        <f>IF($J1113="","",IFERROR(AVERAGEIFS('Weekly Log'!$F:$F,'Weekly Log'!$A:$A,"&gt;="&amp;$J1113,'Weekly Log'!$A:$A,"&lt;"&amp;$J1113+7),0))</f>
        <v/>
      </c>
      <c r="F1113">
        <f>IF($J1113="","",IFERROR(SUMIFS('Weekly Log'!$F:$F,'Weekly Log'!$A:$A,"&gt;="&amp;$J1113,'Weekly Log'!$A:$A,"&lt;"&amp;$J1113+7)/SUMIFS('Weekly Log'!$E:$E,'Weekly Log'!$A:$A,"&gt;="&amp;$J1113,'Weekly Log'!$A:$A,"&lt;"&amp;$J1113+7),0))</f>
        <v/>
      </c>
      <c r="G1113">
        <f>IF($J1113="","",IFERROR(LOOKUP(2,1/(('Weekly Log'!$A$5:$A$5000&gt;=$J1113)*('Weekly Log'!$A$5:$A$5000&lt;$J1113+7)*('Weekly Log'!$M$5:$M$5000&lt;&gt;"")),'Weekly Log'!$M$5:$M$5000),0))</f>
        <v/>
      </c>
      <c r="J1113">
        <f>IF(COUNT('Weekly Log'!$A$5:$A$5000)=0,"",IF(MIN('Weekly Log'!$A$5:$A$5000)+7*(ROW()-10)&gt;MAX('Weekly Log'!$A$5:$A$5000),"",MIN('Weekly Log'!$A$5:$A$5000)+7*(ROW()-10)))</f>
        <v/>
      </c>
    </row>
    <row r="1114">
      <c r="A1114">
        <f>IF($J1114="","",YEAR($J1114-WEEKDAY($J1114,2)+4)&amp;"-W"&amp;TEXT(WEEKNUM($J1114,21),"00"))</f>
        <v/>
      </c>
      <c r="B1114">
        <f>IF($J1114="","",SUMIFS('Weekly Log'!$C:$C,'Weekly Log'!$A:$A,"&gt;="&amp;$J1114,'Weekly Log'!$A:$A,"&lt;"&amp;$J1114+7))</f>
        <v/>
      </c>
      <c r="C1114">
        <f>IF($J1114="","",IFERROR(COUNTIFS('Weekly Log'!$G:$G,"Y",'Weekly Log'!$A:$A,"&gt;="&amp;$J1114,'Weekly Log'!$A:$A,"&lt;"&amp;$J1114+7)/COUNTIFS('Weekly Log'!$G:$G,"&lt;&gt;",'Weekly Log'!$A:$A,"&gt;="&amp;$J1114,'Weekly Log'!$A:$A,"&lt;"&amp;$J1114+7),0))</f>
        <v/>
      </c>
      <c r="D1114">
        <f>IF($J1114="","",IFERROR(COUNTIFS('Weekly Log'!$H:$H,"Y",'Weekly Log'!$A:$A,"&gt;="&amp;$J1114,'Weekly Log'!$A:$A,"&lt;"&amp;$J1114+7)/COUNTIFS('Weekly Log'!$H:$H,"&lt;&gt;",'Weekly Log'!$A:$A,"&gt;="&amp;$J1114,'Weekly Log'!$A:$A,"&lt;"&amp;$J1114+7),0))</f>
        <v/>
      </c>
      <c r="E1114">
        <f>IF($J1114="","",IFERROR(AVERAGEIFS('Weekly Log'!$F:$F,'Weekly Log'!$A:$A,"&gt;="&amp;$J1114,'Weekly Log'!$A:$A,"&lt;"&amp;$J1114+7),0))</f>
        <v/>
      </c>
      <c r="F1114">
        <f>IF($J1114="","",IFERROR(SUMIFS('Weekly Log'!$F:$F,'Weekly Log'!$A:$A,"&gt;="&amp;$J1114,'Weekly Log'!$A:$A,"&lt;"&amp;$J1114+7)/SUMIFS('Weekly Log'!$E:$E,'Weekly Log'!$A:$A,"&gt;="&amp;$J1114,'Weekly Log'!$A:$A,"&lt;"&amp;$J1114+7),0))</f>
        <v/>
      </c>
      <c r="G1114">
        <f>IF($J1114="","",IFERROR(LOOKUP(2,1/(('Weekly Log'!$A$5:$A$5000&gt;=$J1114)*('Weekly Log'!$A$5:$A$5000&lt;$J1114+7)*('Weekly Log'!$M$5:$M$5000&lt;&gt;"")),'Weekly Log'!$M$5:$M$5000),0))</f>
        <v/>
      </c>
      <c r="J1114">
        <f>IF(COUNT('Weekly Log'!$A$5:$A$5000)=0,"",IF(MIN('Weekly Log'!$A$5:$A$5000)+7*(ROW()-10)&gt;MAX('Weekly Log'!$A$5:$A$5000),"",MIN('Weekly Log'!$A$5:$A$5000)+7*(ROW()-10)))</f>
        <v/>
      </c>
    </row>
    <row r="1115">
      <c r="A1115">
        <f>IF($J1115="","",YEAR($J1115-WEEKDAY($J1115,2)+4)&amp;"-W"&amp;TEXT(WEEKNUM($J1115,21),"00"))</f>
        <v/>
      </c>
      <c r="B1115">
        <f>IF($J1115="","",SUMIFS('Weekly Log'!$C:$C,'Weekly Log'!$A:$A,"&gt;="&amp;$J1115,'Weekly Log'!$A:$A,"&lt;"&amp;$J1115+7))</f>
        <v/>
      </c>
      <c r="C1115">
        <f>IF($J1115="","",IFERROR(COUNTIFS('Weekly Log'!$G:$G,"Y",'Weekly Log'!$A:$A,"&gt;="&amp;$J1115,'Weekly Log'!$A:$A,"&lt;"&amp;$J1115+7)/COUNTIFS('Weekly Log'!$G:$G,"&lt;&gt;",'Weekly Log'!$A:$A,"&gt;="&amp;$J1115,'Weekly Log'!$A:$A,"&lt;"&amp;$J1115+7),0))</f>
        <v/>
      </c>
      <c r="D1115">
        <f>IF($J1115="","",IFERROR(COUNTIFS('Weekly Log'!$H:$H,"Y",'Weekly Log'!$A:$A,"&gt;="&amp;$J1115,'Weekly Log'!$A:$A,"&lt;"&amp;$J1115+7)/COUNTIFS('Weekly Log'!$H:$H,"&lt;&gt;",'Weekly Log'!$A:$A,"&gt;="&amp;$J1115,'Weekly Log'!$A:$A,"&lt;"&amp;$J1115+7),0))</f>
        <v/>
      </c>
      <c r="E1115">
        <f>IF($J1115="","",IFERROR(AVERAGEIFS('Weekly Log'!$F:$F,'Weekly Log'!$A:$A,"&gt;="&amp;$J1115,'Weekly Log'!$A:$A,"&lt;"&amp;$J1115+7),0))</f>
        <v/>
      </c>
      <c r="F1115">
        <f>IF($J1115="","",IFERROR(SUMIFS('Weekly Log'!$F:$F,'Weekly Log'!$A:$A,"&gt;="&amp;$J1115,'Weekly Log'!$A:$A,"&lt;"&amp;$J1115+7)/SUMIFS('Weekly Log'!$E:$E,'Weekly Log'!$A:$A,"&gt;="&amp;$J1115,'Weekly Log'!$A:$A,"&lt;"&amp;$J1115+7),0))</f>
        <v/>
      </c>
      <c r="G1115">
        <f>IF($J1115="","",IFERROR(LOOKUP(2,1/(('Weekly Log'!$A$5:$A$5000&gt;=$J1115)*('Weekly Log'!$A$5:$A$5000&lt;$J1115+7)*('Weekly Log'!$M$5:$M$5000&lt;&gt;"")),'Weekly Log'!$M$5:$M$5000),0))</f>
        <v/>
      </c>
      <c r="J1115">
        <f>IF(COUNT('Weekly Log'!$A$5:$A$5000)=0,"",IF(MIN('Weekly Log'!$A$5:$A$5000)+7*(ROW()-10)&gt;MAX('Weekly Log'!$A$5:$A$5000),"",MIN('Weekly Log'!$A$5:$A$5000)+7*(ROW()-10)))</f>
        <v/>
      </c>
    </row>
    <row r="1116">
      <c r="A1116">
        <f>IF($J1116="","",YEAR($J1116-WEEKDAY($J1116,2)+4)&amp;"-W"&amp;TEXT(WEEKNUM($J1116,21),"00"))</f>
        <v/>
      </c>
      <c r="B1116">
        <f>IF($J1116="","",SUMIFS('Weekly Log'!$C:$C,'Weekly Log'!$A:$A,"&gt;="&amp;$J1116,'Weekly Log'!$A:$A,"&lt;"&amp;$J1116+7))</f>
        <v/>
      </c>
      <c r="C1116">
        <f>IF($J1116="","",IFERROR(COUNTIFS('Weekly Log'!$G:$G,"Y",'Weekly Log'!$A:$A,"&gt;="&amp;$J1116,'Weekly Log'!$A:$A,"&lt;"&amp;$J1116+7)/COUNTIFS('Weekly Log'!$G:$G,"&lt;&gt;",'Weekly Log'!$A:$A,"&gt;="&amp;$J1116,'Weekly Log'!$A:$A,"&lt;"&amp;$J1116+7),0))</f>
        <v/>
      </c>
      <c r="D1116">
        <f>IF($J1116="","",IFERROR(COUNTIFS('Weekly Log'!$H:$H,"Y",'Weekly Log'!$A:$A,"&gt;="&amp;$J1116,'Weekly Log'!$A:$A,"&lt;"&amp;$J1116+7)/COUNTIFS('Weekly Log'!$H:$H,"&lt;&gt;",'Weekly Log'!$A:$A,"&gt;="&amp;$J1116,'Weekly Log'!$A:$A,"&lt;"&amp;$J1116+7),0))</f>
        <v/>
      </c>
      <c r="E1116">
        <f>IF($J1116="","",IFERROR(AVERAGEIFS('Weekly Log'!$F:$F,'Weekly Log'!$A:$A,"&gt;="&amp;$J1116,'Weekly Log'!$A:$A,"&lt;"&amp;$J1116+7),0))</f>
        <v/>
      </c>
      <c r="F1116">
        <f>IF($J1116="","",IFERROR(SUMIFS('Weekly Log'!$F:$F,'Weekly Log'!$A:$A,"&gt;="&amp;$J1116,'Weekly Log'!$A:$A,"&lt;"&amp;$J1116+7)/SUMIFS('Weekly Log'!$E:$E,'Weekly Log'!$A:$A,"&gt;="&amp;$J1116,'Weekly Log'!$A:$A,"&lt;"&amp;$J1116+7),0))</f>
        <v/>
      </c>
      <c r="G1116">
        <f>IF($J1116="","",IFERROR(LOOKUP(2,1/(('Weekly Log'!$A$5:$A$5000&gt;=$J1116)*('Weekly Log'!$A$5:$A$5000&lt;$J1116+7)*('Weekly Log'!$M$5:$M$5000&lt;&gt;"")),'Weekly Log'!$M$5:$M$5000),0))</f>
        <v/>
      </c>
      <c r="J1116">
        <f>IF(COUNT('Weekly Log'!$A$5:$A$5000)=0,"",IF(MIN('Weekly Log'!$A$5:$A$5000)+7*(ROW()-10)&gt;MAX('Weekly Log'!$A$5:$A$5000),"",MIN('Weekly Log'!$A$5:$A$5000)+7*(ROW()-10)))</f>
        <v/>
      </c>
    </row>
    <row r="1117">
      <c r="A1117">
        <f>IF($J1117="","",YEAR($J1117-WEEKDAY($J1117,2)+4)&amp;"-W"&amp;TEXT(WEEKNUM($J1117,21),"00"))</f>
        <v/>
      </c>
      <c r="B1117">
        <f>IF($J1117="","",SUMIFS('Weekly Log'!$C:$C,'Weekly Log'!$A:$A,"&gt;="&amp;$J1117,'Weekly Log'!$A:$A,"&lt;"&amp;$J1117+7))</f>
        <v/>
      </c>
      <c r="C1117">
        <f>IF($J1117="","",IFERROR(COUNTIFS('Weekly Log'!$G:$G,"Y",'Weekly Log'!$A:$A,"&gt;="&amp;$J1117,'Weekly Log'!$A:$A,"&lt;"&amp;$J1117+7)/COUNTIFS('Weekly Log'!$G:$G,"&lt;&gt;",'Weekly Log'!$A:$A,"&gt;="&amp;$J1117,'Weekly Log'!$A:$A,"&lt;"&amp;$J1117+7),0))</f>
        <v/>
      </c>
      <c r="D1117">
        <f>IF($J1117="","",IFERROR(COUNTIFS('Weekly Log'!$H:$H,"Y",'Weekly Log'!$A:$A,"&gt;="&amp;$J1117,'Weekly Log'!$A:$A,"&lt;"&amp;$J1117+7)/COUNTIFS('Weekly Log'!$H:$H,"&lt;&gt;",'Weekly Log'!$A:$A,"&gt;="&amp;$J1117,'Weekly Log'!$A:$A,"&lt;"&amp;$J1117+7),0))</f>
        <v/>
      </c>
      <c r="E1117">
        <f>IF($J1117="","",IFERROR(AVERAGEIFS('Weekly Log'!$F:$F,'Weekly Log'!$A:$A,"&gt;="&amp;$J1117,'Weekly Log'!$A:$A,"&lt;"&amp;$J1117+7),0))</f>
        <v/>
      </c>
      <c r="F1117">
        <f>IF($J1117="","",IFERROR(SUMIFS('Weekly Log'!$F:$F,'Weekly Log'!$A:$A,"&gt;="&amp;$J1117,'Weekly Log'!$A:$A,"&lt;"&amp;$J1117+7)/SUMIFS('Weekly Log'!$E:$E,'Weekly Log'!$A:$A,"&gt;="&amp;$J1117,'Weekly Log'!$A:$A,"&lt;"&amp;$J1117+7),0))</f>
        <v/>
      </c>
      <c r="G1117">
        <f>IF($J1117="","",IFERROR(LOOKUP(2,1/(('Weekly Log'!$A$5:$A$5000&gt;=$J1117)*('Weekly Log'!$A$5:$A$5000&lt;$J1117+7)*('Weekly Log'!$M$5:$M$5000&lt;&gt;"")),'Weekly Log'!$M$5:$M$5000),0))</f>
        <v/>
      </c>
      <c r="J1117">
        <f>IF(COUNT('Weekly Log'!$A$5:$A$5000)=0,"",IF(MIN('Weekly Log'!$A$5:$A$5000)+7*(ROW()-10)&gt;MAX('Weekly Log'!$A$5:$A$5000),"",MIN('Weekly Log'!$A$5:$A$5000)+7*(ROW()-10)))</f>
        <v/>
      </c>
    </row>
    <row r="1118">
      <c r="A1118">
        <f>IF($J1118="","",YEAR($J1118-WEEKDAY($J1118,2)+4)&amp;"-W"&amp;TEXT(WEEKNUM($J1118,21),"00"))</f>
        <v/>
      </c>
      <c r="B1118">
        <f>IF($J1118="","",SUMIFS('Weekly Log'!$C:$C,'Weekly Log'!$A:$A,"&gt;="&amp;$J1118,'Weekly Log'!$A:$A,"&lt;"&amp;$J1118+7))</f>
        <v/>
      </c>
      <c r="C1118">
        <f>IF($J1118="","",IFERROR(COUNTIFS('Weekly Log'!$G:$G,"Y",'Weekly Log'!$A:$A,"&gt;="&amp;$J1118,'Weekly Log'!$A:$A,"&lt;"&amp;$J1118+7)/COUNTIFS('Weekly Log'!$G:$G,"&lt;&gt;",'Weekly Log'!$A:$A,"&gt;="&amp;$J1118,'Weekly Log'!$A:$A,"&lt;"&amp;$J1118+7),0))</f>
        <v/>
      </c>
      <c r="D1118">
        <f>IF($J1118="","",IFERROR(COUNTIFS('Weekly Log'!$H:$H,"Y",'Weekly Log'!$A:$A,"&gt;="&amp;$J1118,'Weekly Log'!$A:$A,"&lt;"&amp;$J1118+7)/COUNTIFS('Weekly Log'!$H:$H,"&lt;&gt;",'Weekly Log'!$A:$A,"&gt;="&amp;$J1118,'Weekly Log'!$A:$A,"&lt;"&amp;$J1118+7),0))</f>
        <v/>
      </c>
      <c r="E1118">
        <f>IF($J1118="","",IFERROR(AVERAGEIFS('Weekly Log'!$F:$F,'Weekly Log'!$A:$A,"&gt;="&amp;$J1118,'Weekly Log'!$A:$A,"&lt;"&amp;$J1118+7),0))</f>
        <v/>
      </c>
      <c r="F1118">
        <f>IF($J1118="","",IFERROR(SUMIFS('Weekly Log'!$F:$F,'Weekly Log'!$A:$A,"&gt;="&amp;$J1118,'Weekly Log'!$A:$A,"&lt;"&amp;$J1118+7)/SUMIFS('Weekly Log'!$E:$E,'Weekly Log'!$A:$A,"&gt;="&amp;$J1118,'Weekly Log'!$A:$A,"&lt;"&amp;$J1118+7),0))</f>
        <v/>
      </c>
      <c r="G1118">
        <f>IF($J1118="","",IFERROR(LOOKUP(2,1/(('Weekly Log'!$A$5:$A$5000&gt;=$J1118)*('Weekly Log'!$A$5:$A$5000&lt;$J1118+7)*('Weekly Log'!$M$5:$M$5000&lt;&gt;"")),'Weekly Log'!$M$5:$M$5000),0))</f>
        <v/>
      </c>
      <c r="J1118">
        <f>IF(COUNT('Weekly Log'!$A$5:$A$5000)=0,"",IF(MIN('Weekly Log'!$A$5:$A$5000)+7*(ROW()-10)&gt;MAX('Weekly Log'!$A$5:$A$5000),"",MIN('Weekly Log'!$A$5:$A$5000)+7*(ROW()-10)))</f>
        <v/>
      </c>
    </row>
    <row r="1119">
      <c r="A1119">
        <f>IF($J1119="","",YEAR($J1119-WEEKDAY($J1119,2)+4)&amp;"-W"&amp;TEXT(WEEKNUM($J1119,21),"00"))</f>
        <v/>
      </c>
      <c r="B1119">
        <f>IF($J1119="","",SUMIFS('Weekly Log'!$C:$C,'Weekly Log'!$A:$A,"&gt;="&amp;$J1119,'Weekly Log'!$A:$A,"&lt;"&amp;$J1119+7))</f>
        <v/>
      </c>
      <c r="C1119">
        <f>IF($J1119="","",IFERROR(COUNTIFS('Weekly Log'!$G:$G,"Y",'Weekly Log'!$A:$A,"&gt;="&amp;$J1119,'Weekly Log'!$A:$A,"&lt;"&amp;$J1119+7)/COUNTIFS('Weekly Log'!$G:$G,"&lt;&gt;",'Weekly Log'!$A:$A,"&gt;="&amp;$J1119,'Weekly Log'!$A:$A,"&lt;"&amp;$J1119+7),0))</f>
        <v/>
      </c>
      <c r="D1119">
        <f>IF($J1119="","",IFERROR(COUNTIFS('Weekly Log'!$H:$H,"Y",'Weekly Log'!$A:$A,"&gt;="&amp;$J1119,'Weekly Log'!$A:$A,"&lt;"&amp;$J1119+7)/COUNTIFS('Weekly Log'!$H:$H,"&lt;&gt;",'Weekly Log'!$A:$A,"&gt;="&amp;$J1119,'Weekly Log'!$A:$A,"&lt;"&amp;$J1119+7),0))</f>
        <v/>
      </c>
      <c r="E1119">
        <f>IF($J1119="","",IFERROR(AVERAGEIFS('Weekly Log'!$F:$F,'Weekly Log'!$A:$A,"&gt;="&amp;$J1119,'Weekly Log'!$A:$A,"&lt;"&amp;$J1119+7),0))</f>
        <v/>
      </c>
      <c r="F1119">
        <f>IF($J1119="","",IFERROR(SUMIFS('Weekly Log'!$F:$F,'Weekly Log'!$A:$A,"&gt;="&amp;$J1119,'Weekly Log'!$A:$A,"&lt;"&amp;$J1119+7)/SUMIFS('Weekly Log'!$E:$E,'Weekly Log'!$A:$A,"&gt;="&amp;$J1119,'Weekly Log'!$A:$A,"&lt;"&amp;$J1119+7),0))</f>
        <v/>
      </c>
      <c r="G1119">
        <f>IF($J1119="","",IFERROR(LOOKUP(2,1/(('Weekly Log'!$A$5:$A$5000&gt;=$J1119)*('Weekly Log'!$A$5:$A$5000&lt;$J1119+7)*('Weekly Log'!$M$5:$M$5000&lt;&gt;"")),'Weekly Log'!$M$5:$M$5000),0))</f>
        <v/>
      </c>
      <c r="J1119">
        <f>IF(COUNT('Weekly Log'!$A$5:$A$5000)=0,"",IF(MIN('Weekly Log'!$A$5:$A$5000)+7*(ROW()-10)&gt;MAX('Weekly Log'!$A$5:$A$5000),"",MIN('Weekly Log'!$A$5:$A$5000)+7*(ROW()-10)))</f>
        <v/>
      </c>
    </row>
    <row r="1120">
      <c r="A1120">
        <f>IF($J1120="","",YEAR($J1120-WEEKDAY($J1120,2)+4)&amp;"-W"&amp;TEXT(WEEKNUM($J1120,21),"00"))</f>
        <v/>
      </c>
      <c r="B1120">
        <f>IF($J1120="","",SUMIFS('Weekly Log'!$C:$C,'Weekly Log'!$A:$A,"&gt;="&amp;$J1120,'Weekly Log'!$A:$A,"&lt;"&amp;$J1120+7))</f>
        <v/>
      </c>
      <c r="C1120">
        <f>IF($J1120="","",IFERROR(COUNTIFS('Weekly Log'!$G:$G,"Y",'Weekly Log'!$A:$A,"&gt;="&amp;$J1120,'Weekly Log'!$A:$A,"&lt;"&amp;$J1120+7)/COUNTIFS('Weekly Log'!$G:$G,"&lt;&gt;",'Weekly Log'!$A:$A,"&gt;="&amp;$J1120,'Weekly Log'!$A:$A,"&lt;"&amp;$J1120+7),0))</f>
        <v/>
      </c>
      <c r="D1120">
        <f>IF($J1120="","",IFERROR(COUNTIFS('Weekly Log'!$H:$H,"Y",'Weekly Log'!$A:$A,"&gt;="&amp;$J1120,'Weekly Log'!$A:$A,"&lt;"&amp;$J1120+7)/COUNTIFS('Weekly Log'!$H:$H,"&lt;&gt;",'Weekly Log'!$A:$A,"&gt;="&amp;$J1120,'Weekly Log'!$A:$A,"&lt;"&amp;$J1120+7),0))</f>
        <v/>
      </c>
      <c r="E1120">
        <f>IF($J1120="","",IFERROR(AVERAGEIFS('Weekly Log'!$F:$F,'Weekly Log'!$A:$A,"&gt;="&amp;$J1120,'Weekly Log'!$A:$A,"&lt;"&amp;$J1120+7),0))</f>
        <v/>
      </c>
      <c r="F1120">
        <f>IF($J1120="","",IFERROR(SUMIFS('Weekly Log'!$F:$F,'Weekly Log'!$A:$A,"&gt;="&amp;$J1120,'Weekly Log'!$A:$A,"&lt;"&amp;$J1120+7)/SUMIFS('Weekly Log'!$E:$E,'Weekly Log'!$A:$A,"&gt;="&amp;$J1120,'Weekly Log'!$A:$A,"&lt;"&amp;$J1120+7),0))</f>
        <v/>
      </c>
      <c r="G1120">
        <f>IF($J1120="","",IFERROR(LOOKUP(2,1/(('Weekly Log'!$A$5:$A$5000&gt;=$J1120)*('Weekly Log'!$A$5:$A$5000&lt;$J1120+7)*('Weekly Log'!$M$5:$M$5000&lt;&gt;"")),'Weekly Log'!$M$5:$M$5000),0))</f>
        <v/>
      </c>
      <c r="J1120">
        <f>IF(COUNT('Weekly Log'!$A$5:$A$5000)=0,"",IF(MIN('Weekly Log'!$A$5:$A$5000)+7*(ROW()-10)&gt;MAX('Weekly Log'!$A$5:$A$5000),"",MIN('Weekly Log'!$A$5:$A$5000)+7*(ROW()-10)))</f>
        <v/>
      </c>
    </row>
    <row r="1121">
      <c r="A1121">
        <f>IF($J1121="","",YEAR($J1121-WEEKDAY($J1121,2)+4)&amp;"-W"&amp;TEXT(WEEKNUM($J1121,21),"00"))</f>
        <v/>
      </c>
      <c r="B1121">
        <f>IF($J1121="","",SUMIFS('Weekly Log'!$C:$C,'Weekly Log'!$A:$A,"&gt;="&amp;$J1121,'Weekly Log'!$A:$A,"&lt;"&amp;$J1121+7))</f>
        <v/>
      </c>
      <c r="C1121">
        <f>IF($J1121="","",IFERROR(COUNTIFS('Weekly Log'!$G:$G,"Y",'Weekly Log'!$A:$A,"&gt;="&amp;$J1121,'Weekly Log'!$A:$A,"&lt;"&amp;$J1121+7)/COUNTIFS('Weekly Log'!$G:$G,"&lt;&gt;",'Weekly Log'!$A:$A,"&gt;="&amp;$J1121,'Weekly Log'!$A:$A,"&lt;"&amp;$J1121+7),0))</f>
        <v/>
      </c>
      <c r="D1121">
        <f>IF($J1121="","",IFERROR(COUNTIFS('Weekly Log'!$H:$H,"Y",'Weekly Log'!$A:$A,"&gt;="&amp;$J1121,'Weekly Log'!$A:$A,"&lt;"&amp;$J1121+7)/COUNTIFS('Weekly Log'!$H:$H,"&lt;&gt;",'Weekly Log'!$A:$A,"&gt;="&amp;$J1121,'Weekly Log'!$A:$A,"&lt;"&amp;$J1121+7),0))</f>
        <v/>
      </c>
      <c r="E1121">
        <f>IF($J1121="","",IFERROR(AVERAGEIFS('Weekly Log'!$F:$F,'Weekly Log'!$A:$A,"&gt;="&amp;$J1121,'Weekly Log'!$A:$A,"&lt;"&amp;$J1121+7),0))</f>
        <v/>
      </c>
      <c r="F1121">
        <f>IF($J1121="","",IFERROR(SUMIFS('Weekly Log'!$F:$F,'Weekly Log'!$A:$A,"&gt;="&amp;$J1121,'Weekly Log'!$A:$A,"&lt;"&amp;$J1121+7)/SUMIFS('Weekly Log'!$E:$E,'Weekly Log'!$A:$A,"&gt;="&amp;$J1121,'Weekly Log'!$A:$A,"&lt;"&amp;$J1121+7),0))</f>
        <v/>
      </c>
      <c r="G1121">
        <f>IF($J1121="","",IFERROR(LOOKUP(2,1/(('Weekly Log'!$A$5:$A$5000&gt;=$J1121)*('Weekly Log'!$A$5:$A$5000&lt;$J1121+7)*('Weekly Log'!$M$5:$M$5000&lt;&gt;"")),'Weekly Log'!$M$5:$M$5000),0))</f>
        <v/>
      </c>
      <c r="J1121">
        <f>IF(COUNT('Weekly Log'!$A$5:$A$5000)=0,"",IF(MIN('Weekly Log'!$A$5:$A$5000)+7*(ROW()-10)&gt;MAX('Weekly Log'!$A$5:$A$5000),"",MIN('Weekly Log'!$A$5:$A$5000)+7*(ROW()-10)))</f>
        <v/>
      </c>
    </row>
    <row r="1122">
      <c r="A1122">
        <f>IF($J1122="","",YEAR($J1122-WEEKDAY($J1122,2)+4)&amp;"-W"&amp;TEXT(WEEKNUM($J1122,21),"00"))</f>
        <v/>
      </c>
      <c r="B1122">
        <f>IF($J1122="","",SUMIFS('Weekly Log'!$C:$C,'Weekly Log'!$A:$A,"&gt;="&amp;$J1122,'Weekly Log'!$A:$A,"&lt;"&amp;$J1122+7))</f>
        <v/>
      </c>
      <c r="C1122">
        <f>IF($J1122="","",IFERROR(COUNTIFS('Weekly Log'!$G:$G,"Y",'Weekly Log'!$A:$A,"&gt;="&amp;$J1122,'Weekly Log'!$A:$A,"&lt;"&amp;$J1122+7)/COUNTIFS('Weekly Log'!$G:$G,"&lt;&gt;",'Weekly Log'!$A:$A,"&gt;="&amp;$J1122,'Weekly Log'!$A:$A,"&lt;"&amp;$J1122+7),0))</f>
        <v/>
      </c>
      <c r="D1122">
        <f>IF($J1122="","",IFERROR(COUNTIFS('Weekly Log'!$H:$H,"Y",'Weekly Log'!$A:$A,"&gt;="&amp;$J1122,'Weekly Log'!$A:$A,"&lt;"&amp;$J1122+7)/COUNTIFS('Weekly Log'!$H:$H,"&lt;&gt;",'Weekly Log'!$A:$A,"&gt;="&amp;$J1122,'Weekly Log'!$A:$A,"&lt;"&amp;$J1122+7),0))</f>
        <v/>
      </c>
      <c r="E1122">
        <f>IF($J1122="","",IFERROR(AVERAGEIFS('Weekly Log'!$F:$F,'Weekly Log'!$A:$A,"&gt;="&amp;$J1122,'Weekly Log'!$A:$A,"&lt;"&amp;$J1122+7),0))</f>
        <v/>
      </c>
      <c r="F1122">
        <f>IF($J1122="","",IFERROR(SUMIFS('Weekly Log'!$F:$F,'Weekly Log'!$A:$A,"&gt;="&amp;$J1122,'Weekly Log'!$A:$A,"&lt;"&amp;$J1122+7)/SUMIFS('Weekly Log'!$E:$E,'Weekly Log'!$A:$A,"&gt;="&amp;$J1122,'Weekly Log'!$A:$A,"&lt;"&amp;$J1122+7),0))</f>
        <v/>
      </c>
      <c r="G1122">
        <f>IF($J1122="","",IFERROR(LOOKUP(2,1/(('Weekly Log'!$A$5:$A$5000&gt;=$J1122)*('Weekly Log'!$A$5:$A$5000&lt;$J1122+7)*('Weekly Log'!$M$5:$M$5000&lt;&gt;"")),'Weekly Log'!$M$5:$M$5000),0))</f>
        <v/>
      </c>
      <c r="J1122">
        <f>IF(COUNT('Weekly Log'!$A$5:$A$5000)=0,"",IF(MIN('Weekly Log'!$A$5:$A$5000)+7*(ROW()-10)&gt;MAX('Weekly Log'!$A$5:$A$5000),"",MIN('Weekly Log'!$A$5:$A$5000)+7*(ROW()-10)))</f>
        <v/>
      </c>
    </row>
    <row r="1123">
      <c r="A1123">
        <f>IF($J1123="","",YEAR($J1123-WEEKDAY($J1123,2)+4)&amp;"-W"&amp;TEXT(WEEKNUM($J1123,21),"00"))</f>
        <v/>
      </c>
      <c r="B1123">
        <f>IF($J1123="","",SUMIFS('Weekly Log'!$C:$C,'Weekly Log'!$A:$A,"&gt;="&amp;$J1123,'Weekly Log'!$A:$A,"&lt;"&amp;$J1123+7))</f>
        <v/>
      </c>
      <c r="C1123">
        <f>IF($J1123="","",IFERROR(COUNTIFS('Weekly Log'!$G:$G,"Y",'Weekly Log'!$A:$A,"&gt;="&amp;$J1123,'Weekly Log'!$A:$A,"&lt;"&amp;$J1123+7)/COUNTIFS('Weekly Log'!$G:$G,"&lt;&gt;",'Weekly Log'!$A:$A,"&gt;="&amp;$J1123,'Weekly Log'!$A:$A,"&lt;"&amp;$J1123+7),0))</f>
        <v/>
      </c>
      <c r="D1123">
        <f>IF($J1123="","",IFERROR(COUNTIFS('Weekly Log'!$H:$H,"Y",'Weekly Log'!$A:$A,"&gt;="&amp;$J1123,'Weekly Log'!$A:$A,"&lt;"&amp;$J1123+7)/COUNTIFS('Weekly Log'!$H:$H,"&lt;&gt;",'Weekly Log'!$A:$A,"&gt;="&amp;$J1123,'Weekly Log'!$A:$A,"&lt;"&amp;$J1123+7),0))</f>
        <v/>
      </c>
      <c r="E1123">
        <f>IF($J1123="","",IFERROR(AVERAGEIFS('Weekly Log'!$F:$F,'Weekly Log'!$A:$A,"&gt;="&amp;$J1123,'Weekly Log'!$A:$A,"&lt;"&amp;$J1123+7),0))</f>
        <v/>
      </c>
      <c r="F1123">
        <f>IF($J1123="","",IFERROR(SUMIFS('Weekly Log'!$F:$F,'Weekly Log'!$A:$A,"&gt;="&amp;$J1123,'Weekly Log'!$A:$A,"&lt;"&amp;$J1123+7)/SUMIFS('Weekly Log'!$E:$E,'Weekly Log'!$A:$A,"&gt;="&amp;$J1123,'Weekly Log'!$A:$A,"&lt;"&amp;$J1123+7),0))</f>
        <v/>
      </c>
      <c r="G1123">
        <f>IF($J1123="","",IFERROR(LOOKUP(2,1/(('Weekly Log'!$A$5:$A$5000&gt;=$J1123)*('Weekly Log'!$A$5:$A$5000&lt;$J1123+7)*('Weekly Log'!$M$5:$M$5000&lt;&gt;"")),'Weekly Log'!$M$5:$M$5000),0))</f>
        <v/>
      </c>
      <c r="J1123">
        <f>IF(COUNT('Weekly Log'!$A$5:$A$5000)=0,"",IF(MIN('Weekly Log'!$A$5:$A$5000)+7*(ROW()-10)&gt;MAX('Weekly Log'!$A$5:$A$5000),"",MIN('Weekly Log'!$A$5:$A$5000)+7*(ROW()-10)))</f>
        <v/>
      </c>
    </row>
    <row r="1124">
      <c r="A1124">
        <f>IF($J1124="","",YEAR($J1124-WEEKDAY($J1124,2)+4)&amp;"-W"&amp;TEXT(WEEKNUM($J1124,21),"00"))</f>
        <v/>
      </c>
      <c r="B1124">
        <f>IF($J1124="","",SUMIFS('Weekly Log'!$C:$C,'Weekly Log'!$A:$A,"&gt;="&amp;$J1124,'Weekly Log'!$A:$A,"&lt;"&amp;$J1124+7))</f>
        <v/>
      </c>
      <c r="C1124">
        <f>IF($J1124="","",IFERROR(COUNTIFS('Weekly Log'!$G:$G,"Y",'Weekly Log'!$A:$A,"&gt;="&amp;$J1124,'Weekly Log'!$A:$A,"&lt;"&amp;$J1124+7)/COUNTIFS('Weekly Log'!$G:$G,"&lt;&gt;",'Weekly Log'!$A:$A,"&gt;="&amp;$J1124,'Weekly Log'!$A:$A,"&lt;"&amp;$J1124+7),0))</f>
        <v/>
      </c>
      <c r="D1124">
        <f>IF($J1124="","",IFERROR(COUNTIFS('Weekly Log'!$H:$H,"Y",'Weekly Log'!$A:$A,"&gt;="&amp;$J1124,'Weekly Log'!$A:$A,"&lt;"&amp;$J1124+7)/COUNTIFS('Weekly Log'!$H:$H,"&lt;&gt;",'Weekly Log'!$A:$A,"&gt;="&amp;$J1124,'Weekly Log'!$A:$A,"&lt;"&amp;$J1124+7),0))</f>
        <v/>
      </c>
      <c r="E1124">
        <f>IF($J1124="","",IFERROR(AVERAGEIFS('Weekly Log'!$F:$F,'Weekly Log'!$A:$A,"&gt;="&amp;$J1124,'Weekly Log'!$A:$A,"&lt;"&amp;$J1124+7),0))</f>
        <v/>
      </c>
      <c r="F1124">
        <f>IF($J1124="","",IFERROR(SUMIFS('Weekly Log'!$F:$F,'Weekly Log'!$A:$A,"&gt;="&amp;$J1124,'Weekly Log'!$A:$A,"&lt;"&amp;$J1124+7)/SUMIFS('Weekly Log'!$E:$E,'Weekly Log'!$A:$A,"&gt;="&amp;$J1124,'Weekly Log'!$A:$A,"&lt;"&amp;$J1124+7),0))</f>
        <v/>
      </c>
      <c r="G1124">
        <f>IF($J1124="","",IFERROR(LOOKUP(2,1/(('Weekly Log'!$A$5:$A$5000&gt;=$J1124)*('Weekly Log'!$A$5:$A$5000&lt;$J1124+7)*('Weekly Log'!$M$5:$M$5000&lt;&gt;"")),'Weekly Log'!$M$5:$M$5000),0))</f>
        <v/>
      </c>
      <c r="J1124">
        <f>IF(COUNT('Weekly Log'!$A$5:$A$5000)=0,"",IF(MIN('Weekly Log'!$A$5:$A$5000)+7*(ROW()-10)&gt;MAX('Weekly Log'!$A$5:$A$5000),"",MIN('Weekly Log'!$A$5:$A$5000)+7*(ROW()-10)))</f>
        <v/>
      </c>
    </row>
    <row r="1125">
      <c r="A1125">
        <f>IF($J1125="","",YEAR($J1125-WEEKDAY($J1125,2)+4)&amp;"-W"&amp;TEXT(WEEKNUM($J1125,21),"00"))</f>
        <v/>
      </c>
      <c r="B1125">
        <f>IF($J1125="","",SUMIFS('Weekly Log'!$C:$C,'Weekly Log'!$A:$A,"&gt;="&amp;$J1125,'Weekly Log'!$A:$A,"&lt;"&amp;$J1125+7))</f>
        <v/>
      </c>
      <c r="C1125">
        <f>IF($J1125="","",IFERROR(COUNTIFS('Weekly Log'!$G:$G,"Y",'Weekly Log'!$A:$A,"&gt;="&amp;$J1125,'Weekly Log'!$A:$A,"&lt;"&amp;$J1125+7)/COUNTIFS('Weekly Log'!$G:$G,"&lt;&gt;",'Weekly Log'!$A:$A,"&gt;="&amp;$J1125,'Weekly Log'!$A:$A,"&lt;"&amp;$J1125+7),0))</f>
        <v/>
      </c>
      <c r="D1125">
        <f>IF($J1125="","",IFERROR(COUNTIFS('Weekly Log'!$H:$H,"Y",'Weekly Log'!$A:$A,"&gt;="&amp;$J1125,'Weekly Log'!$A:$A,"&lt;"&amp;$J1125+7)/COUNTIFS('Weekly Log'!$H:$H,"&lt;&gt;",'Weekly Log'!$A:$A,"&gt;="&amp;$J1125,'Weekly Log'!$A:$A,"&lt;"&amp;$J1125+7),0))</f>
        <v/>
      </c>
      <c r="E1125">
        <f>IF($J1125="","",IFERROR(AVERAGEIFS('Weekly Log'!$F:$F,'Weekly Log'!$A:$A,"&gt;="&amp;$J1125,'Weekly Log'!$A:$A,"&lt;"&amp;$J1125+7),0))</f>
        <v/>
      </c>
      <c r="F1125">
        <f>IF($J1125="","",IFERROR(SUMIFS('Weekly Log'!$F:$F,'Weekly Log'!$A:$A,"&gt;="&amp;$J1125,'Weekly Log'!$A:$A,"&lt;"&amp;$J1125+7)/SUMIFS('Weekly Log'!$E:$E,'Weekly Log'!$A:$A,"&gt;="&amp;$J1125,'Weekly Log'!$A:$A,"&lt;"&amp;$J1125+7),0))</f>
        <v/>
      </c>
      <c r="G1125">
        <f>IF($J1125="","",IFERROR(LOOKUP(2,1/(('Weekly Log'!$A$5:$A$5000&gt;=$J1125)*('Weekly Log'!$A$5:$A$5000&lt;$J1125+7)*('Weekly Log'!$M$5:$M$5000&lt;&gt;"")),'Weekly Log'!$M$5:$M$5000),0))</f>
        <v/>
      </c>
      <c r="J1125">
        <f>IF(COUNT('Weekly Log'!$A$5:$A$5000)=0,"",IF(MIN('Weekly Log'!$A$5:$A$5000)+7*(ROW()-10)&gt;MAX('Weekly Log'!$A$5:$A$5000),"",MIN('Weekly Log'!$A$5:$A$5000)+7*(ROW()-10)))</f>
        <v/>
      </c>
    </row>
    <row r="1126">
      <c r="A1126">
        <f>IF($J1126="","",YEAR($J1126-WEEKDAY($J1126,2)+4)&amp;"-W"&amp;TEXT(WEEKNUM($J1126,21),"00"))</f>
        <v/>
      </c>
      <c r="B1126">
        <f>IF($J1126="","",SUMIFS('Weekly Log'!$C:$C,'Weekly Log'!$A:$A,"&gt;="&amp;$J1126,'Weekly Log'!$A:$A,"&lt;"&amp;$J1126+7))</f>
        <v/>
      </c>
      <c r="C1126">
        <f>IF($J1126="","",IFERROR(COUNTIFS('Weekly Log'!$G:$G,"Y",'Weekly Log'!$A:$A,"&gt;="&amp;$J1126,'Weekly Log'!$A:$A,"&lt;"&amp;$J1126+7)/COUNTIFS('Weekly Log'!$G:$G,"&lt;&gt;",'Weekly Log'!$A:$A,"&gt;="&amp;$J1126,'Weekly Log'!$A:$A,"&lt;"&amp;$J1126+7),0))</f>
        <v/>
      </c>
      <c r="D1126">
        <f>IF($J1126="","",IFERROR(COUNTIFS('Weekly Log'!$H:$H,"Y",'Weekly Log'!$A:$A,"&gt;="&amp;$J1126,'Weekly Log'!$A:$A,"&lt;"&amp;$J1126+7)/COUNTIFS('Weekly Log'!$H:$H,"&lt;&gt;",'Weekly Log'!$A:$A,"&gt;="&amp;$J1126,'Weekly Log'!$A:$A,"&lt;"&amp;$J1126+7),0))</f>
        <v/>
      </c>
      <c r="E1126">
        <f>IF($J1126="","",IFERROR(AVERAGEIFS('Weekly Log'!$F:$F,'Weekly Log'!$A:$A,"&gt;="&amp;$J1126,'Weekly Log'!$A:$A,"&lt;"&amp;$J1126+7),0))</f>
        <v/>
      </c>
      <c r="F1126">
        <f>IF($J1126="","",IFERROR(SUMIFS('Weekly Log'!$F:$F,'Weekly Log'!$A:$A,"&gt;="&amp;$J1126,'Weekly Log'!$A:$A,"&lt;"&amp;$J1126+7)/SUMIFS('Weekly Log'!$E:$E,'Weekly Log'!$A:$A,"&gt;="&amp;$J1126,'Weekly Log'!$A:$A,"&lt;"&amp;$J1126+7),0))</f>
        <v/>
      </c>
      <c r="G1126">
        <f>IF($J1126="","",IFERROR(LOOKUP(2,1/(('Weekly Log'!$A$5:$A$5000&gt;=$J1126)*('Weekly Log'!$A$5:$A$5000&lt;$J1126+7)*('Weekly Log'!$M$5:$M$5000&lt;&gt;"")),'Weekly Log'!$M$5:$M$5000),0))</f>
        <v/>
      </c>
      <c r="J1126">
        <f>IF(COUNT('Weekly Log'!$A$5:$A$5000)=0,"",IF(MIN('Weekly Log'!$A$5:$A$5000)+7*(ROW()-10)&gt;MAX('Weekly Log'!$A$5:$A$5000),"",MIN('Weekly Log'!$A$5:$A$5000)+7*(ROW()-10)))</f>
        <v/>
      </c>
    </row>
    <row r="1127">
      <c r="A1127">
        <f>IF($J1127="","",YEAR($J1127-WEEKDAY($J1127,2)+4)&amp;"-W"&amp;TEXT(WEEKNUM($J1127,21),"00"))</f>
        <v/>
      </c>
      <c r="B1127">
        <f>IF($J1127="","",SUMIFS('Weekly Log'!$C:$C,'Weekly Log'!$A:$A,"&gt;="&amp;$J1127,'Weekly Log'!$A:$A,"&lt;"&amp;$J1127+7))</f>
        <v/>
      </c>
      <c r="C1127">
        <f>IF($J1127="","",IFERROR(COUNTIFS('Weekly Log'!$G:$G,"Y",'Weekly Log'!$A:$A,"&gt;="&amp;$J1127,'Weekly Log'!$A:$A,"&lt;"&amp;$J1127+7)/COUNTIFS('Weekly Log'!$G:$G,"&lt;&gt;",'Weekly Log'!$A:$A,"&gt;="&amp;$J1127,'Weekly Log'!$A:$A,"&lt;"&amp;$J1127+7),0))</f>
        <v/>
      </c>
      <c r="D1127">
        <f>IF($J1127="","",IFERROR(COUNTIFS('Weekly Log'!$H:$H,"Y",'Weekly Log'!$A:$A,"&gt;="&amp;$J1127,'Weekly Log'!$A:$A,"&lt;"&amp;$J1127+7)/COUNTIFS('Weekly Log'!$H:$H,"&lt;&gt;",'Weekly Log'!$A:$A,"&gt;="&amp;$J1127,'Weekly Log'!$A:$A,"&lt;"&amp;$J1127+7),0))</f>
        <v/>
      </c>
      <c r="E1127">
        <f>IF($J1127="","",IFERROR(AVERAGEIFS('Weekly Log'!$F:$F,'Weekly Log'!$A:$A,"&gt;="&amp;$J1127,'Weekly Log'!$A:$A,"&lt;"&amp;$J1127+7),0))</f>
        <v/>
      </c>
      <c r="F1127">
        <f>IF($J1127="","",IFERROR(SUMIFS('Weekly Log'!$F:$F,'Weekly Log'!$A:$A,"&gt;="&amp;$J1127,'Weekly Log'!$A:$A,"&lt;"&amp;$J1127+7)/SUMIFS('Weekly Log'!$E:$E,'Weekly Log'!$A:$A,"&gt;="&amp;$J1127,'Weekly Log'!$A:$A,"&lt;"&amp;$J1127+7),0))</f>
        <v/>
      </c>
      <c r="G1127">
        <f>IF($J1127="","",IFERROR(LOOKUP(2,1/(('Weekly Log'!$A$5:$A$5000&gt;=$J1127)*('Weekly Log'!$A$5:$A$5000&lt;$J1127+7)*('Weekly Log'!$M$5:$M$5000&lt;&gt;"")),'Weekly Log'!$M$5:$M$5000),0))</f>
        <v/>
      </c>
      <c r="J1127">
        <f>IF(COUNT('Weekly Log'!$A$5:$A$5000)=0,"",IF(MIN('Weekly Log'!$A$5:$A$5000)+7*(ROW()-10)&gt;MAX('Weekly Log'!$A$5:$A$5000),"",MIN('Weekly Log'!$A$5:$A$5000)+7*(ROW()-10)))</f>
        <v/>
      </c>
    </row>
    <row r="1128">
      <c r="A1128">
        <f>IF($J1128="","",YEAR($J1128-WEEKDAY($J1128,2)+4)&amp;"-W"&amp;TEXT(WEEKNUM($J1128,21),"00"))</f>
        <v/>
      </c>
      <c r="B1128">
        <f>IF($J1128="","",SUMIFS('Weekly Log'!$C:$C,'Weekly Log'!$A:$A,"&gt;="&amp;$J1128,'Weekly Log'!$A:$A,"&lt;"&amp;$J1128+7))</f>
        <v/>
      </c>
      <c r="C1128">
        <f>IF($J1128="","",IFERROR(COUNTIFS('Weekly Log'!$G:$G,"Y",'Weekly Log'!$A:$A,"&gt;="&amp;$J1128,'Weekly Log'!$A:$A,"&lt;"&amp;$J1128+7)/COUNTIFS('Weekly Log'!$G:$G,"&lt;&gt;",'Weekly Log'!$A:$A,"&gt;="&amp;$J1128,'Weekly Log'!$A:$A,"&lt;"&amp;$J1128+7),0))</f>
        <v/>
      </c>
      <c r="D1128">
        <f>IF($J1128="","",IFERROR(COUNTIFS('Weekly Log'!$H:$H,"Y",'Weekly Log'!$A:$A,"&gt;="&amp;$J1128,'Weekly Log'!$A:$A,"&lt;"&amp;$J1128+7)/COUNTIFS('Weekly Log'!$H:$H,"&lt;&gt;",'Weekly Log'!$A:$A,"&gt;="&amp;$J1128,'Weekly Log'!$A:$A,"&lt;"&amp;$J1128+7),0))</f>
        <v/>
      </c>
      <c r="E1128">
        <f>IF($J1128="","",IFERROR(AVERAGEIFS('Weekly Log'!$F:$F,'Weekly Log'!$A:$A,"&gt;="&amp;$J1128,'Weekly Log'!$A:$A,"&lt;"&amp;$J1128+7),0))</f>
        <v/>
      </c>
      <c r="F1128">
        <f>IF($J1128="","",IFERROR(SUMIFS('Weekly Log'!$F:$F,'Weekly Log'!$A:$A,"&gt;="&amp;$J1128,'Weekly Log'!$A:$A,"&lt;"&amp;$J1128+7)/SUMIFS('Weekly Log'!$E:$E,'Weekly Log'!$A:$A,"&gt;="&amp;$J1128,'Weekly Log'!$A:$A,"&lt;"&amp;$J1128+7),0))</f>
        <v/>
      </c>
      <c r="G1128">
        <f>IF($J1128="","",IFERROR(LOOKUP(2,1/(('Weekly Log'!$A$5:$A$5000&gt;=$J1128)*('Weekly Log'!$A$5:$A$5000&lt;$J1128+7)*('Weekly Log'!$M$5:$M$5000&lt;&gt;"")),'Weekly Log'!$M$5:$M$5000),0))</f>
        <v/>
      </c>
      <c r="J1128">
        <f>IF(COUNT('Weekly Log'!$A$5:$A$5000)=0,"",IF(MIN('Weekly Log'!$A$5:$A$5000)+7*(ROW()-10)&gt;MAX('Weekly Log'!$A$5:$A$5000),"",MIN('Weekly Log'!$A$5:$A$5000)+7*(ROW()-10)))</f>
        <v/>
      </c>
    </row>
    <row r="1129">
      <c r="A1129">
        <f>IF($J1129="","",YEAR($J1129-WEEKDAY($J1129,2)+4)&amp;"-W"&amp;TEXT(WEEKNUM($J1129,21),"00"))</f>
        <v/>
      </c>
      <c r="B1129">
        <f>IF($J1129="","",SUMIFS('Weekly Log'!$C:$C,'Weekly Log'!$A:$A,"&gt;="&amp;$J1129,'Weekly Log'!$A:$A,"&lt;"&amp;$J1129+7))</f>
        <v/>
      </c>
      <c r="C1129">
        <f>IF($J1129="","",IFERROR(COUNTIFS('Weekly Log'!$G:$G,"Y",'Weekly Log'!$A:$A,"&gt;="&amp;$J1129,'Weekly Log'!$A:$A,"&lt;"&amp;$J1129+7)/COUNTIFS('Weekly Log'!$G:$G,"&lt;&gt;",'Weekly Log'!$A:$A,"&gt;="&amp;$J1129,'Weekly Log'!$A:$A,"&lt;"&amp;$J1129+7),0))</f>
        <v/>
      </c>
      <c r="D1129">
        <f>IF($J1129="","",IFERROR(COUNTIFS('Weekly Log'!$H:$H,"Y",'Weekly Log'!$A:$A,"&gt;="&amp;$J1129,'Weekly Log'!$A:$A,"&lt;"&amp;$J1129+7)/COUNTIFS('Weekly Log'!$H:$H,"&lt;&gt;",'Weekly Log'!$A:$A,"&gt;="&amp;$J1129,'Weekly Log'!$A:$A,"&lt;"&amp;$J1129+7),0))</f>
        <v/>
      </c>
      <c r="E1129">
        <f>IF($J1129="","",IFERROR(AVERAGEIFS('Weekly Log'!$F:$F,'Weekly Log'!$A:$A,"&gt;="&amp;$J1129,'Weekly Log'!$A:$A,"&lt;"&amp;$J1129+7),0))</f>
        <v/>
      </c>
      <c r="F1129">
        <f>IF($J1129="","",IFERROR(SUMIFS('Weekly Log'!$F:$F,'Weekly Log'!$A:$A,"&gt;="&amp;$J1129,'Weekly Log'!$A:$A,"&lt;"&amp;$J1129+7)/SUMIFS('Weekly Log'!$E:$E,'Weekly Log'!$A:$A,"&gt;="&amp;$J1129,'Weekly Log'!$A:$A,"&lt;"&amp;$J1129+7),0))</f>
        <v/>
      </c>
      <c r="G1129">
        <f>IF($J1129="","",IFERROR(LOOKUP(2,1/(('Weekly Log'!$A$5:$A$5000&gt;=$J1129)*('Weekly Log'!$A$5:$A$5000&lt;$J1129+7)*('Weekly Log'!$M$5:$M$5000&lt;&gt;"")),'Weekly Log'!$M$5:$M$5000),0))</f>
        <v/>
      </c>
      <c r="J1129">
        <f>IF(COUNT('Weekly Log'!$A$5:$A$5000)=0,"",IF(MIN('Weekly Log'!$A$5:$A$5000)+7*(ROW()-10)&gt;MAX('Weekly Log'!$A$5:$A$5000),"",MIN('Weekly Log'!$A$5:$A$5000)+7*(ROW()-10)))</f>
        <v/>
      </c>
    </row>
    <row r="1130">
      <c r="A1130">
        <f>IF($J1130="","",YEAR($J1130-WEEKDAY($J1130,2)+4)&amp;"-W"&amp;TEXT(WEEKNUM($J1130,21),"00"))</f>
        <v/>
      </c>
      <c r="B1130">
        <f>IF($J1130="","",SUMIFS('Weekly Log'!$C:$C,'Weekly Log'!$A:$A,"&gt;="&amp;$J1130,'Weekly Log'!$A:$A,"&lt;"&amp;$J1130+7))</f>
        <v/>
      </c>
      <c r="C1130">
        <f>IF($J1130="","",IFERROR(COUNTIFS('Weekly Log'!$G:$G,"Y",'Weekly Log'!$A:$A,"&gt;="&amp;$J1130,'Weekly Log'!$A:$A,"&lt;"&amp;$J1130+7)/COUNTIFS('Weekly Log'!$G:$G,"&lt;&gt;",'Weekly Log'!$A:$A,"&gt;="&amp;$J1130,'Weekly Log'!$A:$A,"&lt;"&amp;$J1130+7),0))</f>
        <v/>
      </c>
      <c r="D1130">
        <f>IF($J1130="","",IFERROR(COUNTIFS('Weekly Log'!$H:$H,"Y",'Weekly Log'!$A:$A,"&gt;="&amp;$J1130,'Weekly Log'!$A:$A,"&lt;"&amp;$J1130+7)/COUNTIFS('Weekly Log'!$H:$H,"&lt;&gt;",'Weekly Log'!$A:$A,"&gt;="&amp;$J1130,'Weekly Log'!$A:$A,"&lt;"&amp;$J1130+7),0))</f>
        <v/>
      </c>
      <c r="E1130">
        <f>IF($J1130="","",IFERROR(AVERAGEIFS('Weekly Log'!$F:$F,'Weekly Log'!$A:$A,"&gt;="&amp;$J1130,'Weekly Log'!$A:$A,"&lt;"&amp;$J1130+7),0))</f>
        <v/>
      </c>
      <c r="F1130">
        <f>IF($J1130="","",IFERROR(SUMIFS('Weekly Log'!$F:$F,'Weekly Log'!$A:$A,"&gt;="&amp;$J1130,'Weekly Log'!$A:$A,"&lt;"&amp;$J1130+7)/SUMIFS('Weekly Log'!$E:$E,'Weekly Log'!$A:$A,"&gt;="&amp;$J1130,'Weekly Log'!$A:$A,"&lt;"&amp;$J1130+7),0))</f>
        <v/>
      </c>
      <c r="G1130">
        <f>IF($J1130="","",IFERROR(LOOKUP(2,1/(('Weekly Log'!$A$5:$A$5000&gt;=$J1130)*('Weekly Log'!$A$5:$A$5000&lt;$J1130+7)*('Weekly Log'!$M$5:$M$5000&lt;&gt;"")),'Weekly Log'!$M$5:$M$5000),0))</f>
        <v/>
      </c>
      <c r="J1130">
        <f>IF(COUNT('Weekly Log'!$A$5:$A$5000)=0,"",IF(MIN('Weekly Log'!$A$5:$A$5000)+7*(ROW()-10)&gt;MAX('Weekly Log'!$A$5:$A$5000),"",MIN('Weekly Log'!$A$5:$A$5000)+7*(ROW()-10)))</f>
        <v/>
      </c>
    </row>
    <row r="1131">
      <c r="A1131">
        <f>IF($J1131="","",YEAR($J1131-WEEKDAY($J1131,2)+4)&amp;"-W"&amp;TEXT(WEEKNUM($J1131,21),"00"))</f>
        <v/>
      </c>
      <c r="B1131">
        <f>IF($J1131="","",SUMIFS('Weekly Log'!$C:$C,'Weekly Log'!$A:$A,"&gt;="&amp;$J1131,'Weekly Log'!$A:$A,"&lt;"&amp;$J1131+7))</f>
        <v/>
      </c>
      <c r="C1131">
        <f>IF($J1131="","",IFERROR(COUNTIFS('Weekly Log'!$G:$G,"Y",'Weekly Log'!$A:$A,"&gt;="&amp;$J1131,'Weekly Log'!$A:$A,"&lt;"&amp;$J1131+7)/COUNTIFS('Weekly Log'!$G:$G,"&lt;&gt;",'Weekly Log'!$A:$A,"&gt;="&amp;$J1131,'Weekly Log'!$A:$A,"&lt;"&amp;$J1131+7),0))</f>
        <v/>
      </c>
      <c r="D1131">
        <f>IF($J1131="","",IFERROR(COUNTIFS('Weekly Log'!$H:$H,"Y",'Weekly Log'!$A:$A,"&gt;="&amp;$J1131,'Weekly Log'!$A:$A,"&lt;"&amp;$J1131+7)/COUNTIFS('Weekly Log'!$H:$H,"&lt;&gt;",'Weekly Log'!$A:$A,"&gt;="&amp;$J1131,'Weekly Log'!$A:$A,"&lt;"&amp;$J1131+7),0))</f>
        <v/>
      </c>
      <c r="E1131">
        <f>IF($J1131="","",IFERROR(AVERAGEIFS('Weekly Log'!$F:$F,'Weekly Log'!$A:$A,"&gt;="&amp;$J1131,'Weekly Log'!$A:$A,"&lt;"&amp;$J1131+7),0))</f>
        <v/>
      </c>
      <c r="F1131">
        <f>IF($J1131="","",IFERROR(SUMIFS('Weekly Log'!$F:$F,'Weekly Log'!$A:$A,"&gt;="&amp;$J1131,'Weekly Log'!$A:$A,"&lt;"&amp;$J1131+7)/SUMIFS('Weekly Log'!$E:$E,'Weekly Log'!$A:$A,"&gt;="&amp;$J1131,'Weekly Log'!$A:$A,"&lt;"&amp;$J1131+7),0))</f>
        <v/>
      </c>
      <c r="G1131">
        <f>IF($J1131="","",IFERROR(LOOKUP(2,1/(('Weekly Log'!$A$5:$A$5000&gt;=$J1131)*('Weekly Log'!$A$5:$A$5000&lt;$J1131+7)*('Weekly Log'!$M$5:$M$5000&lt;&gt;"")),'Weekly Log'!$M$5:$M$5000),0))</f>
        <v/>
      </c>
      <c r="J1131">
        <f>IF(COUNT('Weekly Log'!$A$5:$A$5000)=0,"",IF(MIN('Weekly Log'!$A$5:$A$5000)+7*(ROW()-10)&gt;MAX('Weekly Log'!$A$5:$A$5000),"",MIN('Weekly Log'!$A$5:$A$5000)+7*(ROW()-10)))</f>
        <v/>
      </c>
    </row>
    <row r="1132">
      <c r="A1132">
        <f>IF($J1132="","",YEAR($J1132-WEEKDAY($J1132,2)+4)&amp;"-W"&amp;TEXT(WEEKNUM($J1132,21),"00"))</f>
        <v/>
      </c>
      <c r="B1132">
        <f>IF($J1132="","",SUMIFS('Weekly Log'!$C:$C,'Weekly Log'!$A:$A,"&gt;="&amp;$J1132,'Weekly Log'!$A:$A,"&lt;"&amp;$J1132+7))</f>
        <v/>
      </c>
      <c r="C1132">
        <f>IF($J1132="","",IFERROR(COUNTIFS('Weekly Log'!$G:$G,"Y",'Weekly Log'!$A:$A,"&gt;="&amp;$J1132,'Weekly Log'!$A:$A,"&lt;"&amp;$J1132+7)/COUNTIFS('Weekly Log'!$G:$G,"&lt;&gt;",'Weekly Log'!$A:$A,"&gt;="&amp;$J1132,'Weekly Log'!$A:$A,"&lt;"&amp;$J1132+7),0))</f>
        <v/>
      </c>
      <c r="D1132">
        <f>IF($J1132="","",IFERROR(COUNTIFS('Weekly Log'!$H:$H,"Y",'Weekly Log'!$A:$A,"&gt;="&amp;$J1132,'Weekly Log'!$A:$A,"&lt;"&amp;$J1132+7)/COUNTIFS('Weekly Log'!$H:$H,"&lt;&gt;",'Weekly Log'!$A:$A,"&gt;="&amp;$J1132,'Weekly Log'!$A:$A,"&lt;"&amp;$J1132+7),0))</f>
        <v/>
      </c>
      <c r="E1132">
        <f>IF($J1132="","",IFERROR(AVERAGEIFS('Weekly Log'!$F:$F,'Weekly Log'!$A:$A,"&gt;="&amp;$J1132,'Weekly Log'!$A:$A,"&lt;"&amp;$J1132+7),0))</f>
        <v/>
      </c>
      <c r="F1132">
        <f>IF($J1132="","",IFERROR(SUMIFS('Weekly Log'!$F:$F,'Weekly Log'!$A:$A,"&gt;="&amp;$J1132,'Weekly Log'!$A:$A,"&lt;"&amp;$J1132+7)/SUMIFS('Weekly Log'!$E:$E,'Weekly Log'!$A:$A,"&gt;="&amp;$J1132,'Weekly Log'!$A:$A,"&lt;"&amp;$J1132+7),0))</f>
        <v/>
      </c>
      <c r="G1132">
        <f>IF($J1132="","",IFERROR(LOOKUP(2,1/(('Weekly Log'!$A$5:$A$5000&gt;=$J1132)*('Weekly Log'!$A$5:$A$5000&lt;$J1132+7)*('Weekly Log'!$M$5:$M$5000&lt;&gt;"")),'Weekly Log'!$M$5:$M$5000),0))</f>
        <v/>
      </c>
      <c r="J1132">
        <f>IF(COUNT('Weekly Log'!$A$5:$A$5000)=0,"",IF(MIN('Weekly Log'!$A$5:$A$5000)+7*(ROW()-10)&gt;MAX('Weekly Log'!$A$5:$A$5000),"",MIN('Weekly Log'!$A$5:$A$5000)+7*(ROW()-10)))</f>
        <v/>
      </c>
    </row>
    <row r="1133">
      <c r="A1133">
        <f>IF($J1133="","",YEAR($J1133-WEEKDAY($J1133,2)+4)&amp;"-W"&amp;TEXT(WEEKNUM($J1133,21),"00"))</f>
        <v/>
      </c>
      <c r="B1133">
        <f>IF($J1133="","",SUMIFS('Weekly Log'!$C:$C,'Weekly Log'!$A:$A,"&gt;="&amp;$J1133,'Weekly Log'!$A:$A,"&lt;"&amp;$J1133+7))</f>
        <v/>
      </c>
      <c r="C1133">
        <f>IF($J1133="","",IFERROR(COUNTIFS('Weekly Log'!$G:$G,"Y",'Weekly Log'!$A:$A,"&gt;="&amp;$J1133,'Weekly Log'!$A:$A,"&lt;"&amp;$J1133+7)/COUNTIFS('Weekly Log'!$G:$G,"&lt;&gt;",'Weekly Log'!$A:$A,"&gt;="&amp;$J1133,'Weekly Log'!$A:$A,"&lt;"&amp;$J1133+7),0))</f>
        <v/>
      </c>
      <c r="D1133">
        <f>IF($J1133="","",IFERROR(COUNTIFS('Weekly Log'!$H:$H,"Y",'Weekly Log'!$A:$A,"&gt;="&amp;$J1133,'Weekly Log'!$A:$A,"&lt;"&amp;$J1133+7)/COUNTIFS('Weekly Log'!$H:$H,"&lt;&gt;",'Weekly Log'!$A:$A,"&gt;="&amp;$J1133,'Weekly Log'!$A:$A,"&lt;"&amp;$J1133+7),0))</f>
        <v/>
      </c>
      <c r="E1133">
        <f>IF($J1133="","",IFERROR(AVERAGEIFS('Weekly Log'!$F:$F,'Weekly Log'!$A:$A,"&gt;="&amp;$J1133,'Weekly Log'!$A:$A,"&lt;"&amp;$J1133+7),0))</f>
        <v/>
      </c>
      <c r="F1133">
        <f>IF($J1133="","",IFERROR(SUMIFS('Weekly Log'!$F:$F,'Weekly Log'!$A:$A,"&gt;="&amp;$J1133,'Weekly Log'!$A:$A,"&lt;"&amp;$J1133+7)/SUMIFS('Weekly Log'!$E:$E,'Weekly Log'!$A:$A,"&gt;="&amp;$J1133,'Weekly Log'!$A:$A,"&lt;"&amp;$J1133+7),0))</f>
        <v/>
      </c>
      <c r="G1133">
        <f>IF($J1133="","",IFERROR(LOOKUP(2,1/(('Weekly Log'!$A$5:$A$5000&gt;=$J1133)*('Weekly Log'!$A$5:$A$5000&lt;$J1133+7)*('Weekly Log'!$M$5:$M$5000&lt;&gt;"")),'Weekly Log'!$M$5:$M$5000),0))</f>
        <v/>
      </c>
      <c r="J1133">
        <f>IF(COUNT('Weekly Log'!$A$5:$A$5000)=0,"",IF(MIN('Weekly Log'!$A$5:$A$5000)+7*(ROW()-10)&gt;MAX('Weekly Log'!$A$5:$A$5000),"",MIN('Weekly Log'!$A$5:$A$5000)+7*(ROW()-10)))</f>
        <v/>
      </c>
    </row>
    <row r="1134">
      <c r="A1134">
        <f>IF($J1134="","",YEAR($J1134-WEEKDAY($J1134,2)+4)&amp;"-W"&amp;TEXT(WEEKNUM($J1134,21),"00"))</f>
        <v/>
      </c>
      <c r="B1134">
        <f>IF($J1134="","",SUMIFS('Weekly Log'!$C:$C,'Weekly Log'!$A:$A,"&gt;="&amp;$J1134,'Weekly Log'!$A:$A,"&lt;"&amp;$J1134+7))</f>
        <v/>
      </c>
      <c r="C1134">
        <f>IF($J1134="","",IFERROR(COUNTIFS('Weekly Log'!$G:$G,"Y",'Weekly Log'!$A:$A,"&gt;="&amp;$J1134,'Weekly Log'!$A:$A,"&lt;"&amp;$J1134+7)/COUNTIFS('Weekly Log'!$G:$G,"&lt;&gt;",'Weekly Log'!$A:$A,"&gt;="&amp;$J1134,'Weekly Log'!$A:$A,"&lt;"&amp;$J1134+7),0))</f>
        <v/>
      </c>
      <c r="D1134">
        <f>IF($J1134="","",IFERROR(COUNTIFS('Weekly Log'!$H:$H,"Y",'Weekly Log'!$A:$A,"&gt;="&amp;$J1134,'Weekly Log'!$A:$A,"&lt;"&amp;$J1134+7)/COUNTIFS('Weekly Log'!$H:$H,"&lt;&gt;",'Weekly Log'!$A:$A,"&gt;="&amp;$J1134,'Weekly Log'!$A:$A,"&lt;"&amp;$J1134+7),0))</f>
        <v/>
      </c>
      <c r="E1134">
        <f>IF($J1134="","",IFERROR(AVERAGEIFS('Weekly Log'!$F:$F,'Weekly Log'!$A:$A,"&gt;="&amp;$J1134,'Weekly Log'!$A:$A,"&lt;"&amp;$J1134+7),0))</f>
        <v/>
      </c>
      <c r="F1134">
        <f>IF($J1134="","",IFERROR(SUMIFS('Weekly Log'!$F:$F,'Weekly Log'!$A:$A,"&gt;="&amp;$J1134,'Weekly Log'!$A:$A,"&lt;"&amp;$J1134+7)/SUMIFS('Weekly Log'!$E:$E,'Weekly Log'!$A:$A,"&gt;="&amp;$J1134,'Weekly Log'!$A:$A,"&lt;"&amp;$J1134+7),0))</f>
        <v/>
      </c>
      <c r="G1134">
        <f>IF($J1134="","",IFERROR(LOOKUP(2,1/(('Weekly Log'!$A$5:$A$5000&gt;=$J1134)*('Weekly Log'!$A$5:$A$5000&lt;$J1134+7)*('Weekly Log'!$M$5:$M$5000&lt;&gt;"")),'Weekly Log'!$M$5:$M$5000),0))</f>
        <v/>
      </c>
      <c r="J1134">
        <f>IF(COUNT('Weekly Log'!$A$5:$A$5000)=0,"",IF(MIN('Weekly Log'!$A$5:$A$5000)+7*(ROW()-10)&gt;MAX('Weekly Log'!$A$5:$A$5000),"",MIN('Weekly Log'!$A$5:$A$5000)+7*(ROW()-10)))</f>
        <v/>
      </c>
    </row>
    <row r="1135">
      <c r="A1135">
        <f>IF($J1135="","",YEAR($J1135-WEEKDAY($J1135,2)+4)&amp;"-W"&amp;TEXT(WEEKNUM($J1135,21),"00"))</f>
        <v/>
      </c>
      <c r="B1135">
        <f>IF($J1135="","",SUMIFS('Weekly Log'!$C:$C,'Weekly Log'!$A:$A,"&gt;="&amp;$J1135,'Weekly Log'!$A:$A,"&lt;"&amp;$J1135+7))</f>
        <v/>
      </c>
      <c r="C1135">
        <f>IF($J1135="","",IFERROR(COUNTIFS('Weekly Log'!$G:$G,"Y",'Weekly Log'!$A:$A,"&gt;="&amp;$J1135,'Weekly Log'!$A:$A,"&lt;"&amp;$J1135+7)/COUNTIFS('Weekly Log'!$G:$G,"&lt;&gt;",'Weekly Log'!$A:$A,"&gt;="&amp;$J1135,'Weekly Log'!$A:$A,"&lt;"&amp;$J1135+7),0))</f>
        <v/>
      </c>
      <c r="D1135">
        <f>IF($J1135="","",IFERROR(COUNTIFS('Weekly Log'!$H:$H,"Y",'Weekly Log'!$A:$A,"&gt;="&amp;$J1135,'Weekly Log'!$A:$A,"&lt;"&amp;$J1135+7)/COUNTIFS('Weekly Log'!$H:$H,"&lt;&gt;",'Weekly Log'!$A:$A,"&gt;="&amp;$J1135,'Weekly Log'!$A:$A,"&lt;"&amp;$J1135+7),0))</f>
        <v/>
      </c>
      <c r="E1135">
        <f>IF($J1135="","",IFERROR(AVERAGEIFS('Weekly Log'!$F:$F,'Weekly Log'!$A:$A,"&gt;="&amp;$J1135,'Weekly Log'!$A:$A,"&lt;"&amp;$J1135+7),0))</f>
        <v/>
      </c>
      <c r="F1135">
        <f>IF($J1135="","",IFERROR(SUMIFS('Weekly Log'!$F:$F,'Weekly Log'!$A:$A,"&gt;="&amp;$J1135,'Weekly Log'!$A:$A,"&lt;"&amp;$J1135+7)/SUMIFS('Weekly Log'!$E:$E,'Weekly Log'!$A:$A,"&gt;="&amp;$J1135,'Weekly Log'!$A:$A,"&lt;"&amp;$J1135+7),0))</f>
        <v/>
      </c>
      <c r="G1135">
        <f>IF($J1135="","",IFERROR(LOOKUP(2,1/(('Weekly Log'!$A$5:$A$5000&gt;=$J1135)*('Weekly Log'!$A$5:$A$5000&lt;$J1135+7)*('Weekly Log'!$M$5:$M$5000&lt;&gt;"")),'Weekly Log'!$M$5:$M$5000),0))</f>
        <v/>
      </c>
      <c r="J1135">
        <f>IF(COUNT('Weekly Log'!$A$5:$A$5000)=0,"",IF(MIN('Weekly Log'!$A$5:$A$5000)+7*(ROW()-10)&gt;MAX('Weekly Log'!$A$5:$A$5000),"",MIN('Weekly Log'!$A$5:$A$5000)+7*(ROW()-10)))</f>
        <v/>
      </c>
    </row>
    <row r="1136">
      <c r="A1136">
        <f>IF($J1136="","",YEAR($J1136-WEEKDAY($J1136,2)+4)&amp;"-W"&amp;TEXT(WEEKNUM($J1136,21),"00"))</f>
        <v/>
      </c>
      <c r="B1136">
        <f>IF($J1136="","",SUMIFS('Weekly Log'!$C:$C,'Weekly Log'!$A:$A,"&gt;="&amp;$J1136,'Weekly Log'!$A:$A,"&lt;"&amp;$J1136+7))</f>
        <v/>
      </c>
      <c r="C1136">
        <f>IF($J1136="","",IFERROR(COUNTIFS('Weekly Log'!$G:$G,"Y",'Weekly Log'!$A:$A,"&gt;="&amp;$J1136,'Weekly Log'!$A:$A,"&lt;"&amp;$J1136+7)/COUNTIFS('Weekly Log'!$G:$G,"&lt;&gt;",'Weekly Log'!$A:$A,"&gt;="&amp;$J1136,'Weekly Log'!$A:$A,"&lt;"&amp;$J1136+7),0))</f>
        <v/>
      </c>
      <c r="D1136">
        <f>IF($J1136="","",IFERROR(COUNTIFS('Weekly Log'!$H:$H,"Y",'Weekly Log'!$A:$A,"&gt;="&amp;$J1136,'Weekly Log'!$A:$A,"&lt;"&amp;$J1136+7)/COUNTIFS('Weekly Log'!$H:$H,"&lt;&gt;",'Weekly Log'!$A:$A,"&gt;="&amp;$J1136,'Weekly Log'!$A:$A,"&lt;"&amp;$J1136+7),0))</f>
        <v/>
      </c>
      <c r="E1136">
        <f>IF($J1136="","",IFERROR(AVERAGEIFS('Weekly Log'!$F:$F,'Weekly Log'!$A:$A,"&gt;="&amp;$J1136,'Weekly Log'!$A:$A,"&lt;"&amp;$J1136+7),0))</f>
        <v/>
      </c>
      <c r="F1136">
        <f>IF($J1136="","",IFERROR(SUMIFS('Weekly Log'!$F:$F,'Weekly Log'!$A:$A,"&gt;="&amp;$J1136,'Weekly Log'!$A:$A,"&lt;"&amp;$J1136+7)/SUMIFS('Weekly Log'!$E:$E,'Weekly Log'!$A:$A,"&gt;="&amp;$J1136,'Weekly Log'!$A:$A,"&lt;"&amp;$J1136+7),0))</f>
        <v/>
      </c>
      <c r="G1136">
        <f>IF($J1136="","",IFERROR(LOOKUP(2,1/(('Weekly Log'!$A$5:$A$5000&gt;=$J1136)*('Weekly Log'!$A$5:$A$5000&lt;$J1136+7)*('Weekly Log'!$M$5:$M$5000&lt;&gt;"")),'Weekly Log'!$M$5:$M$5000),0))</f>
        <v/>
      </c>
      <c r="J1136">
        <f>IF(COUNT('Weekly Log'!$A$5:$A$5000)=0,"",IF(MIN('Weekly Log'!$A$5:$A$5000)+7*(ROW()-10)&gt;MAX('Weekly Log'!$A$5:$A$5000),"",MIN('Weekly Log'!$A$5:$A$5000)+7*(ROW()-10)))</f>
        <v/>
      </c>
    </row>
    <row r="1137">
      <c r="A1137">
        <f>IF($J1137="","",YEAR($J1137-WEEKDAY($J1137,2)+4)&amp;"-W"&amp;TEXT(WEEKNUM($J1137,21),"00"))</f>
        <v/>
      </c>
      <c r="B1137">
        <f>IF($J1137="","",SUMIFS('Weekly Log'!$C:$C,'Weekly Log'!$A:$A,"&gt;="&amp;$J1137,'Weekly Log'!$A:$A,"&lt;"&amp;$J1137+7))</f>
        <v/>
      </c>
      <c r="C1137">
        <f>IF($J1137="","",IFERROR(COUNTIFS('Weekly Log'!$G:$G,"Y",'Weekly Log'!$A:$A,"&gt;="&amp;$J1137,'Weekly Log'!$A:$A,"&lt;"&amp;$J1137+7)/COUNTIFS('Weekly Log'!$G:$G,"&lt;&gt;",'Weekly Log'!$A:$A,"&gt;="&amp;$J1137,'Weekly Log'!$A:$A,"&lt;"&amp;$J1137+7),0))</f>
        <v/>
      </c>
      <c r="D1137">
        <f>IF($J1137="","",IFERROR(COUNTIFS('Weekly Log'!$H:$H,"Y",'Weekly Log'!$A:$A,"&gt;="&amp;$J1137,'Weekly Log'!$A:$A,"&lt;"&amp;$J1137+7)/COUNTIFS('Weekly Log'!$H:$H,"&lt;&gt;",'Weekly Log'!$A:$A,"&gt;="&amp;$J1137,'Weekly Log'!$A:$A,"&lt;"&amp;$J1137+7),0))</f>
        <v/>
      </c>
      <c r="E1137">
        <f>IF($J1137="","",IFERROR(AVERAGEIFS('Weekly Log'!$F:$F,'Weekly Log'!$A:$A,"&gt;="&amp;$J1137,'Weekly Log'!$A:$A,"&lt;"&amp;$J1137+7),0))</f>
        <v/>
      </c>
      <c r="F1137">
        <f>IF($J1137="","",IFERROR(SUMIFS('Weekly Log'!$F:$F,'Weekly Log'!$A:$A,"&gt;="&amp;$J1137,'Weekly Log'!$A:$A,"&lt;"&amp;$J1137+7)/SUMIFS('Weekly Log'!$E:$E,'Weekly Log'!$A:$A,"&gt;="&amp;$J1137,'Weekly Log'!$A:$A,"&lt;"&amp;$J1137+7),0))</f>
        <v/>
      </c>
      <c r="G1137">
        <f>IF($J1137="","",IFERROR(LOOKUP(2,1/(('Weekly Log'!$A$5:$A$5000&gt;=$J1137)*('Weekly Log'!$A$5:$A$5000&lt;$J1137+7)*('Weekly Log'!$M$5:$M$5000&lt;&gt;"")),'Weekly Log'!$M$5:$M$5000),0))</f>
        <v/>
      </c>
      <c r="J1137">
        <f>IF(COUNT('Weekly Log'!$A$5:$A$5000)=0,"",IF(MIN('Weekly Log'!$A$5:$A$5000)+7*(ROW()-10)&gt;MAX('Weekly Log'!$A$5:$A$5000),"",MIN('Weekly Log'!$A$5:$A$5000)+7*(ROW()-10)))</f>
        <v/>
      </c>
    </row>
    <row r="1138">
      <c r="A1138">
        <f>IF($J1138="","",YEAR($J1138-WEEKDAY($J1138,2)+4)&amp;"-W"&amp;TEXT(WEEKNUM($J1138,21),"00"))</f>
        <v/>
      </c>
      <c r="B1138">
        <f>IF($J1138="","",SUMIFS('Weekly Log'!$C:$C,'Weekly Log'!$A:$A,"&gt;="&amp;$J1138,'Weekly Log'!$A:$A,"&lt;"&amp;$J1138+7))</f>
        <v/>
      </c>
      <c r="C1138">
        <f>IF($J1138="","",IFERROR(COUNTIFS('Weekly Log'!$G:$G,"Y",'Weekly Log'!$A:$A,"&gt;="&amp;$J1138,'Weekly Log'!$A:$A,"&lt;"&amp;$J1138+7)/COUNTIFS('Weekly Log'!$G:$G,"&lt;&gt;",'Weekly Log'!$A:$A,"&gt;="&amp;$J1138,'Weekly Log'!$A:$A,"&lt;"&amp;$J1138+7),0))</f>
        <v/>
      </c>
      <c r="D1138">
        <f>IF($J1138="","",IFERROR(COUNTIFS('Weekly Log'!$H:$H,"Y",'Weekly Log'!$A:$A,"&gt;="&amp;$J1138,'Weekly Log'!$A:$A,"&lt;"&amp;$J1138+7)/COUNTIFS('Weekly Log'!$H:$H,"&lt;&gt;",'Weekly Log'!$A:$A,"&gt;="&amp;$J1138,'Weekly Log'!$A:$A,"&lt;"&amp;$J1138+7),0))</f>
        <v/>
      </c>
      <c r="E1138">
        <f>IF($J1138="","",IFERROR(AVERAGEIFS('Weekly Log'!$F:$F,'Weekly Log'!$A:$A,"&gt;="&amp;$J1138,'Weekly Log'!$A:$A,"&lt;"&amp;$J1138+7),0))</f>
        <v/>
      </c>
      <c r="F1138">
        <f>IF($J1138="","",IFERROR(SUMIFS('Weekly Log'!$F:$F,'Weekly Log'!$A:$A,"&gt;="&amp;$J1138,'Weekly Log'!$A:$A,"&lt;"&amp;$J1138+7)/SUMIFS('Weekly Log'!$E:$E,'Weekly Log'!$A:$A,"&gt;="&amp;$J1138,'Weekly Log'!$A:$A,"&lt;"&amp;$J1138+7),0))</f>
        <v/>
      </c>
      <c r="G1138">
        <f>IF($J1138="","",IFERROR(LOOKUP(2,1/(('Weekly Log'!$A$5:$A$5000&gt;=$J1138)*('Weekly Log'!$A$5:$A$5000&lt;$J1138+7)*('Weekly Log'!$M$5:$M$5000&lt;&gt;"")),'Weekly Log'!$M$5:$M$5000),0))</f>
        <v/>
      </c>
      <c r="J1138">
        <f>IF(COUNT('Weekly Log'!$A$5:$A$5000)=0,"",IF(MIN('Weekly Log'!$A$5:$A$5000)+7*(ROW()-10)&gt;MAX('Weekly Log'!$A$5:$A$5000),"",MIN('Weekly Log'!$A$5:$A$5000)+7*(ROW()-10)))</f>
        <v/>
      </c>
    </row>
    <row r="1139">
      <c r="A1139">
        <f>IF($J1139="","",YEAR($J1139-WEEKDAY($J1139,2)+4)&amp;"-W"&amp;TEXT(WEEKNUM($J1139,21),"00"))</f>
        <v/>
      </c>
      <c r="B1139">
        <f>IF($J1139="","",SUMIFS('Weekly Log'!$C:$C,'Weekly Log'!$A:$A,"&gt;="&amp;$J1139,'Weekly Log'!$A:$A,"&lt;"&amp;$J1139+7))</f>
        <v/>
      </c>
      <c r="C1139">
        <f>IF($J1139="","",IFERROR(COUNTIFS('Weekly Log'!$G:$G,"Y",'Weekly Log'!$A:$A,"&gt;="&amp;$J1139,'Weekly Log'!$A:$A,"&lt;"&amp;$J1139+7)/COUNTIFS('Weekly Log'!$G:$G,"&lt;&gt;",'Weekly Log'!$A:$A,"&gt;="&amp;$J1139,'Weekly Log'!$A:$A,"&lt;"&amp;$J1139+7),0))</f>
        <v/>
      </c>
      <c r="D1139">
        <f>IF($J1139="","",IFERROR(COUNTIFS('Weekly Log'!$H:$H,"Y",'Weekly Log'!$A:$A,"&gt;="&amp;$J1139,'Weekly Log'!$A:$A,"&lt;"&amp;$J1139+7)/COUNTIFS('Weekly Log'!$H:$H,"&lt;&gt;",'Weekly Log'!$A:$A,"&gt;="&amp;$J1139,'Weekly Log'!$A:$A,"&lt;"&amp;$J1139+7),0))</f>
        <v/>
      </c>
      <c r="E1139">
        <f>IF($J1139="","",IFERROR(AVERAGEIFS('Weekly Log'!$F:$F,'Weekly Log'!$A:$A,"&gt;="&amp;$J1139,'Weekly Log'!$A:$A,"&lt;"&amp;$J1139+7),0))</f>
        <v/>
      </c>
      <c r="F1139">
        <f>IF($J1139="","",IFERROR(SUMIFS('Weekly Log'!$F:$F,'Weekly Log'!$A:$A,"&gt;="&amp;$J1139,'Weekly Log'!$A:$A,"&lt;"&amp;$J1139+7)/SUMIFS('Weekly Log'!$E:$E,'Weekly Log'!$A:$A,"&gt;="&amp;$J1139,'Weekly Log'!$A:$A,"&lt;"&amp;$J1139+7),0))</f>
        <v/>
      </c>
      <c r="G1139">
        <f>IF($J1139="","",IFERROR(LOOKUP(2,1/(('Weekly Log'!$A$5:$A$5000&gt;=$J1139)*('Weekly Log'!$A$5:$A$5000&lt;$J1139+7)*('Weekly Log'!$M$5:$M$5000&lt;&gt;"")),'Weekly Log'!$M$5:$M$5000),0))</f>
        <v/>
      </c>
      <c r="J1139">
        <f>IF(COUNT('Weekly Log'!$A$5:$A$5000)=0,"",IF(MIN('Weekly Log'!$A$5:$A$5000)+7*(ROW()-10)&gt;MAX('Weekly Log'!$A$5:$A$5000),"",MIN('Weekly Log'!$A$5:$A$5000)+7*(ROW()-10)))</f>
        <v/>
      </c>
    </row>
    <row r="1140">
      <c r="A1140">
        <f>IF($J1140="","",YEAR($J1140-WEEKDAY($J1140,2)+4)&amp;"-W"&amp;TEXT(WEEKNUM($J1140,21),"00"))</f>
        <v/>
      </c>
      <c r="B1140">
        <f>IF($J1140="","",SUMIFS('Weekly Log'!$C:$C,'Weekly Log'!$A:$A,"&gt;="&amp;$J1140,'Weekly Log'!$A:$A,"&lt;"&amp;$J1140+7))</f>
        <v/>
      </c>
      <c r="C1140">
        <f>IF($J1140="","",IFERROR(COUNTIFS('Weekly Log'!$G:$G,"Y",'Weekly Log'!$A:$A,"&gt;="&amp;$J1140,'Weekly Log'!$A:$A,"&lt;"&amp;$J1140+7)/COUNTIFS('Weekly Log'!$G:$G,"&lt;&gt;",'Weekly Log'!$A:$A,"&gt;="&amp;$J1140,'Weekly Log'!$A:$A,"&lt;"&amp;$J1140+7),0))</f>
        <v/>
      </c>
      <c r="D1140">
        <f>IF($J1140="","",IFERROR(COUNTIFS('Weekly Log'!$H:$H,"Y",'Weekly Log'!$A:$A,"&gt;="&amp;$J1140,'Weekly Log'!$A:$A,"&lt;"&amp;$J1140+7)/COUNTIFS('Weekly Log'!$H:$H,"&lt;&gt;",'Weekly Log'!$A:$A,"&gt;="&amp;$J1140,'Weekly Log'!$A:$A,"&lt;"&amp;$J1140+7),0))</f>
        <v/>
      </c>
      <c r="E1140">
        <f>IF($J1140="","",IFERROR(AVERAGEIFS('Weekly Log'!$F:$F,'Weekly Log'!$A:$A,"&gt;="&amp;$J1140,'Weekly Log'!$A:$A,"&lt;"&amp;$J1140+7),0))</f>
        <v/>
      </c>
      <c r="F1140">
        <f>IF($J1140="","",IFERROR(SUMIFS('Weekly Log'!$F:$F,'Weekly Log'!$A:$A,"&gt;="&amp;$J1140,'Weekly Log'!$A:$A,"&lt;"&amp;$J1140+7)/SUMIFS('Weekly Log'!$E:$E,'Weekly Log'!$A:$A,"&gt;="&amp;$J1140,'Weekly Log'!$A:$A,"&lt;"&amp;$J1140+7),0))</f>
        <v/>
      </c>
      <c r="G1140">
        <f>IF($J1140="","",IFERROR(LOOKUP(2,1/(('Weekly Log'!$A$5:$A$5000&gt;=$J1140)*('Weekly Log'!$A$5:$A$5000&lt;$J1140+7)*('Weekly Log'!$M$5:$M$5000&lt;&gt;"")),'Weekly Log'!$M$5:$M$5000),0))</f>
        <v/>
      </c>
      <c r="J1140">
        <f>IF(COUNT('Weekly Log'!$A$5:$A$5000)=0,"",IF(MIN('Weekly Log'!$A$5:$A$5000)+7*(ROW()-10)&gt;MAX('Weekly Log'!$A$5:$A$5000),"",MIN('Weekly Log'!$A$5:$A$5000)+7*(ROW()-10)))</f>
        <v/>
      </c>
    </row>
    <row r="1141">
      <c r="A1141">
        <f>IF($J1141="","",YEAR($J1141-WEEKDAY($J1141,2)+4)&amp;"-W"&amp;TEXT(WEEKNUM($J1141,21),"00"))</f>
        <v/>
      </c>
      <c r="B1141">
        <f>IF($J1141="","",SUMIFS('Weekly Log'!$C:$C,'Weekly Log'!$A:$A,"&gt;="&amp;$J1141,'Weekly Log'!$A:$A,"&lt;"&amp;$J1141+7))</f>
        <v/>
      </c>
      <c r="C1141">
        <f>IF($J1141="","",IFERROR(COUNTIFS('Weekly Log'!$G:$G,"Y",'Weekly Log'!$A:$A,"&gt;="&amp;$J1141,'Weekly Log'!$A:$A,"&lt;"&amp;$J1141+7)/COUNTIFS('Weekly Log'!$G:$G,"&lt;&gt;",'Weekly Log'!$A:$A,"&gt;="&amp;$J1141,'Weekly Log'!$A:$A,"&lt;"&amp;$J1141+7),0))</f>
        <v/>
      </c>
      <c r="D1141">
        <f>IF($J1141="","",IFERROR(COUNTIFS('Weekly Log'!$H:$H,"Y",'Weekly Log'!$A:$A,"&gt;="&amp;$J1141,'Weekly Log'!$A:$A,"&lt;"&amp;$J1141+7)/COUNTIFS('Weekly Log'!$H:$H,"&lt;&gt;",'Weekly Log'!$A:$A,"&gt;="&amp;$J1141,'Weekly Log'!$A:$A,"&lt;"&amp;$J1141+7),0))</f>
        <v/>
      </c>
      <c r="E1141">
        <f>IF($J1141="","",IFERROR(AVERAGEIFS('Weekly Log'!$F:$F,'Weekly Log'!$A:$A,"&gt;="&amp;$J1141,'Weekly Log'!$A:$A,"&lt;"&amp;$J1141+7),0))</f>
        <v/>
      </c>
      <c r="F1141">
        <f>IF($J1141="","",IFERROR(SUMIFS('Weekly Log'!$F:$F,'Weekly Log'!$A:$A,"&gt;="&amp;$J1141,'Weekly Log'!$A:$A,"&lt;"&amp;$J1141+7)/SUMIFS('Weekly Log'!$E:$E,'Weekly Log'!$A:$A,"&gt;="&amp;$J1141,'Weekly Log'!$A:$A,"&lt;"&amp;$J1141+7),0))</f>
        <v/>
      </c>
      <c r="G1141">
        <f>IF($J1141="","",IFERROR(LOOKUP(2,1/(('Weekly Log'!$A$5:$A$5000&gt;=$J1141)*('Weekly Log'!$A$5:$A$5000&lt;$J1141+7)*('Weekly Log'!$M$5:$M$5000&lt;&gt;"")),'Weekly Log'!$M$5:$M$5000),0))</f>
        <v/>
      </c>
      <c r="J1141">
        <f>IF(COUNT('Weekly Log'!$A$5:$A$5000)=0,"",IF(MIN('Weekly Log'!$A$5:$A$5000)+7*(ROW()-10)&gt;MAX('Weekly Log'!$A$5:$A$5000),"",MIN('Weekly Log'!$A$5:$A$5000)+7*(ROW()-10)))</f>
        <v/>
      </c>
    </row>
    <row r="1142">
      <c r="A1142">
        <f>IF($J1142="","",YEAR($J1142-WEEKDAY($J1142,2)+4)&amp;"-W"&amp;TEXT(WEEKNUM($J1142,21),"00"))</f>
        <v/>
      </c>
      <c r="B1142">
        <f>IF($J1142="","",SUMIFS('Weekly Log'!$C:$C,'Weekly Log'!$A:$A,"&gt;="&amp;$J1142,'Weekly Log'!$A:$A,"&lt;"&amp;$J1142+7))</f>
        <v/>
      </c>
      <c r="C1142">
        <f>IF($J1142="","",IFERROR(COUNTIFS('Weekly Log'!$G:$G,"Y",'Weekly Log'!$A:$A,"&gt;="&amp;$J1142,'Weekly Log'!$A:$A,"&lt;"&amp;$J1142+7)/COUNTIFS('Weekly Log'!$G:$G,"&lt;&gt;",'Weekly Log'!$A:$A,"&gt;="&amp;$J1142,'Weekly Log'!$A:$A,"&lt;"&amp;$J1142+7),0))</f>
        <v/>
      </c>
      <c r="D1142">
        <f>IF($J1142="","",IFERROR(COUNTIFS('Weekly Log'!$H:$H,"Y",'Weekly Log'!$A:$A,"&gt;="&amp;$J1142,'Weekly Log'!$A:$A,"&lt;"&amp;$J1142+7)/COUNTIFS('Weekly Log'!$H:$H,"&lt;&gt;",'Weekly Log'!$A:$A,"&gt;="&amp;$J1142,'Weekly Log'!$A:$A,"&lt;"&amp;$J1142+7),0))</f>
        <v/>
      </c>
      <c r="E1142">
        <f>IF($J1142="","",IFERROR(AVERAGEIFS('Weekly Log'!$F:$F,'Weekly Log'!$A:$A,"&gt;="&amp;$J1142,'Weekly Log'!$A:$A,"&lt;"&amp;$J1142+7),0))</f>
        <v/>
      </c>
      <c r="F1142">
        <f>IF($J1142="","",IFERROR(SUMIFS('Weekly Log'!$F:$F,'Weekly Log'!$A:$A,"&gt;="&amp;$J1142,'Weekly Log'!$A:$A,"&lt;"&amp;$J1142+7)/SUMIFS('Weekly Log'!$E:$E,'Weekly Log'!$A:$A,"&gt;="&amp;$J1142,'Weekly Log'!$A:$A,"&lt;"&amp;$J1142+7),0))</f>
        <v/>
      </c>
      <c r="G1142">
        <f>IF($J1142="","",IFERROR(LOOKUP(2,1/(('Weekly Log'!$A$5:$A$5000&gt;=$J1142)*('Weekly Log'!$A$5:$A$5000&lt;$J1142+7)*('Weekly Log'!$M$5:$M$5000&lt;&gt;"")),'Weekly Log'!$M$5:$M$5000),0))</f>
        <v/>
      </c>
      <c r="J1142">
        <f>IF(COUNT('Weekly Log'!$A$5:$A$5000)=0,"",IF(MIN('Weekly Log'!$A$5:$A$5000)+7*(ROW()-10)&gt;MAX('Weekly Log'!$A$5:$A$5000),"",MIN('Weekly Log'!$A$5:$A$5000)+7*(ROW()-10)))</f>
        <v/>
      </c>
    </row>
    <row r="1143">
      <c r="A1143">
        <f>IF($J1143="","",YEAR($J1143-WEEKDAY($J1143,2)+4)&amp;"-W"&amp;TEXT(WEEKNUM($J1143,21),"00"))</f>
        <v/>
      </c>
      <c r="B1143">
        <f>IF($J1143="","",SUMIFS('Weekly Log'!$C:$C,'Weekly Log'!$A:$A,"&gt;="&amp;$J1143,'Weekly Log'!$A:$A,"&lt;"&amp;$J1143+7))</f>
        <v/>
      </c>
      <c r="C1143">
        <f>IF($J1143="","",IFERROR(COUNTIFS('Weekly Log'!$G:$G,"Y",'Weekly Log'!$A:$A,"&gt;="&amp;$J1143,'Weekly Log'!$A:$A,"&lt;"&amp;$J1143+7)/COUNTIFS('Weekly Log'!$G:$G,"&lt;&gt;",'Weekly Log'!$A:$A,"&gt;="&amp;$J1143,'Weekly Log'!$A:$A,"&lt;"&amp;$J1143+7),0))</f>
        <v/>
      </c>
      <c r="D1143">
        <f>IF($J1143="","",IFERROR(COUNTIFS('Weekly Log'!$H:$H,"Y",'Weekly Log'!$A:$A,"&gt;="&amp;$J1143,'Weekly Log'!$A:$A,"&lt;"&amp;$J1143+7)/COUNTIFS('Weekly Log'!$H:$H,"&lt;&gt;",'Weekly Log'!$A:$A,"&gt;="&amp;$J1143,'Weekly Log'!$A:$A,"&lt;"&amp;$J1143+7),0))</f>
        <v/>
      </c>
      <c r="E1143">
        <f>IF($J1143="","",IFERROR(AVERAGEIFS('Weekly Log'!$F:$F,'Weekly Log'!$A:$A,"&gt;="&amp;$J1143,'Weekly Log'!$A:$A,"&lt;"&amp;$J1143+7),0))</f>
        <v/>
      </c>
      <c r="F1143">
        <f>IF($J1143="","",IFERROR(SUMIFS('Weekly Log'!$F:$F,'Weekly Log'!$A:$A,"&gt;="&amp;$J1143,'Weekly Log'!$A:$A,"&lt;"&amp;$J1143+7)/SUMIFS('Weekly Log'!$E:$E,'Weekly Log'!$A:$A,"&gt;="&amp;$J1143,'Weekly Log'!$A:$A,"&lt;"&amp;$J1143+7),0))</f>
        <v/>
      </c>
      <c r="G1143">
        <f>IF($J1143="","",IFERROR(LOOKUP(2,1/(('Weekly Log'!$A$5:$A$5000&gt;=$J1143)*('Weekly Log'!$A$5:$A$5000&lt;$J1143+7)*('Weekly Log'!$M$5:$M$5000&lt;&gt;"")),'Weekly Log'!$M$5:$M$5000),0))</f>
        <v/>
      </c>
      <c r="J1143">
        <f>IF(COUNT('Weekly Log'!$A$5:$A$5000)=0,"",IF(MIN('Weekly Log'!$A$5:$A$5000)+7*(ROW()-10)&gt;MAX('Weekly Log'!$A$5:$A$5000),"",MIN('Weekly Log'!$A$5:$A$5000)+7*(ROW()-10)))</f>
        <v/>
      </c>
    </row>
    <row r="1144">
      <c r="A1144">
        <f>IF($J1144="","",YEAR($J1144-WEEKDAY($J1144,2)+4)&amp;"-W"&amp;TEXT(WEEKNUM($J1144,21),"00"))</f>
        <v/>
      </c>
      <c r="B1144">
        <f>IF($J1144="","",SUMIFS('Weekly Log'!$C:$C,'Weekly Log'!$A:$A,"&gt;="&amp;$J1144,'Weekly Log'!$A:$A,"&lt;"&amp;$J1144+7))</f>
        <v/>
      </c>
      <c r="C1144">
        <f>IF($J1144="","",IFERROR(COUNTIFS('Weekly Log'!$G:$G,"Y",'Weekly Log'!$A:$A,"&gt;="&amp;$J1144,'Weekly Log'!$A:$A,"&lt;"&amp;$J1144+7)/COUNTIFS('Weekly Log'!$G:$G,"&lt;&gt;",'Weekly Log'!$A:$A,"&gt;="&amp;$J1144,'Weekly Log'!$A:$A,"&lt;"&amp;$J1144+7),0))</f>
        <v/>
      </c>
      <c r="D1144">
        <f>IF($J1144="","",IFERROR(COUNTIFS('Weekly Log'!$H:$H,"Y",'Weekly Log'!$A:$A,"&gt;="&amp;$J1144,'Weekly Log'!$A:$A,"&lt;"&amp;$J1144+7)/COUNTIFS('Weekly Log'!$H:$H,"&lt;&gt;",'Weekly Log'!$A:$A,"&gt;="&amp;$J1144,'Weekly Log'!$A:$A,"&lt;"&amp;$J1144+7),0))</f>
        <v/>
      </c>
      <c r="E1144">
        <f>IF($J1144="","",IFERROR(AVERAGEIFS('Weekly Log'!$F:$F,'Weekly Log'!$A:$A,"&gt;="&amp;$J1144,'Weekly Log'!$A:$A,"&lt;"&amp;$J1144+7),0))</f>
        <v/>
      </c>
      <c r="F1144">
        <f>IF($J1144="","",IFERROR(SUMIFS('Weekly Log'!$F:$F,'Weekly Log'!$A:$A,"&gt;="&amp;$J1144,'Weekly Log'!$A:$A,"&lt;"&amp;$J1144+7)/SUMIFS('Weekly Log'!$E:$E,'Weekly Log'!$A:$A,"&gt;="&amp;$J1144,'Weekly Log'!$A:$A,"&lt;"&amp;$J1144+7),0))</f>
        <v/>
      </c>
      <c r="G1144">
        <f>IF($J1144="","",IFERROR(LOOKUP(2,1/(('Weekly Log'!$A$5:$A$5000&gt;=$J1144)*('Weekly Log'!$A$5:$A$5000&lt;$J1144+7)*('Weekly Log'!$M$5:$M$5000&lt;&gt;"")),'Weekly Log'!$M$5:$M$5000),0))</f>
        <v/>
      </c>
      <c r="J1144">
        <f>IF(COUNT('Weekly Log'!$A$5:$A$5000)=0,"",IF(MIN('Weekly Log'!$A$5:$A$5000)+7*(ROW()-10)&gt;MAX('Weekly Log'!$A$5:$A$5000),"",MIN('Weekly Log'!$A$5:$A$5000)+7*(ROW()-10)))</f>
        <v/>
      </c>
    </row>
    <row r="1145">
      <c r="A1145">
        <f>IF($J1145="","",YEAR($J1145-WEEKDAY($J1145,2)+4)&amp;"-W"&amp;TEXT(WEEKNUM($J1145,21),"00"))</f>
        <v/>
      </c>
      <c r="B1145">
        <f>IF($J1145="","",SUMIFS('Weekly Log'!$C:$C,'Weekly Log'!$A:$A,"&gt;="&amp;$J1145,'Weekly Log'!$A:$A,"&lt;"&amp;$J1145+7))</f>
        <v/>
      </c>
      <c r="C1145">
        <f>IF($J1145="","",IFERROR(COUNTIFS('Weekly Log'!$G:$G,"Y",'Weekly Log'!$A:$A,"&gt;="&amp;$J1145,'Weekly Log'!$A:$A,"&lt;"&amp;$J1145+7)/COUNTIFS('Weekly Log'!$G:$G,"&lt;&gt;",'Weekly Log'!$A:$A,"&gt;="&amp;$J1145,'Weekly Log'!$A:$A,"&lt;"&amp;$J1145+7),0))</f>
        <v/>
      </c>
      <c r="D1145">
        <f>IF($J1145="","",IFERROR(COUNTIFS('Weekly Log'!$H:$H,"Y",'Weekly Log'!$A:$A,"&gt;="&amp;$J1145,'Weekly Log'!$A:$A,"&lt;"&amp;$J1145+7)/COUNTIFS('Weekly Log'!$H:$H,"&lt;&gt;",'Weekly Log'!$A:$A,"&gt;="&amp;$J1145,'Weekly Log'!$A:$A,"&lt;"&amp;$J1145+7),0))</f>
        <v/>
      </c>
      <c r="E1145">
        <f>IF($J1145="","",IFERROR(AVERAGEIFS('Weekly Log'!$F:$F,'Weekly Log'!$A:$A,"&gt;="&amp;$J1145,'Weekly Log'!$A:$A,"&lt;"&amp;$J1145+7),0))</f>
        <v/>
      </c>
      <c r="F1145">
        <f>IF($J1145="","",IFERROR(SUMIFS('Weekly Log'!$F:$F,'Weekly Log'!$A:$A,"&gt;="&amp;$J1145,'Weekly Log'!$A:$A,"&lt;"&amp;$J1145+7)/SUMIFS('Weekly Log'!$E:$E,'Weekly Log'!$A:$A,"&gt;="&amp;$J1145,'Weekly Log'!$A:$A,"&lt;"&amp;$J1145+7),0))</f>
        <v/>
      </c>
      <c r="G1145">
        <f>IF($J1145="","",IFERROR(LOOKUP(2,1/(('Weekly Log'!$A$5:$A$5000&gt;=$J1145)*('Weekly Log'!$A$5:$A$5000&lt;$J1145+7)*('Weekly Log'!$M$5:$M$5000&lt;&gt;"")),'Weekly Log'!$M$5:$M$5000),0))</f>
        <v/>
      </c>
      <c r="J1145">
        <f>IF(COUNT('Weekly Log'!$A$5:$A$5000)=0,"",IF(MIN('Weekly Log'!$A$5:$A$5000)+7*(ROW()-10)&gt;MAX('Weekly Log'!$A$5:$A$5000),"",MIN('Weekly Log'!$A$5:$A$5000)+7*(ROW()-10)))</f>
        <v/>
      </c>
    </row>
    <row r="1146">
      <c r="A1146">
        <f>IF($J1146="","",YEAR($J1146-WEEKDAY($J1146,2)+4)&amp;"-W"&amp;TEXT(WEEKNUM($J1146,21),"00"))</f>
        <v/>
      </c>
      <c r="B1146">
        <f>IF($J1146="","",SUMIFS('Weekly Log'!$C:$C,'Weekly Log'!$A:$A,"&gt;="&amp;$J1146,'Weekly Log'!$A:$A,"&lt;"&amp;$J1146+7))</f>
        <v/>
      </c>
      <c r="C1146">
        <f>IF($J1146="","",IFERROR(COUNTIFS('Weekly Log'!$G:$G,"Y",'Weekly Log'!$A:$A,"&gt;="&amp;$J1146,'Weekly Log'!$A:$A,"&lt;"&amp;$J1146+7)/COUNTIFS('Weekly Log'!$G:$G,"&lt;&gt;",'Weekly Log'!$A:$A,"&gt;="&amp;$J1146,'Weekly Log'!$A:$A,"&lt;"&amp;$J1146+7),0))</f>
        <v/>
      </c>
      <c r="D1146">
        <f>IF($J1146="","",IFERROR(COUNTIFS('Weekly Log'!$H:$H,"Y",'Weekly Log'!$A:$A,"&gt;="&amp;$J1146,'Weekly Log'!$A:$A,"&lt;"&amp;$J1146+7)/COUNTIFS('Weekly Log'!$H:$H,"&lt;&gt;",'Weekly Log'!$A:$A,"&gt;="&amp;$J1146,'Weekly Log'!$A:$A,"&lt;"&amp;$J1146+7),0))</f>
        <v/>
      </c>
      <c r="E1146">
        <f>IF($J1146="","",IFERROR(AVERAGEIFS('Weekly Log'!$F:$F,'Weekly Log'!$A:$A,"&gt;="&amp;$J1146,'Weekly Log'!$A:$A,"&lt;"&amp;$J1146+7),0))</f>
        <v/>
      </c>
      <c r="F1146">
        <f>IF($J1146="","",IFERROR(SUMIFS('Weekly Log'!$F:$F,'Weekly Log'!$A:$A,"&gt;="&amp;$J1146,'Weekly Log'!$A:$A,"&lt;"&amp;$J1146+7)/SUMIFS('Weekly Log'!$E:$E,'Weekly Log'!$A:$A,"&gt;="&amp;$J1146,'Weekly Log'!$A:$A,"&lt;"&amp;$J1146+7),0))</f>
        <v/>
      </c>
      <c r="G1146">
        <f>IF($J1146="","",IFERROR(LOOKUP(2,1/(('Weekly Log'!$A$5:$A$5000&gt;=$J1146)*('Weekly Log'!$A$5:$A$5000&lt;$J1146+7)*('Weekly Log'!$M$5:$M$5000&lt;&gt;"")),'Weekly Log'!$M$5:$M$5000),0))</f>
        <v/>
      </c>
      <c r="J1146">
        <f>IF(COUNT('Weekly Log'!$A$5:$A$5000)=0,"",IF(MIN('Weekly Log'!$A$5:$A$5000)+7*(ROW()-10)&gt;MAX('Weekly Log'!$A$5:$A$5000),"",MIN('Weekly Log'!$A$5:$A$5000)+7*(ROW()-10)))</f>
        <v/>
      </c>
    </row>
    <row r="1147">
      <c r="A1147">
        <f>IF($J1147="","",YEAR($J1147-WEEKDAY($J1147,2)+4)&amp;"-W"&amp;TEXT(WEEKNUM($J1147,21),"00"))</f>
        <v/>
      </c>
      <c r="B1147">
        <f>IF($J1147="","",SUMIFS('Weekly Log'!$C:$C,'Weekly Log'!$A:$A,"&gt;="&amp;$J1147,'Weekly Log'!$A:$A,"&lt;"&amp;$J1147+7))</f>
        <v/>
      </c>
      <c r="C1147">
        <f>IF($J1147="","",IFERROR(COUNTIFS('Weekly Log'!$G:$G,"Y",'Weekly Log'!$A:$A,"&gt;="&amp;$J1147,'Weekly Log'!$A:$A,"&lt;"&amp;$J1147+7)/COUNTIFS('Weekly Log'!$G:$G,"&lt;&gt;",'Weekly Log'!$A:$A,"&gt;="&amp;$J1147,'Weekly Log'!$A:$A,"&lt;"&amp;$J1147+7),0))</f>
        <v/>
      </c>
      <c r="D1147">
        <f>IF($J1147="","",IFERROR(COUNTIFS('Weekly Log'!$H:$H,"Y",'Weekly Log'!$A:$A,"&gt;="&amp;$J1147,'Weekly Log'!$A:$A,"&lt;"&amp;$J1147+7)/COUNTIFS('Weekly Log'!$H:$H,"&lt;&gt;",'Weekly Log'!$A:$A,"&gt;="&amp;$J1147,'Weekly Log'!$A:$A,"&lt;"&amp;$J1147+7),0))</f>
        <v/>
      </c>
      <c r="E1147">
        <f>IF($J1147="","",IFERROR(AVERAGEIFS('Weekly Log'!$F:$F,'Weekly Log'!$A:$A,"&gt;="&amp;$J1147,'Weekly Log'!$A:$A,"&lt;"&amp;$J1147+7),0))</f>
        <v/>
      </c>
      <c r="F1147">
        <f>IF($J1147="","",IFERROR(SUMIFS('Weekly Log'!$F:$F,'Weekly Log'!$A:$A,"&gt;="&amp;$J1147,'Weekly Log'!$A:$A,"&lt;"&amp;$J1147+7)/SUMIFS('Weekly Log'!$E:$E,'Weekly Log'!$A:$A,"&gt;="&amp;$J1147,'Weekly Log'!$A:$A,"&lt;"&amp;$J1147+7),0))</f>
        <v/>
      </c>
      <c r="G1147">
        <f>IF($J1147="","",IFERROR(LOOKUP(2,1/(('Weekly Log'!$A$5:$A$5000&gt;=$J1147)*('Weekly Log'!$A$5:$A$5000&lt;$J1147+7)*('Weekly Log'!$M$5:$M$5000&lt;&gt;"")),'Weekly Log'!$M$5:$M$5000),0))</f>
        <v/>
      </c>
      <c r="J1147">
        <f>IF(COUNT('Weekly Log'!$A$5:$A$5000)=0,"",IF(MIN('Weekly Log'!$A$5:$A$5000)+7*(ROW()-10)&gt;MAX('Weekly Log'!$A$5:$A$5000),"",MIN('Weekly Log'!$A$5:$A$5000)+7*(ROW()-10)))</f>
        <v/>
      </c>
    </row>
    <row r="1148">
      <c r="A1148">
        <f>IF($J1148="","",YEAR($J1148-WEEKDAY($J1148,2)+4)&amp;"-W"&amp;TEXT(WEEKNUM($J1148,21),"00"))</f>
        <v/>
      </c>
      <c r="B1148">
        <f>IF($J1148="","",SUMIFS('Weekly Log'!$C:$C,'Weekly Log'!$A:$A,"&gt;="&amp;$J1148,'Weekly Log'!$A:$A,"&lt;"&amp;$J1148+7))</f>
        <v/>
      </c>
      <c r="C1148">
        <f>IF($J1148="","",IFERROR(COUNTIFS('Weekly Log'!$G:$G,"Y",'Weekly Log'!$A:$A,"&gt;="&amp;$J1148,'Weekly Log'!$A:$A,"&lt;"&amp;$J1148+7)/COUNTIFS('Weekly Log'!$G:$G,"&lt;&gt;",'Weekly Log'!$A:$A,"&gt;="&amp;$J1148,'Weekly Log'!$A:$A,"&lt;"&amp;$J1148+7),0))</f>
        <v/>
      </c>
      <c r="D1148">
        <f>IF($J1148="","",IFERROR(COUNTIFS('Weekly Log'!$H:$H,"Y",'Weekly Log'!$A:$A,"&gt;="&amp;$J1148,'Weekly Log'!$A:$A,"&lt;"&amp;$J1148+7)/COUNTIFS('Weekly Log'!$H:$H,"&lt;&gt;",'Weekly Log'!$A:$A,"&gt;="&amp;$J1148,'Weekly Log'!$A:$A,"&lt;"&amp;$J1148+7),0))</f>
        <v/>
      </c>
      <c r="E1148">
        <f>IF($J1148="","",IFERROR(AVERAGEIFS('Weekly Log'!$F:$F,'Weekly Log'!$A:$A,"&gt;="&amp;$J1148,'Weekly Log'!$A:$A,"&lt;"&amp;$J1148+7),0))</f>
        <v/>
      </c>
      <c r="F1148">
        <f>IF($J1148="","",IFERROR(SUMIFS('Weekly Log'!$F:$F,'Weekly Log'!$A:$A,"&gt;="&amp;$J1148,'Weekly Log'!$A:$A,"&lt;"&amp;$J1148+7)/SUMIFS('Weekly Log'!$E:$E,'Weekly Log'!$A:$A,"&gt;="&amp;$J1148,'Weekly Log'!$A:$A,"&lt;"&amp;$J1148+7),0))</f>
        <v/>
      </c>
      <c r="G1148">
        <f>IF($J1148="","",IFERROR(LOOKUP(2,1/(('Weekly Log'!$A$5:$A$5000&gt;=$J1148)*('Weekly Log'!$A$5:$A$5000&lt;$J1148+7)*('Weekly Log'!$M$5:$M$5000&lt;&gt;"")),'Weekly Log'!$M$5:$M$5000),0))</f>
        <v/>
      </c>
      <c r="J1148">
        <f>IF(COUNT('Weekly Log'!$A$5:$A$5000)=0,"",IF(MIN('Weekly Log'!$A$5:$A$5000)+7*(ROW()-10)&gt;MAX('Weekly Log'!$A$5:$A$5000),"",MIN('Weekly Log'!$A$5:$A$5000)+7*(ROW()-10)))</f>
        <v/>
      </c>
    </row>
    <row r="1149">
      <c r="A1149">
        <f>IF($J1149="","",YEAR($J1149-WEEKDAY($J1149,2)+4)&amp;"-W"&amp;TEXT(WEEKNUM($J1149,21),"00"))</f>
        <v/>
      </c>
      <c r="B1149">
        <f>IF($J1149="","",SUMIFS('Weekly Log'!$C:$C,'Weekly Log'!$A:$A,"&gt;="&amp;$J1149,'Weekly Log'!$A:$A,"&lt;"&amp;$J1149+7))</f>
        <v/>
      </c>
      <c r="C1149">
        <f>IF($J1149="","",IFERROR(COUNTIFS('Weekly Log'!$G:$G,"Y",'Weekly Log'!$A:$A,"&gt;="&amp;$J1149,'Weekly Log'!$A:$A,"&lt;"&amp;$J1149+7)/COUNTIFS('Weekly Log'!$G:$G,"&lt;&gt;",'Weekly Log'!$A:$A,"&gt;="&amp;$J1149,'Weekly Log'!$A:$A,"&lt;"&amp;$J1149+7),0))</f>
        <v/>
      </c>
      <c r="D1149">
        <f>IF($J1149="","",IFERROR(COUNTIFS('Weekly Log'!$H:$H,"Y",'Weekly Log'!$A:$A,"&gt;="&amp;$J1149,'Weekly Log'!$A:$A,"&lt;"&amp;$J1149+7)/COUNTIFS('Weekly Log'!$H:$H,"&lt;&gt;",'Weekly Log'!$A:$A,"&gt;="&amp;$J1149,'Weekly Log'!$A:$A,"&lt;"&amp;$J1149+7),0))</f>
        <v/>
      </c>
      <c r="E1149">
        <f>IF($J1149="","",IFERROR(AVERAGEIFS('Weekly Log'!$F:$F,'Weekly Log'!$A:$A,"&gt;="&amp;$J1149,'Weekly Log'!$A:$A,"&lt;"&amp;$J1149+7),0))</f>
        <v/>
      </c>
      <c r="F1149">
        <f>IF($J1149="","",IFERROR(SUMIFS('Weekly Log'!$F:$F,'Weekly Log'!$A:$A,"&gt;="&amp;$J1149,'Weekly Log'!$A:$A,"&lt;"&amp;$J1149+7)/SUMIFS('Weekly Log'!$E:$E,'Weekly Log'!$A:$A,"&gt;="&amp;$J1149,'Weekly Log'!$A:$A,"&lt;"&amp;$J1149+7),0))</f>
        <v/>
      </c>
      <c r="G1149">
        <f>IF($J1149="","",IFERROR(LOOKUP(2,1/(('Weekly Log'!$A$5:$A$5000&gt;=$J1149)*('Weekly Log'!$A$5:$A$5000&lt;$J1149+7)*('Weekly Log'!$M$5:$M$5000&lt;&gt;"")),'Weekly Log'!$M$5:$M$5000),0))</f>
        <v/>
      </c>
      <c r="J1149">
        <f>IF(COUNT('Weekly Log'!$A$5:$A$5000)=0,"",IF(MIN('Weekly Log'!$A$5:$A$5000)+7*(ROW()-10)&gt;MAX('Weekly Log'!$A$5:$A$5000),"",MIN('Weekly Log'!$A$5:$A$5000)+7*(ROW()-10)))</f>
        <v/>
      </c>
    </row>
    <row r="1150">
      <c r="A1150">
        <f>IF($J1150="","",YEAR($J1150-WEEKDAY($J1150,2)+4)&amp;"-W"&amp;TEXT(WEEKNUM($J1150,21),"00"))</f>
        <v/>
      </c>
      <c r="B1150">
        <f>IF($J1150="","",SUMIFS('Weekly Log'!$C:$C,'Weekly Log'!$A:$A,"&gt;="&amp;$J1150,'Weekly Log'!$A:$A,"&lt;"&amp;$J1150+7))</f>
        <v/>
      </c>
      <c r="C1150">
        <f>IF($J1150="","",IFERROR(COUNTIFS('Weekly Log'!$G:$G,"Y",'Weekly Log'!$A:$A,"&gt;="&amp;$J1150,'Weekly Log'!$A:$A,"&lt;"&amp;$J1150+7)/COUNTIFS('Weekly Log'!$G:$G,"&lt;&gt;",'Weekly Log'!$A:$A,"&gt;="&amp;$J1150,'Weekly Log'!$A:$A,"&lt;"&amp;$J1150+7),0))</f>
        <v/>
      </c>
      <c r="D1150">
        <f>IF($J1150="","",IFERROR(COUNTIFS('Weekly Log'!$H:$H,"Y",'Weekly Log'!$A:$A,"&gt;="&amp;$J1150,'Weekly Log'!$A:$A,"&lt;"&amp;$J1150+7)/COUNTIFS('Weekly Log'!$H:$H,"&lt;&gt;",'Weekly Log'!$A:$A,"&gt;="&amp;$J1150,'Weekly Log'!$A:$A,"&lt;"&amp;$J1150+7),0))</f>
        <v/>
      </c>
      <c r="E1150">
        <f>IF($J1150="","",IFERROR(AVERAGEIFS('Weekly Log'!$F:$F,'Weekly Log'!$A:$A,"&gt;="&amp;$J1150,'Weekly Log'!$A:$A,"&lt;"&amp;$J1150+7),0))</f>
        <v/>
      </c>
      <c r="F1150">
        <f>IF($J1150="","",IFERROR(SUMIFS('Weekly Log'!$F:$F,'Weekly Log'!$A:$A,"&gt;="&amp;$J1150,'Weekly Log'!$A:$A,"&lt;"&amp;$J1150+7)/SUMIFS('Weekly Log'!$E:$E,'Weekly Log'!$A:$A,"&gt;="&amp;$J1150,'Weekly Log'!$A:$A,"&lt;"&amp;$J1150+7),0))</f>
        <v/>
      </c>
      <c r="G1150">
        <f>IF($J1150="","",IFERROR(LOOKUP(2,1/(('Weekly Log'!$A$5:$A$5000&gt;=$J1150)*('Weekly Log'!$A$5:$A$5000&lt;$J1150+7)*('Weekly Log'!$M$5:$M$5000&lt;&gt;"")),'Weekly Log'!$M$5:$M$5000),0))</f>
        <v/>
      </c>
      <c r="J1150">
        <f>IF(COUNT('Weekly Log'!$A$5:$A$5000)=0,"",IF(MIN('Weekly Log'!$A$5:$A$5000)+7*(ROW()-10)&gt;MAX('Weekly Log'!$A$5:$A$5000),"",MIN('Weekly Log'!$A$5:$A$5000)+7*(ROW()-10)))</f>
        <v/>
      </c>
    </row>
    <row r="1151">
      <c r="A1151">
        <f>IF($J1151="","",YEAR($J1151-WEEKDAY($J1151,2)+4)&amp;"-W"&amp;TEXT(WEEKNUM($J1151,21),"00"))</f>
        <v/>
      </c>
      <c r="B1151">
        <f>IF($J1151="","",SUMIFS('Weekly Log'!$C:$C,'Weekly Log'!$A:$A,"&gt;="&amp;$J1151,'Weekly Log'!$A:$A,"&lt;"&amp;$J1151+7))</f>
        <v/>
      </c>
      <c r="C1151">
        <f>IF($J1151="","",IFERROR(COUNTIFS('Weekly Log'!$G:$G,"Y",'Weekly Log'!$A:$A,"&gt;="&amp;$J1151,'Weekly Log'!$A:$A,"&lt;"&amp;$J1151+7)/COUNTIFS('Weekly Log'!$G:$G,"&lt;&gt;",'Weekly Log'!$A:$A,"&gt;="&amp;$J1151,'Weekly Log'!$A:$A,"&lt;"&amp;$J1151+7),0))</f>
        <v/>
      </c>
      <c r="D1151">
        <f>IF($J1151="","",IFERROR(COUNTIFS('Weekly Log'!$H:$H,"Y",'Weekly Log'!$A:$A,"&gt;="&amp;$J1151,'Weekly Log'!$A:$A,"&lt;"&amp;$J1151+7)/COUNTIFS('Weekly Log'!$H:$H,"&lt;&gt;",'Weekly Log'!$A:$A,"&gt;="&amp;$J1151,'Weekly Log'!$A:$A,"&lt;"&amp;$J1151+7),0))</f>
        <v/>
      </c>
      <c r="E1151">
        <f>IF($J1151="","",IFERROR(AVERAGEIFS('Weekly Log'!$F:$F,'Weekly Log'!$A:$A,"&gt;="&amp;$J1151,'Weekly Log'!$A:$A,"&lt;"&amp;$J1151+7),0))</f>
        <v/>
      </c>
      <c r="F1151">
        <f>IF($J1151="","",IFERROR(SUMIFS('Weekly Log'!$F:$F,'Weekly Log'!$A:$A,"&gt;="&amp;$J1151,'Weekly Log'!$A:$A,"&lt;"&amp;$J1151+7)/SUMIFS('Weekly Log'!$E:$E,'Weekly Log'!$A:$A,"&gt;="&amp;$J1151,'Weekly Log'!$A:$A,"&lt;"&amp;$J1151+7),0))</f>
        <v/>
      </c>
      <c r="G1151">
        <f>IF($J1151="","",IFERROR(LOOKUP(2,1/(('Weekly Log'!$A$5:$A$5000&gt;=$J1151)*('Weekly Log'!$A$5:$A$5000&lt;$J1151+7)*('Weekly Log'!$M$5:$M$5000&lt;&gt;"")),'Weekly Log'!$M$5:$M$5000),0))</f>
        <v/>
      </c>
      <c r="J1151">
        <f>IF(COUNT('Weekly Log'!$A$5:$A$5000)=0,"",IF(MIN('Weekly Log'!$A$5:$A$5000)+7*(ROW()-10)&gt;MAX('Weekly Log'!$A$5:$A$5000),"",MIN('Weekly Log'!$A$5:$A$5000)+7*(ROW()-10)))</f>
        <v/>
      </c>
    </row>
    <row r="1152">
      <c r="A1152">
        <f>IF($J1152="","",YEAR($J1152-WEEKDAY($J1152,2)+4)&amp;"-W"&amp;TEXT(WEEKNUM($J1152,21),"00"))</f>
        <v/>
      </c>
      <c r="B1152">
        <f>IF($J1152="","",SUMIFS('Weekly Log'!$C:$C,'Weekly Log'!$A:$A,"&gt;="&amp;$J1152,'Weekly Log'!$A:$A,"&lt;"&amp;$J1152+7))</f>
        <v/>
      </c>
      <c r="C1152">
        <f>IF($J1152="","",IFERROR(COUNTIFS('Weekly Log'!$G:$G,"Y",'Weekly Log'!$A:$A,"&gt;="&amp;$J1152,'Weekly Log'!$A:$A,"&lt;"&amp;$J1152+7)/COUNTIFS('Weekly Log'!$G:$G,"&lt;&gt;",'Weekly Log'!$A:$A,"&gt;="&amp;$J1152,'Weekly Log'!$A:$A,"&lt;"&amp;$J1152+7),0))</f>
        <v/>
      </c>
      <c r="D1152">
        <f>IF($J1152="","",IFERROR(COUNTIFS('Weekly Log'!$H:$H,"Y",'Weekly Log'!$A:$A,"&gt;="&amp;$J1152,'Weekly Log'!$A:$A,"&lt;"&amp;$J1152+7)/COUNTIFS('Weekly Log'!$H:$H,"&lt;&gt;",'Weekly Log'!$A:$A,"&gt;="&amp;$J1152,'Weekly Log'!$A:$A,"&lt;"&amp;$J1152+7),0))</f>
        <v/>
      </c>
      <c r="E1152">
        <f>IF($J1152="","",IFERROR(AVERAGEIFS('Weekly Log'!$F:$F,'Weekly Log'!$A:$A,"&gt;="&amp;$J1152,'Weekly Log'!$A:$A,"&lt;"&amp;$J1152+7),0))</f>
        <v/>
      </c>
      <c r="F1152">
        <f>IF($J1152="","",IFERROR(SUMIFS('Weekly Log'!$F:$F,'Weekly Log'!$A:$A,"&gt;="&amp;$J1152,'Weekly Log'!$A:$A,"&lt;"&amp;$J1152+7)/SUMIFS('Weekly Log'!$E:$E,'Weekly Log'!$A:$A,"&gt;="&amp;$J1152,'Weekly Log'!$A:$A,"&lt;"&amp;$J1152+7),0))</f>
        <v/>
      </c>
      <c r="G1152">
        <f>IF($J1152="","",IFERROR(LOOKUP(2,1/(('Weekly Log'!$A$5:$A$5000&gt;=$J1152)*('Weekly Log'!$A$5:$A$5000&lt;$J1152+7)*('Weekly Log'!$M$5:$M$5000&lt;&gt;"")),'Weekly Log'!$M$5:$M$5000),0))</f>
        <v/>
      </c>
      <c r="J1152">
        <f>IF(COUNT('Weekly Log'!$A$5:$A$5000)=0,"",IF(MIN('Weekly Log'!$A$5:$A$5000)+7*(ROW()-10)&gt;MAX('Weekly Log'!$A$5:$A$5000),"",MIN('Weekly Log'!$A$5:$A$5000)+7*(ROW()-10)))</f>
        <v/>
      </c>
    </row>
    <row r="1153">
      <c r="A1153">
        <f>IF($J1153="","",YEAR($J1153-WEEKDAY($J1153,2)+4)&amp;"-W"&amp;TEXT(WEEKNUM($J1153,21),"00"))</f>
        <v/>
      </c>
      <c r="B1153">
        <f>IF($J1153="","",SUMIFS('Weekly Log'!$C:$C,'Weekly Log'!$A:$A,"&gt;="&amp;$J1153,'Weekly Log'!$A:$A,"&lt;"&amp;$J1153+7))</f>
        <v/>
      </c>
      <c r="C1153">
        <f>IF($J1153="","",IFERROR(COUNTIFS('Weekly Log'!$G:$G,"Y",'Weekly Log'!$A:$A,"&gt;="&amp;$J1153,'Weekly Log'!$A:$A,"&lt;"&amp;$J1153+7)/COUNTIFS('Weekly Log'!$G:$G,"&lt;&gt;",'Weekly Log'!$A:$A,"&gt;="&amp;$J1153,'Weekly Log'!$A:$A,"&lt;"&amp;$J1153+7),0))</f>
        <v/>
      </c>
      <c r="D1153">
        <f>IF($J1153="","",IFERROR(COUNTIFS('Weekly Log'!$H:$H,"Y",'Weekly Log'!$A:$A,"&gt;="&amp;$J1153,'Weekly Log'!$A:$A,"&lt;"&amp;$J1153+7)/COUNTIFS('Weekly Log'!$H:$H,"&lt;&gt;",'Weekly Log'!$A:$A,"&gt;="&amp;$J1153,'Weekly Log'!$A:$A,"&lt;"&amp;$J1153+7),0))</f>
        <v/>
      </c>
      <c r="E1153">
        <f>IF($J1153="","",IFERROR(AVERAGEIFS('Weekly Log'!$F:$F,'Weekly Log'!$A:$A,"&gt;="&amp;$J1153,'Weekly Log'!$A:$A,"&lt;"&amp;$J1153+7),0))</f>
        <v/>
      </c>
      <c r="F1153">
        <f>IF($J1153="","",IFERROR(SUMIFS('Weekly Log'!$F:$F,'Weekly Log'!$A:$A,"&gt;="&amp;$J1153,'Weekly Log'!$A:$A,"&lt;"&amp;$J1153+7)/SUMIFS('Weekly Log'!$E:$E,'Weekly Log'!$A:$A,"&gt;="&amp;$J1153,'Weekly Log'!$A:$A,"&lt;"&amp;$J1153+7),0))</f>
        <v/>
      </c>
      <c r="G1153">
        <f>IF($J1153="","",IFERROR(LOOKUP(2,1/(('Weekly Log'!$A$5:$A$5000&gt;=$J1153)*('Weekly Log'!$A$5:$A$5000&lt;$J1153+7)*('Weekly Log'!$M$5:$M$5000&lt;&gt;"")),'Weekly Log'!$M$5:$M$5000),0))</f>
        <v/>
      </c>
      <c r="J1153">
        <f>IF(COUNT('Weekly Log'!$A$5:$A$5000)=0,"",IF(MIN('Weekly Log'!$A$5:$A$5000)+7*(ROW()-10)&gt;MAX('Weekly Log'!$A$5:$A$5000),"",MIN('Weekly Log'!$A$5:$A$5000)+7*(ROW()-10)))</f>
        <v/>
      </c>
    </row>
    <row r="1154">
      <c r="A1154">
        <f>IF($J1154="","",YEAR($J1154-WEEKDAY($J1154,2)+4)&amp;"-W"&amp;TEXT(WEEKNUM($J1154,21),"00"))</f>
        <v/>
      </c>
      <c r="B1154">
        <f>IF($J1154="","",SUMIFS('Weekly Log'!$C:$C,'Weekly Log'!$A:$A,"&gt;="&amp;$J1154,'Weekly Log'!$A:$A,"&lt;"&amp;$J1154+7))</f>
        <v/>
      </c>
      <c r="C1154">
        <f>IF($J1154="","",IFERROR(COUNTIFS('Weekly Log'!$G:$G,"Y",'Weekly Log'!$A:$A,"&gt;="&amp;$J1154,'Weekly Log'!$A:$A,"&lt;"&amp;$J1154+7)/COUNTIFS('Weekly Log'!$G:$G,"&lt;&gt;",'Weekly Log'!$A:$A,"&gt;="&amp;$J1154,'Weekly Log'!$A:$A,"&lt;"&amp;$J1154+7),0))</f>
        <v/>
      </c>
      <c r="D1154">
        <f>IF($J1154="","",IFERROR(COUNTIFS('Weekly Log'!$H:$H,"Y",'Weekly Log'!$A:$A,"&gt;="&amp;$J1154,'Weekly Log'!$A:$A,"&lt;"&amp;$J1154+7)/COUNTIFS('Weekly Log'!$H:$H,"&lt;&gt;",'Weekly Log'!$A:$A,"&gt;="&amp;$J1154,'Weekly Log'!$A:$A,"&lt;"&amp;$J1154+7),0))</f>
        <v/>
      </c>
      <c r="E1154">
        <f>IF($J1154="","",IFERROR(AVERAGEIFS('Weekly Log'!$F:$F,'Weekly Log'!$A:$A,"&gt;="&amp;$J1154,'Weekly Log'!$A:$A,"&lt;"&amp;$J1154+7),0))</f>
        <v/>
      </c>
      <c r="F1154">
        <f>IF($J1154="","",IFERROR(SUMIFS('Weekly Log'!$F:$F,'Weekly Log'!$A:$A,"&gt;="&amp;$J1154,'Weekly Log'!$A:$A,"&lt;"&amp;$J1154+7)/SUMIFS('Weekly Log'!$E:$E,'Weekly Log'!$A:$A,"&gt;="&amp;$J1154,'Weekly Log'!$A:$A,"&lt;"&amp;$J1154+7),0))</f>
        <v/>
      </c>
      <c r="G1154">
        <f>IF($J1154="","",IFERROR(LOOKUP(2,1/(('Weekly Log'!$A$5:$A$5000&gt;=$J1154)*('Weekly Log'!$A$5:$A$5000&lt;$J1154+7)*('Weekly Log'!$M$5:$M$5000&lt;&gt;"")),'Weekly Log'!$M$5:$M$5000),0))</f>
        <v/>
      </c>
      <c r="J1154">
        <f>IF(COUNT('Weekly Log'!$A$5:$A$5000)=0,"",IF(MIN('Weekly Log'!$A$5:$A$5000)+7*(ROW()-10)&gt;MAX('Weekly Log'!$A$5:$A$5000),"",MIN('Weekly Log'!$A$5:$A$5000)+7*(ROW()-10)))</f>
        <v/>
      </c>
    </row>
    <row r="1155">
      <c r="A1155">
        <f>IF($J1155="","",YEAR($J1155-WEEKDAY($J1155,2)+4)&amp;"-W"&amp;TEXT(WEEKNUM($J1155,21),"00"))</f>
        <v/>
      </c>
      <c r="B1155">
        <f>IF($J1155="","",SUMIFS('Weekly Log'!$C:$C,'Weekly Log'!$A:$A,"&gt;="&amp;$J1155,'Weekly Log'!$A:$A,"&lt;"&amp;$J1155+7))</f>
        <v/>
      </c>
      <c r="C1155">
        <f>IF($J1155="","",IFERROR(COUNTIFS('Weekly Log'!$G:$G,"Y",'Weekly Log'!$A:$A,"&gt;="&amp;$J1155,'Weekly Log'!$A:$A,"&lt;"&amp;$J1155+7)/COUNTIFS('Weekly Log'!$G:$G,"&lt;&gt;",'Weekly Log'!$A:$A,"&gt;="&amp;$J1155,'Weekly Log'!$A:$A,"&lt;"&amp;$J1155+7),0))</f>
        <v/>
      </c>
      <c r="D1155">
        <f>IF($J1155="","",IFERROR(COUNTIFS('Weekly Log'!$H:$H,"Y",'Weekly Log'!$A:$A,"&gt;="&amp;$J1155,'Weekly Log'!$A:$A,"&lt;"&amp;$J1155+7)/COUNTIFS('Weekly Log'!$H:$H,"&lt;&gt;",'Weekly Log'!$A:$A,"&gt;="&amp;$J1155,'Weekly Log'!$A:$A,"&lt;"&amp;$J1155+7),0))</f>
        <v/>
      </c>
      <c r="E1155">
        <f>IF($J1155="","",IFERROR(AVERAGEIFS('Weekly Log'!$F:$F,'Weekly Log'!$A:$A,"&gt;="&amp;$J1155,'Weekly Log'!$A:$A,"&lt;"&amp;$J1155+7),0))</f>
        <v/>
      </c>
      <c r="F1155">
        <f>IF($J1155="","",IFERROR(SUMIFS('Weekly Log'!$F:$F,'Weekly Log'!$A:$A,"&gt;="&amp;$J1155,'Weekly Log'!$A:$A,"&lt;"&amp;$J1155+7)/SUMIFS('Weekly Log'!$E:$E,'Weekly Log'!$A:$A,"&gt;="&amp;$J1155,'Weekly Log'!$A:$A,"&lt;"&amp;$J1155+7),0))</f>
        <v/>
      </c>
      <c r="G1155">
        <f>IF($J1155="","",IFERROR(LOOKUP(2,1/(('Weekly Log'!$A$5:$A$5000&gt;=$J1155)*('Weekly Log'!$A$5:$A$5000&lt;$J1155+7)*('Weekly Log'!$M$5:$M$5000&lt;&gt;"")),'Weekly Log'!$M$5:$M$5000),0))</f>
        <v/>
      </c>
      <c r="J1155">
        <f>IF(COUNT('Weekly Log'!$A$5:$A$5000)=0,"",IF(MIN('Weekly Log'!$A$5:$A$5000)+7*(ROW()-10)&gt;MAX('Weekly Log'!$A$5:$A$5000),"",MIN('Weekly Log'!$A$5:$A$5000)+7*(ROW()-10)))</f>
        <v/>
      </c>
    </row>
    <row r="1156">
      <c r="A1156">
        <f>IF($J1156="","",YEAR($J1156-WEEKDAY($J1156,2)+4)&amp;"-W"&amp;TEXT(WEEKNUM($J1156,21),"00"))</f>
        <v/>
      </c>
      <c r="B1156">
        <f>IF($J1156="","",SUMIFS('Weekly Log'!$C:$C,'Weekly Log'!$A:$A,"&gt;="&amp;$J1156,'Weekly Log'!$A:$A,"&lt;"&amp;$J1156+7))</f>
        <v/>
      </c>
      <c r="C1156">
        <f>IF($J1156="","",IFERROR(COUNTIFS('Weekly Log'!$G:$G,"Y",'Weekly Log'!$A:$A,"&gt;="&amp;$J1156,'Weekly Log'!$A:$A,"&lt;"&amp;$J1156+7)/COUNTIFS('Weekly Log'!$G:$G,"&lt;&gt;",'Weekly Log'!$A:$A,"&gt;="&amp;$J1156,'Weekly Log'!$A:$A,"&lt;"&amp;$J1156+7),0))</f>
        <v/>
      </c>
      <c r="D1156">
        <f>IF($J1156="","",IFERROR(COUNTIFS('Weekly Log'!$H:$H,"Y",'Weekly Log'!$A:$A,"&gt;="&amp;$J1156,'Weekly Log'!$A:$A,"&lt;"&amp;$J1156+7)/COUNTIFS('Weekly Log'!$H:$H,"&lt;&gt;",'Weekly Log'!$A:$A,"&gt;="&amp;$J1156,'Weekly Log'!$A:$A,"&lt;"&amp;$J1156+7),0))</f>
        <v/>
      </c>
      <c r="E1156">
        <f>IF($J1156="","",IFERROR(AVERAGEIFS('Weekly Log'!$F:$F,'Weekly Log'!$A:$A,"&gt;="&amp;$J1156,'Weekly Log'!$A:$A,"&lt;"&amp;$J1156+7),0))</f>
        <v/>
      </c>
      <c r="F1156">
        <f>IF($J1156="","",IFERROR(SUMIFS('Weekly Log'!$F:$F,'Weekly Log'!$A:$A,"&gt;="&amp;$J1156,'Weekly Log'!$A:$A,"&lt;"&amp;$J1156+7)/SUMIFS('Weekly Log'!$E:$E,'Weekly Log'!$A:$A,"&gt;="&amp;$J1156,'Weekly Log'!$A:$A,"&lt;"&amp;$J1156+7),0))</f>
        <v/>
      </c>
      <c r="G1156">
        <f>IF($J1156="","",IFERROR(LOOKUP(2,1/(('Weekly Log'!$A$5:$A$5000&gt;=$J1156)*('Weekly Log'!$A$5:$A$5000&lt;$J1156+7)*('Weekly Log'!$M$5:$M$5000&lt;&gt;"")),'Weekly Log'!$M$5:$M$5000),0))</f>
        <v/>
      </c>
      <c r="J1156">
        <f>IF(COUNT('Weekly Log'!$A$5:$A$5000)=0,"",IF(MIN('Weekly Log'!$A$5:$A$5000)+7*(ROW()-10)&gt;MAX('Weekly Log'!$A$5:$A$5000),"",MIN('Weekly Log'!$A$5:$A$5000)+7*(ROW()-10)))</f>
        <v/>
      </c>
    </row>
    <row r="1157">
      <c r="A1157">
        <f>IF($J1157="","",YEAR($J1157-WEEKDAY($J1157,2)+4)&amp;"-W"&amp;TEXT(WEEKNUM($J1157,21),"00"))</f>
        <v/>
      </c>
      <c r="B1157">
        <f>IF($J1157="","",SUMIFS('Weekly Log'!$C:$C,'Weekly Log'!$A:$A,"&gt;="&amp;$J1157,'Weekly Log'!$A:$A,"&lt;"&amp;$J1157+7))</f>
        <v/>
      </c>
      <c r="C1157">
        <f>IF($J1157="","",IFERROR(COUNTIFS('Weekly Log'!$G:$G,"Y",'Weekly Log'!$A:$A,"&gt;="&amp;$J1157,'Weekly Log'!$A:$A,"&lt;"&amp;$J1157+7)/COUNTIFS('Weekly Log'!$G:$G,"&lt;&gt;",'Weekly Log'!$A:$A,"&gt;="&amp;$J1157,'Weekly Log'!$A:$A,"&lt;"&amp;$J1157+7),0))</f>
        <v/>
      </c>
      <c r="D1157">
        <f>IF($J1157="","",IFERROR(COUNTIFS('Weekly Log'!$H:$H,"Y",'Weekly Log'!$A:$A,"&gt;="&amp;$J1157,'Weekly Log'!$A:$A,"&lt;"&amp;$J1157+7)/COUNTIFS('Weekly Log'!$H:$H,"&lt;&gt;",'Weekly Log'!$A:$A,"&gt;="&amp;$J1157,'Weekly Log'!$A:$A,"&lt;"&amp;$J1157+7),0))</f>
        <v/>
      </c>
      <c r="E1157">
        <f>IF($J1157="","",IFERROR(AVERAGEIFS('Weekly Log'!$F:$F,'Weekly Log'!$A:$A,"&gt;="&amp;$J1157,'Weekly Log'!$A:$A,"&lt;"&amp;$J1157+7),0))</f>
        <v/>
      </c>
      <c r="F1157">
        <f>IF($J1157="","",IFERROR(SUMIFS('Weekly Log'!$F:$F,'Weekly Log'!$A:$A,"&gt;="&amp;$J1157,'Weekly Log'!$A:$A,"&lt;"&amp;$J1157+7)/SUMIFS('Weekly Log'!$E:$E,'Weekly Log'!$A:$A,"&gt;="&amp;$J1157,'Weekly Log'!$A:$A,"&lt;"&amp;$J1157+7),0))</f>
        <v/>
      </c>
      <c r="G1157">
        <f>IF($J1157="","",IFERROR(LOOKUP(2,1/(('Weekly Log'!$A$5:$A$5000&gt;=$J1157)*('Weekly Log'!$A$5:$A$5000&lt;$J1157+7)*('Weekly Log'!$M$5:$M$5000&lt;&gt;"")),'Weekly Log'!$M$5:$M$5000),0))</f>
        <v/>
      </c>
      <c r="J1157">
        <f>IF(COUNT('Weekly Log'!$A$5:$A$5000)=0,"",IF(MIN('Weekly Log'!$A$5:$A$5000)+7*(ROW()-10)&gt;MAX('Weekly Log'!$A$5:$A$5000),"",MIN('Weekly Log'!$A$5:$A$5000)+7*(ROW()-10)))</f>
        <v/>
      </c>
    </row>
    <row r="1158">
      <c r="A1158">
        <f>IF($J1158="","",YEAR($J1158-WEEKDAY($J1158,2)+4)&amp;"-W"&amp;TEXT(WEEKNUM($J1158,21),"00"))</f>
        <v/>
      </c>
      <c r="B1158">
        <f>IF($J1158="","",SUMIFS('Weekly Log'!$C:$C,'Weekly Log'!$A:$A,"&gt;="&amp;$J1158,'Weekly Log'!$A:$A,"&lt;"&amp;$J1158+7))</f>
        <v/>
      </c>
      <c r="C1158">
        <f>IF($J1158="","",IFERROR(COUNTIFS('Weekly Log'!$G:$G,"Y",'Weekly Log'!$A:$A,"&gt;="&amp;$J1158,'Weekly Log'!$A:$A,"&lt;"&amp;$J1158+7)/COUNTIFS('Weekly Log'!$G:$G,"&lt;&gt;",'Weekly Log'!$A:$A,"&gt;="&amp;$J1158,'Weekly Log'!$A:$A,"&lt;"&amp;$J1158+7),0))</f>
        <v/>
      </c>
      <c r="D1158">
        <f>IF($J1158="","",IFERROR(COUNTIFS('Weekly Log'!$H:$H,"Y",'Weekly Log'!$A:$A,"&gt;="&amp;$J1158,'Weekly Log'!$A:$A,"&lt;"&amp;$J1158+7)/COUNTIFS('Weekly Log'!$H:$H,"&lt;&gt;",'Weekly Log'!$A:$A,"&gt;="&amp;$J1158,'Weekly Log'!$A:$A,"&lt;"&amp;$J1158+7),0))</f>
        <v/>
      </c>
      <c r="E1158">
        <f>IF($J1158="","",IFERROR(AVERAGEIFS('Weekly Log'!$F:$F,'Weekly Log'!$A:$A,"&gt;="&amp;$J1158,'Weekly Log'!$A:$A,"&lt;"&amp;$J1158+7),0))</f>
        <v/>
      </c>
      <c r="F1158">
        <f>IF($J1158="","",IFERROR(SUMIFS('Weekly Log'!$F:$F,'Weekly Log'!$A:$A,"&gt;="&amp;$J1158,'Weekly Log'!$A:$A,"&lt;"&amp;$J1158+7)/SUMIFS('Weekly Log'!$E:$E,'Weekly Log'!$A:$A,"&gt;="&amp;$J1158,'Weekly Log'!$A:$A,"&lt;"&amp;$J1158+7),0))</f>
        <v/>
      </c>
      <c r="G1158">
        <f>IF($J1158="","",IFERROR(LOOKUP(2,1/(('Weekly Log'!$A$5:$A$5000&gt;=$J1158)*('Weekly Log'!$A$5:$A$5000&lt;$J1158+7)*('Weekly Log'!$M$5:$M$5000&lt;&gt;"")),'Weekly Log'!$M$5:$M$5000),0))</f>
        <v/>
      </c>
      <c r="J1158">
        <f>IF(COUNT('Weekly Log'!$A$5:$A$5000)=0,"",IF(MIN('Weekly Log'!$A$5:$A$5000)+7*(ROW()-10)&gt;MAX('Weekly Log'!$A$5:$A$5000),"",MIN('Weekly Log'!$A$5:$A$5000)+7*(ROW()-10)))</f>
        <v/>
      </c>
    </row>
    <row r="1159">
      <c r="A1159">
        <f>IF($J1159="","",YEAR($J1159-WEEKDAY($J1159,2)+4)&amp;"-W"&amp;TEXT(WEEKNUM($J1159,21),"00"))</f>
        <v/>
      </c>
      <c r="B1159">
        <f>IF($J1159="","",SUMIFS('Weekly Log'!$C:$C,'Weekly Log'!$A:$A,"&gt;="&amp;$J1159,'Weekly Log'!$A:$A,"&lt;"&amp;$J1159+7))</f>
        <v/>
      </c>
      <c r="C1159">
        <f>IF($J1159="","",IFERROR(COUNTIFS('Weekly Log'!$G:$G,"Y",'Weekly Log'!$A:$A,"&gt;="&amp;$J1159,'Weekly Log'!$A:$A,"&lt;"&amp;$J1159+7)/COUNTIFS('Weekly Log'!$G:$G,"&lt;&gt;",'Weekly Log'!$A:$A,"&gt;="&amp;$J1159,'Weekly Log'!$A:$A,"&lt;"&amp;$J1159+7),0))</f>
        <v/>
      </c>
      <c r="D1159">
        <f>IF($J1159="","",IFERROR(COUNTIFS('Weekly Log'!$H:$H,"Y",'Weekly Log'!$A:$A,"&gt;="&amp;$J1159,'Weekly Log'!$A:$A,"&lt;"&amp;$J1159+7)/COUNTIFS('Weekly Log'!$H:$H,"&lt;&gt;",'Weekly Log'!$A:$A,"&gt;="&amp;$J1159,'Weekly Log'!$A:$A,"&lt;"&amp;$J1159+7),0))</f>
        <v/>
      </c>
      <c r="E1159">
        <f>IF($J1159="","",IFERROR(AVERAGEIFS('Weekly Log'!$F:$F,'Weekly Log'!$A:$A,"&gt;="&amp;$J1159,'Weekly Log'!$A:$A,"&lt;"&amp;$J1159+7),0))</f>
        <v/>
      </c>
      <c r="F1159">
        <f>IF($J1159="","",IFERROR(SUMIFS('Weekly Log'!$F:$F,'Weekly Log'!$A:$A,"&gt;="&amp;$J1159,'Weekly Log'!$A:$A,"&lt;"&amp;$J1159+7)/SUMIFS('Weekly Log'!$E:$E,'Weekly Log'!$A:$A,"&gt;="&amp;$J1159,'Weekly Log'!$A:$A,"&lt;"&amp;$J1159+7),0))</f>
        <v/>
      </c>
      <c r="G1159">
        <f>IF($J1159="","",IFERROR(LOOKUP(2,1/(('Weekly Log'!$A$5:$A$5000&gt;=$J1159)*('Weekly Log'!$A$5:$A$5000&lt;$J1159+7)*('Weekly Log'!$M$5:$M$5000&lt;&gt;"")),'Weekly Log'!$M$5:$M$5000),0))</f>
        <v/>
      </c>
      <c r="J1159">
        <f>IF(COUNT('Weekly Log'!$A$5:$A$5000)=0,"",IF(MIN('Weekly Log'!$A$5:$A$5000)+7*(ROW()-10)&gt;MAX('Weekly Log'!$A$5:$A$5000),"",MIN('Weekly Log'!$A$5:$A$5000)+7*(ROW()-10)))</f>
        <v/>
      </c>
    </row>
    <row r="1160">
      <c r="A1160">
        <f>IF($J1160="","",YEAR($J1160-WEEKDAY($J1160,2)+4)&amp;"-W"&amp;TEXT(WEEKNUM($J1160,21),"00"))</f>
        <v/>
      </c>
      <c r="B1160">
        <f>IF($J1160="","",SUMIFS('Weekly Log'!$C:$C,'Weekly Log'!$A:$A,"&gt;="&amp;$J1160,'Weekly Log'!$A:$A,"&lt;"&amp;$J1160+7))</f>
        <v/>
      </c>
      <c r="C1160">
        <f>IF($J1160="","",IFERROR(COUNTIFS('Weekly Log'!$G:$G,"Y",'Weekly Log'!$A:$A,"&gt;="&amp;$J1160,'Weekly Log'!$A:$A,"&lt;"&amp;$J1160+7)/COUNTIFS('Weekly Log'!$G:$G,"&lt;&gt;",'Weekly Log'!$A:$A,"&gt;="&amp;$J1160,'Weekly Log'!$A:$A,"&lt;"&amp;$J1160+7),0))</f>
        <v/>
      </c>
      <c r="D1160">
        <f>IF($J1160="","",IFERROR(COUNTIFS('Weekly Log'!$H:$H,"Y",'Weekly Log'!$A:$A,"&gt;="&amp;$J1160,'Weekly Log'!$A:$A,"&lt;"&amp;$J1160+7)/COUNTIFS('Weekly Log'!$H:$H,"&lt;&gt;",'Weekly Log'!$A:$A,"&gt;="&amp;$J1160,'Weekly Log'!$A:$A,"&lt;"&amp;$J1160+7),0))</f>
        <v/>
      </c>
      <c r="E1160">
        <f>IF($J1160="","",IFERROR(AVERAGEIFS('Weekly Log'!$F:$F,'Weekly Log'!$A:$A,"&gt;="&amp;$J1160,'Weekly Log'!$A:$A,"&lt;"&amp;$J1160+7),0))</f>
        <v/>
      </c>
      <c r="F1160">
        <f>IF($J1160="","",IFERROR(SUMIFS('Weekly Log'!$F:$F,'Weekly Log'!$A:$A,"&gt;="&amp;$J1160,'Weekly Log'!$A:$A,"&lt;"&amp;$J1160+7)/SUMIFS('Weekly Log'!$E:$E,'Weekly Log'!$A:$A,"&gt;="&amp;$J1160,'Weekly Log'!$A:$A,"&lt;"&amp;$J1160+7),0))</f>
        <v/>
      </c>
      <c r="G1160">
        <f>IF($J1160="","",IFERROR(LOOKUP(2,1/(('Weekly Log'!$A$5:$A$5000&gt;=$J1160)*('Weekly Log'!$A$5:$A$5000&lt;$J1160+7)*('Weekly Log'!$M$5:$M$5000&lt;&gt;"")),'Weekly Log'!$M$5:$M$5000),0))</f>
        <v/>
      </c>
      <c r="J1160">
        <f>IF(COUNT('Weekly Log'!$A$5:$A$5000)=0,"",IF(MIN('Weekly Log'!$A$5:$A$5000)+7*(ROW()-10)&gt;MAX('Weekly Log'!$A$5:$A$5000),"",MIN('Weekly Log'!$A$5:$A$5000)+7*(ROW()-10)))</f>
        <v/>
      </c>
    </row>
    <row r="1161">
      <c r="A1161">
        <f>IF($J1161="","",YEAR($J1161-WEEKDAY($J1161,2)+4)&amp;"-W"&amp;TEXT(WEEKNUM($J1161,21),"00"))</f>
        <v/>
      </c>
      <c r="B1161">
        <f>IF($J1161="","",SUMIFS('Weekly Log'!$C:$C,'Weekly Log'!$A:$A,"&gt;="&amp;$J1161,'Weekly Log'!$A:$A,"&lt;"&amp;$J1161+7))</f>
        <v/>
      </c>
      <c r="C1161">
        <f>IF($J1161="","",IFERROR(COUNTIFS('Weekly Log'!$G:$G,"Y",'Weekly Log'!$A:$A,"&gt;="&amp;$J1161,'Weekly Log'!$A:$A,"&lt;"&amp;$J1161+7)/COUNTIFS('Weekly Log'!$G:$G,"&lt;&gt;",'Weekly Log'!$A:$A,"&gt;="&amp;$J1161,'Weekly Log'!$A:$A,"&lt;"&amp;$J1161+7),0))</f>
        <v/>
      </c>
      <c r="D1161">
        <f>IF($J1161="","",IFERROR(COUNTIFS('Weekly Log'!$H:$H,"Y",'Weekly Log'!$A:$A,"&gt;="&amp;$J1161,'Weekly Log'!$A:$A,"&lt;"&amp;$J1161+7)/COUNTIFS('Weekly Log'!$H:$H,"&lt;&gt;",'Weekly Log'!$A:$A,"&gt;="&amp;$J1161,'Weekly Log'!$A:$A,"&lt;"&amp;$J1161+7),0))</f>
        <v/>
      </c>
      <c r="E1161">
        <f>IF($J1161="","",IFERROR(AVERAGEIFS('Weekly Log'!$F:$F,'Weekly Log'!$A:$A,"&gt;="&amp;$J1161,'Weekly Log'!$A:$A,"&lt;"&amp;$J1161+7),0))</f>
        <v/>
      </c>
      <c r="F1161">
        <f>IF($J1161="","",IFERROR(SUMIFS('Weekly Log'!$F:$F,'Weekly Log'!$A:$A,"&gt;="&amp;$J1161,'Weekly Log'!$A:$A,"&lt;"&amp;$J1161+7)/SUMIFS('Weekly Log'!$E:$E,'Weekly Log'!$A:$A,"&gt;="&amp;$J1161,'Weekly Log'!$A:$A,"&lt;"&amp;$J1161+7),0))</f>
        <v/>
      </c>
      <c r="G1161">
        <f>IF($J1161="","",IFERROR(LOOKUP(2,1/(('Weekly Log'!$A$5:$A$5000&gt;=$J1161)*('Weekly Log'!$A$5:$A$5000&lt;$J1161+7)*('Weekly Log'!$M$5:$M$5000&lt;&gt;"")),'Weekly Log'!$M$5:$M$5000),0))</f>
        <v/>
      </c>
      <c r="J1161">
        <f>IF(COUNT('Weekly Log'!$A$5:$A$5000)=0,"",IF(MIN('Weekly Log'!$A$5:$A$5000)+7*(ROW()-10)&gt;MAX('Weekly Log'!$A$5:$A$5000),"",MIN('Weekly Log'!$A$5:$A$5000)+7*(ROW()-10)))</f>
        <v/>
      </c>
    </row>
    <row r="1162">
      <c r="A1162">
        <f>IF($J1162="","",YEAR($J1162-WEEKDAY($J1162,2)+4)&amp;"-W"&amp;TEXT(WEEKNUM($J1162,21),"00"))</f>
        <v/>
      </c>
      <c r="B1162">
        <f>IF($J1162="","",SUMIFS('Weekly Log'!$C:$C,'Weekly Log'!$A:$A,"&gt;="&amp;$J1162,'Weekly Log'!$A:$A,"&lt;"&amp;$J1162+7))</f>
        <v/>
      </c>
      <c r="C1162">
        <f>IF($J1162="","",IFERROR(COUNTIFS('Weekly Log'!$G:$G,"Y",'Weekly Log'!$A:$A,"&gt;="&amp;$J1162,'Weekly Log'!$A:$A,"&lt;"&amp;$J1162+7)/COUNTIFS('Weekly Log'!$G:$G,"&lt;&gt;",'Weekly Log'!$A:$A,"&gt;="&amp;$J1162,'Weekly Log'!$A:$A,"&lt;"&amp;$J1162+7),0))</f>
        <v/>
      </c>
      <c r="D1162">
        <f>IF($J1162="","",IFERROR(COUNTIFS('Weekly Log'!$H:$H,"Y",'Weekly Log'!$A:$A,"&gt;="&amp;$J1162,'Weekly Log'!$A:$A,"&lt;"&amp;$J1162+7)/COUNTIFS('Weekly Log'!$H:$H,"&lt;&gt;",'Weekly Log'!$A:$A,"&gt;="&amp;$J1162,'Weekly Log'!$A:$A,"&lt;"&amp;$J1162+7),0))</f>
        <v/>
      </c>
      <c r="E1162">
        <f>IF($J1162="","",IFERROR(AVERAGEIFS('Weekly Log'!$F:$F,'Weekly Log'!$A:$A,"&gt;="&amp;$J1162,'Weekly Log'!$A:$A,"&lt;"&amp;$J1162+7),0))</f>
        <v/>
      </c>
      <c r="F1162">
        <f>IF($J1162="","",IFERROR(SUMIFS('Weekly Log'!$F:$F,'Weekly Log'!$A:$A,"&gt;="&amp;$J1162,'Weekly Log'!$A:$A,"&lt;"&amp;$J1162+7)/SUMIFS('Weekly Log'!$E:$E,'Weekly Log'!$A:$A,"&gt;="&amp;$J1162,'Weekly Log'!$A:$A,"&lt;"&amp;$J1162+7),0))</f>
        <v/>
      </c>
      <c r="G1162">
        <f>IF($J1162="","",IFERROR(LOOKUP(2,1/(('Weekly Log'!$A$5:$A$5000&gt;=$J1162)*('Weekly Log'!$A$5:$A$5000&lt;$J1162+7)*('Weekly Log'!$M$5:$M$5000&lt;&gt;"")),'Weekly Log'!$M$5:$M$5000),0))</f>
        <v/>
      </c>
      <c r="J1162">
        <f>IF(COUNT('Weekly Log'!$A$5:$A$5000)=0,"",IF(MIN('Weekly Log'!$A$5:$A$5000)+7*(ROW()-10)&gt;MAX('Weekly Log'!$A$5:$A$5000),"",MIN('Weekly Log'!$A$5:$A$5000)+7*(ROW()-10)))</f>
        <v/>
      </c>
    </row>
    <row r="1163">
      <c r="A1163">
        <f>IF($J1163="","",YEAR($J1163-WEEKDAY($J1163,2)+4)&amp;"-W"&amp;TEXT(WEEKNUM($J1163,21),"00"))</f>
        <v/>
      </c>
      <c r="B1163">
        <f>IF($J1163="","",SUMIFS('Weekly Log'!$C:$C,'Weekly Log'!$A:$A,"&gt;="&amp;$J1163,'Weekly Log'!$A:$A,"&lt;"&amp;$J1163+7))</f>
        <v/>
      </c>
      <c r="C1163">
        <f>IF($J1163="","",IFERROR(COUNTIFS('Weekly Log'!$G:$G,"Y",'Weekly Log'!$A:$A,"&gt;="&amp;$J1163,'Weekly Log'!$A:$A,"&lt;"&amp;$J1163+7)/COUNTIFS('Weekly Log'!$G:$G,"&lt;&gt;",'Weekly Log'!$A:$A,"&gt;="&amp;$J1163,'Weekly Log'!$A:$A,"&lt;"&amp;$J1163+7),0))</f>
        <v/>
      </c>
      <c r="D1163">
        <f>IF($J1163="","",IFERROR(COUNTIFS('Weekly Log'!$H:$H,"Y",'Weekly Log'!$A:$A,"&gt;="&amp;$J1163,'Weekly Log'!$A:$A,"&lt;"&amp;$J1163+7)/COUNTIFS('Weekly Log'!$H:$H,"&lt;&gt;",'Weekly Log'!$A:$A,"&gt;="&amp;$J1163,'Weekly Log'!$A:$A,"&lt;"&amp;$J1163+7),0))</f>
        <v/>
      </c>
      <c r="E1163">
        <f>IF($J1163="","",IFERROR(AVERAGEIFS('Weekly Log'!$F:$F,'Weekly Log'!$A:$A,"&gt;="&amp;$J1163,'Weekly Log'!$A:$A,"&lt;"&amp;$J1163+7),0))</f>
        <v/>
      </c>
      <c r="F1163">
        <f>IF($J1163="","",IFERROR(SUMIFS('Weekly Log'!$F:$F,'Weekly Log'!$A:$A,"&gt;="&amp;$J1163,'Weekly Log'!$A:$A,"&lt;"&amp;$J1163+7)/SUMIFS('Weekly Log'!$E:$E,'Weekly Log'!$A:$A,"&gt;="&amp;$J1163,'Weekly Log'!$A:$A,"&lt;"&amp;$J1163+7),0))</f>
        <v/>
      </c>
      <c r="G1163">
        <f>IF($J1163="","",IFERROR(LOOKUP(2,1/(('Weekly Log'!$A$5:$A$5000&gt;=$J1163)*('Weekly Log'!$A$5:$A$5000&lt;$J1163+7)*('Weekly Log'!$M$5:$M$5000&lt;&gt;"")),'Weekly Log'!$M$5:$M$5000),0))</f>
        <v/>
      </c>
      <c r="J1163">
        <f>IF(COUNT('Weekly Log'!$A$5:$A$5000)=0,"",IF(MIN('Weekly Log'!$A$5:$A$5000)+7*(ROW()-10)&gt;MAX('Weekly Log'!$A$5:$A$5000),"",MIN('Weekly Log'!$A$5:$A$5000)+7*(ROW()-10)))</f>
        <v/>
      </c>
    </row>
    <row r="1164">
      <c r="A1164">
        <f>IF($J1164="","",YEAR($J1164-WEEKDAY($J1164,2)+4)&amp;"-W"&amp;TEXT(WEEKNUM($J1164,21),"00"))</f>
        <v/>
      </c>
      <c r="B1164">
        <f>IF($J1164="","",SUMIFS('Weekly Log'!$C:$C,'Weekly Log'!$A:$A,"&gt;="&amp;$J1164,'Weekly Log'!$A:$A,"&lt;"&amp;$J1164+7))</f>
        <v/>
      </c>
      <c r="C1164">
        <f>IF($J1164="","",IFERROR(COUNTIFS('Weekly Log'!$G:$G,"Y",'Weekly Log'!$A:$A,"&gt;="&amp;$J1164,'Weekly Log'!$A:$A,"&lt;"&amp;$J1164+7)/COUNTIFS('Weekly Log'!$G:$G,"&lt;&gt;",'Weekly Log'!$A:$A,"&gt;="&amp;$J1164,'Weekly Log'!$A:$A,"&lt;"&amp;$J1164+7),0))</f>
        <v/>
      </c>
      <c r="D1164">
        <f>IF($J1164="","",IFERROR(COUNTIFS('Weekly Log'!$H:$H,"Y",'Weekly Log'!$A:$A,"&gt;="&amp;$J1164,'Weekly Log'!$A:$A,"&lt;"&amp;$J1164+7)/COUNTIFS('Weekly Log'!$H:$H,"&lt;&gt;",'Weekly Log'!$A:$A,"&gt;="&amp;$J1164,'Weekly Log'!$A:$A,"&lt;"&amp;$J1164+7),0))</f>
        <v/>
      </c>
      <c r="E1164">
        <f>IF($J1164="","",IFERROR(AVERAGEIFS('Weekly Log'!$F:$F,'Weekly Log'!$A:$A,"&gt;="&amp;$J1164,'Weekly Log'!$A:$A,"&lt;"&amp;$J1164+7),0))</f>
        <v/>
      </c>
      <c r="F1164">
        <f>IF($J1164="","",IFERROR(SUMIFS('Weekly Log'!$F:$F,'Weekly Log'!$A:$A,"&gt;="&amp;$J1164,'Weekly Log'!$A:$A,"&lt;"&amp;$J1164+7)/SUMIFS('Weekly Log'!$E:$E,'Weekly Log'!$A:$A,"&gt;="&amp;$J1164,'Weekly Log'!$A:$A,"&lt;"&amp;$J1164+7),0))</f>
        <v/>
      </c>
      <c r="G1164">
        <f>IF($J1164="","",IFERROR(LOOKUP(2,1/(('Weekly Log'!$A$5:$A$5000&gt;=$J1164)*('Weekly Log'!$A$5:$A$5000&lt;$J1164+7)*('Weekly Log'!$M$5:$M$5000&lt;&gt;"")),'Weekly Log'!$M$5:$M$5000),0))</f>
        <v/>
      </c>
      <c r="J1164">
        <f>IF(COUNT('Weekly Log'!$A$5:$A$5000)=0,"",IF(MIN('Weekly Log'!$A$5:$A$5000)+7*(ROW()-10)&gt;MAX('Weekly Log'!$A$5:$A$5000),"",MIN('Weekly Log'!$A$5:$A$5000)+7*(ROW()-10)))</f>
        <v/>
      </c>
    </row>
    <row r="1165">
      <c r="A1165">
        <f>IF($J1165="","",YEAR($J1165-WEEKDAY($J1165,2)+4)&amp;"-W"&amp;TEXT(WEEKNUM($J1165,21),"00"))</f>
        <v/>
      </c>
      <c r="B1165">
        <f>IF($J1165="","",SUMIFS('Weekly Log'!$C:$C,'Weekly Log'!$A:$A,"&gt;="&amp;$J1165,'Weekly Log'!$A:$A,"&lt;"&amp;$J1165+7))</f>
        <v/>
      </c>
      <c r="C1165">
        <f>IF($J1165="","",IFERROR(COUNTIFS('Weekly Log'!$G:$G,"Y",'Weekly Log'!$A:$A,"&gt;="&amp;$J1165,'Weekly Log'!$A:$A,"&lt;"&amp;$J1165+7)/COUNTIFS('Weekly Log'!$G:$G,"&lt;&gt;",'Weekly Log'!$A:$A,"&gt;="&amp;$J1165,'Weekly Log'!$A:$A,"&lt;"&amp;$J1165+7),0))</f>
        <v/>
      </c>
      <c r="D1165">
        <f>IF($J1165="","",IFERROR(COUNTIFS('Weekly Log'!$H:$H,"Y",'Weekly Log'!$A:$A,"&gt;="&amp;$J1165,'Weekly Log'!$A:$A,"&lt;"&amp;$J1165+7)/COUNTIFS('Weekly Log'!$H:$H,"&lt;&gt;",'Weekly Log'!$A:$A,"&gt;="&amp;$J1165,'Weekly Log'!$A:$A,"&lt;"&amp;$J1165+7),0))</f>
        <v/>
      </c>
      <c r="E1165">
        <f>IF($J1165="","",IFERROR(AVERAGEIFS('Weekly Log'!$F:$F,'Weekly Log'!$A:$A,"&gt;="&amp;$J1165,'Weekly Log'!$A:$A,"&lt;"&amp;$J1165+7),0))</f>
        <v/>
      </c>
      <c r="F1165">
        <f>IF($J1165="","",IFERROR(SUMIFS('Weekly Log'!$F:$F,'Weekly Log'!$A:$A,"&gt;="&amp;$J1165,'Weekly Log'!$A:$A,"&lt;"&amp;$J1165+7)/SUMIFS('Weekly Log'!$E:$E,'Weekly Log'!$A:$A,"&gt;="&amp;$J1165,'Weekly Log'!$A:$A,"&lt;"&amp;$J1165+7),0))</f>
        <v/>
      </c>
      <c r="G1165">
        <f>IF($J1165="","",IFERROR(LOOKUP(2,1/(('Weekly Log'!$A$5:$A$5000&gt;=$J1165)*('Weekly Log'!$A$5:$A$5000&lt;$J1165+7)*('Weekly Log'!$M$5:$M$5000&lt;&gt;"")),'Weekly Log'!$M$5:$M$5000),0))</f>
        <v/>
      </c>
      <c r="J1165">
        <f>IF(COUNT('Weekly Log'!$A$5:$A$5000)=0,"",IF(MIN('Weekly Log'!$A$5:$A$5000)+7*(ROW()-10)&gt;MAX('Weekly Log'!$A$5:$A$5000),"",MIN('Weekly Log'!$A$5:$A$5000)+7*(ROW()-10)))</f>
        <v/>
      </c>
    </row>
    <row r="1166">
      <c r="A1166">
        <f>IF($J1166="","",YEAR($J1166-WEEKDAY($J1166,2)+4)&amp;"-W"&amp;TEXT(WEEKNUM($J1166,21),"00"))</f>
        <v/>
      </c>
      <c r="B1166">
        <f>IF($J1166="","",SUMIFS('Weekly Log'!$C:$C,'Weekly Log'!$A:$A,"&gt;="&amp;$J1166,'Weekly Log'!$A:$A,"&lt;"&amp;$J1166+7))</f>
        <v/>
      </c>
      <c r="C1166">
        <f>IF($J1166="","",IFERROR(COUNTIFS('Weekly Log'!$G:$G,"Y",'Weekly Log'!$A:$A,"&gt;="&amp;$J1166,'Weekly Log'!$A:$A,"&lt;"&amp;$J1166+7)/COUNTIFS('Weekly Log'!$G:$G,"&lt;&gt;",'Weekly Log'!$A:$A,"&gt;="&amp;$J1166,'Weekly Log'!$A:$A,"&lt;"&amp;$J1166+7),0))</f>
        <v/>
      </c>
      <c r="D1166">
        <f>IF($J1166="","",IFERROR(COUNTIFS('Weekly Log'!$H:$H,"Y",'Weekly Log'!$A:$A,"&gt;="&amp;$J1166,'Weekly Log'!$A:$A,"&lt;"&amp;$J1166+7)/COUNTIFS('Weekly Log'!$H:$H,"&lt;&gt;",'Weekly Log'!$A:$A,"&gt;="&amp;$J1166,'Weekly Log'!$A:$A,"&lt;"&amp;$J1166+7),0))</f>
        <v/>
      </c>
      <c r="E1166">
        <f>IF($J1166="","",IFERROR(AVERAGEIFS('Weekly Log'!$F:$F,'Weekly Log'!$A:$A,"&gt;="&amp;$J1166,'Weekly Log'!$A:$A,"&lt;"&amp;$J1166+7),0))</f>
        <v/>
      </c>
      <c r="F1166">
        <f>IF($J1166="","",IFERROR(SUMIFS('Weekly Log'!$F:$F,'Weekly Log'!$A:$A,"&gt;="&amp;$J1166,'Weekly Log'!$A:$A,"&lt;"&amp;$J1166+7)/SUMIFS('Weekly Log'!$E:$E,'Weekly Log'!$A:$A,"&gt;="&amp;$J1166,'Weekly Log'!$A:$A,"&lt;"&amp;$J1166+7),0))</f>
        <v/>
      </c>
      <c r="G1166">
        <f>IF($J1166="","",IFERROR(LOOKUP(2,1/(('Weekly Log'!$A$5:$A$5000&gt;=$J1166)*('Weekly Log'!$A$5:$A$5000&lt;$J1166+7)*('Weekly Log'!$M$5:$M$5000&lt;&gt;"")),'Weekly Log'!$M$5:$M$5000),0))</f>
        <v/>
      </c>
      <c r="J1166">
        <f>IF(COUNT('Weekly Log'!$A$5:$A$5000)=0,"",IF(MIN('Weekly Log'!$A$5:$A$5000)+7*(ROW()-10)&gt;MAX('Weekly Log'!$A$5:$A$5000),"",MIN('Weekly Log'!$A$5:$A$5000)+7*(ROW()-10)))</f>
        <v/>
      </c>
    </row>
    <row r="1167">
      <c r="A1167">
        <f>IF($J1167="","",YEAR($J1167-WEEKDAY($J1167,2)+4)&amp;"-W"&amp;TEXT(WEEKNUM($J1167,21),"00"))</f>
        <v/>
      </c>
      <c r="B1167">
        <f>IF($J1167="","",SUMIFS('Weekly Log'!$C:$C,'Weekly Log'!$A:$A,"&gt;="&amp;$J1167,'Weekly Log'!$A:$A,"&lt;"&amp;$J1167+7))</f>
        <v/>
      </c>
      <c r="C1167">
        <f>IF($J1167="","",IFERROR(COUNTIFS('Weekly Log'!$G:$G,"Y",'Weekly Log'!$A:$A,"&gt;="&amp;$J1167,'Weekly Log'!$A:$A,"&lt;"&amp;$J1167+7)/COUNTIFS('Weekly Log'!$G:$G,"&lt;&gt;",'Weekly Log'!$A:$A,"&gt;="&amp;$J1167,'Weekly Log'!$A:$A,"&lt;"&amp;$J1167+7),0))</f>
        <v/>
      </c>
      <c r="D1167">
        <f>IF($J1167="","",IFERROR(COUNTIFS('Weekly Log'!$H:$H,"Y",'Weekly Log'!$A:$A,"&gt;="&amp;$J1167,'Weekly Log'!$A:$A,"&lt;"&amp;$J1167+7)/COUNTIFS('Weekly Log'!$H:$H,"&lt;&gt;",'Weekly Log'!$A:$A,"&gt;="&amp;$J1167,'Weekly Log'!$A:$A,"&lt;"&amp;$J1167+7),0))</f>
        <v/>
      </c>
      <c r="E1167">
        <f>IF($J1167="","",IFERROR(AVERAGEIFS('Weekly Log'!$F:$F,'Weekly Log'!$A:$A,"&gt;="&amp;$J1167,'Weekly Log'!$A:$A,"&lt;"&amp;$J1167+7),0))</f>
        <v/>
      </c>
      <c r="F1167">
        <f>IF($J1167="","",IFERROR(SUMIFS('Weekly Log'!$F:$F,'Weekly Log'!$A:$A,"&gt;="&amp;$J1167,'Weekly Log'!$A:$A,"&lt;"&amp;$J1167+7)/SUMIFS('Weekly Log'!$E:$E,'Weekly Log'!$A:$A,"&gt;="&amp;$J1167,'Weekly Log'!$A:$A,"&lt;"&amp;$J1167+7),0))</f>
        <v/>
      </c>
      <c r="G1167">
        <f>IF($J1167="","",IFERROR(LOOKUP(2,1/(('Weekly Log'!$A$5:$A$5000&gt;=$J1167)*('Weekly Log'!$A$5:$A$5000&lt;$J1167+7)*('Weekly Log'!$M$5:$M$5000&lt;&gt;"")),'Weekly Log'!$M$5:$M$5000),0))</f>
        <v/>
      </c>
      <c r="J1167">
        <f>IF(COUNT('Weekly Log'!$A$5:$A$5000)=0,"",IF(MIN('Weekly Log'!$A$5:$A$5000)+7*(ROW()-10)&gt;MAX('Weekly Log'!$A$5:$A$5000),"",MIN('Weekly Log'!$A$5:$A$5000)+7*(ROW()-10)))</f>
        <v/>
      </c>
    </row>
    <row r="1168">
      <c r="A1168">
        <f>IF($J1168="","",YEAR($J1168-WEEKDAY($J1168,2)+4)&amp;"-W"&amp;TEXT(WEEKNUM($J1168,21),"00"))</f>
        <v/>
      </c>
      <c r="B1168">
        <f>IF($J1168="","",SUMIFS('Weekly Log'!$C:$C,'Weekly Log'!$A:$A,"&gt;="&amp;$J1168,'Weekly Log'!$A:$A,"&lt;"&amp;$J1168+7))</f>
        <v/>
      </c>
      <c r="C1168">
        <f>IF($J1168="","",IFERROR(COUNTIFS('Weekly Log'!$G:$G,"Y",'Weekly Log'!$A:$A,"&gt;="&amp;$J1168,'Weekly Log'!$A:$A,"&lt;"&amp;$J1168+7)/COUNTIFS('Weekly Log'!$G:$G,"&lt;&gt;",'Weekly Log'!$A:$A,"&gt;="&amp;$J1168,'Weekly Log'!$A:$A,"&lt;"&amp;$J1168+7),0))</f>
        <v/>
      </c>
      <c r="D1168">
        <f>IF($J1168="","",IFERROR(COUNTIFS('Weekly Log'!$H:$H,"Y",'Weekly Log'!$A:$A,"&gt;="&amp;$J1168,'Weekly Log'!$A:$A,"&lt;"&amp;$J1168+7)/COUNTIFS('Weekly Log'!$H:$H,"&lt;&gt;",'Weekly Log'!$A:$A,"&gt;="&amp;$J1168,'Weekly Log'!$A:$A,"&lt;"&amp;$J1168+7),0))</f>
        <v/>
      </c>
      <c r="E1168">
        <f>IF($J1168="","",IFERROR(AVERAGEIFS('Weekly Log'!$F:$F,'Weekly Log'!$A:$A,"&gt;="&amp;$J1168,'Weekly Log'!$A:$A,"&lt;"&amp;$J1168+7),0))</f>
        <v/>
      </c>
      <c r="F1168">
        <f>IF($J1168="","",IFERROR(SUMIFS('Weekly Log'!$F:$F,'Weekly Log'!$A:$A,"&gt;="&amp;$J1168,'Weekly Log'!$A:$A,"&lt;"&amp;$J1168+7)/SUMIFS('Weekly Log'!$E:$E,'Weekly Log'!$A:$A,"&gt;="&amp;$J1168,'Weekly Log'!$A:$A,"&lt;"&amp;$J1168+7),0))</f>
        <v/>
      </c>
      <c r="G1168">
        <f>IF($J1168="","",IFERROR(LOOKUP(2,1/(('Weekly Log'!$A$5:$A$5000&gt;=$J1168)*('Weekly Log'!$A$5:$A$5000&lt;$J1168+7)*('Weekly Log'!$M$5:$M$5000&lt;&gt;"")),'Weekly Log'!$M$5:$M$5000),0))</f>
        <v/>
      </c>
      <c r="J1168">
        <f>IF(COUNT('Weekly Log'!$A$5:$A$5000)=0,"",IF(MIN('Weekly Log'!$A$5:$A$5000)+7*(ROW()-10)&gt;MAX('Weekly Log'!$A$5:$A$5000),"",MIN('Weekly Log'!$A$5:$A$5000)+7*(ROW()-10)))</f>
        <v/>
      </c>
    </row>
    <row r="1169">
      <c r="A1169">
        <f>IF($J1169="","",YEAR($J1169-WEEKDAY($J1169,2)+4)&amp;"-W"&amp;TEXT(WEEKNUM($J1169,21),"00"))</f>
        <v/>
      </c>
      <c r="B1169">
        <f>IF($J1169="","",SUMIFS('Weekly Log'!$C:$C,'Weekly Log'!$A:$A,"&gt;="&amp;$J1169,'Weekly Log'!$A:$A,"&lt;"&amp;$J1169+7))</f>
        <v/>
      </c>
      <c r="C1169">
        <f>IF($J1169="","",IFERROR(COUNTIFS('Weekly Log'!$G:$G,"Y",'Weekly Log'!$A:$A,"&gt;="&amp;$J1169,'Weekly Log'!$A:$A,"&lt;"&amp;$J1169+7)/COUNTIFS('Weekly Log'!$G:$G,"&lt;&gt;",'Weekly Log'!$A:$A,"&gt;="&amp;$J1169,'Weekly Log'!$A:$A,"&lt;"&amp;$J1169+7),0))</f>
        <v/>
      </c>
      <c r="D1169">
        <f>IF($J1169="","",IFERROR(COUNTIFS('Weekly Log'!$H:$H,"Y",'Weekly Log'!$A:$A,"&gt;="&amp;$J1169,'Weekly Log'!$A:$A,"&lt;"&amp;$J1169+7)/COUNTIFS('Weekly Log'!$H:$H,"&lt;&gt;",'Weekly Log'!$A:$A,"&gt;="&amp;$J1169,'Weekly Log'!$A:$A,"&lt;"&amp;$J1169+7),0))</f>
        <v/>
      </c>
      <c r="E1169">
        <f>IF($J1169="","",IFERROR(AVERAGEIFS('Weekly Log'!$F:$F,'Weekly Log'!$A:$A,"&gt;="&amp;$J1169,'Weekly Log'!$A:$A,"&lt;"&amp;$J1169+7),0))</f>
        <v/>
      </c>
      <c r="F1169">
        <f>IF($J1169="","",IFERROR(SUMIFS('Weekly Log'!$F:$F,'Weekly Log'!$A:$A,"&gt;="&amp;$J1169,'Weekly Log'!$A:$A,"&lt;"&amp;$J1169+7)/SUMIFS('Weekly Log'!$E:$E,'Weekly Log'!$A:$A,"&gt;="&amp;$J1169,'Weekly Log'!$A:$A,"&lt;"&amp;$J1169+7),0))</f>
        <v/>
      </c>
      <c r="G1169">
        <f>IF($J1169="","",IFERROR(LOOKUP(2,1/(('Weekly Log'!$A$5:$A$5000&gt;=$J1169)*('Weekly Log'!$A$5:$A$5000&lt;$J1169+7)*('Weekly Log'!$M$5:$M$5000&lt;&gt;"")),'Weekly Log'!$M$5:$M$5000),0))</f>
        <v/>
      </c>
      <c r="J1169">
        <f>IF(COUNT('Weekly Log'!$A$5:$A$5000)=0,"",IF(MIN('Weekly Log'!$A$5:$A$5000)+7*(ROW()-10)&gt;MAX('Weekly Log'!$A$5:$A$5000),"",MIN('Weekly Log'!$A$5:$A$5000)+7*(ROW()-10)))</f>
        <v/>
      </c>
    </row>
    <row r="1170">
      <c r="A1170">
        <f>IF($J1170="","",YEAR($J1170-WEEKDAY($J1170,2)+4)&amp;"-W"&amp;TEXT(WEEKNUM($J1170,21),"00"))</f>
        <v/>
      </c>
      <c r="B1170">
        <f>IF($J1170="","",SUMIFS('Weekly Log'!$C:$C,'Weekly Log'!$A:$A,"&gt;="&amp;$J1170,'Weekly Log'!$A:$A,"&lt;"&amp;$J1170+7))</f>
        <v/>
      </c>
      <c r="C1170">
        <f>IF($J1170="","",IFERROR(COUNTIFS('Weekly Log'!$G:$G,"Y",'Weekly Log'!$A:$A,"&gt;="&amp;$J1170,'Weekly Log'!$A:$A,"&lt;"&amp;$J1170+7)/COUNTIFS('Weekly Log'!$G:$G,"&lt;&gt;",'Weekly Log'!$A:$A,"&gt;="&amp;$J1170,'Weekly Log'!$A:$A,"&lt;"&amp;$J1170+7),0))</f>
        <v/>
      </c>
      <c r="D1170">
        <f>IF($J1170="","",IFERROR(COUNTIFS('Weekly Log'!$H:$H,"Y",'Weekly Log'!$A:$A,"&gt;="&amp;$J1170,'Weekly Log'!$A:$A,"&lt;"&amp;$J1170+7)/COUNTIFS('Weekly Log'!$H:$H,"&lt;&gt;",'Weekly Log'!$A:$A,"&gt;="&amp;$J1170,'Weekly Log'!$A:$A,"&lt;"&amp;$J1170+7),0))</f>
        <v/>
      </c>
      <c r="E1170">
        <f>IF($J1170="","",IFERROR(AVERAGEIFS('Weekly Log'!$F:$F,'Weekly Log'!$A:$A,"&gt;="&amp;$J1170,'Weekly Log'!$A:$A,"&lt;"&amp;$J1170+7),0))</f>
        <v/>
      </c>
      <c r="F1170">
        <f>IF($J1170="","",IFERROR(SUMIFS('Weekly Log'!$F:$F,'Weekly Log'!$A:$A,"&gt;="&amp;$J1170,'Weekly Log'!$A:$A,"&lt;"&amp;$J1170+7)/SUMIFS('Weekly Log'!$E:$E,'Weekly Log'!$A:$A,"&gt;="&amp;$J1170,'Weekly Log'!$A:$A,"&lt;"&amp;$J1170+7),0))</f>
        <v/>
      </c>
      <c r="G1170">
        <f>IF($J1170="","",IFERROR(LOOKUP(2,1/(('Weekly Log'!$A$5:$A$5000&gt;=$J1170)*('Weekly Log'!$A$5:$A$5000&lt;$J1170+7)*('Weekly Log'!$M$5:$M$5000&lt;&gt;"")),'Weekly Log'!$M$5:$M$5000),0))</f>
        <v/>
      </c>
      <c r="J1170">
        <f>IF(COUNT('Weekly Log'!$A$5:$A$5000)=0,"",IF(MIN('Weekly Log'!$A$5:$A$5000)+7*(ROW()-10)&gt;MAX('Weekly Log'!$A$5:$A$5000),"",MIN('Weekly Log'!$A$5:$A$5000)+7*(ROW()-10)))</f>
        <v/>
      </c>
    </row>
    <row r="1171">
      <c r="A1171">
        <f>IF($J1171="","",YEAR($J1171-WEEKDAY($J1171,2)+4)&amp;"-W"&amp;TEXT(WEEKNUM($J1171,21),"00"))</f>
        <v/>
      </c>
      <c r="B1171">
        <f>IF($J1171="","",SUMIFS('Weekly Log'!$C:$C,'Weekly Log'!$A:$A,"&gt;="&amp;$J1171,'Weekly Log'!$A:$A,"&lt;"&amp;$J1171+7))</f>
        <v/>
      </c>
      <c r="C1171">
        <f>IF($J1171="","",IFERROR(COUNTIFS('Weekly Log'!$G:$G,"Y",'Weekly Log'!$A:$A,"&gt;="&amp;$J1171,'Weekly Log'!$A:$A,"&lt;"&amp;$J1171+7)/COUNTIFS('Weekly Log'!$G:$G,"&lt;&gt;",'Weekly Log'!$A:$A,"&gt;="&amp;$J1171,'Weekly Log'!$A:$A,"&lt;"&amp;$J1171+7),0))</f>
        <v/>
      </c>
      <c r="D1171">
        <f>IF($J1171="","",IFERROR(COUNTIFS('Weekly Log'!$H:$H,"Y",'Weekly Log'!$A:$A,"&gt;="&amp;$J1171,'Weekly Log'!$A:$A,"&lt;"&amp;$J1171+7)/COUNTIFS('Weekly Log'!$H:$H,"&lt;&gt;",'Weekly Log'!$A:$A,"&gt;="&amp;$J1171,'Weekly Log'!$A:$A,"&lt;"&amp;$J1171+7),0))</f>
        <v/>
      </c>
      <c r="E1171">
        <f>IF($J1171="","",IFERROR(AVERAGEIFS('Weekly Log'!$F:$F,'Weekly Log'!$A:$A,"&gt;="&amp;$J1171,'Weekly Log'!$A:$A,"&lt;"&amp;$J1171+7),0))</f>
        <v/>
      </c>
      <c r="F1171">
        <f>IF($J1171="","",IFERROR(SUMIFS('Weekly Log'!$F:$F,'Weekly Log'!$A:$A,"&gt;="&amp;$J1171,'Weekly Log'!$A:$A,"&lt;"&amp;$J1171+7)/SUMIFS('Weekly Log'!$E:$E,'Weekly Log'!$A:$A,"&gt;="&amp;$J1171,'Weekly Log'!$A:$A,"&lt;"&amp;$J1171+7),0))</f>
        <v/>
      </c>
      <c r="G1171">
        <f>IF($J1171="","",IFERROR(LOOKUP(2,1/(('Weekly Log'!$A$5:$A$5000&gt;=$J1171)*('Weekly Log'!$A$5:$A$5000&lt;$J1171+7)*('Weekly Log'!$M$5:$M$5000&lt;&gt;"")),'Weekly Log'!$M$5:$M$5000),0))</f>
        <v/>
      </c>
      <c r="J1171">
        <f>IF(COUNT('Weekly Log'!$A$5:$A$5000)=0,"",IF(MIN('Weekly Log'!$A$5:$A$5000)+7*(ROW()-10)&gt;MAX('Weekly Log'!$A$5:$A$5000),"",MIN('Weekly Log'!$A$5:$A$5000)+7*(ROW()-10)))</f>
        <v/>
      </c>
    </row>
    <row r="1172">
      <c r="A1172">
        <f>IF($J1172="","",YEAR($J1172-WEEKDAY($J1172,2)+4)&amp;"-W"&amp;TEXT(WEEKNUM($J1172,21),"00"))</f>
        <v/>
      </c>
      <c r="B1172">
        <f>IF($J1172="","",SUMIFS('Weekly Log'!$C:$C,'Weekly Log'!$A:$A,"&gt;="&amp;$J1172,'Weekly Log'!$A:$A,"&lt;"&amp;$J1172+7))</f>
        <v/>
      </c>
      <c r="C1172">
        <f>IF($J1172="","",IFERROR(COUNTIFS('Weekly Log'!$G:$G,"Y",'Weekly Log'!$A:$A,"&gt;="&amp;$J1172,'Weekly Log'!$A:$A,"&lt;"&amp;$J1172+7)/COUNTIFS('Weekly Log'!$G:$G,"&lt;&gt;",'Weekly Log'!$A:$A,"&gt;="&amp;$J1172,'Weekly Log'!$A:$A,"&lt;"&amp;$J1172+7),0))</f>
        <v/>
      </c>
      <c r="D1172">
        <f>IF($J1172="","",IFERROR(COUNTIFS('Weekly Log'!$H:$H,"Y",'Weekly Log'!$A:$A,"&gt;="&amp;$J1172,'Weekly Log'!$A:$A,"&lt;"&amp;$J1172+7)/COUNTIFS('Weekly Log'!$H:$H,"&lt;&gt;",'Weekly Log'!$A:$A,"&gt;="&amp;$J1172,'Weekly Log'!$A:$A,"&lt;"&amp;$J1172+7),0))</f>
        <v/>
      </c>
      <c r="E1172">
        <f>IF($J1172="","",IFERROR(AVERAGEIFS('Weekly Log'!$F:$F,'Weekly Log'!$A:$A,"&gt;="&amp;$J1172,'Weekly Log'!$A:$A,"&lt;"&amp;$J1172+7),0))</f>
        <v/>
      </c>
      <c r="F1172">
        <f>IF($J1172="","",IFERROR(SUMIFS('Weekly Log'!$F:$F,'Weekly Log'!$A:$A,"&gt;="&amp;$J1172,'Weekly Log'!$A:$A,"&lt;"&amp;$J1172+7)/SUMIFS('Weekly Log'!$E:$E,'Weekly Log'!$A:$A,"&gt;="&amp;$J1172,'Weekly Log'!$A:$A,"&lt;"&amp;$J1172+7),0))</f>
        <v/>
      </c>
      <c r="G1172">
        <f>IF($J1172="","",IFERROR(LOOKUP(2,1/(('Weekly Log'!$A$5:$A$5000&gt;=$J1172)*('Weekly Log'!$A$5:$A$5000&lt;$J1172+7)*('Weekly Log'!$M$5:$M$5000&lt;&gt;"")),'Weekly Log'!$M$5:$M$5000),0))</f>
        <v/>
      </c>
      <c r="J1172">
        <f>IF(COUNT('Weekly Log'!$A$5:$A$5000)=0,"",IF(MIN('Weekly Log'!$A$5:$A$5000)+7*(ROW()-10)&gt;MAX('Weekly Log'!$A$5:$A$5000),"",MIN('Weekly Log'!$A$5:$A$5000)+7*(ROW()-10)))</f>
        <v/>
      </c>
    </row>
    <row r="1173">
      <c r="A1173">
        <f>IF($J1173="","",YEAR($J1173-WEEKDAY($J1173,2)+4)&amp;"-W"&amp;TEXT(WEEKNUM($J1173,21),"00"))</f>
        <v/>
      </c>
      <c r="B1173">
        <f>IF($J1173="","",SUMIFS('Weekly Log'!$C:$C,'Weekly Log'!$A:$A,"&gt;="&amp;$J1173,'Weekly Log'!$A:$A,"&lt;"&amp;$J1173+7))</f>
        <v/>
      </c>
      <c r="C1173">
        <f>IF($J1173="","",IFERROR(COUNTIFS('Weekly Log'!$G:$G,"Y",'Weekly Log'!$A:$A,"&gt;="&amp;$J1173,'Weekly Log'!$A:$A,"&lt;"&amp;$J1173+7)/COUNTIFS('Weekly Log'!$G:$G,"&lt;&gt;",'Weekly Log'!$A:$A,"&gt;="&amp;$J1173,'Weekly Log'!$A:$A,"&lt;"&amp;$J1173+7),0))</f>
        <v/>
      </c>
      <c r="D1173">
        <f>IF($J1173="","",IFERROR(COUNTIFS('Weekly Log'!$H:$H,"Y",'Weekly Log'!$A:$A,"&gt;="&amp;$J1173,'Weekly Log'!$A:$A,"&lt;"&amp;$J1173+7)/COUNTIFS('Weekly Log'!$H:$H,"&lt;&gt;",'Weekly Log'!$A:$A,"&gt;="&amp;$J1173,'Weekly Log'!$A:$A,"&lt;"&amp;$J1173+7),0))</f>
        <v/>
      </c>
      <c r="E1173">
        <f>IF($J1173="","",IFERROR(AVERAGEIFS('Weekly Log'!$F:$F,'Weekly Log'!$A:$A,"&gt;="&amp;$J1173,'Weekly Log'!$A:$A,"&lt;"&amp;$J1173+7),0))</f>
        <v/>
      </c>
      <c r="F1173">
        <f>IF($J1173="","",IFERROR(SUMIFS('Weekly Log'!$F:$F,'Weekly Log'!$A:$A,"&gt;="&amp;$J1173,'Weekly Log'!$A:$A,"&lt;"&amp;$J1173+7)/SUMIFS('Weekly Log'!$E:$E,'Weekly Log'!$A:$A,"&gt;="&amp;$J1173,'Weekly Log'!$A:$A,"&lt;"&amp;$J1173+7),0))</f>
        <v/>
      </c>
      <c r="G1173">
        <f>IF($J1173="","",IFERROR(LOOKUP(2,1/(('Weekly Log'!$A$5:$A$5000&gt;=$J1173)*('Weekly Log'!$A$5:$A$5000&lt;$J1173+7)*('Weekly Log'!$M$5:$M$5000&lt;&gt;"")),'Weekly Log'!$M$5:$M$5000),0))</f>
        <v/>
      </c>
      <c r="J1173">
        <f>IF(COUNT('Weekly Log'!$A$5:$A$5000)=0,"",IF(MIN('Weekly Log'!$A$5:$A$5000)+7*(ROW()-10)&gt;MAX('Weekly Log'!$A$5:$A$5000),"",MIN('Weekly Log'!$A$5:$A$5000)+7*(ROW()-10)))</f>
        <v/>
      </c>
    </row>
    <row r="1174">
      <c r="A1174">
        <f>IF($J1174="","",YEAR($J1174-WEEKDAY($J1174,2)+4)&amp;"-W"&amp;TEXT(WEEKNUM($J1174,21),"00"))</f>
        <v/>
      </c>
      <c r="B1174">
        <f>IF($J1174="","",SUMIFS('Weekly Log'!$C:$C,'Weekly Log'!$A:$A,"&gt;="&amp;$J1174,'Weekly Log'!$A:$A,"&lt;"&amp;$J1174+7))</f>
        <v/>
      </c>
      <c r="C1174">
        <f>IF($J1174="","",IFERROR(COUNTIFS('Weekly Log'!$G:$G,"Y",'Weekly Log'!$A:$A,"&gt;="&amp;$J1174,'Weekly Log'!$A:$A,"&lt;"&amp;$J1174+7)/COUNTIFS('Weekly Log'!$G:$G,"&lt;&gt;",'Weekly Log'!$A:$A,"&gt;="&amp;$J1174,'Weekly Log'!$A:$A,"&lt;"&amp;$J1174+7),0))</f>
        <v/>
      </c>
      <c r="D1174">
        <f>IF($J1174="","",IFERROR(COUNTIFS('Weekly Log'!$H:$H,"Y",'Weekly Log'!$A:$A,"&gt;="&amp;$J1174,'Weekly Log'!$A:$A,"&lt;"&amp;$J1174+7)/COUNTIFS('Weekly Log'!$H:$H,"&lt;&gt;",'Weekly Log'!$A:$A,"&gt;="&amp;$J1174,'Weekly Log'!$A:$A,"&lt;"&amp;$J1174+7),0))</f>
        <v/>
      </c>
      <c r="E1174">
        <f>IF($J1174="","",IFERROR(AVERAGEIFS('Weekly Log'!$F:$F,'Weekly Log'!$A:$A,"&gt;="&amp;$J1174,'Weekly Log'!$A:$A,"&lt;"&amp;$J1174+7),0))</f>
        <v/>
      </c>
      <c r="F1174">
        <f>IF($J1174="","",IFERROR(SUMIFS('Weekly Log'!$F:$F,'Weekly Log'!$A:$A,"&gt;="&amp;$J1174,'Weekly Log'!$A:$A,"&lt;"&amp;$J1174+7)/SUMIFS('Weekly Log'!$E:$E,'Weekly Log'!$A:$A,"&gt;="&amp;$J1174,'Weekly Log'!$A:$A,"&lt;"&amp;$J1174+7),0))</f>
        <v/>
      </c>
      <c r="G1174">
        <f>IF($J1174="","",IFERROR(LOOKUP(2,1/(('Weekly Log'!$A$5:$A$5000&gt;=$J1174)*('Weekly Log'!$A$5:$A$5000&lt;$J1174+7)*('Weekly Log'!$M$5:$M$5000&lt;&gt;"")),'Weekly Log'!$M$5:$M$5000),0))</f>
        <v/>
      </c>
      <c r="J1174">
        <f>IF(COUNT('Weekly Log'!$A$5:$A$5000)=0,"",IF(MIN('Weekly Log'!$A$5:$A$5000)+7*(ROW()-10)&gt;MAX('Weekly Log'!$A$5:$A$5000),"",MIN('Weekly Log'!$A$5:$A$5000)+7*(ROW()-10)))</f>
        <v/>
      </c>
    </row>
    <row r="1175">
      <c r="A1175">
        <f>IF($J1175="","",YEAR($J1175-WEEKDAY($J1175,2)+4)&amp;"-W"&amp;TEXT(WEEKNUM($J1175,21),"00"))</f>
        <v/>
      </c>
      <c r="B1175">
        <f>IF($J1175="","",SUMIFS('Weekly Log'!$C:$C,'Weekly Log'!$A:$A,"&gt;="&amp;$J1175,'Weekly Log'!$A:$A,"&lt;"&amp;$J1175+7))</f>
        <v/>
      </c>
      <c r="C1175">
        <f>IF($J1175="","",IFERROR(COUNTIFS('Weekly Log'!$G:$G,"Y",'Weekly Log'!$A:$A,"&gt;="&amp;$J1175,'Weekly Log'!$A:$A,"&lt;"&amp;$J1175+7)/COUNTIFS('Weekly Log'!$G:$G,"&lt;&gt;",'Weekly Log'!$A:$A,"&gt;="&amp;$J1175,'Weekly Log'!$A:$A,"&lt;"&amp;$J1175+7),0))</f>
        <v/>
      </c>
      <c r="D1175">
        <f>IF($J1175="","",IFERROR(COUNTIFS('Weekly Log'!$H:$H,"Y",'Weekly Log'!$A:$A,"&gt;="&amp;$J1175,'Weekly Log'!$A:$A,"&lt;"&amp;$J1175+7)/COUNTIFS('Weekly Log'!$H:$H,"&lt;&gt;",'Weekly Log'!$A:$A,"&gt;="&amp;$J1175,'Weekly Log'!$A:$A,"&lt;"&amp;$J1175+7),0))</f>
        <v/>
      </c>
      <c r="E1175">
        <f>IF($J1175="","",IFERROR(AVERAGEIFS('Weekly Log'!$F:$F,'Weekly Log'!$A:$A,"&gt;="&amp;$J1175,'Weekly Log'!$A:$A,"&lt;"&amp;$J1175+7),0))</f>
        <v/>
      </c>
      <c r="F1175">
        <f>IF($J1175="","",IFERROR(SUMIFS('Weekly Log'!$F:$F,'Weekly Log'!$A:$A,"&gt;="&amp;$J1175,'Weekly Log'!$A:$A,"&lt;"&amp;$J1175+7)/SUMIFS('Weekly Log'!$E:$E,'Weekly Log'!$A:$A,"&gt;="&amp;$J1175,'Weekly Log'!$A:$A,"&lt;"&amp;$J1175+7),0))</f>
        <v/>
      </c>
      <c r="G1175">
        <f>IF($J1175="","",IFERROR(LOOKUP(2,1/(('Weekly Log'!$A$5:$A$5000&gt;=$J1175)*('Weekly Log'!$A$5:$A$5000&lt;$J1175+7)*('Weekly Log'!$M$5:$M$5000&lt;&gt;"")),'Weekly Log'!$M$5:$M$5000),0))</f>
        <v/>
      </c>
      <c r="J1175">
        <f>IF(COUNT('Weekly Log'!$A$5:$A$5000)=0,"",IF(MIN('Weekly Log'!$A$5:$A$5000)+7*(ROW()-10)&gt;MAX('Weekly Log'!$A$5:$A$5000),"",MIN('Weekly Log'!$A$5:$A$5000)+7*(ROW()-10)))</f>
        <v/>
      </c>
    </row>
    <row r="1176">
      <c r="A1176">
        <f>IF($J1176="","",YEAR($J1176-WEEKDAY($J1176,2)+4)&amp;"-W"&amp;TEXT(WEEKNUM($J1176,21),"00"))</f>
        <v/>
      </c>
      <c r="B1176">
        <f>IF($J1176="","",SUMIFS('Weekly Log'!$C:$C,'Weekly Log'!$A:$A,"&gt;="&amp;$J1176,'Weekly Log'!$A:$A,"&lt;"&amp;$J1176+7))</f>
        <v/>
      </c>
      <c r="C1176">
        <f>IF($J1176="","",IFERROR(COUNTIFS('Weekly Log'!$G:$G,"Y",'Weekly Log'!$A:$A,"&gt;="&amp;$J1176,'Weekly Log'!$A:$A,"&lt;"&amp;$J1176+7)/COUNTIFS('Weekly Log'!$G:$G,"&lt;&gt;",'Weekly Log'!$A:$A,"&gt;="&amp;$J1176,'Weekly Log'!$A:$A,"&lt;"&amp;$J1176+7),0))</f>
        <v/>
      </c>
      <c r="D1176">
        <f>IF($J1176="","",IFERROR(COUNTIFS('Weekly Log'!$H:$H,"Y",'Weekly Log'!$A:$A,"&gt;="&amp;$J1176,'Weekly Log'!$A:$A,"&lt;"&amp;$J1176+7)/COUNTIFS('Weekly Log'!$H:$H,"&lt;&gt;",'Weekly Log'!$A:$A,"&gt;="&amp;$J1176,'Weekly Log'!$A:$A,"&lt;"&amp;$J1176+7),0))</f>
        <v/>
      </c>
      <c r="E1176">
        <f>IF($J1176="","",IFERROR(AVERAGEIFS('Weekly Log'!$F:$F,'Weekly Log'!$A:$A,"&gt;="&amp;$J1176,'Weekly Log'!$A:$A,"&lt;"&amp;$J1176+7),0))</f>
        <v/>
      </c>
      <c r="F1176">
        <f>IF($J1176="","",IFERROR(SUMIFS('Weekly Log'!$F:$F,'Weekly Log'!$A:$A,"&gt;="&amp;$J1176,'Weekly Log'!$A:$A,"&lt;"&amp;$J1176+7)/SUMIFS('Weekly Log'!$E:$E,'Weekly Log'!$A:$A,"&gt;="&amp;$J1176,'Weekly Log'!$A:$A,"&lt;"&amp;$J1176+7),0))</f>
        <v/>
      </c>
      <c r="G1176">
        <f>IF($J1176="","",IFERROR(LOOKUP(2,1/(('Weekly Log'!$A$5:$A$5000&gt;=$J1176)*('Weekly Log'!$A$5:$A$5000&lt;$J1176+7)*('Weekly Log'!$M$5:$M$5000&lt;&gt;"")),'Weekly Log'!$M$5:$M$5000),0))</f>
        <v/>
      </c>
      <c r="J1176">
        <f>IF(COUNT('Weekly Log'!$A$5:$A$5000)=0,"",IF(MIN('Weekly Log'!$A$5:$A$5000)+7*(ROW()-10)&gt;MAX('Weekly Log'!$A$5:$A$5000),"",MIN('Weekly Log'!$A$5:$A$5000)+7*(ROW()-10)))</f>
        <v/>
      </c>
    </row>
    <row r="1177">
      <c r="A1177">
        <f>IF($J1177="","",YEAR($J1177-WEEKDAY($J1177,2)+4)&amp;"-W"&amp;TEXT(WEEKNUM($J1177,21),"00"))</f>
        <v/>
      </c>
      <c r="B1177">
        <f>IF($J1177="","",SUMIFS('Weekly Log'!$C:$C,'Weekly Log'!$A:$A,"&gt;="&amp;$J1177,'Weekly Log'!$A:$A,"&lt;"&amp;$J1177+7))</f>
        <v/>
      </c>
      <c r="C1177">
        <f>IF($J1177="","",IFERROR(COUNTIFS('Weekly Log'!$G:$G,"Y",'Weekly Log'!$A:$A,"&gt;="&amp;$J1177,'Weekly Log'!$A:$A,"&lt;"&amp;$J1177+7)/COUNTIFS('Weekly Log'!$G:$G,"&lt;&gt;",'Weekly Log'!$A:$A,"&gt;="&amp;$J1177,'Weekly Log'!$A:$A,"&lt;"&amp;$J1177+7),0))</f>
        <v/>
      </c>
      <c r="D1177">
        <f>IF($J1177="","",IFERROR(COUNTIFS('Weekly Log'!$H:$H,"Y",'Weekly Log'!$A:$A,"&gt;="&amp;$J1177,'Weekly Log'!$A:$A,"&lt;"&amp;$J1177+7)/COUNTIFS('Weekly Log'!$H:$H,"&lt;&gt;",'Weekly Log'!$A:$A,"&gt;="&amp;$J1177,'Weekly Log'!$A:$A,"&lt;"&amp;$J1177+7),0))</f>
        <v/>
      </c>
      <c r="E1177">
        <f>IF($J1177="","",IFERROR(AVERAGEIFS('Weekly Log'!$F:$F,'Weekly Log'!$A:$A,"&gt;="&amp;$J1177,'Weekly Log'!$A:$A,"&lt;"&amp;$J1177+7),0))</f>
        <v/>
      </c>
      <c r="F1177">
        <f>IF($J1177="","",IFERROR(SUMIFS('Weekly Log'!$F:$F,'Weekly Log'!$A:$A,"&gt;="&amp;$J1177,'Weekly Log'!$A:$A,"&lt;"&amp;$J1177+7)/SUMIFS('Weekly Log'!$E:$E,'Weekly Log'!$A:$A,"&gt;="&amp;$J1177,'Weekly Log'!$A:$A,"&lt;"&amp;$J1177+7),0))</f>
        <v/>
      </c>
      <c r="G1177">
        <f>IF($J1177="","",IFERROR(LOOKUP(2,1/(('Weekly Log'!$A$5:$A$5000&gt;=$J1177)*('Weekly Log'!$A$5:$A$5000&lt;$J1177+7)*('Weekly Log'!$M$5:$M$5000&lt;&gt;"")),'Weekly Log'!$M$5:$M$5000),0))</f>
        <v/>
      </c>
      <c r="J1177">
        <f>IF(COUNT('Weekly Log'!$A$5:$A$5000)=0,"",IF(MIN('Weekly Log'!$A$5:$A$5000)+7*(ROW()-10)&gt;MAX('Weekly Log'!$A$5:$A$5000),"",MIN('Weekly Log'!$A$5:$A$5000)+7*(ROW()-10)))</f>
        <v/>
      </c>
    </row>
    <row r="1178">
      <c r="A1178">
        <f>IF($J1178="","",YEAR($J1178-WEEKDAY($J1178,2)+4)&amp;"-W"&amp;TEXT(WEEKNUM($J1178,21),"00"))</f>
        <v/>
      </c>
      <c r="B1178">
        <f>IF($J1178="","",SUMIFS('Weekly Log'!$C:$C,'Weekly Log'!$A:$A,"&gt;="&amp;$J1178,'Weekly Log'!$A:$A,"&lt;"&amp;$J1178+7))</f>
        <v/>
      </c>
      <c r="C1178">
        <f>IF($J1178="","",IFERROR(COUNTIFS('Weekly Log'!$G:$G,"Y",'Weekly Log'!$A:$A,"&gt;="&amp;$J1178,'Weekly Log'!$A:$A,"&lt;"&amp;$J1178+7)/COUNTIFS('Weekly Log'!$G:$G,"&lt;&gt;",'Weekly Log'!$A:$A,"&gt;="&amp;$J1178,'Weekly Log'!$A:$A,"&lt;"&amp;$J1178+7),0))</f>
        <v/>
      </c>
      <c r="D1178">
        <f>IF($J1178="","",IFERROR(COUNTIFS('Weekly Log'!$H:$H,"Y",'Weekly Log'!$A:$A,"&gt;="&amp;$J1178,'Weekly Log'!$A:$A,"&lt;"&amp;$J1178+7)/COUNTIFS('Weekly Log'!$H:$H,"&lt;&gt;",'Weekly Log'!$A:$A,"&gt;="&amp;$J1178,'Weekly Log'!$A:$A,"&lt;"&amp;$J1178+7),0))</f>
        <v/>
      </c>
      <c r="E1178">
        <f>IF($J1178="","",IFERROR(AVERAGEIFS('Weekly Log'!$F:$F,'Weekly Log'!$A:$A,"&gt;="&amp;$J1178,'Weekly Log'!$A:$A,"&lt;"&amp;$J1178+7),0))</f>
        <v/>
      </c>
      <c r="F1178">
        <f>IF($J1178="","",IFERROR(SUMIFS('Weekly Log'!$F:$F,'Weekly Log'!$A:$A,"&gt;="&amp;$J1178,'Weekly Log'!$A:$A,"&lt;"&amp;$J1178+7)/SUMIFS('Weekly Log'!$E:$E,'Weekly Log'!$A:$A,"&gt;="&amp;$J1178,'Weekly Log'!$A:$A,"&lt;"&amp;$J1178+7),0))</f>
        <v/>
      </c>
      <c r="G1178">
        <f>IF($J1178="","",IFERROR(LOOKUP(2,1/(('Weekly Log'!$A$5:$A$5000&gt;=$J1178)*('Weekly Log'!$A$5:$A$5000&lt;$J1178+7)*('Weekly Log'!$M$5:$M$5000&lt;&gt;"")),'Weekly Log'!$M$5:$M$5000),0))</f>
        <v/>
      </c>
      <c r="J1178">
        <f>IF(COUNT('Weekly Log'!$A$5:$A$5000)=0,"",IF(MIN('Weekly Log'!$A$5:$A$5000)+7*(ROW()-10)&gt;MAX('Weekly Log'!$A$5:$A$5000),"",MIN('Weekly Log'!$A$5:$A$5000)+7*(ROW()-10)))</f>
        <v/>
      </c>
    </row>
    <row r="1179">
      <c r="A1179">
        <f>IF($J1179="","",YEAR($J1179-WEEKDAY($J1179,2)+4)&amp;"-W"&amp;TEXT(WEEKNUM($J1179,21),"00"))</f>
        <v/>
      </c>
      <c r="B1179">
        <f>IF($J1179="","",SUMIFS('Weekly Log'!$C:$C,'Weekly Log'!$A:$A,"&gt;="&amp;$J1179,'Weekly Log'!$A:$A,"&lt;"&amp;$J1179+7))</f>
        <v/>
      </c>
      <c r="C1179">
        <f>IF($J1179="","",IFERROR(COUNTIFS('Weekly Log'!$G:$G,"Y",'Weekly Log'!$A:$A,"&gt;="&amp;$J1179,'Weekly Log'!$A:$A,"&lt;"&amp;$J1179+7)/COUNTIFS('Weekly Log'!$G:$G,"&lt;&gt;",'Weekly Log'!$A:$A,"&gt;="&amp;$J1179,'Weekly Log'!$A:$A,"&lt;"&amp;$J1179+7),0))</f>
        <v/>
      </c>
      <c r="D1179">
        <f>IF($J1179="","",IFERROR(COUNTIFS('Weekly Log'!$H:$H,"Y",'Weekly Log'!$A:$A,"&gt;="&amp;$J1179,'Weekly Log'!$A:$A,"&lt;"&amp;$J1179+7)/COUNTIFS('Weekly Log'!$H:$H,"&lt;&gt;",'Weekly Log'!$A:$A,"&gt;="&amp;$J1179,'Weekly Log'!$A:$A,"&lt;"&amp;$J1179+7),0))</f>
        <v/>
      </c>
      <c r="E1179">
        <f>IF($J1179="","",IFERROR(AVERAGEIFS('Weekly Log'!$F:$F,'Weekly Log'!$A:$A,"&gt;="&amp;$J1179,'Weekly Log'!$A:$A,"&lt;"&amp;$J1179+7),0))</f>
        <v/>
      </c>
      <c r="F1179">
        <f>IF($J1179="","",IFERROR(SUMIFS('Weekly Log'!$F:$F,'Weekly Log'!$A:$A,"&gt;="&amp;$J1179,'Weekly Log'!$A:$A,"&lt;"&amp;$J1179+7)/SUMIFS('Weekly Log'!$E:$E,'Weekly Log'!$A:$A,"&gt;="&amp;$J1179,'Weekly Log'!$A:$A,"&lt;"&amp;$J1179+7),0))</f>
        <v/>
      </c>
      <c r="G1179">
        <f>IF($J1179="","",IFERROR(LOOKUP(2,1/(('Weekly Log'!$A$5:$A$5000&gt;=$J1179)*('Weekly Log'!$A$5:$A$5000&lt;$J1179+7)*('Weekly Log'!$M$5:$M$5000&lt;&gt;"")),'Weekly Log'!$M$5:$M$5000),0))</f>
        <v/>
      </c>
      <c r="J1179">
        <f>IF(COUNT('Weekly Log'!$A$5:$A$5000)=0,"",IF(MIN('Weekly Log'!$A$5:$A$5000)+7*(ROW()-10)&gt;MAX('Weekly Log'!$A$5:$A$5000),"",MIN('Weekly Log'!$A$5:$A$5000)+7*(ROW()-10)))</f>
        <v/>
      </c>
    </row>
    <row r="1180">
      <c r="A1180">
        <f>IF($J1180="","",YEAR($J1180-WEEKDAY($J1180,2)+4)&amp;"-W"&amp;TEXT(WEEKNUM($J1180,21),"00"))</f>
        <v/>
      </c>
      <c r="B1180">
        <f>IF($J1180="","",SUMIFS('Weekly Log'!$C:$C,'Weekly Log'!$A:$A,"&gt;="&amp;$J1180,'Weekly Log'!$A:$A,"&lt;"&amp;$J1180+7))</f>
        <v/>
      </c>
      <c r="C1180">
        <f>IF($J1180="","",IFERROR(COUNTIFS('Weekly Log'!$G:$G,"Y",'Weekly Log'!$A:$A,"&gt;="&amp;$J1180,'Weekly Log'!$A:$A,"&lt;"&amp;$J1180+7)/COUNTIFS('Weekly Log'!$G:$G,"&lt;&gt;",'Weekly Log'!$A:$A,"&gt;="&amp;$J1180,'Weekly Log'!$A:$A,"&lt;"&amp;$J1180+7),0))</f>
        <v/>
      </c>
      <c r="D1180">
        <f>IF($J1180="","",IFERROR(COUNTIFS('Weekly Log'!$H:$H,"Y",'Weekly Log'!$A:$A,"&gt;="&amp;$J1180,'Weekly Log'!$A:$A,"&lt;"&amp;$J1180+7)/COUNTIFS('Weekly Log'!$H:$H,"&lt;&gt;",'Weekly Log'!$A:$A,"&gt;="&amp;$J1180,'Weekly Log'!$A:$A,"&lt;"&amp;$J1180+7),0))</f>
        <v/>
      </c>
      <c r="E1180">
        <f>IF($J1180="","",IFERROR(AVERAGEIFS('Weekly Log'!$F:$F,'Weekly Log'!$A:$A,"&gt;="&amp;$J1180,'Weekly Log'!$A:$A,"&lt;"&amp;$J1180+7),0))</f>
        <v/>
      </c>
      <c r="F1180">
        <f>IF($J1180="","",IFERROR(SUMIFS('Weekly Log'!$F:$F,'Weekly Log'!$A:$A,"&gt;="&amp;$J1180,'Weekly Log'!$A:$A,"&lt;"&amp;$J1180+7)/SUMIFS('Weekly Log'!$E:$E,'Weekly Log'!$A:$A,"&gt;="&amp;$J1180,'Weekly Log'!$A:$A,"&lt;"&amp;$J1180+7),0))</f>
        <v/>
      </c>
      <c r="G1180">
        <f>IF($J1180="","",IFERROR(LOOKUP(2,1/(('Weekly Log'!$A$5:$A$5000&gt;=$J1180)*('Weekly Log'!$A$5:$A$5000&lt;$J1180+7)*('Weekly Log'!$M$5:$M$5000&lt;&gt;"")),'Weekly Log'!$M$5:$M$5000),0))</f>
        <v/>
      </c>
      <c r="J1180">
        <f>IF(COUNT('Weekly Log'!$A$5:$A$5000)=0,"",IF(MIN('Weekly Log'!$A$5:$A$5000)+7*(ROW()-10)&gt;MAX('Weekly Log'!$A$5:$A$5000),"",MIN('Weekly Log'!$A$5:$A$5000)+7*(ROW()-10)))</f>
        <v/>
      </c>
    </row>
    <row r="1181">
      <c r="A1181">
        <f>IF($J1181="","",YEAR($J1181-WEEKDAY($J1181,2)+4)&amp;"-W"&amp;TEXT(WEEKNUM($J1181,21),"00"))</f>
        <v/>
      </c>
      <c r="B1181">
        <f>IF($J1181="","",SUMIFS('Weekly Log'!$C:$C,'Weekly Log'!$A:$A,"&gt;="&amp;$J1181,'Weekly Log'!$A:$A,"&lt;"&amp;$J1181+7))</f>
        <v/>
      </c>
      <c r="C1181">
        <f>IF($J1181="","",IFERROR(COUNTIFS('Weekly Log'!$G:$G,"Y",'Weekly Log'!$A:$A,"&gt;="&amp;$J1181,'Weekly Log'!$A:$A,"&lt;"&amp;$J1181+7)/COUNTIFS('Weekly Log'!$G:$G,"&lt;&gt;",'Weekly Log'!$A:$A,"&gt;="&amp;$J1181,'Weekly Log'!$A:$A,"&lt;"&amp;$J1181+7),0))</f>
        <v/>
      </c>
      <c r="D1181">
        <f>IF($J1181="","",IFERROR(COUNTIFS('Weekly Log'!$H:$H,"Y",'Weekly Log'!$A:$A,"&gt;="&amp;$J1181,'Weekly Log'!$A:$A,"&lt;"&amp;$J1181+7)/COUNTIFS('Weekly Log'!$H:$H,"&lt;&gt;",'Weekly Log'!$A:$A,"&gt;="&amp;$J1181,'Weekly Log'!$A:$A,"&lt;"&amp;$J1181+7),0))</f>
        <v/>
      </c>
      <c r="E1181">
        <f>IF($J1181="","",IFERROR(AVERAGEIFS('Weekly Log'!$F:$F,'Weekly Log'!$A:$A,"&gt;="&amp;$J1181,'Weekly Log'!$A:$A,"&lt;"&amp;$J1181+7),0))</f>
        <v/>
      </c>
      <c r="F1181">
        <f>IF($J1181="","",IFERROR(SUMIFS('Weekly Log'!$F:$F,'Weekly Log'!$A:$A,"&gt;="&amp;$J1181,'Weekly Log'!$A:$A,"&lt;"&amp;$J1181+7)/SUMIFS('Weekly Log'!$E:$E,'Weekly Log'!$A:$A,"&gt;="&amp;$J1181,'Weekly Log'!$A:$A,"&lt;"&amp;$J1181+7),0))</f>
        <v/>
      </c>
      <c r="G1181">
        <f>IF($J1181="","",IFERROR(LOOKUP(2,1/(('Weekly Log'!$A$5:$A$5000&gt;=$J1181)*('Weekly Log'!$A$5:$A$5000&lt;$J1181+7)*('Weekly Log'!$M$5:$M$5000&lt;&gt;"")),'Weekly Log'!$M$5:$M$5000),0))</f>
        <v/>
      </c>
      <c r="J1181">
        <f>IF(COUNT('Weekly Log'!$A$5:$A$5000)=0,"",IF(MIN('Weekly Log'!$A$5:$A$5000)+7*(ROW()-10)&gt;MAX('Weekly Log'!$A$5:$A$5000),"",MIN('Weekly Log'!$A$5:$A$5000)+7*(ROW()-10)))</f>
        <v/>
      </c>
    </row>
    <row r="1182">
      <c r="A1182">
        <f>IF($J1182="","",YEAR($J1182-WEEKDAY($J1182,2)+4)&amp;"-W"&amp;TEXT(WEEKNUM($J1182,21),"00"))</f>
        <v/>
      </c>
      <c r="B1182">
        <f>IF($J1182="","",SUMIFS('Weekly Log'!$C:$C,'Weekly Log'!$A:$A,"&gt;="&amp;$J1182,'Weekly Log'!$A:$A,"&lt;"&amp;$J1182+7))</f>
        <v/>
      </c>
      <c r="C1182">
        <f>IF($J1182="","",IFERROR(COUNTIFS('Weekly Log'!$G:$G,"Y",'Weekly Log'!$A:$A,"&gt;="&amp;$J1182,'Weekly Log'!$A:$A,"&lt;"&amp;$J1182+7)/COUNTIFS('Weekly Log'!$G:$G,"&lt;&gt;",'Weekly Log'!$A:$A,"&gt;="&amp;$J1182,'Weekly Log'!$A:$A,"&lt;"&amp;$J1182+7),0))</f>
        <v/>
      </c>
      <c r="D1182">
        <f>IF($J1182="","",IFERROR(COUNTIFS('Weekly Log'!$H:$H,"Y",'Weekly Log'!$A:$A,"&gt;="&amp;$J1182,'Weekly Log'!$A:$A,"&lt;"&amp;$J1182+7)/COUNTIFS('Weekly Log'!$H:$H,"&lt;&gt;",'Weekly Log'!$A:$A,"&gt;="&amp;$J1182,'Weekly Log'!$A:$A,"&lt;"&amp;$J1182+7),0))</f>
        <v/>
      </c>
      <c r="E1182">
        <f>IF($J1182="","",IFERROR(AVERAGEIFS('Weekly Log'!$F:$F,'Weekly Log'!$A:$A,"&gt;="&amp;$J1182,'Weekly Log'!$A:$A,"&lt;"&amp;$J1182+7),0))</f>
        <v/>
      </c>
      <c r="F1182">
        <f>IF($J1182="","",IFERROR(SUMIFS('Weekly Log'!$F:$F,'Weekly Log'!$A:$A,"&gt;="&amp;$J1182,'Weekly Log'!$A:$A,"&lt;"&amp;$J1182+7)/SUMIFS('Weekly Log'!$E:$E,'Weekly Log'!$A:$A,"&gt;="&amp;$J1182,'Weekly Log'!$A:$A,"&lt;"&amp;$J1182+7),0))</f>
        <v/>
      </c>
      <c r="G1182">
        <f>IF($J1182="","",IFERROR(LOOKUP(2,1/(('Weekly Log'!$A$5:$A$5000&gt;=$J1182)*('Weekly Log'!$A$5:$A$5000&lt;$J1182+7)*('Weekly Log'!$M$5:$M$5000&lt;&gt;"")),'Weekly Log'!$M$5:$M$5000),0))</f>
        <v/>
      </c>
      <c r="J1182">
        <f>IF(COUNT('Weekly Log'!$A$5:$A$5000)=0,"",IF(MIN('Weekly Log'!$A$5:$A$5000)+7*(ROW()-10)&gt;MAX('Weekly Log'!$A$5:$A$5000),"",MIN('Weekly Log'!$A$5:$A$5000)+7*(ROW()-10)))</f>
        <v/>
      </c>
    </row>
    <row r="1183">
      <c r="A1183">
        <f>IF($J1183="","",YEAR($J1183-WEEKDAY($J1183,2)+4)&amp;"-W"&amp;TEXT(WEEKNUM($J1183,21),"00"))</f>
        <v/>
      </c>
      <c r="B1183">
        <f>IF($J1183="","",SUMIFS('Weekly Log'!$C:$C,'Weekly Log'!$A:$A,"&gt;="&amp;$J1183,'Weekly Log'!$A:$A,"&lt;"&amp;$J1183+7))</f>
        <v/>
      </c>
      <c r="C1183">
        <f>IF($J1183="","",IFERROR(COUNTIFS('Weekly Log'!$G:$G,"Y",'Weekly Log'!$A:$A,"&gt;="&amp;$J1183,'Weekly Log'!$A:$A,"&lt;"&amp;$J1183+7)/COUNTIFS('Weekly Log'!$G:$G,"&lt;&gt;",'Weekly Log'!$A:$A,"&gt;="&amp;$J1183,'Weekly Log'!$A:$A,"&lt;"&amp;$J1183+7),0))</f>
        <v/>
      </c>
      <c r="D1183">
        <f>IF($J1183="","",IFERROR(COUNTIFS('Weekly Log'!$H:$H,"Y",'Weekly Log'!$A:$A,"&gt;="&amp;$J1183,'Weekly Log'!$A:$A,"&lt;"&amp;$J1183+7)/COUNTIFS('Weekly Log'!$H:$H,"&lt;&gt;",'Weekly Log'!$A:$A,"&gt;="&amp;$J1183,'Weekly Log'!$A:$A,"&lt;"&amp;$J1183+7),0))</f>
        <v/>
      </c>
      <c r="E1183">
        <f>IF($J1183="","",IFERROR(AVERAGEIFS('Weekly Log'!$F:$F,'Weekly Log'!$A:$A,"&gt;="&amp;$J1183,'Weekly Log'!$A:$A,"&lt;"&amp;$J1183+7),0))</f>
        <v/>
      </c>
      <c r="F1183">
        <f>IF($J1183="","",IFERROR(SUMIFS('Weekly Log'!$F:$F,'Weekly Log'!$A:$A,"&gt;="&amp;$J1183,'Weekly Log'!$A:$A,"&lt;"&amp;$J1183+7)/SUMIFS('Weekly Log'!$E:$E,'Weekly Log'!$A:$A,"&gt;="&amp;$J1183,'Weekly Log'!$A:$A,"&lt;"&amp;$J1183+7),0))</f>
        <v/>
      </c>
      <c r="G1183">
        <f>IF($J1183="","",IFERROR(LOOKUP(2,1/(('Weekly Log'!$A$5:$A$5000&gt;=$J1183)*('Weekly Log'!$A$5:$A$5000&lt;$J1183+7)*('Weekly Log'!$M$5:$M$5000&lt;&gt;"")),'Weekly Log'!$M$5:$M$5000),0))</f>
        <v/>
      </c>
      <c r="J1183">
        <f>IF(COUNT('Weekly Log'!$A$5:$A$5000)=0,"",IF(MIN('Weekly Log'!$A$5:$A$5000)+7*(ROW()-10)&gt;MAX('Weekly Log'!$A$5:$A$5000),"",MIN('Weekly Log'!$A$5:$A$5000)+7*(ROW()-10)))</f>
        <v/>
      </c>
    </row>
    <row r="1184">
      <c r="A1184">
        <f>IF($J1184="","",YEAR($J1184-WEEKDAY($J1184,2)+4)&amp;"-W"&amp;TEXT(WEEKNUM($J1184,21),"00"))</f>
        <v/>
      </c>
      <c r="B1184">
        <f>IF($J1184="","",SUMIFS('Weekly Log'!$C:$C,'Weekly Log'!$A:$A,"&gt;="&amp;$J1184,'Weekly Log'!$A:$A,"&lt;"&amp;$J1184+7))</f>
        <v/>
      </c>
      <c r="C1184">
        <f>IF($J1184="","",IFERROR(COUNTIFS('Weekly Log'!$G:$G,"Y",'Weekly Log'!$A:$A,"&gt;="&amp;$J1184,'Weekly Log'!$A:$A,"&lt;"&amp;$J1184+7)/COUNTIFS('Weekly Log'!$G:$G,"&lt;&gt;",'Weekly Log'!$A:$A,"&gt;="&amp;$J1184,'Weekly Log'!$A:$A,"&lt;"&amp;$J1184+7),0))</f>
        <v/>
      </c>
      <c r="D1184">
        <f>IF($J1184="","",IFERROR(COUNTIFS('Weekly Log'!$H:$H,"Y",'Weekly Log'!$A:$A,"&gt;="&amp;$J1184,'Weekly Log'!$A:$A,"&lt;"&amp;$J1184+7)/COUNTIFS('Weekly Log'!$H:$H,"&lt;&gt;",'Weekly Log'!$A:$A,"&gt;="&amp;$J1184,'Weekly Log'!$A:$A,"&lt;"&amp;$J1184+7),0))</f>
        <v/>
      </c>
      <c r="E1184">
        <f>IF($J1184="","",IFERROR(AVERAGEIFS('Weekly Log'!$F:$F,'Weekly Log'!$A:$A,"&gt;="&amp;$J1184,'Weekly Log'!$A:$A,"&lt;"&amp;$J1184+7),0))</f>
        <v/>
      </c>
      <c r="F1184">
        <f>IF($J1184="","",IFERROR(SUMIFS('Weekly Log'!$F:$F,'Weekly Log'!$A:$A,"&gt;="&amp;$J1184,'Weekly Log'!$A:$A,"&lt;"&amp;$J1184+7)/SUMIFS('Weekly Log'!$E:$E,'Weekly Log'!$A:$A,"&gt;="&amp;$J1184,'Weekly Log'!$A:$A,"&lt;"&amp;$J1184+7),0))</f>
        <v/>
      </c>
      <c r="G1184">
        <f>IF($J1184="","",IFERROR(LOOKUP(2,1/(('Weekly Log'!$A$5:$A$5000&gt;=$J1184)*('Weekly Log'!$A$5:$A$5000&lt;$J1184+7)*('Weekly Log'!$M$5:$M$5000&lt;&gt;"")),'Weekly Log'!$M$5:$M$5000),0))</f>
        <v/>
      </c>
      <c r="J1184">
        <f>IF(COUNT('Weekly Log'!$A$5:$A$5000)=0,"",IF(MIN('Weekly Log'!$A$5:$A$5000)+7*(ROW()-10)&gt;MAX('Weekly Log'!$A$5:$A$5000),"",MIN('Weekly Log'!$A$5:$A$5000)+7*(ROW()-10)))</f>
        <v/>
      </c>
    </row>
    <row r="1185">
      <c r="A1185">
        <f>IF($J1185="","",YEAR($J1185-WEEKDAY($J1185,2)+4)&amp;"-W"&amp;TEXT(WEEKNUM($J1185,21),"00"))</f>
        <v/>
      </c>
      <c r="B1185">
        <f>IF($J1185="","",SUMIFS('Weekly Log'!$C:$C,'Weekly Log'!$A:$A,"&gt;="&amp;$J1185,'Weekly Log'!$A:$A,"&lt;"&amp;$J1185+7))</f>
        <v/>
      </c>
      <c r="C1185">
        <f>IF($J1185="","",IFERROR(COUNTIFS('Weekly Log'!$G:$G,"Y",'Weekly Log'!$A:$A,"&gt;="&amp;$J1185,'Weekly Log'!$A:$A,"&lt;"&amp;$J1185+7)/COUNTIFS('Weekly Log'!$G:$G,"&lt;&gt;",'Weekly Log'!$A:$A,"&gt;="&amp;$J1185,'Weekly Log'!$A:$A,"&lt;"&amp;$J1185+7),0))</f>
        <v/>
      </c>
      <c r="D1185">
        <f>IF($J1185="","",IFERROR(COUNTIFS('Weekly Log'!$H:$H,"Y",'Weekly Log'!$A:$A,"&gt;="&amp;$J1185,'Weekly Log'!$A:$A,"&lt;"&amp;$J1185+7)/COUNTIFS('Weekly Log'!$H:$H,"&lt;&gt;",'Weekly Log'!$A:$A,"&gt;="&amp;$J1185,'Weekly Log'!$A:$A,"&lt;"&amp;$J1185+7),0))</f>
        <v/>
      </c>
      <c r="E1185">
        <f>IF($J1185="","",IFERROR(AVERAGEIFS('Weekly Log'!$F:$F,'Weekly Log'!$A:$A,"&gt;="&amp;$J1185,'Weekly Log'!$A:$A,"&lt;"&amp;$J1185+7),0))</f>
        <v/>
      </c>
      <c r="F1185">
        <f>IF($J1185="","",IFERROR(SUMIFS('Weekly Log'!$F:$F,'Weekly Log'!$A:$A,"&gt;="&amp;$J1185,'Weekly Log'!$A:$A,"&lt;"&amp;$J1185+7)/SUMIFS('Weekly Log'!$E:$E,'Weekly Log'!$A:$A,"&gt;="&amp;$J1185,'Weekly Log'!$A:$A,"&lt;"&amp;$J1185+7),0))</f>
        <v/>
      </c>
      <c r="G1185">
        <f>IF($J1185="","",IFERROR(LOOKUP(2,1/(('Weekly Log'!$A$5:$A$5000&gt;=$J1185)*('Weekly Log'!$A$5:$A$5000&lt;$J1185+7)*('Weekly Log'!$M$5:$M$5000&lt;&gt;"")),'Weekly Log'!$M$5:$M$5000),0))</f>
        <v/>
      </c>
      <c r="J1185">
        <f>IF(COUNT('Weekly Log'!$A$5:$A$5000)=0,"",IF(MIN('Weekly Log'!$A$5:$A$5000)+7*(ROW()-10)&gt;MAX('Weekly Log'!$A$5:$A$5000),"",MIN('Weekly Log'!$A$5:$A$5000)+7*(ROW()-10)))</f>
        <v/>
      </c>
    </row>
    <row r="1186">
      <c r="A1186">
        <f>IF($J1186="","",YEAR($J1186-WEEKDAY($J1186,2)+4)&amp;"-W"&amp;TEXT(WEEKNUM($J1186,21),"00"))</f>
        <v/>
      </c>
      <c r="B1186">
        <f>IF($J1186="","",SUMIFS('Weekly Log'!$C:$C,'Weekly Log'!$A:$A,"&gt;="&amp;$J1186,'Weekly Log'!$A:$A,"&lt;"&amp;$J1186+7))</f>
        <v/>
      </c>
      <c r="C1186">
        <f>IF($J1186="","",IFERROR(COUNTIFS('Weekly Log'!$G:$G,"Y",'Weekly Log'!$A:$A,"&gt;="&amp;$J1186,'Weekly Log'!$A:$A,"&lt;"&amp;$J1186+7)/COUNTIFS('Weekly Log'!$G:$G,"&lt;&gt;",'Weekly Log'!$A:$A,"&gt;="&amp;$J1186,'Weekly Log'!$A:$A,"&lt;"&amp;$J1186+7),0))</f>
        <v/>
      </c>
      <c r="D1186">
        <f>IF($J1186="","",IFERROR(COUNTIFS('Weekly Log'!$H:$H,"Y",'Weekly Log'!$A:$A,"&gt;="&amp;$J1186,'Weekly Log'!$A:$A,"&lt;"&amp;$J1186+7)/COUNTIFS('Weekly Log'!$H:$H,"&lt;&gt;",'Weekly Log'!$A:$A,"&gt;="&amp;$J1186,'Weekly Log'!$A:$A,"&lt;"&amp;$J1186+7),0))</f>
        <v/>
      </c>
      <c r="E1186">
        <f>IF($J1186="","",IFERROR(AVERAGEIFS('Weekly Log'!$F:$F,'Weekly Log'!$A:$A,"&gt;="&amp;$J1186,'Weekly Log'!$A:$A,"&lt;"&amp;$J1186+7),0))</f>
        <v/>
      </c>
      <c r="F1186">
        <f>IF($J1186="","",IFERROR(SUMIFS('Weekly Log'!$F:$F,'Weekly Log'!$A:$A,"&gt;="&amp;$J1186,'Weekly Log'!$A:$A,"&lt;"&amp;$J1186+7)/SUMIFS('Weekly Log'!$E:$E,'Weekly Log'!$A:$A,"&gt;="&amp;$J1186,'Weekly Log'!$A:$A,"&lt;"&amp;$J1186+7),0))</f>
        <v/>
      </c>
      <c r="G1186">
        <f>IF($J1186="","",IFERROR(LOOKUP(2,1/(('Weekly Log'!$A$5:$A$5000&gt;=$J1186)*('Weekly Log'!$A$5:$A$5000&lt;$J1186+7)*('Weekly Log'!$M$5:$M$5000&lt;&gt;"")),'Weekly Log'!$M$5:$M$5000),0))</f>
        <v/>
      </c>
      <c r="J1186">
        <f>IF(COUNT('Weekly Log'!$A$5:$A$5000)=0,"",IF(MIN('Weekly Log'!$A$5:$A$5000)+7*(ROW()-10)&gt;MAX('Weekly Log'!$A$5:$A$5000),"",MIN('Weekly Log'!$A$5:$A$5000)+7*(ROW()-10)))</f>
        <v/>
      </c>
    </row>
    <row r="1187">
      <c r="A1187">
        <f>IF($J1187="","",YEAR($J1187-WEEKDAY($J1187,2)+4)&amp;"-W"&amp;TEXT(WEEKNUM($J1187,21),"00"))</f>
        <v/>
      </c>
      <c r="B1187">
        <f>IF($J1187="","",SUMIFS('Weekly Log'!$C:$C,'Weekly Log'!$A:$A,"&gt;="&amp;$J1187,'Weekly Log'!$A:$A,"&lt;"&amp;$J1187+7))</f>
        <v/>
      </c>
      <c r="C1187">
        <f>IF($J1187="","",IFERROR(COUNTIFS('Weekly Log'!$G:$G,"Y",'Weekly Log'!$A:$A,"&gt;="&amp;$J1187,'Weekly Log'!$A:$A,"&lt;"&amp;$J1187+7)/COUNTIFS('Weekly Log'!$G:$G,"&lt;&gt;",'Weekly Log'!$A:$A,"&gt;="&amp;$J1187,'Weekly Log'!$A:$A,"&lt;"&amp;$J1187+7),0))</f>
        <v/>
      </c>
      <c r="D1187">
        <f>IF($J1187="","",IFERROR(COUNTIFS('Weekly Log'!$H:$H,"Y",'Weekly Log'!$A:$A,"&gt;="&amp;$J1187,'Weekly Log'!$A:$A,"&lt;"&amp;$J1187+7)/COUNTIFS('Weekly Log'!$H:$H,"&lt;&gt;",'Weekly Log'!$A:$A,"&gt;="&amp;$J1187,'Weekly Log'!$A:$A,"&lt;"&amp;$J1187+7),0))</f>
        <v/>
      </c>
      <c r="E1187">
        <f>IF($J1187="","",IFERROR(AVERAGEIFS('Weekly Log'!$F:$F,'Weekly Log'!$A:$A,"&gt;="&amp;$J1187,'Weekly Log'!$A:$A,"&lt;"&amp;$J1187+7),0))</f>
        <v/>
      </c>
      <c r="F1187">
        <f>IF($J1187="","",IFERROR(SUMIFS('Weekly Log'!$F:$F,'Weekly Log'!$A:$A,"&gt;="&amp;$J1187,'Weekly Log'!$A:$A,"&lt;"&amp;$J1187+7)/SUMIFS('Weekly Log'!$E:$E,'Weekly Log'!$A:$A,"&gt;="&amp;$J1187,'Weekly Log'!$A:$A,"&lt;"&amp;$J1187+7),0))</f>
        <v/>
      </c>
      <c r="G1187">
        <f>IF($J1187="","",IFERROR(LOOKUP(2,1/(('Weekly Log'!$A$5:$A$5000&gt;=$J1187)*('Weekly Log'!$A$5:$A$5000&lt;$J1187+7)*('Weekly Log'!$M$5:$M$5000&lt;&gt;"")),'Weekly Log'!$M$5:$M$5000),0))</f>
        <v/>
      </c>
      <c r="J1187">
        <f>IF(COUNT('Weekly Log'!$A$5:$A$5000)=0,"",IF(MIN('Weekly Log'!$A$5:$A$5000)+7*(ROW()-10)&gt;MAX('Weekly Log'!$A$5:$A$5000),"",MIN('Weekly Log'!$A$5:$A$5000)+7*(ROW()-10)))</f>
        <v/>
      </c>
    </row>
    <row r="1188">
      <c r="A1188">
        <f>IF($J1188="","",YEAR($J1188-WEEKDAY($J1188,2)+4)&amp;"-W"&amp;TEXT(WEEKNUM($J1188,21),"00"))</f>
        <v/>
      </c>
      <c r="B1188">
        <f>IF($J1188="","",SUMIFS('Weekly Log'!$C:$C,'Weekly Log'!$A:$A,"&gt;="&amp;$J1188,'Weekly Log'!$A:$A,"&lt;"&amp;$J1188+7))</f>
        <v/>
      </c>
      <c r="C1188">
        <f>IF($J1188="","",IFERROR(COUNTIFS('Weekly Log'!$G:$G,"Y",'Weekly Log'!$A:$A,"&gt;="&amp;$J1188,'Weekly Log'!$A:$A,"&lt;"&amp;$J1188+7)/COUNTIFS('Weekly Log'!$G:$G,"&lt;&gt;",'Weekly Log'!$A:$A,"&gt;="&amp;$J1188,'Weekly Log'!$A:$A,"&lt;"&amp;$J1188+7),0))</f>
        <v/>
      </c>
      <c r="D1188">
        <f>IF($J1188="","",IFERROR(COUNTIFS('Weekly Log'!$H:$H,"Y",'Weekly Log'!$A:$A,"&gt;="&amp;$J1188,'Weekly Log'!$A:$A,"&lt;"&amp;$J1188+7)/COUNTIFS('Weekly Log'!$H:$H,"&lt;&gt;",'Weekly Log'!$A:$A,"&gt;="&amp;$J1188,'Weekly Log'!$A:$A,"&lt;"&amp;$J1188+7),0))</f>
        <v/>
      </c>
      <c r="E1188">
        <f>IF($J1188="","",IFERROR(AVERAGEIFS('Weekly Log'!$F:$F,'Weekly Log'!$A:$A,"&gt;="&amp;$J1188,'Weekly Log'!$A:$A,"&lt;"&amp;$J1188+7),0))</f>
        <v/>
      </c>
      <c r="F1188">
        <f>IF($J1188="","",IFERROR(SUMIFS('Weekly Log'!$F:$F,'Weekly Log'!$A:$A,"&gt;="&amp;$J1188,'Weekly Log'!$A:$A,"&lt;"&amp;$J1188+7)/SUMIFS('Weekly Log'!$E:$E,'Weekly Log'!$A:$A,"&gt;="&amp;$J1188,'Weekly Log'!$A:$A,"&lt;"&amp;$J1188+7),0))</f>
        <v/>
      </c>
      <c r="G1188">
        <f>IF($J1188="","",IFERROR(LOOKUP(2,1/(('Weekly Log'!$A$5:$A$5000&gt;=$J1188)*('Weekly Log'!$A$5:$A$5000&lt;$J1188+7)*('Weekly Log'!$M$5:$M$5000&lt;&gt;"")),'Weekly Log'!$M$5:$M$5000),0))</f>
        <v/>
      </c>
      <c r="J1188">
        <f>IF(COUNT('Weekly Log'!$A$5:$A$5000)=0,"",IF(MIN('Weekly Log'!$A$5:$A$5000)+7*(ROW()-10)&gt;MAX('Weekly Log'!$A$5:$A$5000),"",MIN('Weekly Log'!$A$5:$A$5000)+7*(ROW()-10)))</f>
        <v/>
      </c>
    </row>
    <row r="1189">
      <c r="A1189">
        <f>IF($J1189="","",YEAR($J1189-WEEKDAY($J1189,2)+4)&amp;"-W"&amp;TEXT(WEEKNUM($J1189,21),"00"))</f>
        <v/>
      </c>
      <c r="B1189">
        <f>IF($J1189="","",SUMIFS('Weekly Log'!$C:$C,'Weekly Log'!$A:$A,"&gt;="&amp;$J1189,'Weekly Log'!$A:$A,"&lt;"&amp;$J1189+7))</f>
        <v/>
      </c>
      <c r="C1189">
        <f>IF($J1189="","",IFERROR(COUNTIFS('Weekly Log'!$G:$G,"Y",'Weekly Log'!$A:$A,"&gt;="&amp;$J1189,'Weekly Log'!$A:$A,"&lt;"&amp;$J1189+7)/COUNTIFS('Weekly Log'!$G:$G,"&lt;&gt;",'Weekly Log'!$A:$A,"&gt;="&amp;$J1189,'Weekly Log'!$A:$A,"&lt;"&amp;$J1189+7),0))</f>
        <v/>
      </c>
      <c r="D1189">
        <f>IF($J1189="","",IFERROR(COUNTIFS('Weekly Log'!$H:$H,"Y",'Weekly Log'!$A:$A,"&gt;="&amp;$J1189,'Weekly Log'!$A:$A,"&lt;"&amp;$J1189+7)/COUNTIFS('Weekly Log'!$H:$H,"&lt;&gt;",'Weekly Log'!$A:$A,"&gt;="&amp;$J1189,'Weekly Log'!$A:$A,"&lt;"&amp;$J1189+7),0))</f>
        <v/>
      </c>
      <c r="E1189">
        <f>IF($J1189="","",IFERROR(AVERAGEIFS('Weekly Log'!$F:$F,'Weekly Log'!$A:$A,"&gt;="&amp;$J1189,'Weekly Log'!$A:$A,"&lt;"&amp;$J1189+7),0))</f>
        <v/>
      </c>
      <c r="F1189">
        <f>IF($J1189="","",IFERROR(SUMIFS('Weekly Log'!$F:$F,'Weekly Log'!$A:$A,"&gt;="&amp;$J1189,'Weekly Log'!$A:$A,"&lt;"&amp;$J1189+7)/SUMIFS('Weekly Log'!$E:$E,'Weekly Log'!$A:$A,"&gt;="&amp;$J1189,'Weekly Log'!$A:$A,"&lt;"&amp;$J1189+7),0))</f>
        <v/>
      </c>
      <c r="G1189">
        <f>IF($J1189="","",IFERROR(LOOKUP(2,1/(('Weekly Log'!$A$5:$A$5000&gt;=$J1189)*('Weekly Log'!$A$5:$A$5000&lt;$J1189+7)*('Weekly Log'!$M$5:$M$5000&lt;&gt;"")),'Weekly Log'!$M$5:$M$5000),0))</f>
        <v/>
      </c>
      <c r="J1189">
        <f>IF(COUNT('Weekly Log'!$A$5:$A$5000)=0,"",IF(MIN('Weekly Log'!$A$5:$A$5000)+7*(ROW()-10)&gt;MAX('Weekly Log'!$A$5:$A$5000),"",MIN('Weekly Log'!$A$5:$A$5000)+7*(ROW()-10)))</f>
        <v/>
      </c>
    </row>
    <row r="1190">
      <c r="A1190">
        <f>IF($J1190="","",YEAR($J1190-WEEKDAY($J1190,2)+4)&amp;"-W"&amp;TEXT(WEEKNUM($J1190,21),"00"))</f>
        <v/>
      </c>
      <c r="B1190">
        <f>IF($J1190="","",SUMIFS('Weekly Log'!$C:$C,'Weekly Log'!$A:$A,"&gt;="&amp;$J1190,'Weekly Log'!$A:$A,"&lt;"&amp;$J1190+7))</f>
        <v/>
      </c>
      <c r="C1190">
        <f>IF($J1190="","",IFERROR(COUNTIFS('Weekly Log'!$G:$G,"Y",'Weekly Log'!$A:$A,"&gt;="&amp;$J1190,'Weekly Log'!$A:$A,"&lt;"&amp;$J1190+7)/COUNTIFS('Weekly Log'!$G:$G,"&lt;&gt;",'Weekly Log'!$A:$A,"&gt;="&amp;$J1190,'Weekly Log'!$A:$A,"&lt;"&amp;$J1190+7),0))</f>
        <v/>
      </c>
      <c r="D1190">
        <f>IF($J1190="","",IFERROR(COUNTIFS('Weekly Log'!$H:$H,"Y",'Weekly Log'!$A:$A,"&gt;="&amp;$J1190,'Weekly Log'!$A:$A,"&lt;"&amp;$J1190+7)/COUNTIFS('Weekly Log'!$H:$H,"&lt;&gt;",'Weekly Log'!$A:$A,"&gt;="&amp;$J1190,'Weekly Log'!$A:$A,"&lt;"&amp;$J1190+7),0))</f>
        <v/>
      </c>
      <c r="E1190">
        <f>IF($J1190="","",IFERROR(AVERAGEIFS('Weekly Log'!$F:$F,'Weekly Log'!$A:$A,"&gt;="&amp;$J1190,'Weekly Log'!$A:$A,"&lt;"&amp;$J1190+7),0))</f>
        <v/>
      </c>
      <c r="F1190">
        <f>IF($J1190="","",IFERROR(SUMIFS('Weekly Log'!$F:$F,'Weekly Log'!$A:$A,"&gt;="&amp;$J1190,'Weekly Log'!$A:$A,"&lt;"&amp;$J1190+7)/SUMIFS('Weekly Log'!$E:$E,'Weekly Log'!$A:$A,"&gt;="&amp;$J1190,'Weekly Log'!$A:$A,"&lt;"&amp;$J1190+7),0))</f>
        <v/>
      </c>
      <c r="G1190">
        <f>IF($J1190="","",IFERROR(LOOKUP(2,1/(('Weekly Log'!$A$5:$A$5000&gt;=$J1190)*('Weekly Log'!$A$5:$A$5000&lt;$J1190+7)*('Weekly Log'!$M$5:$M$5000&lt;&gt;"")),'Weekly Log'!$M$5:$M$5000),0))</f>
        <v/>
      </c>
      <c r="J1190">
        <f>IF(COUNT('Weekly Log'!$A$5:$A$5000)=0,"",IF(MIN('Weekly Log'!$A$5:$A$5000)+7*(ROW()-10)&gt;MAX('Weekly Log'!$A$5:$A$5000),"",MIN('Weekly Log'!$A$5:$A$5000)+7*(ROW()-10)))</f>
        <v/>
      </c>
    </row>
    <row r="1191">
      <c r="A1191">
        <f>IF($J1191="","",YEAR($J1191-WEEKDAY($J1191,2)+4)&amp;"-W"&amp;TEXT(WEEKNUM($J1191,21),"00"))</f>
        <v/>
      </c>
      <c r="B1191">
        <f>IF($J1191="","",SUMIFS('Weekly Log'!$C:$C,'Weekly Log'!$A:$A,"&gt;="&amp;$J1191,'Weekly Log'!$A:$A,"&lt;"&amp;$J1191+7))</f>
        <v/>
      </c>
      <c r="C1191">
        <f>IF($J1191="","",IFERROR(COUNTIFS('Weekly Log'!$G:$G,"Y",'Weekly Log'!$A:$A,"&gt;="&amp;$J1191,'Weekly Log'!$A:$A,"&lt;"&amp;$J1191+7)/COUNTIFS('Weekly Log'!$G:$G,"&lt;&gt;",'Weekly Log'!$A:$A,"&gt;="&amp;$J1191,'Weekly Log'!$A:$A,"&lt;"&amp;$J1191+7),0))</f>
        <v/>
      </c>
      <c r="D1191">
        <f>IF($J1191="","",IFERROR(COUNTIFS('Weekly Log'!$H:$H,"Y",'Weekly Log'!$A:$A,"&gt;="&amp;$J1191,'Weekly Log'!$A:$A,"&lt;"&amp;$J1191+7)/COUNTIFS('Weekly Log'!$H:$H,"&lt;&gt;",'Weekly Log'!$A:$A,"&gt;="&amp;$J1191,'Weekly Log'!$A:$A,"&lt;"&amp;$J1191+7),0))</f>
        <v/>
      </c>
      <c r="E1191">
        <f>IF($J1191="","",IFERROR(AVERAGEIFS('Weekly Log'!$F:$F,'Weekly Log'!$A:$A,"&gt;="&amp;$J1191,'Weekly Log'!$A:$A,"&lt;"&amp;$J1191+7),0))</f>
        <v/>
      </c>
      <c r="F1191">
        <f>IF($J1191="","",IFERROR(SUMIFS('Weekly Log'!$F:$F,'Weekly Log'!$A:$A,"&gt;="&amp;$J1191,'Weekly Log'!$A:$A,"&lt;"&amp;$J1191+7)/SUMIFS('Weekly Log'!$E:$E,'Weekly Log'!$A:$A,"&gt;="&amp;$J1191,'Weekly Log'!$A:$A,"&lt;"&amp;$J1191+7),0))</f>
        <v/>
      </c>
      <c r="G1191">
        <f>IF($J1191="","",IFERROR(LOOKUP(2,1/(('Weekly Log'!$A$5:$A$5000&gt;=$J1191)*('Weekly Log'!$A$5:$A$5000&lt;$J1191+7)*('Weekly Log'!$M$5:$M$5000&lt;&gt;"")),'Weekly Log'!$M$5:$M$5000),0))</f>
        <v/>
      </c>
      <c r="J1191">
        <f>IF(COUNT('Weekly Log'!$A$5:$A$5000)=0,"",IF(MIN('Weekly Log'!$A$5:$A$5000)+7*(ROW()-10)&gt;MAX('Weekly Log'!$A$5:$A$5000),"",MIN('Weekly Log'!$A$5:$A$5000)+7*(ROW()-10)))</f>
        <v/>
      </c>
    </row>
    <row r="1192">
      <c r="A1192">
        <f>IF($J1192="","",YEAR($J1192-WEEKDAY($J1192,2)+4)&amp;"-W"&amp;TEXT(WEEKNUM($J1192,21),"00"))</f>
        <v/>
      </c>
      <c r="B1192">
        <f>IF($J1192="","",SUMIFS('Weekly Log'!$C:$C,'Weekly Log'!$A:$A,"&gt;="&amp;$J1192,'Weekly Log'!$A:$A,"&lt;"&amp;$J1192+7))</f>
        <v/>
      </c>
      <c r="C1192">
        <f>IF($J1192="","",IFERROR(COUNTIFS('Weekly Log'!$G:$G,"Y",'Weekly Log'!$A:$A,"&gt;="&amp;$J1192,'Weekly Log'!$A:$A,"&lt;"&amp;$J1192+7)/COUNTIFS('Weekly Log'!$G:$G,"&lt;&gt;",'Weekly Log'!$A:$A,"&gt;="&amp;$J1192,'Weekly Log'!$A:$A,"&lt;"&amp;$J1192+7),0))</f>
        <v/>
      </c>
      <c r="D1192">
        <f>IF($J1192="","",IFERROR(COUNTIFS('Weekly Log'!$H:$H,"Y",'Weekly Log'!$A:$A,"&gt;="&amp;$J1192,'Weekly Log'!$A:$A,"&lt;"&amp;$J1192+7)/COUNTIFS('Weekly Log'!$H:$H,"&lt;&gt;",'Weekly Log'!$A:$A,"&gt;="&amp;$J1192,'Weekly Log'!$A:$A,"&lt;"&amp;$J1192+7),0))</f>
        <v/>
      </c>
      <c r="E1192">
        <f>IF($J1192="","",IFERROR(AVERAGEIFS('Weekly Log'!$F:$F,'Weekly Log'!$A:$A,"&gt;="&amp;$J1192,'Weekly Log'!$A:$A,"&lt;"&amp;$J1192+7),0))</f>
        <v/>
      </c>
      <c r="F1192">
        <f>IF($J1192="","",IFERROR(SUMIFS('Weekly Log'!$F:$F,'Weekly Log'!$A:$A,"&gt;="&amp;$J1192,'Weekly Log'!$A:$A,"&lt;"&amp;$J1192+7)/SUMIFS('Weekly Log'!$E:$E,'Weekly Log'!$A:$A,"&gt;="&amp;$J1192,'Weekly Log'!$A:$A,"&lt;"&amp;$J1192+7),0))</f>
        <v/>
      </c>
      <c r="G1192">
        <f>IF($J1192="","",IFERROR(LOOKUP(2,1/(('Weekly Log'!$A$5:$A$5000&gt;=$J1192)*('Weekly Log'!$A$5:$A$5000&lt;$J1192+7)*('Weekly Log'!$M$5:$M$5000&lt;&gt;"")),'Weekly Log'!$M$5:$M$5000),0))</f>
        <v/>
      </c>
      <c r="J1192">
        <f>IF(COUNT('Weekly Log'!$A$5:$A$5000)=0,"",IF(MIN('Weekly Log'!$A$5:$A$5000)+7*(ROW()-10)&gt;MAX('Weekly Log'!$A$5:$A$5000),"",MIN('Weekly Log'!$A$5:$A$5000)+7*(ROW()-10)))</f>
        <v/>
      </c>
    </row>
    <row r="1193">
      <c r="A1193">
        <f>IF($J1193="","",YEAR($J1193-WEEKDAY($J1193,2)+4)&amp;"-W"&amp;TEXT(WEEKNUM($J1193,21),"00"))</f>
        <v/>
      </c>
      <c r="B1193">
        <f>IF($J1193="","",SUMIFS('Weekly Log'!$C:$C,'Weekly Log'!$A:$A,"&gt;="&amp;$J1193,'Weekly Log'!$A:$A,"&lt;"&amp;$J1193+7))</f>
        <v/>
      </c>
      <c r="C1193">
        <f>IF($J1193="","",IFERROR(COUNTIFS('Weekly Log'!$G:$G,"Y",'Weekly Log'!$A:$A,"&gt;="&amp;$J1193,'Weekly Log'!$A:$A,"&lt;"&amp;$J1193+7)/COUNTIFS('Weekly Log'!$G:$G,"&lt;&gt;",'Weekly Log'!$A:$A,"&gt;="&amp;$J1193,'Weekly Log'!$A:$A,"&lt;"&amp;$J1193+7),0))</f>
        <v/>
      </c>
      <c r="D1193">
        <f>IF($J1193="","",IFERROR(COUNTIFS('Weekly Log'!$H:$H,"Y",'Weekly Log'!$A:$A,"&gt;="&amp;$J1193,'Weekly Log'!$A:$A,"&lt;"&amp;$J1193+7)/COUNTIFS('Weekly Log'!$H:$H,"&lt;&gt;",'Weekly Log'!$A:$A,"&gt;="&amp;$J1193,'Weekly Log'!$A:$A,"&lt;"&amp;$J1193+7),0))</f>
        <v/>
      </c>
      <c r="E1193">
        <f>IF($J1193="","",IFERROR(AVERAGEIFS('Weekly Log'!$F:$F,'Weekly Log'!$A:$A,"&gt;="&amp;$J1193,'Weekly Log'!$A:$A,"&lt;"&amp;$J1193+7),0))</f>
        <v/>
      </c>
      <c r="F1193">
        <f>IF($J1193="","",IFERROR(SUMIFS('Weekly Log'!$F:$F,'Weekly Log'!$A:$A,"&gt;="&amp;$J1193,'Weekly Log'!$A:$A,"&lt;"&amp;$J1193+7)/SUMIFS('Weekly Log'!$E:$E,'Weekly Log'!$A:$A,"&gt;="&amp;$J1193,'Weekly Log'!$A:$A,"&lt;"&amp;$J1193+7),0))</f>
        <v/>
      </c>
      <c r="G1193">
        <f>IF($J1193="","",IFERROR(LOOKUP(2,1/(('Weekly Log'!$A$5:$A$5000&gt;=$J1193)*('Weekly Log'!$A$5:$A$5000&lt;$J1193+7)*('Weekly Log'!$M$5:$M$5000&lt;&gt;"")),'Weekly Log'!$M$5:$M$5000),0))</f>
        <v/>
      </c>
      <c r="J1193">
        <f>IF(COUNT('Weekly Log'!$A$5:$A$5000)=0,"",IF(MIN('Weekly Log'!$A$5:$A$5000)+7*(ROW()-10)&gt;MAX('Weekly Log'!$A$5:$A$5000),"",MIN('Weekly Log'!$A$5:$A$5000)+7*(ROW()-10)))</f>
        <v/>
      </c>
    </row>
    <row r="1194">
      <c r="A1194">
        <f>IF($J1194="","",YEAR($J1194-WEEKDAY($J1194,2)+4)&amp;"-W"&amp;TEXT(WEEKNUM($J1194,21),"00"))</f>
        <v/>
      </c>
      <c r="B1194">
        <f>IF($J1194="","",SUMIFS('Weekly Log'!$C:$C,'Weekly Log'!$A:$A,"&gt;="&amp;$J1194,'Weekly Log'!$A:$A,"&lt;"&amp;$J1194+7))</f>
        <v/>
      </c>
      <c r="C1194">
        <f>IF($J1194="","",IFERROR(COUNTIFS('Weekly Log'!$G:$G,"Y",'Weekly Log'!$A:$A,"&gt;="&amp;$J1194,'Weekly Log'!$A:$A,"&lt;"&amp;$J1194+7)/COUNTIFS('Weekly Log'!$G:$G,"&lt;&gt;",'Weekly Log'!$A:$A,"&gt;="&amp;$J1194,'Weekly Log'!$A:$A,"&lt;"&amp;$J1194+7),0))</f>
        <v/>
      </c>
      <c r="D1194">
        <f>IF($J1194="","",IFERROR(COUNTIFS('Weekly Log'!$H:$H,"Y",'Weekly Log'!$A:$A,"&gt;="&amp;$J1194,'Weekly Log'!$A:$A,"&lt;"&amp;$J1194+7)/COUNTIFS('Weekly Log'!$H:$H,"&lt;&gt;",'Weekly Log'!$A:$A,"&gt;="&amp;$J1194,'Weekly Log'!$A:$A,"&lt;"&amp;$J1194+7),0))</f>
        <v/>
      </c>
      <c r="E1194">
        <f>IF($J1194="","",IFERROR(AVERAGEIFS('Weekly Log'!$F:$F,'Weekly Log'!$A:$A,"&gt;="&amp;$J1194,'Weekly Log'!$A:$A,"&lt;"&amp;$J1194+7),0))</f>
        <v/>
      </c>
      <c r="F1194">
        <f>IF($J1194="","",IFERROR(SUMIFS('Weekly Log'!$F:$F,'Weekly Log'!$A:$A,"&gt;="&amp;$J1194,'Weekly Log'!$A:$A,"&lt;"&amp;$J1194+7)/SUMIFS('Weekly Log'!$E:$E,'Weekly Log'!$A:$A,"&gt;="&amp;$J1194,'Weekly Log'!$A:$A,"&lt;"&amp;$J1194+7),0))</f>
        <v/>
      </c>
      <c r="G1194">
        <f>IF($J1194="","",IFERROR(LOOKUP(2,1/(('Weekly Log'!$A$5:$A$5000&gt;=$J1194)*('Weekly Log'!$A$5:$A$5000&lt;$J1194+7)*('Weekly Log'!$M$5:$M$5000&lt;&gt;"")),'Weekly Log'!$M$5:$M$5000),0))</f>
        <v/>
      </c>
      <c r="J1194">
        <f>IF(COUNT('Weekly Log'!$A$5:$A$5000)=0,"",IF(MIN('Weekly Log'!$A$5:$A$5000)+7*(ROW()-10)&gt;MAX('Weekly Log'!$A$5:$A$5000),"",MIN('Weekly Log'!$A$5:$A$5000)+7*(ROW()-10)))</f>
        <v/>
      </c>
    </row>
    <row r="1195">
      <c r="A1195">
        <f>IF($J1195="","",YEAR($J1195-WEEKDAY($J1195,2)+4)&amp;"-W"&amp;TEXT(WEEKNUM($J1195,21),"00"))</f>
        <v/>
      </c>
      <c r="B1195">
        <f>IF($J1195="","",SUMIFS('Weekly Log'!$C:$C,'Weekly Log'!$A:$A,"&gt;="&amp;$J1195,'Weekly Log'!$A:$A,"&lt;"&amp;$J1195+7))</f>
        <v/>
      </c>
      <c r="C1195">
        <f>IF($J1195="","",IFERROR(COUNTIFS('Weekly Log'!$G:$G,"Y",'Weekly Log'!$A:$A,"&gt;="&amp;$J1195,'Weekly Log'!$A:$A,"&lt;"&amp;$J1195+7)/COUNTIFS('Weekly Log'!$G:$G,"&lt;&gt;",'Weekly Log'!$A:$A,"&gt;="&amp;$J1195,'Weekly Log'!$A:$A,"&lt;"&amp;$J1195+7),0))</f>
        <v/>
      </c>
      <c r="D1195">
        <f>IF($J1195="","",IFERROR(COUNTIFS('Weekly Log'!$H:$H,"Y",'Weekly Log'!$A:$A,"&gt;="&amp;$J1195,'Weekly Log'!$A:$A,"&lt;"&amp;$J1195+7)/COUNTIFS('Weekly Log'!$H:$H,"&lt;&gt;",'Weekly Log'!$A:$A,"&gt;="&amp;$J1195,'Weekly Log'!$A:$A,"&lt;"&amp;$J1195+7),0))</f>
        <v/>
      </c>
      <c r="E1195">
        <f>IF($J1195="","",IFERROR(AVERAGEIFS('Weekly Log'!$F:$F,'Weekly Log'!$A:$A,"&gt;="&amp;$J1195,'Weekly Log'!$A:$A,"&lt;"&amp;$J1195+7),0))</f>
        <v/>
      </c>
      <c r="F1195">
        <f>IF($J1195="","",IFERROR(SUMIFS('Weekly Log'!$F:$F,'Weekly Log'!$A:$A,"&gt;="&amp;$J1195,'Weekly Log'!$A:$A,"&lt;"&amp;$J1195+7)/SUMIFS('Weekly Log'!$E:$E,'Weekly Log'!$A:$A,"&gt;="&amp;$J1195,'Weekly Log'!$A:$A,"&lt;"&amp;$J1195+7),0))</f>
        <v/>
      </c>
      <c r="G1195">
        <f>IF($J1195="","",IFERROR(LOOKUP(2,1/(('Weekly Log'!$A$5:$A$5000&gt;=$J1195)*('Weekly Log'!$A$5:$A$5000&lt;$J1195+7)*('Weekly Log'!$M$5:$M$5000&lt;&gt;"")),'Weekly Log'!$M$5:$M$5000),0))</f>
        <v/>
      </c>
      <c r="J1195">
        <f>IF(COUNT('Weekly Log'!$A$5:$A$5000)=0,"",IF(MIN('Weekly Log'!$A$5:$A$5000)+7*(ROW()-10)&gt;MAX('Weekly Log'!$A$5:$A$5000),"",MIN('Weekly Log'!$A$5:$A$5000)+7*(ROW()-10)))</f>
        <v/>
      </c>
    </row>
    <row r="1196">
      <c r="A1196">
        <f>IF($J1196="","",YEAR($J1196-WEEKDAY($J1196,2)+4)&amp;"-W"&amp;TEXT(WEEKNUM($J1196,21),"00"))</f>
        <v/>
      </c>
      <c r="B1196">
        <f>IF($J1196="","",SUMIFS('Weekly Log'!$C:$C,'Weekly Log'!$A:$A,"&gt;="&amp;$J1196,'Weekly Log'!$A:$A,"&lt;"&amp;$J1196+7))</f>
        <v/>
      </c>
      <c r="C1196">
        <f>IF($J1196="","",IFERROR(COUNTIFS('Weekly Log'!$G:$G,"Y",'Weekly Log'!$A:$A,"&gt;="&amp;$J1196,'Weekly Log'!$A:$A,"&lt;"&amp;$J1196+7)/COUNTIFS('Weekly Log'!$G:$G,"&lt;&gt;",'Weekly Log'!$A:$A,"&gt;="&amp;$J1196,'Weekly Log'!$A:$A,"&lt;"&amp;$J1196+7),0))</f>
        <v/>
      </c>
      <c r="D1196">
        <f>IF($J1196="","",IFERROR(COUNTIFS('Weekly Log'!$H:$H,"Y",'Weekly Log'!$A:$A,"&gt;="&amp;$J1196,'Weekly Log'!$A:$A,"&lt;"&amp;$J1196+7)/COUNTIFS('Weekly Log'!$H:$H,"&lt;&gt;",'Weekly Log'!$A:$A,"&gt;="&amp;$J1196,'Weekly Log'!$A:$A,"&lt;"&amp;$J1196+7),0))</f>
        <v/>
      </c>
      <c r="E1196">
        <f>IF($J1196="","",IFERROR(AVERAGEIFS('Weekly Log'!$F:$F,'Weekly Log'!$A:$A,"&gt;="&amp;$J1196,'Weekly Log'!$A:$A,"&lt;"&amp;$J1196+7),0))</f>
        <v/>
      </c>
      <c r="F1196">
        <f>IF($J1196="","",IFERROR(SUMIFS('Weekly Log'!$F:$F,'Weekly Log'!$A:$A,"&gt;="&amp;$J1196,'Weekly Log'!$A:$A,"&lt;"&amp;$J1196+7)/SUMIFS('Weekly Log'!$E:$E,'Weekly Log'!$A:$A,"&gt;="&amp;$J1196,'Weekly Log'!$A:$A,"&lt;"&amp;$J1196+7),0))</f>
        <v/>
      </c>
      <c r="G1196">
        <f>IF($J1196="","",IFERROR(LOOKUP(2,1/(('Weekly Log'!$A$5:$A$5000&gt;=$J1196)*('Weekly Log'!$A$5:$A$5000&lt;$J1196+7)*('Weekly Log'!$M$5:$M$5000&lt;&gt;"")),'Weekly Log'!$M$5:$M$5000),0))</f>
        <v/>
      </c>
      <c r="J1196">
        <f>IF(COUNT('Weekly Log'!$A$5:$A$5000)=0,"",IF(MIN('Weekly Log'!$A$5:$A$5000)+7*(ROW()-10)&gt;MAX('Weekly Log'!$A$5:$A$5000),"",MIN('Weekly Log'!$A$5:$A$5000)+7*(ROW()-10)))</f>
        <v/>
      </c>
    </row>
    <row r="1197">
      <c r="A1197">
        <f>IF($J1197="","",YEAR($J1197-WEEKDAY($J1197,2)+4)&amp;"-W"&amp;TEXT(WEEKNUM($J1197,21),"00"))</f>
        <v/>
      </c>
      <c r="B1197">
        <f>IF($J1197="","",SUMIFS('Weekly Log'!$C:$C,'Weekly Log'!$A:$A,"&gt;="&amp;$J1197,'Weekly Log'!$A:$A,"&lt;"&amp;$J1197+7))</f>
        <v/>
      </c>
      <c r="C1197">
        <f>IF($J1197="","",IFERROR(COUNTIFS('Weekly Log'!$G:$G,"Y",'Weekly Log'!$A:$A,"&gt;="&amp;$J1197,'Weekly Log'!$A:$A,"&lt;"&amp;$J1197+7)/COUNTIFS('Weekly Log'!$G:$G,"&lt;&gt;",'Weekly Log'!$A:$A,"&gt;="&amp;$J1197,'Weekly Log'!$A:$A,"&lt;"&amp;$J1197+7),0))</f>
        <v/>
      </c>
      <c r="D1197">
        <f>IF($J1197="","",IFERROR(COUNTIFS('Weekly Log'!$H:$H,"Y",'Weekly Log'!$A:$A,"&gt;="&amp;$J1197,'Weekly Log'!$A:$A,"&lt;"&amp;$J1197+7)/COUNTIFS('Weekly Log'!$H:$H,"&lt;&gt;",'Weekly Log'!$A:$A,"&gt;="&amp;$J1197,'Weekly Log'!$A:$A,"&lt;"&amp;$J1197+7),0))</f>
        <v/>
      </c>
      <c r="E1197">
        <f>IF($J1197="","",IFERROR(AVERAGEIFS('Weekly Log'!$F:$F,'Weekly Log'!$A:$A,"&gt;="&amp;$J1197,'Weekly Log'!$A:$A,"&lt;"&amp;$J1197+7),0))</f>
        <v/>
      </c>
      <c r="F1197">
        <f>IF($J1197="","",IFERROR(SUMIFS('Weekly Log'!$F:$F,'Weekly Log'!$A:$A,"&gt;="&amp;$J1197,'Weekly Log'!$A:$A,"&lt;"&amp;$J1197+7)/SUMIFS('Weekly Log'!$E:$E,'Weekly Log'!$A:$A,"&gt;="&amp;$J1197,'Weekly Log'!$A:$A,"&lt;"&amp;$J1197+7),0))</f>
        <v/>
      </c>
      <c r="G1197">
        <f>IF($J1197="","",IFERROR(LOOKUP(2,1/(('Weekly Log'!$A$5:$A$5000&gt;=$J1197)*('Weekly Log'!$A$5:$A$5000&lt;$J1197+7)*('Weekly Log'!$M$5:$M$5000&lt;&gt;"")),'Weekly Log'!$M$5:$M$5000),0))</f>
        <v/>
      </c>
      <c r="J1197">
        <f>IF(COUNT('Weekly Log'!$A$5:$A$5000)=0,"",IF(MIN('Weekly Log'!$A$5:$A$5000)+7*(ROW()-10)&gt;MAX('Weekly Log'!$A$5:$A$5000),"",MIN('Weekly Log'!$A$5:$A$5000)+7*(ROW()-10)))</f>
        <v/>
      </c>
    </row>
    <row r="1198">
      <c r="A1198">
        <f>IF($J1198="","",YEAR($J1198-WEEKDAY($J1198,2)+4)&amp;"-W"&amp;TEXT(WEEKNUM($J1198,21),"00"))</f>
        <v/>
      </c>
      <c r="B1198">
        <f>IF($J1198="","",SUMIFS('Weekly Log'!$C:$C,'Weekly Log'!$A:$A,"&gt;="&amp;$J1198,'Weekly Log'!$A:$A,"&lt;"&amp;$J1198+7))</f>
        <v/>
      </c>
      <c r="C1198">
        <f>IF($J1198="","",IFERROR(COUNTIFS('Weekly Log'!$G:$G,"Y",'Weekly Log'!$A:$A,"&gt;="&amp;$J1198,'Weekly Log'!$A:$A,"&lt;"&amp;$J1198+7)/COUNTIFS('Weekly Log'!$G:$G,"&lt;&gt;",'Weekly Log'!$A:$A,"&gt;="&amp;$J1198,'Weekly Log'!$A:$A,"&lt;"&amp;$J1198+7),0))</f>
        <v/>
      </c>
      <c r="D1198">
        <f>IF($J1198="","",IFERROR(COUNTIFS('Weekly Log'!$H:$H,"Y",'Weekly Log'!$A:$A,"&gt;="&amp;$J1198,'Weekly Log'!$A:$A,"&lt;"&amp;$J1198+7)/COUNTIFS('Weekly Log'!$H:$H,"&lt;&gt;",'Weekly Log'!$A:$A,"&gt;="&amp;$J1198,'Weekly Log'!$A:$A,"&lt;"&amp;$J1198+7),0))</f>
        <v/>
      </c>
      <c r="E1198">
        <f>IF($J1198="","",IFERROR(AVERAGEIFS('Weekly Log'!$F:$F,'Weekly Log'!$A:$A,"&gt;="&amp;$J1198,'Weekly Log'!$A:$A,"&lt;"&amp;$J1198+7),0))</f>
        <v/>
      </c>
      <c r="F1198">
        <f>IF($J1198="","",IFERROR(SUMIFS('Weekly Log'!$F:$F,'Weekly Log'!$A:$A,"&gt;="&amp;$J1198,'Weekly Log'!$A:$A,"&lt;"&amp;$J1198+7)/SUMIFS('Weekly Log'!$E:$E,'Weekly Log'!$A:$A,"&gt;="&amp;$J1198,'Weekly Log'!$A:$A,"&lt;"&amp;$J1198+7),0))</f>
        <v/>
      </c>
      <c r="G1198">
        <f>IF($J1198="","",IFERROR(LOOKUP(2,1/(('Weekly Log'!$A$5:$A$5000&gt;=$J1198)*('Weekly Log'!$A$5:$A$5000&lt;$J1198+7)*('Weekly Log'!$M$5:$M$5000&lt;&gt;"")),'Weekly Log'!$M$5:$M$5000),0))</f>
        <v/>
      </c>
      <c r="J1198">
        <f>IF(COUNT('Weekly Log'!$A$5:$A$5000)=0,"",IF(MIN('Weekly Log'!$A$5:$A$5000)+7*(ROW()-10)&gt;MAX('Weekly Log'!$A$5:$A$5000),"",MIN('Weekly Log'!$A$5:$A$5000)+7*(ROW()-10)))</f>
        <v/>
      </c>
    </row>
    <row r="1199">
      <c r="A1199">
        <f>IF($J1199="","",YEAR($J1199-WEEKDAY($J1199,2)+4)&amp;"-W"&amp;TEXT(WEEKNUM($J1199,21),"00"))</f>
        <v/>
      </c>
      <c r="B1199">
        <f>IF($J1199="","",SUMIFS('Weekly Log'!$C:$C,'Weekly Log'!$A:$A,"&gt;="&amp;$J1199,'Weekly Log'!$A:$A,"&lt;"&amp;$J1199+7))</f>
        <v/>
      </c>
      <c r="C1199">
        <f>IF($J1199="","",IFERROR(COUNTIFS('Weekly Log'!$G:$G,"Y",'Weekly Log'!$A:$A,"&gt;="&amp;$J1199,'Weekly Log'!$A:$A,"&lt;"&amp;$J1199+7)/COUNTIFS('Weekly Log'!$G:$G,"&lt;&gt;",'Weekly Log'!$A:$A,"&gt;="&amp;$J1199,'Weekly Log'!$A:$A,"&lt;"&amp;$J1199+7),0))</f>
        <v/>
      </c>
      <c r="D1199">
        <f>IF($J1199="","",IFERROR(COUNTIFS('Weekly Log'!$H:$H,"Y",'Weekly Log'!$A:$A,"&gt;="&amp;$J1199,'Weekly Log'!$A:$A,"&lt;"&amp;$J1199+7)/COUNTIFS('Weekly Log'!$H:$H,"&lt;&gt;",'Weekly Log'!$A:$A,"&gt;="&amp;$J1199,'Weekly Log'!$A:$A,"&lt;"&amp;$J1199+7),0))</f>
        <v/>
      </c>
      <c r="E1199">
        <f>IF($J1199="","",IFERROR(AVERAGEIFS('Weekly Log'!$F:$F,'Weekly Log'!$A:$A,"&gt;="&amp;$J1199,'Weekly Log'!$A:$A,"&lt;"&amp;$J1199+7),0))</f>
        <v/>
      </c>
      <c r="F1199">
        <f>IF($J1199="","",IFERROR(SUMIFS('Weekly Log'!$F:$F,'Weekly Log'!$A:$A,"&gt;="&amp;$J1199,'Weekly Log'!$A:$A,"&lt;"&amp;$J1199+7)/SUMIFS('Weekly Log'!$E:$E,'Weekly Log'!$A:$A,"&gt;="&amp;$J1199,'Weekly Log'!$A:$A,"&lt;"&amp;$J1199+7),0))</f>
        <v/>
      </c>
      <c r="G1199">
        <f>IF($J1199="","",IFERROR(LOOKUP(2,1/(('Weekly Log'!$A$5:$A$5000&gt;=$J1199)*('Weekly Log'!$A$5:$A$5000&lt;$J1199+7)*('Weekly Log'!$M$5:$M$5000&lt;&gt;"")),'Weekly Log'!$M$5:$M$5000),0))</f>
        <v/>
      </c>
      <c r="J1199">
        <f>IF(COUNT('Weekly Log'!$A$5:$A$5000)=0,"",IF(MIN('Weekly Log'!$A$5:$A$5000)+7*(ROW()-10)&gt;MAX('Weekly Log'!$A$5:$A$5000),"",MIN('Weekly Log'!$A$5:$A$5000)+7*(ROW()-10)))</f>
        <v/>
      </c>
    </row>
    <row r="1200">
      <c r="A1200">
        <f>IF($J1200="","",YEAR($J1200-WEEKDAY($J1200,2)+4)&amp;"-W"&amp;TEXT(WEEKNUM($J1200,21),"00"))</f>
        <v/>
      </c>
      <c r="B1200">
        <f>IF($J1200="","",SUMIFS('Weekly Log'!$C:$C,'Weekly Log'!$A:$A,"&gt;="&amp;$J1200,'Weekly Log'!$A:$A,"&lt;"&amp;$J1200+7))</f>
        <v/>
      </c>
      <c r="C1200">
        <f>IF($J1200="","",IFERROR(COUNTIFS('Weekly Log'!$G:$G,"Y",'Weekly Log'!$A:$A,"&gt;="&amp;$J1200,'Weekly Log'!$A:$A,"&lt;"&amp;$J1200+7)/COUNTIFS('Weekly Log'!$G:$G,"&lt;&gt;",'Weekly Log'!$A:$A,"&gt;="&amp;$J1200,'Weekly Log'!$A:$A,"&lt;"&amp;$J1200+7),0))</f>
        <v/>
      </c>
      <c r="D1200">
        <f>IF($J1200="","",IFERROR(COUNTIFS('Weekly Log'!$H:$H,"Y",'Weekly Log'!$A:$A,"&gt;="&amp;$J1200,'Weekly Log'!$A:$A,"&lt;"&amp;$J1200+7)/COUNTIFS('Weekly Log'!$H:$H,"&lt;&gt;",'Weekly Log'!$A:$A,"&gt;="&amp;$J1200,'Weekly Log'!$A:$A,"&lt;"&amp;$J1200+7),0))</f>
        <v/>
      </c>
      <c r="E1200">
        <f>IF($J1200="","",IFERROR(AVERAGEIFS('Weekly Log'!$F:$F,'Weekly Log'!$A:$A,"&gt;="&amp;$J1200,'Weekly Log'!$A:$A,"&lt;"&amp;$J1200+7),0))</f>
        <v/>
      </c>
      <c r="F1200">
        <f>IF($J1200="","",IFERROR(SUMIFS('Weekly Log'!$F:$F,'Weekly Log'!$A:$A,"&gt;="&amp;$J1200,'Weekly Log'!$A:$A,"&lt;"&amp;$J1200+7)/SUMIFS('Weekly Log'!$E:$E,'Weekly Log'!$A:$A,"&gt;="&amp;$J1200,'Weekly Log'!$A:$A,"&lt;"&amp;$J1200+7),0))</f>
        <v/>
      </c>
      <c r="G1200">
        <f>IF($J1200="","",IFERROR(LOOKUP(2,1/(('Weekly Log'!$A$5:$A$5000&gt;=$J1200)*('Weekly Log'!$A$5:$A$5000&lt;$J1200+7)*('Weekly Log'!$M$5:$M$5000&lt;&gt;"")),'Weekly Log'!$M$5:$M$5000),0))</f>
        <v/>
      </c>
      <c r="J1200">
        <f>IF(COUNT('Weekly Log'!$A$5:$A$5000)=0,"",IF(MIN('Weekly Log'!$A$5:$A$5000)+7*(ROW()-10)&gt;MAX('Weekly Log'!$A$5:$A$5000),"",MIN('Weekly Log'!$A$5:$A$5000)+7*(ROW()-10)))</f>
        <v/>
      </c>
    </row>
    <row r="1201">
      <c r="A1201">
        <f>IF($J1201="","",YEAR($J1201-WEEKDAY($J1201,2)+4)&amp;"-W"&amp;TEXT(WEEKNUM($J1201,21),"00"))</f>
        <v/>
      </c>
      <c r="B1201">
        <f>IF($J1201="","",SUMIFS('Weekly Log'!$C:$C,'Weekly Log'!$A:$A,"&gt;="&amp;$J1201,'Weekly Log'!$A:$A,"&lt;"&amp;$J1201+7))</f>
        <v/>
      </c>
      <c r="C1201">
        <f>IF($J1201="","",IFERROR(COUNTIFS('Weekly Log'!$G:$G,"Y",'Weekly Log'!$A:$A,"&gt;="&amp;$J1201,'Weekly Log'!$A:$A,"&lt;"&amp;$J1201+7)/COUNTIFS('Weekly Log'!$G:$G,"&lt;&gt;",'Weekly Log'!$A:$A,"&gt;="&amp;$J1201,'Weekly Log'!$A:$A,"&lt;"&amp;$J1201+7),0))</f>
        <v/>
      </c>
      <c r="D1201">
        <f>IF($J1201="","",IFERROR(COUNTIFS('Weekly Log'!$H:$H,"Y",'Weekly Log'!$A:$A,"&gt;="&amp;$J1201,'Weekly Log'!$A:$A,"&lt;"&amp;$J1201+7)/COUNTIFS('Weekly Log'!$H:$H,"&lt;&gt;",'Weekly Log'!$A:$A,"&gt;="&amp;$J1201,'Weekly Log'!$A:$A,"&lt;"&amp;$J1201+7),0))</f>
        <v/>
      </c>
      <c r="E1201">
        <f>IF($J1201="","",IFERROR(AVERAGEIFS('Weekly Log'!$F:$F,'Weekly Log'!$A:$A,"&gt;="&amp;$J1201,'Weekly Log'!$A:$A,"&lt;"&amp;$J1201+7),0))</f>
        <v/>
      </c>
      <c r="F1201">
        <f>IF($J1201="","",IFERROR(SUMIFS('Weekly Log'!$F:$F,'Weekly Log'!$A:$A,"&gt;="&amp;$J1201,'Weekly Log'!$A:$A,"&lt;"&amp;$J1201+7)/SUMIFS('Weekly Log'!$E:$E,'Weekly Log'!$A:$A,"&gt;="&amp;$J1201,'Weekly Log'!$A:$A,"&lt;"&amp;$J1201+7),0))</f>
        <v/>
      </c>
      <c r="G1201">
        <f>IF($J1201="","",IFERROR(LOOKUP(2,1/(('Weekly Log'!$A$5:$A$5000&gt;=$J1201)*('Weekly Log'!$A$5:$A$5000&lt;$J1201+7)*('Weekly Log'!$M$5:$M$5000&lt;&gt;"")),'Weekly Log'!$M$5:$M$5000),0))</f>
        <v/>
      </c>
      <c r="J1201">
        <f>IF(COUNT('Weekly Log'!$A$5:$A$5000)=0,"",IF(MIN('Weekly Log'!$A$5:$A$5000)+7*(ROW()-10)&gt;MAX('Weekly Log'!$A$5:$A$5000),"",MIN('Weekly Log'!$A$5:$A$5000)+7*(ROW()-10)))</f>
        <v/>
      </c>
    </row>
    <row r="1202">
      <c r="A1202">
        <f>IF($J1202="","",YEAR($J1202-WEEKDAY($J1202,2)+4)&amp;"-W"&amp;TEXT(WEEKNUM($J1202,21),"00"))</f>
        <v/>
      </c>
      <c r="B1202">
        <f>IF($J1202="","",SUMIFS('Weekly Log'!$C:$C,'Weekly Log'!$A:$A,"&gt;="&amp;$J1202,'Weekly Log'!$A:$A,"&lt;"&amp;$J1202+7))</f>
        <v/>
      </c>
      <c r="C1202">
        <f>IF($J1202="","",IFERROR(COUNTIFS('Weekly Log'!$G:$G,"Y",'Weekly Log'!$A:$A,"&gt;="&amp;$J1202,'Weekly Log'!$A:$A,"&lt;"&amp;$J1202+7)/COUNTIFS('Weekly Log'!$G:$G,"&lt;&gt;",'Weekly Log'!$A:$A,"&gt;="&amp;$J1202,'Weekly Log'!$A:$A,"&lt;"&amp;$J1202+7),0))</f>
        <v/>
      </c>
      <c r="D1202">
        <f>IF($J1202="","",IFERROR(COUNTIFS('Weekly Log'!$H:$H,"Y",'Weekly Log'!$A:$A,"&gt;="&amp;$J1202,'Weekly Log'!$A:$A,"&lt;"&amp;$J1202+7)/COUNTIFS('Weekly Log'!$H:$H,"&lt;&gt;",'Weekly Log'!$A:$A,"&gt;="&amp;$J1202,'Weekly Log'!$A:$A,"&lt;"&amp;$J1202+7),0))</f>
        <v/>
      </c>
      <c r="E1202">
        <f>IF($J1202="","",IFERROR(AVERAGEIFS('Weekly Log'!$F:$F,'Weekly Log'!$A:$A,"&gt;="&amp;$J1202,'Weekly Log'!$A:$A,"&lt;"&amp;$J1202+7),0))</f>
        <v/>
      </c>
      <c r="F1202">
        <f>IF($J1202="","",IFERROR(SUMIFS('Weekly Log'!$F:$F,'Weekly Log'!$A:$A,"&gt;="&amp;$J1202,'Weekly Log'!$A:$A,"&lt;"&amp;$J1202+7)/SUMIFS('Weekly Log'!$E:$E,'Weekly Log'!$A:$A,"&gt;="&amp;$J1202,'Weekly Log'!$A:$A,"&lt;"&amp;$J1202+7),0))</f>
        <v/>
      </c>
      <c r="G1202">
        <f>IF($J1202="","",IFERROR(LOOKUP(2,1/(('Weekly Log'!$A$5:$A$5000&gt;=$J1202)*('Weekly Log'!$A$5:$A$5000&lt;$J1202+7)*('Weekly Log'!$M$5:$M$5000&lt;&gt;"")),'Weekly Log'!$M$5:$M$5000),0))</f>
        <v/>
      </c>
      <c r="J1202">
        <f>IF(COUNT('Weekly Log'!$A$5:$A$5000)=0,"",IF(MIN('Weekly Log'!$A$5:$A$5000)+7*(ROW()-10)&gt;MAX('Weekly Log'!$A$5:$A$5000),"",MIN('Weekly Log'!$A$5:$A$5000)+7*(ROW()-10)))</f>
        <v/>
      </c>
    </row>
    <row r="1203">
      <c r="A1203">
        <f>IF($J1203="","",YEAR($J1203-WEEKDAY($J1203,2)+4)&amp;"-W"&amp;TEXT(WEEKNUM($J1203,21),"00"))</f>
        <v/>
      </c>
      <c r="B1203">
        <f>IF($J1203="","",SUMIFS('Weekly Log'!$C:$C,'Weekly Log'!$A:$A,"&gt;="&amp;$J1203,'Weekly Log'!$A:$A,"&lt;"&amp;$J1203+7))</f>
        <v/>
      </c>
      <c r="C1203">
        <f>IF($J1203="","",IFERROR(COUNTIFS('Weekly Log'!$G:$G,"Y",'Weekly Log'!$A:$A,"&gt;="&amp;$J1203,'Weekly Log'!$A:$A,"&lt;"&amp;$J1203+7)/COUNTIFS('Weekly Log'!$G:$G,"&lt;&gt;",'Weekly Log'!$A:$A,"&gt;="&amp;$J1203,'Weekly Log'!$A:$A,"&lt;"&amp;$J1203+7),0))</f>
        <v/>
      </c>
      <c r="D1203">
        <f>IF($J1203="","",IFERROR(COUNTIFS('Weekly Log'!$H:$H,"Y",'Weekly Log'!$A:$A,"&gt;="&amp;$J1203,'Weekly Log'!$A:$A,"&lt;"&amp;$J1203+7)/COUNTIFS('Weekly Log'!$H:$H,"&lt;&gt;",'Weekly Log'!$A:$A,"&gt;="&amp;$J1203,'Weekly Log'!$A:$A,"&lt;"&amp;$J1203+7),0))</f>
        <v/>
      </c>
      <c r="E1203">
        <f>IF($J1203="","",IFERROR(AVERAGEIFS('Weekly Log'!$F:$F,'Weekly Log'!$A:$A,"&gt;="&amp;$J1203,'Weekly Log'!$A:$A,"&lt;"&amp;$J1203+7),0))</f>
        <v/>
      </c>
      <c r="F1203">
        <f>IF($J1203="","",IFERROR(SUMIFS('Weekly Log'!$F:$F,'Weekly Log'!$A:$A,"&gt;="&amp;$J1203,'Weekly Log'!$A:$A,"&lt;"&amp;$J1203+7)/SUMIFS('Weekly Log'!$E:$E,'Weekly Log'!$A:$A,"&gt;="&amp;$J1203,'Weekly Log'!$A:$A,"&lt;"&amp;$J1203+7),0))</f>
        <v/>
      </c>
      <c r="G1203">
        <f>IF($J1203="","",IFERROR(LOOKUP(2,1/(('Weekly Log'!$A$5:$A$5000&gt;=$J1203)*('Weekly Log'!$A$5:$A$5000&lt;$J1203+7)*('Weekly Log'!$M$5:$M$5000&lt;&gt;"")),'Weekly Log'!$M$5:$M$5000),0))</f>
        <v/>
      </c>
      <c r="J1203">
        <f>IF(COUNT('Weekly Log'!$A$5:$A$5000)=0,"",IF(MIN('Weekly Log'!$A$5:$A$5000)+7*(ROW()-10)&gt;MAX('Weekly Log'!$A$5:$A$5000),"",MIN('Weekly Log'!$A$5:$A$5000)+7*(ROW()-10)))</f>
        <v/>
      </c>
    </row>
    <row r="1204">
      <c r="A1204">
        <f>IF($J1204="","",YEAR($J1204-WEEKDAY($J1204,2)+4)&amp;"-W"&amp;TEXT(WEEKNUM($J1204,21),"00"))</f>
        <v/>
      </c>
      <c r="B1204">
        <f>IF($J1204="","",SUMIFS('Weekly Log'!$C:$C,'Weekly Log'!$A:$A,"&gt;="&amp;$J1204,'Weekly Log'!$A:$A,"&lt;"&amp;$J1204+7))</f>
        <v/>
      </c>
      <c r="C1204">
        <f>IF($J1204="","",IFERROR(COUNTIFS('Weekly Log'!$G:$G,"Y",'Weekly Log'!$A:$A,"&gt;="&amp;$J1204,'Weekly Log'!$A:$A,"&lt;"&amp;$J1204+7)/COUNTIFS('Weekly Log'!$G:$G,"&lt;&gt;",'Weekly Log'!$A:$A,"&gt;="&amp;$J1204,'Weekly Log'!$A:$A,"&lt;"&amp;$J1204+7),0))</f>
        <v/>
      </c>
      <c r="D1204">
        <f>IF($J1204="","",IFERROR(COUNTIFS('Weekly Log'!$H:$H,"Y",'Weekly Log'!$A:$A,"&gt;="&amp;$J1204,'Weekly Log'!$A:$A,"&lt;"&amp;$J1204+7)/COUNTIFS('Weekly Log'!$H:$H,"&lt;&gt;",'Weekly Log'!$A:$A,"&gt;="&amp;$J1204,'Weekly Log'!$A:$A,"&lt;"&amp;$J1204+7),0))</f>
        <v/>
      </c>
      <c r="E1204">
        <f>IF($J1204="","",IFERROR(AVERAGEIFS('Weekly Log'!$F:$F,'Weekly Log'!$A:$A,"&gt;="&amp;$J1204,'Weekly Log'!$A:$A,"&lt;"&amp;$J1204+7),0))</f>
        <v/>
      </c>
      <c r="F1204">
        <f>IF($J1204="","",IFERROR(SUMIFS('Weekly Log'!$F:$F,'Weekly Log'!$A:$A,"&gt;="&amp;$J1204,'Weekly Log'!$A:$A,"&lt;"&amp;$J1204+7)/SUMIFS('Weekly Log'!$E:$E,'Weekly Log'!$A:$A,"&gt;="&amp;$J1204,'Weekly Log'!$A:$A,"&lt;"&amp;$J1204+7),0))</f>
        <v/>
      </c>
      <c r="G1204">
        <f>IF($J1204="","",IFERROR(LOOKUP(2,1/(('Weekly Log'!$A$5:$A$5000&gt;=$J1204)*('Weekly Log'!$A$5:$A$5000&lt;$J1204+7)*('Weekly Log'!$M$5:$M$5000&lt;&gt;"")),'Weekly Log'!$M$5:$M$5000),0))</f>
        <v/>
      </c>
      <c r="J1204">
        <f>IF(COUNT('Weekly Log'!$A$5:$A$5000)=0,"",IF(MIN('Weekly Log'!$A$5:$A$5000)+7*(ROW()-10)&gt;MAX('Weekly Log'!$A$5:$A$5000),"",MIN('Weekly Log'!$A$5:$A$5000)+7*(ROW()-10)))</f>
        <v/>
      </c>
    </row>
    <row r="1205">
      <c r="A1205">
        <f>IF($J1205="","",YEAR($J1205-WEEKDAY($J1205,2)+4)&amp;"-W"&amp;TEXT(WEEKNUM($J1205,21),"00"))</f>
        <v/>
      </c>
      <c r="B1205">
        <f>IF($J1205="","",SUMIFS('Weekly Log'!$C:$C,'Weekly Log'!$A:$A,"&gt;="&amp;$J1205,'Weekly Log'!$A:$A,"&lt;"&amp;$J1205+7))</f>
        <v/>
      </c>
      <c r="C1205">
        <f>IF($J1205="","",IFERROR(COUNTIFS('Weekly Log'!$G:$G,"Y",'Weekly Log'!$A:$A,"&gt;="&amp;$J1205,'Weekly Log'!$A:$A,"&lt;"&amp;$J1205+7)/COUNTIFS('Weekly Log'!$G:$G,"&lt;&gt;",'Weekly Log'!$A:$A,"&gt;="&amp;$J1205,'Weekly Log'!$A:$A,"&lt;"&amp;$J1205+7),0))</f>
        <v/>
      </c>
      <c r="D1205">
        <f>IF($J1205="","",IFERROR(COUNTIFS('Weekly Log'!$H:$H,"Y",'Weekly Log'!$A:$A,"&gt;="&amp;$J1205,'Weekly Log'!$A:$A,"&lt;"&amp;$J1205+7)/COUNTIFS('Weekly Log'!$H:$H,"&lt;&gt;",'Weekly Log'!$A:$A,"&gt;="&amp;$J1205,'Weekly Log'!$A:$A,"&lt;"&amp;$J1205+7),0))</f>
        <v/>
      </c>
      <c r="E1205">
        <f>IF($J1205="","",IFERROR(AVERAGEIFS('Weekly Log'!$F:$F,'Weekly Log'!$A:$A,"&gt;="&amp;$J1205,'Weekly Log'!$A:$A,"&lt;"&amp;$J1205+7),0))</f>
        <v/>
      </c>
      <c r="F1205">
        <f>IF($J1205="","",IFERROR(SUMIFS('Weekly Log'!$F:$F,'Weekly Log'!$A:$A,"&gt;="&amp;$J1205,'Weekly Log'!$A:$A,"&lt;"&amp;$J1205+7)/SUMIFS('Weekly Log'!$E:$E,'Weekly Log'!$A:$A,"&gt;="&amp;$J1205,'Weekly Log'!$A:$A,"&lt;"&amp;$J1205+7),0))</f>
        <v/>
      </c>
      <c r="G1205">
        <f>IF($J1205="","",IFERROR(LOOKUP(2,1/(('Weekly Log'!$A$5:$A$5000&gt;=$J1205)*('Weekly Log'!$A$5:$A$5000&lt;$J1205+7)*('Weekly Log'!$M$5:$M$5000&lt;&gt;"")),'Weekly Log'!$M$5:$M$5000),0))</f>
        <v/>
      </c>
      <c r="J1205">
        <f>IF(COUNT('Weekly Log'!$A$5:$A$5000)=0,"",IF(MIN('Weekly Log'!$A$5:$A$5000)+7*(ROW()-10)&gt;MAX('Weekly Log'!$A$5:$A$5000),"",MIN('Weekly Log'!$A$5:$A$5000)+7*(ROW()-10)))</f>
        <v/>
      </c>
    </row>
    <row r="1206">
      <c r="A1206">
        <f>IF($J1206="","",YEAR($J1206-WEEKDAY($J1206,2)+4)&amp;"-W"&amp;TEXT(WEEKNUM($J1206,21),"00"))</f>
        <v/>
      </c>
      <c r="B1206">
        <f>IF($J1206="","",SUMIFS('Weekly Log'!$C:$C,'Weekly Log'!$A:$A,"&gt;="&amp;$J1206,'Weekly Log'!$A:$A,"&lt;"&amp;$J1206+7))</f>
        <v/>
      </c>
      <c r="C1206">
        <f>IF($J1206="","",IFERROR(COUNTIFS('Weekly Log'!$G:$G,"Y",'Weekly Log'!$A:$A,"&gt;="&amp;$J1206,'Weekly Log'!$A:$A,"&lt;"&amp;$J1206+7)/COUNTIFS('Weekly Log'!$G:$G,"&lt;&gt;",'Weekly Log'!$A:$A,"&gt;="&amp;$J1206,'Weekly Log'!$A:$A,"&lt;"&amp;$J1206+7),0))</f>
        <v/>
      </c>
      <c r="D1206">
        <f>IF($J1206="","",IFERROR(COUNTIFS('Weekly Log'!$H:$H,"Y",'Weekly Log'!$A:$A,"&gt;="&amp;$J1206,'Weekly Log'!$A:$A,"&lt;"&amp;$J1206+7)/COUNTIFS('Weekly Log'!$H:$H,"&lt;&gt;",'Weekly Log'!$A:$A,"&gt;="&amp;$J1206,'Weekly Log'!$A:$A,"&lt;"&amp;$J1206+7),0))</f>
        <v/>
      </c>
      <c r="E1206">
        <f>IF($J1206="","",IFERROR(AVERAGEIFS('Weekly Log'!$F:$F,'Weekly Log'!$A:$A,"&gt;="&amp;$J1206,'Weekly Log'!$A:$A,"&lt;"&amp;$J1206+7),0))</f>
        <v/>
      </c>
      <c r="F1206">
        <f>IF($J1206="","",IFERROR(SUMIFS('Weekly Log'!$F:$F,'Weekly Log'!$A:$A,"&gt;="&amp;$J1206,'Weekly Log'!$A:$A,"&lt;"&amp;$J1206+7)/SUMIFS('Weekly Log'!$E:$E,'Weekly Log'!$A:$A,"&gt;="&amp;$J1206,'Weekly Log'!$A:$A,"&lt;"&amp;$J1206+7),0))</f>
        <v/>
      </c>
      <c r="G1206">
        <f>IF($J1206="","",IFERROR(LOOKUP(2,1/(('Weekly Log'!$A$5:$A$5000&gt;=$J1206)*('Weekly Log'!$A$5:$A$5000&lt;$J1206+7)*('Weekly Log'!$M$5:$M$5000&lt;&gt;"")),'Weekly Log'!$M$5:$M$5000),0))</f>
        <v/>
      </c>
      <c r="J1206">
        <f>IF(COUNT('Weekly Log'!$A$5:$A$5000)=0,"",IF(MIN('Weekly Log'!$A$5:$A$5000)+7*(ROW()-10)&gt;MAX('Weekly Log'!$A$5:$A$5000),"",MIN('Weekly Log'!$A$5:$A$5000)+7*(ROW()-10)))</f>
        <v/>
      </c>
    </row>
    <row r="1207">
      <c r="A1207">
        <f>IF($J1207="","",YEAR($J1207-WEEKDAY($J1207,2)+4)&amp;"-W"&amp;TEXT(WEEKNUM($J1207,21),"00"))</f>
        <v/>
      </c>
      <c r="B1207">
        <f>IF($J1207="","",SUMIFS('Weekly Log'!$C:$C,'Weekly Log'!$A:$A,"&gt;="&amp;$J1207,'Weekly Log'!$A:$A,"&lt;"&amp;$J1207+7))</f>
        <v/>
      </c>
      <c r="C1207">
        <f>IF($J1207="","",IFERROR(COUNTIFS('Weekly Log'!$G:$G,"Y",'Weekly Log'!$A:$A,"&gt;="&amp;$J1207,'Weekly Log'!$A:$A,"&lt;"&amp;$J1207+7)/COUNTIFS('Weekly Log'!$G:$G,"&lt;&gt;",'Weekly Log'!$A:$A,"&gt;="&amp;$J1207,'Weekly Log'!$A:$A,"&lt;"&amp;$J1207+7),0))</f>
        <v/>
      </c>
      <c r="D1207">
        <f>IF($J1207="","",IFERROR(COUNTIFS('Weekly Log'!$H:$H,"Y",'Weekly Log'!$A:$A,"&gt;="&amp;$J1207,'Weekly Log'!$A:$A,"&lt;"&amp;$J1207+7)/COUNTIFS('Weekly Log'!$H:$H,"&lt;&gt;",'Weekly Log'!$A:$A,"&gt;="&amp;$J1207,'Weekly Log'!$A:$A,"&lt;"&amp;$J1207+7),0))</f>
        <v/>
      </c>
      <c r="E1207">
        <f>IF($J1207="","",IFERROR(AVERAGEIFS('Weekly Log'!$F:$F,'Weekly Log'!$A:$A,"&gt;="&amp;$J1207,'Weekly Log'!$A:$A,"&lt;"&amp;$J1207+7),0))</f>
        <v/>
      </c>
      <c r="F1207">
        <f>IF($J1207="","",IFERROR(SUMIFS('Weekly Log'!$F:$F,'Weekly Log'!$A:$A,"&gt;="&amp;$J1207,'Weekly Log'!$A:$A,"&lt;"&amp;$J1207+7)/SUMIFS('Weekly Log'!$E:$E,'Weekly Log'!$A:$A,"&gt;="&amp;$J1207,'Weekly Log'!$A:$A,"&lt;"&amp;$J1207+7),0))</f>
        <v/>
      </c>
      <c r="G1207">
        <f>IF($J1207="","",IFERROR(LOOKUP(2,1/(('Weekly Log'!$A$5:$A$5000&gt;=$J1207)*('Weekly Log'!$A$5:$A$5000&lt;$J1207+7)*('Weekly Log'!$M$5:$M$5000&lt;&gt;"")),'Weekly Log'!$M$5:$M$5000),0))</f>
        <v/>
      </c>
      <c r="J1207">
        <f>IF(COUNT('Weekly Log'!$A$5:$A$5000)=0,"",IF(MIN('Weekly Log'!$A$5:$A$5000)+7*(ROW()-10)&gt;MAX('Weekly Log'!$A$5:$A$5000),"",MIN('Weekly Log'!$A$5:$A$5000)+7*(ROW()-10)))</f>
        <v/>
      </c>
    </row>
    <row r="1208">
      <c r="A1208">
        <f>IF($J1208="","",YEAR($J1208-WEEKDAY($J1208,2)+4)&amp;"-W"&amp;TEXT(WEEKNUM($J1208,21),"00"))</f>
        <v/>
      </c>
      <c r="B1208">
        <f>IF($J1208="","",SUMIFS('Weekly Log'!$C:$C,'Weekly Log'!$A:$A,"&gt;="&amp;$J1208,'Weekly Log'!$A:$A,"&lt;"&amp;$J1208+7))</f>
        <v/>
      </c>
      <c r="C1208">
        <f>IF($J1208="","",IFERROR(COUNTIFS('Weekly Log'!$G:$G,"Y",'Weekly Log'!$A:$A,"&gt;="&amp;$J1208,'Weekly Log'!$A:$A,"&lt;"&amp;$J1208+7)/COUNTIFS('Weekly Log'!$G:$G,"&lt;&gt;",'Weekly Log'!$A:$A,"&gt;="&amp;$J1208,'Weekly Log'!$A:$A,"&lt;"&amp;$J1208+7),0))</f>
        <v/>
      </c>
      <c r="D1208">
        <f>IF($J1208="","",IFERROR(COUNTIFS('Weekly Log'!$H:$H,"Y",'Weekly Log'!$A:$A,"&gt;="&amp;$J1208,'Weekly Log'!$A:$A,"&lt;"&amp;$J1208+7)/COUNTIFS('Weekly Log'!$H:$H,"&lt;&gt;",'Weekly Log'!$A:$A,"&gt;="&amp;$J1208,'Weekly Log'!$A:$A,"&lt;"&amp;$J1208+7),0))</f>
        <v/>
      </c>
      <c r="E1208">
        <f>IF($J1208="","",IFERROR(AVERAGEIFS('Weekly Log'!$F:$F,'Weekly Log'!$A:$A,"&gt;="&amp;$J1208,'Weekly Log'!$A:$A,"&lt;"&amp;$J1208+7),0))</f>
        <v/>
      </c>
      <c r="F1208">
        <f>IF($J1208="","",IFERROR(SUMIFS('Weekly Log'!$F:$F,'Weekly Log'!$A:$A,"&gt;="&amp;$J1208,'Weekly Log'!$A:$A,"&lt;"&amp;$J1208+7)/SUMIFS('Weekly Log'!$E:$E,'Weekly Log'!$A:$A,"&gt;="&amp;$J1208,'Weekly Log'!$A:$A,"&lt;"&amp;$J1208+7),0))</f>
        <v/>
      </c>
      <c r="G1208">
        <f>IF($J1208="","",IFERROR(LOOKUP(2,1/(('Weekly Log'!$A$5:$A$5000&gt;=$J1208)*('Weekly Log'!$A$5:$A$5000&lt;$J1208+7)*('Weekly Log'!$M$5:$M$5000&lt;&gt;"")),'Weekly Log'!$M$5:$M$5000),0))</f>
        <v/>
      </c>
      <c r="J1208">
        <f>IF(COUNT('Weekly Log'!$A$5:$A$5000)=0,"",IF(MIN('Weekly Log'!$A$5:$A$5000)+7*(ROW()-10)&gt;MAX('Weekly Log'!$A$5:$A$5000),"",MIN('Weekly Log'!$A$5:$A$5000)+7*(ROW()-10)))</f>
        <v/>
      </c>
    </row>
    <row r="1209">
      <c r="A1209">
        <f>IF($J1209="","",YEAR($J1209-WEEKDAY($J1209,2)+4)&amp;"-W"&amp;TEXT(WEEKNUM($J1209,21),"00"))</f>
        <v/>
      </c>
      <c r="B1209">
        <f>IF($J1209="","",SUMIFS('Weekly Log'!$C:$C,'Weekly Log'!$A:$A,"&gt;="&amp;$J1209,'Weekly Log'!$A:$A,"&lt;"&amp;$J1209+7))</f>
        <v/>
      </c>
      <c r="C1209">
        <f>IF($J1209="","",IFERROR(COUNTIFS('Weekly Log'!$G:$G,"Y",'Weekly Log'!$A:$A,"&gt;="&amp;$J1209,'Weekly Log'!$A:$A,"&lt;"&amp;$J1209+7)/COUNTIFS('Weekly Log'!$G:$G,"&lt;&gt;",'Weekly Log'!$A:$A,"&gt;="&amp;$J1209,'Weekly Log'!$A:$A,"&lt;"&amp;$J1209+7),0))</f>
        <v/>
      </c>
      <c r="D1209">
        <f>IF($J1209="","",IFERROR(COUNTIFS('Weekly Log'!$H:$H,"Y",'Weekly Log'!$A:$A,"&gt;="&amp;$J1209,'Weekly Log'!$A:$A,"&lt;"&amp;$J1209+7)/COUNTIFS('Weekly Log'!$H:$H,"&lt;&gt;",'Weekly Log'!$A:$A,"&gt;="&amp;$J1209,'Weekly Log'!$A:$A,"&lt;"&amp;$J1209+7),0))</f>
        <v/>
      </c>
      <c r="E1209">
        <f>IF($J1209="","",IFERROR(AVERAGEIFS('Weekly Log'!$F:$F,'Weekly Log'!$A:$A,"&gt;="&amp;$J1209,'Weekly Log'!$A:$A,"&lt;"&amp;$J1209+7),0))</f>
        <v/>
      </c>
      <c r="F1209">
        <f>IF($J1209="","",IFERROR(SUMIFS('Weekly Log'!$F:$F,'Weekly Log'!$A:$A,"&gt;="&amp;$J1209,'Weekly Log'!$A:$A,"&lt;"&amp;$J1209+7)/SUMIFS('Weekly Log'!$E:$E,'Weekly Log'!$A:$A,"&gt;="&amp;$J1209,'Weekly Log'!$A:$A,"&lt;"&amp;$J1209+7),0))</f>
        <v/>
      </c>
      <c r="G1209">
        <f>IF($J1209="","",IFERROR(LOOKUP(2,1/(('Weekly Log'!$A$5:$A$5000&gt;=$J1209)*('Weekly Log'!$A$5:$A$5000&lt;$J1209+7)*('Weekly Log'!$M$5:$M$5000&lt;&gt;"")),'Weekly Log'!$M$5:$M$5000),0))</f>
        <v/>
      </c>
      <c r="J1209">
        <f>IF(COUNT('Weekly Log'!$A$5:$A$5000)=0,"",IF(MIN('Weekly Log'!$A$5:$A$5000)+7*(ROW()-10)&gt;MAX('Weekly Log'!$A$5:$A$5000),"",MIN('Weekly Log'!$A$5:$A$5000)+7*(ROW()-10)))</f>
        <v/>
      </c>
    </row>
    <row r="1210">
      <c r="A1210">
        <f>IF($J1210="","",YEAR($J1210-WEEKDAY($J1210,2)+4)&amp;"-W"&amp;TEXT(WEEKNUM($J1210,21),"00"))</f>
        <v/>
      </c>
      <c r="B1210">
        <f>IF($J1210="","",SUMIFS('Weekly Log'!$C:$C,'Weekly Log'!$A:$A,"&gt;="&amp;$J1210,'Weekly Log'!$A:$A,"&lt;"&amp;$J1210+7))</f>
        <v/>
      </c>
      <c r="C1210">
        <f>IF($J1210="","",IFERROR(COUNTIFS('Weekly Log'!$G:$G,"Y",'Weekly Log'!$A:$A,"&gt;="&amp;$J1210,'Weekly Log'!$A:$A,"&lt;"&amp;$J1210+7)/COUNTIFS('Weekly Log'!$G:$G,"&lt;&gt;",'Weekly Log'!$A:$A,"&gt;="&amp;$J1210,'Weekly Log'!$A:$A,"&lt;"&amp;$J1210+7),0))</f>
        <v/>
      </c>
      <c r="D1210">
        <f>IF($J1210="","",IFERROR(COUNTIFS('Weekly Log'!$H:$H,"Y",'Weekly Log'!$A:$A,"&gt;="&amp;$J1210,'Weekly Log'!$A:$A,"&lt;"&amp;$J1210+7)/COUNTIFS('Weekly Log'!$H:$H,"&lt;&gt;",'Weekly Log'!$A:$A,"&gt;="&amp;$J1210,'Weekly Log'!$A:$A,"&lt;"&amp;$J1210+7),0))</f>
        <v/>
      </c>
      <c r="E1210">
        <f>IF($J1210="","",IFERROR(AVERAGEIFS('Weekly Log'!$F:$F,'Weekly Log'!$A:$A,"&gt;="&amp;$J1210,'Weekly Log'!$A:$A,"&lt;"&amp;$J1210+7),0))</f>
        <v/>
      </c>
      <c r="F1210">
        <f>IF($J1210="","",IFERROR(SUMIFS('Weekly Log'!$F:$F,'Weekly Log'!$A:$A,"&gt;="&amp;$J1210,'Weekly Log'!$A:$A,"&lt;"&amp;$J1210+7)/SUMIFS('Weekly Log'!$E:$E,'Weekly Log'!$A:$A,"&gt;="&amp;$J1210,'Weekly Log'!$A:$A,"&lt;"&amp;$J1210+7),0))</f>
        <v/>
      </c>
      <c r="G1210">
        <f>IF($J1210="","",IFERROR(LOOKUP(2,1/(('Weekly Log'!$A$5:$A$5000&gt;=$J1210)*('Weekly Log'!$A$5:$A$5000&lt;$J1210+7)*('Weekly Log'!$M$5:$M$5000&lt;&gt;"")),'Weekly Log'!$M$5:$M$5000),0))</f>
        <v/>
      </c>
      <c r="J1210">
        <f>IF(COUNT('Weekly Log'!$A$5:$A$5000)=0,"",IF(MIN('Weekly Log'!$A$5:$A$5000)+7*(ROW()-10)&gt;MAX('Weekly Log'!$A$5:$A$5000),"",MIN('Weekly Log'!$A$5:$A$5000)+7*(ROW()-10)))</f>
        <v/>
      </c>
    </row>
    <row r="1211">
      <c r="A1211">
        <f>IF($J1211="","",YEAR($J1211-WEEKDAY($J1211,2)+4)&amp;"-W"&amp;TEXT(WEEKNUM($J1211,21),"00"))</f>
        <v/>
      </c>
      <c r="B1211">
        <f>IF($J1211="","",SUMIFS('Weekly Log'!$C:$C,'Weekly Log'!$A:$A,"&gt;="&amp;$J1211,'Weekly Log'!$A:$A,"&lt;"&amp;$J1211+7))</f>
        <v/>
      </c>
      <c r="C1211">
        <f>IF($J1211="","",IFERROR(COUNTIFS('Weekly Log'!$G:$G,"Y",'Weekly Log'!$A:$A,"&gt;="&amp;$J1211,'Weekly Log'!$A:$A,"&lt;"&amp;$J1211+7)/COUNTIFS('Weekly Log'!$G:$G,"&lt;&gt;",'Weekly Log'!$A:$A,"&gt;="&amp;$J1211,'Weekly Log'!$A:$A,"&lt;"&amp;$J1211+7),0))</f>
        <v/>
      </c>
      <c r="D1211">
        <f>IF($J1211="","",IFERROR(COUNTIFS('Weekly Log'!$H:$H,"Y",'Weekly Log'!$A:$A,"&gt;="&amp;$J1211,'Weekly Log'!$A:$A,"&lt;"&amp;$J1211+7)/COUNTIFS('Weekly Log'!$H:$H,"&lt;&gt;",'Weekly Log'!$A:$A,"&gt;="&amp;$J1211,'Weekly Log'!$A:$A,"&lt;"&amp;$J1211+7),0))</f>
        <v/>
      </c>
      <c r="E1211">
        <f>IF($J1211="","",IFERROR(AVERAGEIFS('Weekly Log'!$F:$F,'Weekly Log'!$A:$A,"&gt;="&amp;$J1211,'Weekly Log'!$A:$A,"&lt;"&amp;$J1211+7),0))</f>
        <v/>
      </c>
      <c r="F1211">
        <f>IF($J1211="","",IFERROR(SUMIFS('Weekly Log'!$F:$F,'Weekly Log'!$A:$A,"&gt;="&amp;$J1211,'Weekly Log'!$A:$A,"&lt;"&amp;$J1211+7)/SUMIFS('Weekly Log'!$E:$E,'Weekly Log'!$A:$A,"&gt;="&amp;$J1211,'Weekly Log'!$A:$A,"&lt;"&amp;$J1211+7),0))</f>
        <v/>
      </c>
      <c r="G1211">
        <f>IF($J1211="","",IFERROR(LOOKUP(2,1/(('Weekly Log'!$A$5:$A$5000&gt;=$J1211)*('Weekly Log'!$A$5:$A$5000&lt;$J1211+7)*('Weekly Log'!$M$5:$M$5000&lt;&gt;"")),'Weekly Log'!$M$5:$M$5000),0))</f>
        <v/>
      </c>
      <c r="J1211">
        <f>IF(COUNT('Weekly Log'!$A$5:$A$5000)=0,"",IF(MIN('Weekly Log'!$A$5:$A$5000)+7*(ROW()-10)&gt;MAX('Weekly Log'!$A$5:$A$5000),"",MIN('Weekly Log'!$A$5:$A$5000)+7*(ROW()-10)))</f>
        <v/>
      </c>
    </row>
    <row r="1212">
      <c r="A1212">
        <f>IF($J1212="","",YEAR($J1212-WEEKDAY($J1212,2)+4)&amp;"-W"&amp;TEXT(WEEKNUM($J1212,21),"00"))</f>
        <v/>
      </c>
      <c r="B1212">
        <f>IF($J1212="","",SUMIFS('Weekly Log'!$C:$C,'Weekly Log'!$A:$A,"&gt;="&amp;$J1212,'Weekly Log'!$A:$A,"&lt;"&amp;$J1212+7))</f>
        <v/>
      </c>
      <c r="C1212">
        <f>IF($J1212="","",IFERROR(COUNTIFS('Weekly Log'!$G:$G,"Y",'Weekly Log'!$A:$A,"&gt;="&amp;$J1212,'Weekly Log'!$A:$A,"&lt;"&amp;$J1212+7)/COUNTIFS('Weekly Log'!$G:$G,"&lt;&gt;",'Weekly Log'!$A:$A,"&gt;="&amp;$J1212,'Weekly Log'!$A:$A,"&lt;"&amp;$J1212+7),0))</f>
        <v/>
      </c>
      <c r="D1212">
        <f>IF($J1212="","",IFERROR(COUNTIFS('Weekly Log'!$H:$H,"Y",'Weekly Log'!$A:$A,"&gt;="&amp;$J1212,'Weekly Log'!$A:$A,"&lt;"&amp;$J1212+7)/COUNTIFS('Weekly Log'!$H:$H,"&lt;&gt;",'Weekly Log'!$A:$A,"&gt;="&amp;$J1212,'Weekly Log'!$A:$A,"&lt;"&amp;$J1212+7),0))</f>
        <v/>
      </c>
      <c r="E1212">
        <f>IF($J1212="","",IFERROR(AVERAGEIFS('Weekly Log'!$F:$F,'Weekly Log'!$A:$A,"&gt;="&amp;$J1212,'Weekly Log'!$A:$A,"&lt;"&amp;$J1212+7),0))</f>
        <v/>
      </c>
      <c r="F1212">
        <f>IF($J1212="","",IFERROR(SUMIFS('Weekly Log'!$F:$F,'Weekly Log'!$A:$A,"&gt;="&amp;$J1212,'Weekly Log'!$A:$A,"&lt;"&amp;$J1212+7)/SUMIFS('Weekly Log'!$E:$E,'Weekly Log'!$A:$A,"&gt;="&amp;$J1212,'Weekly Log'!$A:$A,"&lt;"&amp;$J1212+7),0))</f>
        <v/>
      </c>
      <c r="G1212">
        <f>IF($J1212="","",IFERROR(LOOKUP(2,1/(('Weekly Log'!$A$5:$A$5000&gt;=$J1212)*('Weekly Log'!$A$5:$A$5000&lt;$J1212+7)*('Weekly Log'!$M$5:$M$5000&lt;&gt;"")),'Weekly Log'!$M$5:$M$5000),0))</f>
        <v/>
      </c>
      <c r="J1212">
        <f>IF(COUNT('Weekly Log'!$A$5:$A$5000)=0,"",IF(MIN('Weekly Log'!$A$5:$A$5000)+7*(ROW()-10)&gt;MAX('Weekly Log'!$A$5:$A$5000),"",MIN('Weekly Log'!$A$5:$A$5000)+7*(ROW()-10)))</f>
        <v/>
      </c>
    </row>
    <row r="1213">
      <c r="A1213">
        <f>IF($J1213="","",YEAR($J1213-WEEKDAY($J1213,2)+4)&amp;"-W"&amp;TEXT(WEEKNUM($J1213,21),"00"))</f>
        <v/>
      </c>
      <c r="B1213">
        <f>IF($J1213="","",SUMIFS('Weekly Log'!$C:$C,'Weekly Log'!$A:$A,"&gt;="&amp;$J1213,'Weekly Log'!$A:$A,"&lt;"&amp;$J1213+7))</f>
        <v/>
      </c>
      <c r="C1213">
        <f>IF($J1213="","",IFERROR(COUNTIFS('Weekly Log'!$G:$G,"Y",'Weekly Log'!$A:$A,"&gt;="&amp;$J1213,'Weekly Log'!$A:$A,"&lt;"&amp;$J1213+7)/COUNTIFS('Weekly Log'!$G:$G,"&lt;&gt;",'Weekly Log'!$A:$A,"&gt;="&amp;$J1213,'Weekly Log'!$A:$A,"&lt;"&amp;$J1213+7),0))</f>
        <v/>
      </c>
      <c r="D1213">
        <f>IF($J1213="","",IFERROR(COUNTIFS('Weekly Log'!$H:$H,"Y",'Weekly Log'!$A:$A,"&gt;="&amp;$J1213,'Weekly Log'!$A:$A,"&lt;"&amp;$J1213+7)/COUNTIFS('Weekly Log'!$H:$H,"&lt;&gt;",'Weekly Log'!$A:$A,"&gt;="&amp;$J1213,'Weekly Log'!$A:$A,"&lt;"&amp;$J1213+7),0))</f>
        <v/>
      </c>
      <c r="E1213">
        <f>IF($J1213="","",IFERROR(AVERAGEIFS('Weekly Log'!$F:$F,'Weekly Log'!$A:$A,"&gt;="&amp;$J1213,'Weekly Log'!$A:$A,"&lt;"&amp;$J1213+7),0))</f>
        <v/>
      </c>
      <c r="F1213">
        <f>IF($J1213="","",IFERROR(SUMIFS('Weekly Log'!$F:$F,'Weekly Log'!$A:$A,"&gt;="&amp;$J1213,'Weekly Log'!$A:$A,"&lt;"&amp;$J1213+7)/SUMIFS('Weekly Log'!$E:$E,'Weekly Log'!$A:$A,"&gt;="&amp;$J1213,'Weekly Log'!$A:$A,"&lt;"&amp;$J1213+7),0))</f>
        <v/>
      </c>
      <c r="G1213">
        <f>IF($J1213="","",IFERROR(LOOKUP(2,1/(('Weekly Log'!$A$5:$A$5000&gt;=$J1213)*('Weekly Log'!$A$5:$A$5000&lt;$J1213+7)*('Weekly Log'!$M$5:$M$5000&lt;&gt;"")),'Weekly Log'!$M$5:$M$5000),0))</f>
        <v/>
      </c>
      <c r="J1213">
        <f>IF(COUNT('Weekly Log'!$A$5:$A$5000)=0,"",IF(MIN('Weekly Log'!$A$5:$A$5000)+7*(ROW()-10)&gt;MAX('Weekly Log'!$A$5:$A$5000),"",MIN('Weekly Log'!$A$5:$A$5000)+7*(ROW()-10)))</f>
        <v/>
      </c>
    </row>
    <row r="1214">
      <c r="A1214">
        <f>IF($J1214="","",YEAR($J1214-WEEKDAY($J1214,2)+4)&amp;"-W"&amp;TEXT(WEEKNUM($J1214,21),"00"))</f>
        <v/>
      </c>
      <c r="B1214">
        <f>IF($J1214="","",SUMIFS('Weekly Log'!$C:$C,'Weekly Log'!$A:$A,"&gt;="&amp;$J1214,'Weekly Log'!$A:$A,"&lt;"&amp;$J1214+7))</f>
        <v/>
      </c>
      <c r="C1214">
        <f>IF($J1214="","",IFERROR(COUNTIFS('Weekly Log'!$G:$G,"Y",'Weekly Log'!$A:$A,"&gt;="&amp;$J1214,'Weekly Log'!$A:$A,"&lt;"&amp;$J1214+7)/COUNTIFS('Weekly Log'!$G:$G,"&lt;&gt;",'Weekly Log'!$A:$A,"&gt;="&amp;$J1214,'Weekly Log'!$A:$A,"&lt;"&amp;$J1214+7),0))</f>
        <v/>
      </c>
      <c r="D1214">
        <f>IF($J1214="","",IFERROR(COUNTIFS('Weekly Log'!$H:$H,"Y",'Weekly Log'!$A:$A,"&gt;="&amp;$J1214,'Weekly Log'!$A:$A,"&lt;"&amp;$J1214+7)/COUNTIFS('Weekly Log'!$H:$H,"&lt;&gt;",'Weekly Log'!$A:$A,"&gt;="&amp;$J1214,'Weekly Log'!$A:$A,"&lt;"&amp;$J1214+7),0))</f>
        <v/>
      </c>
      <c r="E1214">
        <f>IF($J1214="","",IFERROR(AVERAGEIFS('Weekly Log'!$F:$F,'Weekly Log'!$A:$A,"&gt;="&amp;$J1214,'Weekly Log'!$A:$A,"&lt;"&amp;$J1214+7),0))</f>
        <v/>
      </c>
      <c r="F1214">
        <f>IF($J1214="","",IFERROR(SUMIFS('Weekly Log'!$F:$F,'Weekly Log'!$A:$A,"&gt;="&amp;$J1214,'Weekly Log'!$A:$A,"&lt;"&amp;$J1214+7)/SUMIFS('Weekly Log'!$E:$E,'Weekly Log'!$A:$A,"&gt;="&amp;$J1214,'Weekly Log'!$A:$A,"&lt;"&amp;$J1214+7),0))</f>
        <v/>
      </c>
      <c r="G1214">
        <f>IF($J1214="","",IFERROR(LOOKUP(2,1/(('Weekly Log'!$A$5:$A$5000&gt;=$J1214)*('Weekly Log'!$A$5:$A$5000&lt;$J1214+7)*('Weekly Log'!$M$5:$M$5000&lt;&gt;"")),'Weekly Log'!$M$5:$M$5000),0))</f>
        <v/>
      </c>
      <c r="J1214">
        <f>IF(COUNT('Weekly Log'!$A$5:$A$5000)=0,"",IF(MIN('Weekly Log'!$A$5:$A$5000)+7*(ROW()-10)&gt;MAX('Weekly Log'!$A$5:$A$5000),"",MIN('Weekly Log'!$A$5:$A$5000)+7*(ROW()-10)))</f>
        <v/>
      </c>
    </row>
    <row r="1215">
      <c r="A1215">
        <f>IF($J1215="","",YEAR($J1215-WEEKDAY($J1215,2)+4)&amp;"-W"&amp;TEXT(WEEKNUM($J1215,21),"00"))</f>
        <v/>
      </c>
      <c r="B1215">
        <f>IF($J1215="","",SUMIFS('Weekly Log'!$C:$C,'Weekly Log'!$A:$A,"&gt;="&amp;$J1215,'Weekly Log'!$A:$A,"&lt;"&amp;$J1215+7))</f>
        <v/>
      </c>
      <c r="C1215">
        <f>IF($J1215="","",IFERROR(COUNTIFS('Weekly Log'!$G:$G,"Y",'Weekly Log'!$A:$A,"&gt;="&amp;$J1215,'Weekly Log'!$A:$A,"&lt;"&amp;$J1215+7)/COUNTIFS('Weekly Log'!$G:$G,"&lt;&gt;",'Weekly Log'!$A:$A,"&gt;="&amp;$J1215,'Weekly Log'!$A:$A,"&lt;"&amp;$J1215+7),0))</f>
        <v/>
      </c>
      <c r="D1215">
        <f>IF($J1215="","",IFERROR(COUNTIFS('Weekly Log'!$H:$H,"Y",'Weekly Log'!$A:$A,"&gt;="&amp;$J1215,'Weekly Log'!$A:$A,"&lt;"&amp;$J1215+7)/COUNTIFS('Weekly Log'!$H:$H,"&lt;&gt;",'Weekly Log'!$A:$A,"&gt;="&amp;$J1215,'Weekly Log'!$A:$A,"&lt;"&amp;$J1215+7),0))</f>
        <v/>
      </c>
      <c r="E1215">
        <f>IF($J1215="","",IFERROR(AVERAGEIFS('Weekly Log'!$F:$F,'Weekly Log'!$A:$A,"&gt;="&amp;$J1215,'Weekly Log'!$A:$A,"&lt;"&amp;$J1215+7),0))</f>
        <v/>
      </c>
      <c r="F1215">
        <f>IF($J1215="","",IFERROR(SUMIFS('Weekly Log'!$F:$F,'Weekly Log'!$A:$A,"&gt;="&amp;$J1215,'Weekly Log'!$A:$A,"&lt;"&amp;$J1215+7)/SUMIFS('Weekly Log'!$E:$E,'Weekly Log'!$A:$A,"&gt;="&amp;$J1215,'Weekly Log'!$A:$A,"&lt;"&amp;$J1215+7),0))</f>
        <v/>
      </c>
      <c r="G1215">
        <f>IF($J1215="","",IFERROR(LOOKUP(2,1/(('Weekly Log'!$A$5:$A$5000&gt;=$J1215)*('Weekly Log'!$A$5:$A$5000&lt;$J1215+7)*('Weekly Log'!$M$5:$M$5000&lt;&gt;"")),'Weekly Log'!$M$5:$M$5000),0))</f>
        <v/>
      </c>
      <c r="J1215">
        <f>IF(COUNT('Weekly Log'!$A$5:$A$5000)=0,"",IF(MIN('Weekly Log'!$A$5:$A$5000)+7*(ROW()-10)&gt;MAX('Weekly Log'!$A$5:$A$5000),"",MIN('Weekly Log'!$A$5:$A$5000)+7*(ROW()-10)))</f>
        <v/>
      </c>
    </row>
    <row r="1216">
      <c r="A1216">
        <f>IF($J1216="","",YEAR($J1216-WEEKDAY($J1216,2)+4)&amp;"-W"&amp;TEXT(WEEKNUM($J1216,21),"00"))</f>
        <v/>
      </c>
      <c r="B1216">
        <f>IF($J1216="","",SUMIFS('Weekly Log'!$C:$C,'Weekly Log'!$A:$A,"&gt;="&amp;$J1216,'Weekly Log'!$A:$A,"&lt;"&amp;$J1216+7))</f>
        <v/>
      </c>
      <c r="C1216">
        <f>IF($J1216="","",IFERROR(COUNTIFS('Weekly Log'!$G:$G,"Y",'Weekly Log'!$A:$A,"&gt;="&amp;$J1216,'Weekly Log'!$A:$A,"&lt;"&amp;$J1216+7)/COUNTIFS('Weekly Log'!$G:$G,"&lt;&gt;",'Weekly Log'!$A:$A,"&gt;="&amp;$J1216,'Weekly Log'!$A:$A,"&lt;"&amp;$J1216+7),0))</f>
        <v/>
      </c>
      <c r="D1216">
        <f>IF($J1216="","",IFERROR(COUNTIFS('Weekly Log'!$H:$H,"Y",'Weekly Log'!$A:$A,"&gt;="&amp;$J1216,'Weekly Log'!$A:$A,"&lt;"&amp;$J1216+7)/COUNTIFS('Weekly Log'!$H:$H,"&lt;&gt;",'Weekly Log'!$A:$A,"&gt;="&amp;$J1216,'Weekly Log'!$A:$A,"&lt;"&amp;$J1216+7),0))</f>
        <v/>
      </c>
      <c r="E1216">
        <f>IF($J1216="","",IFERROR(AVERAGEIFS('Weekly Log'!$F:$F,'Weekly Log'!$A:$A,"&gt;="&amp;$J1216,'Weekly Log'!$A:$A,"&lt;"&amp;$J1216+7),0))</f>
        <v/>
      </c>
      <c r="F1216">
        <f>IF($J1216="","",IFERROR(SUMIFS('Weekly Log'!$F:$F,'Weekly Log'!$A:$A,"&gt;="&amp;$J1216,'Weekly Log'!$A:$A,"&lt;"&amp;$J1216+7)/SUMIFS('Weekly Log'!$E:$E,'Weekly Log'!$A:$A,"&gt;="&amp;$J1216,'Weekly Log'!$A:$A,"&lt;"&amp;$J1216+7),0))</f>
        <v/>
      </c>
      <c r="G1216">
        <f>IF($J1216="","",IFERROR(LOOKUP(2,1/(('Weekly Log'!$A$5:$A$5000&gt;=$J1216)*('Weekly Log'!$A$5:$A$5000&lt;$J1216+7)*('Weekly Log'!$M$5:$M$5000&lt;&gt;"")),'Weekly Log'!$M$5:$M$5000),0))</f>
        <v/>
      </c>
      <c r="J1216">
        <f>IF(COUNT('Weekly Log'!$A$5:$A$5000)=0,"",IF(MIN('Weekly Log'!$A$5:$A$5000)+7*(ROW()-10)&gt;MAX('Weekly Log'!$A$5:$A$5000),"",MIN('Weekly Log'!$A$5:$A$5000)+7*(ROW()-10)))</f>
        <v/>
      </c>
    </row>
    <row r="1217">
      <c r="A1217">
        <f>IF($J1217="","",YEAR($J1217-WEEKDAY($J1217,2)+4)&amp;"-W"&amp;TEXT(WEEKNUM($J1217,21),"00"))</f>
        <v/>
      </c>
      <c r="B1217">
        <f>IF($J1217="","",SUMIFS('Weekly Log'!$C:$C,'Weekly Log'!$A:$A,"&gt;="&amp;$J1217,'Weekly Log'!$A:$A,"&lt;"&amp;$J1217+7))</f>
        <v/>
      </c>
      <c r="C1217">
        <f>IF($J1217="","",IFERROR(COUNTIFS('Weekly Log'!$G:$G,"Y",'Weekly Log'!$A:$A,"&gt;="&amp;$J1217,'Weekly Log'!$A:$A,"&lt;"&amp;$J1217+7)/COUNTIFS('Weekly Log'!$G:$G,"&lt;&gt;",'Weekly Log'!$A:$A,"&gt;="&amp;$J1217,'Weekly Log'!$A:$A,"&lt;"&amp;$J1217+7),0))</f>
        <v/>
      </c>
      <c r="D1217">
        <f>IF($J1217="","",IFERROR(COUNTIFS('Weekly Log'!$H:$H,"Y",'Weekly Log'!$A:$A,"&gt;="&amp;$J1217,'Weekly Log'!$A:$A,"&lt;"&amp;$J1217+7)/COUNTIFS('Weekly Log'!$H:$H,"&lt;&gt;",'Weekly Log'!$A:$A,"&gt;="&amp;$J1217,'Weekly Log'!$A:$A,"&lt;"&amp;$J1217+7),0))</f>
        <v/>
      </c>
      <c r="E1217">
        <f>IF($J1217="","",IFERROR(AVERAGEIFS('Weekly Log'!$F:$F,'Weekly Log'!$A:$A,"&gt;="&amp;$J1217,'Weekly Log'!$A:$A,"&lt;"&amp;$J1217+7),0))</f>
        <v/>
      </c>
      <c r="F1217">
        <f>IF($J1217="","",IFERROR(SUMIFS('Weekly Log'!$F:$F,'Weekly Log'!$A:$A,"&gt;="&amp;$J1217,'Weekly Log'!$A:$A,"&lt;"&amp;$J1217+7)/SUMIFS('Weekly Log'!$E:$E,'Weekly Log'!$A:$A,"&gt;="&amp;$J1217,'Weekly Log'!$A:$A,"&lt;"&amp;$J1217+7),0))</f>
        <v/>
      </c>
      <c r="G1217">
        <f>IF($J1217="","",IFERROR(LOOKUP(2,1/(('Weekly Log'!$A$5:$A$5000&gt;=$J1217)*('Weekly Log'!$A$5:$A$5000&lt;$J1217+7)*('Weekly Log'!$M$5:$M$5000&lt;&gt;"")),'Weekly Log'!$M$5:$M$5000),0))</f>
        <v/>
      </c>
      <c r="J1217">
        <f>IF(COUNT('Weekly Log'!$A$5:$A$5000)=0,"",IF(MIN('Weekly Log'!$A$5:$A$5000)+7*(ROW()-10)&gt;MAX('Weekly Log'!$A$5:$A$5000),"",MIN('Weekly Log'!$A$5:$A$5000)+7*(ROW()-10)))</f>
        <v/>
      </c>
    </row>
    <row r="1218">
      <c r="A1218">
        <f>IF($J1218="","",YEAR($J1218-WEEKDAY($J1218,2)+4)&amp;"-W"&amp;TEXT(WEEKNUM($J1218,21),"00"))</f>
        <v/>
      </c>
      <c r="B1218">
        <f>IF($J1218="","",SUMIFS('Weekly Log'!$C:$C,'Weekly Log'!$A:$A,"&gt;="&amp;$J1218,'Weekly Log'!$A:$A,"&lt;"&amp;$J1218+7))</f>
        <v/>
      </c>
      <c r="C1218">
        <f>IF($J1218="","",IFERROR(COUNTIFS('Weekly Log'!$G:$G,"Y",'Weekly Log'!$A:$A,"&gt;="&amp;$J1218,'Weekly Log'!$A:$A,"&lt;"&amp;$J1218+7)/COUNTIFS('Weekly Log'!$G:$G,"&lt;&gt;",'Weekly Log'!$A:$A,"&gt;="&amp;$J1218,'Weekly Log'!$A:$A,"&lt;"&amp;$J1218+7),0))</f>
        <v/>
      </c>
      <c r="D1218">
        <f>IF($J1218="","",IFERROR(COUNTIFS('Weekly Log'!$H:$H,"Y",'Weekly Log'!$A:$A,"&gt;="&amp;$J1218,'Weekly Log'!$A:$A,"&lt;"&amp;$J1218+7)/COUNTIFS('Weekly Log'!$H:$H,"&lt;&gt;",'Weekly Log'!$A:$A,"&gt;="&amp;$J1218,'Weekly Log'!$A:$A,"&lt;"&amp;$J1218+7),0))</f>
        <v/>
      </c>
      <c r="E1218">
        <f>IF($J1218="","",IFERROR(AVERAGEIFS('Weekly Log'!$F:$F,'Weekly Log'!$A:$A,"&gt;="&amp;$J1218,'Weekly Log'!$A:$A,"&lt;"&amp;$J1218+7),0))</f>
        <v/>
      </c>
      <c r="F1218">
        <f>IF($J1218="","",IFERROR(SUMIFS('Weekly Log'!$F:$F,'Weekly Log'!$A:$A,"&gt;="&amp;$J1218,'Weekly Log'!$A:$A,"&lt;"&amp;$J1218+7)/SUMIFS('Weekly Log'!$E:$E,'Weekly Log'!$A:$A,"&gt;="&amp;$J1218,'Weekly Log'!$A:$A,"&lt;"&amp;$J1218+7),0))</f>
        <v/>
      </c>
      <c r="G1218">
        <f>IF($J1218="","",IFERROR(LOOKUP(2,1/(('Weekly Log'!$A$5:$A$5000&gt;=$J1218)*('Weekly Log'!$A$5:$A$5000&lt;$J1218+7)*('Weekly Log'!$M$5:$M$5000&lt;&gt;"")),'Weekly Log'!$M$5:$M$5000),0))</f>
        <v/>
      </c>
      <c r="J1218">
        <f>IF(COUNT('Weekly Log'!$A$5:$A$5000)=0,"",IF(MIN('Weekly Log'!$A$5:$A$5000)+7*(ROW()-10)&gt;MAX('Weekly Log'!$A$5:$A$5000),"",MIN('Weekly Log'!$A$5:$A$5000)+7*(ROW()-10)))</f>
        <v/>
      </c>
    </row>
    <row r="1219">
      <c r="A1219">
        <f>IF($J1219="","",YEAR($J1219-WEEKDAY($J1219,2)+4)&amp;"-W"&amp;TEXT(WEEKNUM($J1219,21),"00"))</f>
        <v/>
      </c>
      <c r="B1219">
        <f>IF($J1219="","",SUMIFS('Weekly Log'!$C:$C,'Weekly Log'!$A:$A,"&gt;="&amp;$J1219,'Weekly Log'!$A:$A,"&lt;"&amp;$J1219+7))</f>
        <v/>
      </c>
      <c r="C1219">
        <f>IF($J1219="","",IFERROR(COUNTIFS('Weekly Log'!$G:$G,"Y",'Weekly Log'!$A:$A,"&gt;="&amp;$J1219,'Weekly Log'!$A:$A,"&lt;"&amp;$J1219+7)/COUNTIFS('Weekly Log'!$G:$G,"&lt;&gt;",'Weekly Log'!$A:$A,"&gt;="&amp;$J1219,'Weekly Log'!$A:$A,"&lt;"&amp;$J1219+7),0))</f>
        <v/>
      </c>
      <c r="D1219">
        <f>IF($J1219="","",IFERROR(COUNTIFS('Weekly Log'!$H:$H,"Y",'Weekly Log'!$A:$A,"&gt;="&amp;$J1219,'Weekly Log'!$A:$A,"&lt;"&amp;$J1219+7)/COUNTIFS('Weekly Log'!$H:$H,"&lt;&gt;",'Weekly Log'!$A:$A,"&gt;="&amp;$J1219,'Weekly Log'!$A:$A,"&lt;"&amp;$J1219+7),0))</f>
        <v/>
      </c>
      <c r="E1219">
        <f>IF($J1219="","",IFERROR(AVERAGEIFS('Weekly Log'!$F:$F,'Weekly Log'!$A:$A,"&gt;="&amp;$J1219,'Weekly Log'!$A:$A,"&lt;"&amp;$J1219+7),0))</f>
        <v/>
      </c>
      <c r="F1219">
        <f>IF($J1219="","",IFERROR(SUMIFS('Weekly Log'!$F:$F,'Weekly Log'!$A:$A,"&gt;="&amp;$J1219,'Weekly Log'!$A:$A,"&lt;"&amp;$J1219+7)/SUMIFS('Weekly Log'!$E:$E,'Weekly Log'!$A:$A,"&gt;="&amp;$J1219,'Weekly Log'!$A:$A,"&lt;"&amp;$J1219+7),0))</f>
        <v/>
      </c>
      <c r="G1219">
        <f>IF($J1219="","",IFERROR(LOOKUP(2,1/(('Weekly Log'!$A$5:$A$5000&gt;=$J1219)*('Weekly Log'!$A$5:$A$5000&lt;$J1219+7)*('Weekly Log'!$M$5:$M$5000&lt;&gt;"")),'Weekly Log'!$M$5:$M$5000),0))</f>
        <v/>
      </c>
      <c r="J1219">
        <f>IF(COUNT('Weekly Log'!$A$5:$A$5000)=0,"",IF(MIN('Weekly Log'!$A$5:$A$5000)+7*(ROW()-10)&gt;MAX('Weekly Log'!$A$5:$A$5000),"",MIN('Weekly Log'!$A$5:$A$5000)+7*(ROW()-10)))</f>
        <v/>
      </c>
    </row>
    <row r="1220">
      <c r="A1220">
        <f>IF($J1220="","",YEAR($J1220-WEEKDAY($J1220,2)+4)&amp;"-W"&amp;TEXT(WEEKNUM($J1220,21),"00"))</f>
        <v/>
      </c>
      <c r="B1220">
        <f>IF($J1220="","",SUMIFS('Weekly Log'!$C:$C,'Weekly Log'!$A:$A,"&gt;="&amp;$J1220,'Weekly Log'!$A:$A,"&lt;"&amp;$J1220+7))</f>
        <v/>
      </c>
      <c r="C1220">
        <f>IF($J1220="","",IFERROR(COUNTIFS('Weekly Log'!$G:$G,"Y",'Weekly Log'!$A:$A,"&gt;="&amp;$J1220,'Weekly Log'!$A:$A,"&lt;"&amp;$J1220+7)/COUNTIFS('Weekly Log'!$G:$G,"&lt;&gt;",'Weekly Log'!$A:$A,"&gt;="&amp;$J1220,'Weekly Log'!$A:$A,"&lt;"&amp;$J1220+7),0))</f>
        <v/>
      </c>
      <c r="D1220">
        <f>IF($J1220="","",IFERROR(COUNTIFS('Weekly Log'!$H:$H,"Y",'Weekly Log'!$A:$A,"&gt;="&amp;$J1220,'Weekly Log'!$A:$A,"&lt;"&amp;$J1220+7)/COUNTIFS('Weekly Log'!$H:$H,"&lt;&gt;",'Weekly Log'!$A:$A,"&gt;="&amp;$J1220,'Weekly Log'!$A:$A,"&lt;"&amp;$J1220+7),0))</f>
        <v/>
      </c>
      <c r="E1220">
        <f>IF($J1220="","",IFERROR(AVERAGEIFS('Weekly Log'!$F:$F,'Weekly Log'!$A:$A,"&gt;="&amp;$J1220,'Weekly Log'!$A:$A,"&lt;"&amp;$J1220+7),0))</f>
        <v/>
      </c>
      <c r="F1220">
        <f>IF($J1220="","",IFERROR(SUMIFS('Weekly Log'!$F:$F,'Weekly Log'!$A:$A,"&gt;="&amp;$J1220,'Weekly Log'!$A:$A,"&lt;"&amp;$J1220+7)/SUMIFS('Weekly Log'!$E:$E,'Weekly Log'!$A:$A,"&gt;="&amp;$J1220,'Weekly Log'!$A:$A,"&lt;"&amp;$J1220+7),0))</f>
        <v/>
      </c>
      <c r="G1220">
        <f>IF($J1220="","",IFERROR(LOOKUP(2,1/(('Weekly Log'!$A$5:$A$5000&gt;=$J1220)*('Weekly Log'!$A$5:$A$5000&lt;$J1220+7)*('Weekly Log'!$M$5:$M$5000&lt;&gt;"")),'Weekly Log'!$M$5:$M$5000),0))</f>
        <v/>
      </c>
      <c r="J1220">
        <f>IF(COUNT('Weekly Log'!$A$5:$A$5000)=0,"",IF(MIN('Weekly Log'!$A$5:$A$5000)+7*(ROW()-10)&gt;MAX('Weekly Log'!$A$5:$A$5000),"",MIN('Weekly Log'!$A$5:$A$5000)+7*(ROW()-10)))</f>
        <v/>
      </c>
    </row>
    <row r="1221">
      <c r="A1221">
        <f>IF($J1221="","",YEAR($J1221-WEEKDAY($J1221,2)+4)&amp;"-W"&amp;TEXT(WEEKNUM($J1221,21),"00"))</f>
        <v/>
      </c>
      <c r="B1221">
        <f>IF($J1221="","",SUMIFS('Weekly Log'!$C:$C,'Weekly Log'!$A:$A,"&gt;="&amp;$J1221,'Weekly Log'!$A:$A,"&lt;"&amp;$J1221+7))</f>
        <v/>
      </c>
      <c r="C1221">
        <f>IF($J1221="","",IFERROR(COUNTIFS('Weekly Log'!$G:$G,"Y",'Weekly Log'!$A:$A,"&gt;="&amp;$J1221,'Weekly Log'!$A:$A,"&lt;"&amp;$J1221+7)/COUNTIFS('Weekly Log'!$G:$G,"&lt;&gt;",'Weekly Log'!$A:$A,"&gt;="&amp;$J1221,'Weekly Log'!$A:$A,"&lt;"&amp;$J1221+7),0))</f>
        <v/>
      </c>
      <c r="D1221">
        <f>IF($J1221="","",IFERROR(COUNTIFS('Weekly Log'!$H:$H,"Y",'Weekly Log'!$A:$A,"&gt;="&amp;$J1221,'Weekly Log'!$A:$A,"&lt;"&amp;$J1221+7)/COUNTIFS('Weekly Log'!$H:$H,"&lt;&gt;",'Weekly Log'!$A:$A,"&gt;="&amp;$J1221,'Weekly Log'!$A:$A,"&lt;"&amp;$J1221+7),0))</f>
        <v/>
      </c>
      <c r="E1221">
        <f>IF($J1221="","",IFERROR(AVERAGEIFS('Weekly Log'!$F:$F,'Weekly Log'!$A:$A,"&gt;="&amp;$J1221,'Weekly Log'!$A:$A,"&lt;"&amp;$J1221+7),0))</f>
        <v/>
      </c>
      <c r="F1221">
        <f>IF($J1221="","",IFERROR(SUMIFS('Weekly Log'!$F:$F,'Weekly Log'!$A:$A,"&gt;="&amp;$J1221,'Weekly Log'!$A:$A,"&lt;"&amp;$J1221+7)/SUMIFS('Weekly Log'!$E:$E,'Weekly Log'!$A:$A,"&gt;="&amp;$J1221,'Weekly Log'!$A:$A,"&lt;"&amp;$J1221+7),0))</f>
        <v/>
      </c>
      <c r="G1221">
        <f>IF($J1221="","",IFERROR(LOOKUP(2,1/(('Weekly Log'!$A$5:$A$5000&gt;=$J1221)*('Weekly Log'!$A$5:$A$5000&lt;$J1221+7)*('Weekly Log'!$M$5:$M$5000&lt;&gt;"")),'Weekly Log'!$M$5:$M$5000),0))</f>
        <v/>
      </c>
      <c r="J1221">
        <f>IF(COUNT('Weekly Log'!$A$5:$A$5000)=0,"",IF(MIN('Weekly Log'!$A$5:$A$5000)+7*(ROW()-10)&gt;MAX('Weekly Log'!$A$5:$A$5000),"",MIN('Weekly Log'!$A$5:$A$5000)+7*(ROW()-10)))</f>
        <v/>
      </c>
    </row>
    <row r="1222">
      <c r="A1222">
        <f>IF($J1222="","",YEAR($J1222-WEEKDAY($J1222,2)+4)&amp;"-W"&amp;TEXT(WEEKNUM($J1222,21),"00"))</f>
        <v/>
      </c>
      <c r="B1222">
        <f>IF($J1222="","",SUMIFS('Weekly Log'!$C:$C,'Weekly Log'!$A:$A,"&gt;="&amp;$J1222,'Weekly Log'!$A:$A,"&lt;"&amp;$J1222+7))</f>
        <v/>
      </c>
      <c r="C1222">
        <f>IF($J1222="","",IFERROR(COUNTIFS('Weekly Log'!$G:$G,"Y",'Weekly Log'!$A:$A,"&gt;="&amp;$J1222,'Weekly Log'!$A:$A,"&lt;"&amp;$J1222+7)/COUNTIFS('Weekly Log'!$G:$G,"&lt;&gt;",'Weekly Log'!$A:$A,"&gt;="&amp;$J1222,'Weekly Log'!$A:$A,"&lt;"&amp;$J1222+7),0))</f>
        <v/>
      </c>
      <c r="D1222">
        <f>IF($J1222="","",IFERROR(COUNTIFS('Weekly Log'!$H:$H,"Y",'Weekly Log'!$A:$A,"&gt;="&amp;$J1222,'Weekly Log'!$A:$A,"&lt;"&amp;$J1222+7)/COUNTIFS('Weekly Log'!$H:$H,"&lt;&gt;",'Weekly Log'!$A:$A,"&gt;="&amp;$J1222,'Weekly Log'!$A:$A,"&lt;"&amp;$J1222+7),0))</f>
        <v/>
      </c>
      <c r="E1222">
        <f>IF($J1222="","",IFERROR(AVERAGEIFS('Weekly Log'!$F:$F,'Weekly Log'!$A:$A,"&gt;="&amp;$J1222,'Weekly Log'!$A:$A,"&lt;"&amp;$J1222+7),0))</f>
        <v/>
      </c>
      <c r="F1222">
        <f>IF($J1222="","",IFERROR(SUMIFS('Weekly Log'!$F:$F,'Weekly Log'!$A:$A,"&gt;="&amp;$J1222,'Weekly Log'!$A:$A,"&lt;"&amp;$J1222+7)/SUMIFS('Weekly Log'!$E:$E,'Weekly Log'!$A:$A,"&gt;="&amp;$J1222,'Weekly Log'!$A:$A,"&lt;"&amp;$J1222+7),0))</f>
        <v/>
      </c>
      <c r="G1222">
        <f>IF($J1222="","",IFERROR(LOOKUP(2,1/(('Weekly Log'!$A$5:$A$5000&gt;=$J1222)*('Weekly Log'!$A$5:$A$5000&lt;$J1222+7)*('Weekly Log'!$M$5:$M$5000&lt;&gt;"")),'Weekly Log'!$M$5:$M$5000),0))</f>
        <v/>
      </c>
      <c r="J1222">
        <f>IF(COUNT('Weekly Log'!$A$5:$A$5000)=0,"",IF(MIN('Weekly Log'!$A$5:$A$5000)+7*(ROW()-10)&gt;MAX('Weekly Log'!$A$5:$A$5000),"",MIN('Weekly Log'!$A$5:$A$5000)+7*(ROW()-10)))</f>
        <v/>
      </c>
    </row>
    <row r="1223">
      <c r="A1223">
        <f>IF($J1223="","",YEAR($J1223-WEEKDAY($J1223,2)+4)&amp;"-W"&amp;TEXT(WEEKNUM($J1223,21),"00"))</f>
        <v/>
      </c>
      <c r="B1223">
        <f>IF($J1223="","",SUMIFS('Weekly Log'!$C:$C,'Weekly Log'!$A:$A,"&gt;="&amp;$J1223,'Weekly Log'!$A:$A,"&lt;"&amp;$J1223+7))</f>
        <v/>
      </c>
      <c r="C1223">
        <f>IF($J1223="","",IFERROR(COUNTIFS('Weekly Log'!$G:$G,"Y",'Weekly Log'!$A:$A,"&gt;="&amp;$J1223,'Weekly Log'!$A:$A,"&lt;"&amp;$J1223+7)/COUNTIFS('Weekly Log'!$G:$G,"&lt;&gt;",'Weekly Log'!$A:$A,"&gt;="&amp;$J1223,'Weekly Log'!$A:$A,"&lt;"&amp;$J1223+7),0))</f>
        <v/>
      </c>
      <c r="D1223">
        <f>IF($J1223="","",IFERROR(COUNTIFS('Weekly Log'!$H:$H,"Y",'Weekly Log'!$A:$A,"&gt;="&amp;$J1223,'Weekly Log'!$A:$A,"&lt;"&amp;$J1223+7)/COUNTIFS('Weekly Log'!$H:$H,"&lt;&gt;",'Weekly Log'!$A:$A,"&gt;="&amp;$J1223,'Weekly Log'!$A:$A,"&lt;"&amp;$J1223+7),0))</f>
        <v/>
      </c>
      <c r="E1223">
        <f>IF($J1223="","",IFERROR(AVERAGEIFS('Weekly Log'!$F:$F,'Weekly Log'!$A:$A,"&gt;="&amp;$J1223,'Weekly Log'!$A:$A,"&lt;"&amp;$J1223+7),0))</f>
        <v/>
      </c>
      <c r="F1223">
        <f>IF($J1223="","",IFERROR(SUMIFS('Weekly Log'!$F:$F,'Weekly Log'!$A:$A,"&gt;="&amp;$J1223,'Weekly Log'!$A:$A,"&lt;"&amp;$J1223+7)/SUMIFS('Weekly Log'!$E:$E,'Weekly Log'!$A:$A,"&gt;="&amp;$J1223,'Weekly Log'!$A:$A,"&lt;"&amp;$J1223+7),0))</f>
        <v/>
      </c>
      <c r="G1223">
        <f>IF($J1223="","",IFERROR(LOOKUP(2,1/(('Weekly Log'!$A$5:$A$5000&gt;=$J1223)*('Weekly Log'!$A$5:$A$5000&lt;$J1223+7)*('Weekly Log'!$M$5:$M$5000&lt;&gt;"")),'Weekly Log'!$M$5:$M$5000),0))</f>
        <v/>
      </c>
      <c r="J1223">
        <f>IF(COUNT('Weekly Log'!$A$5:$A$5000)=0,"",IF(MIN('Weekly Log'!$A$5:$A$5000)+7*(ROW()-10)&gt;MAX('Weekly Log'!$A$5:$A$5000),"",MIN('Weekly Log'!$A$5:$A$5000)+7*(ROW()-10)))</f>
        <v/>
      </c>
    </row>
    <row r="1224">
      <c r="A1224">
        <f>IF($J1224="","",YEAR($J1224-WEEKDAY($J1224,2)+4)&amp;"-W"&amp;TEXT(WEEKNUM($J1224,21),"00"))</f>
        <v/>
      </c>
      <c r="B1224">
        <f>IF($J1224="","",SUMIFS('Weekly Log'!$C:$C,'Weekly Log'!$A:$A,"&gt;="&amp;$J1224,'Weekly Log'!$A:$A,"&lt;"&amp;$J1224+7))</f>
        <v/>
      </c>
      <c r="C1224">
        <f>IF($J1224="","",IFERROR(COUNTIFS('Weekly Log'!$G:$G,"Y",'Weekly Log'!$A:$A,"&gt;="&amp;$J1224,'Weekly Log'!$A:$A,"&lt;"&amp;$J1224+7)/COUNTIFS('Weekly Log'!$G:$G,"&lt;&gt;",'Weekly Log'!$A:$A,"&gt;="&amp;$J1224,'Weekly Log'!$A:$A,"&lt;"&amp;$J1224+7),0))</f>
        <v/>
      </c>
      <c r="D1224">
        <f>IF($J1224="","",IFERROR(COUNTIFS('Weekly Log'!$H:$H,"Y",'Weekly Log'!$A:$A,"&gt;="&amp;$J1224,'Weekly Log'!$A:$A,"&lt;"&amp;$J1224+7)/COUNTIFS('Weekly Log'!$H:$H,"&lt;&gt;",'Weekly Log'!$A:$A,"&gt;="&amp;$J1224,'Weekly Log'!$A:$A,"&lt;"&amp;$J1224+7),0))</f>
        <v/>
      </c>
      <c r="E1224">
        <f>IF($J1224="","",IFERROR(AVERAGEIFS('Weekly Log'!$F:$F,'Weekly Log'!$A:$A,"&gt;="&amp;$J1224,'Weekly Log'!$A:$A,"&lt;"&amp;$J1224+7),0))</f>
        <v/>
      </c>
      <c r="F1224">
        <f>IF($J1224="","",IFERROR(SUMIFS('Weekly Log'!$F:$F,'Weekly Log'!$A:$A,"&gt;="&amp;$J1224,'Weekly Log'!$A:$A,"&lt;"&amp;$J1224+7)/SUMIFS('Weekly Log'!$E:$E,'Weekly Log'!$A:$A,"&gt;="&amp;$J1224,'Weekly Log'!$A:$A,"&lt;"&amp;$J1224+7),0))</f>
        <v/>
      </c>
      <c r="G1224">
        <f>IF($J1224="","",IFERROR(LOOKUP(2,1/(('Weekly Log'!$A$5:$A$5000&gt;=$J1224)*('Weekly Log'!$A$5:$A$5000&lt;$J1224+7)*('Weekly Log'!$M$5:$M$5000&lt;&gt;"")),'Weekly Log'!$M$5:$M$5000),0))</f>
        <v/>
      </c>
      <c r="J1224">
        <f>IF(COUNT('Weekly Log'!$A$5:$A$5000)=0,"",IF(MIN('Weekly Log'!$A$5:$A$5000)+7*(ROW()-10)&gt;MAX('Weekly Log'!$A$5:$A$5000),"",MIN('Weekly Log'!$A$5:$A$5000)+7*(ROW()-10)))</f>
        <v/>
      </c>
    </row>
    <row r="1225">
      <c r="A1225">
        <f>IF($J1225="","",YEAR($J1225-WEEKDAY($J1225,2)+4)&amp;"-W"&amp;TEXT(WEEKNUM($J1225,21),"00"))</f>
        <v/>
      </c>
      <c r="B1225">
        <f>IF($J1225="","",SUMIFS('Weekly Log'!$C:$C,'Weekly Log'!$A:$A,"&gt;="&amp;$J1225,'Weekly Log'!$A:$A,"&lt;"&amp;$J1225+7))</f>
        <v/>
      </c>
      <c r="C1225">
        <f>IF($J1225="","",IFERROR(COUNTIFS('Weekly Log'!$G:$G,"Y",'Weekly Log'!$A:$A,"&gt;="&amp;$J1225,'Weekly Log'!$A:$A,"&lt;"&amp;$J1225+7)/COUNTIFS('Weekly Log'!$G:$G,"&lt;&gt;",'Weekly Log'!$A:$A,"&gt;="&amp;$J1225,'Weekly Log'!$A:$A,"&lt;"&amp;$J1225+7),0))</f>
        <v/>
      </c>
      <c r="D1225">
        <f>IF($J1225="","",IFERROR(COUNTIFS('Weekly Log'!$H:$H,"Y",'Weekly Log'!$A:$A,"&gt;="&amp;$J1225,'Weekly Log'!$A:$A,"&lt;"&amp;$J1225+7)/COUNTIFS('Weekly Log'!$H:$H,"&lt;&gt;",'Weekly Log'!$A:$A,"&gt;="&amp;$J1225,'Weekly Log'!$A:$A,"&lt;"&amp;$J1225+7),0))</f>
        <v/>
      </c>
      <c r="E1225">
        <f>IF($J1225="","",IFERROR(AVERAGEIFS('Weekly Log'!$F:$F,'Weekly Log'!$A:$A,"&gt;="&amp;$J1225,'Weekly Log'!$A:$A,"&lt;"&amp;$J1225+7),0))</f>
        <v/>
      </c>
      <c r="F1225">
        <f>IF($J1225="","",IFERROR(SUMIFS('Weekly Log'!$F:$F,'Weekly Log'!$A:$A,"&gt;="&amp;$J1225,'Weekly Log'!$A:$A,"&lt;"&amp;$J1225+7)/SUMIFS('Weekly Log'!$E:$E,'Weekly Log'!$A:$A,"&gt;="&amp;$J1225,'Weekly Log'!$A:$A,"&lt;"&amp;$J1225+7),0))</f>
        <v/>
      </c>
      <c r="G1225">
        <f>IF($J1225="","",IFERROR(LOOKUP(2,1/(('Weekly Log'!$A$5:$A$5000&gt;=$J1225)*('Weekly Log'!$A$5:$A$5000&lt;$J1225+7)*('Weekly Log'!$M$5:$M$5000&lt;&gt;"")),'Weekly Log'!$M$5:$M$5000),0))</f>
        <v/>
      </c>
      <c r="J1225">
        <f>IF(COUNT('Weekly Log'!$A$5:$A$5000)=0,"",IF(MIN('Weekly Log'!$A$5:$A$5000)+7*(ROW()-10)&gt;MAX('Weekly Log'!$A$5:$A$5000),"",MIN('Weekly Log'!$A$5:$A$5000)+7*(ROW()-10)))</f>
        <v/>
      </c>
    </row>
    <row r="1226">
      <c r="A1226">
        <f>IF($J1226="","",YEAR($J1226-WEEKDAY($J1226,2)+4)&amp;"-W"&amp;TEXT(WEEKNUM($J1226,21),"00"))</f>
        <v/>
      </c>
      <c r="B1226">
        <f>IF($J1226="","",SUMIFS('Weekly Log'!$C:$C,'Weekly Log'!$A:$A,"&gt;="&amp;$J1226,'Weekly Log'!$A:$A,"&lt;"&amp;$J1226+7))</f>
        <v/>
      </c>
      <c r="C1226">
        <f>IF($J1226="","",IFERROR(COUNTIFS('Weekly Log'!$G:$G,"Y",'Weekly Log'!$A:$A,"&gt;="&amp;$J1226,'Weekly Log'!$A:$A,"&lt;"&amp;$J1226+7)/COUNTIFS('Weekly Log'!$G:$G,"&lt;&gt;",'Weekly Log'!$A:$A,"&gt;="&amp;$J1226,'Weekly Log'!$A:$A,"&lt;"&amp;$J1226+7),0))</f>
        <v/>
      </c>
      <c r="D1226">
        <f>IF($J1226="","",IFERROR(COUNTIFS('Weekly Log'!$H:$H,"Y",'Weekly Log'!$A:$A,"&gt;="&amp;$J1226,'Weekly Log'!$A:$A,"&lt;"&amp;$J1226+7)/COUNTIFS('Weekly Log'!$H:$H,"&lt;&gt;",'Weekly Log'!$A:$A,"&gt;="&amp;$J1226,'Weekly Log'!$A:$A,"&lt;"&amp;$J1226+7),0))</f>
        <v/>
      </c>
      <c r="E1226">
        <f>IF($J1226="","",IFERROR(AVERAGEIFS('Weekly Log'!$F:$F,'Weekly Log'!$A:$A,"&gt;="&amp;$J1226,'Weekly Log'!$A:$A,"&lt;"&amp;$J1226+7),0))</f>
        <v/>
      </c>
      <c r="F1226">
        <f>IF($J1226="","",IFERROR(SUMIFS('Weekly Log'!$F:$F,'Weekly Log'!$A:$A,"&gt;="&amp;$J1226,'Weekly Log'!$A:$A,"&lt;"&amp;$J1226+7)/SUMIFS('Weekly Log'!$E:$E,'Weekly Log'!$A:$A,"&gt;="&amp;$J1226,'Weekly Log'!$A:$A,"&lt;"&amp;$J1226+7),0))</f>
        <v/>
      </c>
      <c r="G1226">
        <f>IF($J1226="","",IFERROR(LOOKUP(2,1/(('Weekly Log'!$A$5:$A$5000&gt;=$J1226)*('Weekly Log'!$A$5:$A$5000&lt;$J1226+7)*('Weekly Log'!$M$5:$M$5000&lt;&gt;"")),'Weekly Log'!$M$5:$M$5000),0))</f>
        <v/>
      </c>
      <c r="J1226">
        <f>IF(COUNT('Weekly Log'!$A$5:$A$5000)=0,"",IF(MIN('Weekly Log'!$A$5:$A$5000)+7*(ROW()-10)&gt;MAX('Weekly Log'!$A$5:$A$5000),"",MIN('Weekly Log'!$A$5:$A$5000)+7*(ROW()-10)))</f>
        <v/>
      </c>
    </row>
    <row r="1227">
      <c r="A1227">
        <f>IF($J1227="","",YEAR($J1227-WEEKDAY($J1227,2)+4)&amp;"-W"&amp;TEXT(WEEKNUM($J1227,21),"00"))</f>
        <v/>
      </c>
      <c r="B1227">
        <f>IF($J1227="","",SUMIFS('Weekly Log'!$C:$C,'Weekly Log'!$A:$A,"&gt;="&amp;$J1227,'Weekly Log'!$A:$A,"&lt;"&amp;$J1227+7))</f>
        <v/>
      </c>
      <c r="C1227">
        <f>IF($J1227="","",IFERROR(COUNTIFS('Weekly Log'!$G:$G,"Y",'Weekly Log'!$A:$A,"&gt;="&amp;$J1227,'Weekly Log'!$A:$A,"&lt;"&amp;$J1227+7)/COUNTIFS('Weekly Log'!$G:$G,"&lt;&gt;",'Weekly Log'!$A:$A,"&gt;="&amp;$J1227,'Weekly Log'!$A:$A,"&lt;"&amp;$J1227+7),0))</f>
        <v/>
      </c>
      <c r="D1227">
        <f>IF($J1227="","",IFERROR(COUNTIFS('Weekly Log'!$H:$H,"Y",'Weekly Log'!$A:$A,"&gt;="&amp;$J1227,'Weekly Log'!$A:$A,"&lt;"&amp;$J1227+7)/COUNTIFS('Weekly Log'!$H:$H,"&lt;&gt;",'Weekly Log'!$A:$A,"&gt;="&amp;$J1227,'Weekly Log'!$A:$A,"&lt;"&amp;$J1227+7),0))</f>
        <v/>
      </c>
      <c r="E1227">
        <f>IF($J1227="","",IFERROR(AVERAGEIFS('Weekly Log'!$F:$F,'Weekly Log'!$A:$A,"&gt;="&amp;$J1227,'Weekly Log'!$A:$A,"&lt;"&amp;$J1227+7),0))</f>
        <v/>
      </c>
      <c r="F1227">
        <f>IF($J1227="","",IFERROR(SUMIFS('Weekly Log'!$F:$F,'Weekly Log'!$A:$A,"&gt;="&amp;$J1227,'Weekly Log'!$A:$A,"&lt;"&amp;$J1227+7)/SUMIFS('Weekly Log'!$E:$E,'Weekly Log'!$A:$A,"&gt;="&amp;$J1227,'Weekly Log'!$A:$A,"&lt;"&amp;$J1227+7),0))</f>
        <v/>
      </c>
      <c r="G1227">
        <f>IF($J1227="","",IFERROR(LOOKUP(2,1/(('Weekly Log'!$A$5:$A$5000&gt;=$J1227)*('Weekly Log'!$A$5:$A$5000&lt;$J1227+7)*('Weekly Log'!$M$5:$M$5000&lt;&gt;"")),'Weekly Log'!$M$5:$M$5000),0))</f>
        <v/>
      </c>
      <c r="J1227">
        <f>IF(COUNT('Weekly Log'!$A$5:$A$5000)=0,"",IF(MIN('Weekly Log'!$A$5:$A$5000)+7*(ROW()-10)&gt;MAX('Weekly Log'!$A$5:$A$5000),"",MIN('Weekly Log'!$A$5:$A$5000)+7*(ROW()-10)))</f>
        <v/>
      </c>
    </row>
    <row r="1228">
      <c r="A1228">
        <f>IF($J1228="","",YEAR($J1228-WEEKDAY($J1228,2)+4)&amp;"-W"&amp;TEXT(WEEKNUM($J1228,21),"00"))</f>
        <v/>
      </c>
      <c r="B1228">
        <f>IF($J1228="","",SUMIFS('Weekly Log'!$C:$C,'Weekly Log'!$A:$A,"&gt;="&amp;$J1228,'Weekly Log'!$A:$A,"&lt;"&amp;$J1228+7))</f>
        <v/>
      </c>
      <c r="C1228">
        <f>IF($J1228="","",IFERROR(COUNTIFS('Weekly Log'!$G:$G,"Y",'Weekly Log'!$A:$A,"&gt;="&amp;$J1228,'Weekly Log'!$A:$A,"&lt;"&amp;$J1228+7)/COUNTIFS('Weekly Log'!$G:$G,"&lt;&gt;",'Weekly Log'!$A:$A,"&gt;="&amp;$J1228,'Weekly Log'!$A:$A,"&lt;"&amp;$J1228+7),0))</f>
        <v/>
      </c>
      <c r="D1228">
        <f>IF($J1228="","",IFERROR(COUNTIFS('Weekly Log'!$H:$H,"Y",'Weekly Log'!$A:$A,"&gt;="&amp;$J1228,'Weekly Log'!$A:$A,"&lt;"&amp;$J1228+7)/COUNTIFS('Weekly Log'!$H:$H,"&lt;&gt;",'Weekly Log'!$A:$A,"&gt;="&amp;$J1228,'Weekly Log'!$A:$A,"&lt;"&amp;$J1228+7),0))</f>
        <v/>
      </c>
      <c r="E1228">
        <f>IF($J1228="","",IFERROR(AVERAGEIFS('Weekly Log'!$F:$F,'Weekly Log'!$A:$A,"&gt;="&amp;$J1228,'Weekly Log'!$A:$A,"&lt;"&amp;$J1228+7),0))</f>
        <v/>
      </c>
      <c r="F1228">
        <f>IF($J1228="","",IFERROR(SUMIFS('Weekly Log'!$F:$F,'Weekly Log'!$A:$A,"&gt;="&amp;$J1228,'Weekly Log'!$A:$A,"&lt;"&amp;$J1228+7)/SUMIFS('Weekly Log'!$E:$E,'Weekly Log'!$A:$A,"&gt;="&amp;$J1228,'Weekly Log'!$A:$A,"&lt;"&amp;$J1228+7),0))</f>
        <v/>
      </c>
      <c r="G1228">
        <f>IF($J1228="","",IFERROR(LOOKUP(2,1/(('Weekly Log'!$A$5:$A$5000&gt;=$J1228)*('Weekly Log'!$A$5:$A$5000&lt;$J1228+7)*('Weekly Log'!$M$5:$M$5000&lt;&gt;"")),'Weekly Log'!$M$5:$M$5000),0))</f>
        <v/>
      </c>
      <c r="J1228">
        <f>IF(COUNT('Weekly Log'!$A$5:$A$5000)=0,"",IF(MIN('Weekly Log'!$A$5:$A$5000)+7*(ROW()-10)&gt;MAX('Weekly Log'!$A$5:$A$5000),"",MIN('Weekly Log'!$A$5:$A$5000)+7*(ROW()-10)))</f>
        <v/>
      </c>
    </row>
    <row r="1229">
      <c r="A1229">
        <f>IF($J1229="","",YEAR($J1229-WEEKDAY($J1229,2)+4)&amp;"-W"&amp;TEXT(WEEKNUM($J1229,21),"00"))</f>
        <v/>
      </c>
      <c r="B1229">
        <f>IF($J1229="","",SUMIFS('Weekly Log'!$C:$C,'Weekly Log'!$A:$A,"&gt;="&amp;$J1229,'Weekly Log'!$A:$A,"&lt;"&amp;$J1229+7))</f>
        <v/>
      </c>
      <c r="C1229">
        <f>IF($J1229="","",IFERROR(COUNTIFS('Weekly Log'!$G:$G,"Y",'Weekly Log'!$A:$A,"&gt;="&amp;$J1229,'Weekly Log'!$A:$A,"&lt;"&amp;$J1229+7)/COUNTIFS('Weekly Log'!$G:$G,"&lt;&gt;",'Weekly Log'!$A:$A,"&gt;="&amp;$J1229,'Weekly Log'!$A:$A,"&lt;"&amp;$J1229+7),0))</f>
        <v/>
      </c>
      <c r="D1229">
        <f>IF($J1229="","",IFERROR(COUNTIFS('Weekly Log'!$H:$H,"Y",'Weekly Log'!$A:$A,"&gt;="&amp;$J1229,'Weekly Log'!$A:$A,"&lt;"&amp;$J1229+7)/COUNTIFS('Weekly Log'!$H:$H,"&lt;&gt;",'Weekly Log'!$A:$A,"&gt;="&amp;$J1229,'Weekly Log'!$A:$A,"&lt;"&amp;$J1229+7),0))</f>
        <v/>
      </c>
      <c r="E1229">
        <f>IF($J1229="","",IFERROR(AVERAGEIFS('Weekly Log'!$F:$F,'Weekly Log'!$A:$A,"&gt;="&amp;$J1229,'Weekly Log'!$A:$A,"&lt;"&amp;$J1229+7),0))</f>
        <v/>
      </c>
      <c r="F1229">
        <f>IF($J1229="","",IFERROR(SUMIFS('Weekly Log'!$F:$F,'Weekly Log'!$A:$A,"&gt;="&amp;$J1229,'Weekly Log'!$A:$A,"&lt;"&amp;$J1229+7)/SUMIFS('Weekly Log'!$E:$E,'Weekly Log'!$A:$A,"&gt;="&amp;$J1229,'Weekly Log'!$A:$A,"&lt;"&amp;$J1229+7),0))</f>
        <v/>
      </c>
      <c r="G1229">
        <f>IF($J1229="","",IFERROR(LOOKUP(2,1/(('Weekly Log'!$A$5:$A$5000&gt;=$J1229)*('Weekly Log'!$A$5:$A$5000&lt;$J1229+7)*('Weekly Log'!$M$5:$M$5000&lt;&gt;"")),'Weekly Log'!$M$5:$M$5000),0))</f>
        <v/>
      </c>
      <c r="J1229">
        <f>IF(COUNT('Weekly Log'!$A$5:$A$5000)=0,"",IF(MIN('Weekly Log'!$A$5:$A$5000)+7*(ROW()-10)&gt;MAX('Weekly Log'!$A$5:$A$5000),"",MIN('Weekly Log'!$A$5:$A$5000)+7*(ROW()-10)))</f>
        <v/>
      </c>
    </row>
    <row r="1230">
      <c r="A1230">
        <f>IF($J1230="","",YEAR($J1230-WEEKDAY($J1230,2)+4)&amp;"-W"&amp;TEXT(WEEKNUM($J1230,21),"00"))</f>
        <v/>
      </c>
      <c r="B1230">
        <f>IF($J1230="","",SUMIFS('Weekly Log'!$C:$C,'Weekly Log'!$A:$A,"&gt;="&amp;$J1230,'Weekly Log'!$A:$A,"&lt;"&amp;$J1230+7))</f>
        <v/>
      </c>
      <c r="C1230">
        <f>IF($J1230="","",IFERROR(COUNTIFS('Weekly Log'!$G:$G,"Y",'Weekly Log'!$A:$A,"&gt;="&amp;$J1230,'Weekly Log'!$A:$A,"&lt;"&amp;$J1230+7)/COUNTIFS('Weekly Log'!$G:$G,"&lt;&gt;",'Weekly Log'!$A:$A,"&gt;="&amp;$J1230,'Weekly Log'!$A:$A,"&lt;"&amp;$J1230+7),0))</f>
        <v/>
      </c>
      <c r="D1230">
        <f>IF($J1230="","",IFERROR(COUNTIFS('Weekly Log'!$H:$H,"Y",'Weekly Log'!$A:$A,"&gt;="&amp;$J1230,'Weekly Log'!$A:$A,"&lt;"&amp;$J1230+7)/COUNTIFS('Weekly Log'!$H:$H,"&lt;&gt;",'Weekly Log'!$A:$A,"&gt;="&amp;$J1230,'Weekly Log'!$A:$A,"&lt;"&amp;$J1230+7),0))</f>
        <v/>
      </c>
      <c r="E1230">
        <f>IF($J1230="","",IFERROR(AVERAGEIFS('Weekly Log'!$F:$F,'Weekly Log'!$A:$A,"&gt;="&amp;$J1230,'Weekly Log'!$A:$A,"&lt;"&amp;$J1230+7),0))</f>
        <v/>
      </c>
      <c r="F1230">
        <f>IF($J1230="","",IFERROR(SUMIFS('Weekly Log'!$F:$F,'Weekly Log'!$A:$A,"&gt;="&amp;$J1230,'Weekly Log'!$A:$A,"&lt;"&amp;$J1230+7)/SUMIFS('Weekly Log'!$E:$E,'Weekly Log'!$A:$A,"&gt;="&amp;$J1230,'Weekly Log'!$A:$A,"&lt;"&amp;$J1230+7),0))</f>
        <v/>
      </c>
      <c r="G1230">
        <f>IF($J1230="","",IFERROR(LOOKUP(2,1/(('Weekly Log'!$A$5:$A$5000&gt;=$J1230)*('Weekly Log'!$A$5:$A$5000&lt;$J1230+7)*('Weekly Log'!$M$5:$M$5000&lt;&gt;"")),'Weekly Log'!$M$5:$M$5000),0))</f>
        <v/>
      </c>
      <c r="J1230">
        <f>IF(COUNT('Weekly Log'!$A$5:$A$5000)=0,"",IF(MIN('Weekly Log'!$A$5:$A$5000)+7*(ROW()-10)&gt;MAX('Weekly Log'!$A$5:$A$5000),"",MIN('Weekly Log'!$A$5:$A$5000)+7*(ROW()-10)))</f>
        <v/>
      </c>
    </row>
    <row r="1231">
      <c r="A1231">
        <f>IF($J1231="","",YEAR($J1231-WEEKDAY($J1231,2)+4)&amp;"-W"&amp;TEXT(WEEKNUM($J1231,21),"00"))</f>
        <v/>
      </c>
      <c r="B1231">
        <f>IF($J1231="","",SUMIFS('Weekly Log'!$C:$C,'Weekly Log'!$A:$A,"&gt;="&amp;$J1231,'Weekly Log'!$A:$A,"&lt;"&amp;$J1231+7))</f>
        <v/>
      </c>
      <c r="C1231">
        <f>IF($J1231="","",IFERROR(COUNTIFS('Weekly Log'!$G:$G,"Y",'Weekly Log'!$A:$A,"&gt;="&amp;$J1231,'Weekly Log'!$A:$A,"&lt;"&amp;$J1231+7)/COUNTIFS('Weekly Log'!$G:$G,"&lt;&gt;",'Weekly Log'!$A:$A,"&gt;="&amp;$J1231,'Weekly Log'!$A:$A,"&lt;"&amp;$J1231+7),0))</f>
        <v/>
      </c>
      <c r="D1231">
        <f>IF($J1231="","",IFERROR(COUNTIFS('Weekly Log'!$H:$H,"Y",'Weekly Log'!$A:$A,"&gt;="&amp;$J1231,'Weekly Log'!$A:$A,"&lt;"&amp;$J1231+7)/COUNTIFS('Weekly Log'!$H:$H,"&lt;&gt;",'Weekly Log'!$A:$A,"&gt;="&amp;$J1231,'Weekly Log'!$A:$A,"&lt;"&amp;$J1231+7),0))</f>
        <v/>
      </c>
      <c r="E1231">
        <f>IF($J1231="","",IFERROR(AVERAGEIFS('Weekly Log'!$F:$F,'Weekly Log'!$A:$A,"&gt;="&amp;$J1231,'Weekly Log'!$A:$A,"&lt;"&amp;$J1231+7),0))</f>
        <v/>
      </c>
      <c r="F1231">
        <f>IF($J1231="","",IFERROR(SUMIFS('Weekly Log'!$F:$F,'Weekly Log'!$A:$A,"&gt;="&amp;$J1231,'Weekly Log'!$A:$A,"&lt;"&amp;$J1231+7)/SUMIFS('Weekly Log'!$E:$E,'Weekly Log'!$A:$A,"&gt;="&amp;$J1231,'Weekly Log'!$A:$A,"&lt;"&amp;$J1231+7),0))</f>
        <v/>
      </c>
      <c r="G1231">
        <f>IF($J1231="","",IFERROR(LOOKUP(2,1/(('Weekly Log'!$A$5:$A$5000&gt;=$J1231)*('Weekly Log'!$A$5:$A$5000&lt;$J1231+7)*('Weekly Log'!$M$5:$M$5000&lt;&gt;"")),'Weekly Log'!$M$5:$M$5000),0))</f>
        <v/>
      </c>
      <c r="J1231">
        <f>IF(COUNT('Weekly Log'!$A$5:$A$5000)=0,"",IF(MIN('Weekly Log'!$A$5:$A$5000)+7*(ROW()-10)&gt;MAX('Weekly Log'!$A$5:$A$5000),"",MIN('Weekly Log'!$A$5:$A$5000)+7*(ROW()-10)))</f>
        <v/>
      </c>
    </row>
    <row r="1232">
      <c r="A1232">
        <f>IF($J1232="","",YEAR($J1232-WEEKDAY($J1232,2)+4)&amp;"-W"&amp;TEXT(WEEKNUM($J1232,21),"00"))</f>
        <v/>
      </c>
      <c r="B1232">
        <f>IF($J1232="","",SUMIFS('Weekly Log'!$C:$C,'Weekly Log'!$A:$A,"&gt;="&amp;$J1232,'Weekly Log'!$A:$A,"&lt;"&amp;$J1232+7))</f>
        <v/>
      </c>
      <c r="C1232">
        <f>IF($J1232="","",IFERROR(COUNTIFS('Weekly Log'!$G:$G,"Y",'Weekly Log'!$A:$A,"&gt;="&amp;$J1232,'Weekly Log'!$A:$A,"&lt;"&amp;$J1232+7)/COUNTIFS('Weekly Log'!$G:$G,"&lt;&gt;",'Weekly Log'!$A:$A,"&gt;="&amp;$J1232,'Weekly Log'!$A:$A,"&lt;"&amp;$J1232+7),0))</f>
        <v/>
      </c>
      <c r="D1232">
        <f>IF($J1232="","",IFERROR(COUNTIFS('Weekly Log'!$H:$H,"Y",'Weekly Log'!$A:$A,"&gt;="&amp;$J1232,'Weekly Log'!$A:$A,"&lt;"&amp;$J1232+7)/COUNTIFS('Weekly Log'!$H:$H,"&lt;&gt;",'Weekly Log'!$A:$A,"&gt;="&amp;$J1232,'Weekly Log'!$A:$A,"&lt;"&amp;$J1232+7),0))</f>
        <v/>
      </c>
      <c r="E1232">
        <f>IF($J1232="","",IFERROR(AVERAGEIFS('Weekly Log'!$F:$F,'Weekly Log'!$A:$A,"&gt;="&amp;$J1232,'Weekly Log'!$A:$A,"&lt;"&amp;$J1232+7),0))</f>
        <v/>
      </c>
      <c r="F1232">
        <f>IF($J1232="","",IFERROR(SUMIFS('Weekly Log'!$F:$F,'Weekly Log'!$A:$A,"&gt;="&amp;$J1232,'Weekly Log'!$A:$A,"&lt;"&amp;$J1232+7)/SUMIFS('Weekly Log'!$E:$E,'Weekly Log'!$A:$A,"&gt;="&amp;$J1232,'Weekly Log'!$A:$A,"&lt;"&amp;$J1232+7),0))</f>
        <v/>
      </c>
      <c r="G1232">
        <f>IF($J1232="","",IFERROR(LOOKUP(2,1/(('Weekly Log'!$A$5:$A$5000&gt;=$J1232)*('Weekly Log'!$A$5:$A$5000&lt;$J1232+7)*('Weekly Log'!$M$5:$M$5000&lt;&gt;"")),'Weekly Log'!$M$5:$M$5000),0))</f>
        <v/>
      </c>
      <c r="J1232">
        <f>IF(COUNT('Weekly Log'!$A$5:$A$5000)=0,"",IF(MIN('Weekly Log'!$A$5:$A$5000)+7*(ROW()-10)&gt;MAX('Weekly Log'!$A$5:$A$5000),"",MIN('Weekly Log'!$A$5:$A$5000)+7*(ROW()-10)))</f>
        <v/>
      </c>
    </row>
    <row r="1233">
      <c r="A1233">
        <f>IF($J1233="","",YEAR($J1233-WEEKDAY($J1233,2)+4)&amp;"-W"&amp;TEXT(WEEKNUM($J1233,21),"00"))</f>
        <v/>
      </c>
      <c r="B1233">
        <f>IF($J1233="","",SUMIFS('Weekly Log'!$C:$C,'Weekly Log'!$A:$A,"&gt;="&amp;$J1233,'Weekly Log'!$A:$A,"&lt;"&amp;$J1233+7))</f>
        <v/>
      </c>
      <c r="C1233">
        <f>IF($J1233="","",IFERROR(COUNTIFS('Weekly Log'!$G:$G,"Y",'Weekly Log'!$A:$A,"&gt;="&amp;$J1233,'Weekly Log'!$A:$A,"&lt;"&amp;$J1233+7)/COUNTIFS('Weekly Log'!$G:$G,"&lt;&gt;",'Weekly Log'!$A:$A,"&gt;="&amp;$J1233,'Weekly Log'!$A:$A,"&lt;"&amp;$J1233+7),0))</f>
        <v/>
      </c>
      <c r="D1233">
        <f>IF($J1233="","",IFERROR(COUNTIFS('Weekly Log'!$H:$H,"Y",'Weekly Log'!$A:$A,"&gt;="&amp;$J1233,'Weekly Log'!$A:$A,"&lt;"&amp;$J1233+7)/COUNTIFS('Weekly Log'!$H:$H,"&lt;&gt;",'Weekly Log'!$A:$A,"&gt;="&amp;$J1233,'Weekly Log'!$A:$A,"&lt;"&amp;$J1233+7),0))</f>
        <v/>
      </c>
      <c r="E1233">
        <f>IF($J1233="","",IFERROR(AVERAGEIFS('Weekly Log'!$F:$F,'Weekly Log'!$A:$A,"&gt;="&amp;$J1233,'Weekly Log'!$A:$A,"&lt;"&amp;$J1233+7),0))</f>
        <v/>
      </c>
      <c r="F1233">
        <f>IF($J1233="","",IFERROR(SUMIFS('Weekly Log'!$F:$F,'Weekly Log'!$A:$A,"&gt;="&amp;$J1233,'Weekly Log'!$A:$A,"&lt;"&amp;$J1233+7)/SUMIFS('Weekly Log'!$E:$E,'Weekly Log'!$A:$A,"&gt;="&amp;$J1233,'Weekly Log'!$A:$A,"&lt;"&amp;$J1233+7),0))</f>
        <v/>
      </c>
      <c r="G1233">
        <f>IF($J1233="","",IFERROR(LOOKUP(2,1/(('Weekly Log'!$A$5:$A$5000&gt;=$J1233)*('Weekly Log'!$A$5:$A$5000&lt;$J1233+7)*('Weekly Log'!$M$5:$M$5000&lt;&gt;"")),'Weekly Log'!$M$5:$M$5000),0))</f>
        <v/>
      </c>
      <c r="J1233">
        <f>IF(COUNT('Weekly Log'!$A$5:$A$5000)=0,"",IF(MIN('Weekly Log'!$A$5:$A$5000)+7*(ROW()-10)&gt;MAX('Weekly Log'!$A$5:$A$5000),"",MIN('Weekly Log'!$A$5:$A$5000)+7*(ROW()-10)))</f>
        <v/>
      </c>
    </row>
    <row r="1234">
      <c r="A1234">
        <f>IF($J1234="","",YEAR($J1234-WEEKDAY($J1234,2)+4)&amp;"-W"&amp;TEXT(WEEKNUM($J1234,21),"00"))</f>
        <v/>
      </c>
      <c r="B1234">
        <f>IF($J1234="","",SUMIFS('Weekly Log'!$C:$C,'Weekly Log'!$A:$A,"&gt;="&amp;$J1234,'Weekly Log'!$A:$A,"&lt;"&amp;$J1234+7))</f>
        <v/>
      </c>
      <c r="C1234">
        <f>IF($J1234="","",IFERROR(COUNTIFS('Weekly Log'!$G:$G,"Y",'Weekly Log'!$A:$A,"&gt;="&amp;$J1234,'Weekly Log'!$A:$A,"&lt;"&amp;$J1234+7)/COUNTIFS('Weekly Log'!$G:$G,"&lt;&gt;",'Weekly Log'!$A:$A,"&gt;="&amp;$J1234,'Weekly Log'!$A:$A,"&lt;"&amp;$J1234+7),0))</f>
        <v/>
      </c>
      <c r="D1234">
        <f>IF($J1234="","",IFERROR(COUNTIFS('Weekly Log'!$H:$H,"Y",'Weekly Log'!$A:$A,"&gt;="&amp;$J1234,'Weekly Log'!$A:$A,"&lt;"&amp;$J1234+7)/COUNTIFS('Weekly Log'!$H:$H,"&lt;&gt;",'Weekly Log'!$A:$A,"&gt;="&amp;$J1234,'Weekly Log'!$A:$A,"&lt;"&amp;$J1234+7),0))</f>
        <v/>
      </c>
      <c r="E1234">
        <f>IF($J1234="","",IFERROR(AVERAGEIFS('Weekly Log'!$F:$F,'Weekly Log'!$A:$A,"&gt;="&amp;$J1234,'Weekly Log'!$A:$A,"&lt;"&amp;$J1234+7),0))</f>
        <v/>
      </c>
      <c r="F1234">
        <f>IF($J1234="","",IFERROR(SUMIFS('Weekly Log'!$F:$F,'Weekly Log'!$A:$A,"&gt;="&amp;$J1234,'Weekly Log'!$A:$A,"&lt;"&amp;$J1234+7)/SUMIFS('Weekly Log'!$E:$E,'Weekly Log'!$A:$A,"&gt;="&amp;$J1234,'Weekly Log'!$A:$A,"&lt;"&amp;$J1234+7),0))</f>
        <v/>
      </c>
      <c r="G1234">
        <f>IF($J1234="","",IFERROR(LOOKUP(2,1/(('Weekly Log'!$A$5:$A$5000&gt;=$J1234)*('Weekly Log'!$A$5:$A$5000&lt;$J1234+7)*('Weekly Log'!$M$5:$M$5000&lt;&gt;"")),'Weekly Log'!$M$5:$M$5000),0))</f>
        <v/>
      </c>
      <c r="J1234">
        <f>IF(COUNT('Weekly Log'!$A$5:$A$5000)=0,"",IF(MIN('Weekly Log'!$A$5:$A$5000)+7*(ROW()-10)&gt;MAX('Weekly Log'!$A$5:$A$5000),"",MIN('Weekly Log'!$A$5:$A$5000)+7*(ROW()-10)))</f>
        <v/>
      </c>
    </row>
    <row r="1235">
      <c r="A1235">
        <f>IF($J1235="","",YEAR($J1235-WEEKDAY($J1235,2)+4)&amp;"-W"&amp;TEXT(WEEKNUM($J1235,21),"00"))</f>
        <v/>
      </c>
      <c r="B1235">
        <f>IF($J1235="","",SUMIFS('Weekly Log'!$C:$C,'Weekly Log'!$A:$A,"&gt;="&amp;$J1235,'Weekly Log'!$A:$A,"&lt;"&amp;$J1235+7))</f>
        <v/>
      </c>
      <c r="C1235">
        <f>IF($J1235="","",IFERROR(COUNTIFS('Weekly Log'!$G:$G,"Y",'Weekly Log'!$A:$A,"&gt;="&amp;$J1235,'Weekly Log'!$A:$A,"&lt;"&amp;$J1235+7)/COUNTIFS('Weekly Log'!$G:$G,"&lt;&gt;",'Weekly Log'!$A:$A,"&gt;="&amp;$J1235,'Weekly Log'!$A:$A,"&lt;"&amp;$J1235+7),0))</f>
        <v/>
      </c>
      <c r="D1235">
        <f>IF($J1235="","",IFERROR(COUNTIFS('Weekly Log'!$H:$H,"Y",'Weekly Log'!$A:$A,"&gt;="&amp;$J1235,'Weekly Log'!$A:$A,"&lt;"&amp;$J1235+7)/COUNTIFS('Weekly Log'!$H:$H,"&lt;&gt;",'Weekly Log'!$A:$A,"&gt;="&amp;$J1235,'Weekly Log'!$A:$A,"&lt;"&amp;$J1235+7),0))</f>
        <v/>
      </c>
      <c r="E1235">
        <f>IF($J1235="","",IFERROR(AVERAGEIFS('Weekly Log'!$F:$F,'Weekly Log'!$A:$A,"&gt;="&amp;$J1235,'Weekly Log'!$A:$A,"&lt;"&amp;$J1235+7),0))</f>
        <v/>
      </c>
      <c r="F1235">
        <f>IF($J1235="","",IFERROR(SUMIFS('Weekly Log'!$F:$F,'Weekly Log'!$A:$A,"&gt;="&amp;$J1235,'Weekly Log'!$A:$A,"&lt;"&amp;$J1235+7)/SUMIFS('Weekly Log'!$E:$E,'Weekly Log'!$A:$A,"&gt;="&amp;$J1235,'Weekly Log'!$A:$A,"&lt;"&amp;$J1235+7),0))</f>
        <v/>
      </c>
      <c r="G1235">
        <f>IF($J1235="","",IFERROR(LOOKUP(2,1/(('Weekly Log'!$A$5:$A$5000&gt;=$J1235)*('Weekly Log'!$A$5:$A$5000&lt;$J1235+7)*('Weekly Log'!$M$5:$M$5000&lt;&gt;"")),'Weekly Log'!$M$5:$M$5000),0))</f>
        <v/>
      </c>
      <c r="J1235">
        <f>IF(COUNT('Weekly Log'!$A$5:$A$5000)=0,"",IF(MIN('Weekly Log'!$A$5:$A$5000)+7*(ROW()-10)&gt;MAX('Weekly Log'!$A$5:$A$5000),"",MIN('Weekly Log'!$A$5:$A$5000)+7*(ROW()-10)))</f>
        <v/>
      </c>
    </row>
    <row r="1236">
      <c r="A1236">
        <f>IF($J1236="","",YEAR($J1236-WEEKDAY($J1236,2)+4)&amp;"-W"&amp;TEXT(WEEKNUM($J1236,21),"00"))</f>
        <v/>
      </c>
      <c r="B1236">
        <f>IF($J1236="","",SUMIFS('Weekly Log'!$C:$C,'Weekly Log'!$A:$A,"&gt;="&amp;$J1236,'Weekly Log'!$A:$A,"&lt;"&amp;$J1236+7))</f>
        <v/>
      </c>
      <c r="C1236">
        <f>IF($J1236="","",IFERROR(COUNTIFS('Weekly Log'!$G:$G,"Y",'Weekly Log'!$A:$A,"&gt;="&amp;$J1236,'Weekly Log'!$A:$A,"&lt;"&amp;$J1236+7)/COUNTIFS('Weekly Log'!$G:$G,"&lt;&gt;",'Weekly Log'!$A:$A,"&gt;="&amp;$J1236,'Weekly Log'!$A:$A,"&lt;"&amp;$J1236+7),0))</f>
        <v/>
      </c>
      <c r="D1236">
        <f>IF($J1236="","",IFERROR(COUNTIFS('Weekly Log'!$H:$H,"Y",'Weekly Log'!$A:$A,"&gt;="&amp;$J1236,'Weekly Log'!$A:$A,"&lt;"&amp;$J1236+7)/COUNTIFS('Weekly Log'!$H:$H,"&lt;&gt;",'Weekly Log'!$A:$A,"&gt;="&amp;$J1236,'Weekly Log'!$A:$A,"&lt;"&amp;$J1236+7),0))</f>
        <v/>
      </c>
      <c r="E1236">
        <f>IF($J1236="","",IFERROR(AVERAGEIFS('Weekly Log'!$F:$F,'Weekly Log'!$A:$A,"&gt;="&amp;$J1236,'Weekly Log'!$A:$A,"&lt;"&amp;$J1236+7),0))</f>
        <v/>
      </c>
      <c r="F1236">
        <f>IF($J1236="","",IFERROR(SUMIFS('Weekly Log'!$F:$F,'Weekly Log'!$A:$A,"&gt;="&amp;$J1236,'Weekly Log'!$A:$A,"&lt;"&amp;$J1236+7)/SUMIFS('Weekly Log'!$E:$E,'Weekly Log'!$A:$A,"&gt;="&amp;$J1236,'Weekly Log'!$A:$A,"&lt;"&amp;$J1236+7),0))</f>
        <v/>
      </c>
      <c r="G1236">
        <f>IF($J1236="","",IFERROR(LOOKUP(2,1/(('Weekly Log'!$A$5:$A$5000&gt;=$J1236)*('Weekly Log'!$A$5:$A$5000&lt;$J1236+7)*('Weekly Log'!$M$5:$M$5000&lt;&gt;"")),'Weekly Log'!$M$5:$M$5000),0))</f>
        <v/>
      </c>
      <c r="J1236">
        <f>IF(COUNT('Weekly Log'!$A$5:$A$5000)=0,"",IF(MIN('Weekly Log'!$A$5:$A$5000)+7*(ROW()-10)&gt;MAX('Weekly Log'!$A$5:$A$5000),"",MIN('Weekly Log'!$A$5:$A$5000)+7*(ROW()-10)))</f>
        <v/>
      </c>
    </row>
    <row r="1237">
      <c r="A1237">
        <f>IF($J1237="","",YEAR($J1237-WEEKDAY($J1237,2)+4)&amp;"-W"&amp;TEXT(WEEKNUM($J1237,21),"00"))</f>
        <v/>
      </c>
      <c r="B1237">
        <f>IF($J1237="","",SUMIFS('Weekly Log'!$C:$C,'Weekly Log'!$A:$A,"&gt;="&amp;$J1237,'Weekly Log'!$A:$A,"&lt;"&amp;$J1237+7))</f>
        <v/>
      </c>
      <c r="C1237">
        <f>IF($J1237="","",IFERROR(COUNTIFS('Weekly Log'!$G:$G,"Y",'Weekly Log'!$A:$A,"&gt;="&amp;$J1237,'Weekly Log'!$A:$A,"&lt;"&amp;$J1237+7)/COUNTIFS('Weekly Log'!$G:$G,"&lt;&gt;",'Weekly Log'!$A:$A,"&gt;="&amp;$J1237,'Weekly Log'!$A:$A,"&lt;"&amp;$J1237+7),0))</f>
        <v/>
      </c>
      <c r="D1237">
        <f>IF($J1237="","",IFERROR(COUNTIFS('Weekly Log'!$H:$H,"Y",'Weekly Log'!$A:$A,"&gt;="&amp;$J1237,'Weekly Log'!$A:$A,"&lt;"&amp;$J1237+7)/COUNTIFS('Weekly Log'!$H:$H,"&lt;&gt;",'Weekly Log'!$A:$A,"&gt;="&amp;$J1237,'Weekly Log'!$A:$A,"&lt;"&amp;$J1237+7),0))</f>
        <v/>
      </c>
      <c r="E1237">
        <f>IF($J1237="","",IFERROR(AVERAGEIFS('Weekly Log'!$F:$F,'Weekly Log'!$A:$A,"&gt;="&amp;$J1237,'Weekly Log'!$A:$A,"&lt;"&amp;$J1237+7),0))</f>
        <v/>
      </c>
      <c r="F1237">
        <f>IF($J1237="","",IFERROR(SUMIFS('Weekly Log'!$F:$F,'Weekly Log'!$A:$A,"&gt;="&amp;$J1237,'Weekly Log'!$A:$A,"&lt;"&amp;$J1237+7)/SUMIFS('Weekly Log'!$E:$E,'Weekly Log'!$A:$A,"&gt;="&amp;$J1237,'Weekly Log'!$A:$A,"&lt;"&amp;$J1237+7),0))</f>
        <v/>
      </c>
      <c r="G1237">
        <f>IF($J1237="","",IFERROR(LOOKUP(2,1/(('Weekly Log'!$A$5:$A$5000&gt;=$J1237)*('Weekly Log'!$A$5:$A$5000&lt;$J1237+7)*('Weekly Log'!$M$5:$M$5000&lt;&gt;"")),'Weekly Log'!$M$5:$M$5000),0))</f>
        <v/>
      </c>
      <c r="J1237">
        <f>IF(COUNT('Weekly Log'!$A$5:$A$5000)=0,"",IF(MIN('Weekly Log'!$A$5:$A$5000)+7*(ROW()-10)&gt;MAX('Weekly Log'!$A$5:$A$5000),"",MIN('Weekly Log'!$A$5:$A$5000)+7*(ROW()-10)))</f>
        <v/>
      </c>
    </row>
    <row r="1238">
      <c r="A1238">
        <f>IF($J1238="","",YEAR($J1238-WEEKDAY($J1238,2)+4)&amp;"-W"&amp;TEXT(WEEKNUM($J1238,21),"00"))</f>
        <v/>
      </c>
      <c r="B1238">
        <f>IF($J1238="","",SUMIFS('Weekly Log'!$C:$C,'Weekly Log'!$A:$A,"&gt;="&amp;$J1238,'Weekly Log'!$A:$A,"&lt;"&amp;$J1238+7))</f>
        <v/>
      </c>
      <c r="C1238">
        <f>IF($J1238="","",IFERROR(COUNTIFS('Weekly Log'!$G:$G,"Y",'Weekly Log'!$A:$A,"&gt;="&amp;$J1238,'Weekly Log'!$A:$A,"&lt;"&amp;$J1238+7)/COUNTIFS('Weekly Log'!$G:$G,"&lt;&gt;",'Weekly Log'!$A:$A,"&gt;="&amp;$J1238,'Weekly Log'!$A:$A,"&lt;"&amp;$J1238+7),0))</f>
        <v/>
      </c>
      <c r="D1238">
        <f>IF($J1238="","",IFERROR(COUNTIFS('Weekly Log'!$H:$H,"Y",'Weekly Log'!$A:$A,"&gt;="&amp;$J1238,'Weekly Log'!$A:$A,"&lt;"&amp;$J1238+7)/COUNTIFS('Weekly Log'!$H:$H,"&lt;&gt;",'Weekly Log'!$A:$A,"&gt;="&amp;$J1238,'Weekly Log'!$A:$A,"&lt;"&amp;$J1238+7),0))</f>
        <v/>
      </c>
      <c r="E1238">
        <f>IF($J1238="","",IFERROR(AVERAGEIFS('Weekly Log'!$F:$F,'Weekly Log'!$A:$A,"&gt;="&amp;$J1238,'Weekly Log'!$A:$A,"&lt;"&amp;$J1238+7),0))</f>
        <v/>
      </c>
      <c r="F1238">
        <f>IF($J1238="","",IFERROR(SUMIFS('Weekly Log'!$F:$F,'Weekly Log'!$A:$A,"&gt;="&amp;$J1238,'Weekly Log'!$A:$A,"&lt;"&amp;$J1238+7)/SUMIFS('Weekly Log'!$E:$E,'Weekly Log'!$A:$A,"&gt;="&amp;$J1238,'Weekly Log'!$A:$A,"&lt;"&amp;$J1238+7),0))</f>
        <v/>
      </c>
      <c r="G1238">
        <f>IF($J1238="","",IFERROR(LOOKUP(2,1/(('Weekly Log'!$A$5:$A$5000&gt;=$J1238)*('Weekly Log'!$A$5:$A$5000&lt;$J1238+7)*('Weekly Log'!$M$5:$M$5000&lt;&gt;"")),'Weekly Log'!$M$5:$M$5000),0))</f>
        <v/>
      </c>
      <c r="J1238">
        <f>IF(COUNT('Weekly Log'!$A$5:$A$5000)=0,"",IF(MIN('Weekly Log'!$A$5:$A$5000)+7*(ROW()-10)&gt;MAX('Weekly Log'!$A$5:$A$5000),"",MIN('Weekly Log'!$A$5:$A$5000)+7*(ROW()-10)))</f>
        <v/>
      </c>
    </row>
    <row r="1239">
      <c r="A1239">
        <f>IF($J1239="","",YEAR($J1239-WEEKDAY($J1239,2)+4)&amp;"-W"&amp;TEXT(WEEKNUM($J1239,21),"00"))</f>
        <v/>
      </c>
      <c r="B1239">
        <f>IF($J1239="","",SUMIFS('Weekly Log'!$C:$C,'Weekly Log'!$A:$A,"&gt;="&amp;$J1239,'Weekly Log'!$A:$A,"&lt;"&amp;$J1239+7))</f>
        <v/>
      </c>
      <c r="C1239">
        <f>IF($J1239="","",IFERROR(COUNTIFS('Weekly Log'!$G:$G,"Y",'Weekly Log'!$A:$A,"&gt;="&amp;$J1239,'Weekly Log'!$A:$A,"&lt;"&amp;$J1239+7)/COUNTIFS('Weekly Log'!$G:$G,"&lt;&gt;",'Weekly Log'!$A:$A,"&gt;="&amp;$J1239,'Weekly Log'!$A:$A,"&lt;"&amp;$J1239+7),0))</f>
        <v/>
      </c>
      <c r="D1239">
        <f>IF($J1239="","",IFERROR(COUNTIFS('Weekly Log'!$H:$H,"Y",'Weekly Log'!$A:$A,"&gt;="&amp;$J1239,'Weekly Log'!$A:$A,"&lt;"&amp;$J1239+7)/COUNTIFS('Weekly Log'!$H:$H,"&lt;&gt;",'Weekly Log'!$A:$A,"&gt;="&amp;$J1239,'Weekly Log'!$A:$A,"&lt;"&amp;$J1239+7),0))</f>
        <v/>
      </c>
      <c r="E1239">
        <f>IF($J1239="","",IFERROR(AVERAGEIFS('Weekly Log'!$F:$F,'Weekly Log'!$A:$A,"&gt;="&amp;$J1239,'Weekly Log'!$A:$A,"&lt;"&amp;$J1239+7),0))</f>
        <v/>
      </c>
      <c r="F1239">
        <f>IF($J1239="","",IFERROR(SUMIFS('Weekly Log'!$F:$F,'Weekly Log'!$A:$A,"&gt;="&amp;$J1239,'Weekly Log'!$A:$A,"&lt;"&amp;$J1239+7)/SUMIFS('Weekly Log'!$E:$E,'Weekly Log'!$A:$A,"&gt;="&amp;$J1239,'Weekly Log'!$A:$A,"&lt;"&amp;$J1239+7),0))</f>
        <v/>
      </c>
      <c r="G1239">
        <f>IF($J1239="","",IFERROR(LOOKUP(2,1/(('Weekly Log'!$A$5:$A$5000&gt;=$J1239)*('Weekly Log'!$A$5:$A$5000&lt;$J1239+7)*('Weekly Log'!$M$5:$M$5000&lt;&gt;"")),'Weekly Log'!$M$5:$M$5000),0))</f>
        <v/>
      </c>
      <c r="J1239">
        <f>IF(COUNT('Weekly Log'!$A$5:$A$5000)=0,"",IF(MIN('Weekly Log'!$A$5:$A$5000)+7*(ROW()-10)&gt;MAX('Weekly Log'!$A$5:$A$5000),"",MIN('Weekly Log'!$A$5:$A$5000)+7*(ROW()-10)))</f>
        <v/>
      </c>
    </row>
    <row r="1240">
      <c r="A1240">
        <f>IF($J1240="","",YEAR($J1240-WEEKDAY($J1240,2)+4)&amp;"-W"&amp;TEXT(WEEKNUM($J1240,21),"00"))</f>
        <v/>
      </c>
      <c r="B1240">
        <f>IF($J1240="","",SUMIFS('Weekly Log'!$C:$C,'Weekly Log'!$A:$A,"&gt;="&amp;$J1240,'Weekly Log'!$A:$A,"&lt;"&amp;$J1240+7))</f>
        <v/>
      </c>
      <c r="C1240">
        <f>IF($J1240="","",IFERROR(COUNTIFS('Weekly Log'!$G:$G,"Y",'Weekly Log'!$A:$A,"&gt;="&amp;$J1240,'Weekly Log'!$A:$A,"&lt;"&amp;$J1240+7)/COUNTIFS('Weekly Log'!$G:$G,"&lt;&gt;",'Weekly Log'!$A:$A,"&gt;="&amp;$J1240,'Weekly Log'!$A:$A,"&lt;"&amp;$J1240+7),0))</f>
        <v/>
      </c>
      <c r="D1240">
        <f>IF($J1240="","",IFERROR(COUNTIFS('Weekly Log'!$H:$H,"Y",'Weekly Log'!$A:$A,"&gt;="&amp;$J1240,'Weekly Log'!$A:$A,"&lt;"&amp;$J1240+7)/COUNTIFS('Weekly Log'!$H:$H,"&lt;&gt;",'Weekly Log'!$A:$A,"&gt;="&amp;$J1240,'Weekly Log'!$A:$A,"&lt;"&amp;$J1240+7),0))</f>
        <v/>
      </c>
      <c r="E1240">
        <f>IF($J1240="","",IFERROR(AVERAGEIFS('Weekly Log'!$F:$F,'Weekly Log'!$A:$A,"&gt;="&amp;$J1240,'Weekly Log'!$A:$A,"&lt;"&amp;$J1240+7),0))</f>
        <v/>
      </c>
      <c r="F1240">
        <f>IF($J1240="","",IFERROR(SUMIFS('Weekly Log'!$F:$F,'Weekly Log'!$A:$A,"&gt;="&amp;$J1240,'Weekly Log'!$A:$A,"&lt;"&amp;$J1240+7)/SUMIFS('Weekly Log'!$E:$E,'Weekly Log'!$A:$A,"&gt;="&amp;$J1240,'Weekly Log'!$A:$A,"&lt;"&amp;$J1240+7),0))</f>
        <v/>
      </c>
      <c r="G1240">
        <f>IF($J1240="","",IFERROR(LOOKUP(2,1/(('Weekly Log'!$A$5:$A$5000&gt;=$J1240)*('Weekly Log'!$A$5:$A$5000&lt;$J1240+7)*('Weekly Log'!$M$5:$M$5000&lt;&gt;"")),'Weekly Log'!$M$5:$M$5000),0))</f>
        <v/>
      </c>
      <c r="J1240">
        <f>IF(COUNT('Weekly Log'!$A$5:$A$5000)=0,"",IF(MIN('Weekly Log'!$A$5:$A$5000)+7*(ROW()-10)&gt;MAX('Weekly Log'!$A$5:$A$5000),"",MIN('Weekly Log'!$A$5:$A$5000)+7*(ROW()-10)))</f>
        <v/>
      </c>
    </row>
    <row r="1241">
      <c r="A1241">
        <f>IF($J1241="","",YEAR($J1241-WEEKDAY($J1241,2)+4)&amp;"-W"&amp;TEXT(WEEKNUM($J1241,21),"00"))</f>
        <v/>
      </c>
      <c r="B1241">
        <f>IF($J1241="","",SUMIFS('Weekly Log'!$C:$C,'Weekly Log'!$A:$A,"&gt;="&amp;$J1241,'Weekly Log'!$A:$A,"&lt;"&amp;$J1241+7))</f>
        <v/>
      </c>
      <c r="C1241">
        <f>IF($J1241="","",IFERROR(COUNTIFS('Weekly Log'!$G:$G,"Y",'Weekly Log'!$A:$A,"&gt;="&amp;$J1241,'Weekly Log'!$A:$A,"&lt;"&amp;$J1241+7)/COUNTIFS('Weekly Log'!$G:$G,"&lt;&gt;",'Weekly Log'!$A:$A,"&gt;="&amp;$J1241,'Weekly Log'!$A:$A,"&lt;"&amp;$J1241+7),0))</f>
        <v/>
      </c>
      <c r="D1241">
        <f>IF($J1241="","",IFERROR(COUNTIFS('Weekly Log'!$H:$H,"Y",'Weekly Log'!$A:$A,"&gt;="&amp;$J1241,'Weekly Log'!$A:$A,"&lt;"&amp;$J1241+7)/COUNTIFS('Weekly Log'!$H:$H,"&lt;&gt;",'Weekly Log'!$A:$A,"&gt;="&amp;$J1241,'Weekly Log'!$A:$A,"&lt;"&amp;$J1241+7),0))</f>
        <v/>
      </c>
      <c r="E1241">
        <f>IF($J1241="","",IFERROR(AVERAGEIFS('Weekly Log'!$F:$F,'Weekly Log'!$A:$A,"&gt;="&amp;$J1241,'Weekly Log'!$A:$A,"&lt;"&amp;$J1241+7),0))</f>
        <v/>
      </c>
      <c r="F1241">
        <f>IF($J1241="","",IFERROR(SUMIFS('Weekly Log'!$F:$F,'Weekly Log'!$A:$A,"&gt;="&amp;$J1241,'Weekly Log'!$A:$A,"&lt;"&amp;$J1241+7)/SUMIFS('Weekly Log'!$E:$E,'Weekly Log'!$A:$A,"&gt;="&amp;$J1241,'Weekly Log'!$A:$A,"&lt;"&amp;$J1241+7),0))</f>
        <v/>
      </c>
      <c r="G1241">
        <f>IF($J1241="","",IFERROR(LOOKUP(2,1/(('Weekly Log'!$A$5:$A$5000&gt;=$J1241)*('Weekly Log'!$A$5:$A$5000&lt;$J1241+7)*('Weekly Log'!$M$5:$M$5000&lt;&gt;"")),'Weekly Log'!$M$5:$M$5000),0))</f>
        <v/>
      </c>
      <c r="J1241">
        <f>IF(COUNT('Weekly Log'!$A$5:$A$5000)=0,"",IF(MIN('Weekly Log'!$A$5:$A$5000)+7*(ROW()-10)&gt;MAX('Weekly Log'!$A$5:$A$5000),"",MIN('Weekly Log'!$A$5:$A$5000)+7*(ROW()-10)))</f>
        <v/>
      </c>
    </row>
    <row r="1242">
      <c r="A1242">
        <f>IF($J1242="","",YEAR($J1242-WEEKDAY($J1242,2)+4)&amp;"-W"&amp;TEXT(WEEKNUM($J1242,21),"00"))</f>
        <v/>
      </c>
      <c r="B1242">
        <f>IF($J1242="","",SUMIFS('Weekly Log'!$C:$C,'Weekly Log'!$A:$A,"&gt;="&amp;$J1242,'Weekly Log'!$A:$A,"&lt;"&amp;$J1242+7))</f>
        <v/>
      </c>
      <c r="C1242">
        <f>IF($J1242="","",IFERROR(COUNTIFS('Weekly Log'!$G:$G,"Y",'Weekly Log'!$A:$A,"&gt;="&amp;$J1242,'Weekly Log'!$A:$A,"&lt;"&amp;$J1242+7)/COUNTIFS('Weekly Log'!$G:$G,"&lt;&gt;",'Weekly Log'!$A:$A,"&gt;="&amp;$J1242,'Weekly Log'!$A:$A,"&lt;"&amp;$J1242+7),0))</f>
        <v/>
      </c>
      <c r="D1242">
        <f>IF($J1242="","",IFERROR(COUNTIFS('Weekly Log'!$H:$H,"Y",'Weekly Log'!$A:$A,"&gt;="&amp;$J1242,'Weekly Log'!$A:$A,"&lt;"&amp;$J1242+7)/COUNTIFS('Weekly Log'!$H:$H,"&lt;&gt;",'Weekly Log'!$A:$A,"&gt;="&amp;$J1242,'Weekly Log'!$A:$A,"&lt;"&amp;$J1242+7),0))</f>
        <v/>
      </c>
      <c r="E1242">
        <f>IF($J1242="","",IFERROR(AVERAGEIFS('Weekly Log'!$F:$F,'Weekly Log'!$A:$A,"&gt;="&amp;$J1242,'Weekly Log'!$A:$A,"&lt;"&amp;$J1242+7),0))</f>
        <v/>
      </c>
      <c r="F1242">
        <f>IF($J1242="","",IFERROR(SUMIFS('Weekly Log'!$F:$F,'Weekly Log'!$A:$A,"&gt;="&amp;$J1242,'Weekly Log'!$A:$A,"&lt;"&amp;$J1242+7)/SUMIFS('Weekly Log'!$E:$E,'Weekly Log'!$A:$A,"&gt;="&amp;$J1242,'Weekly Log'!$A:$A,"&lt;"&amp;$J1242+7),0))</f>
        <v/>
      </c>
      <c r="G1242">
        <f>IF($J1242="","",IFERROR(LOOKUP(2,1/(('Weekly Log'!$A$5:$A$5000&gt;=$J1242)*('Weekly Log'!$A$5:$A$5000&lt;$J1242+7)*('Weekly Log'!$M$5:$M$5000&lt;&gt;"")),'Weekly Log'!$M$5:$M$5000),0))</f>
        <v/>
      </c>
      <c r="J1242">
        <f>IF(COUNT('Weekly Log'!$A$5:$A$5000)=0,"",IF(MIN('Weekly Log'!$A$5:$A$5000)+7*(ROW()-10)&gt;MAX('Weekly Log'!$A$5:$A$5000),"",MIN('Weekly Log'!$A$5:$A$5000)+7*(ROW()-10)))</f>
        <v/>
      </c>
    </row>
    <row r="1243">
      <c r="A1243">
        <f>IF($J1243="","",YEAR($J1243-WEEKDAY($J1243,2)+4)&amp;"-W"&amp;TEXT(WEEKNUM($J1243,21),"00"))</f>
        <v/>
      </c>
      <c r="B1243">
        <f>IF($J1243="","",SUMIFS('Weekly Log'!$C:$C,'Weekly Log'!$A:$A,"&gt;="&amp;$J1243,'Weekly Log'!$A:$A,"&lt;"&amp;$J1243+7))</f>
        <v/>
      </c>
      <c r="C1243">
        <f>IF($J1243="","",IFERROR(COUNTIFS('Weekly Log'!$G:$G,"Y",'Weekly Log'!$A:$A,"&gt;="&amp;$J1243,'Weekly Log'!$A:$A,"&lt;"&amp;$J1243+7)/COUNTIFS('Weekly Log'!$G:$G,"&lt;&gt;",'Weekly Log'!$A:$A,"&gt;="&amp;$J1243,'Weekly Log'!$A:$A,"&lt;"&amp;$J1243+7),0))</f>
        <v/>
      </c>
      <c r="D1243">
        <f>IF($J1243="","",IFERROR(COUNTIFS('Weekly Log'!$H:$H,"Y",'Weekly Log'!$A:$A,"&gt;="&amp;$J1243,'Weekly Log'!$A:$A,"&lt;"&amp;$J1243+7)/COUNTIFS('Weekly Log'!$H:$H,"&lt;&gt;",'Weekly Log'!$A:$A,"&gt;="&amp;$J1243,'Weekly Log'!$A:$A,"&lt;"&amp;$J1243+7),0))</f>
        <v/>
      </c>
      <c r="E1243">
        <f>IF($J1243="","",IFERROR(AVERAGEIFS('Weekly Log'!$F:$F,'Weekly Log'!$A:$A,"&gt;="&amp;$J1243,'Weekly Log'!$A:$A,"&lt;"&amp;$J1243+7),0))</f>
        <v/>
      </c>
      <c r="F1243">
        <f>IF($J1243="","",IFERROR(SUMIFS('Weekly Log'!$F:$F,'Weekly Log'!$A:$A,"&gt;="&amp;$J1243,'Weekly Log'!$A:$A,"&lt;"&amp;$J1243+7)/SUMIFS('Weekly Log'!$E:$E,'Weekly Log'!$A:$A,"&gt;="&amp;$J1243,'Weekly Log'!$A:$A,"&lt;"&amp;$J1243+7),0))</f>
        <v/>
      </c>
      <c r="G1243">
        <f>IF($J1243="","",IFERROR(LOOKUP(2,1/(('Weekly Log'!$A$5:$A$5000&gt;=$J1243)*('Weekly Log'!$A$5:$A$5000&lt;$J1243+7)*('Weekly Log'!$M$5:$M$5000&lt;&gt;"")),'Weekly Log'!$M$5:$M$5000),0))</f>
        <v/>
      </c>
      <c r="J1243">
        <f>IF(COUNT('Weekly Log'!$A$5:$A$5000)=0,"",IF(MIN('Weekly Log'!$A$5:$A$5000)+7*(ROW()-10)&gt;MAX('Weekly Log'!$A$5:$A$5000),"",MIN('Weekly Log'!$A$5:$A$5000)+7*(ROW()-10)))</f>
        <v/>
      </c>
    </row>
    <row r="1244">
      <c r="A1244">
        <f>IF($J1244="","",YEAR($J1244-WEEKDAY($J1244,2)+4)&amp;"-W"&amp;TEXT(WEEKNUM($J1244,21),"00"))</f>
        <v/>
      </c>
      <c r="B1244">
        <f>IF($J1244="","",SUMIFS('Weekly Log'!$C:$C,'Weekly Log'!$A:$A,"&gt;="&amp;$J1244,'Weekly Log'!$A:$A,"&lt;"&amp;$J1244+7))</f>
        <v/>
      </c>
      <c r="C1244">
        <f>IF($J1244="","",IFERROR(COUNTIFS('Weekly Log'!$G:$G,"Y",'Weekly Log'!$A:$A,"&gt;="&amp;$J1244,'Weekly Log'!$A:$A,"&lt;"&amp;$J1244+7)/COUNTIFS('Weekly Log'!$G:$G,"&lt;&gt;",'Weekly Log'!$A:$A,"&gt;="&amp;$J1244,'Weekly Log'!$A:$A,"&lt;"&amp;$J1244+7),0))</f>
        <v/>
      </c>
      <c r="D1244">
        <f>IF($J1244="","",IFERROR(COUNTIFS('Weekly Log'!$H:$H,"Y",'Weekly Log'!$A:$A,"&gt;="&amp;$J1244,'Weekly Log'!$A:$A,"&lt;"&amp;$J1244+7)/COUNTIFS('Weekly Log'!$H:$H,"&lt;&gt;",'Weekly Log'!$A:$A,"&gt;="&amp;$J1244,'Weekly Log'!$A:$A,"&lt;"&amp;$J1244+7),0))</f>
        <v/>
      </c>
      <c r="E1244">
        <f>IF($J1244="","",IFERROR(AVERAGEIFS('Weekly Log'!$F:$F,'Weekly Log'!$A:$A,"&gt;="&amp;$J1244,'Weekly Log'!$A:$A,"&lt;"&amp;$J1244+7),0))</f>
        <v/>
      </c>
      <c r="F1244">
        <f>IF($J1244="","",IFERROR(SUMIFS('Weekly Log'!$F:$F,'Weekly Log'!$A:$A,"&gt;="&amp;$J1244,'Weekly Log'!$A:$A,"&lt;"&amp;$J1244+7)/SUMIFS('Weekly Log'!$E:$E,'Weekly Log'!$A:$A,"&gt;="&amp;$J1244,'Weekly Log'!$A:$A,"&lt;"&amp;$J1244+7),0))</f>
        <v/>
      </c>
      <c r="G1244">
        <f>IF($J1244="","",IFERROR(LOOKUP(2,1/(('Weekly Log'!$A$5:$A$5000&gt;=$J1244)*('Weekly Log'!$A$5:$A$5000&lt;$J1244+7)*('Weekly Log'!$M$5:$M$5000&lt;&gt;"")),'Weekly Log'!$M$5:$M$5000),0))</f>
        <v/>
      </c>
      <c r="J1244">
        <f>IF(COUNT('Weekly Log'!$A$5:$A$5000)=0,"",IF(MIN('Weekly Log'!$A$5:$A$5000)+7*(ROW()-10)&gt;MAX('Weekly Log'!$A$5:$A$5000),"",MIN('Weekly Log'!$A$5:$A$5000)+7*(ROW()-10)))</f>
        <v/>
      </c>
    </row>
    <row r="1245">
      <c r="A1245">
        <f>IF($J1245="","",YEAR($J1245-WEEKDAY($J1245,2)+4)&amp;"-W"&amp;TEXT(WEEKNUM($J1245,21),"00"))</f>
        <v/>
      </c>
      <c r="B1245">
        <f>IF($J1245="","",SUMIFS('Weekly Log'!$C:$C,'Weekly Log'!$A:$A,"&gt;="&amp;$J1245,'Weekly Log'!$A:$A,"&lt;"&amp;$J1245+7))</f>
        <v/>
      </c>
      <c r="C1245">
        <f>IF($J1245="","",IFERROR(COUNTIFS('Weekly Log'!$G:$G,"Y",'Weekly Log'!$A:$A,"&gt;="&amp;$J1245,'Weekly Log'!$A:$A,"&lt;"&amp;$J1245+7)/COUNTIFS('Weekly Log'!$G:$G,"&lt;&gt;",'Weekly Log'!$A:$A,"&gt;="&amp;$J1245,'Weekly Log'!$A:$A,"&lt;"&amp;$J1245+7),0))</f>
        <v/>
      </c>
      <c r="D1245">
        <f>IF($J1245="","",IFERROR(COUNTIFS('Weekly Log'!$H:$H,"Y",'Weekly Log'!$A:$A,"&gt;="&amp;$J1245,'Weekly Log'!$A:$A,"&lt;"&amp;$J1245+7)/COUNTIFS('Weekly Log'!$H:$H,"&lt;&gt;",'Weekly Log'!$A:$A,"&gt;="&amp;$J1245,'Weekly Log'!$A:$A,"&lt;"&amp;$J1245+7),0))</f>
        <v/>
      </c>
      <c r="E1245">
        <f>IF($J1245="","",IFERROR(AVERAGEIFS('Weekly Log'!$F:$F,'Weekly Log'!$A:$A,"&gt;="&amp;$J1245,'Weekly Log'!$A:$A,"&lt;"&amp;$J1245+7),0))</f>
        <v/>
      </c>
      <c r="F1245">
        <f>IF($J1245="","",IFERROR(SUMIFS('Weekly Log'!$F:$F,'Weekly Log'!$A:$A,"&gt;="&amp;$J1245,'Weekly Log'!$A:$A,"&lt;"&amp;$J1245+7)/SUMIFS('Weekly Log'!$E:$E,'Weekly Log'!$A:$A,"&gt;="&amp;$J1245,'Weekly Log'!$A:$A,"&lt;"&amp;$J1245+7),0))</f>
        <v/>
      </c>
      <c r="G1245">
        <f>IF($J1245="","",IFERROR(LOOKUP(2,1/(('Weekly Log'!$A$5:$A$5000&gt;=$J1245)*('Weekly Log'!$A$5:$A$5000&lt;$J1245+7)*('Weekly Log'!$M$5:$M$5000&lt;&gt;"")),'Weekly Log'!$M$5:$M$5000),0))</f>
        <v/>
      </c>
      <c r="J1245">
        <f>IF(COUNT('Weekly Log'!$A$5:$A$5000)=0,"",IF(MIN('Weekly Log'!$A$5:$A$5000)+7*(ROW()-10)&gt;MAX('Weekly Log'!$A$5:$A$5000),"",MIN('Weekly Log'!$A$5:$A$5000)+7*(ROW()-10)))</f>
        <v/>
      </c>
    </row>
    <row r="1246">
      <c r="A1246">
        <f>IF($J1246="","",YEAR($J1246-WEEKDAY($J1246,2)+4)&amp;"-W"&amp;TEXT(WEEKNUM($J1246,21),"00"))</f>
        <v/>
      </c>
      <c r="B1246">
        <f>IF($J1246="","",SUMIFS('Weekly Log'!$C:$C,'Weekly Log'!$A:$A,"&gt;="&amp;$J1246,'Weekly Log'!$A:$A,"&lt;"&amp;$J1246+7))</f>
        <v/>
      </c>
      <c r="C1246">
        <f>IF($J1246="","",IFERROR(COUNTIFS('Weekly Log'!$G:$G,"Y",'Weekly Log'!$A:$A,"&gt;="&amp;$J1246,'Weekly Log'!$A:$A,"&lt;"&amp;$J1246+7)/COUNTIFS('Weekly Log'!$G:$G,"&lt;&gt;",'Weekly Log'!$A:$A,"&gt;="&amp;$J1246,'Weekly Log'!$A:$A,"&lt;"&amp;$J1246+7),0))</f>
        <v/>
      </c>
      <c r="D1246">
        <f>IF($J1246="","",IFERROR(COUNTIFS('Weekly Log'!$H:$H,"Y",'Weekly Log'!$A:$A,"&gt;="&amp;$J1246,'Weekly Log'!$A:$A,"&lt;"&amp;$J1246+7)/COUNTIFS('Weekly Log'!$H:$H,"&lt;&gt;",'Weekly Log'!$A:$A,"&gt;="&amp;$J1246,'Weekly Log'!$A:$A,"&lt;"&amp;$J1246+7),0))</f>
        <v/>
      </c>
      <c r="E1246">
        <f>IF($J1246="","",IFERROR(AVERAGEIFS('Weekly Log'!$F:$F,'Weekly Log'!$A:$A,"&gt;="&amp;$J1246,'Weekly Log'!$A:$A,"&lt;"&amp;$J1246+7),0))</f>
        <v/>
      </c>
      <c r="F1246">
        <f>IF($J1246="","",IFERROR(SUMIFS('Weekly Log'!$F:$F,'Weekly Log'!$A:$A,"&gt;="&amp;$J1246,'Weekly Log'!$A:$A,"&lt;"&amp;$J1246+7)/SUMIFS('Weekly Log'!$E:$E,'Weekly Log'!$A:$A,"&gt;="&amp;$J1246,'Weekly Log'!$A:$A,"&lt;"&amp;$J1246+7),0))</f>
        <v/>
      </c>
      <c r="G1246">
        <f>IF($J1246="","",IFERROR(LOOKUP(2,1/(('Weekly Log'!$A$5:$A$5000&gt;=$J1246)*('Weekly Log'!$A$5:$A$5000&lt;$J1246+7)*('Weekly Log'!$M$5:$M$5000&lt;&gt;"")),'Weekly Log'!$M$5:$M$5000),0))</f>
        <v/>
      </c>
      <c r="J1246">
        <f>IF(COUNT('Weekly Log'!$A$5:$A$5000)=0,"",IF(MIN('Weekly Log'!$A$5:$A$5000)+7*(ROW()-10)&gt;MAX('Weekly Log'!$A$5:$A$5000),"",MIN('Weekly Log'!$A$5:$A$5000)+7*(ROW()-10)))</f>
        <v/>
      </c>
    </row>
    <row r="1247">
      <c r="A1247">
        <f>IF($J1247="","",YEAR($J1247-WEEKDAY($J1247,2)+4)&amp;"-W"&amp;TEXT(WEEKNUM($J1247,21),"00"))</f>
        <v/>
      </c>
      <c r="B1247">
        <f>IF($J1247="","",SUMIFS('Weekly Log'!$C:$C,'Weekly Log'!$A:$A,"&gt;="&amp;$J1247,'Weekly Log'!$A:$A,"&lt;"&amp;$J1247+7))</f>
        <v/>
      </c>
      <c r="C1247">
        <f>IF($J1247="","",IFERROR(COUNTIFS('Weekly Log'!$G:$G,"Y",'Weekly Log'!$A:$A,"&gt;="&amp;$J1247,'Weekly Log'!$A:$A,"&lt;"&amp;$J1247+7)/COUNTIFS('Weekly Log'!$G:$G,"&lt;&gt;",'Weekly Log'!$A:$A,"&gt;="&amp;$J1247,'Weekly Log'!$A:$A,"&lt;"&amp;$J1247+7),0))</f>
        <v/>
      </c>
      <c r="D1247">
        <f>IF($J1247="","",IFERROR(COUNTIFS('Weekly Log'!$H:$H,"Y",'Weekly Log'!$A:$A,"&gt;="&amp;$J1247,'Weekly Log'!$A:$A,"&lt;"&amp;$J1247+7)/COUNTIFS('Weekly Log'!$H:$H,"&lt;&gt;",'Weekly Log'!$A:$A,"&gt;="&amp;$J1247,'Weekly Log'!$A:$A,"&lt;"&amp;$J1247+7),0))</f>
        <v/>
      </c>
      <c r="E1247">
        <f>IF($J1247="","",IFERROR(AVERAGEIFS('Weekly Log'!$F:$F,'Weekly Log'!$A:$A,"&gt;="&amp;$J1247,'Weekly Log'!$A:$A,"&lt;"&amp;$J1247+7),0))</f>
        <v/>
      </c>
      <c r="F1247">
        <f>IF($J1247="","",IFERROR(SUMIFS('Weekly Log'!$F:$F,'Weekly Log'!$A:$A,"&gt;="&amp;$J1247,'Weekly Log'!$A:$A,"&lt;"&amp;$J1247+7)/SUMIFS('Weekly Log'!$E:$E,'Weekly Log'!$A:$A,"&gt;="&amp;$J1247,'Weekly Log'!$A:$A,"&lt;"&amp;$J1247+7),0))</f>
        <v/>
      </c>
      <c r="G1247">
        <f>IF($J1247="","",IFERROR(LOOKUP(2,1/(('Weekly Log'!$A$5:$A$5000&gt;=$J1247)*('Weekly Log'!$A$5:$A$5000&lt;$J1247+7)*('Weekly Log'!$M$5:$M$5000&lt;&gt;"")),'Weekly Log'!$M$5:$M$5000),0))</f>
        <v/>
      </c>
      <c r="J1247">
        <f>IF(COUNT('Weekly Log'!$A$5:$A$5000)=0,"",IF(MIN('Weekly Log'!$A$5:$A$5000)+7*(ROW()-10)&gt;MAX('Weekly Log'!$A$5:$A$5000),"",MIN('Weekly Log'!$A$5:$A$5000)+7*(ROW()-10)))</f>
        <v/>
      </c>
    </row>
    <row r="1248">
      <c r="A1248">
        <f>IF($J1248="","",YEAR($J1248-WEEKDAY($J1248,2)+4)&amp;"-W"&amp;TEXT(WEEKNUM($J1248,21),"00"))</f>
        <v/>
      </c>
      <c r="B1248">
        <f>IF($J1248="","",SUMIFS('Weekly Log'!$C:$C,'Weekly Log'!$A:$A,"&gt;="&amp;$J1248,'Weekly Log'!$A:$A,"&lt;"&amp;$J1248+7))</f>
        <v/>
      </c>
      <c r="C1248">
        <f>IF($J1248="","",IFERROR(COUNTIFS('Weekly Log'!$G:$G,"Y",'Weekly Log'!$A:$A,"&gt;="&amp;$J1248,'Weekly Log'!$A:$A,"&lt;"&amp;$J1248+7)/COUNTIFS('Weekly Log'!$G:$G,"&lt;&gt;",'Weekly Log'!$A:$A,"&gt;="&amp;$J1248,'Weekly Log'!$A:$A,"&lt;"&amp;$J1248+7),0))</f>
        <v/>
      </c>
      <c r="D1248">
        <f>IF($J1248="","",IFERROR(COUNTIFS('Weekly Log'!$H:$H,"Y",'Weekly Log'!$A:$A,"&gt;="&amp;$J1248,'Weekly Log'!$A:$A,"&lt;"&amp;$J1248+7)/COUNTIFS('Weekly Log'!$H:$H,"&lt;&gt;",'Weekly Log'!$A:$A,"&gt;="&amp;$J1248,'Weekly Log'!$A:$A,"&lt;"&amp;$J1248+7),0))</f>
        <v/>
      </c>
      <c r="E1248">
        <f>IF($J1248="","",IFERROR(AVERAGEIFS('Weekly Log'!$F:$F,'Weekly Log'!$A:$A,"&gt;="&amp;$J1248,'Weekly Log'!$A:$A,"&lt;"&amp;$J1248+7),0))</f>
        <v/>
      </c>
      <c r="F1248">
        <f>IF($J1248="","",IFERROR(SUMIFS('Weekly Log'!$F:$F,'Weekly Log'!$A:$A,"&gt;="&amp;$J1248,'Weekly Log'!$A:$A,"&lt;"&amp;$J1248+7)/SUMIFS('Weekly Log'!$E:$E,'Weekly Log'!$A:$A,"&gt;="&amp;$J1248,'Weekly Log'!$A:$A,"&lt;"&amp;$J1248+7),0))</f>
        <v/>
      </c>
      <c r="G1248">
        <f>IF($J1248="","",IFERROR(LOOKUP(2,1/(('Weekly Log'!$A$5:$A$5000&gt;=$J1248)*('Weekly Log'!$A$5:$A$5000&lt;$J1248+7)*('Weekly Log'!$M$5:$M$5000&lt;&gt;"")),'Weekly Log'!$M$5:$M$5000),0))</f>
        <v/>
      </c>
      <c r="J1248">
        <f>IF(COUNT('Weekly Log'!$A$5:$A$5000)=0,"",IF(MIN('Weekly Log'!$A$5:$A$5000)+7*(ROW()-10)&gt;MAX('Weekly Log'!$A$5:$A$5000),"",MIN('Weekly Log'!$A$5:$A$5000)+7*(ROW()-10)))</f>
        <v/>
      </c>
    </row>
    <row r="1249">
      <c r="A1249">
        <f>IF($J1249="","",YEAR($J1249-WEEKDAY($J1249,2)+4)&amp;"-W"&amp;TEXT(WEEKNUM($J1249,21),"00"))</f>
        <v/>
      </c>
      <c r="B1249">
        <f>IF($J1249="","",SUMIFS('Weekly Log'!$C:$C,'Weekly Log'!$A:$A,"&gt;="&amp;$J1249,'Weekly Log'!$A:$A,"&lt;"&amp;$J1249+7))</f>
        <v/>
      </c>
      <c r="C1249">
        <f>IF($J1249="","",IFERROR(COUNTIFS('Weekly Log'!$G:$G,"Y",'Weekly Log'!$A:$A,"&gt;="&amp;$J1249,'Weekly Log'!$A:$A,"&lt;"&amp;$J1249+7)/COUNTIFS('Weekly Log'!$G:$G,"&lt;&gt;",'Weekly Log'!$A:$A,"&gt;="&amp;$J1249,'Weekly Log'!$A:$A,"&lt;"&amp;$J1249+7),0))</f>
        <v/>
      </c>
      <c r="D1249">
        <f>IF($J1249="","",IFERROR(COUNTIFS('Weekly Log'!$H:$H,"Y",'Weekly Log'!$A:$A,"&gt;="&amp;$J1249,'Weekly Log'!$A:$A,"&lt;"&amp;$J1249+7)/COUNTIFS('Weekly Log'!$H:$H,"&lt;&gt;",'Weekly Log'!$A:$A,"&gt;="&amp;$J1249,'Weekly Log'!$A:$A,"&lt;"&amp;$J1249+7),0))</f>
        <v/>
      </c>
      <c r="E1249">
        <f>IF($J1249="","",IFERROR(AVERAGEIFS('Weekly Log'!$F:$F,'Weekly Log'!$A:$A,"&gt;="&amp;$J1249,'Weekly Log'!$A:$A,"&lt;"&amp;$J1249+7),0))</f>
        <v/>
      </c>
      <c r="F1249">
        <f>IF($J1249="","",IFERROR(SUMIFS('Weekly Log'!$F:$F,'Weekly Log'!$A:$A,"&gt;="&amp;$J1249,'Weekly Log'!$A:$A,"&lt;"&amp;$J1249+7)/SUMIFS('Weekly Log'!$E:$E,'Weekly Log'!$A:$A,"&gt;="&amp;$J1249,'Weekly Log'!$A:$A,"&lt;"&amp;$J1249+7),0))</f>
        <v/>
      </c>
      <c r="G1249">
        <f>IF($J1249="","",IFERROR(LOOKUP(2,1/(('Weekly Log'!$A$5:$A$5000&gt;=$J1249)*('Weekly Log'!$A$5:$A$5000&lt;$J1249+7)*('Weekly Log'!$M$5:$M$5000&lt;&gt;"")),'Weekly Log'!$M$5:$M$5000),0))</f>
        <v/>
      </c>
      <c r="J1249">
        <f>IF(COUNT('Weekly Log'!$A$5:$A$5000)=0,"",IF(MIN('Weekly Log'!$A$5:$A$5000)+7*(ROW()-10)&gt;MAX('Weekly Log'!$A$5:$A$5000),"",MIN('Weekly Log'!$A$5:$A$5000)+7*(ROW()-10)))</f>
        <v/>
      </c>
    </row>
    <row r="1250">
      <c r="A1250">
        <f>IF($J1250="","",YEAR($J1250-WEEKDAY($J1250,2)+4)&amp;"-W"&amp;TEXT(WEEKNUM($J1250,21),"00"))</f>
        <v/>
      </c>
      <c r="B1250">
        <f>IF($J1250="","",SUMIFS('Weekly Log'!$C:$C,'Weekly Log'!$A:$A,"&gt;="&amp;$J1250,'Weekly Log'!$A:$A,"&lt;"&amp;$J1250+7))</f>
        <v/>
      </c>
      <c r="C1250">
        <f>IF($J1250="","",IFERROR(COUNTIFS('Weekly Log'!$G:$G,"Y",'Weekly Log'!$A:$A,"&gt;="&amp;$J1250,'Weekly Log'!$A:$A,"&lt;"&amp;$J1250+7)/COUNTIFS('Weekly Log'!$G:$G,"&lt;&gt;",'Weekly Log'!$A:$A,"&gt;="&amp;$J1250,'Weekly Log'!$A:$A,"&lt;"&amp;$J1250+7),0))</f>
        <v/>
      </c>
      <c r="D1250">
        <f>IF($J1250="","",IFERROR(COUNTIFS('Weekly Log'!$H:$H,"Y",'Weekly Log'!$A:$A,"&gt;="&amp;$J1250,'Weekly Log'!$A:$A,"&lt;"&amp;$J1250+7)/COUNTIFS('Weekly Log'!$H:$H,"&lt;&gt;",'Weekly Log'!$A:$A,"&gt;="&amp;$J1250,'Weekly Log'!$A:$A,"&lt;"&amp;$J1250+7),0))</f>
        <v/>
      </c>
      <c r="E1250">
        <f>IF($J1250="","",IFERROR(AVERAGEIFS('Weekly Log'!$F:$F,'Weekly Log'!$A:$A,"&gt;="&amp;$J1250,'Weekly Log'!$A:$A,"&lt;"&amp;$J1250+7),0))</f>
        <v/>
      </c>
      <c r="F1250">
        <f>IF($J1250="","",IFERROR(SUMIFS('Weekly Log'!$F:$F,'Weekly Log'!$A:$A,"&gt;="&amp;$J1250,'Weekly Log'!$A:$A,"&lt;"&amp;$J1250+7)/SUMIFS('Weekly Log'!$E:$E,'Weekly Log'!$A:$A,"&gt;="&amp;$J1250,'Weekly Log'!$A:$A,"&lt;"&amp;$J1250+7),0))</f>
        <v/>
      </c>
      <c r="G1250">
        <f>IF($J1250="","",IFERROR(LOOKUP(2,1/(('Weekly Log'!$A$5:$A$5000&gt;=$J1250)*('Weekly Log'!$A$5:$A$5000&lt;$J1250+7)*('Weekly Log'!$M$5:$M$5000&lt;&gt;"")),'Weekly Log'!$M$5:$M$5000),0))</f>
        <v/>
      </c>
      <c r="J1250">
        <f>IF(COUNT('Weekly Log'!$A$5:$A$5000)=0,"",IF(MIN('Weekly Log'!$A$5:$A$5000)+7*(ROW()-10)&gt;MAX('Weekly Log'!$A$5:$A$5000),"",MIN('Weekly Log'!$A$5:$A$5000)+7*(ROW()-10)))</f>
        <v/>
      </c>
    </row>
    <row r="1251">
      <c r="A1251">
        <f>IF($J1251="","",YEAR($J1251-WEEKDAY($J1251,2)+4)&amp;"-W"&amp;TEXT(WEEKNUM($J1251,21),"00"))</f>
        <v/>
      </c>
      <c r="B1251">
        <f>IF($J1251="","",SUMIFS('Weekly Log'!$C:$C,'Weekly Log'!$A:$A,"&gt;="&amp;$J1251,'Weekly Log'!$A:$A,"&lt;"&amp;$J1251+7))</f>
        <v/>
      </c>
      <c r="C1251">
        <f>IF($J1251="","",IFERROR(COUNTIFS('Weekly Log'!$G:$G,"Y",'Weekly Log'!$A:$A,"&gt;="&amp;$J1251,'Weekly Log'!$A:$A,"&lt;"&amp;$J1251+7)/COUNTIFS('Weekly Log'!$G:$G,"&lt;&gt;",'Weekly Log'!$A:$A,"&gt;="&amp;$J1251,'Weekly Log'!$A:$A,"&lt;"&amp;$J1251+7),0))</f>
        <v/>
      </c>
      <c r="D1251">
        <f>IF($J1251="","",IFERROR(COUNTIFS('Weekly Log'!$H:$H,"Y",'Weekly Log'!$A:$A,"&gt;="&amp;$J1251,'Weekly Log'!$A:$A,"&lt;"&amp;$J1251+7)/COUNTIFS('Weekly Log'!$H:$H,"&lt;&gt;",'Weekly Log'!$A:$A,"&gt;="&amp;$J1251,'Weekly Log'!$A:$A,"&lt;"&amp;$J1251+7),0))</f>
        <v/>
      </c>
      <c r="E1251">
        <f>IF($J1251="","",IFERROR(AVERAGEIFS('Weekly Log'!$F:$F,'Weekly Log'!$A:$A,"&gt;="&amp;$J1251,'Weekly Log'!$A:$A,"&lt;"&amp;$J1251+7),0))</f>
        <v/>
      </c>
      <c r="F1251">
        <f>IF($J1251="","",IFERROR(SUMIFS('Weekly Log'!$F:$F,'Weekly Log'!$A:$A,"&gt;="&amp;$J1251,'Weekly Log'!$A:$A,"&lt;"&amp;$J1251+7)/SUMIFS('Weekly Log'!$E:$E,'Weekly Log'!$A:$A,"&gt;="&amp;$J1251,'Weekly Log'!$A:$A,"&lt;"&amp;$J1251+7),0))</f>
        <v/>
      </c>
      <c r="G1251">
        <f>IF($J1251="","",IFERROR(LOOKUP(2,1/(('Weekly Log'!$A$5:$A$5000&gt;=$J1251)*('Weekly Log'!$A$5:$A$5000&lt;$J1251+7)*('Weekly Log'!$M$5:$M$5000&lt;&gt;"")),'Weekly Log'!$M$5:$M$5000),0))</f>
        <v/>
      </c>
      <c r="J1251">
        <f>IF(COUNT('Weekly Log'!$A$5:$A$5000)=0,"",IF(MIN('Weekly Log'!$A$5:$A$5000)+7*(ROW()-10)&gt;MAX('Weekly Log'!$A$5:$A$5000),"",MIN('Weekly Log'!$A$5:$A$5000)+7*(ROW()-10)))</f>
        <v/>
      </c>
    </row>
    <row r="1252">
      <c r="A1252">
        <f>IF($J1252="","",YEAR($J1252-WEEKDAY($J1252,2)+4)&amp;"-W"&amp;TEXT(WEEKNUM($J1252,21),"00"))</f>
        <v/>
      </c>
      <c r="B1252">
        <f>IF($J1252="","",SUMIFS('Weekly Log'!$C:$C,'Weekly Log'!$A:$A,"&gt;="&amp;$J1252,'Weekly Log'!$A:$A,"&lt;"&amp;$J1252+7))</f>
        <v/>
      </c>
      <c r="C1252">
        <f>IF($J1252="","",IFERROR(COUNTIFS('Weekly Log'!$G:$G,"Y",'Weekly Log'!$A:$A,"&gt;="&amp;$J1252,'Weekly Log'!$A:$A,"&lt;"&amp;$J1252+7)/COUNTIFS('Weekly Log'!$G:$G,"&lt;&gt;",'Weekly Log'!$A:$A,"&gt;="&amp;$J1252,'Weekly Log'!$A:$A,"&lt;"&amp;$J1252+7),0))</f>
        <v/>
      </c>
      <c r="D1252">
        <f>IF($J1252="","",IFERROR(COUNTIFS('Weekly Log'!$H:$H,"Y",'Weekly Log'!$A:$A,"&gt;="&amp;$J1252,'Weekly Log'!$A:$A,"&lt;"&amp;$J1252+7)/COUNTIFS('Weekly Log'!$H:$H,"&lt;&gt;",'Weekly Log'!$A:$A,"&gt;="&amp;$J1252,'Weekly Log'!$A:$A,"&lt;"&amp;$J1252+7),0))</f>
        <v/>
      </c>
      <c r="E1252">
        <f>IF($J1252="","",IFERROR(AVERAGEIFS('Weekly Log'!$F:$F,'Weekly Log'!$A:$A,"&gt;="&amp;$J1252,'Weekly Log'!$A:$A,"&lt;"&amp;$J1252+7),0))</f>
        <v/>
      </c>
      <c r="F1252">
        <f>IF($J1252="","",IFERROR(SUMIFS('Weekly Log'!$F:$F,'Weekly Log'!$A:$A,"&gt;="&amp;$J1252,'Weekly Log'!$A:$A,"&lt;"&amp;$J1252+7)/SUMIFS('Weekly Log'!$E:$E,'Weekly Log'!$A:$A,"&gt;="&amp;$J1252,'Weekly Log'!$A:$A,"&lt;"&amp;$J1252+7),0))</f>
        <v/>
      </c>
      <c r="G1252">
        <f>IF($J1252="","",IFERROR(LOOKUP(2,1/(('Weekly Log'!$A$5:$A$5000&gt;=$J1252)*('Weekly Log'!$A$5:$A$5000&lt;$J1252+7)*('Weekly Log'!$M$5:$M$5000&lt;&gt;"")),'Weekly Log'!$M$5:$M$5000),0))</f>
        <v/>
      </c>
      <c r="J1252">
        <f>IF(COUNT('Weekly Log'!$A$5:$A$5000)=0,"",IF(MIN('Weekly Log'!$A$5:$A$5000)+7*(ROW()-10)&gt;MAX('Weekly Log'!$A$5:$A$5000),"",MIN('Weekly Log'!$A$5:$A$5000)+7*(ROW()-10)))</f>
        <v/>
      </c>
    </row>
    <row r="1253">
      <c r="A1253">
        <f>IF($J1253="","",YEAR($J1253-WEEKDAY($J1253,2)+4)&amp;"-W"&amp;TEXT(WEEKNUM($J1253,21),"00"))</f>
        <v/>
      </c>
      <c r="B1253">
        <f>IF($J1253="","",SUMIFS('Weekly Log'!$C:$C,'Weekly Log'!$A:$A,"&gt;="&amp;$J1253,'Weekly Log'!$A:$A,"&lt;"&amp;$J1253+7))</f>
        <v/>
      </c>
      <c r="C1253">
        <f>IF($J1253="","",IFERROR(COUNTIFS('Weekly Log'!$G:$G,"Y",'Weekly Log'!$A:$A,"&gt;="&amp;$J1253,'Weekly Log'!$A:$A,"&lt;"&amp;$J1253+7)/COUNTIFS('Weekly Log'!$G:$G,"&lt;&gt;",'Weekly Log'!$A:$A,"&gt;="&amp;$J1253,'Weekly Log'!$A:$A,"&lt;"&amp;$J1253+7),0))</f>
        <v/>
      </c>
      <c r="D1253">
        <f>IF($J1253="","",IFERROR(COUNTIFS('Weekly Log'!$H:$H,"Y",'Weekly Log'!$A:$A,"&gt;="&amp;$J1253,'Weekly Log'!$A:$A,"&lt;"&amp;$J1253+7)/COUNTIFS('Weekly Log'!$H:$H,"&lt;&gt;",'Weekly Log'!$A:$A,"&gt;="&amp;$J1253,'Weekly Log'!$A:$A,"&lt;"&amp;$J1253+7),0))</f>
        <v/>
      </c>
      <c r="E1253">
        <f>IF($J1253="","",IFERROR(AVERAGEIFS('Weekly Log'!$F:$F,'Weekly Log'!$A:$A,"&gt;="&amp;$J1253,'Weekly Log'!$A:$A,"&lt;"&amp;$J1253+7),0))</f>
        <v/>
      </c>
      <c r="F1253">
        <f>IF($J1253="","",IFERROR(SUMIFS('Weekly Log'!$F:$F,'Weekly Log'!$A:$A,"&gt;="&amp;$J1253,'Weekly Log'!$A:$A,"&lt;"&amp;$J1253+7)/SUMIFS('Weekly Log'!$E:$E,'Weekly Log'!$A:$A,"&gt;="&amp;$J1253,'Weekly Log'!$A:$A,"&lt;"&amp;$J1253+7),0))</f>
        <v/>
      </c>
      <c r="G1253">
        <f>IF($J1253="","",IFERROR(LOOKUP(2,1/(('Weekly Log'!$A$5:$A$5000&gt;=$J1253)*('Weekly Log'!$A$5:$A$5000&lt;$J1253+7)*('Weekly Log'!$M$5:$M$5000&lt;&gt;"")),'Weekly Log'!$M$5:$M$5000),0))</f>
        <v/>
      </c>
      <c r="J1253">
        <f>IF(COUNT('Weekly Log'!$A$5:$A$5000)=0,"",IF(MIN('Weekly Log'!$A$5:$A$5000)+7*(ROW()-10)&gt;MAX('Weekly Log'!$A$5:$A$5000),"",MIN('Weekly Log'!$A$5:$A$5000)+7*(ROW()-10)))</f>
        <v/>
      </c>
    </row>
    <row r="1254">
      <c r="A1254">
        <f>IF($J1254="","",YEAR($J1254-WEEKDAY($J1254,2)+4)&amp;"-W"&amp;TEXT(WEEKNUM($J1254,21),"00"))</f>
        <v/>
      </c>
      <c r="B1254">
        <f>IF($J1254="","",SUMIFS('Weekly Log'!$C:$C,'Weekly Log'!$A:$A,"&gt;="&amp;$J1254,'Weekly Log'!$A:$A,"&lt;"&amp;$J1254+7))</f>
        <v/>
      </c>
      <c r="C1254">
        <f>IF($J1254="","",IFERROR(COUNTIFS('Weekly Log'!$G:$G,"Y",'Weekly Log'!$A:$A,"&gt;="&amp;$J1254,'Weekly Log'!$A:$A,"&lt;"&amp;$J1254+7)/COUNTIFS('Weekly Log'!$G:$G,"&lt;&gt;",'Weekly Log'!$A:$A,"&gt;="&amp;$J1254,'Weekly Log'!$A:$A,"&lt;"&amp;$J1254+7),0))</f>
        <v/>
      </c>
      <c r="D1254">
        <f>IF($J1254="","",IFERROR(COUNTIFS('Weekly Log'!$H:$H,"Y",'Weekly Log'!$A:$A,"&gt;="&amp;$J1254,'Weekly Log'!$A:$A,"&lt;"&amp;$J1254+7)/COUNTIFS('Weekly Log'!$H:$H,"&lt;&gt;",'Weekly Log'!$A:$A,"&gt;="&amp;$J1254,'Weekly Log'!$A:$A,"&lt;"&amp;$J1254+7),0))</f>
        <v/>
      </c>
      <c r="E1254">
        <f>IF($J1254="","",IFERROR(AVERAGEIFS('Weekly Log'!$F:$F,'Weekly Log'!$A:$A,"&gt;="&amp;$J1254,'Weekly Log'!$A:$A,"&lt;"&amp;$J1254+7),0))</f>
        <v/>
      </c>
      <c r="F1254">
        <f>IF($J1254="","",IFERROR(SUMIFS('Weekly Log'!$F:$F,'Weekly Log'!$A:$A,"&gt;="&amp;$J1254,'Weekly Log'!$A:$A,"&lt;"&amp;$J1254+7)/SUMIFS('Weekly Log'!$E:$E,'Weekly Log'!$A:$A,"&gt;="&amp;$J1254,'Weekly Log'!$A:$A,"&lt;"&amp;$J1254+7),0))</f>
        <v/>
      </c>
      <c r="G1254">
        <f>IF($J1254="","",IFERROR(LOOKUP(2,1/(('Weekly Log'!$A$5:$A$5000&gt;=$J1254)*('Weekly Log'!$A$5:$A$5000&lt;$J1254+7)*('Weekly Log'!$M$5:$M$5000&lt;&gt;"")),'Weekly Log'!$M$5:$M$5000),0))</f>
        <v/>
      </c>
      <c r="J1254">
        <f>IF(COUNT('Weekly Log'!$A$5:$A$5000)=0,"",IF(MIN('Weekly Log'!$A$5:$A$5000)+7*(ROW()-10)&gt;MAX('Weekly Log'!$A$5:$A$5000),"",MIN('Weekly Log'!$A$5:$A$5000)+7*(ROW()-10)))</f>
        <v/>
      </c>
    </row>
    <row r="1255">
      <c r="A1255">
        <f>IF($J1255="","",YEAR($J1255-WEEKDAY($J1255,2)+4)&amp;"-W"&amp;TEXT(WEEKNUM($J1255,21),"00"))</f>
        <v/>
      </c>
      <c r="B1255">
        <f>IF($J1255="","",SUMIFS('Weekly Log'!$C:$C,'Weekly Log'!$A:$A,"&gt;="&amp;$J1255,'Weekly Log'!$A:$A,"&lt;"&amp;$J1255+7))</f>
        <v/>
      </c>
      <c r="C1255">
        <f>IF($J1255="","",IFERROR(COUNTIFS('Weekly Log'!$G:$G,"Y",'Weekly Log'!$A:$A,"&gt;="&amp;$J1255,'Weekly Log'!$A:$A,"&lt;"&amp;$J1255+7)/COUNTIFS('Weekly Log'!$G:$G,"&lt;&gt;",'Weekly Log'!$A:$A,"&gt;="&amp;$J1255,'Weekly Log'!$A:$A,"&lt;"&amp;$J1255+7),0))</f>
        <v/>
      </c>
      <c r="D1255">
        <f>IF($J1255="","",IFERROR(COUNTIFS('Weekly Log'!$H:$H,"Y",'Weekly Log'!$A:$A,"&gt;="&amp;$J1255,'Weekly Log'!$A:$A,"&lt;"&amp;$J1255+7)/COUNTIFS('Weekly Log'!$H:$H,"&lt;&gt;",'Weekly Log'!$A:$A,"&gt;="&amp;$J1255,'Weekly Log'!$A:$A,"&lt;"&amp;$J1255+7),0))</f>
        <v/>
      </c>
      <c r="E1255">
        <f>IF($J1255="","",IFERROR(AVERAGEIFS('Weekly Log'!$F:$F,'Weekly Log'!$A:$A,"&gt;="&amp;$J1255,'Weekly Log'!$A:$A,"&lt;"&amp;$J1255+7),0))</f>
        <v/>
      </c>
      <c r="F1255">
        <f>IF($J1255="","",IFERROR(SUMIFS('Weekly Log'!$F:$F,'Weekly Log'!$A:$A,"&gt;="&amp;$J1255,'Weekly Log'!$A:$A,"&lt;"&amp;$J1255+7)/SUMIFS('Weekly Log'!$E:$E,'Weekly Log'!$A:$A,"&gt;="&amp;$J1255,'Weekly Log'!$A:$A,"&lt;"&amp;$J1255+7),0))</f>
        <v/>
      </c>
      <c r="G1255">
        <f>IF($J1255="","",IFERROR(LOOKUP(2,1/(('Weekly Log'!$A$5:$A$5000&gt;=$J1255)*('Weekly Log'!$A$5:$A$5000&lt;$J1255+7)*('Weekly Log'!$M$5:$M$5000&lt;&gt;"")),'Weekly Log'!$M$5:$M$5000),0))</f>
        <v/>
      </c>
      <c r="J1255">
        <f>IF(COUNT('Weekly Log'!$A$5:$A$5000)=0,"",IF(MIN('Weekly Log'!$A$5:$A$5000)+7*(ROW()-10)&gt;MAX('Weekly Log'!$A$5:$A$5000),"",MIN('Weekly Log'!$A$5:$A$5000)+7*(ROW()-10)))</f>
        <v/>
      </c>
    </row>
    <row r="1256">
      <c r="A1256">
        <f>IF($J1256="","",YEAR($J1256-WEEKDAY($J1256,2)+4)&amp;"-W"&amp;TEXT(WEEKNUM($J1256,21),"00"))</f>
        <v/>
      </c>
      <c r="B1256">
        <f>IF($J1256="","",SUMIFS('Weekly Log'!$C:$C,'Weekly Log'!$A:$A,"&gt;="&amp;$J1256,'Weekly Log'!$A:$A,"&lt;"&amp;$J1256+7))</f>
        <v/>
      </c>
      <c r="C1256">
        <f>IF($J1256="","",IFERROR(COUNTIFS('Weekly Log'!$G:$G,"Y",'Weekly Log'!$A:$A,"&gt;="&amp;$J1256,'Weekly Log'!$A:$A,"&lt;"&amp;$J1256+7)/COUNTIFS('Weekly Log'!$G:$G,"&lt;&gt;",'Weekly Log'!$A:$A,"&gt;="&amp;$J1256,'Weekly Log'!$A:$A,"&lt;"&amp;$J1256+7),0))</f>
        <v/>
      </c>
      <c r="D1256">
        <f>IF($J1256="","",IFERROR(COUNTIFS('Weekly Log'!$H:$H,"Y",'Weekly Log'!$A:$A,"&gt;="&amp;$J1256,'Weekly Log'!$A:$A,"&lt;"&amp;$J1256+7)/COUNTIFS('Weekly Log'!$H:$H,"&lt;&gt;",'Weekly Log'!$A:$A,"&gt;="&amp;$J1256,'Weekly Log'!$A:$A,"&lt;"&amp;$J1256+7),0))</f>
        <v/>
      </c>
      <c r="E1256">
        <f>IF($J1256="","",IFERROR(AVERAGEIFS('Weekly Log'!$F:$F,'Weekly Log'!$A:$A,"&gt;="&amp;$J1256,'Weekly Log'!$A:$A,"&lt;"&amp;$J1256+7),0))</f>
        <v/>
      </c>
      <c r="F1256">
        <f>IF($J1256="","",IFERROR(SUMIFS('Weekly Log'!$F:$F,'Weekly Log'!$A:$A,"&gt;="&amp;$J1256,'Weekly Log'!$A:$A,"&lt;"&amp;$J1256+7)/SUMIFS('Weekly Log'!$E:$E,'Weekly Log'!$A:$A,"&gt;="&amp;$J1256,'Weekly Log'!$A:$A,"&lt;"&amp;$J1256+7),0))</f>
        <v/>
      </c>
      <c r="G1256">
        <f>IF($J1256="","",IFERROR(LOOKUP(2,1/(('Weekly Log'!$A$5:$A$5000&gt;=$J1256)*('Weekly Log'!$A$5:$A$5000&lt;$J1256+7)*('Weekly Log'!$M$5:$M$5000&lt;&gt;"")),'Weekly Log'!$M$5:$M$5000),0))</f>
        <v/>
      </c>
      <c r="J1256">
        <f>IF(COUNT('Weekly Log'!$A$5:$A$5000)=0,"",IF(MIN('Weekly Log'!$A$5:$A$5000)+7*(ROW()-10)&gt;MAX('Weekly Log'!$A$5:$A$5000),"",MIN('Weekly Log'!$A$5:$A$5000)+7*(ROW()-10)))</f>
        <v/>
      </c>
    </row>
    <row r="1257">
      <c r="A1257">
        <f>IF($J1257="","",YEAR($J1257-WEEKDAY($J1257,2)+4)&amp;"-W"&amp;TEXT(WEEKNUM($J1257,21),"00"))</f>
        <v/>
      </c>
      <c r="B1257">
        <f>IF($J1257="","",SUMIFS('Weekly Log'!$C:$C,'Weekly Log'!$A:$A,"&gt;="&amp;$J1257,'Weekly Log'!$A:$A,"&lt;"&amp;$J1257+7))</f>
        <v/>
      </c>
      <c r="C1257">
        <f>IF($J1257="","",IFERROR(COUNTIFS('Weekly Log'!$G:$G,"Y",'Weekly Log'!$A:$A,"&gt;="&amp;$J1257,'Weekly Log'!$A:$A,"&lt;"&amp;$J1257+7)/COUNTIFS('Weekly Log'!$G:$G,"&lt;&gt;",'Weekly Log'!$A:$A,"&gt;="&amp;$J1257,'Weekly Log'!$A:$A,"&lt;"&amp;$J1257+7),0))</f>
        <v/>
      </c>
      <c r="D1257">
        <f>IF($J1257="","",IFERROR(COUNTIFS('Weekly Log'!$H:$H,"Y",'Weekly Log'!$A:$A,"&gt;="&amp;$J1257,'Weekly Log'!$A:$A,"&lt;"&amp;$J1257+7)/COUNTIFS('Weekly Log'!$H:$H,"&lt;&gt;",'Weekly Log'!$A:$A,"&gt;="&amp;$J1257,'Weekly Log'!$A:$A,"&lt;"&amp;$J1257+7),0))</f>
        <v/>
      </c>
      <c r="E1257">
        <f>IF($J1257="","",IFERROR(AVERAGEIFS('Weekly Log'!$F:$F,'Weekly Log'!$A:$A,"&gt;="&amp;$J1257,'Weekly Log'!$A:$A,"&lt;"&amp;$J1257+7),0))</f>
        <v/>
      </c>
      <c r="F1257">
        <f>IF($J1257="","",IFERROR(SUMIFS('Weekly Log'!$F:$F,'Weekly Log'!$A:$A,"&gt;="&amp;$J1257,'Weekly Log'!$A:$A,"&lt;"&amp;$J1257+7)/SUMIFS('Weekly Log'!$E:$E,'Weekly Log'!$A:$A,"&gt;="&amp;$J1257,'Weekly Log'!$A:$A,"&lt;"&amp;$J1257+7),0))</f>
        <v/>
      </c>
      <c r="G1257">
        <f>IF($J1257="","",IFERROR(LOOKUP(2,1/(('Weekly Log'!$A$5:$A$5000&gt;=$J1257)*('Weekly Log'!$A$5:$A$5000&lt;$J1257+7)*('Weekly Log'!$M$5:$M$5000&lt;&gt;"")),'Weekly Log'!$M$5:$M$5000),0))</f>
        <v/>
      </c>
      <c r="J1257">
        <f>IF(COUNT('Weekly Log'!$A$5:$A$5000)=0,"",IF(MIN('Weekly Log'!$A$5:$A$5000)+7*(ROW()-10)&gt;MAX('Weekly Log'!$A$5:$A$5000),"",MIN('Weekly Log'!$A$5:$A$5000)+7*(ROW()-10)))</f>
        <v/>
      </c>
    </row>
    <row r="1258">
      <c r="A1258">
        <f>IF($J1258="","",YEAR($J1258-WEEKDAY($J1258,2)+4)&amp;"-W"&amp;TEXT(WEEKNUM($J1258,21),"00"))</f>
        <v/>
      </c>
      <c r="B1258">
        <f>IF($J1258="","",SUMIFS('Weekly Log'!$C:$C,'Weekly Log'!$A:$A,"&gt;="&amp;$J1258,'Weekly Log'!$A:$A,"&lt;"&amp;$J1258+7))</f>
        <v/>
      </c>
      <c r="C1258">
        <f>IF($J1258="","",IFERROR(COUNTIFS('Weekly Log'!$G:$G,"Y",'Weekly Log'!$A:$A,"&gt;="&amp;$J1258,'Weekly Log'!$A:$A,"&lt;"&amp;$J1258+7)/COUNTIFS('Weekly Log'!$G:$G,"&lt;&gt;",'Weekly Log'!$A:$A,"&gt;="&amp;$J1258,'Weekly Log'!$A:$A,"&lt;"&amp;$J1258+7),0))</f>
        <v/>
      </c>
      <c r="D1258">
        <f>IF($J1258="","",IFERROR(COUNTIFS('Weekly Log'!$H:$H,"Y",'Weekly Log'!$A:$A,"&gt;="&amp;$J1258,'Weekly Log'!$A:$A,"&lt;"&amp;$J1258+7)/COUNTIFS('Weekly Log'!$H:$H,"&lt;&gt;",'Weekly Log'!$A:$A,"&gt;="&amp;$J1258,'Weekly Log'!$A:$A,"&lt;"&amp;$J1258+7),0))</f>
        <v/>
      </c>
      <c r="E1258">
        <f>IF($J1258="","",IFERROR(AVERAGEIFS('Weekly Log'!$F:$F,'Weekly Log'!$A:$A,"&gt;="&amp;$J1258,'Weekly Log'!$A:$A,"&lt;"&amp;$J1258+7),0))</f>
        <v/>
      </c>
      <c r="F1258">
        <f>IF($J1258="","",IFERROR(SUMIFS('Weekly Log'!$F:$F,'Weekly Log'!$A:$A,"&gt;="&amp;$J1258,'Weekly Log'!$A:$A,"&lt;"&amp;$J1258+7)/SUMIFS('Weekly Log'!$E:$E,'Weekly Log'!$A:$A,"&gt;="&amp;$J1258,'Weekly Log'!$A:$A,"&lt;"&amp;$J1258+7),0))</f>
        <v/>
      </c>
      <c r="G1258">
        <f>IF($J1258="","",IFERROR(LOOKUP(2,1/(('Weekly Log'!$A$5:$A$5000&gt;=$J1258)*('Weekly Log'!$A$5:$A$5000&lt;$J1258+7)*('Weekly Log'!$M$5:$M$5000&lt;&gt;"")),'Weekly Log'!$M$5:$M$5000),0))</f>
        <v/>
      </c>
      <c r="J1258">
        <f>IF(COUNT('Weekly Log'!$A$5:$A$5000)=0,"",IF(MIN('Weekly Log'!$A$5:$A$5000)+7*(ROW()-10)&gt;MAX('Weekly Log'!$A$5:$A$5000),"",MIN('Weekly Log'!$A$5:$A$5000)+7*(ROW()-10)))</f>
        <v/>
      </c>
    </row>
    <row r="1259">
      <c r="A1259">
        <f>IF($J1259="","",YEAR($J1259-WEEKDAY($J1259,2)+4)&amp;"-W"&amp;TEXT(WEEKNUM($J1259,21),"00"))</f>
        <v/>
      </c>
      <c r="B1259">
        <f>IF($J1259="","",SUMIFS('Weekly Log'!$C:$C,'Weekly Log'!$A:$A,"&gt;="&amp;$J1259,'Weekly Log'!$A:$A,"&lt;"&amp;$J1259+7))</f>
        <v/>
      </c>
      <c r="C1259">
        <f>IF($J1259="","",IFERROR(COUNTIFS('Weekly Log'!$G:$G,"Y",'Weekly Log'!$A:$A,"&gt;="&amp;$J1259,'Weekly Log'!$A:$A,"&lt;"&amp;$J1259+7)/COUNTIFS('Weekly Log'!$G:$G,"&lt;&gt;",'Weekly Log'!$A:$A,"&gt;="&amp;$J1259,'Weekly Log'!$A:$A,"&lt;"&amp;$J1259+7),0))</f>
        <v/>
      </c>
      <c r="D1259">
        <f>IF($J1259="","",IFERROR(COUNTIFS('Weekly Log'!$H:$H,"Y",'Weekly Log'!$A:$A,"&gt;="&amp;$J1259,'Weekly Log'!$A:$A,"&lt;"&amp;$J1259+7)/COUNTIFS('Weekly Log'!$H:$H,"&lt;&gt;",'Weekly Log'!$A:$A,"&gt;="&amp;$J1259,'Weekly Log'!$A:$A,"&lt;"&amp;$J1259+7),0))</f>
        <v/>
      </c>
      <c r="E1259">
        <f>IF($J1259="","",IFERROR(AVERAGEIFS('Weekly Log'!$F:$F,'Weekly Log'!$A:$A,"&gt;="&amp;$J1259,'Weekly Log'!$A:$A,"&lt;"&amp;$J1259+7),0))</f>
        <v/>
      </c>
      <c r="F1259">
        <f>IF($J1259="","",IFERROR(SUMIFS('Weekly Log'!$F:$F,'Weekly Log'!$A:$A,"&gt;="&amp;$J1259,'Weekly Log'!$A:$A,"&lt;"&amp;$J1259+7)/SUMIFS('Weekly Log'!$E:$E,'Weekly Log'!$A:$A,"&gt;="&amp;$J1259,'Weekly Log'!$A:$A,"&lt;"&amp;$J1259+7),0))</f>
        <v/>
      </c>
      <c r="G1259">
        <f>IF($J1259="","",IFERROR(LOOKUP(2,1/(('Weekly Log'!$A$5:$A$5000&gt;=$J1259)*('Weekly Log'!$A$5:$A$5000&lt;$J1259+7)*('Weekly Log'!$M$5:$M$5000&lt;&gt;"")),'Weekly Log'!$M$5:$M$5000),0))</f>
        <v/>
      </c>
      <c r="J1259">
        <f>IF(COUNT('Weekly Log'!$A$5:$A$5000)=0,"",IF(MIN('Weekly Log'!$A$5:$A$5000)+7*(ROW()-10)&gt;MAX('Weekly Log'!$A$5:$A$5000),"",MIN('Weekly Log'!$A$5:$A$5000)+7*(ROW()-10)))</f>
        <v/>
      </c>
    </row>
    <row r="1260">
      <c r="A1260">
        <f>IF($J1260="","",YEAR($J1260-WEEKDAY($J1260,2)+4)&amp;"-W"&amp;TEXT(WEEKNUM($J1260,21),"00"))</f>
        <v/>
      </c>
      <c r="B1260">
        <f>IF($J1260="","",SUMIFS('Weekly Log'!$C:$C,'Weekly Log'!$A:$A,"&gt;="&amp;$J1260,'Weekly Log'!$A:$A,"&lt;"&amp;$J1260+7))</f>
        <v/>
      </c>
      <c r="C1260">
        <f>IF($J1260="","",IFERROR(COUNTIFS('Weekly Log'!$G:$G,"Y",'Weekly Log'!$A:$A,"&gt;="&amp;$J1260,'Weekly Log'!$A:$A,"&lt;"&amp;$J1260+7)/COUNTIFS('Weekly Log'!$G:$G,"&lt;&gt;",'Weekly Log'!$A:$A,"&gt;="&amp;$J1260,'Weekly Log'!$A:$A,"&lt;"&amp;$J1260+7),0))</f>
        <v/>
      </c>
      <c r="D1260">
        <f>IF($J1260="","",IFERROR(COUNTIFS('Weekly Log'!$H:$H,"Y",'Weekly Log'!$A:$A,"&gt;="&amp;$J1260,'Weekly Log'!$A:$A,"&lt;"&amp;$J1260+7)/COUNTIFS('Weekly Log'!$H:$H,"&lt;&gt;",'Weekly Log'!$A:$A,"&gt;="&amp;$J1260,'Weekly Log'!$A:$A,"&lt;"&amp;$J1260+7),0))</f>
        <v/>
      </c>
      <c r="E1260">
        <f>IF($J1260="","",IFERROR(AVERAGEIFS('Weekly Log'!$F:$F,'Weekly Log'!$A:$A,"&gt;="&amp;$J1260,'Weekly Log'!$A:$A,"&lt;"&amp;$J1260+7),0))</f>
        <v/>
      </c>
      <c r="F1260">
        <f>IF($J1260="","",IFERROR(SUMIFS('Weekly Log'!$F:$F,'Weekly Log'!$A:$A,"&gt;="&amp;$J1260,'Weekly Log'!$A:$A,"&lt;"&amp;$J1260+7)/SUMIFS('Weekly Log'!$E:$E,'Weekly Log'!$A:$A,"&gt;="&amp;$J1260,'Weekly Log'!$A:$A,"&lt;"&amp;$J1260+7),0))</f>
        <v/>
      </c>
      <c r="G1260">
        <f>IF($J1260="","",IFERROR(LOOKUP(2,1/(('Weekly Log'!$A$5:$A$5000&gt;=$J1260)*('Weekly Log'!$A$5:$A$5000&lt;$J1260+7)*('Weekly Log'!$M$5:$M$5000&lt;&gt;"")),'Weekly Log'!$M$5:$M$5000),0))</f>
        <v/>
      </c>
      <c r="J1260">
        <f>IF(COUNT('Weekly Log'!$A$5:$A$5000)=0,"",IF(MIN('Weekly Log'!$A$5:$A$5000)+7*(ROW()-10)&gt;MAX('Weekly Log'!$A$5:$A$5000),"",MIN('Weekly Log'!$A$5:$A$5000)+7*(ROW()-10)))</f>
        <v/>
      </c>
    </row>
    <row r="1261">
      <c r="A1261">
        <f>IF($J1261="","",YEAR($J1261-WEEKDAY($J1261,2)+4)&amp;"-W"&amp;TEXT(WEEKNUM($J1261,21),"00"))</f>
        <v/>
      </c>
      <c r="B1261">
        <f>IF($J1261="","",SUMIFS('Weekly Log'!$C:$C,'Weekly Log'!$A:$A,"&gt;="&amp;$J1261,'Weekly Log'!$A:$A,"&lt;"&amp;$J1261+7))</f>
        <v/>
      </c>
      <c r="C1261">
        <f>IF($J1261="","",IFERROR(COUNTIFS('Weekly Log'!$G:$G,"Y",'Weekly Log'!$A:$A,"&gt;="&amp;$J1261,'Weekly Log'!$A:$A,"&lt;"&amp;$J1261+7)/COUNTIFS('Weekly Log'!$G:$G,"&lt;&gt;",'Weekly Log'!$A:$A,"&gt;="&amp;$J1261,'Weekly Log'!$A:$A,"&lt;"&amp;$J1261+7),0))</f>
        <v/>
      </c>
      <c r="D1261">
        <f>IF($J1261="","",IFERROR(COUNTIFS('Weekly Log'!$H:$H,"Y",'Weekly Log'!$A:$A,"&gt;="&amp;$J1261,'Weekly Log'!$A:$A,"&lt;"&amp;$J1261+7)/COUNTIFS('Weekly Log'!$H:$H,"&lt;&gt;",'Weekly Log'!$A:$A,"&gt;="&amp;$J1261,'Weekly Log'!$A:$A,"&lt;"&amp;$J1261+7),0))</f>
        <v/>
      </c>
      <c r="E1261">
        <f>IF($J1261="","",IFERROR(AVERAGEIFS('Weekly Log'!$F:$F,'Weekly Log'!$A:$A,"&gt;="&amp;$J1261,'Weekly Log'!$A:$A,"&lt;"&amp;$J1261+7),0))</f>
        <v/>
      </c>
      <c r="F1261">
        <f>IF($J1261="","",IFERROR(SUMIFS('Weekly Log'!$F:$F,'Weekly Log'!$A:$A,"&gt;="&amp;$J1261,'Weekly Log'!$A:$A,"&lt;"&amp;$J1261+7)/SUMIFS('Weekly Log'!$E:$E,'Weekly Log'!$A:$A,"&gt;="&amp;$J1261,'Weekly Log'!$A:$A,"&lt;"&amp;$J1261+7),0))</f>
        <v/>
      </c>
      <c r="G1261">
        <f>IF($J1261="","",IFERROR(LOOKUP(2,1/(('Weekly Log'!$A$5:$A$5000&gt;=$J1261)*('Weekly Log'!$A$5:$A$5000&lt;$J1261+7)*('Weekly Log'!$M$5:$M$5000&lt;&gt;"")),'Weekly Log'!$M$5:$M$5000),0))</f>
        <v/>
      </c>
      <c r="J1261">
        <f>IF(COUNT('Weekly Log'!$A$5:$A$5000)=0,"",IF(MIN('Weekly Log'!$A$5:$A$5000)+7*(ROW()-10)&gt;MAX('Weekly Log'!$A$5:$A$5000),"",MIN('Weekly Log'!$A$5:$A$5000)+7*(ROW()-10)))</f>
        <v/>
      </c>
    </row>
    <row r="1262">
      <c r="A1262">
        <f>IF($J1262="","",YEAR($J1262-WEEKDAY($J1262,2)+4)&amp;"-W"&amp;TEXT(WEEKNUM($J1262,21),"00"))</f>
        <v/>
      </c>
      <c r="B1262">
        <f>IF($J1262="","",SUMIFS('Weekly Log'!$C:$C,'Weekly Log'!$A:$A,"&gt;="&amp;$J1262,'Weekly Log'!$A:$A,"&lt;"&amp;$J1262+7))</f>
        <v/>
      </c>
      <c r="C1262">
        <f>IF($J1262="","",IFERROR(COUNTIFS('Weekly Log'!$G:$G,"Y",'Weekly Log'!$A:$A,"&gt;="&amp;$J1262,'Weekly Log'!$A:$A,"&lt;"&amp;$J1262+7)/COUNTIFS('Weekly Log'!$G:$G,"&lt;&gt;",'Weekly Log'!$A:$A,"&gt;="&amp;$J1262,'Weekly Log'!$A:$A,"&lt;"&amp;$J1262+7),0))</f>
        <v/>
      </c>
      <c r="D1262">
        <f>IF($J1262="","",IFERROR(COUNTIFS('Weekly Log'!$H:$H,"Y",'Weekly Log'!$A:$A,"&gt;="&amp;$J1262,'Weekly Log'!$A:$A,"&lt;"&amp;$J1262+7)/COUNTIFS('Weekly Log'!$H:$H,"&lt;&gt;",'Weekly Log'!$A:$A,"&gt;="&amp;$J1262,'Weekly Log'!$A:$A,"&lt;"&amp;$J1262+7),0))</f>
        <v/>
      </c>
      <c r="E1262">
        <f>IF($J1262="","",IFERROR(AVERAGEIFS('Weekly Log'!$F:$F,'Weekly Log'!$A:$A,"&gt;="&amp;$J1262,'Weekly Log'!$A:$A,"&lt;"&amp;$J1262+7),0))</f>
        <v/>
      </c>
      <c r="F1262">
        <f>IF($J1262="","",IFERROR(SUMIFS('Weekly Log'!$F:$F,'Weekly Log'!$A:$A,"&gt;="&amp;$J1262,'Weekly Log'!$A:$A,"&lt;"&amp;$J1262+7)/SUMIFS('Weekly Log'!$E:$E,'Weekly Log'!$A:$A,"&gt;="&amp;$J1262,'Weekly Log'!$A:$A,"&lt;"&amp;$J1262+7),0))</f>
        <v/>
      </c>
      <c r="G1262">
        <f>IF($J1262="","",IFERROR(LOOKUP(2,1/(('Weekly Log'!$A$5:$A$5000&gt;=$J1262)*('Weekly Log'!$A$5:$A$5000&lt;$J1262+7)*('Weekly Log'!$M$5:$M$5000&lt;&gt;"")),'Weekly Log'!$M$5:$M$5000),0))</f>
        <v/>
      </c>
      <c r="J1262">
        <f>IF(COUNT('Weekly Log'!$A$5:$A$5000)=0,"",IF(MIN('Weekly Log'!$A$5:$A$5000)+7*(ROW()-10)&gt;MAX('Weekly Log'!$A$5:$A$5000),"",MIN('Weekly Log'!$A$5:$A$5000)+7*(ROW()-10)))</f>
        <v/>
      </c>
    </row>
    <row r="1263">
      <c r="A1263">
        <f>IF($J1263="","",YEAR($J1263-WEEKDAY($J1263,2)+4)&amp;"-W"&amp;TEXT(WEEKNUM($J1263,21),"00"))</f>
        <v/>
      </c>
      <c r="B1263">
        <f>IF($J1263="","",SUMIFS('Weekly Log'!$C:$C,'Weekly Log'!$A:$A,"&gt;="&amp;$J1263,'Weekly Log'!$A:$A,"&lt;"&amp;$J1263+7))</f>
        <v/>
      </c>
      <c r="C1263">
        <f>IF($J1263="","",IFERROR(COUNTIFS('Weekly Log'!$G:$G,"Y",'Weekly Log'!$A:$A,"&gt;="&amp;$J1263,'Weekly Log'!$A:$A,"&lt;"&amp;$J1263+7)/COUNTIFS('Weekly Log'!$G:$G,"&lt;&gt;",'Weekly Log'!$A:$A,"&gt;="&amp;$J1263,'Weekly Log'!$A:$A,"&lt;"&amp;$J1263+7),0))</f>
        <v/>
      </c>
      <c r="D1263">
        <f>IF($J1263="","",IFERROR(COUNTIFS('Weekly Log'!$H:$H,"Y",'Weekly Log'!$A:$A,"&gt;="&amp;$J1263,'Weekly Log'!$A:$A,"&lt;"&amp;$J1263+7)/COUNTIFS('Weekly Log'!$H:$H,"&lt;&gt;",'Weekly Log'!$A:$A,"&gt;="&amp;$J1263,'Weekly Log'!$A:$A,"&lt;"&amp;$J1263+7),0))</f>
        <v/>
      </c>
      <c r="E1263">
        <f>IF($J1263="","",IFERROR(AVERAGEIFS('Weekly Log'!$F:$F,'Weekly Log'!$A:$A,"&gt;="&amp;$J1263,'Weekly Log'!$A:$A,"&lt;"&amp;$J1263+7),0))</f>
        <v/>
      </c>
      <c r="F1263">
        <f>IF($J1263="","",IFERROR(SUMIFS('Weekly Log'!$F:$F,'Weekly Log'!$A:$A,"&gt;="&amp;$J1263,'Weekly Log'!$A:$A,"&lt;"&amp;$J1263+7)/SUMIFS('Weekly Log'!$E:$E,'Weekly Log'!$A:$A,"&gt;="&amp;$J1263,'Weekly Log'!$A:$A,"&lt;"&amp;$J1263+7),0))</f>
        <v/>
      </c>
      <c r="G1263">
        <f>IF($J1263="","",IFERROR(LOOKUP(2,1/(('Weekly Log'!$A$5:$A$5000&gt;=$J1263)*('Weekly Log'!$A$5:$A$5000&lt;$J1263+7)*('Weekly Log'!$M$5:$M$5000&lt;&gt;"")),'Weekly Log'!$M$5:$M$5000),0))</f>
        <v/>
      </c>
      <c r="J1263">
        <f>IF(COUNT('Weekly Log'!$A$5:$A$5000)=0,"",IF(MIN('Weekly Log'!$A$5:$A$5000)+7*(ROW()-10)&gt;MAX('Weekly Log'!$A$5:$A$5000),"",MIN('Weekly Log'!$A$5:$A$5000)+7*(ROW()-10)))</f>
        <v/>
      </c>
    </row>
    <row r="1264">
      <c r="A1264">
        <f>IF($J1264="","",YEAR($J1264-WEEKDAY($J1264,2)+4)&amp;"-W"&amp;TEXT(WEEKNUM($J1264,21),"00"))</f>
        <v/>
      </c>
      <c r="B1264">
        <f>IF($J1264="","",SUMIFS('Weekly Log'!$C:$C,'Weekly Log'!$A:$A,"&gt;="&amp;$J1264,'Weekly Log'!$A:$A,"&lt;"&amp;$J1264+7))</f>
        <v/>
      </c>
      <c r="C1264">
        <f>IF($J1264="","",IFERROR(COUNTIFS('Weekly Log'!$G:$G,"Y",'Weekly Log'!$A:$A,"&gt;="&amp;$J1264,'Weekly Log'!$A:$A,"&lt;"&amp;$J1264+7)/COUNTIFS('Weekly Log'!$G:$G,"&lt;&gt;",'Weekly Log'!$A:$A,"&gt;="&amp;$J1264,'Weekly Log'!$A:$A,"&lt;"&amp;$J1264+7),0))</f>
        <v/>
      </c>
      <c r="D1264">
        <f>IF($J1264="","",IFERROR(COUNTIFS('Weekly Log'!$H:$H,"Y",'Weekly Log'!$A:$A,"&gt;="&amp;$J1264,'Weekly Log'!$A:$A,"&lt;"&amp;$J1264+7)/COUNTIFS('Weekly Log'!$H:$H,"&lt;&gt;",'Weekly Log'!$A:$A,"&gt;="&amp;$J1264,'Weekly Log'!$A:$A,"&lt;"&amp;$J1264+7),0))</f>
        <v/>
      </c>
      <c r="E1264">
        <f>IF($J1264="","",IFERROR(AVERAGEIFS('Weekly Log'!$F:$F,'Weekly Log'!$A:$A,"&gt;="&amp;$J1264,'Weekly Log'!$A:$A,"&lt;"&amp;$J1264+7),0))</f>
        <v/>
      </c>
      <c r="F1264">
        <f>IF($J1264="","",IFERROR(SUMIFS('Weekly Log'!$F:$F,'Weekly Log'!$A:$A,"&gt;="&amp;$J1264,'Weekly Log'!$A:$A,"&lt;"&amp;$J1264+7)/SUMIFS('Weekly Log'!$E:$E,'Weekly Log'!$A:$A,"&gt;="&amp;$J1264,'Weekly Log'!$A:$A,"&lt;"&amp;$J1264+7),0))</f>
        <v/>
      </c>
      <c r="G1264">
        <f>IF($J1264="","",IFERROR(LOOKUP(2,1/(('Weekly Log'!$A$5:$A$5000&gt;=$J1264)*('Weekly Log'!$A$5:$A$5000&lt;$J1264+7)*('Weekly Log'!$M$5:$M$5000&lt;&gt;"")),'Weekly Log'!$M$5:$M$5000),0))</f>
        <v/>
      </c>
      <c r="J1264">
        <f>IF(COUNT('Weekly Log'!$A$5:$A$5000)=0,"",IF(MIN('Weekly Log'!$A$5:$A$5000)+7*(ROW()-10)&gt;MAX('Weekly Log'!$A$5:$A$5000),"",MIN('Weekly Log'!$A$5:$A$5000)+7*(ROW()-10)))</f>
        <v/>
      </c>
    </row>
    <row r="1265">
      <c r="A1265">
        <f>IF($J1265="","",YEAR($J1265-WEEKDAY($J1265,2)+4)&amp;"-W"&amp;TEXT(WEEKNUM($J1265,21),"00"))</f>
        <v/>
      </c>
      <c r="B1265">
        <f>IF($J1265="","",SUMIFS('Weekly Log'!$C:$C,'Weekly Log'!$A:$A,"&gt;="&amp;$J1265,'Weekly Log'!$A:$A,"&lt;"&amp;$J1265+7))</f>
        <v/>
      </c>
      <c r="C1265">
        <f>IF($J1265="","",IFERROR(COUNTIFS('Weekly Log'!$G:$G,"Y",'Weekly Log'!$A:$A,"&gt;="&amp;$J1265,'Weekly Log'!$A:$A,"&lt;"&amp;$J1265+7)/COUNTIFS('Weekly Log'!$G:$G,"&lt;&gt;",'Weekly Log'!$A:$A,"&gt;="&amp;$J1265,'Weekly Log'!$A:$A,"&lt;"&amp;$J1265+7),0))</f>
        <v/>
      </c>
      <c r="D1265">
        <f>IF($J1265="","",IFERROR(COUNTIFS('Weekly Log'!$H:$H,"Y",'Weekly Log'!$A:$A,"&gt;="&amp;$J1265,'Weekly Log'!$A:$A,"&lt;"&amp;$J1265+7)/COUNTIFS('Weekly Log'!$H:$H,"&lt;&gt;",'Weekly Log'!$A:$A,"&gt;="&amp;$J1265,'Weekly Log'!$A:$A,"&lt;"&amp;$J1265+7),0))</f>
        <v/>
      </c>
      <c r="E1265">
        <f>IF($J1265="","",IFERROR(AVERAGEIFS('Weekly Log'!$F:$F,'Weekly Log'!$A:$A,"&gt;="&amp;$J1265,'Weekly Log'!$A:$A,"&lt;"&amp;$J1265+7),0))</f>
        <v/>
      </c>
      <c r="F1265">
        <f>IF($J1265="","",IFERROR(SUMIFS('Weekly Log'!$F:$F,'Weekly Log'!$A:$A,"&gt;="&amp;$J1265,'Weekly Log'!$A:$A,"&lt;"&amp;$J1265+7)/SUMIFS('Weekly Log'!$E:$E,'Weekly Log'!$A:$A,"&gt;="&amp;$J1265,'Weekly Log'!$A:$A,"&lt;"&amp;$J1265+7),0))</f>
        <v/>
      </c>
      <c r="G1265">
        <f>IF($J1265="","",IFERROR(LOOKUP(2,1/(('Weekly Log'!$A$5:$A$5000&gt;=$J1265)*('Weekly Log'!$A$5:$A$5000&lt;$J1265+7)*('Weekly Log'!$M$5:$M$5000&lt;&gt;"")),'Weekly Log'!$M$5:$M$5000),0))</f>
        <v/>
      </c>
      <c r="J1265">
        <f>IF(COUNT('Weekly Log'!$A$5:$A$5000)=0,"",IF(MIN('Weekly Log'!$A$5:$A$5000)+7*(ROW()-10)&gt;MAX('Weekly Log'!$A$5:$A$5000),"",MIN('Weekly Log'!$A$5:$A$5000)+7*(ROW()-10)))</f>
        <v/>
      </c>
    </row>
    <row r="1266">
      <c r="A1266">
        <f>IF($J1266="","",YEAR($J1266-WEEKDAY($J1266,2)+4)&amp;"-W"&amp;TEXT(WEEKNUM($J1266,21),"00"))</f>
        <v/>
      </c>
      <c r="B1266">
        <f>IF($J1266="","",SUMIFS('Weekly Log'!$C:$C,'Weekly Log'!$A:$A,"&gt;="&amp;$J1266,'Weekly Log'!$A:$A,"&lt;"&amp;$J1266+7))</f>
        <v/>
      </c>
      <c r="C1266">
        <f>IF($J1266="","",IFERROR(COUNTIFS('Weekly Log'!$G:$G,"Y",'Weekly Log'!$A:$A,"&gt;="&amp;$J1266,'Weekly Log'!$A:$A,"&lt;"&amp;$J1266+7)/COUNTIFS('Weekly Log'!$G:$G,"&lt;&gt;",'Weekly Log'!$A:$A,"&gt;="&amp;$J1266,'Weekly Log'!$A:$A,"&lt;"&amp;$J1266+7),0))</f>
        <v/>
      </c>
      <c r="D1266">
        <f>IF($J1266="","",IFERROR(COUNTIFS('Weekly Log'!$H:$H,"Y",'Weekly Log'!$A:$A,"&gt;="&amp;$J1266,'Weekly Log'!$A:$A,"&lt;"&amp;$J1266+7)/COUNTIFS('Weekly Log'!$H:$H,"&lt;&gt;",'Weekly Log'!$A:$A,"&gt;="&amp;$J1266,'Weekly Log'!$A:$A,"&lt;"&amp;$J1266+7),0))</f>
        <v/>
      </c>
      <c r="E1266">
        <f>IF($J1266="","",IFERROR(AVERAGEIFS('Weekly Log'!$F:$F,'Weekly Log'!$A:$A,"&gt;="&amp;$J1266,'Weekly Log'!$A:$A,"&lt;"&amp;$J1266+7),0))</f>
        <v/>
      </c>
      <c r="F1266">
        <f>IF($J1266="","",IFERROR(SUMIFS('Weekly Log'!$F:$F,'Weekly Log'!$A:$A,"&gt;="&amp;$J1266,'Weekly Log'!$A:$A,"&lt;"&amp;$J1266+7)/SUMIFS('Weekly Log'!$E:$E,'Weekly Log'!$A:$A,"&gt;="&amp;$J1266,'Weekly Log'!$A:$A,"&lt;"&amp;$J1266+7),0))</f>
        <v/>
      </c>
      <c r="G1266">
        <f>IF($J1266="","",IFERROR(LOOKUP(2,1/(('Weekly Log'!$A$5:$A$5000&gt;=$J1266)*('Weekly Log'!$A$5:$A$5000&lt;$J1266+7)*('Weekly Log'!$M$5:$M$5000&lt;&gt;"")),'Weekly Log'!$M$5:$M$5000),0))</f>
        <v/>
      </c>
      <c r="J1266">
        <f>IF(COUNT('Weekly Log'!$A$5:$A$5000)=0,"",IF(MIN('Weekly Log'!$A$5:$A$5000)+7*(ROW()-10)&gt;MAX('Weekly Log'!$A$5:$A$5000),"",MIN('Weekly Log'!$A$5:$A$5000)+7*(ROW()-10)))</f>
        <v/>
      </c>
    </row>
    <row r="1267">
      <c r="A1267">
        <f>IF($J1267="","",YEAR($J1267-WEEKDAY($J1267,2)+4)&amp;"-W"&amp;TEXT(WEEKNUM($J1267,21),"00"))</f>
        <v/>
      </c>
      <c r="B1267">
        <f>IF($J1267="","",SUMIFS('Weekly Log'!$C:$C,'Weekly Log'!$A:$A,"&gt;="&amp;$J1267,'Weekly Log'!$A:$A,"&lt;"&amp;$J1267+7))</f>
        <v/>
      </c>
      <c r="C1267">
        <f>IF($J1267="","",IFERROR(COUNTIFS('Weekly Log'!$G:$G,"Y",'Weekly Log'!$A:$A,"&gt;="&amp;$J1267,'Weekly Log'!$A:$A,"&lt;"&amp;$J1267+7)/COUNTIFS('Weekly Log'!$G:$G,"&lt;&gt;",'Weekly Log'!$A:$A,"&gt;="&amp;$J1267,'Weekly Log'!$A:$A,"&lt;"&amp;$J1267+7),0))</f>
        <v/>
      </c>
      <c r="D1267">
        <f>IF($J1267="","",IFERROR(COUNTIFS('Weekly Log'!$H:$H,"Y",'Weekly Log'!$A:$A,"&gt;="&amp;$J1267,'Weekly Log'!$A:$A,"&lt;"&amp;$J1267+7)/COUNTIFS('Weekly Log'!$H:$H,"&lt;&gt;",'Weekly Log'!$A:$A,"&gt;="&amp;$J1267,'Weekly Log'!$A:$A,"&lt;"&amp;$J1267+7),0))</f>
        <v/>
      </c>
      <c r="E1267">
        <f>IF($J1267="","",IFERROR(AVERAGEIFS('Weekly Log'!$F:$F,'Weekly Log'!$A:$A,"&gt;="&amp;$J1267,'Weekly Log'!$A:$A,"&lt;"&amp;$J1267+7),0))</f>
        <v/>
      </c>
      <c r="F1267">
        <f>IF($J1267="","",IFERROR(SUMIFS('Weekly Log'!$F:$F,'Weekly Log'!$A:$A,"&gt;="&amp;$J1267,'Weekly Log'!$A:$A,"&lt;"&amp;$J1267+7)/SUMIFS('Weekly Log'!$E:$E,'Weekly Log'!$A:$A,"&gt;="&amp;$J1267,'Weekly Log'!$A:$A,"&lt;"&amp;$J1267+7),0))</f>
        <v/>
      </c>
      <c r="G1267">
        <f>IF($J1267="","",IFERROR(LOOKUP(2,1/(('Weekly Log'!$A$5:$A$5000&gt;=$J1267)*('Weekly Log'!$A$5:$A$5000&lt;$J1267+7)*('Weekly Log'!$M$5:$M$5000&lt;&gt;"")),'Weekly Log'!$M$5:$M$5000),0))</f>
        <v/>
      </c>
      <c r="J1267">
        <f>IF(COUNT('Weekly Log'!$A$5:$A$5000)=0,"",IF(MIN('Weekly Log'!$A$5:$A$5000)+7*(ROW()-10)&gt;MAX('Weekly Log'!$A$5:$A$5000),"",MIN('Weekly Log'!$A$5:$A$5000)+7*(ROW()-10)))</f>
        <v/>
      </c>
    </row>
    <row r="1268">
      <c r="A1268">
        <f>IF($J1268="","",YEAR($J1268-WEEKDAY($J1268,2)+4)&amp;"-W"&amp;TEXT(WEEKNUM($J1268,21),"00"))</f>
        <v/>
      </c>
      <c r="B1268">
        <f>IF($J1268="","",SUMIFS('Weekly Log'!$C:$C,'Weekly Log'!$A:$A,"&gt;="&amp;$J1268,'Weekly Log'!$A:$A,"&lt;"&amp;$J1268+7))</f>
        <v/>
      </c>
      <c r="C1268">
        <f>IF($J1268="","",IFERROR(COUNTIFS('Weekly Log'!$G:$G,"Y",'Weekly Log'!$A:$A,"&gt;="&amp;$J1268,'Weekly Log'!$A:$A,"&lt;"&amp;$J1268+7)/COUNTIFS('Weekly Log'!$G:$G,"&lt;&gt;",'Weekly Log'!$A:$A,"&gt;="&amp;$J1268,'Weekly Log'!$A:$A,"&lt;"&amp;$J1268+7),0))</f>
        <v/>
      </c>
      <c r="D1268">
        <f>IF($J1268="","",IFERROR(COUNTIFS('Weekly Log'!$H:$H,"Y",'Weekly Log'!$A:$A,"&gt;="&amp;$J1268,'Weekly Log'!$A:$A,"&lt;"&amp;$J1268+7)/COUNTIFS('Weekly Log'!$H:$H,"&lt;&gt;",'Weekly Log'!$A:$A,"&gt;="&amp;$J1268,'Weekly Log'!$A:$A,"&lt;"&amp;$J1268+7),0))</f>
        <v/>
      </c>
      <c r="E1268">
        <f>IF($J1268="","",IFERROR(AVERAGEIFS('Weekly Log'!$F:$F,'Weekly Log'!$A:$A,"&gt;="&amp;$J1268,'Weekly Log'!$A:$A,"&lt;"&amp;$J1268+7),0))</f>
        <v/>
      </c>
      <c r="F1268">
        <f>IF($J1268="","",IFERROR(SUMIFS('Weekly Log'!$F:$F,'Weekly Log'!$A:$A,"&gt;="&amp;$J1268,'Weekly Log'!$A:$A,"&lt;"&amp;$J1268+7)/SUMIFS('Weekly Log'!$E:$E,'Weekly Log'!$A:$A,"&gt;="&amp;$J1268,'Weekly Log'!$A:$A,"&lt;"&amp;$J1268+7),0))</f>
        <v/>
      </c>
      <c r="G1268">
        <f>IF($J1268="","",IFERROR(LOOKUP(2,1/(('Weekly Log'!$A$5:$A$5000&gt;=$J1268)*('Weekly Log'!$A$5:$A$5000&lt;$J1268+7)*('Weekly Log'!$M$5:$M$5000&lt;&gt;"")),'Weekly Log'!$M$5:$M$5000),0))</f>
        <v/>
      </c>
      <c r="J1268">
        <f>IF(COUNT('Weekly Log'!$A$5:$A$5000)=0,"",IF(MIN('Weekly Log'!$A$5:$A$5000)+7*(ROW()-10)&gt;MAX('Weekly Log'!$A$5:$A$5000),"",MIN('Weekly Log'!$A$5:$A$5000)+7*(ROW()-10)))</f>
        <v/>
      </c>
    </row>
    <row r="1269">
      <c r="A1269">
        <f>IF($J1269="","",YEAR($J1269-WEEKDAY($J1269,2)+4)&amp;"-W"&amp;TEXT(WEEKNUM($J1269,21),"00"))</f>
        <v/>
      </c>
      <c r="B1269">
        <f>IF($J1269="","",SUMIFS('Weekly Log'!$C:$C,'Weekly Log'!$A:$A,"&gt;="&amp;$J1269,'Weekly Log'!$A:$A,"&lt;"&amp;$J1269+7))</f>
        <v/>
      </c>
      <c r="C1269">
        <f>IF($J1269="","",IFERROR(COUNTIFS('Weekly Log'!$G:$G,"Y",'Weekly Log'!$A:$A,"&gt;="&amp;$J1269,'Weekly Log'!$A:$A,"&lt;"&amp;$J1269+7)/COUNTIFS('Weekly Log'!$G:$G,"&lt;&gt;",'Weekly Log'!$A:$A,"&gt;="&amp;$J1269,'Weekly Log'!$A:$A,"&lt;"&amp;$J1269+7),0))</f>
        <v/>
      </c>
      <c r="D1269">
        <f>IF($J1269="","",IFERROR(COUNTIFS('Weekly Log'!$H:$H,"Y",'Weekly Log'!$A:$A,"&gt;="&amp;$J1269,'Weekly Log'!$A:$A,"&lt;"&amp;$J1269+7)/COUNTIFS('Weekly Log'!$H:$H,"&lt;&gt;",'Weekly Log'!$A:$A,"&gt;="&amp;$J1269,'Weekly Log'!$A:$A,"&lt;"&amp;$J1269+7),0))</f>
        <v/>
      </c>
      <c r="E1269">
        <f>IF($J1269="","",IFERROR(AVERAGEIFS('Weekly Log'!$F:$F,'Weekly Log'!$A:$A,"&gt;="&amp;$J1269,'Weekly Log'!$A:$A,"&lt;"&amp;$J1269+7),0))</f>
        <v/>
      </c>
      <c r="F1269">
        <f>IF($J1269="","",IFERROR(SUMIFS('Weekly Log'!$F:$F,'Weekly Log'!$A:$A,"&gt;="&amp;$J1269,'Weekly Log'!$A:$A,"&lt;"&amp;$J1269+7)/SUMIFS('Weekly Log'!$E:$E,'Weekly Log'!$A:$A,"&gt;="&amp;$J1269,'Weekly Log'!$A:$A,"&lt;"&amp;$J1269+7),0))</f>
        <v/>
      </c>
      <c r="G1269">
        <f>IF($J1269="","",IFERROR(LOOKUP(2,1/(('Weekly Log'!$A$5:$A$5000&gt;=$J1269)*('Weekly Log'!$A$5:$A$5000&lt;$J1269+7)*('Weekly Log'!$M$5:$M$5000&lt;&gt;"")),'Weekly Log'!$M$5:$M$5000),0))</f>
        <v/>
      </c>
      <c r="J1269">
        <f>IF(COUNT('Weekly Log'!$A$5:$A$5000)=0,"",IF(MIN('Weekly Log'!$A$5:$A$5000)+7*(ROW()-10)&gt;MAX('Weekly Log'!$A$5:$A$5000),"",MIN('Weekly Log'!$A$5:$A$5000)+7*(ROW()-10)))</f>
        <v/>
      </c>
    </row>
    <row r="1270">
      <c r="A1270">
        <f>IF($J1270="","",YEAR($J1270-WEEKDAY($J1270,2)+4)&amp;"-W"&amp;TEXT(WEEKNUM($J1270,21),"00"))</f>
        <v/>
      </c>
      <c r="B1270">
        <f>IF($J1270="","",SUMIFS('Weekly Log'!$C:$C,'Weekly Log'!$A:$A,"&gt;="&amp;$J1270,'Weekly Log'!$A:$A,"&lt;"&amp;$J1270+7))</f>
        <v/>
      </c>
      <c r="C1270">
        <f>IF($J1270="","",IFERROR(COUNTIFS('Weekly Log'!$G:$G,"Y",'Weekly Log'!$A:$A,"&gt;="&amp;$J1270,'Weekly Log'!$A:$A,"&lt;"&amp;$J1270+7)/COUNTIFS('Weekly Log'!$G:$G,"&lt;&gt;",'Weekly Log'!$A:$A,"&gt;="&amp;$J1270,'Weekly Log'!$A:$A,"&lt;"&amp;$J1270+7),0))</f>
        <v/>
      </c>
      <c r="D1270">
        <f>IF($J1270="","",IFERROR(COUNTIFS('Weekly Log'!$H:$H,"Y",'Weekly Log'!$A:$A,"&gt;="&amp;$J1270,'Weekly Log'!$A:$A,"&lt;"&amp;$J1270+7)/COUNTIFS('Weekly Log'!$H:$H,"&lt;&gt;",'Weekly Log'!$A:$A,"&gt;="&amp;$J1270,'Weekly Log'!$A:$A,"&lt;"&amp;$J1270+7),0))</f>
        <v/>
      </c>
      <c r="E1270">
        <f>IF($J1270="","",IFERROR(AVERAGEIFS('Weekly Log'!$F:$F,'Weekly Log'!$A:$A,"&gt;="&amp;$J1270,'Weekly Log'!$A:$A,"&lt;"&amp;$J1270+7),0))</f>
        <v/>
      </c>
      <c r="F1270">
        <f>IF($J1270="","",IFERROR(SUMIFS('Weekly Log'!$F:$F,'Weekly Log'!$A:$A,"&gt;="&amp;$J1270,'Weekly Log'!$A:$A,"&lt;"&amp;$J1270+7)/SUMIFS('Weekly Log'!$E:$E,'Weekly Log'!$A:$A,"&gt;="&amp;$J1270,'Weekly Log'!$A:$A,"&lt;"&amp;$J1270+7),0))</f>
        <v/>
      </c>
      <c r="G1270">
        <f>IF($J1270="","",IFERROR(LOOKUP(2,1/(('Weekly Log'!$A$5:$A$5000&gt;=$J1270)*('Weekly Log'!$A$5:$A$5000&lt;$J1270+7)*('Weekly Log'!$M$5:$M$5000&lt;&gt;"")),'Weekly Log'!$M$5:$M$5000),0))</f>
        <v/>
      </c>
      <c r="J1270">
        <f>IF(COUNT('Weekly Log'!$A$5:$A$5000)=0,"",IF(MIN('Weekly Log'!$A$5:$A$5000)+7*(ROW()-10)&gt;MAX('Weekly Log'!$A$5:$A$5000),"",MIN('Weekly Log'!$A$5:$A$5000)+7*(ROW()-10)))</f>
        <v/>
      </c>
    </row>
    <row r="1271">
      <c r="A1271">
        <f>IF($J1271="","",YEAR($J1271-WEEKDAY($J1271,2)+4)&amp;"-W"&amp;TEXT(WEEKNUM($J1271,21),"00"))</f>
        <v/>
      </c>
      <c r="B1271">
        <f>IF($J1271="","",SUMIFS('Weekly Log'!$C:$C,'Weekly Log'!$A:$A,"&gt;="&amp;$J1271,'Weekly Log'!$A:$A,"&lt;"&amp;$J1271+7))</f>
        <v/>
      </c>
      <c r="C1271">
        <f>IF($J1271="","",IFERROR(COUNTIFS('Weekly Log'!$G:$G,"Y",'Weekly Log'!$A:$A,"&gt;="&amp;$J1271,'Weekly Log'!$A:$A,"&lt;"&amp;$J1271+7)/COUNTIFS('Weekly Log'!$G:$G,"&lt;&gt;",'Weekly Log'!$A:$A,"&gt;="&amp;$J1271,'Weekly Log'!$A:$A,"&lt;"&amp;$J1271+7),0))</f>
        <v/>
      </c>
      <c r="D1271">
        <f>IF($J1271="","",IFERROR(COUNTIFS('Weekly Log'!$H:$H,"Y",'Weekly Log'!$A:$A,"&gt;="&amp;$J1271,'Weekly Log'!$A:$A,"&lt;"&amp;$J1271+7)/COUNTIFS('Weekly Log'!$H:$H,"&lt;&gt;",'Weekly Log'!$A:$A,"&gt;="&amp;$J1271,'Weekly Log'!$A:$A,"&lt;"&amp;$J1271+7),0))</f>
        <v/>
      </c>
      <c r="E1271">
        <f>IF($J1271="","",IFERROR(AVERAGEIFS('Weekly Log'!$F:$F,'Weekly Log'!$A:$A,"&gt;="&amp;$J1271,'Weekly Log'!$A:$A,"&lt;"&amp;$J1271+7),0))</f>
        <v/>
      </c>
      <c r="F1271">
        <f>IF($J1271="","",IFERROR(SUMIFS('Weekly Log'!$F:$F,'Weekly Log'!$A:$A,"&gt;="&amp;$J1271,'Weekly Log'!$A:$A,"&lt;"&amp;$J1271+7)/SUMIFS('Weekly Log'!$E:$E,'Weekly Log'!$A:$A,"&gt;="&amp;$J1271,'Weekly Log'!$A:$A,"&lt;"&amp;$J1271+7),0))</f>
        <v/>
      </c>
      <c r="G1271">
        <f>IF($J1271="","",IFERROR(LOOKUP(2,1/(('Weekly Log'!$A$5:$A$5000&gt;=$J1271)*('Weekly Log'!$A$5:$A$5000&lt;$J1271+7)*('Weekly Log'!$M$5:$M$5000&lt;&gt;"")),'Weekly Log'!$M$5:$M$5000),0))</f>
        <v/>
      </c>
      <c r="J1271">
        <f>IF(COUNT('Weekly Log'!$A$5:$A$5000)=0,"",IF(MIN('Weekly Log'!$A$5:$A$5000)+7*(ROW()-10)&gt;MAX('Weekly Log'!$A$5:$A$5000),"",MIN('Weekly Log'!$A$5:$A$5000)+7*(ROW()-10)))</f>
        <v/>
      </c>
    </row>
    <row r="1272">
      <c r="A1272">
        <f>IF($J1272="","",YEAR($J1272-WEEKDAY($J1272,2)+4)&amp;"-W"&amp;TEXT(WEEKNUM($J1272,21),"00"))</f>
        <v/>
      </c>
      <c r="B1272">
        <f>IF($J1272="","",SUMIFS('Weekly Log'!$C:$C,'Weekly Log'!$A:$A,"&gt;="&amp;$J1272,'Weekly Log'!$A:$A,"&lt;"&amp;$J1272+7))</f>
        <v/>
      </c>
      <c r="C1272">
        <f>IF($J1272="","",IFERROR(COUNTIFS('Weekly Log'!$G:$G,"Y",'Weekly Log'!$A:$A,"&gt;="&amp;$J1272,'Weekly Log'!$A:$A,"&lt;"&amp;$J1272+7)/COUNTIFS('Weekly Log'!$G:$G,"&lt;&gt;",'Weekly Log'!$A:$A,"&gt;="&amp;$J1272,'Weekly Log'!$A:$A,"&lt;"&amp;$J1272+7),0))</f>
        <v/>
      </c>
      <c r="D1272">
        <f>IF($J1272="","",IFERROR(COUNTIFS('Weekly Log'!$H:$H,"Y",'Weekly Log'!$A:$A,"&gt;="&amp;$J1272,'Weekly Log'!$A:$A,"&lt;"&amp;$J1272+7)/COUNTIFS('Weekly Log'!$H:$H,"&lt;&gt;",'Weekly Log'!$A:$A,"&gt;="&amp;$J1272,'Weekly Log'!$A:$A,"&lt;"&amp;$J1272+7),0))</f>
        <v/>
      </c>
      <c r="E1272">
        <f>IF($J1272="","",IFERROR(AVERAGEIFS('Weekly Log'!$F:$F,'Weekly Log'!$A:$A,"&gt;="&amp;$J1272,'Weekly Log'!$A:$A,"&lt;"&amp;$J1272+7),0))</f>
        <v/>
      </c>
      <c r="F1272">
        <f>IF($J1272="","",IFERROR(SUMIFS('Weekly Log'!$F:$F,'Weekly Log'!$A:$A,"&gt;="&amp;$J1272,'Weekly Log'!$A:$A,"&lt;"&amp;$J1272+7)/SUMIFS('Weekly Log'!$E:$E,'Weekly Log'!$A:$A,"&gt;="&amp;$J1272,'Weekly Log'!$A:$A,"&lt;"&amp;$J1272+7),0))</f>
        <v/>
      </c>
      <c r="G1272">
        <f>IF($J1272="","",IFERROR(LOOKUP(2,1/(('Weekly Log'!$A$5:$A$5000&gt;=$J1272)*('Weekly Log'!$A$5:$A$5000&lt;$J1272+7)*('Weekly Log'!$M$5:$M$5000&lt;&gt;"")),'Weekly Log'!$M$5:$M$5000),0))</f>
        <v/>
      </c>
      <c r="J1272">
        <f>IF(COUNT('Weekly Log'!$A$5:$A$5000)=0,"",IF(MIN('Weekly Log'!$A$5:$A$5000)+7*(ROW()-10)&gt;MAX('Weekly Log'!$A$5:$A$5000),"",MIN('Weekly Log'!$A$5:$A$5000)+7*(ROW()-10)))</f>
        <v/>
      </c>
    </row>
    <row r="1273">
      <c r="A1273">
        <f>IF($J1273="","",YEAR($J1273-WEEKDAY($J1273,2)+4)&amp;"-W"&amp;TEXT(WEEKNUM($J1273,21),"00"))</f>
        <v/>
      </c>
      <c r="B1273">
        <f>IF($J1273="","",SUMIFS('Weekly Log'!$C:$C,'Weekly Log'!$A:$A,"&gt;="&amp;$J1273,'Weekly Log'!$A:$A,"&lt;"&amp;$J1273+7))</f>
        <v/>
      </c>
      <c r="C1273">
        <f>IF($J1273="","",IFERROR(COUNTIFS('Weekly Log'!$G:$G,"Y",'Weekly Log'!$A:$A,"&gt;="&amp;$J1273,'Weekly Log'!$A:$A,"&lt;"&amp;$J1273+7)/COUNTIFS('Weekly Log'!$G:$G,"&lt;&gt;",'Weekly Log'!$A:$A,"&gt;="&amp;$J1273,'Weekly Log'!$A:$A,"&lt;"&amp;$J1273+7),0))</f>
        <v/>
      </c>
      <c r="D1273">
        <f>IF($J1273="","",IFERROR(COUNTIFS('Weekly Log'!$H:$H,"Y",'Weekly Log'!$A:$A,"&gt;="&amp;$J1273,'Weekly Log'!$A:$A,"&lt;"&amp;$J1273+7)/COUNTIFS('Weekly Log'!$H:$H,"&lt;&gt;",'Weekly Log'!$A:$A,"&gt;="&amp;$J1273,'Weekly Log'!$A:$A,"&lt;"&amp;$J1273+7),0))</f>
        <v/>
      </c>
      <c r="E1273">
        <f>IF($J1273="","",IFERROR(AVERAGEIFS('Weekly Log'!$F:$F,'Weekly Log'!$A:$A,"&gt;="&amp;$J1273,'Weekly Log'!$A:$A,"&lt;"&amp;$J1273+7),0))</f>
        <v/>
      </c>
      <c r="F1273">
        <f>IF($J1273="","",IFERROR(SUMIFS('Weekly Log'!$F:$F,'Weekly Log'!$A:$A,"&gt;="&amp;$J1273,'Weekly Log'!$A:$A,"&lt;"&amp;$J1273+7)/SUMIFS('Weekly Log'!$E:$E,'Weekly Log'!$A:$A,"&gt;="&amp;$J1273,'Weekly Log'!$A:$A,"&lt;"&amp;$J1273+7),0))</f>
        <v/>
      </c>
      <c r="G1273">
        <f>IF($J1273="","",IFERROR(LOOKUP(2,1/(('Weekly Log'!$A$5:$A$5000&gt;=$J1273)*('Weekly Log'!$A$5:$A$5000&lt;$J1273+7)*('Weekly Log'!$M$5:$M$5000&lt;&gt;"")),'Weekly Log'!$M$5:$M$5000),0))</f>
        <v/>
      </c>
      <c r="J1273">
        <f>IF(COUNT('Weekly Log'!$A$5:$A$5000)=0,"",IF(MIN('Weekly Log'!$A$5:$A$5000)+7*(ROW()-10)&gt;MAX('Weekly Log'!$A$5:$A$5000),"",MIN('Weekly Log'!$A$5:$A$5000)+7*(ROW()-10)))</f>
        <v/>
      </c>
    </row>
    <row r="1274">
      <c r="A1274">
        <f>IF($J1274="","",YEAR($J1274-WEEKDAY($J1274,2)+4)&amp;"-W"&amp;TEXT(WEEKNUM($J1274,21),"00"))</f>
        <v/>
      </c>
      <c r="B1274">
        <f>IF($J1274="","",SUMIFS('Weekly Log'!$C:$C,'Weekly Log'!$A:$A,"&gt;="&amp;$J1274,'Weekly Log'!$A:$A,"&lt;"&amp;$J1274+7))</f>
        <v/>
      </c>
      <c r="C1274">
        <f>IF($J1274="","",IFERROR(COUNTIFS('Weekly Log'!$G:$G,"Y",'Weekly Log'!$A:$A,"&gt;="&amp;$J1274,'Weekly Log'!$A:$A,"&lt;"&amp;$J1274+7)/COUNTIFS('Weekly Log'!$G:$G,"&lt;&gt;",'Weekly Log'!$A:$A,"&gt;="&amp;$J1274,'Weekly Log'!$A:$A,"&lt;"&amp;$J1274+7),0))</f>
        <v/>
      </c>
      <c r="D1274">
        <f>IF($J1274="","",IFERROR(COUNTIFS('Weekly Log'!$H:$H,"Y",'Weekly Log'!$A:$A,"&gt;="&amp;$J1274,'Weekly Log'!$A:$A,"&lt;"&amp;$J1274+7)/COUNTIFS('Weekly Log'!$H:$H,"&lt;&gt;",'Weekly Log'!$A:$A,"&gt;="&amp;$J1274,'Weekly Log'!$A:$A,"&lt;"&amp;$J1274+7),0))</f>
        <v/>
      </c>
      <c r="E1274">
        <f>IF($J1274="","",IFERROR(AVERAGEIFS('Weekly Log'!$F:$F,'Weekly Log'!$A:$A,"&gt;="&amp;$J1274,'Weekly Log'!$A:$A,"&lt;"&amp;$J1274+7),0))</f>
        <v/>
      </c>
      <c r="F1274">
        <f>IF($J1274="","",IFERROR(SUMIFS('Weekly Log'!$F:$F,'Weekly Log'!$A:$A,"&gt;="&amp;$J1274,'Weekly Log'!$A:$A,"&lt;"&amp;$J1274+7)/SUMIFS('Weekly Log'!$E:$E,'Weekly Log'!$A:$A,"&gt;="&amp;$J1274,'Weekly Log'!$A:$A,"&lt;"&amp;$J1274+7),0))</f>
        <v/>
      </c>
      <c r="G1274">
        <f>IF($J1274="","",IFERROR(LOOKUP(2,1/(('Weekly Log'!$A$5:$A$5000&gt;=$J1274)*('Weekly Log'!$A$5:$A$5000&lt;$J1274+7)*('Weekly Log'!$M$5:$M$5000&lt;&gt;"")),'Weekly Log'!$M$5:$M$5000),0))</f>
        <v/>
      </c>
      <c r="J1274">
        <f>IF(COUNT('Weekly Log'!$A$5:$A$5000)=0,"",IF(MIN('Weekly Log'!$A$5:$A$5000)+7*(ROW()-10)&gt;MAX('Weekly Log'!$A$5:$A$5000),"",MIN('Weekly Log'!$A$5:$A$5000)+7*(ROW()-10)))</f>
        <v/>
      </c>
    </row>
    <row r="1275">
      <c r="A1275">
        <f>IF($J1275="","",YEAR($J1275-WEEKDAY($J1275,2)+4)&amp;"-W"&amp;TEXT(WEEKNUM($J1275,21),"00"))</f>
        <v/>
      </c>
      <c r="B1275">
        <f>IF($J1275="","",SUMIFS('Weekly Log'!$C:$C,'Weekly Log'!$A:$A,"&gt;="&amp;$J1275,'Weekly Log'!$A:$A,"&lt;"&amp;$J1275+7))</f>
        <v/>
      </c>
      <c r="C1275">
        <f>IF($J1275="","",IFERROR(COUNTIFS('Weekly Log'!$G:$G,"Y",'Weekly Log'!$A:$A,"&gt;="&amp;$J1275,'Weekly Log'!$A:$A,"&lt;"&amp;$J1275+7)/COUNTIFS('Weekly Log'!$G:$G,"&lt;&gt;",'Weekly Log'!$A:$A,"&gt;="&amp;$J1275,'Weekly Log'!$A:$A,"&lt;"&amp;$J1275+7),0))</f>
        <v/>
      </c>
      <c r="D1275">
        <f>IF($J1275="","",IFERROR(COUNTIFS('Weekly Log'!$H:$H,"Y",'Weekly Log'!$A:$A,"&gt;="&amp;$J1275,'Weekly Log'!$A:$A,"&lt;"&amp;$J1275+7)/COUNTIFS('Weekly Log'!$H:$H,"&lt;&gt;",'Weekly Log'!$A:$A,"&gt;="&amp;$J1275,'Weekly Log'!$A:$A,"&lt;"&amp;$J1275+7),0))</f>
        <v/>
      </c>
      <c r="E1275">
        <f>IF($J1275="","",IFERROR(AVERAGEIFS('Weekly Log'!$F:$F,'Weekly Log'!$A:$A,"&gt;="&amp;$J1275,'Weekly Log'!$A:$A,"&lt;"&amp;$J1275+7),0))</f>
        <v/>
      </c>
      <c r="F1275">
        <f>IF($J1275="","",IFERROR(SUMIFS('Weekly Log'!$F:$F,'Weekly Log'!$A:$A,"&gt;="&amp;$J1275,'Weekly Log'!$A:$A,"&lt;"&amp;$J1275+7)/SUMIFS('Weekly Log'!$E:$E,'Weekly Log'!$A:$A,"&gt;="&amp;$J1275,'Weekly Log'!$A:$A,"&lt;"&amp;$J1275+7),0))</f>
        <v/>
      </c>
      <c r="G1275">
        <f>IF($J1275="","",IFERROR(LOOKUP(2,1/(('Weekly Log'!$A$5:$A$5000&gt;=$J1275)*('Weekly Log'!$A$5:$A$5000&lt;$J1275+7)*('Weekly Log'!$M$5:$M$5000&lt;&gt;"")),'Weekly Log'!$M$5:$M$5000),0))</f>
        <v/>
      </c>
      <c r="J1275">
        <f>IF(COUNT('Weekly Log'!$A$5:$A$5000)=0,"",IF(MIN('Weekly Log'!$A$5:$A$5000)+7*(ROW()-10)&gt;MAX('Weekly Log'!$A$5:$A$5000),"",MIN('Weekly Log'!$A$5:$A$5000)+7*(ROW()-10)))</f>
        <v/>
      </c>
    </row>
    <row r="1276">
      <c r="A1276">
        <f>IF($J1276="","",YEAR($J1276-WEEKDAY($J1276,2)+4)&amp;"-W"&amp;TEXT(WEEKNUM($J1276,21),"00"))</f>
        <v/>
      </c>
      <c r="B1276">
        <f>IF($J1276="","",SUMIFS('Weekly Log'!$C:$C,'Weekly Log'!$A:$A,"&gt;="&amp;$J1276,'Weekly Log'!$A:$A,"&lt;"&amp;$J1276+7))</f>
        <v/>
      </c>
      <c r="C1276">
        <f>IF($J1276="","",IFERROR(COUNTIFS('Weekly Log'!$G:$G,"Y",'Weekly Log'!$A:$A,"&gt;="&amp;$J1276,'Weekly Log'!$A:$A,"&lt;"&amp;$J1276+7)/COUNTIFS('Weekly Log'!$G:$G,"&lt;&gt;",'Weekly Log'!$A:$A,"&gt;="&amp;$J1276,'Weekly Log'!$A:$A,"&lt;"&amp;$J1276+7),0))</f>
        <v/>
      </c>
      <c r="D1276">
        <f>IF($J1276="","",IFERROR(COUNTIFS('Weekly Log'!$H:$H,"Y",'Weekly Log'!$A:$A,"&gt;="&amp;$J1276,'Weekly Log'!$A:$A,"&lt;"&amp;$J1276+7)/COUNTIFS('Weekly Log'!$H:$H,"&lt;&gt;",'Weekly Log'!$A:$A,"&gt;="&amp;$J1276,'Weekly Log'!$A:$A,"&lt;"&amp;$J1276+7),0))</f>
        <v/>
      </c>
      <c r="E1276">
        <f>IF($J1276="","",IFERROR(AVERAGEIFS('Weekly Log'!$F:$F,'Weekly Log'!$A:$A,"&gt;="&amp;$J1276,'Weekly Log'!$A:$A,"&lt;"&amp;$J1276+7),0))</f>
        <v/>
      </c>
      <c r="F1276">
        <f>IF($J1276="","",IFERROR(SUMIFS('Weekly Log'!$F:$F,'Weekly Log'!$A:$A,"&gt;="&amp;$J1276,'Weekly Log'!$A:$A,"&lt;"&amp;$J1276+7)/SUMIFS('Weekly Log'!$E:$E,'Weekly Log'!$A:$A,"&gt;="&amp;$J1276,'Weekly Log'!$A:$A,"&lt;"&amp;$J1276+7),0))</f>
        <v/>
      </c>
      <c r="G1276">
        <f>IF($J1276="","",IFERROR(LOOKUP(2,1/(('Weekly Log'!$A$5:$A$5000&gt;=$J1276)*('Weekly Log'!$A$5:$A$5000&lt;$J1276+7)*('Weekly Log'!$M$5:$M$5000&lt;&gt;"")),'Weekly Log'!$M$5:$M$5000),0))</f>
        <v/>
      </c>
      <c r="J1276">
        <f>IF(COUNT('Weekly Log'!$A$5:$A$5000)=0,"",IF(MIN('Weekly Log'!$A$5:$A$5000)+7*(ROW()-10)&gt;MAX('Weekly Log'!$A$5:$A$5000),"",MIN('Weekly Log'!$A$5:$A$5000)+7*(ROW()-10)))</f>
        <v/>
      </c>
    </row>
    <row r="1277">
      <c r="A1277">
        <f>IF($J1277="","",YEAR($J1277-WEEKDAY($J1277,2)+4)&amp;"-W"&amp;TEXT(WEEKNUM($J1277,21),"00"))</f>
        <v/>
      </c>
      <c r="B1277">
        <f>IF($J1277="","",SUMIFS('Weekly Log'!$C:$C,'Weekly Log'!$A:$A,"&gt;="&amp;$J1277,'Weekly Log'!$A:$A,"&lt;"&amp;$J1277+7))</f>
        <v/>
      </c>
      <c r="C1277">
        <f>IF($J1277="","",IFERROR(COUNTIFS('Weekly Log'!$G:$G,"Y",'Weekly Log'!$A:$A,"&gt;="&amp;$J1277,'Weekly Log'!$A:$A,"&lt;"&amp;$J1277+7)/COUNTIFS('Weekly Log'!$G:$G,"&lt;&gt;",'Weekly Log'!$A:$A,"&gt;="&amp;$J1277,'Weekly Log'!$A:$A,"&lt;"&amp;$J1277+7),0))</f>
        <v/>
      </c>
      <c r="D1277">
        <f>IF($J1277="","",IFERROR(COUNTIFS('Weekly Log'!$H:$H,"Y",'Weekly Log'!$A:$A,"&gt;="&amp;$J1277,'Weekly Log'!$A:$A,"&lt;"&amp;$J1277+7)/COUNTIFS('Weekly Log'!$H:$H,"&lt;&gt;",'Weekly Log'!$A:$A,"&gt;="&amp;$J1277,'Weekly Log'!$A:$A,"&lt;"&amp;$J1277+7),0))</f>
        <v/>
      </c>
      <c r="E1277">
        <f>IF($J1277="","",IFERROR(AVERAGEIFS('Weekly Log'!$F:$F,'Weekly Log'!$A:$A,"&gt;="&amp;$J1277,'Weekly Log'!$A:$A,"&lt;"&amp;$J1277+7),0))</f>
        <v/>
      </c>
      <c r="F1277">
        <f>IF($J1277="","",IFERROR(SUMIFS('Weekly Log'!$F:$F,'Weekly Log'!$A:$A,"&gt;="&amp;$J1277,'Weekly Log'!$A:$A,"&lt;"&amp;$J1277+7)/SUMIFS('Weekly Log'!$E:$E,'Weekly Log'!$A:$A,"&gt;="&amp;$J1277,'Weekly Log'!$A:$A,"&lt;"&amp;$J1277+7),0))</f>
        <v/>
      </c>
      <c r="G1277">
        <f>IF($J1277="","",IFERROR(LOOKUP(2,1/(('Weekly Log'!$A$5:$A$5000&gt;=$J1277)*('Weekly Log'!$A$5:$A$5000&lt;$J1277+7)*('Weekly Log'!$M$5:$M$5000&lt;&gt;"")),'Weekly Log'!$M$5:$M$5000),0))</f>
        <v/>
      </c>
      <c r="J1277">
        <f>IF(COUNT('Weekly Log'!$A$5:$A$5000)=0,"",IF(MIN('Weekly Log'!$A$5:$A$5000)+7*(ROW()-10)&gt;MAX('Weekly Log'!$A$5:$A$5000),"",MIN('Weekly Log'!$A$5:$A$5000)+7*(ROW()-10)))</f>
        <v/>
      </c>
    </row>
    <row r="1278">
      <c r="A1278">
        <f>IF($J1278="","",YEAR($J1278-WEEKDAY($J1278,2)+4)&amp;"-W"&amp;TEXT(WEEKNUM($J1278,21),"00"))</f>
        <v/>
      </c>
      <c r="B1278">
        <f>IF($J1278="","",SUMIFS('Weekly Log'!$C:$C,'Weekly Log'!$A:$A,"&gt;="&amp;$J1278,'Weekly Log'!$A:$A,"&lt;"&amp;$J1278+7))</f>
        <v/>
      </c>
      <c r="C1278">
        <f>IF($J1278="","",IFERROR(COUNTIFS('Weekly Log'!$G:$G,"Y",'Weekly Log'!$A:$A,"&gt;="&amp;$J1278,'Weekly Log'!$A:$A,"&lt;"&amp;$J1278+7)/COUNTIFS('Weekly Log'!$G:$G,"&lt;&gt;",'Weekly Log'!$A:$A,"&gt;="&amp;$J1278,'Weekly Log'!$A:$A,"&lt;"&amp;$J1278+7),0))</f>
        <v/>
      </c>
      <c r="D1278">
        <f>IF($J1278="","",IFERROR(COUNTIFS('Weekly Log'!$H:$H,"Y",'Weekly Log'!$A:$A,"&gt;="&amp;$J1278,'Weekly Log'!$A:$A,"&lt;"&amp;$J1278+7)/COUNTIFS('Weekly Log'!$H:$H,"&lt;&gt;",'Weekly Log'!$A:$A,"&gt;="&amp;$J1278,'Weekly Log'!$A:$A,"&lt;"&amp;$J1278+7),0))</f>
        <v/>
      </c>
      <c r="E1278">
        <f>IF($J1278="","",IFERROR(AVERAGEIFS('Weekly Log'!$F:$F,'Weekly Log'!$A:$A,"&gt;="&amp;$J1278,'Weekly Log'!$A:$A,"&lt;"&amp;$J1278+7),0))</f>
        <v/>
      </c>
      <c r="F1278">
        <f>IF($J1278="","",IFERROR(SUMIFS('Weekly Log'!$F:$F,'Weekly Log'!$A:$A,"&gt;="&amp;$J1278,'Weekly Log'!$A:$A,"&lt;"&amp;$J1278+7)/SUMIFS('Weekly Log'!$E:$E,'Weekly Log'!$A:$A,"&gt;="&amp;$J1278,'Weekly Log'!$A:$A,"&lt;"&amp;$J1278+7),0))</f>
        <v/>
      </c>
      <c r="G1278">
        <f>IF($J1278="","",IFERROR(LOOKUP(2,1/(('Weekly Log'!$A$5:$A$5000&gt;=$J1278)*('Weekly Log'!$A$5:$A$5000&lt;$J1278+7)*('Weekly Log'!$M$5:$M$5000&lt;&gt;"")),'Weekly Log'!$M$5:$M$5000),0))</f>
        <v/>
      </c>
      <c r="J1278">
        <f>IF(COUNT('Weekly Log'!$A$5:$A$5000)=0,"",IF(MIN('Weekly Log'!$A$5:$A$5000)+7*(ROW()-10)&gt;MAX('Weekly Log'!$A$5:$A$5000),"",MIN('Weekly Log'!$A$5:$A$5000)+7*(ROW()-10)))</f>
        <v/>
      </c>
    </row>
    <row r="1279">
      <c r="A1279">
        <f>IF($J1279="","",YEAR($J1279-WEEKDAY($J1279,2)+4)&amp;"-W"&amp;TEXT(WEEKNUM($J1279,21),"00"))</f>
        <v/>
      </c>
      <c r="B1279">
        <f>IF($J1279="","",SUMIFS('Weekly Log'!$C:$C,'Weekly Log'!$A:$A,"&gt;="&amp;$J1279,'Weekly Log'!$A:$A,"&lt;"&amp;$J1279+7))</f>
        <v/>
      </c>
      <c r="C1279">
        <f>IF($J1279="","",IFERROR(COUNTIFS('Weekly Log'!$G:$G,"Y",'Weekly Log'!$A:$A,"&gt;="&amp;$J1279,'Weekly Log'!$A:$A,"&lt;"&amp;$J1279+7)/COUNTIFS('Weekly Log'!$G:$G,"&lt;&gt;",'Weekly Log'!$A:$A,"&gt;="&amp;$J1279,'Weekly Log'!$A:$A,"&lt;"&amp;$J1279+7),0))</f>
        <v/>
      </c>
      <c r="D1279">
        <f>IF($J1279="","",IFERROR(COUNTIFS('Weekly Log'!$H:$H,"Y",'Weekly Log'!$A:$A,"&gt;="&amp;$J1279,'Weekly Log'!$A:$A,"&lt;"&amp;$J1279+7)/COUNTIFS('Weekly Log'!$H:$H,"&lt;&gt;",'Weekly Log'!$A:$A,"&gt;="&amp;$J1279,'Weekly Log'!$A:$A,"&lt;"&amp;$J1279+7),0))</f>
        <v/>
      </c>
      <c r="E1279">
        <f>IF($J1279="","",IFERROR(AVERAGEIFS('Weekly Log'!$F:$F,'Weekly Log'!$A:$A,"&gt;="&amp;$J1279,'Weekly Log'!$A:$A,"&lt;"&amp;$J1279+7),0))</f>
        <v/>
      </c>
      <c r="F1279">
        <f>IF($J1279="","",IFERROR(SUMIFS('Weekly Log'!$F:$F,'Weekly Log'!$A:$A,"&gt;="&amp;$J1279,'Weekly Log'!$A:$A,"&lt;"&amp;$J1279+7)/SUMIFS('Weekly Log'!$E:$E,'Weekly Log'!$A:$A,"&gt;="&amp;$J1279,'Weekly Log'!$A:$A,"&lt;"&amp;$J1279+7),0))</f>
        <v/>
      </c>
      <c r="G1279">
        <f>IF($J1279="","",IFERROR(LOOKUP(2,1/(('Weekly Log'!$A$5:$A$5000&gt;=$J1279)*('Weekly Log'!$A$5:$A$5000&lt;$J1279+7)*('Weekly Log'!$M$5:$M$5000&lt;&gt;"")),'Weekly Log'!$M$5:$M$5000),0))</f>
        <v/>
      </c>
      <c r="J1279">
        <f>IF(COUNT('Weekly Log'!$A$5:$A$5000)=0,"",IF(MIN('Weekly Log'!$A$5:$A$5000)+7*(ROW()-10)&gt;MAX('Weekly Log'!$A$5:$A$5000),"",MIN('Weekly Log'!$A$5:$A$5000)+7*(ROW()-10)))</f>
        <v/>
      </c>
    </row>
    <row r="1280">
      <c r="A1280">
        <f>IF($J1280="","",YEAR($J1280-WEEKDAY($J1280,2)+4)&amp;"-W"&amp;TEXT(WEEKNUM($J1280,21),"00"))</f>
        <v/>
      </c>
      <c r="B1280">
        <f>IF($J1280="","",SUMIFS('Weekly Log'!$C:$C,'Weekly Log'!$A:$A,"&gt;="&amp;$J1280,'Weekly Log'!$A:$A,"&lt;"&amp;$J1280+7))</f>
        <v/>
      </c>
      <c r="C1280">
        <f>IF($J1280="","",IFERROR(COUNTIFS('Weekly Log'!$G:$G,"Y",'Weekly Log'!$A:$A,"&gt;="&amp;$J1280,'Weekly Log'!$A:$A,"&lt;"&amp;$J1280+7)/COUNTIFS('Weekly Log'!$G:$G,"&lt;&gt;",'Weekly Log'!$A:$A,"&gt;="&amp;$J1280,'Weekly Log'!$A:$A,"&lt;"&amp;$J1280+7),0))</f>
        <v/>
      </c>
      <c r="D1280">
        <f>IF($J1280="","",IFERROR(COUNTIFS('Weekly Log'!$H:$H,"Y",'Weekly Log'!$A:$A,"&gt;="&amp;$J1280,'Weekly Log'!$A:$A,"&lt;"&amp;$J1280+7)/COUNTIFS('Weekly Log'!$H:$H,"&lt;&gt;",'Weekly Log'!$A:$A,"&gt;="&amp;$J1280,'Weekly Log'!$A:$A,"&lt;"&amp;$J1280+7),0))</f>
        <v/>
      </c>
      <c r="E1280">
        <f>IF($J1280="","",IFERROR(AVERAGEIFS('Weekly Log'!$F:$F,'Weekly Log'!$A:$A,"&gt;="&amp;$J1280,'Weekly Log'!$A:$A,"&lt;"&amp;$J1280+7),0))</f>
        <v/>
      </c>
      <c r="F1280">
        <f>IF($J1280="","",IFERROR(SUMIFS('Weekly Log'!$F:$F,'Weekly Log'!$A:$A,"&gt;="&amp;$J1280,'Weekly Log'!$A:$A,"&lt;"&amp;$J1280+7)/SUMIFS('Weekly Log'!$E:$E,'Weekly Log'!$A:$A,"&gt;="&amp;$J1280,'Weekly Log'!$A:$A,"&lt;"&amp;$J1280+7),0))</f>
        <v/>
      </c>
      <c r="G1280">
        <f>IF($J1280="","",IFERROR(LOOKUP(2,1/(('Weekly Log'!$A$5:$A$5000&gt;=$J1280)*('Weekly Log'!$A$5:$A$5000&lt;$J1280+7)*('Weekly Log'!$M$5:$M$5000&lt;&gt;"")),'Weekly Log'!$M$5:$M$5000),0))</f>
        <v/>
      </c>
      <c r="J1280">
        <f>IF(COUNT('Weekly Log'!$A$5:$A$5000)=0,"",IF(MIN('Weekly Log'!$A$5:$A$5000)+7*(ROW()-10)&gt;MAX('Weekly Log'!$A$5:$A$5000),"",MIN('Weekly Log'!$A$5:$A$5000)+7*(ROW()-10)))</f>
        <v/>
      </c>
    </row>
    <row r="1281">
      <c r="A1281">
        <f>IF($J1281="","",YEAR($J1281-WEEKDAY($J1281,2)+4)&amp;"-W"&amp;TEXT(WEEKNUM($J1281,21),"00"))</f>
        <v/>
      </c>
      <c r="B1281">
        <f>IF($J1281="","",SUMIFS('Weekly Log'!$C:$C,'Weekly Log'!$A:$A,"&gt;="&amp;$J1281,'Weekly Log'!$A:$A,"&lt;"&amp;$J1281+7))</f>
        <v/>
      </c>
      <c r="C1281">
        <f>IF($J1281="","",IFERROR(COUNTIFS('Weekly Log'!$G:$G,"Y",'Weekly Log'!$A:$A,"&gt;="&amp;$J1281,'Weekly Log'!$A:$A,"&lt;"&amp;$J1281+7)/COUNTIFS('Weekly Log'!$G:$G,"&lt;&gt;",'Weekly Log'!$A:$A,"&gt;="&amp;$J1281,'Weekly Log'!$A:$A,"&lt;"&amp;$J1281+7),0))</f>
        <v/>
      </c>
      <c r="D1281">
        <f>IF($J1281="","",IFERROR(COUNTIFS('Weekly Log'!$H:$H,"Y",'Weekly Log'!$A:$A,"&gt;="&amp;$J1281,'Weekly Log'!$A:$A,"&lt;"&amp;$J1281+7)/COUNTIFS('Weekly Log'!$H:$H,"&lt;&gt;",'Weekly Log'!$A:$A,"&gt;="&amp;$J1281,'Weekly Log'!$A:$A,"&lt;"&amp;$J1281+7),0))</f>
        <v/>
      </c>
      <c r="E1281">
        <f>IF($J1281="","",IFERROR(AVERAGEIFS('Weekly Log'!$F:$F,'Weekly Log'!$A:$A,"&gt;="&amp;$J1281,'Weekly Log'!$A:$A,"&lt;"&amp;$J1281+7),0))</f>
        <v/>
      </c>
      <c r="F1281">
        <f>IF($J1281="","",IFERROR(SUMIFS('Weekly Log'!$F:$F,'Weekly Log'!$A:$A,"&gt;="&amp;$J1281,'Weekly Log'!$A:$A,"&lt;"&amp;$J1281+7)/SUMIFS('Weekly Log'!$E:$E,'Weekly Log'!$A:$A,"&gt;="&amp;$J1281,'Weekly Log'!$A:$A,"&lt;"&amp;$J1281+7),0))</f>
        <v/>
      </c>
      <c r="G1281">
        <f>IF($J1281="","",IFERROR(LOOKUP(2,1/(('Weekly Log'!$A$5:$A$5000&gt;=$J1281)*('Weekly Log'!$A$5:$A$5000&lt;$J1281+7)*('Weekly Log'!$M$5:$M$5000&lt;&gt;"")),'Weekly Log'!$M$5:$M$5000),0))</f>
        <v/>
      </c>
      <c r="J1281">
        <f>IF(COUNT('Weekly Log'!$A$5:$A$5000)=0,"",IF(MIN('Weekly Log'!$A$5:$A$5000)+7*(ROW()-10)&gt;MAX('Weekly Log'!$A$5:$A$5000),"",MIN('Weekly Log'!$A$5:$A$5000)+7*(ROW()-10)))</f>
        <v/>
      </c>
    </row>
    <row r="1282">
      <c r="A1282">
        <f>IF($J1282="","",YEAR($J1282-WEEKDAY($J1282,2)+4)&amp;"-W"&amp;TEXT(WEEKNUM($J1282,21),"00"))</f>
        <v/>
      </c>
      <c r="B1282">
        <f>IF($J1282="","",SUMIFS('Weekly Log'!$C:$C,'Weekly Log'!$A:$A,"&gt;="&amp;$J1282,'Weekly Log'!$A:$A,"&lt;"&amp;$J1282+7))</f>
        <v/>
      </c>
      <c r="C1282">
        <f>IF($J1282="","",IFERROR(COUNTIFS('Weekly Log'!$G:$G,"Y",'Weekly Log'!$A:$A,"&gt;="&amp;$J1282,'Weekly Log'!$A:$A,"&lt;"&amp;$J1282+7)/COUNTIFS('Weekly Log'!$G:$G,"&lt;&gt;",'Weekly Log'!$A:$A,"&gt;="&amp;$J1282,'Weekly Log'!$A:$A,"&lt;"&amp;$J1282+7),0))</f>
        <v/>
      </c>
      <c r="D1282">
        <f>IF($J1282="","",IFERROR(COUNTIFS('Weekly Log'!$H:$H,"Y",'Weekly Log'!$A:$A,"&gt;="&amp;$J1282,'Weekly Log'!$A:$A,"&lt;"&amp;$J1282+7)/COUNTIFS('Weekly Log'!$H:$H,"&lt;&gt;",'Weekly Log'!$A:$A,"&gt;="&amp;$J1282,'Weekly Log'!$A:$A,"&lt;"&amp;$J1282+7),0))</f>
        <v/>
      </c>
      <c r="E1282">
        <f>IF($J1282="","",IFERROR(AVERAGEIFS('Weekly Log'!$F:$F,'Weekly Log'!$A:$A,"&gt;="&amp;$J1282,'Weekly Log'!$A:$A,"&lt;"&amp;$J1282+7),0))</f>
        <v/>
      </c>
      <c r="F1282">
        <f>IF($J1282="","",IFERROR(SUMIFS('Weekly Log'!$F:$F,'Weekly Log'!$A:$A,"&gt;="&amp;$J1282,'Weekly Log'!$A:$A,"&lt;"&amp;$J1282+7)/SUMIFS('Weekly Log'!$E:$E,'Weekly Log'!$A:$A,"&gt;="&amp;$J1282,'Weekly Log'!$A:$A,"&lt;"&amp;$J1282+7),0))</f>
        <v/>
      </c>
      <c r="G1282">
        <f>IF($J1282="","",IFERROR(LOOKUP(2,1/(('Weekly Log'!$A$5:$A$5000&gt;=$J1282)*('Weekly Log'!$A$5:$A$5000&lt;$J1282+7)*('Weekly Log'!$M$5:$M$5000&lt;&gt;"")),'Weekly Log'!$M$5:$M$5000),0))</f>
        <v/>
      </c>
      <c r="J1282">
        <f>IF(COUNT('Weekly Log'!$A$5:$A$5000)=0,"",IF(MIN('Weekly Log'!$A$5:$A$5000)+7*(ROW()-10)&gt;MAX('Weekly Log'!$A$5:$A$5000),"",MIN('Weekly Log'!$A$5:$A$5000)+7*(ROW()-10)))</f>
        <v/>
      </c>
    </row>
    <row r="1283">
      <c r="A1283">
        <f>IF($J1283="","",YEAR($J1283-WEEKDAY($J1283,2)+4)&amp;"-W"&amp;TEXT(WEEKNUM($J1283,21),"00"))</f>
        <v/>
      </c>
      <c r="B1283">
        <f>IF($J1283="","",SUMIFS('Weekly Log'!$C:$C,'Weekly Log'!$A:$A,"&gt;="&amp;$J1283,'Weekly Log'!$A:$A,"&lt;"&amp;$J1283+7))</f>
        <v/>
      </c>
      <c r="C1283">
        <f>IF($J1283="","",IFERROR(COUNTIFS('Weekly Log'!$G:$G,"Y",'Weekly Log'!$A:$A,"&gt;="&amp;$J1283,'Weekly Log'!$A:$A,"&lt;"&amp;$J1283+7)/COUNTIFS('Weekly Log'!$G:$G,"&lt;&gt;",'Weekly Log'!$A:$A,"&gt;="&amp;$J1283,'Weekly Log'!$A:$A,"&lt;"&amp;$J1283+7),0))</f>
        <v/>
      </c>
      <c r="D1283">
        <f>IF($J1283="","",IFERROR(COUNTIFS('Weekly Log'!$H:$H,"Y",'Weekly Log'!$A:$A,"&gt;="&amp;$J1283,'Weekly Log'!$A:$A,"&lt;"&amp;$J1283+7)/COUNTIFS('Weekly Log'!$H:$H,"&lt;&gt;",'Weekly Log'!$A:$A,"&gt;="&amp;$J1283,'Weekly Log'!$A:$A,"&lt;"&amp;$J1283+7),0))</f>
        <v/>
      </c>
      <c r="E1283">
        <f>IF($J1283="","",IFERROR(AVERAGEIFS('Weekly Log'!$F:$F,'Weekly Log'!$A:$A,"&gt;="&amp;$J1283,'Weekly Log'!$A:$A,"&lt;"&amp;$J1283+7),0))</f>
        <v/>
      </c>
      <c r="F1283">
        <f>IF($J1283="","",IFERROR(SUMIFS('Weekly Log'!$F:$F,'Weekly Log'!$A:$A,"&gt;="&amp;$J1283,'Weekly Log'!$A:$A,"&lt;"&amp;$J1283+7)/SUMIFS('Weekly Log'!$E:$E,'Weekly Log'!$A:$A,"&gt;="&amp;$J1283,'Weekly Log'!$A:$A,"&lt;"&amp;$J1283+7),0))</f>
        <v/>
      </c>
      <c r="G1283">
        <f>IF($J1283="","",IFERROR(LOOKUP(2,1/(('Weekly Log'!$A$5:$A$5000&gt;=$J1283)*('Weekly Log'!$A$5:$A$5000&lt;$J1283+7)*('Weekly Log'!$M$5:$M$5000&lt;&gt;"")),'Weekly Log'!$M$5:$M$5000),0))</f>
        <v/>
      </c>
      <c r="J1283">
        <f>IF(COUNT('Weekly Log'!$A$5:$A$5000)=0,"",IF(MIN('Weekly Log'!$A$5:$A$5000)+7*(ROW()-10)&gt;MAX('Weekly Log'!$A$5:$A$5000),"",MIN('Weekly Log'!$A$5:$A$5000)+7*(ROW()-10)))</f>
        <v/>
      </c>
    </row>
    <row r="1284">
      <c r="A1284">
        <f>IF($J1284="","",YEAR($J1284-WEEKDAY($J1284,2)+4)&amp;"-W"&amp;TEXT(WEEKNUM($J1284,21),"00"))</f>
        <v/>
      </c>
      <c r="B1284">
        <f>IF($J1284="","",SUMIFS('Weekly Log'!$C:$C,'Weekly Log'!$A:$A,"&gt;="&amp;$J1284,'Weekly Log'!$A:$A,"&lt;"&amp;$J1284+7))</f>
        <v/>
      </c>
      <c r="C1284">
        <f>IF($J1284="","",IFERROR(COUNTIFS('Weekly Log'!$G:$G,"Y",'Weekly Log'!$A:$A,"&gt;="&amp;$J1284,'Weekly Log'!$A:$A,"&lt;"&amp;$J1284+7)/COUNTIFS('Weekly Log'!$G:$G,"&lt;&gt;",'Weekly Log'!$A:$A,"&gt;="&amp;$J1284,'Weekly Log'!$A:$A,"&lt;"&amp;$J1284+7),0))</f>
        <v/>
      </c>
      <c r="D1284">
        <f>IF($J1284="","",IFERROR(COUNTIFS('Weekly Log'!$H:$H,"Y",'Weekly Log'!$A:$A,"&gt;="&amp;$J1284,'Weekly Log'!$A:$A,"&lt;"&amp;$J1284+7)/COUNTIFS('Weekly Log'!$H:$H,"&lt;&gt;",'Weekly Log'!$A:$A,"&gt;="&amp;$J1284,'Weekly Log'!$A:$A,"&lt;"&amp;$J1284+7),0))</f>
        <v/>
      </c>
      <c r="E1284">
        <f>IF($J1284="","",IFERROR(AVERAGEIFS('Weekly Log'!$F:$F,'Weekly Log'!$A:$A,"&gt;="&amp;$J1284,'Weekly Log'!$A:$A,"&lt;"&amp;$J1284+7),0))</f>
        <v/>
      </c>
      <c r="F1284">
        <f>IF($J1284="","",IFERROR(SUMIFS('Weekly Log'!$F:$F,'Weekly Log'!$A:$A,"&gt;="&amp;$J1284,'Weekly Log'!$A:$A,"&lt;"&amp;$J1284+7)/SUMIFS('Weekly Log'!$E:$E,'Weekly Log'!$A:$A,"&gt;="&amp;$J1284,'Weekly Log'!$A:$A,"&lt;"&amp;$J1284+7),0))</f>
        <v/>
      </c>
      <c r="G1284">
        <f>IF($J1284="","",IFERROR(LOOKUP(2,1/(('Weekly Log'!$A$5:$A$5000&gt;=$J1284)*('Weekly Log'!$A$5:$A$5000&lt;$J1284+7)*('Weekly Log'!$M$5:$M$5000&lt;&gt;"")),'Weekly Log'!$M$5:$M$5000),0))</f>
        <v/>
      </c>
      <c r="J1284">
        <f>IF(COUNT('Weekly Log'!$A$5:$A$5000)=0,"",IF(MIN('Weekly Log'!$A$5:$A$5000)+7*(ROW()-10)&gt;MAX('Weekly Log'!$A$5:$A$5000),"",MIN('Weekly Log'!$A$5:$A$5000)+7*(ROW()-10)))</f>
        <v/>
      </c>
    </row>
    <row r="1285">
      <c r="A1285">
        <f>IF($J1285="","",YEAR($J1285-WEEKDAY($J1285,2)+4)&amp;"-W"&amp;TEXT(WEEKNUM($J1285,21),"00"))</f>
        <v/>
      </c>
      <c r="B1285">
        <f>IF($J1285="","",SUMIFS('Weekly Log'!$C:$C,'Weekly Log'!$A:$A,"&gt;="&amp;$J1285,'Weekly Log'!$A:$A,"&lt;"&amp;$J1285+7))</f>
        <v/>
      </c>
      <c r="C1285">
        <f>IF($J1285="","",IFERROR(COUNTIFS('Weekly Log'!$G:$G,"Y",'Weekly Log'!$A:$A,"&gt;="&amp;$J1285,'Weekly Log'!$A:$A,"&lt;"&amp;$J1285+7)/COUNTIFS('Weekly Log'!$G:$G,"&lt;&gt;",'Weekly Log'!$A:$A,"&gt;="&amp;$J1285,'Weekly Log'!$A:$A,"&lt;"&amp;$J1285+7),0))</f>
        <v/>
      </c>
      <c r="D1285">
        <f>IF($J1285="","",IFERROR(COUNTIFS('Weekly Log'!$H:$H,"Y",'Weekly Log'!$A:$A,"&gt;="&amp;$J1285,'Weekly Log'!$A:$A,"&lt;"&amp;$J1285+7)/COUNTIFS('Weekly Log'!$H:$H,"&lt;&gt;",'Weekly Log'!$A:$A,"&gt;="&amp;$J1285,'Weekly Log'!$A:$A,"&lt;"&amp;$J1285+7),0))</f>
        <v/>
      </c>
      <c r="E1285">
        <f>IF($J1285="","",IFERROR(AVERAGEIFS('Weekly Log'!$F:$F,'Weekly Log'!$A:$A,"&gt;="&amp;$J1285,'Weekly Log'!$A:$A,"&lt;"&amp;$J1285+7),0))</f>
        <v/>
      </c>
      <c r="F1285">
        <f>IF($J1285="","",IFERROR(SUMIFS('Weekly Log'!$F:$F,'Weekly Log'!$A:$A,"&gt;="&amp;$J1285,'Weekly Log'!$A:$A,"&lt;"&amp;$J1285+7)/SUMIFS('Weekly Log'!$E:$E,'Weekly Log'!$A:$A,"&gt;="&amp;$J1285,'Weekly Log'!$A:$A,"&lt;"&amp;$J1285+7),0))</f>
        <v/>
      </c>
      <c r="G1285">
        <f>IF($J1285="","",IFERROR(LOOKUP(2,1/(('Weekly Log'!$A$5:$A$5000&gt;=$J1285)*('Weekly Log'!$A$5:$A$5000&lt;$J1285+7)*('Weekly Log'!$M$5:$M$5000&lt;&gt;"")),'Weekly Log'!$M$5:$M$5000),0))</f>
        <v/>
      </c>
      <c r="J1285">
        <f>IF(COUNT('Weekly Log'!$A$5:$A$5000)=0,"",IF(MIN('Weekly Log'!$A$5:$A$5000)+7*(ROW()-10)&gt;MAX('Weekly Log'!$A$5:$A$5000),"",MIN('Weekly Log'!$A$5:$A$5000)+7*(ROW()-10)))</f>
        <v/>
      </c>
    </row>
    <row r="1286">
      <c r="A1286">
        <f>IF($J1286="","",YEAR($J1286-WEEKDAY($J1286,2)+4)&amp;"-W"&amp;TEXT(WEEKNUM($J1286,21),"00"))</f>
        <v/>
      </c>
      <c r="B1286">
        <f>IF($J1286="","",SUMIFS('Weekly Log'!$C:$C,'Weekly Log'!$A:$A,"&gt;="&amp;$J1286,'Weekly Log'!$A:$A,"&lt;"&amp;$J1286+7))</f>
        <v/>
      </c>
      <c r="C1286">
        <f>IF($J1286="","",IFERROR(COUNTIFS('Weekly Log'!$G:$G,"Y",'Weekly Log'!$A:$A,"&gt;="&amp;$J1286,'Weekly Log'!$A:$A,"&lt;"&amp;$J1286+7)/COUNTIFS('Weekly Log'!$G:$G,"&lt;&gt;",'Weekly Log'!$A:$A,"&gt;="&amp;$J1286,'Weekly Log'!$A:$A,"&lt;"&amp;$J1286+7),0))</f>
        <v/>
      </c>
      <c r="D1286">
        <f>IF($J1286="","",IFERROR(COUNTIFS('Weekly Log'!$H:$H,"Y",'Weekly Log'!$A:$A,"&gt;="&amp;$J1286,'Weekly Log'!$A:$A,"&lt;"&amp;$J1286+7)/COUNTIFS('Weekly Log'!$H:$H,"&lt;&gt;",'Weekly Log'!$A:$A,"&gt;="&amp;$J1286,'Weekly Log'!$A:$A,"&lt;"&amp;$J1286+7),0))</f>
        <v/>
      </c>
      <c r="E1286">
        <f>IF($J1286="","",IFERROR(AVERAGEIFS('Weekly Log'!$F:$F,'Weekly Log'!$A:$A,"&gt;="&amp;$J1286,'Weekly Log'!$A:$A,"&lt;"&amp;$J1286+7),0))</f>
        <v/>
      </c>
      <c r="F1286">
        <f>IF($J1286="","",IFERROR(SUMIFS('Weekly Log'!$F:$F,'Weekly Log'!$A:$A,"&gt;="&amp;$J1286,'Weekly Log'!$A:$A,"&lt;"&amp;$J1286+7)/SUMIFS('Weekly Log'!$E:$E,'Weekly Log'!$A:$A,"&gt;="&amp;$J1286,'Weekly Log'!$A:$A,"&lt;"&amp;$J1286+7),0))</f>
        <v/>
      </c>
      <c r="G1286">
        <f>IF($J1286="","",IFERROR(LOOKUP(2,1/(('Weekly Log'!$A$5:$A$5000&gt;=$J1286)*('Weekly Log'!$A$5:$A$5000&lt;$J1286+7)*('Weekly Log'!$M$5:$M$5000&lt;&gt;"")),'Weekly Log'!$M$5:$M$5000),0))</f>
        <v/>
      </c>
      <c r="J1286">
        <f>IF(COUNT('Weekly Log'!$A$5:$A$5000)=0,"",IF(MIN('Weekly Log'!$A$5:$A$5000)+7*(ROW()-10)&gt;MAX('Weekly Log'!$A$5:$A$5000),"",MIN('Weekly Log'!$A$5:$A$5000)+7*(ROW()-10)))</f>
        <v/>
      </c>
    </row>
    <row r="1287">
      <c r="A1287">
        <f>IF($J1287="","",YEAR($J1287-WEEKDAY($J1287,2)+4)&amp;"-W"&amp;TEXT(WEEKNUM($J1287,21),"00"))</f>
        <v/>
      </c>
      <c r="B1287">
        <f>IF($J1287="","",SUMIFS('Weekly Log'!$C:$C,'Weekly Log'!$A:$A,"&gt;="&amp;$J1287,'Weekly Log'!$A:$A,"&lt;"&amp;$J1287+7))</f>
        <v/>
      </c>
      <c r="C1287">
        <f>IF($J1287="","",IFERROR(COUNTIFS('Weekly Log'!$G:$G,"Y",'Weekly Log'!$A:$A,"&gt;="&amp;$J1287,'Weekly Log'!$A:$A,"&lt;"&amp;$J1287+7)/COUNTIFS('Weekly Log'!$G:$G,"&lt;&gt;",'Weekly Log'!$A:$A,"&gt;="&amp;$J1287,'Weekly Log'!$A:$A,"&lt;"&amp;$J1287+7),0))</f>
        <v/>
      </c>
      <c r="D1287">
        <f>IF($J1287="","",IFERROR(COUNTIFS('Weekly Log'!$H:$H,"Y",'Weekly Log'!$A:$A,"&gt;="&amp;$J1287,'Weekly Log'!$A:$A,"&lt;"&amp;$J1287+7)/COUNTIFS('Weekly Log'!$H:$H,"&lt;&gt;",'Weekly Log'!$A:$A,"&gt;="&amp;$J1287,'Weekly Log'!$A:$A,"&lt;"&amp;$J1287+7),0))</f>
        <v/>
      </c>
      <c r="E1287">
        <f>IF($J1287="","",IFERROR(AVERAGEIFS('Weekly Log'!$F:$F,'Weekly Log'!$A:$A,"&gt;="&amp;$J1287,'Weekly Log'!$A:$A,"&lt;"&amp;$J1287+7),0))</f>
        <v/>
      </c>
      <c r="F1287">
        <f>IF($J1287="","",IFERROR(SUMIFS('Weekly Log'!$F:$F,'Weekly Log'!$A:$A,"&gt;="&amp;$J1287,'Weekly Log'!$A:$A,"&lt;"&amp;$J1287+7)/SUMIFS('Weekly Log'!$E:$E,'Weekly Log'!$A:$A,"&gt;="&amp;$J1287,'Weekly Log'!$A:$A,"&lt;"&amp;$J1287+7),0))</f>
        <v/>
      </c>
      <c r="G1287">
        <f>IF($J1287="","",IFERROR(LOOKUP(2,1/(('Weekly Log'!$A$5:$A$5000&gt;=$J1287)*('Weekly Log'!$A$5:$A$5000&lt;$J1287+7)*('Weekly Log'!$M$5:$M$5000&lt;&gt;"")),'Weekly Log'!$M$5:$M$5000),0))</f>
        <v/>
      </c>
      <c r="J1287">
        <f>IF(COUNT('Weekly Log'!$A$5:$A$5000)=0,"",IF(MIN('Weekly Log'!$A$5:$A$5000)+7*(ROW()-10)&gt;MAX('Weekly Log'!$A$5:$A$5000),"",MIN('Weekly Log'!$A$5:$A$5000)+7*(ROW()-10)))</f>
        <v/>
      </c>
    </row>
    <row r="1288">
      <c r="A1288">
        <f>IF($J1288="","",YEAR($J1288-WEEKDAY($J1288,2)+4)&amp;"-W"&amp;TEXT(WEEKNUM($J1288,21),"00"))</f>
        <v/>
      </c>
      <c r="B1288">
        <f>IF($J1288="","",SUMIFS('Weekly Log'!$C:$C,'Weekly Log'!$A:$A,"&gt;="&amp;$J1288,'Weekly Log'!$A:$A,"&lt;"&amp;$J1288+7))</f>
        <v/>
      </c>
      <c r="C1288">
        <f>IF($J1288="","",IFERROR(COUNTIFS('Weekly Log'!$G:$G,"Y",'Weekly Log'!$A:$A,"&gt;="&amp;$J1288,'Weekly Log'!$A:$A,"&lt;"&amp;$J1288+7)/COUNTIFS('Weekly Log'!$G:$G,"&lt;&gt;",'Weekly Log'!$A:$A,"&gt;="&amp;$J1288,'Weekly Log'!$A:$A,"&lt;"&amp;$J1288+7),0))</f>
        <v/>
      </c>
      <c r="D1288">
        <f>IF($J1288="","",IFERROR(COUNTIFS('Weekly Log'!$H:$H,"Y",'Weekly Log'!$A:$A,"&gt;="&amp;$J1288,'Weekly Log'!$A:$A,"&lt;"&amp;$J1288+7)/COUNTIFS('Weekly Log'!$H:$H,"&lt;&gt;",'Weekly Log'!$A:$A,"&gt;="&amp;$J1288,'Weekly Log'!$A:$A,"&lt;"&amp;$J1288+7),0))</f>
        <v/>
      </c>
      <c r="E1288">
        <f>IF($J1288="","",IFERROR(AVERAGEIFS('Weekly Log'!$F:$F,'Weekly Log'!$A:$A,"&gt;="&amp;$J1288,'Weekly Log'!$A:$A,"&lt;"&amp;$J1288+7),0))</f>
        <v/>
      </c>
      <c r="F1288">
        <f>IF($J1288="","",IFERROR(SUMIFS('Weekly Log'!$F:$F,'Weekly Log'!$A:$A,"&gt;="&amp;$J1288,'Weekly Log'!$A:$A,"&lt;"&amp;$J1288+7)/SUMIFS('Weekly Log'!$E:$E,'Weekly Log'!$A:$A,"&gt;="&amp;$J1288,'Weekly Log'!$A:$A,"&lt;"&amp;$J1288+7),0))</f>
        <v/>
      </c>
      <c r="G1288">
        <f>IF($J1288="","",IFERROR(LOOKUP(2,1/(('Weekly Log'!$A$5:$A$5000&gt;=$J1288)*('Weekly Log'!$A$5:$A$5000&lt;$J1288+7)*('Weekly Log'!$M$5:$M$5000&lt;&gt;"")),'Weekly Log'!$M$5:$M$5000),0))</f>
        <v/>
      </c>
      <c r="J1288">
        <f>IF(COUNT('Weekly Log'!$A$5:$A$5000)=0,"",IF(MIN('Weekly Log'!$A$5:$A$5000)+7*(ROW()-10)&gt;MAX('Weekly Log'!$A$5:$A$5000),"",MIN('Weekly Log'!$A$5:$A$5000)+7*(ROW()-10)))</f>
        <v/>
      </c>
    </row>
    <row r="1289">
      <c r="A1289">
        <f>IF($J1289="","",YEAR($J1289-WEEKDAY($J1289,2)+4)&amp;"-W"&amp;TEXT(WEEKNUM($J1289,21),"00"))</f>
        <v/>
      </c>
      <c r="B1289">
        <f>IF($J1289="","",SUMIFS('Weekly Log'!$C:$C,'Weekly Log'!$A:$A,"&gt;="&amp;$J1289,'Weekly Log'!$A:$A,"&lt;"&amp;$J1289+7))</f>
        <v/>
      </c>
      <c r="C1289">
        <f>IF($J1289="","",IFERROR(COUNTIFS('Weekly Log'!$G:$G,"Y",'Weekly Log'!$A:$A,"&gt;="&amp;$J1289,'Weekly Log'!$A:$A,"&lt;"&amp;$J1289+7)/COUNTIFS('Weekly Log'!$G:$G,"&lt;&gt;",'Weekly Log'!$A:$A,"&gt;="&amp;$J1289,'Weekly Log'!$A:$A,"&lt;"&amp;$J1289+7),0))</f>
        <v/>
      </c>
      <c r="D1289">
        <f>IF($J1289="","",IFERROR(COUNTIFS('Weekly Log'!$H:$H,"Y",'Weekly Log'!$A:$A,"&gt;="&amp;$J1289,'Weekly Log'!$A:$A,"&lt;"&amp;$J1289+7)/COUNTIFS('Weekly Log'!$H:$H,"&lt;&gt;",'Weekly Log'!$A:$A,"&gt;="&amp;$J1289,'Weekly Log'!$A:$A,"&lt;"&amp;$J1289+7),0))</f>
        <v/>
      </c>
      <c r="E1289">
        <f>IF($J1289="","",IFERROR(AVERAGEIFS('Weekly Log'!$F:$F,'Weekly Log'!$A:$A,"&gt;="&amp;$J1289,'Weekly Log'!$A:$A,"&lt;"&amp;$J1289+7),0))</f>
        <v/>
      </c>
      <c r="F1289">
        <f>IF($J1289="","",IFERROR(SUMIFS('Weekly Log'!$F:$F,'Weekly Log'!$A:$A,"&gt;="&amp;$J1289,'Weekly Log'!$A:$A,"&lt;"&amp;$J1289+7)/SUMIFS('Weekly Log'!$E:$E,'Weekly Log'!$A:$A,"&gt;="&amp;$J1289,'Weekly Log'!$A:$A,"&lt;"&amp;$J1289+7),0))</f>
        <v/>
      </c>
      <c r="G1289">
        <f>IF($J1289="","",IFERROR(LOOKUP(2,1/(('Weekly Log'!$A$5:$A$5000&gt;=$J1289)*('Weekly Log'!$A$5:$A$5000&lt;$J1289+7)*('Weekly Log'!$M$5:$M$5000&lt;&gt;"")),'Weekly Log'!$M$5:$M$5000),0))</f>
        <v/>
      </c>
      <c r="J1289">
        <f>IF(COUNT('Weekly Log'!$A$5:$A$5000)=0,"",IF(MIN('Weekly Log'!$A$5:$A$5000)+7*(ROW()-10)&gt;MAX('Weekly Log'!$A$5:$A$5000),"",MIN('Weekly Log'!$A$5:$A$5000)+7*(ROW()-10)))</f>
        <v/>
      </c>
    </row>
    <row r="1290">
      <c r="A1290">
        <f>IF($J1290="","",YEAR($J1290-WEEKDAY($J1290,2)+4)&amp;"-W"&amp;TEXT(WEEKNUM($J1290,21),"00"))</f>
        <v/>
      </c>
      <c r="B1290">
        <f>IF($J1290="","",SUMIFS('Weekly Log'!$C:$C,'Weekly Log'!$A:$A,"&gt;="&amp;$J1290,'Weekly Log'!$A:$A,"&lt;"&amp;$J1290+7))</f>
        <v/>
      </c>
      <c r="C1290">
        <f>IF($J1290="","",IFERROR(COUNTIFS('Weekly Log'!$G:$G,"Y",'Weekly Log'!$A:$A,"&gt;="&amp;$J1290,'Weekly Log'!$A:$A,"&lt;"&amp;$J1290+7)/COUNTIFS('Weekly Log'!$G:$G,"&lt;&gt;",'Weekly Log'!$A:$A,"&gt;="&amp;$J1290,'Weekly Log'!$A:$A,"&lt;"&amp;$J1290+7),0))</f>
        <v/>
      </c>
      <c r="D1290">
        <f>IF($J1290="","",IFERROR(COUNTIFS('Weekly Log'!$H:$H,"Y",'Weekly Log'!$A:$A,"&gt;="&amp;$J1290,'Weekly Log'!$A:$A,"&lt;"&amp;$J1290+7)/COUNTIFS('Weekly Log'!$H:$H,"&lt;&gt;",'Weekly Log'!$A:$A,"&gt;="&amp;$J1290,'Weekly Log'!$A:$A,"&lt;"&amp;$J1290+7),0))</f>
        <v/>
      </c>
      <c r="E1290">
        <f>IF($J1290="","",IFERROR(AVERAGEIFS('Weekly Log'!$F:$F,'Weekly Log'!$A:$A,"&gt;="&amp;$J1290,'Weekly Log'!$A:$A,"&lt;"&amp;$J1290+7),0))</f>
        <v/>
      </c>
      <c r="F1290">
        <f>IF($J1290="","",IFERROR(SUMIFS('Weekly Log'!$F:$F,'Weekly Log'!$A:$A,"&gt;="&amp;$J1290,'Weekly Log'!$A:$A,"&lt;"&amp;$J1290+7)/SUMIFS('Weekly Log'!$E:$E,'Weekly Log'!$A:$A,"&gt;="&amp;$J1290,'Weekly Log'!$A:$A,"&lt;"&amp;$J1290+7),0))</f>
        <v/>
      </c>
      <c r="G1290">
        <f>IF($J1290="","",IFERROR(LOOKUP(2,1/(('Weekly Log'!$A$5:$A$5000&gt;=$J1290)*('Weekly Log'!$A$5:$A$5000&lt;$J1290+7)*('Weekly Log'!$M$5:$M$5000&lt;&gt;"")),'Weekly Log'!$M$5:$M$5000),0))</f>
        <v/>
      </c>
      <c r="J1290">
        <f>IF(COUNT('Weekly Log'!$A$5:$A$5000)=0,"",IF(MIN('Weekly Log'!$A$5:$A$5000)+7*(ROW()-10)&gt;MAX('Weekly Log'!$A$5:$A$5000),"",MIN('Weekly Log'!$A$5:$A$5000)+7*(ROW()-10)))</f>
        <v/>
      </c>
    </row>
    <row r="1291">
      <c r="A1291">
        <f>IF($J1291="","",YEAR($J1291-WEEKDAY($J1291,2)+4)&amp;"-W"&amp;TEXT(WEEKNUM($J1291,21),"00"))</f>
        <v/>
      </c>
      <c r="B1291">
        <f>IF($J1291="","",SUMIFS('Weekly Log'!$C:$C,'Weekly Log'!$A:$A,"&gt;="&amp;$J1291,'Weekly Log'!$A:$A,"&lt;"&amp;$J1291+7))</f>
        <v/>
      </c>
      <c r="C1291">
        <f>IF($J1291="","",IFERROR(COUNTIFS('Weekly Log'!$G:$G,"Y",'Weekly Log'!$A:$A,"&gt;="&amp;$J1291,'Weekly Log'!$A:$A,"&lt;"&amp;$J1291+7)/COUNTIFS('Weekly Log'!$G:$G,"&lt;&gt;",'Weekly Log'!$A:$A,"&gt;="&amp;$J1291,'Weekly Log'!$A:$A,"&lt;"&amp;$J1291+7),0))</f>
        <v/>
      </c>
      <c r="D1291">
        <f>IF($J1291="","",IFERROR(COUNTIFS('Weekly Log'!$H:$H,"Y",'Weekly Log'!$A:$A,"&gt;="&amp;$J1291,'Weekly Log'!$A:$A,"&lt;"&amp;$J1291+7)/COUNTIFS('Weekly Log'!$H:$H,"&lt;&gt;",'Weekly Log'!$A:$A,"&gt;="&amp;$J1291,'Weekly Log'!$A:$A,"&lt;"&amp;$J1291+7),0))</f>
        <v/>
      </c>
      <c r="E1291">
        <f>IF($J1291="","",IFERROR(AVERAGEIFS('Weekly Log'!$F:$F,'Weekly Log'!$A:$A,"&gt;="&amp;$J1291,'Weekly Log'!$A:$A,"&lt;"&amp;$J1291+7),0))</f>
        <v/>
      </c>
      <c r="F1291">
        <f>IF($J1291="","",IFERROR(SUMIFS('Weekly Log'!$F:$F,'Weekly Log'!$A:$A,"&gt;="&amp;$J1291,'Weekly Log'!$A:$A,"&lt;"&amp;$J1291+7)/SUMIFS('Weekly Log'!$E:$E,'Weekly Log'!$A:$A,"&gt;="&amp;$J1291,'Weekly Log'!$A:$A,"&lt;"&amp;$J1291+7),0))</f>
        <v/>
      </c>
      <c r="G1291">
        <f>IF($J1291="","",IFERROR(LOOKUP(2,1/(('Weekly Log'!$A$5:$A$5000&gt;=$J1291)*('Weekly Log'!$A$5:$A$5000&lt;$J1291+7)*('Weekly Log'!$M$5:$M$5000&lt;&gt;"")),'Weekly Log'!$M$5:$M$5000),0))</f>
        <v/>
      </c>
      <c r="J1291">
        <f>IF(COUNT('Weekly Log'!$A$5:$A$5000)=0,"",IF(MIN('Weekly Log'!$A$5:$A$5000)+7*(ROW()-10)&gt;MAX('Weekly Log'!$A$5:$A$5000),"",MIN('Weekly Log'!$A$5:$A$5000)+7*(ROW()-10)))</f>
        <v/>
      </c>
    </row>
    <row r="1292">
      <c r="A1292">
        <f>IF($J1292="","",YEAR($J1292-WEEKDAY($J1292,2)+4)&amp;"-W"&amp;TEXT(WEEKNUM($J1292,21),"00"))</f>
        <v/>
      </c>
      <c r="B1292">
        <f>IF($J1292="","",SUMIFS('Weekly Log'!$C:$C,'Weekly Log'!$A:$A,"&gt;="&amp;$J1292,'Weekly Log'!$A:$A,"&lt;"&amp;$J1292+7))</f>
        <v/>
      </c>
      <c r="C1292">
        <f>IF($J1292="","",IFERROR(COUNTIFS('Weekly Log'!$G:$G,"Y",'Weekly Log'!$A:$A,"&gt;="&amp;$J1292,'Weekly Log'!$A:$A,"&lt;"&amp;$J1292+7)/COUNTIFS('Weekly Log'!$G:$G,"&lt;&gt;",'Weekly Log'!$A:$A,"&gt;="&amp;$J1292,'Weekly Log'!$A:$A,"&lt;"&amp;$J1292+7),0))</f>
        <v/>
      </c>
      <c r="D1292">
        <f>IF($J1292="","",IFERROR(COUNTIFS('Weekly Log'!$H:$H,"Y",'Weekly Log'!$A:$A,"&gt;="&amp;$J1292,'Weekly Log'!$A:$A,"&lt;"&amp;$J1292+7)/COUNTIFS('Weekly Log'!$H:$H,"&lt;&gt;",'Weekly Log'!$A:$A,"&gt;="&amp;$J1292,'Weekly Log'!$A:$A,"&lt;"&amp;$J1292+7),0))</f>
        <v/>
      </c>
      <c r="E1292">
        <f>IF($J1292="","",IFERROR(AVERAGEIFS('Weekly Log'!$F:$F,'Weekly Log'!$A:$A,"&gt;="&amp;$J1292,'Weekly Log'!$A:$A,"&lt;"&amp;$J1292+7),0))</f>
        <v/>
      </c>
      <c r="F1292">
        <f>IF($J1292="","",IFERROR(SUMIFS('Weekly Log'!$F:$F,'Weekly Log'!$A:$A,"&gt;="&amp;$J1292,'Weekly Log'!$A:$A,"&lt;"&amp;$J1292+7)/SUMIFS('Weekly Log'!$E:$E,'Weekly Log'!$A:$A,"&gt;="&amp;$J1292,'Weekly Log'!$A:$A,"&lt;"&amp;$J1292+7),0))</f>
        <v/>
      </c>
      <c r="G1292">
        <f>IF($J1292="","",IFERROR(LOOKUP(2,1/(('Weekly Log'!$A$5:$A$5000&gt;=$J1292)*('Weekly Log'!$A$5:$A$5000&lt;$J1292+7)*('Weekly Log'!$M$5:$M$5000&lt;&gt;"")),'Weekly Log'!$M$5:$M$5000),0))</f>
        <v/>
      </c>
      <c r="J1292">
        <f>IF(COUNT('Weekly Log'!$A$5:$A$5000)=0,"",IF(MIN('Weekly Log'!$A$5:$A$5000)+7*(ROW()-10)&gt;MAX('Weekly Log'!$A$5:$A$5000),"",MIN('Weekly Log'!$A$5:$A$5000)+7*(ROW()-10)))</f>
        <v/>
      </c>
    </row>
    <row r="1293">
      <c r="A1293">
        <f>IF($J1293="","",YEAR($J1293-WEEKDAY($J1293,2)+4)&amp;"-W"&amp;TEXT(WEEKNUM($J1293,21),"00"))</f>
        <v/>
      </c>
      <c r="B1293">
        <f>IF($J1293="","",SUMIFS('Weekly Log'!$C:$C,'Weekly Log'!$A:$A,"&gt;="&amp;$J1293,'Weekly Log'!$A:$A,"&lt;"&amp;$J1293+7))</f>
        <v/>
      </c>
      <c r="C1293">
        <f>IF($J1293="","",IFERROR(COUNTIFS('Weekly Log'!$G:$G,"Y",'Weekly Log'!$A:$A,"&gt;="&amp;$J1293,'Weekly Log'!$A:$A,"&lt;"&amp;$J1293+7)/COUNTIFS('Weekly Log'!$G:$G,"&lt;&gt;",'Weekly Log'!$A:$A,"&gt;="&amp;$J1293,'Weekly Log'!$A:$A,"&lt;"&amp;$J1293+7),0))</f>
        <v/>
      </c>
      <c r="D1293">
        <f>IF($J1293="","",IFERROR(COUNTIFS('Weekly Log'!$H:$H,"Y",'Weekly Log'!$A:$A,"&gt;="&amp;$J1293,'Weekly Log'!$A:$A,"&lt;"&amp;$J1293+7)/COUNTIFS('Weekly Log'!$H:$H,"&lt;&gt;",'Weekly Log'!$A:$A,"&gt;="&amp;$J1293,'Weekly Log'!$A:$A,"&lt;"&amp;$J1293+7),0))</f>
        <v/>
      </c>
      <c r="E1293">
        <f>IF($J1293="","",IFERROR(AVERAGEIFS('Weekly Log'!$F:$F,'Weekly Log'!$A:$A,"&gt;="&amp;$J1293,'Weekly Log'!$A:$A,"&lt;"&amp;$J1293+7),0))</f>
        <v/>
      </c>
      <c r="F1293">
        <f>IF($J1293="","",IFERROR(SUMIFS('Weekly Log'!$F:$F,'Weekly Log'!$A:$A,"&gt;="&amp;$J1293,'Weekly Log'!$A:$A,"&lt;"&amp;$J1293+7)/SUMIFS('Weekly Log'!$E:$E,'Weekly Log'!$A:$A,"&gt;="&amp;$J1293,'Weekly Log'!$A:$A,"&lt;"&amp;$J1293+7),0))</f>
        <v/>
      </c>
      <c r="G1293">
        <f>IF($J1293="","",IFERROR(LOOKUP(2,1/(('Weekly Log'!$A$5:$A$5000&gt;=$J1293)*('Weekly Log'!$A$5:$A$5000&lt;$J1293+7)*('Weekly Log'!$M$5:$M$5000&lt;&gt;"")),'Weekly Log'!$M$5:$M$5000),0))</f>
        <v/>
      </c>
      <c r="J1293">
        <f>IF(COUNT('Weekly Log'!$A$5:$A$5000)=0,"",IF(MIN('Weekly Log'!$A$5:$A$5000)+7*(ROW()-10)&gt;MAX('Weekly Log'!$A$5:$A$5000),"",MIN('Weekly Log'!$A$5:$A$5000)+7*(ROW()-10)))</f>
        <v/>
      </c>
    </row>
    <row r="1294">
      <c r="A1294">
        <f>IF($J1294="","",YEAR($J1294-WEEKDAY($J1294,2)+4)&amp;"-W"&amp;TEXT(WEEKNUM($J1294,21),"00"))</f>
        <v/>
      </c>
      <c r="B1294">
        <f>IF($J1294="","",SUMIFS('Weekly Log'!$C:$C,'Weekly Log'!$A:$A,"&gt;="&amp;$J1294,'Weekly Log'!$A:$A,"&lt;"&amp;$J1294+7))</f>
        <v/>
      </c>
      <c r="C1294">
        <f>IF($J1294="","",IFERROR(COUNTIFS('Weekly Log'!$G:$G,"Y",'Weekly Log'!$A:$A,"&gt;="&amp;$J1294,'Weekly Log'!$A:$A,"&lt;"&amp;$J1294+7)/COUNTIFS('Weekly Log'!$G:$G,"&lt;&gt;",'Weekly Log'!$A:$A,"&gt;="&amp;$J1294,'Weekly Log'!$A:$A,"&lt;"&amp;$J1294+7),0))</f>
        <v/>
      </c>
      <c r="D1294">
        <f>IF($J1294="","",IFERROR(COUNTIFS('Weekly Log'!$H:$H,"Y",'Weekly Log'!$A:$A,"&gt;="&amp;$J1294,'Weekly Log'!$A:$A,"&lt;"&amp;$J1294+7)/COUNTIFS('Weekly Log'!$H:$H,"&lt;&gt;",'Weekly Log'!$A:$A,"&gt;="&amp;$J1294,'Weekly Log'!$A:$A,"&lt;"&amp;$J1294+7),0))</f>
        <v/>
      </c>
      <c r="E1294">
        <f>IF($J1294="","",IFERROR(AVERAGEIFS('Weekly Log'!$F:$F,'Weekly Log'!$A:$A,"&gt;="&amp;$J1294,'Weekly Log'!$A:$A,"&lt;"&amp;$J1294+7),0))</f>
        <v/>
      </c>
      <c r="F1294">
        <f>IF($J1294="","",IFERROR(SUMIFS('Weekly Log'!$F:$F,'Weekly Log'!$A:$A,"&gt;="&amp;$J1294,'Weekly Log'!$A:$A,"&lt;"&amp;$J1294+7)/SUMIFS('Weekly Log'!$E:$E,'Weekly Log'!$A:$A,"&gt;="&amp;$J1294,'Weekly Log'!$A:$A,"&lt;"&amp;$J1294+7),0))</f>
        <v/>
      </c>
      <c r="G1294">
        <f>IF($J1294="","",IFERROR(LOOKUP(2,1/(('Weekly Log'!$A$5:$A$5000&gt;=$J1294)*('Weekly Log'!$A$5:$A$5000&lt;$J1294+7)*('Weekly Log'!$M$5:$M$5000&lt;&gt;"")),'Weekly Log'!$M$5:$M$5000),0))</f>
        <v/>
      </c>
      <c r="J1294">
        <f>IF(COUNT('Weekly Log'!$A$5:$A$5000)=0,"",IF(MIN('Weekly Log'!$A$5:$A$5000)+7*(ROW()-10)&gt;MAX('Weekly Log'!$A$5:$A$5000),"",MIN('Weekly Log'!$A$5:$A$5000)+7*(ROW()-10)))</f>
        <v/>
      </c>
    </row>
    <row r="1295">
      <c r="A1295">
        <f>IF($J1295="","",YEAR($J1295-WEEKDAY($J1295,2)+4)&amp;"-W"&amp;TEXT(WEEKNUM($J1295,21),"00"))</f>
        <v/>
      </c>
      <c r="B1295">
        <f>IF($J1295="","",SUMIFS('Weekly Log'!$C:$C,'Weekly Log'!$A:$A,"&gt;="&amp;$J1295,'Weekly Log'!$A:$A,"&lt;"&amp;$J1295+7))</f>
        <v/>
      </c>
      <c r="C1295">
        <f>IF($J1295="","",IFERROR(COUNTIFS('Weekly Log'!$G:$G,"Y",'Weekly Log'!$A:$A,"&gt;="&amp;$J1295,'Weekly Log'!$A:$A,"&lt;"&amp;$J1295+7)/COUNTIFS('Weekly Log'!$G:$G,"&lt;&gt;",'Weekly Log'!$A:$A,"&gt;="&amp;$J1295,'Weekly Log'!$A:$A,"&lt;"&amp;$J1295+7),0))</f>
        <v/>
      </c>
      <c r="D1295">
        <f>IF($J1295="","",IFERROR(COUNTIFS('Weekly Log'!$H:$H,"Y",'Weekly Log'!$A:$A,"&gt;="&amp;$J1295,'Weekly Log'!$A:$A,"&lt;"&amp;$J1295+7)/COUNTIFS('Weekly Log'!$H:$H,"&lt;&gt;",'Weekly Log'!$A:$A,"&gt;="&amp;$J1295,'Weekly Log'!$A:$A,"&lt;"&amp;$J1295+7),0))</f>
        <v/>
      </c>
      <c r="E1295">
        <f>IF($J1295="","",IFERROR(AVERAGEIFS('Weekly Log'!$F:$F,'Weekly Log'!$A:$A,"&gt;="&amp;$J1295,'Weekly Log'!$A:$A,"&lt;"&amp;$J1295+7),0))</f>
        <v/>
      </c>
      <c r="F1295">
        <f>IF($J1295="","",IFERROR(SUMIFS('Weekly Log'!$F:$F,'Weekly Log'!$A:$A,"&gt;="&amp;$J1295,'Weekly Log'!$A:$A,"&lt;"&amp;$J1295+7)/SUMIFS('Weekly Log'!$E:$E,'Weekly Log'!$A:$A,"&gt;="&amp;$J1295,'Weekly Log'!$A:$A,"&lt;"&amp;$J1295+7),0))</f>
        <v/>
      </c>
      <c r="G1295">
        <f>IF($J1295="","",IFERROR(LOOKUP(2,1/(('Weekly Log'!$A$5:$A$5000&gt;=$J1295)*('Weekly Log'!$A$5:$A$5000&lt;$J1295+7)*('Weekly Log'!$M$5:$M$5000&lt;&gt;"")),'Weekly Log'!$M$5:$M$5000),0))</f>
        <v/>
      </c>
      <c r="J1295">
        <f>IF(COUNT('Weekly Log'!$A$5:$A$5000)=0,"",IF(MIN('Weekly Log'!$A$5:$A$5000)+7*(ROW()-10)&gt;MAX('Weekly Log'!$A$5:$A$5000),"",MIN('Weekly Log'!$A$5:$A$5000)+7*(ROW()-10)))</f>
        <v/>
      </c>
    </row>
    <row r="1296">
      <c r="A1296">
        <f>IF($J1296="","",YEAR($J1296-WEEKDAY($J1296,2)+4)&amp;"-W"&amp;TEXT(WEEKNUM($J1296,21),"00"))</f>
        <v/>
      </c>
      <c r="B1296">
        <f>IF($J1296="","",SUMIFS('Weekly Log'!$C:$C,'Weekly Log'!$A:$A,"&gt;="&amp;$J1296,'Weekly Log'!$A:$A,"&lt;"&amp;$J1296+7))</f>
        <v/>
      </c>
      <c r="C1296">
        <f>IF($J1296="","",IFERROR(COUNTIFS('Weekly Log'!$G:$G,"Y",'Weekly Log'!$A:$A,"&gt;="&amp;$J1296,'Weekly Log'!$A:$A,"&lt;"&amp;$J1296+7)/COUNTIFS('Weekly Log'!$G:$G,"&lt;&gt;",'Weekly Log'!$A:$A,"&gt;="&amp;$J1296,'Weekly Log'!$A:$A,"&lt;"&amp;$J1296+7),0))</f>
        <v/>
      </c>
      <c r="D1296">
        <f>IF($J1296="","",IFERROR(COUNTIFS('Weekly Log'!$H:$H,"Y",'Weekly Log'!$A:$A,"&gt;="&amp;$J1296,'Weekly Log'!$A:$A,"&lt;"&amp;$J1296+7)/COUNTIFS('Weekly Log'!$H:$H,"&lt;&gt;",'Weekly Log'!$A:$A,"&gt;="&amp;$J1296,'Weekly Log'!$A:$A,"&lt;"&amp;$J1296+7),0))</f>
        <v/>
      </c>
      <c r="E1296">
        <f>IF($J1296="","",IFERROR(AVERAGEIFS('Weekly Log'!$F:$F,'Weekly Log'!$A:$A,"&gt;="&amp;$J1296,'Weekly Log'!$A:$A,"&lt;"&amp;$J1296+7),0))</f>
        <v/>
      </c>
      <c r="F1296">
        <f>IF($J1296="","",IFERROR(SUMIFS('Weekly Log'!$F:$F,'Weekly Log'!$A:$A,"&gt;="&amp;$J1296,'Weekly Log'!$A:$A,"&lt;"&amp;$J1296+7)/SUMIFS('Weekly Log'!$E:$E,'Weekly Log'!$A:$A,"&gt;="&amp;$J1296,'Weekly Log'!$A:$A,"&lt;"&amp;$J1296+7),0))</f>
        <v/>
      </c>
      <c r="G1296">
        <f>IF($J1296="","",IFERROR(LOOKUP(2,1/(('Weekly Log'!$A$5:$A$5000&gt;=$J1296)*('Weekly Log'!$A$5:$A$5000&lt;$J1296+7)*('Weekly Log'!$M$5:$M$5000&lt;&gt;"")),'Weekly Log'!$M$5:$M$5000),0))</f>
        <v/>
      </c>
      <c r="J1296">
        <f>IF(COUNT('Weekly Log'!$A$5:$A$5000)=0,"",IF(MIN('Weekly Log'!$A$5:$A$5000)+7*(ROW()-10)&gt;MAX('Weekly Log'!$A$5:$A$5000),"",MIN('Weekly Log'!$A$5:$A$5000)+7*(ROW()-10)))</f>
        <v/>
      </c>
    </row>
    <row r="1297">
      <c r="A1297">
        <f>IF($J1297="","",YEAR($J1297-WEEKDAY($J1297,2)+4)&amp;"-W"&amp;TEXT(WEEKNUM($J1297,21),"00"))</f>
        <v/>
      </c>
      <c r="B1297">
        <f>IF($J1297="","",SUMIFS('Weekly Log'!$C:$C,'Weekly Log'!$A:$A,"&gt;="&amp;$J1297,'Weekly Log'!$A:$A,"&lt;"&amp;$J1297+7))</f>
        <v/>
      </c>
      <c r="C1297">
        <f>IF($J1297="","",IFERROR(COUNTIFS('Weekly Log'!$G:$G,"Y",'Weekly Log'!$A:$A,"&gt;="&amp;$J1297,'Weekly Log'!$A:$A,"&lt;"&amp;$J1297+7)/COUNTIFS('Weekly Log'!$G:$G,"&lt;&gt;",'Weekly Log'!$A:$A,"&gt;="&amp;$J1297,'Weekly Log'!$A:$A,"&lt;"&amp;$J1297+7),0))</f>
        <v/>
      </c>
      <c r="D1297">
        <f>IF($J1297="","",IFERROR(COUNTIFS('Weekly Log'!$H:$H,"Y",'Weekly Log'!$A:$A,"&gt;="&amp;$J1297,'Weekly Log'!$A:$A,"&lt;"&amp;$J1297+7)/COUNTIFS('Weekly Log'!$H:$H,"&lt;&gt;",'Weekly Log'!$A:$A,"&gt;="&amp;$J1297,'Weekly Log'!$A:$A,"&lt;"&amp;$J1297+7),0))</f>
        <v/>
      </c>
      <c r="E1297">
        <f>IF($J1297="","",IFERROR(AVERAGEIFS('Weekly Log'!$F:$F,'Weekly Log'!$A:$A,"&gt;="&amp;$J1297,'Weekly Log'!$A:$A,"&lt;"&amp;$J1297+7),0))</f>
        <v/>
      </c>
      <c r="F1297">
        <f>IF($J1297="","",IFERROR(SUMIFS('Weekly Log'!$F:$F,'Weekly Log'!$A:$A,"&gt;="&amp;$J1297,'Weekly Log'!$A:$A,"&lt;"&amp;$J1297+7)/SUMIFS('Weekly Log'!$E:$E,'Weekly Log'!$A:$A,"&gt;="&amp;$J1297,'Weekly Log'!$A:$A,"&lt;"&amp;$J1297+7),0))</f>
        <v/>
      </c>
      <c r="G1297">
        <f>IF($J1297="","",IFERROR(LOOKUP(2,1/(('Weekly Log'!$A$5:$A$5000&gt;=$J1297)*('Weekly Log'!$A$5:$A$5000&lt;$J1297+7)*('Weekly Log'!$M$5:$M$5000&lt;&gt;"")),'Weekly Log'!$M$5:$M$5000),0))</f>
        <v/>
      </c>
      <c r="J1297">
        <f>IF(COUNT('Weekly Log'!$A$5:$A$5000)=0,"",IF(MIN('Weekly Log'!$A$5:$A$5000)+7*(ROW()-10)&gt;MAX('Weekly Log'!$A$5:$A$5000),"",MIN('Weekly Log'!$A$5:$A$5000)+7*(ROW()-10)))</f>
        <v/>
      </c>
    </row>
    <row r="1298">
      <c r="A1298">
        <f>IF($J1298="","",YEAR($J1298-WEEKDAY($J1298,2)+4)&amp;"-W"&amp;TEXT(WEEKNUM($J1298,21),"00"))</f>
        <v/>
      </c>
      <c r="B1298">
        <f>IF($J1298="","",SUMIFS('Weekly Log'!$C:$C,'Weekly Log'!$A:$A,"&gt;="&amp;$J1298,'Weekly Log'!$A:$A,"&lt;"&amp;$J1298+7))</f>
        <v/>
      </c>
      <c r="C1298">
        <f>IF($J1298="","",IFERROR(COUNTIFS('Weekly Log'!$G:$G,"Y",'Weekly Log'!$A:$A,"&gt;="&amp;$J1298,'Weekly Log'!$A:$A,"&lt;"&amp;$J1298+7)/COUNTIFS('Weekly Log'!$G:$G,"&lt;&gt;",'Weekly Log'!$A:$A,"&gt;="&amp;$J1298,'Weekly Log'!$A:$A,"&lt;"&amp;$J1298+7),0))</f>
        <v/>
      </c>
      <c r="D1298">
        <f>IF($J1298="","",IFERROR(COUNTIFS('Weekly Log'!$H:$H,"Y",'Weekly Log'!$A:$A,"&gt;="&amp;$J1298,'Weekly Log'!$A:$A,"&lt;"&amp;$J1298+7)/COUNTIFS('Weekly Log'!$H:$H,"&lt;&gt;",'Weekly Log'!$A:$A,"&gt;="&amp;$J1298,'Weekly Log'!$A:$A,"&lt;"&amp;$J1298+7),0))</f>
        <v/>
      </c>
      <c r="E1298">
        <f>IF($J1298="","",IFERROR(AVERAGEIFS('Weekly Log'!$F:$F,'Weekly Log'!$A:$A,"&gt;="&amp;$J1298,'Weekly Log'!$A:$A,"&lt;"&amp;$J1298+7),0))</f>
        <v/>
      </c>
      <c r="F1298">
        <f>IF($J1298="","",IFERROR(SUMIFS('Weekly Log'!$F:$F,'Weekly Log'!$A:$A,"&gt;="&amp;$J1298,'Weekly Log'!$A:$A,"&lt;"&amp;$J1298+7)/SUMIFS('Weekly Log'!$E:$E,'Weekly Log'!$A:$A,"&gt;="&amp;$J1298,'Weekly Log'!$A:$A,"&lt;"&amp;$J1298+7),0))</f>
        <v/>
      </c>
      <c r="G1298">
        <f>IF($J1298="","",IFERROR(LOOKUP(2,1/(('Weekly Log'!$A$5:$A$5000&gt;=$J1298)*('Weekly Log'!$A$5:$A$5000&lt;$J1298+7)*('Weekly Log'!$M$5:$M$5000&lt;&gt;"")),'Weekly Log'!$M$5:$M$5000),0))</f>
        <v/>
      </c>
      <c r="J1298">
        <f>IF(COUNT('Weekly Log'!$A$5:$A$5000)=0,"",IF(MIN('Weekly Log'!$A$5:$A$5000)+7*(ROW()-10)&gt;MAX('Weekly Log'!$A$5:$A$5000),"",MIN('Weekly Log'!$A$5:$A$5000)+7*(ROW()-10)))</f>
        <v/>
      </c>
    </row>
    <row r="1299">
      <c r="A1299">
        <f>IF($J1299="","",YEAR($J1299-WEEKDAY($J1299,2)+4)&amp;"-W"&amp;TEXT(WEEKNUM($J1299,21),"00"))</f>
        <v/>
      </c>
      <c r="B1299">
        <f>IF($J1299="","",SUMIFS('Weekly Log'!$C:$C,'Weekly Log'!$A:$A,"&gt;="&amp;$J1299,'Weekly Log'!$A:$A,"&lt;"&amp;$J1299+7))</f>
        <v/>
      </c>
      <c r="C1299">
        <f>IF($J1299="","",IFERROR(COUNTIFS('Weekly Log'!$G:$G,"Y",'Weekly Log'!$A:$A,"&gt;="&amp;$J1299,'Weekly Log'!$A:$A,"&lt;"&amp;$J1299+7)/COUNTIFS('Weekly Log'!$G:$G,"&lt;&gt;",'Weekly Log'!$A:$A,"&gt;="&amp;$J1299,'Weekly Log'!$A:$A,"&lt;"&amp;$J1299+7),0))</f>
        <v/>
      </c>
      <c r="D1299">
        <f>IF($J1299="","",IFERROR(COUNTIFS('Weekly Log'!$H:$H,"Y",'Weekly Log'!$A:$A,"&gt;="&amp;$J1299,'Weekly Log'!$A:$A,"&lt;"&amp;$J1299+7)/COUNTIFS('Weekly Log'!$H:$H,"&lt;&gt;",'Weekly Log'!$A:$A,"&gt;="&amp;$J1299,'Weekly Log'!$A:$A,"&lt;"&amp;$J1299+7),0))</f>
        <v/>
      </c>
      <c r="E1299">
        <f>IF($J1299="","",IFERROR(AVERAGEIFS('Weekly Log'!$F:$F,'Weekly Log'!$A:$A,"&gt;="&amp;$J1299,'Weekly Log'!$A:$A,"&lt;"&amp;$J1299+7),0))</f>
        <v/>
      </c>
      <c r="F1299">
        <f>IF($J1299="","",IFERROR(SUMIFS('Weekly Log'!$F:$F,'Weekly Log'!$A:$A,"&gt;="&amp;$J1299,'Weekly Log'!$A:$A,"&lt;"&amp;$J1299+7)/SUMIFS('Weekly Log'!$E:$E,'Weekly Log'!$A:$A,"&gt;="&amp;$J1299,'Weekly Log'!$A:$A,"&lt;"&amp;$J1299+7),0))</f>
        <v/>
      </c>
      <c r="G1299">
        <f>IF($J1299="","",IFERROR(LOOKUP(2,1/(('Weekly Log'!$A$5:$A$5000&gt;=$J1299)*('Weekly Log'!$A$5:$A$5000&lt;$J1299+7)*('Weekly Log'!$M$5:$M$5000&lt;&gt;"")),'Weekly Log'!$M$5:$M$5000),0))</f>
        <v/>
      </c>
      <c r="J1299">
        <f>IF(COUNT('Weekly Log'!$A$5:$A$5000)=0,"",IF(MIN('Weekly Log'!$A$5:$A$5000)+7*(ROW()-10)&gt;MAX('Weekly Log'!$A$5:$A$5000),"",MIN('Weekly Log'!$A$5:$A$5000)+7*(ROW()-10)))</f>
        <v/>
      </c>
    </row>
    <row r="1300">
      <c r="A1300">
        <f>IF($J1300="","",YEAR($J1300-WEEKDAY($J1300,2)+4)&amp;"-W"&amp;TEXT(WEEKNUM($J1300,21),"00"))</f>
        <v/>
      </c>
      <c r="B1300">
        <f>IF($J1300="","",SUMIFS('Weekly Log'!$C:$C,'Weekly Log'!$A:$A,"&gt;="&amp;$J1300,'Weekly Log'!$A:$A,"&lt;"&amp;$J1300+7))</f>
        <v/>
      </c>
      <c r="C1300">
        <f>IF($J1300="","",IFERROR(COUNTIFS('Weekly Log'!$G:$G,"Y",'Weekly Log'!$A:$A,"&gt;="&amp;$J1300,'Weekly Log'!$A:$A,"&lt;"&amp;$J1300+7)/COUNTIFS('Weekly Log'!$G:$G,"&lt;&gt;",'Weekly Log'!$A:$A,"&gt;="&amp;$J1300,'Weekly Log'!$A:$A,"&lt;"&amp;$J1300+7),0))</f>
        <v/>
      </c>
      <c r="D1300">
        <f>IF($J1300="","",IFERROR(COUNTIFS('Weekly Log'!$H:$H,"Y",'Weekly Log'!$A:$A,"&gt;="&amp;$J1300,'Weekly Log'!$A:$A,"&lt;"&amp;$J1300+7)/COUNTIFS('Weekly Log'!$H:$H,"&lt;&gt;",'Weekly Log'!$A:$A,"&gt;="&amp;$J1300,'Weekly Log'!$A:$A,"&lt;"&amp;$J1300+7),0))</f>
        <v/>
      </c>
      <c r="E1300">
        <f>IF($J1300="","",IFERROR(AVERAGEIFS('Weekly Log'!$F:$F,'Weekly Log'!$A:$A,"&gt;="&amp;$J1300,'Weekly Log'!$A:$A,"&lt;"&amp;$J1300+7),0))</f>
        <v/>
      </c>
      <c r="F1300">
        <f>IF($J1300="","",IFERROR(SUMIFS('Weekly Log'!$F:$F,'Weekly Log'!$A:$A,"&gt;="&amp;$J1300,'Weekly Log'!$A:$A,"&lt;"&amp;$J1300+7)/SUMIFS('Weekly Log'!$E:$E,'Weekly Log'!$A:$A,"&gt;="&amp;$J1300,'Weekly Log'!$A:$A,"&lt;"&amp;$J1300+7),0))</f>
        <v/>
      </c>
      <c r="G1300">
        <f>IF($J1300="","",IFERROR(LOOKUP(2,1/(('Weekly Log'!$A$5:$A$5000&gt;=$J1300)*('Weekly Log'!$A$5:$A$5000&lt;$J1300+7)*('Weekly Log'!$M$5:$M$5000&lt;&gt;"")),'Weekly Log'!$M$5:$M$5000),0))</f>
        <v/>
      </c>
      <c r="J1300">
        <f>IF(COUNT('Weekly Log'!$A$5:$A$5000)=0,"",IF(MIN('Weekly Log'!$A$5:$A$5000)+7*(ROW()-10)&gt;MAX('Weekly Log'!$A$5:$A$5000),"",MIN('Weekly Log'!$A$5:$A$5000)+7*(ROW()-10)))</f>
        <v/>
      </c>
    </row>
    <row r="1301">
      <c r="A1301">
        <f>IF($J1301="","",YEAR($J1301-WEEKDAY($J1301,2)+4)&amp;"-W"&amp;TEXT(WEEKNUM($J1301,21),"00"))</f>
        <v/>
      </c>
      <c r="B1301">
        <f>IF($J1301="","",SUMIFS('Weekly Log'!$C:$C,'Weekly Log'!$A:$A,"&gt;="&amp;$J1301,'Weekly Log'!$A:$A,"&lt;"&amp;$J1301+7))</f>
        <v/>
      </c>
      <c r="C1301">
        <f>IF($J1301="","",IFERROR(COUNTIFS('Weekly Log'!$G:$G,"Y",'Weekly Log'!$A:$A,"&gt;="&amp;$J1301,'Weekly Log'!$A:$A,"&lt;"&amp;$J1301+7)/COUNTIFS('Weekly Log'!$G:$G,"&lt;&gt;",'Weekly Log'!$A:$A,"&gt;="&amp;$J1301,'Weekly Log'!$A:$A,"&lt;"&amp;$J1301+7),0))</f>
        <v/>
      </c>
      <c r="D1301">
        <f>IF($J1301="","",IFERROR(COUNTIFS('Weekly Log'!$H:$H,"Y",'Weekly Log'!$A:$A,"&gt;="&amp;$J1301,'Weekly Log'!$A:$A,"&lt;"&amp;$J1301+7)/COUNTIFS('Weekly Log'!$H:$H,"&lt;&gt;",'Weekly Log'!$A:$A,"&gt;="&amp;$J1301,'Weekly Log'!$A:$A,"&lt;"&amp;$J1301+7),0))</f>
        <v/>
      </c>
      <c r="E1301">
        <f>IF($J1301="","",IFERROR(AVERAGEIFS('Weekly Log'!$F:$F,'Weekly Log'!$A:$A,"&gt;="&amp;$J1301,'Weekly Log'!$A:$A,"&lt;"&amp;$J1301+7),0))</f>
        <v/>
      </c>
      <c r="F1301">
        <f>IF($J1301="","",IFERROR(SUMIFS('Weekly Log'!$F:$F,'Weekly Log'!$A:$A,"&gt;="&amp;$J1301,'Weekly Log'!$A:$A,"&lt;"&amp;$J1301+7)/SUMIFS('Weekly Log'!$E:$E,'Weekly Log'!$A:$A,"&gt;="&amp;$J1301,'Weekly Log'!$A:$A,"&lt;"&amp;$J1301+7),0))</f>
        <v/>
      </c>
      <c r="G1301">
        <f>IF($J1301="","",IFERROR(LOOKUP(2,1/(('Weekly Log'!$A$5:$A$5000&gt;=$J1301)*('Weekly Log'!$A$5:$A$5000&lt;$J1301+7)*('Weekly Log'!$M$5:$M$5000&lt;&gt;"")),'Weekly Log'!$M$5:$M$5000),0))</f>
        <v/>
      </c>
      <c r="J1301">
        <f>IF(COUNT('Weekly Log'!$A$5:$A$5000)=0,"",IF(MIN('Weekly Log'!$A$5:$A$5000)+7*(ROW()-10)&gt;MAX('Weekly Log'!$A$5:$A$5000),"",MIN('Weekly Log'!$A$5:$A$5000)+7*(ROW()-10)))</f>
        <v/>
      </c>
    </row>
    <row r="1302">
      <c r="A1302">
        <f>IF($J1302="","",YEAR($J1302-WEEKDAY($J1302,2)+4)&amp;"-W"&amp;TEXT(WEEKNUM($J1302,21),"00"))</f>
        <v/>
      </c>
      <c r="B1302">
        <f>IF($J1302="","",SUMIFS('Weekly Log'!$C:$C,'Weekly Log'!$A:$A,"&gt;="&amp;$J1302,'Weekly Log'!$A:$A,"&lt;"&amp;$J1302+7))</f>
        <v/>
      </c>
      <c r="C1302">
        <f>IF($J1302="","",IFERROR(COUNTIFS('Weekly Log'!$G:$G,"Y",'Weekly Log'!$A:$A,"&gt;="&amp;$J1302,'Weekly Log'!$A:$A,"&lt;"&amp;$J1302+7)/COUNTIFS('Weekly Log'!$G:$G,"&lt;&gt;",'Weekly Log'!$A:$A,"&gt;="&amp;$J1302,'Weekly Log'!$A:$A,"&lt;"&amp;$J1302+7),0))</f>
        <v/>
      </c>
      <c r="D1302">
        <f>IF($J1302="","",IFERROR(COUNTIFS('Weekly Log'!$H:$H,"Y",'Weekly Log'!$A:$A,"&gt;="&amp;$J1302,'Weekly Log'!$A:$A,"&lt;"&amp;$J1302+7)/COUNTIFS('Weekly Log'!$H:$H,"&lt;&gt;",'Weekly Log'!$A:$A,"&gt;="&amp;$J1302,'Weekly Log'!$A:$A,"&lt;"&amp;$J1302+7),0))</f>
        <v/>
      </c>
      <c r="E1302">
        <f>IF($J1302="","",IFERROR(AVERAGEIFS('Weekly Log'!$F:$F,'Weekly Log'!$A:$A,"&gt;="&amp;$J1302,'Weekly Log'!$A:$A,"&lt;"&amp;$J1302+7),0))</f>
        <v/>
      </c>
      <c r="F1302">
        <f>IF($J1302="","",IFERROR(SUMIFS('Weekly Log'!$F:$F,'Weekly Log'!$A:$A,"&gt;="&amp;$J1302,'Weekly Log'!$A:$A,"&lt;"&amp;$J1302+7)/SUMIFS('Weekly Log'!$E:$E,'Weekly Log'!$A:$A,"&gt;="&amp;$J1302,'Weekly Log'!$A:$A,"&lt;"&amp;$J1302+7),0))</f>
        <v/>
      </c>
      <c r="G1302">
        <f>IF($J1302="","",IFERROR(LOOKUP(2,1/(('Weekly Log'!$A$5:$A$5000&gt;=$J1302)*('Weekly Log'!$A$5:$A$5000&lt;$J1302+7)*('Weekly Log'!$M$5:$M$5000&lt;&gt;"")),'Weekly Log'!$M$5:$M$5000),0))</f>
        <v/>
      </c>
      <c r="J1302">
        <f>IF(COUNT('Weekly Log'!$A$5:$A$5000)=0,"",IF(MIN('Weekly Log'!$A$5:$A$5000)+7*(ROW()-10)&gt;MAX('Weekly Log'!$A$5:$A$5000),"",MIN('Weekly Log'!$A$5:$A$5000)+7*(ROW()-10)))</f>
        <v/>
      </c>
    </row>
    <row r="1303">
      <c r="A1303">
        <f>IF($J1303="","",YEAR($J1303-WEEKDAY($J1303,2)+4)&amp;"-W"&amp;TEXT(WEEKNUM($J1303,21),"00"))</f>
        <v/>
      </c>
      <c r="B1303">
        <f>IF($J1303="","",SUMIFS('Weekly Log'!$C:$C,'Weekly Log'!$A:$A,"&gt;="&amp;$J1303,'Weekly Log'!$A:$A,"&lt;"&amp;$J1303+7))</f>
        <v/>
      </c>
      <c r="C1303">
        <f>IF($J1303="","",IFERROR(COUNTIFS('Weekly Log'!$G:$G,"Y",'Weekly Log'!$A:$A,"&gt;="&amp;$J1303,'Weekly Log'!$A:$A,"&lt;"&amp;$J1303+7)/COUNTIFS('Weekly Log'!$G:$G,"&lt;&gt;",'Weekly Log'!$A:$A,"&gt;="&amp;$J1303,'Weekly Log'!$A:$A,"&lt;"&amp;$J1303+7),0))</f>
        <v/>
      </c>
      <c r="D1303">
        <f>IF($J1303="","",IFERROR(COUNTIFS('Weekly Log'!$H:$H,"Y",'Weekly Log'!$A:$A,"&gt;="&amp;$J1303,'Weekly Log'!$A:$A,"&lt;"&amp;$J1303+7)/COUNTIFS('Weekly Log'!$H:$H,"&lt;&gt;",'Weekly Log'!$A:$A,"&gt;="&amp;$J1303,'Weekly Log'!$A:$A,"&lt;"&amp;$J1303+7),0))</f>
        <v/>
      </c>
      <c r="E1303">
        <f>IF($J1303="","",IFERROR(AVERAGEIFS('Weekly Log'!$F:$F,'Weekly Log'!$A:$A,"&gt;="&amp;$J1303,'Weekly Log'!$A:$A,"&lt;"&amp;$J1303+7),0))</f>
        <v/>
      </c>
      <c r="F1303">
        <f>IF($J1303="","",IFERROR(SUMIFS('Weekly Log'!$F:$F,'Weekly Log'!$A:$A,"&gt;="&amp;$J1303,'Weekly Log'!$A:$A,"&lt;"&amp;$J1303+7)/SUMIFS('Weekly Log'!$E:$E,'Weekly Log'!$A:$A,"&gt;="&amp;$J1303,'Weekly Log'!$A:$A,"&lt;"&amp;$J1303+7),0))</f>
        <v/>
      </c>
      <c r="G1303">
        <f>IF($J1303="","",IFERROR(LOOKUP(2,1/(('Weekly Log'!$A$5:$A$5000&gt;=$J1303)*('Weekly Log'!$A$5:$A$5000&lt;$J1303+7)*('Weekly Log'!$M$5:$M$5000&lt;&gt;"")),'Weekly Log'!$M$5:$M$5000),0))</f>
        <v/>
      </c>
      <c r="J1303">
        <f>IF(COUNT('Weekly Log'!$A$5:$A$5000)=0,"",IF(MIN('Weekly Log'!$A$5:$A$5000)+7*(ROW()-10)&gt;MAX('Weekly Log'!$A$5:$A$5000),"",MIN('Weekly Log'!$A$5:$A$5000)+7*(ROW()-10)))</f>
        <v/>
      </c>
    </row>
    <row r="1304">
      <c r="A1304">
        <f>IF($J1304="","",YEAR($J1304-WEEKDAY($J1304,2)+4)&amp;"-W"&amp;TEXT(WEEKNUM($J1304,21),"00"))</f>
        <v/>
      </c>
      <c r="B1304">
        <f>IF($J1304="","",SUMIFS('Weekly Log'!$C:$C,'Weekly Log'!$A:$A,"&gt;="&amp;$J1304,'Weekly Log'!$A:$A,"&lt;"&amp;$J1304+7))</f>
        <v/>
      </c>
      <c r="C1304">
        <f>IF($J1304="","",IFERROR(COUNTIFS('Weekly Log'!$G:$G,"Y",'Weekly Log'!$A:$A,"&gt;="&amp;$J1304,'Weekly Log'!$A:$A,"&lt;"&amp;$J1304+7)/COUNTIFS('Weekly Log'!$G:$G,"&lt;&gt;",'Weekly Log'!$A:$A,"&gt;="&amp;$J1304,'Weekly Log'!$A:$A,"&lt;"&amp;$J1304+7),0))</f>
        <v/>
      </c>
      <c r="D1304">
        <f>IF($J1304="","",IFERROR(COUNTIFS('Weekly Log'!$H:$H,"Y",'Weekly Log'!$A:$A,"&gt;="&amp;$J1304,'Weekly Log'!$A:$A,"&lt;"&amp;$J1304+7)/COUNTIFS('Weekly Log'!$H:$H,"&lt;&gt;",'Weekly Log'!$A:$A,"&gt;="&amp;$J1304,'Weekly Log'!$A:$A,"&lt;"&amp;$J1304+7),0))</f>
        <v/>
      </c>
      <c r="E1304">
        <f>IF($J1304="","",IFERROR(AVERAGEIFS('Weekly Log'!$F:$F,'Weekly Log'!$A:$A,"&gt;="&amp;$J1304,'Weekly Log'!$A:$A,"&lt;"&amp;$J1304+7),0))</f>
        <v/>
      </c>
      <c r="F1304">
        <f>IF($J1304="","",IFERROR(SUMIFS('Weekly Log'!$F:$F,'Weekly Log'!$A:$A,"&gt;="&amp;$J1304,'Weekly Log'!$A:$A,"&lt;"&amp;$J1304+7)/SUMIFS('Weekly Log'!$E:$E,'Weekly Log'!$A:$A,"&gt;="&amp;$J1304,'Weekly Log'!$A:$A,"&lt;"&amp;$J1304+7),0))</f>
        <v/>
      </c>
      <c r="G1304">
        <f>IF($J1304="","",IFERROR(LOOKUP(2,1/(('Weekly Log'!$A$5:$A$5000&gt;=$J1304)*('Weekly Log'!$A$5:$A$5000&lt;$J1304+7)*('Weekly Log'!$M$5:$M$5000&lt;&gt;"")),'Weekly Log'!$M$5:$M$5000),0))</f>
        <v/>
      </c>
      <c r="J1304">
        <f>IF(COUNT('Weekly Log'!$A$5:$A$5000)=0,"",IF(MIN('Weekly Log'!$A$5:$A$5000)+7*(ROW()-10)&gt;MAX('Weekly Log'!$A$5:$A$5000),"",MIN('Weekly Log'!$A$5:$A$5000)+7*(ROW()-10)))</f>
        <v/>
      </c>
    </row>
    <row r="1305">
      <c r="A1305">
        <f>IF($J1305="","",YEAR($J1305-WEEKDAY($J1305,2)+4)&amp;"-W"&amp;TEXT(WEEKNUM($J1305,21),"00"))</f>
        <v/>
      </c>
      <c r="B1305">
        <f>IF($J1305="","",SUMIFS('Weekly Log'!$C:$C,'Weekly Log'!$A:$A,"&gt;="&amp;$J1305,'Weekly Log'!$A:$A,"&lt;"&amp;$J1305+7))</f>
        <v/>
      </c>
      <c r="C1305">
        <f>IF($J1305="","",IFERROR(COUNTIFS('Weekly Log'!$G:$G,"Y",'Weekly Log'!$A:$A,"&gt;="&amp;$J1305,'Weekly Log'!$A:$A,"&lt;"&amp;$J1305+7)/COUNTIFS('Weekly Log'!$G:$G,"&lt;&gt;",'Weekly Log'!$A:$A,"&gt;="&amp;$J1305,'Weekly Log'!$A:$A,"&lt;"&amp;$J1305+7),0))</f>
        <v/>
      </c>
      <c r="D1305">
        <f>IF($J1305="","",IFERROR(COUNTIFS('Weekly Log'!$H:$H,"Y",'Weekly Log'!$A:$A,"&gt;="&amp;$J1305,'Weekly Log'!$A:$A,"&lt;"&amp;$J1305+7)/COUNTIFS('Weekly Log'!$H:$H,"&lt;&gt;",'Weekly Log'!$A:$A,"&gt;="&amp;$J1305,'Weekly Log'!$A:$A,"&lt;"&amp;$J1305+7),0))</f>
        <v/>
      </c>
      <c r="E1305">
        <f>IF($J1305="","",IFERROR(AVERAGEIFS('Weekly Log'!$F:$F,'Weekly Log'!$A:$A,"&gt;="&amp;$J1305,'Weekly Log'!$A:$A,"&lt;"&amp;$J1305+7),0))</f>
        <v/>
      </c>
      <c r="F1305">
        <f>IF($J1305="","",IFERROR(SUMIFS('Weekly Log'!$F:$F,'Weekly Log'!$A:$A,"&gt;="&amp;$J1305,'Weekly Log'!$A:$A,"&lt;"&amp;$J1305+7)/SUMIFS('Weekly Log'!$E:$E,'Weekly Log'!$A:$A,"&gt;="&amp;$J1305,'Weekly Log'!$A:$A,"&lt;"&amp;$J1305+7),0))</f>
        <v/>
      </c>
      <c r="G1305">
        <f>IF($J1305="","",IFERROR(LOOKUP(2,1/(('Weekly Log'!$A$5:$A$5000&gt;=$J1305)*('Weekly Log'!$A$5:$A$5000&lt;$J1305+7)*('Weekly Log'!$M$5:$M$5000&lt;&gt;"")),'Weekly Log'!$M$5:$M$5000),0))</f>
        <v/>
      </c>
      <c r="J1305">
        <f>IF(COUNT('Weekly Log'!$A$5:$A$5000)=0,"",IF(MIN('Weekly Log'!$A$5:$A$5000)+7*(ROW()-10)&gt;MAX('Weekly Log'!$A$5:$A$5000),"",MIN('Weekly Log'!$A$5:$A$5000)+7*(ROW()-10)))</f>
        <v/>
      </c>
    </row>
    <row r="1306">
      <c r="A1306">
        <f>IF($J1306="","",YEAR($J1306-WEEKDAY($J1306,2)+4)&amp;"-W"&amp;TEXT(WEEKNUM($J1306,21),"00"))</f>
        <v/>
      </c>
      <c r="B1306">
        <f>IF($J1306="","",SUMIFS('Weekly Log'!$C:$C,'Weekly Log'!$A:$A,"&gt;="&amp;$J1306,'Weekly Log'!$A:$A,"&lt;"&amp;$J1306+7))</f>
        <v/>
      </c>
      <c r="C1306">
        <f>IF($J1306="","",IFERROR(COUNTIFS('Weekly Log'!$G:$G,"Y",'Weekly Log'!$A:$A,"&gt;="&amp;$J1306,'Weekly Log'!$A:$A,"&lt;"&amp;$J1306+7)/COUNTIFS('Weekly Log'!$G:$G,"&lt;&gt;",'Weekly Log'!$A:$A,"&gt;="&amp;$J1306,'Weekly Log'!$A:$A,"&lt;"&amp;$J1306+7),0))</f>
        <v/>
      </c>
      <c r="D1306">
        <f>IF($J1306="","",IFERROR(COUNTIFS('Weekly Log'!$H:$H,"Y",'Weekly Log'!$A:$A,"&gt;="&amp;$J1306,'Weekly Log'!$A:$A,"&lt;"&amp;$J1306+7)/COUNTIFS('Weekly Log'!$H:$H,"&lt;&gt;",'Weekly Log'!$A:$A,"&gt;="&amp;$J1306,'Weekly Log'!$A:$A,"&lt;"&amp;$J1306+7),0))</f>
        <v/>
      </c>
      <c r="E1306">
        <f>IF($J1306="","",IFERROR(AVERAGEIFS('Weekly Log'!$F:$F,'Weekly Log'!$A:$A,"&gt;="&amp;$J1306,'Weekly Log'!$A:$A,"&lt;"&amp;$J1306+7),0))</f>
        <v/>
      </c>
      <c r="F1306">
        <f>IF($J1306="","",IFERROR(SUMIFS('Weekly Log'!$F:$F,'Weekly Log'!$A:$A,"&gt;="&amp;$J1306,'Weekly Log'!$A:$A,"&lt;"&amp;$J1306+7)/SUMIFS('Weekly Log'!$E:$E,'Weekly Log'!$A:$A,"&gt;="&amp;$J1306,'Weekly Log'!$A:$A,"&lt;"&amp;$J1306+7),0))</f>
        <v/>
      </c>
      <c r="G1306">
        <f>IF($J1306="","",IFERROR(LOOKUP(2,1/(('Weekly Log'!$A$5:$A$5000&gt;=$J1306)*('Weekly Log'!$A$5:$A$5000&lt;$J1306+7)*('Weekly Log'!$M$5:$M$5000&lt;&gt;"")),'Weekly Log'!$M$5:$M$5000),0))</f>
        <v/>
      </c>
      <c r="J1306">
        <f>IF(COUNT('Weekly Log'!$A$5:$A$5000)=0,"",IF(MIN('Weekly Log'!$A$5:$A$5000)+7*(ROW()-10)&gt;MAX('Weekly Log'!$A$5:$A$5000),"",MIN('Weekly Log'!$A$5:$A$5000)+7*(ROW()-10)))</f>
        <v/>
      </c>
    </row>
    <row r="1307">
      <c r="A1307">
        <f>IF($J1307="","",YEAR($J1307-WEEKDAY($J1307,2)+4)&amp;"-W"&amp;TEXT(WEEKNUM($J1307,21),"00"))</f>
        <v/>
      </c>
      <c r="B1307">
        <f>IF($J1307="","",SUMIFS('Weekly Log'!$C:$C,'Weekly Log'!$A:$A,"&gt;="&amp;$J1307,'Weekly Log'!$A:$A,"&lt;"&amp;$J1307+7))</f>
        <v/>
      </c>
      <c r="C1307">
        <f>IF($J1307="","",IFERROR(COUNTIFS('Weekly Log'!$G:$G,"Y",'Weekly Log'!$A:$A,"&gt;="&amp;$J1307,'Weekly Log'!$A:$A,"&lt;"&amp;$J1307+7)/COUNTIFS('Weekly Log'!$G:$G,"&lt;&gt;",'Weekly Log'!$A:$A,"&gt;="&amp;$J1307,'Weekly Log'!$A:$A,"&lt;"&amp;$J1307+7),0))</f>
        <v/>
      </c>
      <c r="D1307">
        <f>IF($J1307="","",IFERROR(COUNTIFS('Weekly Log'!$H:$H,"Y",'Weekly Log'!$A:$A,"&gt;="&amp;$J1307,'Weekly Log'!$A:$A,"&lt;"&amp;$J1307+7)/COUNTIFS('Weekly Log'!$H:$H,"&lt;&gt;",'Weekly Log'!$A:$A,"&gt;="&amp;$J1307,'Weekly Log'!$A:$A,"&lt;"&amp;$J1307+7),0))</f>
        <v/>
      </c>
      <c r="E1307">
        <f>IF($J1307="","",IFERROR(AVERAGEIFS('Weekly Log'!$F:$F,'Weekly Log'!$A:$A,"&gt;="&amp;$J1307,'Weekly Log'!$A:$A,"&lt;"&amp;$J1307+7),0))</f>
        <v/>
      </c>
      <c r="F1307">
        <f>IF($J1307="","",IFERROR(SUMIFS('Weekly Log'!$F:$F,'Weekly Log'!$A:$A,"&gt;="&amp;$J1307,'Weekly Log'!$A:$A,"&lt;"&amp;$J1307+7)/SUMIFS('Weekly Log'!$E:$E,'Weekly Log'!$A:$A,"&gt;="&amp;$J1307,'Weekly Log'!$A:$A,"&lt;"&amp;$J1307+7),0))</f>
        <v/>
      </c>
      <c r="G1307">
        <f>IF($J1307="","",IFERROR(LOOKUP(2,1/(('Weekly Log'!$A$5:$A$5000&gt;=$J1307)*('Weekly Log'!$A$5:$A$5000&lt;$J1307+7)*('Weekly Log'!$M$5:$M$5000&lt;&gt;"")),'Weekly Log'!$M$5:$M$5000),0))</f>
        <v/>
      </c>
      <c r="J1307">
        <f>IF(COUNT('Weekly Log'!$A$5:$A$5000)=0,"",IF(MIN('Weekly Log'!$A$5:$A$5000)+7*(ROW()-10)&gt;MAX('Weekly Log'!$A$5:$A$5000),"",MIN('Weekly Log'!$A$5:$A$5000)+7*(ROW()-10)))</f>
        <v/>
      </c>
    </row>
    <row r="1308">
      <c r="A1308">
        <f>IF($J1308="","",YEAR($J1308-WEEKDAY($J1308,2)+4)&amp;"-W"&amp;TEXT(WEEKNUM($J1308,21),"00"))</f>
        <v/>
      </c>
      <c r="B1308">
        <f>IF($J1308="","",SUMIFS('Weekly Log'!$C:$C,'Weekly Log'!$A:$A,"&gt;="&amp;$J1308,'Weekly Log'!$A:$A,"&lt;"&amp;$J1308+7))</f>
        <v/>
      </c>
      <c r="C1308">
        <f>IF($J1308="","",IFERROR(COUNTIFS('Weekly Log'!$G:$G,"Y",'Weekly Log'!$A:$A,"&gt;="&amp;$J1308,'Weekly Log'!$A:$A,"&lt;"&amp;$J1308+7)/COUNTIFS('Weekly Log'!$G:$G,"&lt;&gt;",'Weekly Log'!$A:$A,"&gt;="&amp;$J1308,'Weekly Log'!$A:$A,"&lt;"&amp;$J1308+7),0))</f>
        <v/>
      </c>
      <c r="D1308">
        <f>IF($J1308="","",IFERROR(COUNTIFS('Weekly Log'!$H:$H,"Y",'Weekly Log'!$A:$A,"&gt;="&amp;$J1308,'Weekly Log'!$A:$A,"&lt;"&amp;$J1308+7)/COUNTIFS('Weekly Log'!$H:$H,"&lt;&gt;",'Weekly Log'!$A:$A,"&gt;="&amp;$J1308,'Weekly Log'!$A:$A,"&lt;"&amp;$J1308+7),0))</f>
        <v/>
      </c>
      <c r="E1308">
        <f>IF($J1308="","",IFERROR(AVERAGEIFS('Weekly Log'!$F:$F,'Weekly Log'!$A:$A,"&gt;="&amp;$J1308,'Weekly Log'!$A:$A,"&lt;"&amp;$J1308+7),0))</f>
        <v/>
      </c>
      <c r="F1308">
        <f>IF($J1308="","",IFERROR(SUMIFS('Weekly Log'!$F:$F,'Weekly Log'!$A:$A,"&gt;="&amp;$J1308,'Weekly Log'!$A:$A,"&lt;"&amp;$J1308+7)/SUMIFS('Weekly Log'!$E:$E,'Weekly Log'!$A:$A,"&gt;="&amp;$J1308,'Weekly Log'!$A:$A,"&lt;"&amp;$J1308+7),0))</f>
        <v/>
      </c>
      <c r="G1308">
        <f>IF($J1308="","",IFERROR(LOOKUP(2,1/(('Weekly Log'!$A$5:$A$5000&gt;=$J1308)*('Weekly Log'!$A$5:$A$5000&lt;$J1308+7)*('Weekly Log'!$M$5:$M$5000&lt;&gt;"")),'Weekly Log'!$M$5:$M$5000),0))</f>
        <v/>
      </c>
      <c r="J1308">
        <f>IF(COUNT('Weekly Log'!$A$5:$A$5000)=0,"",IF(MIN('Weekly Log'!$A$5:$A$5000)+7*(ROW()-10)&gt;MAX('Weekly Log'!$A$5:$A$5000),"",MIN('Weekly Log'!$A$5:$A$5000)+7*(ROW()-10)))</f>
        <v/>
      </c>
    </row>
    <row r="1309">
      <c r="A1309">
        <f>IF($J1309="","",YEAR($J1309-WEEKDAY($J1309,2)+4)&amp;"-W"&amp;TEXT(WEEKNUM($J1309,21),"00"))</f>
        <v/>
      </c>
      <c r="B1309">
        <f>IF($J1309="","",SUMIFS('Weekly Log'!$C:$C,'Weekly Log'!$A:$A,"&gt;="&amp;$J1309,'Weekly Log'!$A:$A,"&lt;"&amp;$J1309+7))</f>
        <v/>
      </c>
      <c r="C1309">
        <f>IF($J1309="","",IFERROR(COUNTIFS('Weekly Log'!$G:$G,"Y",'Weekly Log'!$A:$A,"&gt;="&amp;$J1309,'Weekly Log'!$A:$A,"&lt;"&amp;$J1309+7)/COUNTIFS('Weekly Log'!$G:$G,"&lt;&gt;",'Weekly Log'!$A:$A,"&gt;="&amp;$J1309,'Weekly Log'!$A:$A,"&lt;"&amp;$J1309+7),0))</f>
        <v/>
      </c>
      <c r="D1309">
        <f>IF($J1309="","",IFERROR(COUNTIFS('Weekly Log'!$H:$H,"Y",'Weekly Log'!$A:$A,"&gt;="&amp;$J1309,'Weekly Log'!$A:$A,"&lt;"&amp;$J1309+7)/COUNTIFS('Weekly Log'!$H:$H,"&lt;&gt;",'Weekly Log'!$A:$A,"&gt;="&amp;$J1309,'Weekly Log'!$A:$A,"&lt;"&amp;$J1309+7),0))</f>
        <v/>
      </c>
      <c r="E1309">
        <f>IF($J1309="","",IFERROR(AVERAGEIFS('Weekly Log'!$F:$F,'Weekly Log'!$A:$A,"&gt;="&amp;$J1309,'Weekly Log'!$A:$A,"&lt;"&amp;$J1309+7),0))</f>
        <v/>
      </c>
      <c r="F1309">
        <f>IF($J1309="","",IFERROR(SUMIFS('Weekly Log'!$F:$F,'Weekly Log'!$A:$A,"&gt;="&amp;$J1309,'Weekly Log'!$A:$A,"&lt;"&amp;$J1309+7)/SUMIFS('Weekly Log'!$E:$E,'Weekly Log'!$A:$A,"&gt;="&amp;$J1309,'Weekly Log'!$A:$A,"&lt;"&amp;$J1309+7),0))</f>
        <v/>
      </c>
      <c r="G1309">
        <f>IF($J1309="","",IFERROR(LOOKUP(2,1/(('Weekly Log'!$A$5:$A$5000&gt;=$J1309)*('Weekly Log'!$A$5:$A$5000&lt;$J1309+7)*('Weekly Log'!$M$5:$M$5000&lt;&gt;"")),'Weekly Log'!$M$5:$M$5000),0))</f>
        <v/>
      </c>
      <c r="J1309">
        <f>IF(COUNT('Weekly Log'!$A$5:$A$5000)=0,"",IF(MIN('Weekly Log'!$A$5:$A$5000)+7*(ROW()-10)&gt;MAX('Weekly Log'!$A$5:$A$5000),"",MIN('Weekly Log'!$A$5:$A$5000)+7*(ROW()-10)))</f>
        <v/>
      </c>
    </row>
    <row r="1310">
      <c r="A1310">
        <f>IF($J1310="","",YEAR($J1310-WEEKDAY($J1310,2)+4)&amp;"-W"&amp;TEXT(WEEKNUM($J1310,21),"00"))</f>
        <v/>
      </c>
      <c r="B1310">
        <f>IF($J1310="","",SUMIFS('Weekly Log'!$C:$C,'Weekly Log'!$A:$A,"&gt;="&amp;$J1310,'Weekly Log'!$A:$A,"&lt;"&amp;$J1310+7))</f>
        <v/>
      </c>
      <c r="C1310">
        <f>IF($J1310="","",IFERROR(COUNTIFS('Weekly Log'!$G:$G,"Y",'Weekly Log'!$A:$A,"&gt;="&amp;$J1310,'Weekly Log'!$A:$A,"&lt;"&amp;$J1310+7)/COUNTIFS('Weekly Log'!$G:$G,"&lt;&gt;",'Weekly Log'!$A:$A,"&gt;="&amp;$J1310,'Weekly Log'!$A:$A,"&lt;"&amp;$J1310+7),0))</f>
        <v/>
      </c>
      <c r="D1310">
        <f>IF($J1310="","",IFERROR(COUNTIFS('Weekly Log'!$H:$H,"Y",'Weekly Log'!$A:$A,"&gt;="&amp;$J1310,'Weekly Log'!$A:$A,"&lt;"&amp;$J1310+7)/COUNTIFS('Weekly Log'!$H:$H,"&lt;&gt;",'Weekly Log'!$A:$A,"&gt;="&amp;$J1310,'Weekly Log'!$A:$A,"&lt;"&amp;$J1310+7),0))</f>
        <v/>
      </c>
      <c r="E1310">
        <f>IF($J1310="","",IFERROR(AVERAGEIFS('Weekly Log'!$F:$F,'Weekly Log'!$A:$A,"&gt;="&amp;$J1310,'Weekly Log'!$A:$A,"&lt;"&amp;$J1310+7),0))</f>
        <v/>
      </c>
      <c r="F1310">
        <f>IF($J1310="","",IFERROR(SUMIFS('Weekly Log'!$F:$F,'Weekly Log'!$A:$A,"&gt;="&amp;$J1310,'Weekly Log'!$A:$A,"&lt;"&amp;$J1310+7)/SUMIFS('Weekly Log'!$E:$E,'Weekly Log'!$A:$A,"&gt;="&amp;$J1310,'Weekly Log'!$A:$A,"&lt;"&amp;$J1310+7),0))</f>
        <v/>
      </c>
      <c r="G1310">
        <f>IF($J1310="","",IFERROR(LOOKUP(2,1/(('Weekly Log'!$A$5:$A$5000&gt;=$J1310)*('Weekly Log'!$A$5:$A$5000&lt;$J1310+7)*('Weekly Log'!$M$5:$M$5000&lt;&gt;"")),'Weekly Log'!$M$5:$M$5000),0))</f>
        <v/>
      </c>
      <c r="J1310">
        <f>IF(COUNT('Weekly Log'!$A$5:$A$5000)=0,"",IF(MIN('Weekly Log'!$A$5:$A$5000)+7*(ROW()-10)&gt;MAX('Weekly Log'!$A$5:$A$5000),"",MIN('Weekly Log'!$A$5:$A$5000)+7*(ROW()-10)))</f>
        <v/>
      </c>
    </row>
    <row r="1311">
      <c r="A1311">
        <f>IF($J1311="","",YEAR($J1311-WEEKDAY($J1311,2)+4)&amp;"-W"&amp;TEXT(WEEKNUM($J1311,21),"00"))</f>
        <v/>
      </c>
      <c r="B1311">
        <f>IF($J1311="","",SUMIFS('Weekly Log'!$C:$C,'Weekly Log'!$A:$A,"&gt;="&amp;$J1311,'Weekly Log'!$A:$A,"&lt;"&amp;$J1311+7))</f>
        <v/>
      </c>
      <c r="C1311">
        <f>IF($J1311="","",IFERROR(COUNTIFS('Weekly Log'!$G:$G,"Y",'Weekly Log'!$A:$A,"&gt;="&amp;$J1311,'Weekly Log'!$A:$A,"&lt;"&amp;$J1311+7)/COUNTIFS('Weekly Log'!$G:$G,"&lt;&gt;",'Weekly Log'!$A:$A,"&gt;="&amp;$J1311,'Weekly Log'!$A:$A,"&lt;"&amp;$J1311+7),0))</f>
        <v/>
      </c>
      <c r="D1311">
        <f>IF($J1311="","",IFERROR(COUNTIFS('Weekly Log'!$H:$H,"Y",'Weekly Log'!$A:$A,"&gt;="&amp;$J1311,'Weekly Log'!$A:$A,"&lt;"&amp;$J1311+7)/COUNTIFS('Weekly Log'!$H:$H,"&lt;&gt;",'Weekly Log'!$A:$A,"&gt;="&amp;$J1311,'Weekly Log'!$A:$A,"&lt;"&amp;$J1311+7),0))</f>
        <v/>
      </c>
      <c r="E1311">
        <f>IF($J1311="","",IFERROR(AVERAGEIFS('Weekly Log'!$F:$F,'Weekly Log'!$A:$A,"&gt;="&amp;$J1311,'Weekly Log'!$A:$A,"&lt;"&amp;$J1311+7),0))</f>
        <v/>
      </c>
      <c r="F1311">
        <f>IF($J1311="","",IFERROR(SUMIFS('Weekly Log'!$F:$F,'Weekly Log'!$A:$A,"&gt;="&amp;$J1311,'Weekly Log'!$A:$A,"&lt;"&amp;$J1311+7)/SUMIFS('Weekly Log'!$E:$E,'Weekly Log'!$A:$A,"&gt;="&amp;$J1311,'Weekly Log'!$A:$A,"&lt;"&amp;$J1311+7),0))</f>
        <v/>
      </c>
      <c r="G1311">
        <f>IF($J1311="","",IFERROR(LOOKUP(2,1/(('Weekly Log'!$A$5:$A$5000&gt;=$J1311)*('Weekly Log'!$A$5:$A$5000&lt;$J1311+7)*('Weekly Log'!$M$5:$M$5000&lt;&gt;"")),'Weekly Log'!$M$5:$M$5000),0))</f>
        <v/>
      </c>
      <c r="J1311">
        <f>IF(COUNT('Weekly Log'!$A$5:$A$5000)=0,"",IF(MIN('Weekly Log'!$A$5:$A$5000)+7*(ROW()-10)&gt;MAX('Weekly Log'!$A$5:$A$5000),"",MIN('Weekly Log'!$A$5:$A$5000)+7*(ROW()-10)))</f>
        <v/>
      </c>
    </row>
    <row r="1312">
      <c r="A1312">
        <f>IF($J1312="","",YEAR($J1312-WEEKDAY($J1312,2)+4)&amp;"-W"&amp;TEXT(WEEKNUM($J1312,21),"00"))</f>
        <v/>
      </c>
      <c r="B1312">
        <f>IF($J1312="","",SUMIFS('Weekly Log'!$C:$C,'Weekly Log'!$A:$A,"&gt;="&amp;$J1312,'Weekly Log'!$A:$A,"&lt;"&amp;$J1312+7))</f>
        <v/>
      </c>
      <c r="C1312">
        <f>IF($J1312="","",IFERROR(COUNTIFS('Weekly Log'!$G:$G,"Y",'Weekly Log'!$A:$A,"&gt;="&amp;$J1312,'Weekly Log'!$A:$A,"&lt;"&amp;$J1312+7)/COUNTIFS('Weekly Log'!$G:$G,"&lt;&gt;",'Weekly Log'!$A:$A,"&gt;="&amp;$J1312,'Weekly Log'!$A:$A,"&lt;"&amp;$J1312+7),0))</f>
        <v/>
      </c>
      <c r="D1312">
        <f>IF($J1312="","",IFERROR(COUNTIFS('Weekly Log'!$H:$H,"Y",'Weekly Log'!$A:$A,"&gt;="&amp;$J1312,'Weekly Log'!$A:$A,"&lt;"&amp;$J1312+7)/COUNTIFS('Weekly Log'!$H:$H,"&lt;&gt;",'Weekly Log'!$A:$A,"&gt;="&amp;$J1312,'Weekly Log'!$A:$A,"&lt;"&amp;$J1312+7),0))</f>
        <v/>
      </c>
      <c r="E1312">
        <f>IF($J1312="","",IFERROR(AVERAGEIFS('Weekly Log'!$F:$F,'Weekly Log'!$A:$A,"&gt;="&amp;$J1312,'Weekly Log'!$A:$A,"&lt;"&amp;$J1312+7),0))</f>
        <v/>
      </c>
      <c r="F1312">
        <f>IF($J1312="","",IFERROR(SUMIFS('Weekly Log'!$F:$F,'Weekly Log'!$A:$A,"&gt;="&amp;$J1312,'Weekly Log'!$A:$A,"&lt;"&amp;$J1312+7)/SUMIFS('Weekly Log'!$E:$E,'Weekly Log'!$A:$A,"&gt;="&amp;$J1312,'Weekly Log'!$A:$A,"&lt;"&amp;$J1312+7),0))</f>
        <v/>
      </c>
      <c r="G1312">
        <f>IF($J1312="","",IFERROR(LOOKUP(2,1/(('Weekly Log'!$A$5:$A$5000&gt;=$J1312)*('Weekly Log'!$A$5:$A$5000&lt;$J1312+7)*('Weekly Log'!$M$5:$M$5000&lt;&gt;"")),'Weekly Log'!$M$5:$M$5000),0))</f>
        <v/>
      </c>
      <c r="J1312">
        <f>IF(COUNT('Weekly Log'!$A$5:$A$5000)=0,"",IF(MIN('Weekly Log'!$A$5:$A$5000)+7*(ROW()-10)&gt;MAX('Weekly Log'!$A$5:$A$5000),"",MIN('Weekly Log'!$A$5:$A$5000)+7*(ROW()-10)))</f>
        <v/>
      </c>
    </row>
    <row r="1313">
      <c r="A1313">
        <f>IF($J1313="","",YEAR($J1313-WEEKDAY($J1313,2)+4)&amp;"-W"&amp;TEXT(WEEKNUM($J1313,21),"00"))</f>
        <v/>
      </c>
      <c r="B1313">
        <f>IF($J1313="","",SUMIFS('Weekly Log'!$C:$C,'Weekly Log'!$A:$A,"&gt;="&amp;$J1313,'Weekly Log'!$A:$A,"&lt;"&amp;$J1313+7))</f>
        <v/>
      </c>
      <c r="C1313">
        <f>IF($J1313="","",IFERROR(COUNTIFS('Weekly Log'!$G:$G,"Y",'Weekly Log'!$A:$A,"&gt;="&amp;$J1313,'Weekly Log'!$A:$A,"&lt;"&amp;$J1313+7)/COUNTIFS('Weekly Log'!$G:$G,"&lt;&gt;",'Weekly Log'!$A:$A,"&gt;="&amp;$J1313,'Weekly Log'!$A:$A,"&lt;"&amp;$J1313+7),0))</f>
        <v/>
      </c>
      <c r="D1313">
        <f>IF($J1313="","",IFERROR(COUNTIFS('Weekly Log'!$H:$H,"Y",'Weekly Log'!$A:$A,"&gt;="&amp;$J1313,'Weekly Log'!$A:$A,"&lt;"&amp;$J1313+7)/COUNTIFS('Weekly Log'!$H:$H,"&lt;&gt;",'Weekly Log'!$A:$A,"&gt;="&amp;$J1313,'Weekly Log'!$A:$A,"&lt;"&amp;$J1313+7),0))</f>
        <v/>
      </c>
      <c r="E1313">
        <f>IF($J1313="","",IFERROR(AVERAGEIFS('Weekly Log'!$F:$F,'Weekly Log'!$A:$A,"&gt;="&amp;$J1313,'Weekly Log'!$A:$A,"&lt;"&amp;$J1313+7),0))</f>
        <v/>
      </c>
      <c r="F1313">
        <f>IF($J1313="","",IFERROR(SUMIFS('Weekly Log'!$F:$F,'Weekly Log'!$A:$A,"&gt;="&amp;$J1313,'Weekly Log'!$A:$A,"&lt;"&amp;$J1313+7)/SUMIFS('Weekly Log'!$E:$E,'Weekly Log'!$A:$A,"&gt;="&amp;$J1313,'Weekly Log'!$A:$A,"&lt;"&amp;$J1313+7),0))</f>
        <v/>
      </c>
      <c r="G1313">
        <f>IF($J1313="","",IFERROR(LOOKUP(2,1/(('Weekly Log'!$A$5:$A$5000&gt;=$J1313)*('Weekly Log'!$A$5:$A$5000&lt;$J1313+7)*('Weekly Log'!$M$5:$M$5000&lt;&gt;"")),'Weekly Log'!$M$5:$M$5000),0))</f>
        <v/>
      </c>
      <c r="J1313">
        <f>IF(COUNT('Weekly Log'!$A$5:$A$5000)=0,"",IF(MIN('Weekly Log'!$A$5:$A$5000)+7*(ROW()-10)&gt;MAX('Weekly Log'!$A$5:$A$5000),"",MIN('Weekly Log'!$A$5:$A$5000)+7*(ROW()-10)))</f>
        <v/>
      </c>
    </row>
    <row r="1314">
      <c r="A1314">
        <f>IF($J1314="","",YEAR($J1314-WEEKDAY($J1314,2)+4)&amp;"-W"&amp;TEXT(WEEKNUM($J1314,21),"00"))</f>
        <v/>
      </c>
      <c r="B1314">
        <f>IF($J1314="","",SUMIFS('Weekly Log'!$C:$C,'Weekly Log'!$A:$A,"&gt;="&amp;$J1314,'Weekly Log'!$A:$A,"&lt;"&amp;$J1314+7))</f>
        <v/>
      </c>
      <c r="C1314">
        <f>IF($J1314="","",IFERROR(COUNTIFS('Weekly Log'!$G:$G,"Y",'Weekly Log'!$A:$A,"&gt;="&amp;$J1314,'Weekly Log'!$A:$A,"&lt;"&amp;$J1314+7)/COUNTIFS('Weekly Log'!$G:$G,"&lt;&gt;",'Weekly Log'!$A:$A,"&gt;="&amp;$J1314,'Weekly Log'!$A:$A,"&lt;"&amp;$J1314+7),0))</f>
        <v/>
      </c>
      <c r="D1314">
        <f>IF($J1314="","",IFERROR(COUNTIFS('Weekly Log'!$H:$H,"Y",'Weekly Log'!$A:$A,"&gt;="&amp;$J1314,'Weekly Log'!$A:$A,"&lt;"&amp;$J1314+7)/COUNTIFS('Weekly Log'!$H:$H,"&lt;&gt;",'Weekly Log'!$A:$A,"&gt;="&amp;$J1314,'Weekly Log'!$A:$A,"&lt;"&amp;$J1314+7),0))</f>
        <v/>
      </c>
      <c r="E1314">
        <f>IF($J1314="","",IFERROR(AVERAGEIFS('Weekly Log'!$F:$F,'Weekly Log'!$A:$A,"&gt;="&amp;$J1314,'Weekly Log'!$A:$A,"&lt;"&amp;$J1314+7),0))</f>
        <v/>
      </c>
      <c r="F1314">
        <f>IF($J1314="","",IFERROR(SUMIFS('Weekly Log'!$F:$F,'Weekly Log'!$A:$A,"&gt;="&amp;$J1314,'Weekly Log'!$A:$A,"&lt;"&amp;$J1314+7)/SUMIFS('Weekly Log'!$E:$E,'Weekly Log'!$A:$A,"&gt;="&amp;$J1314,'Weekly Log'!$A:$A,"&lt;"&amp;$J1314+7),0))</f>
        <v/>
      </c>
      <c r="G1314">
        <f>IF($J1314="","",IFERROR(LOOKUP(2,1/(('Weekly Log'!$A$5:$A$5000&gt;=$J1314)*('Weekly Log'!$A$5:$A$5000&lt;$J1314+7)*('Weekly Log'!$M$5:$M$5000&lt;&gt;"")),'Weekly Log'!$M$5:$M$5000),0))</f>
        <v/>
      </c>
      <c r="J1314">
        <f>IF(COUNT('Weekly Log'!$A$5:$A$5000)=0,"",IF(MIN('Weekly Log'!$A$5:$A$5000)+7*(ROW()-10)&gt;MAX('Weekly Log'!$A$5:$A$5000),"",MIN('Weekly Log'!$A$5:$A$5000)+7*(ROW()-10)))</f>
        <v/>
      </c>
    </row>
    <row r="1315">
      <c r="A1315">
        <f>IF($J1315="","",YEAR($J1315-WEEKDAY($J1315,2)+4)&amp;"-W"&amp;TEXT(WEEKNUM($J1315,21),"00"))</f>
        <v/>
      </c>
      <c r="B1315">
        <f>IF($J1315="","",SUMIFS('Weekly Log'!$C:$C,'Weekly Log'!$A:$A,"&gt;="&amp;$J1315,'Weekly Log'!$A:$A,"&lt;"&amp;$J1315+7))</f>
        <v/>
      </c>
      <c r="C1315">
        <f>IF($J1315="","",IFERROR(COUNTIFS('Weekly Log'!$G:$G,"Y",'Weekly Log'!$A:$A,"&gt;="&amp;$J1315,'Weekly Log'!$A:$A,"&lt;"&amp;$J1315+7)/COUNTIFS('Weekly Log'!$G:$G,"&lt;&gt;",'Weekly Log'!$A:$A,"&gt;="&amp;$J1315,'Weekly Log'!$A:$A,"&lt;"&amp;$J1315+7),0))</f>
        <v/>
      </c>
      <c r="D1315">
        <f>IF($J1315="","",IFERROR(COUNTIFS('Weekly Log'!$H:$H,"Y",'Weekly Log'!$A:$A,"&gt;="&amp;$J1315,'Weekly Log'!$A:$A,"&lt;"&amp;$J1315+7)/COUNTIFS('Weekly Log'!$H:$H,"&lt;&gt;",'Weekly Log'!$A:$A,"&gt;="&amp;$J1315,'Weekly Log'!$A:$A,"&lt;"&amp;$J1315+7),0))</f>
        <v/>
      </c>
      <c r="E1315">
        <f>IF($J1315="","",IFERROR(AVERAGEIFS('Weekly Log'!$F:$F,'Weekly Log'!$A:$A,"&gt;="&amp;$J1315,'Weekly Log'!$A:$A,"&lt;"&amp;$J1315+7),0))</f>
        <v/>
      </c>
      <c r="F1315">
        <f>IF($J1315="","",IFERROR(SUMIFS('Weekly Log'!$F:$F,'Weekly Log'!$A:$A,"&gt;="&amp;$J1315,'Weekly Log'!$A:$A,"&lt;"&amp;$J1315+7)/SUMIFS('Weekly Log'!$E:$E,'Weekly Log'!$A:$A,"&gt;="&amp;$J1315,'Weekly Log'!$A:$A,"&lt;"&amp;$J1315+7),0))</f>
        <v/>
      </c>
      <c r="G1315">
        <f>IF($J1315="","",IFERROR(LOOKUP(2,1/(('Weekly Log'!$A$5:$A$5000&gt;=$J1315)*('Weekly Log'!$A$5:$A$5000&lt;$J1315+7)*('Weekly Log'!$M$5:$M$5000&lt;&gt;"")),'Weekly Log'!$M$5:$M$5000),0))</f>
        <v/>
      </c>
      <c r="J1315">
        <f>IF(COUNT('Weekly Log'!$A$5:$A$5000)=0,"",IF(MIN('Weekly Log'!$A$5:$A$5000)+7*(ROW()-10)&gt;MAX('Weekly Log'!$A$5:$A$5000),"",MIN('Weekly Log'!$A$5:$A$5000)+7*(ROW()-10)))</f>
        <v/>
      </c>
    </row>
    <row r="1316">
      <c r="A1316">
        <f>IF($J1316="","",YEAR($J1316-WEEKDAY($J1316,2)+4)&amp;"-W"&amp;TEXT(WEEKNUM($J1316,21),"00"))</f>
        <v/>
      </c>
      <c r="B1316">
        <f>IF($J1316="","",SUMIFS('Weekly Log'!$C:$C,'Weekly Log'!$A:$A,"&gt;="&amp;$J1316,'Weekly Log'!$A:$A,"&lt;"&amp;$J1316+7))</f>
        <v/>
      </c>
      <c r="C1316">
        <f>IF($J1316="","",IFERROR(COUNTIFS('Weekly Log'!$G:$G,"Y",'Weekly Log'!$A:$A,"&gt;="&amp;$J1316,'Weekly Log'!$A:$A,"&lt;"&amp;$J1316+7)/COUNTIFS('Weekly Log'!$G:$G,"&lt;&gt;",'Weekly Log'!$A:$A,"&gt;="&amp;$J1316,'Weekly Log'!$A:$A,"&lt;"&amp;$J1316+7),0))</f>
        <v/>
      </c>
      <c r="D1316">
        <f>IF($J1316="","",IFERROR(COUNTIFS('Weekly Log'!$H:$H,"Y",'Weekly Log'!$A:$A,"&gt;="&amp;$J1316,'Weekly Log'!$A:$A,"&lt;"&amp;$J1316+7)/COUNTIFS('Weekly Log'!$H:$H,"&lt;&gt;",'Weekly Log'!$A:$A,"&gt;="&amp;$J1316,'Weekly Log'!$A:$A,"&lt;"&amp;$J1316+7),0))</f>
        <v/>
      </c>
      <c r="E1316">
        <f>IF($J1316="","",IFERROR(AVERAGEIFS('Weekly Log'!$F:$F,'Weekly Log'!$A:$A,"&gt;="&amp;$J1316,'Weekly Log'!$A:$A,"&lt;"&amp;$J1316+7),0))</f>
        <v/>
      </c>
      <c r="F1316">
        <f>IF($J1316="","",IFERROR(SUMIFS('Weekly Log'!$F:$F,'Weekly Log'!$A:$A,"&gt;="&amp;$J1316,'Weekly Log'!$A:$A,"&lt;"&amp;$J1316+7)/SUMIFS('Weekly Log'!$E:$E,'Weekly Log'!$A:$A,"&gt;="&amp;$J1316,'Weekly Log'!$A:$A,"&lt;"&amp;$J1316+7),0))</f>
        <v/>
      </c>
      <c r="G1316">
        <f>IF($J1316="","",IFERROR(LOOKUP(2,1/(('Weekly Log'!$A$5:$A$5000&gt;=$J1316)*('Weekly Log'!$A$5:$A$5000&lt;$J1316+7)*('Weekly Log'!$M$5:$M$5000&lt;&gt;"")),'Weekly Log'!$M$5:$M$5000),0))</f>
        <v/>
      </c>
      <c r="J1316">
        <f>IF(COUNT('Weekly Log'!$A$5:$A$5000)=0,"",IF(MIN('Weekly Log'!$A$5:$A$5000)+7*(ROW()-10)&gt;MAX('Weekly Log'!$A$5:$A$5000),"",MIN('Weekly Log'!$A$5:$A$5000)+7*(ROW()-10)))</f>
        <v/>
      </c>
    </row>
    <row r="1317">
      <c r="A1317">
        <f>IF($J1317="","",YEAR($J1317-WEEKDAY($J1317,2)+4)&amp;"-W"&amp;TEXT(WEEKNUM($J1317,21),"00"))</f>
        <v/>
      </c>
      <c r="B1317">
        <f>IF($J1317="","",SUMIFS('Weekly Log'!$C:$C,'Weekly Log'!$A:$A,"&gt;="&amp;$J1317,'Weekly Log'!$A:$A,"&lt;"&amp;$J1317+7))</f>
        <v/>
      </c>
      <c r="C1317">
        <f>IF($J1317="","",IFERROR(COUNTIFS('Weekly Log'!$G:$G,"Y",'Weekly Log'!$A:$A,"&gt;="&amp;$J1317,'Weekly Log'!$A:$A,"&lt;"&amp;$J1317+7)/COUNTIFS('Weekly Log'!$G:$G,"&lt;&gt;",'Weekly Log'!$A:$A,"&gt;="&amp;$J1317,'Weekly Log'!$A:$A,"&lt;"&amp;$J1317+7),0))</f>
        <v/>
      </c>
      <c r="D1317">
        <f>IF($J1317="","",IFERROR(COUNTIFS('Weekly Log'!$H:$H,"Y",'Weekly Log'!$A:$A,"&gt;="&amp;$J1317,'Weekly Log'!$A:$A,"&lt;"&amp;$J1317+7)/COUNTIFS('Weekly Log'!$H:$H,"&lt;&gt;",'Weekly Log'!$A:$A,"&gt;="&amp;$J1317,'Weekly Log'!$A:$A,"&lt;"&amp;$J1317+7),0))</f>
        <v/>
      </c>
      <c r="E1317">
        <f>IF($J1317="","",IFERROR(AVERAGEIFS('Weekly Log'!$F:$F,'Weekly Log'!$A:$A,"&gt;="&amp;$J1317,'Weekly Log'!$A:$A,"&lt;"&amp;$J1317+7),0))</f>
        <v/>
      </c>
      <c r="F1317">
        <f>IF($J1317="","",IFERROR(SUMIFS('Weekly Log'!$F:$F,'Weekly Log'!$A:$A,"&gt;="&amp;$J1317,'Weekly Log'!$A:$A,"&lt;"&amp;$J1317+7)/SUMIFS('Weekly Log'!$E:$E,'Weekly Log'!$A:$A,"&gt;="&amp;$J1317,'Weekly Log'!$A:$A,"&lt;"&amp;$J1317+7),0))</f>
        <v/>
      </c>
      <c r="G1317">
        <f>IF($J1317="","",IFERROR(LOOKUP(2,1/(('Weekly Log'!$A$5:$A$5000&gt;=$J1317)*('Weekly Log'!$A$5:$A$5000&lt;$J1317+7)*('Weekly Log'!$M$5:$M$5000&lt;&gt;"")),'Weekly Log'!$M$5:$M$5000),0))</f>
        <v/>
      </c>
      <c r="J1317">
        <f>IF(COUNT('Weekly Log'!$A$5:$A$5000)=0,"",IF(MIN('Weekly Log'!$A$5:$A$5000)+7*(ROW()-10)&gt;MAX('Weekly Log'!$A$5:$A$5000),"",MIN('Weekly Log'!$A$5:$A$5000)+7*(ROW()-10)))</f>
        <v/>
      </c>
    </row>
    <row r="1318">
      <c r="A1318">
        <f>IF($J1318="","",YEAR($J1318-WEEKDAY($J1318,2)+4)&amp;"-W"&amp;TEXT(WEEKNUM($J1318,21),"00"))</f>
        <v/>
      </c>
      <c r="B1318">
        <f>IF($J1318="","",SUMIFS('Weekly Log'!$C:$C,'Weekly Log'!$A:$A,"&gt;="&amp;$J1318,'Weekly Log'!$A:$A,"&lt;"&amp;$J1318+7))</f>
        <v/>
      </c>
      <c r="C1318">
        <f>IF($J1318="","",IFERROR(COUNTIFS('Weekly Log'!$G:$G,"Y",'Weekly Log'!$A:$A,"&gt;="&amp;$J1318,'Weekly Log'!$A:$A,"&lt;"&amp;$J1318+7)/COUNTIFS('Weekly Log'!$G:$G,"&lt;&gt;",'Weekly Log'!$A:$A,"&gt;="&amp;$J1318,'Weekly Log'!$A:$A,"&lt;"&amp;$J1318+7),0))</f>
        <v/>
      </c>
      <c r="D1318">
        <f>IF($J1318="","",IFERROR(COUNTIFS('Weekly Log'!$H:$H,"Y",'Weekly Log'!$A:$A,"&gt;="&amp;$J1318,'Weekly Log'!$A:$A,"&lt;"&amp;$J1318+7)/COUNTIFS('Weekly Log'!$H:$H,"&lt;&gt;",'Weekly Log'!$A:$A,"&gt;="&amp;$J1318,'Weekly Log'!$A:$A,"&lt;"&amp;$J1318+7),0))</f>
        <v/>
      </c>
      <c r="E1318">
        <f>IF($J1318="","",IFERROR(AVERAGEIFS('Weekly Log'!$F:$F,'Weekly Log'!$A:$A,"&gt;="&amp;$J1318,'Weekly Log'!$A:$A,"&lt;"&amp;$J1318+7),0))</f>
        <v/>
      </c>
      <c r="F1318">
        <f>IF($J1318="","",IFERROR(SUMIFS('Weekly Log'!$F:$F,'Weekly Log'!$A:$A,"&gt;="&amp;$J1318,'Weekly Log'!$A:$A,"&lt;"&amp;$J1318+7)/SUMIFS('Weekly Log'!$E:$E,'Weekly Log'!$A:$A,"&gt;="&amp;$J1318,'Weekly Log'!$A:$A,"&lt;"&amp;$J1318+7),0))</f>
        <v/>
      </c>
      <c r="G1318">
        <f>IF($J1318="","",IFERROR(LOOKUP(2,1/(('Weekly Log'!$A$5:$A$5000&gt;=$J1318)*('Weekly Log'!$A$5:$A$5000&lt;$J1318+7)*('Weekly Log'!$M$5:$M$5000&lt;&gt;"")),'Weekly Log'!$M$5:$M$5000),0))</f>
        <v/>
      </c>
      <c r="J1318">
        <f>IF(COUNT('Weekly Log'!$A$5:$A$5000)=0,"",IF(MIN('Weekly Log'!$A$5:$A$5000)+7*(ROW()-10)&gt;MAX('Weekly Log'!$A$5:$A$5000),"",MIN('Weekly Log'!$A$5:$A$5000)+7*(ROW()-10)))</f>
        <v/>
      </c>
    </row>
    <row r="1319">
      <c r="A1319">
        <f>IF($J1319="","",YEAR($J1319-WEEKDAY($J1319,2)+4)&amp;"-W"&amp;TEXT(WEEKNUM($J1319,21),"00"))</f>
        <v/>
      </c>
      <c r="B1319">
        <f>IF($J1319="","",SUMIFS('Weekly Log'!$C:$C,'Weekly Log'!$A:$A,"&gt;="&amp;$J1319,'Weekly Log'!$A:$A,"&lt;"&amp;$J1319+7))</f>
        <v/>
      </c>
      <c r="C1319">
        <f>IF($J1319="","",IFERROR(COUNTIFS('Weekly Log'!$G:$G,"Y",'Weekly Log'!$A:$A,"&gt;="&amp;$J1319,'Weekly Log'!$A:$A,"&lt;"&amp;$J1319+7)/COUNTIFS('Weekly Log'!$G:$G,"&lt;&gt;",'Weekly Log'!$A:$A,"&gt;="&amp;$J1319,'Weekly Log'!$A:$A,"&lt;"&amp;$J1319+7),0))</f>
        <v/>
      </c>
      <c r="D1319">
        <f>IF($J1319="","",IFERROR(COUNTIFS('Weekly Log'!$H:$H,"Y",'Weekly Log'!$A:$A,"&gt;="&amp;$J1319,'Weekly Log'!$A:$A,"&lt;"&amp;$J1319+7)/COUNTIFS('Weekly Log'!$H:$H,"&lt;&gt;",'Weekly Log'!$A:$A,"&gt;="&amp;$J1319,'Weekly Log'!$A:$A,"&lt;"&amp;$J1319+7),0))</f>
        <v/>
      </c>
      <c r="E1319">
        <f>IF($J1319="","",IFERROR(AVERAGEIFS('Weekly Log'!$F:$F,'Weekly Log'!$A:$A,"&gt;="&amp;$J1319,'Weekly Log'!$A:$A,"&lt;"&amp;$J1319+7),0))</f>
        <v/>
      </c>
      <c r="F1319">
        <f>IF($J1319="","",IFERROR(SUMIFS('Weekly Log'!$F:$F,'Weekly Log'!$A:$A,"&gt;="&amp;$J1319,'Weekly Log'!$A:$A,"&lt;"&amp;$J1319+7)/SUMIFS('Weekly Log'!$E:$E,'Weekly Log'!$A:$A,"&gt;="&amp;$J1319,'Weekly Log'!$A:$A,"&lt;"&amp;$J1319+7),0))</f>
        <v/>
      </c>
      <c r="G1319">
        <f>IF($J1319="","",IFERROR(LOOKUP(2,1/(('Weekly Log'!$A$5:$A$5000&gt;=$J1319)*('Weekly Log'!$A$5:$A$5000&lt;$J1319+7)*('Weekly Log'!$M$5:$M$5000&lt;&gt;"")),'Weekly Log'!$M$5:$M$5000),0))</f>
        <v/>
      </c>
      <c r="J1319">
        <f>IF(COUNT('Weekly Log'!$A$5:$A$5000)=0,"",IF(MIN('Weekly Log'!$A$5:$A$5000)+7*(ROW()-10)&gt;MAX('Weekly Log'!$A$5:$A$5000),"",MIN('Weekly Log'!$A$5:$A$5000)+7*(ROW()-10)))</f>
        <v/>
      </c>
    </row>
    <row r="1320">
      <c r="A1320">
        <f>IF($J1320="","",YEAR($J1320-WEEKDAY($J1320,2)+4)&amp;"-W"&amp;TEXT(WEEKNUM($J1320,21),"00"))</f>
        <v/>
      </c>
      <c r="B1320">
        <f>IF($J1320="","",SUMIFS('Weekly Log'!$C:$C,'Weekly Log'!$A:$A,"&gt;="&amp;$J1320,'Weekly Log'!$A:$A,"&lt;"&amp;$J1320+7))</f>
        <v/>
      </c>
      <c r="C1320">
        <f>IF($J1320="","",IFERROR(COUNTIFS('Weekly Log'!$G:$G,"Y",'Weekly Log'!$A:$A,"&gt;="&amp;$J1320,'Weekly Log'!$A:$A,"&lt;"&amp;$J1320+7)/COUNTIFS('Weekly Log'!$G:$G,"&lt;&gt;",'Weekly Log'!$A:$A,"&gt;="&amp;$J1320,'Weekly Log'!$A:$A,"&lt;"&amp;$J1320+7),0))</f>
        <v/>
      </c>
      <c r="D1320">
        <f>IF($J1320="","",IFERROR(COUNTIFS('Weekly Log'!$H:$H,"Y",'Weekly Log'!$A:$A,"&gt;="&amp;$J1320,'Weekly Log'!$A:$A,"&lt;"&amp;$J1320+7)/COUNTIFS('Weekly Log'!$H:$H,"&lt;&gt;",'Weekly Log'!$A:$A,"&gt;="&amp;$J1320,'Weekly Log'!$A:$A,"&lt;"&amp;$J1320+7),0))</f>
        <v/>
      </c>
      <c r="E1320">
        <f>IF($J1320="","",IFERROR(AVERAGEIFS('Weekly Log'!$F:$F,'Weekly Log'!$A:$A,"&gt;="&amp;$J1320,'Weekly Log'!$A:$A,"&lt;"&amp;$J1320+7),0))</f>
        <v/>
      </c>
      <c r="F1320">
        <f>IF($J1320="","",IFERROR(SUMIFS('Weekly Log'!$F:$F,'Weekly Log'!$A:$A,"&gt;="&amp;$J1320,'Weekly Log'!$A:$A,"&lt;"&amp;$J1320+7)/SUMIFS('Weekly Log'!$E:$E,'Weekly Log'!$A:$A,"&gt;="&amp;$J1320,'Weekly Log'!$A:$A,"&lt;"&amp;$J1320+7),0))</f>
        <v/>
      </c>
      <c r="G1320">
        <f>IF($J1320="","",IFERROR(LOOKUP(2,1/(('Weekly Log'!$A$5:$A$5000&gt;=$J1320)*('Weekly Log'!$A$5:$A$5000&lt;$J1320+7)*('Weekly Log'!$M$5:$M$5000&lt;&gt;"")),'Weekly Log'!$M$5:$M$5000),0))</f>
        <v/>
      </c>
      <c r="J1320">
        <f>IF(COUNT('Weekly Log'!$A$5:$A$5000)=0,"",IF(MIN('Weekly Log'!$A$5:$A$5000)+7*(ROW()-10)&gt;MAX('Weekly Log'!$A$5:$A$5000),"",MIN('Weekly Log'!$A$5:$A$5000)+7*(ROW()-10)))</f>
        <v/>
      </c>
    </row>
    <row r="1321">
      <c r="A1321">
        <f>IF($J1321="","",YEAR($J1321-WEEKDAY($J1321,2)+4)&amp;"-W"&amp;TEXT(WEEKNUM($J1321,21),"00"))</f>
        <v/>
      </c>
      <c r="B1321">
        <f>IF($J1321="","",SUMIFS('Weekly Log'!$C:$C,'Weekly Log'!$A:$A,"&gt;="&amp;$J1321,'Weekly Log'!$A:$A,"&lt;"&amp;$J1321+7))</f>
        <v/>
      </c>
      <c r="C1321">
        <f>IF($J1321="","",IFERROR(COUNTIFS('Weekly Log'!$G:$G,"Y",'Weekly Log'!$A:$A,"&gt;="&amp;$J1321,'Weekly Log'!$A:$A,"&lt;"&amp;$J1321+7)/COUNTIFS('Weekly Log'!$G:$G,"&lt;&gt;",'Weekly Log'!$A:$A,"&gt;="&amp;$J1321,'Weekly Log'!$A:$A,"&lt;"&amp;$J1321+7),0))</f>
        <v/>
      </c>
      <c r="D1321">
        <f>IF($J1321="","",IFERROR(COUNTIFS('Weekly Log'!$H:$H,"Y",'Weekly Log'!$A:$A,"&gt;="&amp;$J1321,'Weekly Log'!$A:$A,"&lt;"&amp;$J1321+7)/COUNTIFS('Weekly Log'!$H:$H,"&lt;&gt;",'Weekly Log'!$A:$A,"&gt;="&amp;$J1321,'Weekly Log'!$A:$A,"&lt;"&amp;$J1321+7),0))</f>
        <v/>
      </c>
      <c r="E1321">
        <f>IF($J1321="","",IFERROR(AVERAGEIFS('Weekly Log'!$F:$F,'Weekly Log'!$A:$A,"&gt;="&amp;$J1321,'Weekly Log'!$A:$A,"&lt;"&amp;$J1321+7),0))</f>
        <v/>
      </c>
      <c r="F1321">
        <f>IF($J1321="","",IFERROR(SUMIFS('Weekly Log'!$F:$F,'Weekly Log'!$A:$A,"&gt;="&amp;$J1321,'Weekly Log'!$A:$A,"&lt;"&amp;$J1321+7)/SUMIFS('Weekly Log'!$E:$E,'Weekly Log'!$A:$A,"&gt;="&amp;$J1321,'Weekly Log'!$A:$A,"&lt;"&amp;$J1321+7),0))</f>
        <v/>
      </c>
      <c r="G1321">
        <f>IF($J1321="","",IFERROR(LOOKUP(2,1/(('Weekly Log'!$A$5:$A$5000&gt;=$J1321)*('Weekly Log'!$A$5:$A$5000&lt;$J1321+7)*('Weekly Log'!$M$5:$M$5000&lt;&gt;"")),'Weekly Log'!$M$5:$M$5000),0))</f>
        <v/>
      </c>
      <c r="J1321">
        <f>IF(COUNT('Weekly Log'!$A$5:$A$5000)=0,"",IF(MIN('Weekly Log'!$A$5:$A$5000)+7*(ROW()-10)&gt;MAX('Weekly Log'!$A$5:$A$5000),"",MIN('Weekly Log'!$A$5:$A$5000)+7*(ROW()-10)))</f>
        <v/>
      </c>
    </row>
    <row r="1322">
      <c r="A1322">
        <f>IF($J1322="","",YEAR($J1322-WEEKDAY($J1322,2)+4)&amp;"-W"&amp;TEXT(WEEKNUM($J1322,21),"00"))</f>
        <v/>
      </c>
      <c r="B1322">
        <f>IF($J1322="","",SUMIFS('Weekly Log'!$C:$C,'Weekly Log'!$A:$A,"&gt;="&amp;$J1322,'Weekly Log'!$A:$A,"&lt;"&amp;$J1322+7))</f>
        <v/>
      </c>
      <c r="C1322">
        <f>IF($J1322="","",IFERROR(COUNTIFS('Weekly Log'!$G:$G,"Y",'Weekly Log'!$A:$A,"&gt;="&amp;$J1322,'Weekly Log'!$A:$A,"&lt;"&amp;$J1322+7)/COUNTIFS('Weekly Log'!$G:$G,"&lt;&gt;",'Weekly Log'!$A:$A,"&gt;="&amp;$J1322,'Weekly Log'!$A:$A,"&lt;"&amp;$J1322+7),0))</f>
        <v/>
      </c>
      <c r="D1322">
        <f>IF($J1322="","",IFERROR(COUNTIFS('Weekly Log'!$H:$H,"Y",'Weekly Log'!$A:$A,"&gt;="&amp;$J1322,'Weekly Log'!$A:$A,"&lt;"&amp;$J1322+7)/COUNTIFS('Weekly Log'!$H:$H,"&lt;&gt;",'Weekly Log'!$A:$A,"&gt;="&amp;$J1322,'Weekly Log'!$A:$A,"&lt;"&amp;$J1322+7),0))</f>
        <v/>
      </c>
      <c r="E1322">
        <f>IF($J1322="","",IFERROR(AVERAGEIFS('Weekly Log'!$F:$F,'Weekly Log'!$A:$A,"&gt;="&amp;$J1322,'Weekly Log'!$A:$A,"&lt;"&amp;$J1322+7),0))</f>
        <v/>
      </c>
      <c r="F1322">
        <f>IF($J1322="","",IFERROR(SUMIFS('Weekly Log'!$F:$F,'Weekly Log'!$A:$A,"&gt;="&amp;$J1322,'Weekly Log'!$A:$A,"&lt;"&amp;$J1322+7)/SUMIFS('Weekly Log'!$E:$E,'Weekly Log'!$A:$A,"&gt;="&amp;$J1322,'Weekly Log'!$A:$A,"&lt;"&amp;$J1322+7),0))</f>
        <v/>
      </c>
      <c r="G1322">
        <f>IF($J1322="","",IFERROR(LOOKUP(2,1/(('Weekly Log'!$A$5:$A$5000&gt;=$J1322)*('Weekly Log'!$A$5:$A$5000&lt;$J1322+7)*('Weekly Log'!$M$5:$M$5000&lt;&gt;"")),'Weekly Log'!$M$5:$M$5000),0))</f>
        <v/>
      </c>
      <c r="J1322">
        <f>IF(COUNT('Weekly Log'!$A$5:$A$5000)=0,"",IF(MIN('Weekly Log'!$A$5:$A$5000)+7*(ROW()-10)&gt;MAX('Weekly Log'!$A$5:$A$5000),"",MIN('Weekly Log'!$A$5:$A$5000)+7*(ROW()-10)))</f>
        <v/>
      </c>
    </row>
    <row r="1323">
      <c r="A1323">
        <f>IF($J1323="","",YEAR($J1323-WEEKDAY($J1323,2)+4)&amp;"-W"&amp;TEXT(WEEKNUM($J1323,21),"00"))</f>
        <v/>
      </c>
      <c r="B1323">
        <f>IF($J1323="","",SUMIFS('Weekly Log'!$C:$C,'Weekly Log'!$A:$A,"&gt;="&amp;$J1323,'Weekly Log'!$A:$A,"&lt;"&amp;$J1323+7))</f>
        <v/>
      </c>
      <c r="C1323">
        <f>IF($J1323="","",IFERROR(COUNTIFS('Weekly Log'!$G:$G,"Y",'Weekly Log'!$A:$A,"&gt;="&amp;$J1323,'Weekly Log'!$A:$A,"&lt;"&amp;$J1323+7)/COUNTIFS('Weekly Log'!$G:$G,"&lt;&gt;",'Weekly Log'!$A:$A,"&gt;="&amp;$J1323,'Weekly Log'!$A:$A,"&lt;"&amp;$J1323+7),0))</f>
        <v/>
      </c>
      <c r="D1323">
        <f>IF($J1323="","",IFERROR(COUNTIFS('Weekly Log'!$H:$H,"Y",'Weekly Log'!$A:$A,"&gt;="&amp;$J1323,'Weekly Log'!$A:$A,"&lt;"&amp;$J1323+7)/COUNTIFS('Weekly Log'!$H:$H,"&lt;&gt;",'Weekly Log'!$A:$A,"&gt;="&amp;$J1323,'Weekly Log'!$A:$A,"&lt;"&amp;$J1323+7),0))</f>
        <v/>
      </c>
      <c r="E1323">
        <f>IF($J1323="","",IFERROR(AVERAGEIFS('Weekly Log'!$F:$F,'Weekly Log'!$A:$A,"&gt;="&amp;$J1323,'Weekly Log'!$A:$A,"&lt;"&amp;$J1323+7),0))</f>
        <v/>
      </c>
      <c r="F1323">
        <f>IF($J1323="","",IFERROR(SUMIFS('Weekly Log'!$F:$F,'Weekly Log'!$A:$A,"&gt;="&amp;$J1323,'Weekly Log'!$A:$A,"&lt;"&amp;$J1323+7)/SUMIFS('Weekly Log'!$E:$E,'Weekly Log'!$A:$A,"&gt;="&amp;$J1323,'Weekly Log'!$A:$A,"&lt;"&amp;$J1323+7),0))</f>
        <v/>
      </c>
      <c r="G1323">
        <f>IF($J1323="","",IFERROR(LOOKUP(2,1/(('Weekly Log'!$A$5:$A$5000&gt;=$J1323)*('Weekly Log'!$A$5:$A$5000&lt;$J1323+7)*('Weekly Log'!$M$5:$M$5000&lt;&gt;"")),'Weekly Log'!$M$5:$M$5000),0))</f>
        <v/>
      </c>
      <c r="J1323">
        <f>IF(COUNT('Weekly Log'!$A$5:$A$5000)=0,"",IF(MIN('Weekly Log'!$A$5:$A$5000)+7*(ROW()-10)&gt;MAX('Weekly Log'!$A$5:$A$5000),"",MIN('Weekly Log'!$A$5:$A$5000)+7*(ROW()-10)))</f>
        <v/>
      </c>
    </row>
    <row r="1324">
      <c r="A1324">
        <f>IF($J1324="","",YEAR($J1324-WEEKDAY($J1324,2)+4)&amp;"-W"&amp;TEXT(WEEKNUM($J1324,21),"00"))</f>
        <v/>
      </c>
      <c r="B1324">
        <f>IF($J1324="","",SUMIFS('Weekly Log'!$C:$C,'Weekly Log'!$A:$A,"&gt;="&amp;$J1324,'Weekly Log'!$A:$A,"&lt;"&amp;$J1324+7))</f>
        <v/>
      </c>
      <c r="C1324">
        <f>IF($J1324="","",IFERROR(COUNTIFS('Weekly Log'!$G:$G,"Y",'Weekly Log'!$A:$A,"&gt;="&amp;$J1324,'Weekly Log'!$A:$A,"&lt;"&amp;$J1324+7)/COUNTIFS('Weekly Log'!$G:$G,"&lt;&gt;",'Weekly Log'!$A:$A,"&gt;="&amp;$J1324,'Weekly Log'!$A:$A,"&lt;"&amp;$J1324+7),0))</f>
        <v/>
      </c>
      <c r="D1324">
        <f>IF($J1324="","",IFERROR(COUNTIFS('Weekly Log'!$H:$H,"Y",'Weekly Log'!$A:$A,"&gt;="&amp;$J1324,'Weekly Log'!$A:$A,"&lt;"&amp;$J1324+7)/COUNTIFS('Weekly Log'!$H:$H,"&lt;&gt;",'Weekly Log'!$A:$A,"&gt;="&amp;$J1324,'Weekly Log'!$A:$A,"&lt;"&amp;$J1324+7),0))</f>
        <v/>
      </c>
      <c r="E1324">
        <f>IF($J1324="","",IFERROR(AVERAGEIFS('Weekly Log'!$F:$F,'Weekly Log'!$A:$A,"&gt;="&amp;$J1324,'Weekly Log'!$A:$A,"&lt;"&amp;$J1324+7),0))</f>
        <v/>
      </c>
      <c r="F1324">
        <f>IF($J1324="","",IFERROR(SUMIFS('Weekly Log'!$F:$F,'Weekly Log'!$A:$A,"&gt;="&amp;$J1324,'Weekly Log'!$A:$A,"&lt;"&amp;$J1324+7)/SUMIFS('Weekly Log'!$E:$E,'Weekly Log'!$A:$A,"&gt;="&amp;$J1324,'Weekly Log'!$A:$A,"&lt;"&amp;$J1324+7),0))</f>
        <v/>
      </c>
      <c r="G1324">
        <f>IF($J1324="","",IFERROR(LOOKUP(2,1/(('Weekly Log'!$A$5:$A$5000&gt;=$J1324)*('Weekly Log'!$A$5:$A$5000&lt;$J1324+7)*('Weekly Log'!$M$5:$M$5000&lt;&gt;"")),'Weekly Log'!$M$5:$M$5000),0))</f>
        <v/>
      </c>
      <c r="J1324">
        <f>IF(COUNT('Weekly Log'!$A$5:$A$5000)=0,"",IF(MIN('Weekly Log'!$A$5:$A$5000)+7*(ROW()-10)&gt;MAX('Weekly Log'!$A$5:$A$5000),"",MIN('Weekly Log'!$A$5:$A$5000)+7*(ROW()-10)))</f>
        <v/>
      </c>
    </row>
    <row r="1325">
      <c r="A1325">
        <f>IF($J1325="","",YEAR($J1325-WEEKDAY($J1325,2)+4)&amp;"-W"&amp;TEXT(WEEKNUM($J1325,21),"00"))</f>
        <v/>
      </c>
      <c r="B1325">
        <f>IF($J1325="","",SUMIFS('Weekly Log'!$C:$C,'Weekly Log'!$A:$A,"&gt;="&amp;$J1325,'Weekly Log'!$A:$A,"&lt;"&amp;$J1325+7))</f>
        <v/>
      </c>
      <c r="C1325">
        <f>IF($J1325="","",IFERROR(COUNTIFS('Weekly Log'!$G:$G,"Y",'Weekly Log'!$A:$A,"&gt;="&amp;$J1325,'Weekly Log'!$A:$A,"&lt;"&amp;$J1325+7)/COUNTIFS('Weekly Log'!$G:$G,"&lt;&gt;",'Weekly Log'!$A:$A,"&gt;="&amp;$J1325,'Weekly Log'!$A:$A,"&lt;"&amp;$J1325+7),0))</f>
        <v/>
      </c>
      <c r="D1325">
        <f>IF($J1325="","",IFERROR(COUNTIFS('Weekly Log'!$H:$H,"Y",'Weekly Log'!$A:$A,"&gt;="&amp;$J1325,'Weekly Log'!$A:$A,"&lt;"&amp;$J1325+7)/COUNTIFS('Weekly Log'!$H:$H,"&lt;&gt;",'Weekly Log'!$A:$A,"&gt;="&amp;$J1325,'Weekly Log'!$A:$A,"&lt;"&amp;$J1325+7),0))</f>
        <v/>
      </c>
      <c r="E1325">
        <f>IF($J1325="","",IFERROR(AVERAGEIFS('Weekly Log'!$F:$F,'Weekly Log'!$A:$A,"&gt;="&amp;$J1325,'Weekly Log'!$A:$A,"&lt;"&amp;$J1325+7),0))</f>
        <v/>
      </c>
      <c r="F1325">
        <f>IF($J1325="","",IFERROR(SUMIFS('Weekly Log'!$F:$F,'Weekly Log'!$A:$A,"&gt;="&amp;$J1325,'Weekly Log'!$A:$A,"&lt;"&amp;$J1325+7)/SUMIFS('Weekly Log'!$E:$E,'Weekly Log'!$A:$A,"&gt;="&amp;$J1325,'Weekly Log'!$A:$A,"&lt;"&amp;$J1325+7),0))</f>
        <v/>
      </c>
      <c r="G1325">
        <f>IF($J1325="","",IFERROR(LOOKUP(2,1/(('Weekly Log'!$A$5:$A$5000&gt;=$J1325)*('Weekly Log'!$A$5:$A$5000&lt;$J1325+7)*('Weekly Log'!$M$5:$M$5000&lt;&gt;"")),'Weekly Log'!$M$5:$M$5000),0))</f>
        <v/>
      </c>
      <c r="J1325">
        <f>IF(COUNT('Weekly Log'!$A$5:$A$5000)=0,"",IF(MIN('Weekly Log'!$A$5:$A$5000)+7*(ROW()-10)&gt;MAX('Weekly Log'!$A$5:$A$5000),"",MIN('Weekly Log'!$A$5:$A$5000)+7*(ROW()-10)))</f>
        <v/>
      </c>
    </row>
    <row r="1326">
      <c r="A1326">
        <f>IF($J1326="","",YEAR($J1326-WEEKDAY($J1326,2)+4)&amp;"-W"&amp;TEXT(WEEKNUM($J1326,21),"00"))</f>
        <v/>
      </c>
      <c r="B1326">
        <f>IF($J1326="","",SUMIFS('Weekly Log'!$C:$C,'Weekly Log'!$A:$A,"&gt;="&amp;$J1326,'Weekly Log'!$A:$A,"&lt;"&amp;$J1326+7))</f>
        <v/>
      </c>
      <c r="C1326">
        <f>IF($J1326="","",IFERROR(COUNTIFS('Weekly Log'!$G:$G,"Y",'Weekly Log'!$A:$A,"&gt;="&amp;$J1326,'Weekly Log'!$A:$A,"&lt;"&amp;$J1326+7)/COUNTIFS('Weekly Log'!$G:$G,"&lt;&gt;",'Weekly Log'!$A:$A,"&gt;="&amp;$J1326,'Weekly Log'!$A:$A,"&lt;"&amp;$J1326+7),0))</f>
        <v/>
      </c>
      <c r="D1326">
        <f>IF($J1326="","",IFERROR(COUNTIFS('Weekly Log'!$H:$H,"Y",'Weekly Log'!$A:$A,"&gt;="&amp;$J1326,'Weekly Log'!$A:$A,"&lt;"&amp;$J1326+7)/COUNTIFS('Weekly Log'!$H:$H,"&lt;&gt;",'Weekly Log'!$A:$A,"&gt;="&amp;$J1326,'Weekly Log'!$A:$A,"&lt;"&amp;$J1326+7),0))</f>
        <v/>
      </c>
      <c r="E1326">
        <f>IF($J1326="","",IFERROR(AVERAGEIFS('Weekly Log'!$F:$F,'Weekly Log'!$A:$A,"&gt;="&amp;$J1326,'Weekly Log'!$A:$A,"&lt;"&amp;$J1326+7),0))</f>
        <v/>
      </c>
      <c r="F1326">
        <f>IF($J1326="","",IFERROR(SUMIFS('Weekly Log'!$F:$F,'Weekly Log'!$A:$A,"&gt;="&amp;$J1326,'Weekly Log'!$A:$A,"&lt;"&amp;$J1326+7)/SUMIFS('Weekly Log'!$E:$E,'Weekly Log'!$A:$A,"&gt;="&amp;$J1326,'Weekly Log'!$A:$A,"&lt;"&amp;$J1326+7),0))</f>
        <v/>
      </c>
      <c r="G1326">
        <f>IF($J1326="","",IFERROR(LOOKUP(2,1/(('Weekly Log'!$A$5:$A$5000&gt;=$J1326)*('Weekly Log'!$A$5:$A$5000&lt;$J1326+7)*('Weekly Log'!$M$5:$M$5000&lt;&gt;"")),'Weekly Log'!$M$5:$M$5000),0))</f>
        <v/>
      </c>
      <c r="J1326">
        <f>IF(COUNT('Weekly Log'!$A$5:$A$5000)=0,"",IF(MIN('Weekly Log'!$A$5:$A$5000)+7*(ROW()-10)&gt;MAX('Weekly Log'!$A$5:$A$5000),"",MIN('Weekly Log'!$A$5:$A$5000)+7*(ROW()-10)))</f>
        <v/>
      </c>
    </row>
    <row r="1327">
      <c r="A1327">
        <f>IF($J1327="","",YEAR($J1327-WEEKDAY($J1327,2)+4)&amp;"-W"&amp;TEXT(WEEKNUM($J1327,21),"00"))</f>
        <v/>
      </c>
      <c r="B1327">
        <f>IF($J1327="","",SUMIFS('Weekly Log'!$C:$C,'Weekly Log'!$A:$A,"&gt;="&amp;$J1327,'Weekly Log'!$A:$A,"&lt;"&amp;$J1327+7))</f>
        <v/>
      </c>
      <c r="C1327">
        <f>IF($J1327="","",IFERROR(COUNTIFS('Weekly Log'!$G:$G,"Y",'Weekly Log'!$A:$A,"&gt;="&amp;$J1327,'Weekly Log'!$A:$A,"&lt;"&amp;$J1327+7)/COUNTIFS('Weekly Log'!$G:$G,"&lt;&gt;",'Weekly Log'!$A:$A,"&gt;="&amp;$J1327,'Weekly Log'!$A:$A,"&lt;"&amp;$J1327+7),0))</f>
        <v/>
      </c>
      <c r="D1327">
        <f>IF($J1327="","",IFERROR(COUNTIFS('Weekly Log'!$H:$H,"Y",'Weekly Log'!$A:$A,"&gt;="&amp;$J1327,'Weekly Log'!$A:$A,"&lt;"&amp;$J1327+7)/COUNTIFS('Weekly Log'!$H:$H,"&lt;&gt;",'Weekly Log'!$A:$A,"&gt;="&amp;$J1327,'Weekly Log'!$A:$A,"&lt;"&amp;$J1327+7),0))</f>
        <v/>
      </c>
      <c r="E1327">
        <f>IF($J1327="","",IFERROR(AVERAGEIFS('Weekly Log'!$F:$F,'Weekly Log'!$A:$A,"&gt;="&amp;$J1327,'Weekly Log'!$A:$A,"&lt;"&amp;$J1327+7),0))</f>
        <v/>
      </c>
      <c r="F1327">
        <f>IF($J1327="","",IFERROR(SUMIFS('Weekly Log'!$F:$F,'Weekly Log'!$A:$A,"&gt;="&amp;$J1327,'Weekly Log'!$A:$A,"&lt;"&amp;$J1327+7)/SUMIFS('Weekly Log'!$E:$E,'Weekly Log'!$A:$A,"&gt;="&amp;$J1327,'Weekly Log'!$A:$A,"&lt;"&amp;$J1327+7),0))</f>
        <v/>
      </c>
      <c r="G1327">
        <f>IF($J1327="","",IFERROR(LOOKUP(2,1/(('Weekly Log'!$A$5:$A$5000&gt;=$J1327)*('Weekly Log'!$A$5:$A$5000&lt;$J1327+7)*('Weekly Log'!$M$5:$M$5000&lt;&gt;"")),'Weekly Log'!$M$5:$M$5000),0))</f>
        <v/>
      </c>
      <c r="J1327">
        <f>IF(COUNT('Weekly Log'!$A$5:$A$5000)=0,"",IF(MIN('Weekly Log'!$A$5:$A$5000)+7*(ROW()-10)&gt;MAX('Weekly Log'!$A$5:$A$5000),"",MIN('Weekly Log'!$A$5:$A$5000)+7*(ROW()-10)))</f>
        <v/>
      </c>
    </row>
    <row r="1328">
      <c r="A1328">
        <f>IF($J1328="","",YEAR($J1328-WEEKDAY($J1328,2)+4)&amp;"-W"&amp;TEXT(WEEKNUM($J1328,21),"00"))</f>
        <v/>
      </c>
      <c r="B1328">
        <f>IF($J1328="","",SUMIFS('Weekly Log'!$C:$C,'Weekly Log'!$A:$A,"&gt;="&amp;$J1328,'Weekly Log'!$A:$A,"&lt;"&amp;$J1328+7))</f>
        <v/>
      </c>
      <c r="C1328">
        <f>IF($J1328="","",IFERROR(COUNTIFS('Weekly Log'!$G:$G,"Y",'Weekly Log'!$A:$A,"&gt;="&amp;$J1328,'Weekly Log'!$A:$A,"&lt;"&amp;$J1328+7)/COUNTIFS('Weekly Log'!$G:$G,"&lt;&gt;",'Weekly Log'!$A:$A,"&gt;="&amp;$J1328,'Weekly Log'!$A:$A,"&lt;"&amp;$J1328+7),0))</f>
        <v/>
      </c>
      <c r="D1328">
        <f>IF($J1328="","",IFERROR(COUNTIFS('Weekly Log'!$H:$H,"Y",'Weekly Log'!$A:$A,"&gt;="&amp;$J1328,'Weekly Log'!$A:$A,"&lt;"&amp;$J1328+7)/COUNTIFS('Weekly Log'!$H:$H,"&lt;&gt;",'Weekly Log'!$A:$A,"&gt;="&amp;$J1328,'Weekly Log'!$A:$A,"&lt;"&amp;$J1328+7),0))</f>
        <v/>
      </c>
      <c r="E1328">
        <f>IF($J1328="","",IFERROR(AVERAGEIFS('Weekly Log'!$F:$F,'Weekly Log'!$A:$A,"&gt;="&amp;$J1328,'Weekly Log'!$A:$A,"&lt;"&amp;$J1328+7),0))</f>
        <v/>
      </c>
      <c r="F1328">
        <f>IF($J1328="","",IFERROR(SUMIFS('Weekly Log'!$F:$F,'Weekly Log'!$A:$A,"&gt;="&amp;$J1328,'Weekly Log'!$A:$A,"&lt;"&amp;$J1328+7)/SUMIFS('Weekly Log'!$E:$E,'Weekly Log'!$A:$A,"&gt;="&amp;$J1328,'Weekly Log'!$A:$A,"&lt;"&amp;$J1328+7),0))</f>
        <v/>
      </c>
      <c r="G1328">
        <f>IF($J1328="","",IFERROR(LOOKUP(2,1/(('Weekly Log'!$A$5:$A$5000&gt;=$J1328)*('Weekly Log'!$A$5:$A$5000&lt;$J1328+7)*('Weekly Log'!$M$5:$M$5000&lt;&gt;"")),'Weekly Log'!$M$5:$M$5000),0))</f>
        <v/>
      </c>
      <c r="J1328">
        <f>IF(COUNT('Weekly Log'!$A$5:$A$5000)=0,"",IF(MIN('Weekly Log'!$A$5:$A$5000)+7*(ROW()-10)&gt;MAX('Weekly Log'!$A$5:$A$5000),"",MIN('Weekly Log'!$A$5:$A$5000)+7*(ROW()-10)))</f>
        <v/>
      </c>
    </row>
    <row r="1329">
      <c r="A1329">
        <f>IF($J1329="","",YEAR($J1329-WEEKDAY($J1329,2)+4)&amp;"-W"&amp;TEXT(WEEKNUM($J1329,21),"00"))</f>
        <v/>
      </c>
      <c r="B1329">
        <f>IF($J1329="","",SUMIFS('Weekly Log'!$C:$C,'Weekly Log'!$A:$A,"&gt;="&amp;$J1329,'Weekly Log'!$A:$A,"&lt;"&amp;$J1329+7))</f>
        <v/>
      </c>
      <c r="C1329">
        <f>IF($J1329="","",IFERROR(COUNTIFS('Weekly Log'!$G:$G,"Y",'Weekly Log'!$A:$A,"&gt;="&amp;$J1329,'Weekly Log'!$A:$A,"&lt;"&amp;$J1329+7)/COUNTIFS('Weekly Log'!$G:$G,"&lt;&gt;",'Weekly Log'!$A:$A,"&gt;="&amp;$J1329,'Weekly Log'!$A:$A,"&lt;"&amp;$J1329+7),0))</f>
        <v/>
      </c>
      <c r="D1329">
        <f>IF($J1329="","",IFERROR(COUNTIFS('Weekly Log'!$H:$H,"Y",'Weekly Log'!$A:$A,"&gt;="&amp;$J1329,'Weekly Log'!$A:$A,"&lt;"&amp;$J1329+7)/COUNTIFS('Weekly Log'!$H:$H,"&lt;&gt;",'Weekly Log'!$A:$A,"&gt;="&amp;$J1329,'Weekly Log'!$A:$A,"&lt;"&amp;$J1329+7),0))</f>
        <v/>
      </c>
      <c r="E1329">
        <f>IF($J1329="","",IFERROR(AVERAGEIFS('Weekly Log'!$F:$F,'Weekly Log'!$A:$A,"&gt;="&amp;$J1329,'Weekly Log'!$A:$A,"&lt;"&amp;$J1329+7),0))</f>
        <v/>
      </c>
      <c r="F1329">
        <f>IF($J1329="","",IFERROR(SUMIFS('Weekly Log'!$F:$F,'Weekly Log'!$A:$A,"&gt;="&amp;$J1329,'Weekly Log'!$A:$A,"&lt;"&amp;$J1329+7)/SUMIFS('Weekly Log'!$E:$E,'Weekly Log'!$A:$A,"&gt;="&amp;$J1329,'Weekly Log'!$A:$A,"&lt;"&amp;$J1329+7),0))</f>
        <v/>
      </c>
      <c r="G1329">
        <f>IF($J1329="","",IFERROR(LOOKUP(2,1/(('Weekly Log'!$A$5:$A$5000&gt;=$J1329)*('Weekly Log'!$A$5:$A$5000&lt;$J1329+7)*('Weekly Log'!$M$5:$M$5000&lt;&gt;"")),'Weekly Log'!$M$5:$M$5000),0))</f>
        <v/>
      </c>
      <c r="J1329">
        <f>IF(COUNT('Weekly Log'!$A$5:$A$5000)=0,"",IF(MIN('Weekly Log'!$A$5:$A$5000)+7*(ROW()-10)&gt;MAX('Weekly Log'!$A$5:$A$5000),"",MIN('Weekly Log'!$A$5:$A$5000)+7*(ROW()-10)))</f>
        <v/>
      </c>
    </row>
    <row r="1330">
      <c r="A1330">
        <f>IF($J1330="","",YEAR($J1330-WEEKDAY($J1330,2)+4)&amp;"-W"&amp;TEXT(WEEKNUM($J1330,21),"00"))</f>
        <v/>
      </c>
      <c r="B1330">
        <f>IF($J1330="","",SUMIFS('Weekly Log'!$C:$C,'Weekly Log'!$A:$A,"&gt;="&amp;$J1330,'Weekly Log'!$A:$A,"&lt;"&amp;$J1330+7))</f>
        <v/>
      </c>
      <c r="C1330">
        <f>IF($J1330="","",IFERROR(COUNTIFS('Weekly Log'!$G:$G,"Y",'Weekly Log'!$A:$A,"&gt;="&amp;$J1330,'Weekly Log'!$A:$A,"&lt;"&amp;$J1330+7)/COUNTIFS('Weekly Log'!$G:$G,"&lt;&gt;",'Weekly Log'!$A:$A,"&gt;="&amp;$J1330,'Weekly Log'!$A:$A,"&lt;"&amp;$J1330+7),0))</f>
        <v/>
      </c>
      <c r="D1330">
        <f>IF($J1330="","",IFERROR(COUNTIFS('Weekly Log'!$H:$H,"Y",'Weekly Log'!$A:$A,"&gt;="&amp;$J1330,'Weekly Log'!$A:$A,"&lt;"&amp;$J1330+7)/COUNTIFS('Weekly Log'!$H:$H,"&lt;&gt;",'Weekly Log'!$A:$A,"&gt;="&amp;$J1330,'Weekly Log'!$A:$A,"&lt;"&amp;$J1330+7),0))</f>
        <v/>
      </c>
      <c r="E1330">
        <f>IF($J1330="","",IFERROR(AVERAGEIFS('Weekly Log'!$F:$F,'Weekly Log'!$A:$A,"&gt;="&amp;$J1330,'Weekly Log'!$A:$A,"&lt;"&amp;$J1330+7),0))</f>
        <v/>
      </c>
      <c r="F1330">
        <f>IF($J1330="","",IFERROR(SUMIFS('Weekly Log'!$F:$F,'Weekly Log'!$A:$A,"&gt;="&amp;$J1330,'Weekly Log'!$A:$A,"&lt;"&amp;$J1330+7)/SUMIFS('Weekly Log'!$E:$E,'Weekly Log'!$A:$A,"&gt;="&amp;$J1330,'Weekly Log'!$A:$A,"&lt;"&amp;$J1330+7),0))</f>
        <v/>
      </c>
      <c r="G1330">
        <f>IF($J1330="","",IFERROR(LOOKUP(2,1/(('Weekly Log'!$A$5:$A$5000&gt;=$J1330)*('Weekly Log'!$A$5:$A$5000&lt;$J1330+7)*('Weekly Log'!$M$5:$M$5000&lt;&gt;"")),'Weekly Log'!$M$5:$M$5000),0))</f>
        <v/>
      </c>
      <c r="J1330">
        <f>IF(COUNT('Weekly Log'!$A$5:$A$5000)=0,"",IF(MIN('Weekly Log'!$A$5:$A$5000)+7*(ROW()-10)&gt;MAX('Weekly Log'!$A$5:$A$5000),"",MIN('Weekly Log'!$A$5:$A$5000)+7*(ROW()-10)))</f>
        <v/>
      </c>
    </row>
    <row r="1331">
      <c r="A1331">
        <f>IF($J1331="","",YEAR($J1331-WEEKDAY($J1331,2)+4)&amp;"-W"&amp;TEXT(WEEKNUM($J1331,21),"00"))</f>
        <v/>
      </c>
      <c r="B1331">
        <f>IF($J1331="","",SUMIFS('Weekly Log'!$C:$C,'Weekly Log'!$A:$A,"&gt;="&amp;$J1331,'Weekly Log'!$A:$A,"&lt;"&amp;$J1331+7))</f>
        <v/>
      </c>
      <c r="C1331">
        <f>IF($J1331="","",IFERROR(COUNTIFS('Weekly Log'!$G:$G,"Y",'Weekly Log'!$A:$A,"&gt;="&amp;$J1331,'Weekly Log'!$A:$A,"&lt;"&amp;$J1331+7)/COUNTIFS('Weekly Log'!$G:$G,"&lt;&gt;",'Weekly Log'!$A:$A,"&gt;="&amp;$J1331,'Weekly Log'!$A:$A,"&lt;"&amp;$J1331+7),0))</f>
        <v/>
      </c>
      <c r="D1331">
        <f>IF($J1331="","",IFERROR(COUNTIFS('Weekly Log'!$H:$H,"Y",'Weekly Log'!$A:$A,"&gt;="&amp;$J1331,'Weekly Log'!$A:$A,"&lt;"&amp;$J1331+7)/COUNTIFS('Weekly Log'!$H:$H,"&lt;&gt;",'Weekly Log'!$A:$A,"&gt;="&amp;$J1331,'Weekly Log'!$A:$A,"&lt;"&amp;$J1331+7),0))</f>
        <v/>
      </c>
      <c r="E1331">
        <f>IF($J1331="","",IFERROR(AVERAGEIFS('Weekly Log'!$F:$F,'Weekly Log'!$A:$A,"&gt;="&amp;$J1331,'Weekly Log'!$A:$A,"&lt;"&amp;$J1331+7),0))</f>
        <v/>
      </c>
      <c r="F1331">
        <f>IF($J1331="","",IFERROR(SUMIFS('Weekly Log'!$F:$F,'Weekly Log'!$A:$A,"&gt;="&amp;$J1331,'Weekly Log'!$A:$A,"&lt;"&amp;$J1331+7)/SUMIFS('Weekly Log'!$E:$E,'Weekly Log'!$A:$A,"&gt;="&amp;$J1331,'Weekly Log'!$A:$A,"&lt;"&amp;$J1331+7),0))</f>
        <v/>
      </c>
      <c r="G1331">
        <f>IF($J1331="","",IFERROR(LOOKUP(2,1/(('Weekly Log'!$A$5:$A$5000&gt;=$J1331)*('Weekly Log'!$A$5:$A$5000&lt;$J1331+7)*('Weekly Log'!$M$5:$M$5000&lt;&gt;"")),'Weekly Log'!$M$5:$M$5000),0))</f>
        <v/>
      </c>
      <c r="J1331">
        <f>IF(COUNT('Weekly Log'!$A$5:$A$5000)=0,"",IF(MIN('Weekly Log'!$A$5:$A$5000)+7*(ROW()-10)&gt;MAX('Weekly Log'!$A$5:$A$5000),"",MIN('Weekly Log'!$A$5:$A$5000)+7*(ROW()-10)))</f>
        <v/>
      </c>
    </row>
    <row r="1332">
      <c r="A1332">
        <f>IF($J1332="","",YEAR($J1332-WEEKDAY($J1332,2)+4)&amp;"-W"&amp;TEXT(WEEKNUM($J1332,21),"00"))</f>
        <v/>
      </c>
      <c r="B1332">
        <f>IF($J1332="","",SUMIFS('Weekly Log'!$C:$C,'Weekly Log'!$A:$A,"&gt;="&amp;$J1332,'Weekly Log'!$A:$A,"&lt;"&amp;$J1332+7))</f>
        <v/>
      </c>
      <c r="C1332">
        <f>IF($J1332="","",IFERROR(COUNTIFS('Weekly Log'!$G:$G,"Y",'Weekly Log'!$A:$A,"&gt;="&amp;$J1332,'Weekly Log'!$A:$A,"&lt;"&amp;$J1332+7)/COUNTIFS('Weekly Log'!$G:$G,"&lt;&gt;",'Weekly Log'!$A:$A,"&gt;="&amp;$J1332,'Weekly Log'!$A:$A,"&lt;"&amp;$J1332+7),0))</f>
        <v/>
      </c>
      <c r="D1332">
        <f>IF($J1332="","",IFERROR(COUNTIFS('Weekly Log'!$H:$H,"Y",'Weekly Log'!$A:$A,"&gt;="&amp;$J1332,'Weekly Log'!$A:$A,"&lt;"&amp;$J1332+7)/COUNTIFS('Weekly Log'!$H:$H,"&lt;&gt;",'Weekly Log'!$A:$A,"&gt;="&amp;$J1332,'Weekly Log'!$A:$A,"&lt;"&amp;$J1332+7),0))</f>
        <v/>
      </c>
      <c r="E1332">
        <f>IF($J1332="","",IFERROR(AVERAGEIFS('Weekly Log'!$F:$F,'Weekly Log'!$A:$A,"&gt;="&amp;$J1332,'Weekly Log'!$A:$A,"&lt;"&amp;$J1332+7),0))</f>
        <v/>
      </c>
      <c r="F1332">
        <f>IF($J1332="","",IFERROR(SUMIFS('Weekly Log'!$F:$F,'Weekly Log'!$A:$A,"&gt;="&amp;$J1332,'Weekly Log'!$A:$A,"&lt;"&amp;$J1332+7)/SUMIFS('Weekly Log'!$E:$E,'Weekly Log'!$A:$A,"&gt;="&amp;$J1332,'Weekly Log'!$A:$A,"&lt;"&amp;$J1332+7),0))</f>
        <v/>
      </c>
      <c r="G1332">
        <f>IF($J1332="","",IFERROR(LOOKUP(2,1/(('Weekly Log'!$A$5:$A$5000&gt;=$J1332)*('Weekly Log'!$A$5:$A$5000&lt;$J1332+7)*('Weekly Log'!$M$5:$M$5000&lt;&gt;"")),'Weekly Log'!$M$5:$M$5000),0))</f>
        <v/>
      </c>
      <c r="J1332">
        <f>IF(COUNT('Weekly Log'!$A$5:$A$5000)=0,"",IF(MIN('Weekly Log'!$A$5:$A$5000)+7*(ROW()-10)&gt;MAX('Weekly Log'!$A$5:$A$5000),"",MIN('Weekly Log'!$A$5:$A$5000)+7*(ROW()-10)))</f>
        <v/>
      </c>
    </row>
    <row r="1333">
      <c r="A1333">
        <f>IF($J1333="","",YEAR($J1333-WEEKDAY($J1333,2)+4)&amp;"-W"&amp;TEXT(WEEKNUM($J1333,21),"00"))</f>
        <v/>
      </c>
      <c r="B1333">
        <f>IF($J1333="","",SUMIFS('Weekly Log'!$C:$C,'Weekly Log'!$A:$A,"&gt;="&amp;$J1333,'Weekly Log'!$A:$A,"&lt;"&amp;$J1333+7))</f>
        <v/>
      </c>
      <c r="C1333">
        <f>IF($J1333="","",IFERROR(COUNTIFS('Weekly Log'!$G:$G,"Y",'Weekly Log'!$A:$A,"&gt;="&amp;$J1333,'Weekly Log'!$A:$A,"&lt;"&amp;$J1333+7)/COUNTIFS('Weekly Log'!$G:$G,"&lt;&gt;",'Weekly Log'!$A:$A,"&gt;="&amp;$J1333,'Weekly Log'!$A:$A,"&lt;"&amp;$J1333+7),0))</f>
        <v/>
      </c>
      <c r="D1333">
        <f>IF($J1333="","",IFERROR(COUNTIFS('Weekly Log'!$H:$H,"Y",'Weekly Log'!$A:$A,"&gt;="&amp;$J1333,'Weekly Log'!$A:$A,"&lt;"&amp;$J1333+7)/COUNTIFS('Weekly Log'!$H:$H,"&lt;&gt;",'Weekly Log'!$A:$A,"&gt;="&amp;$J1333,'Weekly Log'!$A:$A,"&lt;"&amp;$J1333+7),0))</f>
        <v/>
      </c>
      <c r="E1333">
        <f>IF($J1333="","",IFERROR(AVERAGEIFS('Weekly Log'!$F:$F,'Weekly Log'!$A:$A,"&gt;="&amp;$J1333,'Weekly Log'!$A:$A,"&lt;"&amp;$J1333+7),0))</f>
        <v/>
      </c>
      <c r="F1333">
        <f>IF($J1333="","",IFERROR(SUMIFS('Weekly Log'!$F:$F,'Weekly Log'!$A:$A,"&gt;="&amp;$J1333,'Weekly Log'!$A:$A,"&lt;"&amp;$J1333+7)/SUMIFS('Weekly Log'!$E:$E,'Weekly Log'!$A:$A,"&gt;="&amp;$J1333,'Weekly Log'!$A:$A,"&lt;"&amp;$J1333+7),0))</f>
        <v/>
      </c>
      <c r="G1333">
        <f>IF($J1333="","",IFERROR(LOOKUP(2,1/(('Weekly Log'!$A$5:$A$5000&gt;=$J1333)*('Weekly Log'!$A$5:$A$5000&lt;$J1333+7)*('Weekly Log'!$M$5:$M$5000&lt;&gt;"")),'Weekly Log'!$M$5:$M$5000),0))</f>
        <v/>
      </c>
      <c r="J1333">
        <f>IF(COUNT('Weekly Log'!$A$5:$A$5000)=0,"",IF(MIN('Weekly Log'!$A$5:$A$5000)+7*(ROW()-10)&gt;MAX('Weekly Log'!$A$5:$A$5000),"",MIN('Weekly Log'!$A$5:$A$5000)+7*(ROW()-10)))</f>
        <v/>
      </c>
    </row>
    <row r="1334">
      <c r="A1334">
        <f>IF($J1334="","",YEAR($J1334-WEEKDAY($J1334,2)+4)&amp;"-W"&amp;TEXT(WEEKNUM($J1334,21),"00"))</f>
        <v/>
      </c>
      <c r="B1334">
        <f>IF($J1334="","",SUMIFS('Weekly Log'!$C:$C,'Weekly Log'!$A:$A,"&gt;="&amp;$J1334,'Weekly Log'!$A:$A,"&lt;"&amp;$J1334+7))</f>
        <v/>
      </c>
      <c r="C1334">
        <f>IF($J1334="","",IFERROR(COUNTIFS('Weekly Log'!$G:$G,"Y",'Weekly Log'!$A:$A,"&gt;="&amp;$J1334,'Weekly Log'!$A:$A,"&lt;"&amp;$J1334+7)/COUNTIFS('Weekly Log'!$G:$G,"&lt;&gt;",'Weekly Log'!$A:$A,"&gt;="&amp;$J1334,'Weekly Log'!$A:$A,"&lt;"&amp;$J1334+7),0))</f>
        <v/>
      </c>
      <c r="D1334">
        <f>IF($J1334="","",IFERROR(COUNTIFS('Weekly Log'!$H:$H,"Y",'Weekly Log'!$A:$A,"&gt;="&amp;$J1334,'Weekly Log'!$A:$A,"&lt;"&amp;$J1334+7)/COUNTIFS('Weekly Log'!$H:$H,"&lt;&gt;",'Weekly Log'!$A:$A,"&gt;="&amp;$J1334,'Weekly Log'!$A:$A,"&lt;"&amp;$J1334+7),0))</f>
        <v/>
      </c>
      <c r="E1334">
        <f>IF($J1334="","",IFERROR(AVERAGEIFS('Weekly Log'!$F:$F,'Weekly Log'!$A:$A,"&gt;="&amp;$J1334,'Weekly Log'!$A:$A,"&lt;"&amp;$J1334+7),0))</f>
        <v/>
      </c>
      <c r="F1334">
        <f>IF($J1334="","",IFERROR(SUMIFS('Weekly Log'!$F:$F,'Weekly Log'!$A:$A,"&gt;="&amp;$J1334,'Weekly Log'!$A:$A,"&lt;"&amp;$J1334+7)/SUMIFS('Weekly Log'!$E:$E,'Weekly Log'!$A:$A,"&gt;="&amp;$J1334,'Weekly Log'!$A:$A,"&lt;"&amp;$J1334+7),0))</f>
        <v/>
      </c>
      <c r="G1334">
        <f>IF($J1334="","",IFERROR(LOOKUP(2,1/(('Weekly Log'!$A$5:$A$5000&gt;=$J1334)*('Weekly Log'!$A$5:$A$5000&lt;$J1334+7)*('Weekly Log'!$M$5:$M$5000&lt;&gt;"")),'Weekly Log'!$M$5:$M$5000),0))</f>
        <v/>
      </c>
      <c r="J1334">
        <f>IF(COUNT('Weekly Log'!$A$5:$A$5000)=0,"",IF(MIN('Weekly Log'!$A$5:$A$5000)+7*(ROW()-10)&gt;MAX('Weekly Log'!$A$5:$A$5000),"",MIN('Weekly Log'!$A$5:$A$5000)+7*(ROW()-10)))</f>
        <v/>
      </c>
    </row>
    <row r="1335">
      <c r="A1335">
        <f>IF($J1335="","",YEAR($J1335-WEEKDAY($J1335,2)+4)&amp;"-W"&amp;TEXT(WEEKNUM($J1335,21),"00"))</f>
        <v/>
      </c>
      <c r="B1335">
        <f>IF($J1335="","",SUMIFS('Weekly Log'!$C:$C,'Weekly Log'!$A:$A,"&gt;="&amp;$J1335,'Weekly Log'!$A:$A,"&lt;"&amp;$J1335+7))</f>
        <v/>
      </c>
      <c r="C1335">
        <f>IF($J1335="","",IFERROR(COUNTIFS('Weekly Log'!$G:$G,"Y",'Weekly Log'!$A:$A,"&gt;="&amp;$J1335,'Weekly Log'!$A:$A,"&lt;"&amp;$J1335+7)/COUNTIFS('Weekly Log'!$G:$G,"&lt;&gt;",'Weekly Log'!$A:$A,"&gt;="&amp;$J1335,'Weekly Log'!$A:$A,"&lt;"&amp;$J1335+7),0))</f>
        <v/>
      </c>
      <c r="D1335">
        <f>IF($J1335="","",IFERROR(COUNTIFS('Weekly Log'!$H:$H,"Y",'Weekly Log'!$A:$A,"&gt;="&amp;$J1335,'Weekly Log'!$A:$A,"&lt;"&amp;$J1335+7)/COUNTIFS('Weekly Log'!$H:$H,"&lt;&gt;",'Weekly Log'!$A:$A,"&gt;="&amp;$J1335,'Weekly Log'!$A:$A,"&lt;"&amp;$J1335+7),0))</f>
        <v/>
      </c>
      <c r="E1335">
        <f>IF($J1335="","",IFERROR(AVERAGEIFS('Weekly Log'!$F:$F,'Weekly Log'!$A:$A,"&gt;="&amp;$J1335,'Weekly Log'!$A:$A,"&lt;"&amp;$J1335+7),0))</f>
        <v/>
      </c>
      <c r="F1335">
        <f>IF($J1335="","",IFERROR(SUMIFS('Weekly Log'!$F:$F,'Weekly Log'!$A:$A,"&gt;="&amp;$J1335,'Weekly Log'!$A:$A,"&lt;"&amp;$J1335+7)/SUMIFS('Weekly Log'!$E:$E,'Weekly Log'!$A:$A,"&gt;="&amp;$J1335,'Weekly Log'!$A:$A,"&lt;"&amp;$J1335+7),0))</f>
        <v/>
      </c>
      <c r="G1335">
        <f>IF($J1335="","",IFERROR(LOOKUP(2,1/(('Weekly Log'!$A$5:$A$5000&gt;=$J1335)*('Weekly Log'!$A$5:$A$5000&lt;$J1335+7)*('Weekly Log'!$M$5:$M$5000&lt;&gt;"")),'Weekly Log'!$M$5:$M$5000),0))</f>
        <v/>
      </c>
      <c r="J1335">
        <f>IF(COUNT('Weekly Log'!$A$5:$A$5000)=0,"",IF(MIN('Weekly Log'!$A$5:$A$5000)+7*(ROW()-10)&gt;MAX('Weekly Log'!$A$5:$A$5000),"",MIN('Weekly Log'!$A$5:$A$5000)+7*(ROW()-10)))</f>
        <v/>
      </c>
    </row>
    <row r="1336">
      <c r="A1336">
        <f>IF($J1336="","",YEAR($J1336-WEEKDAY($J1336,2)+4)&amp;"-W"&amp;TEXT(WEEKNUM($J1336,21),"00"))</f>
        <v/>
      </c>
      <c r="B1336">
        <f>IF($J1336="","",SUMIFS('Weekly Log'!$C:$C,'Weekly Log'!$A:$A,"&gt;="&amp;$J1336,'Weekly Log'!$A:$A,"&lt;"&amp;$J1336+7))</f>
        <v/>
      </c>
      <c r="C1336">
        <f>IF($J1336="","",IFERROR(COUNTIFS('Weekly Log'!$G:$G,"Y",'Weekly Log'!$A:$A,"&gt;="&amp;$J1336,'Weekly Log'!$A:$A,"&lt;"&amp;$J1336+7)/COUNTIFS('Weekly Log'!$G:$G,"&lt;&gt;",'Weekly Log'!$A:$A,"&gt;="&amp;$J1336,'Weekly Log'!$A:$A,"&lt;"&amp;$J1336+7),0))</f>
        <v/>
      </c>
      <c r="D1336">
        <f>IF($J1336="","",IFERROR(COUNTIFS('Weekly Log'!$H:$H,"Y",'Weekly Log'!$A:$A,"&gt;="&amp;$J1336,'Weekly Log'!$A:$A,"&lt;"&amp;$J1336+7)/COUNTIFS('Weekly Log'!$H:$H,"&lt;&gt;",'Weekly Log'!$A:$A,"&gt;="&amp;$J1336,'Weekly Log'!$A:$A,"&lt;"&amp;$J1336+7),0))</f>
        <v/>
      </c>
      <c r="E1336">
        <f>IF($J1336="","",IFERROR(AVERAGEIFS('Weekly Log'!$F:$F,'Weekly Log'!$A:$A,"&gt;="&amp;$J1336,'Weekly Log'!$A:$A,"&lt;"&amp;$J1336+7),0))</f>
        <v/>
      </c>
      <c r="F1336">
        <f>IF($J1336="","",IFERROR(SUMIFS('Weekly Log'!$F:$F,'Weekly Log'!$A:$A,"&gt;="&amp;$J1336,'Weekly Log'!$A:$A,"&lt;"&amp;$J1336+7)/SUMIFS('Weekly Log'!$E:$E,'Weekly Log'!$A:$A,"&gt;="&amp;$J1336,'Weekly Log'!$A:$A,"&lt;"&amp;$J1336+7),0))</f>
        <v/>
      </c>
      <c r="G1336">
        <f>IF($J1336="","",IFERROR(LOOKUP(2,1/(('Weekly Log'!$A$5:$A$5000&gt;=$J1336)*('Weekly Log'!$A$5:$A$5000&lt;$J1336+7)*('Weekly Log'!$M$5:$M$5000&lt;&gt;"")),'Weekly Log'!$M$5:$M$5000),0))</f>
        <v/>
      </c>
      <c r="J1336">
        <f>IF(COUNT('Weekly Log'!$A$5:$A$5000)=0,"",IF(MIN('Weekly Log'!$A$5:$A$5000)+7*(ROW()-10)&gt;MAX('Weekly Log'!$A$5:$A$5000),"",MIN('Weekly Log'!$A$5:$A$5000)+7*(ROW()-10)))</f>
        <v/>
      </c>
    </row>
    <row r="1337">
      <c r="A1337">
        <f>IF($J1337="","",YEAR($J1337-WEEKDAY($J1337,2)+4)&amp;"-W"&amp;TEXT(WEEKNUM($J1337,21),"00"))</f>
        <v/>
      </c>
      <c r="B1337">
        <f>IF($J1337="","",SUMIFS('Weekly Log'!$C:$C,'Weekly Log'!$A:$A,"&gt;="&amp;$J1337,'Weekly Log'!$A:$A,"&lt;"&amp;$J1337+7))</f>
        <v/>
      </c>
      <c r="C1337">
        <f>IF($J1337="","",IFERROR(COUNTIFS('Weekly Log'!$G:$G,"Y",'Weekly Log'!$A:$A,"&gt;="&amp;$J1337,'Weekly Log'!$A:$A,"&lt;"&amp;$J1337+7)/COUNTIFS('Weekly Log'!$G:$G,"&lt;&gt;",'Weekly Log'!$A:$A,"&gt;="&amp;$J1337,'Weekly Log'!$A:$A,"&lt;"&amp;$J1337+7),0))</f>
        <v/>
      </c>
      <c r="D1337">
        <f>IF($J1337="","",IFERROR(COUNTIFS('Weekly Log'!$H:$H,"Y",'Weekly Log'!$A:$A,"&gt;="&amp;$J1337,'Weekly Log'!$A:$A,"&lt;"&amp;$J1337+7)/COUNTIFS('Weekly Log'!$H:$H,"&lt;&gt;",'Weekly Log'!$A:$A,"&gt;="&amp;$J1337,'Weekly Log'!$A:$A,"&lt;"&amp;$J1337+7),0))</f>
        <v/>
      </c>
      <c r="E1337">
        <f>IF($J1337="","",IFERROR(AVERAGEIFS('Weekly Log'!$F:$F,'Weekly Log'!$A:$A,"&gt;="&amp;$J1337,'Weekly Log'!$A:$A,"&lt;"&amp;$J1337+7),0))</f>
        <v/>
      </c>
      <c r="F1337">
        <f>IF($J1337="","",IFERROR(SUMIFS('Weekly Log'!$F:$F,'Weekly Log'!$A:$A,"&gt;="&amp;$J1337,'Weekly Log'!$A:$A,"&lt;"&amp;$J1337+7)/SUMIFS('Weekly Log'!$E:$E,'Weekly Log'!$A:$A,"&gt;="&amp;$J1337,'Weekly Log'!$A:$A,"&lt;"&amp;$J1337+7),0))</f>
        <v/>
      </c>
      <c r="G1337">
        <f>IF($J1337="","",IFERROR(LOOKUP(2,1/(('Weekly Log'!$A$5:$A$5000&gt;=$J1337)*('Weekly Log'!$A$5:$A$5000&lt;$J1337+7)*('Weekly Log'!$M$5:$M$5000&lt;&gt;"")),'Weekly Log'!$M$5:$M$5000),0))</f>
        <v/>
      </c>
      <c r="J1337">
        <f>IF(COUNT('Weekly Log'!$A$5:$A$5000)=0,"",IF(MIN('Weekly Log'!$A$5:$A$5000)+7*(ROW()-10)&gt;MAX('Weekly Log'!$A$5:$A$5000),"",MIN('Weekly Log'!$A$5:$A$5000)+7*(ROW()-10)))</f>
        <v/>
      </c>
    </row>
    <row r="1338">
      <c r="A1338">
        <f>IF($J1338="","",YEAR($J1338-WEEKDAY($J1338,2)+4)&amp;"-W"&amp;TEXT(WEEKNUM($J1338,21),"00"))</f>
        <v/>
      </c>
      <c r="B1338">
        <f>IF($J1338="","",SUMIFS('Weekly Log'!$C:$C,'Weekly Log'!$A:$A,"&gt;="&amp;$J1338,'Weekly Log'!$A:$A,"&lt;"&amp;$J1338+7))</f>
        <v/>
      </c>
      <c r="C1338">
        <f>IF($J1338="","",IFERROR(COUNTIFS('Weekly Log'!$G:$G,"Y",'Weekly Log'!$A:$A,"&gt;="&amp;$J1338,'Weekly Log'!$A:$A,"&lt;"&amp;$J1338+7)/COUNTIFS('Weekly Log'!$G:$G,"&lt;&gt;",'Weekly Log'!$A:$A,"&gt;="&amp;$J1338,'Weekly Log'!$A:$A,"&lt;"&amp;$J1338+7),0))</f>
        <v/>
      </c>
      <c r="D1338">
        <f>IF($J1338="","",IFERROR(COUNTIFS('Weekly Log'!$H:$H,"Y",'Weekly Log'!$A:$A,"&gt;="&amp;$J1338,'Weekly Log'!$A:$A,"&lt;"&amp;$J1338+7)/COUNTIFS('Weekly Log'!$H:$H,"&lt;&gt;",'Weekly Log'!$A:$A,"&gt;="&amp;$J1338,'Weekly Log'!$A:$A,"&lt;"&amp;$J1338+7),0))</f>
        <v/>
      </c>
      <c r="E1338">
        <f>IF($J1338="","",IFERROR(AVERAGEIFS('Weekly Log'!$F:$F,'Weekly Log'!$A:$A,"&gt;="&amp;$J1338,'Weekly Log'!$A:$A,"&lt;"&amp;$J1338+7),0))</f>
        <v/>
      </c>
      <c r="F1338">
        <f>IF($J1338="","",IFERROR(SUMIFS('Weekly Log'!$F:$F,'Weekly Log'!$A:$A,"&gt;="&amp;$J1338,'Weekly Log'!$A:$A,"&lt;"&amp;$J1338+7)/SUMIFS('Weekly Log'!$E:$E,'Weekly Log'!$A:$A,"&gt;="&amp;$J1338,'Weekly Log'!$A:$A,"&lt;"&amp;$J1338+7),0))</f>
        <v/>
      </c>
      <c r="G1338">
        <f>IF($J1338="","",IFERROR(LOOKUP(2,1/(('Weekly Log'!$A$5:$A$5000&gt;=$J1338)*('Weekly Log'!$A$5:$A$5000&lt;$J1338+7)*('Weekly Log'!$M$5:$M$5000&lt;&gt;"")),'Weekly Log'!$M$5:$M$5000),0))</f>
        <v/>
      </c>
      <c r="J1338">
        <f>IF(COUNT('Weekly Log'!$A$5:$A$5000)=0,"",IF(MIN('Weekly Log'!$A$5:$A$5000)+7*(ROW()-10)&gt;MAX('Weekly Log'!$A$5:$A$5000),"",MIN('Weekly Log'!$A$5:$A$5000)+7*(ROW()-10)))</f>
        <v/>
      </c>
    </row>
    <row r="1339">
      <c r="A1339">
        <f>IF($J1339="","",YEAR($J1339-WEEKDAY($J1339,2)+4)&amp;"-W"&amp;TEXT(WEEKNUM($J1339,21),"00"))</f>
        <v/>
      </c>
      <c r="B1339">
        <f>IF($J1339="","",SUMIFS('Weekly Log'!$C:$C,'Weekly Log'!$A:$A,"&gt;="&amp;$J1339,'Weekly Log'!$A:$A,"&lt;"&amp;$J1339+7))</f>
        <v/>
      </c>
      <c r="C1339">
        <f>IF($J1339="","",IFERROR(COUNTIFS('Weekly Log'!$G:$G,"Y",'Weekly Log'!$A:$A,"&gt;="&amp;$J1339,'Weekly Log'!$A:$A,"&lt;"&amp;$J1339+7)/COUNTIFS('Weekly Log'!$G:$G,"&lt;&gt;",'Weekly Log'!$A:$A,"&gt;="&amp;$J1339,'Weekly Log'!$A:$A,"&lt;"&amp;$J1339+7),0))</f>
        <v/>
      </c>
      <c r="D1339">
        <f>IF($J1339="","",IFERROR(COUNTIFS('Weekly Log'!$H:$H,"Y",'Weekly Log'!$A:$A,"&gt;="&amp;$J1339,'Weekly Log'!$A:$A,"&lt;"&amp;$J1339+7)/COUNTIFS('Weekly Log'!$H:$H,"&lt;&gt;",'Weekly Log'!$A:$A,"&gt;="&amp;$J1339,'Weekly Log'!$A:$A,"&lt;"&amp;$J1339+7),0))</f>
        <v/>
      </c>
      <c r="E1339">
        <f>IF($J1339="","",IFERROR(AVERAGEIFS('Weekly Log'!$F:$F,'Weekly Log'!$A:$A,"&gt;="&amp;$J1339,'Weekly Log'!$A:$A,"&lt;"&amp;$J1339+7),0))</f>
        <v/>
      </c>
      <c r="F1339">
        <f>IF($J1339="","",IFERROR(SUMIFS('Weekly Log'!$F:$F,'Weekly Log'!$A:$A,"&gt;="&amp;$J1339,'Weekly Log'!$A:$A,"&lt;"&amp;$J1339+7)/SUMIFS('Weekly Log'!$E:$E,'Weekly Log'!$A:$A,"&gt;="&amp;$J1339,'Weekly Log'!$A:$A,"&lt;"&amp;$J1339+7),0))</f>
        <v/>
      </c>
      <c r="G1339">
        <f>IF($J1339="","",IFERROR(LOOKUP(2,1/(('Weekly Log'!$A$5:$A$5000&gt;=$J1339)*('Weekly Log'!$A$5:$A$5000&lt;$J1339+7)*('Weekly Log'!$M$5:$M$5000&lt;&gt;"")),'Weekly Log'!$M$5:$M$5000),0))</f>
        <v/>
      </c>
      <c r="J1339">
        <f>IF(COUNT('Weekly Log'!$A$5:$A$5000)=0,"",IF(MIN('Weekly Log'!$A$5:$A$5000)+7*(ROW()-10)&gt;MAX('Weekly Log'!$A$5:$A$5000),"",MIN('Weekly Log'!$A$5:$A$5000)+7*(ROW()-10)))</f>
        <v/>
      </c>
    </row>
    <row r="1340">
      <c r="A1340">
        <f>IF($J1340="","",YEAR($J1340-WEEKDAY($J1340,2)+4)&amp;"-W"&amp;TEXT(WEEKNUM($J1340,21),"00"))</f>
        <v/>
      </c>
      <c r="B1340">
        <f>IF($J1340="","",SUMIFS('Weekly Log'!$C:$C,'Weekly Log'!$A:$A,"&gt;="&amp;$J1340,'Weekly Log'!$A:$A,"&lt;"&amp;$J1340+7))</f>
        <v/>
      </c>
      <c r="C1340">
        <f>IF($J1340="","",IFERROR(COUNTIFS('Weekly Log'!$G:$G,"Y",'Weekly Log'!$A:$A,"&gt;="&amp;$J1340,'Weekly Log'!$A:$A,"&lt;"&amp;$J1340+7)/COUNTIFS('Weekly Log'!$G:$G,"&lt;&gt;",'Weekly Log'!$A:$A,"&gt;="&amp;$J1340,'Weekly Log'!$A:$A,"&lt;"&amp;$J1340+7),0))</f>
        <v/>
      </c>
      <c r="D1340">
        <f>IF($J1340="","",IFERROR(COUNTIFS('Weekly Log'!$H:$H,"Y",'Weekly Log'!$A:$A,"&gt;="&amp;$J1340,'Weekly Log'!$A:$A,"&lt;"&amp;$J1340+7)/COUNTIFS('Weekly Log'!$H:$H,"&lt;&gt;",'Weekly Log'!$A:$A,"&gt;="&amp;$J1340,'Weekly Log'!$A:$A,"&lt;"&amp;$J1340+7),0))</f>
        <v/>
      </c>
      <c r="E1340">
        <f>IF($J1340="","",IFERROR(AVERAGEIFS('Weekly Log'!$F:$F,'Weekly Log'!$A:$A,"&gt;="&amp;$J1340,'Weekly Log'!$A:$A,"&lt;"&amp;$J1340+7),0))</f>
        <v/>
      </c>
      <c r="F1340">
        <f>IF($J1340="","",IFERROR(SUMIFS('Weekly Log'!$F:$F,'Weekly Log'!$A:$A,"&gt;="&amp;$J1340,'Weekly Log'!$A:$A,"&lt;"&amp;$J1340+7)/SUMIFS('Weekly Log'!$E:$E,'Weekly Log'!$A:$A,"&gt;="&amp;$J1340,'Weekly Log'!$A:$A,"&lt;"&amp;$J1340+7),0))</f>
        <v/>
      </c>
      <c r="G1340">
        <f>IF($J1340="","",IFERROR(LOOKUP(2,1/(('Weekly Log'!$A$5:$A$5000&gt;=$J1340)*('Weekly Log'!$A$5:$A$5000&lt;$J1340+7)*('Weekly Log'!$M$5:$M$5000&lt;&gt;"")),'Weekly Log'!$M$5:$M$5000),0))</f>
        <v/>
      </c>
      <c r="J1340">
        <f>IF(COUNT('Weekly Log'!$A$5:$A$5000)=0,"",IF(MIN('Weekly Log'!$A$5:$A$5000)+7*(ROW()-10)&gt;MAX('Weekly Log'!$A$5:$A$5000),"",MIN('Weekly Log'!$A$5:$A$5000)+7*(ROW()-10)))</f>
        <v/>
      </c>
    </row>
    <row r="1341">
      <c r="A1341">
        <f>IF($J1341="","",YEAR($J1341-WEEKDAY($J1341,2)+4)&amp;"-W"&amp;TEXT(WEEKNUM($J1341,21),"00"))</f>
        <v/>
      </c>
      <c r="B1341">
        <f>IF($J1341="","",SUMIFS('Weekly Log'!$C:$C,'Weekly Log'!$A:$A,"&gt;="&amp;$J1341,'Weekly Log'!$A:$A,"&lt;"&amp;$J1341+7))</f>
        <v/>
      </c>
      <c r="C1341">
        <f>IF($J1341="","",IFERROR(COUNTIFS('Weekly Log'!$G:$G,"Y",'Weekly Log'!$A:$A,"&gt;="&amp;$J1341,'Weekly Log'!$A:$A,"&lt;"&amp;$J1341+7)/COUNTIFS('Weekly Log'!$G:$G,"&lt;&gt;",'Weekly Log'!$A:$A,"&gt;="&amp;$J1341,'Weekly Log'!$A:$A,"&lt;"&amp;$J1341+7),0))</f>
        <v/>
      </c>
      <c r="D1341">
        <f>IF($J1341="","",IFERROR(COUNTIFS('Weekly Log'!$H:$H,"Y",'Weekly Log'!$A:$A,"&gt;="&amp;$J1341,'Weekly Log'!$A:$A,"&lt;"&amp;$J1341+7)/COUNTIFS('Weekly Log'!$H:$H,"&lt;&gt;",'Weekly Log'!$A:$A,"&gt;="&amp;$J1341,'Weekly Log'!$A:$A,"&lt;"&amp;$J1341+7),0))</f>
        <v/>
      </c>
      <c r="E1341">
        <f>IF($J1341="","",IFERROR(AVERAGEIFS('Weekly Log'!$F:$F,'Weekly Log'!$A:$A,"&gt;="&amp;$J1341,'Weekly Log'!$A:$A,"&lt;"&amp;$J1341+7),0))</f>
        <v/>
      </c>
      <c r="F1341">
        <f>IF($J1341="","",IFERROR(SUMIFS('Weekly Log'!$F:$F,'Weekly Log'!$A:$A,"&gt;="&amp;$J1341,'Weekly Log'!$A:$A,"&lt;"&amp;$J1341+7)/SUMIFS('Weekly Log'!$E:$E,'Weekly Log'!$A:$A,"&gt;="&amp;$J1341,'Weekly Log'!$A:$A,"&lt;"&amp;$J1341+7),0))</f>
        <v/>
      </c>
      <c r="G1341">
        <f>IF($J1341="","",IFERROR(LOOKUP(2,1/(('Weekly Log'!$A$5:$A$5000&gt;=$J1341)*('Weekly Log'!$A$5:$A$5000&lt;$J1341+7)*('Weekly Log'!$M$5:$M$5000&lt;&gt;"")),'Weekly Log'!$M$5:$M$5000),0))</f>
        <v/>
      </c>
      <c r="J1341">
        <f>IF(COUNT('Weekly Log'!$A$5:$A$5000)=0,"",IF(MIN('Weekly Log'!$A$5:$A$5000)+7*(ROW()-10)&gt;MAX('Weekly Log'!$A$5:$A$5000),"",MIN('Weekly Log'!$A$5:$A$5000)+7*(ROW()-10)))</f>
        <v/>
      </c>
    </row>
    <row r="1342">
      <c r="A1342">
        <f>IF($J1342="","",YEAR($J1342-WEEKDAY($J1342,2)+4)&amp;"-W"&amp;TEXT(WEEKNUM($J1342,21),"00"))</f>
        <v/>
      </c>
      <c r="B1342">
        <f>IF($J1342="","",SUMIFS('Weekly Log'!$C:$C,'Weekly Log'!$A:$A,"&gt;="&amp;$J1342,'Weekly Log'!$A:$A,"&lt;"&amp;$J1342+7))</f>
        <v/>
      </c>
      <c r="C1342">
        <f>IF($J1342="","",IFERROR(COUNTIFS('Weekly Log'!$G:$G,"Y",'Weekly Log'!$A:$A,"&gt;="&amp;$J1342,'Weekly Log'!$A:$A,"&lt;"&amp;$J1342+7)/COUNTIFS('Weekly Log'!$G:$G,"&lt;&gt;",'Weekly Log'!$A:$A,"&gt;="&amp;$J1342,'Weekly Log'!$A:$A,"&lt;"&amp;$J1342+7),0))</f>
        <v/>
      </c>
      <c r="D1342">
        <f>IF($J1342="","",IFERROR(COUNTIFS('Weekly Log'!$H:$H,"Y",'Weekly Log'!$A:$A,"&gt;="&amp;$J1342,'Weekly Log'!$A:$A,"&lt;"&amp;$J1342+7)/COUNTIFS('Weekly Log'!$H:$H,"&lt;&gt;",'Weekly Log'!$A:$A,"&gt;="&amp;$J1342,'Weekly Log'!$A:$A,"&lt;"&amp;$J1342+7),0))</f>
        <v/>
      </c>
      <c r="E1342">
        <f>IF($J1342="","",IFERROR(AVERAGEIFS('Weekly Log'!$F:$F,'Weekly Log'!$A:$A,"&gt;="&amp;$J1342,'Weekly Log'!$A:$A,"&lt;"&amp;$J1342+7),0))</f>
        <v/>
      </c>
      <c r="F1342">
        <f>IF($J1342="","",IFERROR(SUMIFS('Weekly Log'!$F:$F,'Weekly Log'!$A:$A,"&gt;="&amp;$J1342,'Weekly Log'!$A:$A,"&lt;"&amp;$J1342+7)/SUMIFS('Weekly Log'!$E:$E,'Weekly Log'!$A:$A,"&gt;="&amp;$J1342,'Weekly Log'!$A:$A,"&lt;"&amp;$J1342+7),0))</f>
        <v/>
      </c>
      <c r="G1342">
        <f>IF($J1342="","",IFERROR(LOOKUP(2,1/(('Weekly Log'!$A$5:$A$5000&gt;=$J1342)*('Weekly Log'!$A$5:$A$5000&lt;$J1342+7)*('Weekly Log'!$M$5:$M$5000&lt;&gt;"")),'Weekly Log'!$M$5:$M$5000),0))</f>
        <v/>
      </c>
      <c r="J1342">
        <f>IF(COUNT('Weekly Log'!$A$5:$A$5000)=0,"",IF(MIN('Weekly Log'!$A$5:$A$5000)+7*(ROW()-10)&gt;MAX('Weekly Log'!$A$5:$A$5000),"",MIN('Weekly Log'!$A$5:$A$5000)+7*(ROW()-10)))</f>
        <v/>
      </c>
    </row>
    <row r="1343">
      <c r="A1343">
        <f>IF($J1343="","",YEAR($J1343-WEEKDAY($J1343,2)+4)&amp;"-W"&amp;TEXT(WEEKNUM($J1343,21),"00"))</f>
        <v/>
      </c>
      <c r="B1343">
        <f>IF($J1343="","",SUMIFS('Weekly Log'!$C:$C,'Weekly Log'!$A:$A,"&gt;="&amp;$J1343,'Weekly Log'!$A:$A,"&lt;"&amp;$J1343+7))</f>
        <v/>
      </c>
      <c r="C1343">
        <f>IF($J1343="","",IFERROR(COUNTIFS('Weekly Log'!$G:$G,"Y",'Weekly Log'!$A:$A,"&gt;="&amp;$J1343,'Weekly Log'!$A:$A,"&lt;"&amp;$J1343+7)/COUNTIFS('Weekly Log'!$G:$G,"&lt;&gt;",'Weekly Log'!$A:$A,"&gt;="&amp;$J1343,'Weekly Log'!$A:$A,"&lt;"&amp;$J1343+7),0))</f>
        <v/>
      </c>
      <c r="D1343">
        <f>IF($J1343="","",IFERROR(COUNTIFS('Weekly Log'!$H:$H,"Y",'Weekly Log'!$A:$A,"&gt;="&amp;$J1343,'Weekly Log'!$A:$A,"&lt;"&amp;$J1343+7)/COUNTIFS('Weekly Log'!$H:$H,"&lt;&gt;",'Weekly Log'!$A:$A,"&gt;="&amp;$J1343,'Weekly Log'!$A:$A,"&lt;"&amp;$J1343+7),0))</f>
        <v/>
      </c>
      <c r="E1343">
        <f>IF($J1343="","",IFERROR(AVERAGEIFS('Weekly Log'!$F:$F,'Weekly Log'!$A:$A,"&gt;="&amp;$J1343,'Weekly Log'!$A:$A,"&lt;"&amp;$J1343+7),0))</f>
        <v/>
      </c>
      <c r="F1343">
        <f>IF($J1343="","",IFERROR(SUMIFS('Weekly Log'!$F:$F,'Weekly Log'!$A:$A,"&gt;="&amp;$J1343,'Weekly Log'!$A:$A,"&lt;"&amp;$J1343+7)/SUMIFS('Weekly Log'!$E:$E,'Weekly Log'!$A:$A,"&gt;="&amp;$J1343,'Weekly Log'!$A:$A,"&lt;"&amp;$J1343+7),0))</f>
        <v/>
      </c>
      <c r="G1343">
        <f>IF($J1343="","",IFERROR(LOOKUP(2,1/(('Weekly Log'!$A$5:$A$5000&gt;=$J1343)*('Weekly Log'!$A$5:$A$5000&lt;$J1343+7)*('Weekly Log'!$M$5:$M$5000&lt;&gt;"")),'Weekly Log'!$M$5:$M$5000),0))</f>
        <v/>
      </c>
      <c r="J1343">
        <f>IF(COUNT('Weekly Log'!$A$5:$A$5000)=0,"",IF(MIN('Weekly Log'!$A$5:$A$5000)+7*(ROW()-10)&gt;MAX('Weekly Log'!$A$5:$A$5000),"",MIN('Weekly Log'!$A$5:$A$5000)+7*(ROW()-10)))</f>
        <v/>
      </c>
    </row>
    <row r="1344">
      <c r="A1344">
        <f>IF($J1344="","",YEAR($J1344-WEEKDAY($J1344,2)+4)&amp;"-W"&amp;TEXT(WEEKNUM($J1344,21),"00"))</f>
        <v/>
      </c>
      <c r="B1344">
        <f>IF($J1344="","",SUMIFS('Weekly Log'!$C:$C,'Weekly Log'!$A:$A,"&gt;="&amp;$J1344,'Weekly Log'!$A:$A,"&lt;"&amp;$J1344+7))</f>
        <v/>
      </c>
      <c r="C1344">
        <f>IF($J1344="","",IFERROR(COUNTIFS('Weekly Log'!$G:$G,"Y",'Weekly Log'!$A:$A,"&gt;="&amp;$J1344,'Weekly Log'!$A:$A,"&lt;"&amp;$J1344+7)/COUNTIFS('Weekly Log'!$G:$G,"&lt;&gt;",'Weekly Log'!$A:$A,"&gt;="&amp;$J1344,'Weekly Log'!$A:$A,"&lt;"&amp;$J1344+7),0))</f>
        <v/>
      </c>
      <c r="D1344">
        <f>IF($J1344="","",IFERROR(COUNTIFS('Weekly Log'!$H:$H,"Y",'Weekly Log'!$A:$A,"&gt;="&amp;$J1344,'Weekly Log'!$A:$A,"&lt;"&amp;$J1344+7)/COUNTIFS('Weekly Log'!$H:$H,"&lt;&gt;",'Weekly Log'!$A:$A,"&gt;="&amp;$J1344,'Weekly Log'!$A:$A,"&lt;"&amp;$J1344+7),0))</f>
        <v/>
      </c>
      <c r="E1344">
        <f>IF($J1344="","",IFERROR(AVERAGEIFS('Weekly Log'!$F:$F,'Weekly Log'!$A:$A,"&gt;="&amp;$J1344,'Weekly Log'!$A:$A,"&lt;"&amp;$J1344+7),0))</f>
        <v/>
      </c>
      <c r="F1344">
        <f>IF($J1344="","",IFERROR(SUMIFS('Weekly Log'!$F:$F,'Weekly Log'!$A:$A,"&gt;="&amp;$J1344,'Weekly Log'!$A:$A,"&lt;"&amp;$J1344+7)/SUMIFS('Weekly Log'!$E:$E,'Weekly Log'!$A:$A,"&gt;="&amp;$J1344,'Weekly Log'!$A:$A,"&lt;"&amp;$J1344+7),0))</f>
        <v/>
      </c>
      <c r="G1344">
        <f>IF($J1344="","",IFERROR(LOOKUP(2,1/(('Weekly Log'!$A$5:$A$5000&gt;=$J1344)*('Weekly Log'!$A$5:$A$5000&lt;$J1344+7)*('Weekly Log'!$M$5:$M$5000&lt;&gt;"")),'Weekly Log'!$M$5:$M$5000),0))</f>
        <v/>
      </c>
      <c r="J1344">
        <f>IF(COUNT('Weekly Log'!$A$5:$A$5000)=0,"",IF(MIN('Weekly Log'!$A$5:$A$5000)+7*(ROW()-10)&gt;MAX('Weekly Log'!$A$5:$A$5000),"",MIN('Weekly Log'!$A$5:$A$5000)+7*(ROW()-10)))</f>
        <v/>
      </c>
    </row>
    <row r="1345">
      <c r="A1345">
        <f>IF($J1345="","",YEAR($J1345-WEEKDAY($J1345,2)+4)&amp;"-W"&amp;TEXT(WEEKNUM($J1345,21),"00"))</f>
        <v/>
      </c>
      <c r="B1345">
        <f>IF($J1345="","",SUMIFS('Weekly Log'!$C:$C,'Weekly Log'!$A:$A,"&gt;="&amp;$J1345,'Weekly Log'!$A:$A,"&lt;"&amp;$J1345+7))</f>
        <v/>
      </c>
      <c r="C1345">
        <f>IF($J1345="","",IFERROR(COUNTIFS('Weekly Log'!$G:$G,"Y",'Weekly Log'!$A:$A,"&gt;="&amp;$J1345,'Weekly Log'!$A:$A,"&lt;"&amp;$J1345+7)/COUNTIFS('Weekly Log'!$G:$G,"&lt;&gt;",'Weekly Log'!$A:$A,"&gt;="&amp;$J1345,'Weekly Log'!$A:$A,"&lt;"&amp;$J1345+7),0))</f>
        <v/>
      </c>
      <c r="D1345">
        <f>IF($J1345="","",IFERROR(COUNTIFS('Weekly Log'!$H:$H,"Y",'Weekly Log'!$A:$A,"&gt;="&amp;$J1345,'Weekly Log'!$A:$A,"&lt;"&amp;$J1345+7)/COUNTIFS('Weekly Log'!$H:$H,"&lt;&gt;",'Weekly Log'!$A:$A,"&gt;="&amp;$J1345,'Weekly Log'!$A:$A,"&lt;"&amp;$J1345+7),0))</f>
        <v/>
      </c>
      <c r="E1345">
        <f>IF($J1345="","",IFERROR(AVERAGEIFS('Weekly Log'!$F:$F,'Weekly Log'!$A:$A,"&gt;="&amp;$J1345,'Weekly Log'!$A:$A,"&lt;"&amp;$J1345+7),0))</f>
        <v/>
      </c>
      <c r="F1345">
        <f>IF($J1345="","",IFERROR(SUMIFS('Weekly Log'!$F:$F,'Weekly Log'!$A:$A,"&gt;="&amp;$J1345,'Weekly Log'!$A:$A,"&lt;"&amp;$J1345+7)/SUMIFS('Weekly Log'!$E:$E,'Weekly Log'!$A:$A,"&gt;="&amp;$J1345,'Weekly Log'!$A:$A,"&lt;"&amp;$J1345+7),0))</f>
        <v/>
      </c>
      <c r="G1345">
        <f>IF($J1345="","",IFERROR(LOOKUP(2,1/(('Weekly Log'!$A$5:$A$5000&gt;=$J1345)*('Weekly Log'!$A$5:$A$5000&lt;$J1345+7)*('Weekly Log'!$M$5:$M$5000&lt;&gt;"")),'Weekly Log'!$M$5:$M$5000),0))</f>
        <v/>
      </c>
      <c r="J1345">
        <f>IF(COUNT('Weekly Log'!$A$5:$A$5000)=0,"",IF(MIN('Weekly Log'!$A$5:$A$5000)+7*(ROW()-10)&gt;MAX('Weekly Log'!$A$5:$A$5000),"",MIN('Weekly Log'!$A$5:$A$5000)+7*(ROW()-10)))</f>
        <v/>
      </c>
    </row>
    <row r="1346">
      <c r="A1346">
        <f>IF($J1346="","",YEAR($J1346-WEEKDAY($J1346,2)+4)&amp;"-W"&amp;TEXT(WEEKNUM($J1346,21),"00"))</f>
        <v/>
      </c>
      <c r="B1346">
        <f>IF($J1346="","",SUMIFS('Weekly Log'!$C:$C,'Weekly Log'!$A:$A,"&gt;="&amp;$J1346,'Weekly Log'!$A:$A,"&lt;"&amp;$J1346+7))</f>
        <v/>
      </c>
      <c r="C1346">
        <f>IF($J1346="","",IFERROR(COUNTIFS('Weekly Log'!$G:$G,"Y",'Weekly Log'!$A:$A,"&gt;="&amp;$J1346,'Weekly Log'!$A:$A,"&lt;"&amp;$J1346+7)/COUNTIFS('Weekly Log'!$G:$G,"&lt;&gt;",'Weekly Log'!$A:$A,"&gt;="&amp;$J1346,'Weekly Log'!$A:$A,"&lt;"&amp;$J1346+7),0))</f>
        <v/>
      </c>
      <c r="D1346">
        <f>IF($J1346="","",IFERROR(COUNTIFS('Weekly Log'!$H:$H,"Y",'Weekly Log'!$A:$A,"&gt;="&amp;$J1346,'Weekly Log'!$A:$A,"&lt;"&amp;$J1346+7)/COUNTIFS('Weekly Log'!$H:$H,"&lt;&gt;",'Weekly Log'!$A:$A,"&gt;="&amp;$J1346,'Weekly Log'!$A:$A,"&lt;"&amp;$J1346+7),0))</f>
        <v/>
      </c>
      <c r="E1346">
        <f>IF($J1346="","",IFERROR(AVERAGEIFS('Weekly Log'!$F:$F,'Weekly Log'!$A:$A,"&gt;="&amp;$J1346,'Weekly Log'!$A:$A,"&lt;"&amp;$J1346+7),0))</f>
        <v/>
      </c>
      <c r="F1346">
        <f>IF($J1346="","",IFERROR(SUMIFS('Weekly Log'!$F:$F,'Weekly Log'!$A:$A,"&gt;="&amp;$J1346,'Weekly Log'!$A:$A,"&lt;"&amp;$J1346+7)/SUMIFS('Weekly Log'!$E:$E,'Weekly Log'!$A:$A,"&gt;="&amp;$J1346,'Weekly Log'!$A:$A,"&lt;"&amp;$J1346+7),0))</f>
        <v/>
      </c>
      <c r="G1346">
        <f>IF($J1346="","",IFERROR(LOOKUP(2,1/(('Weekly Log'!$A$5:$A$5000&gt;=$J1346)*('Weekly Log'!$A$5:$A$5000&lt;$J1346+7)*('Weekly Log'!$M$5:$M$5000&lt;&gt;"")),'Weekly Log'!$M$5:$M$5000),0))</f>
        <v/>
      </c>
      <c r="J1346">
        <f>IF(COUNT('Weekly Log'!$A$5:$A$5000)=0,"",IF(MIN('Weekly Log'!$A$5:$A$5000)+7*(ROW()-10)&gt;MAX('Weekly Log'!$A$5:$A$5000),"",MIN('Weekly Log'!$A$5:$A$5000)+7*(ROW()-10)))</f>
        <v/>
      </c>
    </row>
    <row r="1347">
      <c r="A1347">
        <f>IF($J1347="","",YEAR($J1347-WEEKDAY($J1347,2)+4)&amp;"-W"&amp;TEXT(WEEKNUM($J1347,21),"00"))</f>
        <v/>
      </c>
      <c r="B1347">
        <f>IF($J1347="","",SUMIFS('Weekly Log'!$C:$C,'Weekly Log'!$A:$A,"&gt;="&amp;$J1347,'Weekly Log'!$A:$A,"&lt;"&amp;$J1347+7))</f>
        <v/>
      </c>
      <c r="C1347">
        <f>IF($J1347="","",IFERROR(COUNTIFS('Weekly Log'!$G:$G,"Y",'Weekly Log'!$A:$A,"&gt;="&amp;$J1347,'Weekly Log'!$A:$A,"&lt;"&amp;$J1347+7)/COUNTIFS('Weekly Log'!$G:$G,"&lt;&gt;",'Weekly Log'!$A:$A,"&gt;="&amp;$J1347,'Weekly Log'!$A:$A,"&lt;"&amp;$J1347+7),0))</f>
        <v/>
      </c>
      <c r="D1347">
        <f>IF($J1347="","",IFERROR(COUNTIFS('Weekly Log'!$H:$H,"Y",'Weekly Log'!$A:$A,"&gt;="&amp;$J1347,'Weekly Log'!$A:$A,"&lt;"&amp;$J1347+7)/COUNTIFS('Weekly Log'!$H:$H,"&lt;&gt;",'Weekly Log'!$A:$A,"&gt;="&amp;$J1347,'Weekly Log'!$A:$A,"&lt;"&amp;$J1347+7),0))</f>
        <v/>
      </c>
      <c r="E1347">
        <f>IF($J1347="","",IFERROR(AVERAGEIFS('Weekly Log'!$F:$F,'Weekly Log'!$A:$A,"&gt;="&amp;$J1347,'Weekly Log'!$A:$A,"&lt;"&amp;$J1347+7),0))</f>
        <v/>
      </c>
      <c r="F1347">
        <f>IF($J1347="","",IFERROR(SUMIFS('Weekly Log'!$F:$F,'Weekly Log'!$A:$A,"&gt;="&amp;$J1347,'Weekly Log'!$A:$A,"&lt;"&amp;$J1347+7)/SUMIFS('Weekly Log'!$E:$E,'Weekly Log'!$A:$A,"&gt;="&amp;$J1347,'Weekly Log'!$A:$A,"&lt;"&amp;$J1347+7),0))</f>
        <v/>
      </c>
      <c r="G1347">
        <f>IF($J1347="","",IFERROR(LOOKUP(2,1/(('Weekly Log'!$A$5:$A$5000&gt;=$J1347)*('Weekly Log'!$A$5:$A$5000&lt;$J1347+7)*('Weekly Log'!$M$5:$M$5000&lt;&gt;"")),'Weekly Log'!$M$5:$M$5000),0))</f>
        <v/>
      </c>
      <c r="J1347">
        <f>IF(COUNT('Weekly Log'!$A$5:$A$5000)=0,"",IF(MIN('Weekly Log'!$A$5:$A$5000)+7*(ROW()-10)&gt;MAX('Weekly Log'!$A$5:$A$5000),"",MIN('Weekly Log'!$A$5:$A$5000)+7*(ROW()-10)))</f>
        <v/>
      </c>
    </row>
    <row r="1348">
      <c r="A1348">
        <f>IF($J1348="","",YEAR($J1348-WEEKDAY($J1348,2)+4)&amp;"-W"&amp;TEXT(WEEKNUM($J1348,21),"00"))</f>
        <v/>
      </c>
      <c r="B1348">
        <f>IF($J1348="","",SUMIFS('Weekly Log'!$C:$C,'Weekly Log'!$A:$A,"&gt;="&amp;$J1348,'Weekly Log'!$A:$A,"&lt;"&amp;$J1348+7))</f>
        <v/>
      </c>
      <c r="C1348">
        <f>IF($J1348="","",IFERROR(COUNTIFS('Weekly Log'!$G:$G,"Y",'Weekly Log'!$A:$A,"&gt;="&amp;$J1348,'Weekly Log'!$A:$A,"&lt;"&amp;$J1348+7)/COUNTIFS('Weekly Log'!$G:$G,"&lt;&gt;",'Weekly Log'!$A:$A,"&gt;="&amp;$J1348,'Weekly Log'!$A:$A,"&lt;"&amp;$J1348+7),0))</f>
        <v/>
      </c>
      <c r="D1348">
        <f>IF($J1348="","",IFERROR(COUNTIFS('Weekly Log'!$H:$H,"Y",'Weekly Log'!$A:$A,"&gt;="&amp;$J1348,'Weekly Log'!$A:$A,"&lt;"&amp;$J1348+7)/COUNTIFS('Weekly Log'!$H:$H,"&lt;&gt;",'Weekly Log'!$A:$A,"&gt;="&amp;$J1348,'Weekly Log'!$A:$A,"&lt;"&amp;$J1348+7),0))</f>
        <v/>
      </c>
      <c r="E1348">
        <f>IF($J1348="","",IFERROR(AVERAGEIFS('Weekly Log'!$F:$F,'Weekly Log'!$A:$A,"&gt;="&amp;$J1348,'Weekly Log'!$A:$A,"&lt;"&amp;$J1348+7),0))</f>
        <v/>
      </c>
      <c r="F1348">
        <f>IF($J1348="","",IFERROR(SUMIFS('Weekly Log'!$F:$F,'Weekly Log'!$A:$A,"&gt;="&amp;$J1348,'Weekly Log'!$A:$A,"&lt;"&amp;$J1348+7)/SUMIFS('Weekly Log'!$E:$E,'Weekly Log'!$A:$A,"&gt;="&amp;$J1348,'Weekly Log'!$A:$A,"&lt;"&amp;$J1348+7),0))</f>
        <v/>
      </c>
      <c r="G1348">
        <f>IF($J1348="","",IFERROR(LOOKUP(2,1/(('Weekly Log'!$A$5:$A$5000&gt;=$J1348)*('Weekly Log'!$A$5:$A$5000&lt;$J1348+7)*('Weekly Log'!$M$5:$M$5000&lt;&gt;"")),'Weekly Log'!$M$5:$M$5000),0))</f>
        <v/>
      </c>
      <c r="J1348">
        <f>IF(COUNT('Weekly Log'!$A$5:$A$5000)=0,"",IF(MIN('Weekly Log'!$A$5:$A$5000)+7*(ROW()-10)&gt;MAX('Weekly Log'!$A$5:$A$5000),"",MIN('Weekly Log'!$A$5:$A$5000)+7*(ROW()-10)))</f>
        <v/>
      </c>
    </row>
    <row r="1349">
      <c r="A1349">
        <f>IF($J1349="","",YEAR($J1349-WEEKDAY($J1349,2)+4)&amp;"-W"&amp;TEXT(WEEKNUM($J1349,21),"00"))</f>
        <v/>
      </c>
      <c r="B1349">
        <f>IF($J1349="","",SUMIFS('Weekly Log'!$C:$C,'Weekly Log'!$A:$A,"&gt;="&amp;$J1349,'Weekly Log'!$A:$A,"&lt;"&amp;$J1349+7))</f>
        <v/>
      </c>
      <c r="C1349">
        <f>IF($J1349="","",IFERROR(COUNTIFS('Weekly Log'!$G:$G,"Y",'Weekly Log'!$A:$A,"&gt;="&amp;$J1349,'Weekly Log'!$A:$A,"&lt;"&amp;$J1349+7)/COUNTIFS('Weekly Log'!$G:$G,"&lt;&gt;",'Weekly Log'!$A:$A,"&gt;="&amp;$J1349,'Weekly Log'!$A:$A,"&lt;"&amp;$J1349+7),0))</f>
        <v/>
      </c>
      <c r="D1349">
        <f>IF($J1349="","",IFERROR(COUNTIFS('Weekly Log'!$H:$H,"Y",'Weekly Log'!$A:$A,"&gt;="&amp;$J1349,'Weekly Log'!$A:$A,"&lt;"&amp;$J1349+7)/COUNTIFS('Weekly Log'!$H:$H,"&lt;&gt;",'Weekly Log'!$A:$A,"&gt;="&amp;$J1349,'Weekly Log'!$A:$A,"&lt;"&amp;$J1349+7),0))</f>
        <v/>
      </c>
      <c r="E1349">
        <f>IF($J1349="","",IFERROR(AVERAGEIFS('Weekly Log'!$F:$F,'Weekly Log'!$A:$A,"&gt;="&amp;$J1349,'Weekly Log'!$A:$A,"&lt;"&amp;$J1349+7),0))</f>
        <v/>
      </c>
      <c r="F1349">
        <f>IF($J1349="","",IFERROR(SUMIFS('Weekly Log'!$F:$F,'Weekly Log'!$A:$A,"&gt;="&amp;$J1349,'Weekly Log'!$A:$A,"&lt;"&amp;$J1349+7)/SUMIFS('Weekly Log'!$E:$E,'Weekly Log'!$A:$A,"&gt;="&amp;$J1349,'Weekly Log'!$A:$A,"&lt;"&amp;$J1349+7),0))</f>
        <v/>
      </c>
      <c r="G1349">
        <f>IF($J1349="","",IFERROR(LOOKUP(2,1/(('Weekly Log'!$A$5:$A$5000&gt;=$J1349)*('Weekly Log'!$A$5:$A$5000&lt;$J1349+7)*('Weekly Log'!$M$5:$M$5000&lt;&gt;"")),'Weekly Log'!$M$5:$M$5000),0))</f>
        <v/>
      </c>
      <c r="J1349">
        <f>IF(COUNT('Weekly Log'!$A$5:$A$5000)=0,"",IF(MIN('Weekly Log'!$A$5:$A$5000)+7*(ROW()-10)&gt;MAX('Weekly Log'!$A$5:$A$5000),"",MIN('Weekly Log'!$A$5:$A$5000)+7*(ROW()-10)))</f>
        <v/>
      </c>
    </row>
    <row r="1350">
      <c r="A1350">
        <f>IF($J1350="","",YEAR($J1350-WEEKDAY($J1350,2)+4)&amp;"-W"&amp;TEXT(WEEKNUM($J1350,21),"00"))</f>
        <v/>
      </c>
      <c r="B1350">
        <f>IF($J1350="","",SUMIFS('Weekly Log'!$C:$C,'Weekly Log'!$A:$A,"&gt;="&amp;$J1350,'Weekly Log'!$A:$A,"&lt;"&amp;$J1350+7))</f>
        <v/>
      </c>
      <c r="C1350">
        <f>IF($J1350="","",IFERROR(COUNTIFS('Weekly Log'!$G:$G,"Y",'Weekly Log'!$A:$A,"&gt;="&amp;$J1350,'Weekly Log'!$A:$A,"&lt;"&amp;$J1350+7)/COUNTIFS('Weekly Log'!$G:$G,"&lt;&gt;",'Weekly Log'!$A:$A,"&gt;="&amp;$J1350,'Weekly Log'!$A:$A,"&lt;"&amp;$J1350+7),0))</f>
        <v/>
      </c>
      <c r="D1350">
        <f>IF($J1350="","",IFERROR(COUNTIFS('Weekly Log'!$H:$H,"Y",'Weekly Log'!$A:$A,"&gt;="&amp;$J1350,'Weekly Log'!$A:$A,"&lt;"&amp;$J1350+7)/COUNTIFS('Weekly Log'!$H:$H,"&lt;&gt;",'Weekly Log'!$A:$A,"&gt;="&amp;$J1350,'Weekly Log'!$A:$A,"&lt;"&amp;$J1350+7),0))</f>
        <v/>
      </c>
      <c r="E1350">
        <f>IF($J1350="","",IFERROR(AVERAGEIFS('Weekly Log'!$F:$F,'Weekly Log'!$A:$A,"&gt;="&amp;$J1350,'Weekly Log'!$A:$A,"&lt;"&amp;$J1350+7),0))</f>
        <v/>
      </c>
      <c r="F1350">
        <f>IF($J1350="","",IFERROR(SUMIFS('Weekly Log'!$F:$F,'Weekly Log'!$A:$A,"&gt;="&amp;$J1350,'Weekly Log'!$A:$A,"&lt;"&amp;$J1350+7)/SUMIFS('Weekly Log'!$E:$E,'Weekly Log'!$A:$A,"&gt;="&amp;$J1350,'Weekly Log'!$A:$A,"&lt;"&amp;$J1350+7),0))</f>
        <v/>
      </c>
      <c r="G1350">
        <f>IF($J1350="","",IFERROR(LOOKUP(2,1/(('Weekly Log'!$A$5:$A$5000&gt;=$J1350)*('Weekly Log'!$A$5:$A$5000&lt;$J1350+7)*('Weekly Log'!$M$5:$M$5000&lt;&gt;"")),'Weekly Log'!$M$5:$M$5000),0))</f>
        <v/>
      </c>
      <c r="J1350">
        <f>IF(COUNT('Weekly Log'!$A$5:$A$5000)=0,"",IF(MIN('Weekly Log'!$A$5:$A$5000)+7*(ROW()-10)&gt;MAX('Weekly Log'!$A$5:$A$5000),"",MIN('Weekly Log'!$A$5:$A$5000)+7*(ROW()-10)))</f>
        <v/>
      </c>
    </row>
    <row r="1351">
      <c r="A1351">
        <f>IF($J1351="","",YEAR($J1351-WEEKDAY($J1351,2)+4)&amp;"-W"&amp;TEXT(WEEKNUM($J1351,21),"00"))</f>
        <v/>
      </c>
      <c r="B1351">
        <f>IF($J1351="","",SUMIFS('Weekly Log'!$C:$C,'Weekly Log'!$A:$A,"&gt;="&amp;$J1351,'Weekly Log'!$A:$A,"&lt;"&amp;$J1351+7))</f>
        <v/>
      </c>
      <c r="C1351">
        <f>IF($J1351="","",IFERROR(COUNTIFS('Weekly Log'!$G:$G,"Y",'Weekly Log'!$A:$A,"&gt;="&amp;$J1351,'Weekly Log'!$A:$A,"&lt;"&amp;$J1351+7)/COUNTIFS('Weekly Log'!$G:$G,"&lt;&gt;",'Weekly Log'!$A:$A,"&gt;="&amp;$J1351,'Weekly Log'!$A:$A,"&lt;"&amp;$J1351+7),0))</f>
        <v/>
      </c>
      <c r="D1351">
        <f>IF($J1351="","",IFERROR(COUNTIFS('Weekly Log'!$H:$H,"Y",'Weekly Log'!$A:$A,"&gt;="&amp;$J1351,'Weekly Log'!$A:$A,"&lt;"&amp;$J1351+7)/COUNTIFS('Weekly Log'!$H:$H,"&lt;&gt;",'Weekly Log'!$A:$A,"&gt;="&amp;$J1351,'Weekly Log'!$A:$A,"&lt;"&amp;$J1351+7),0))</f>
        <v/>
      </c>
      <c r="E1351">
        <f>IF($J1351="","",IFERROR(AVERAGEIFS('Weekly Log'!$F:$F,'Weekly Log'!$A:$A,"&gt;="&amp;$J1351,'Weekly Log'!$A:$A,"&lt;"&amp;$J1351+7),0))</f>
        <v/>
      </c>
      <c r="F1351">
        <f>IF($J1351="","",IFERROR(SUMIFS('Weekly Log'!$F:$F,'Weekly Log'!$A:$A,"&gt;="&amp;$J1351,'Weekly Log'!$A:$A,"&lt;"&amp;$J1351+7)/SUMIFS('Weekly Log'!$E:$E,'Weekly Log'!$A:$A,"&gt;="&amp;$J1351,'Weekly Log'!$A:$A,"&lt;"&amp;$J1351+7),0))</f>
        <v/>
      </c>
      <c r="G1351">
        <f>IF($J1351="","",IFERROR(LOOKUP(2,1/(('Weekly Log'!$A$5:$A$5000&gt;=$J1351)*('Weekly Log'!$A$5:$A$5000&lt;$J1351+7)*('Weekly Log'!$M$5:$M$5000&lt;&gt;"")),'Weekly Log'!$M$5:$M$5000),0))</f>
        <v/>
      </c>
      <c r="J1351">
        <f>IF(COUNT('Weekly Log'!$A$5:$A$5000)=0,"",IF(MIN('Weekly Log'!$A$5:$A$5000)+7*(ROW()-10)&gt;MAX('Weekly Log'!$A$5:$A$5000),"",MIN('Weekly Log'!$A$5:$A$5000)+7*(ROW()-10)))</f>
        <v/>
      </c>
    </row>
    <row r="1352">
      <c r="A1352">
        <f>IF($J1352="","",YEAR($J1352-WEEKDAY($J1352,2)+4)&amp;"-W"&amp;TEXT(WEEKNUM($J1352,21),"00"))</f>
        <v/>
      </c>
      <c r="B1352">
        <f>IF($J1352="","",SUMIFS('Weekly Log'!$C:$C,'Weekly Log'!$A:$A,"&gt;="&amp;$J1352,'Weekly Log'!$A:$A,"&lt;"&amp;$J1352+7))</f>
        <v/>
      </c>
      <c r="C1352">
        <f>IF($J1352="","",IFERROR(COUNTIFS('Weekly Log'!$G:$G,"Y",'Weekly Log'!$A:$A,"&gt;="&amp;$J1352,'Weekly Log'!$A:$A,"&lt;"&amp;$J1352+7)/COUNTIFS('Weekly Log'!$G:$G,"&lt;&gt;",'Weekly Log'!$A:$A,"&gt;="&amp;$J1352,'Weekly Log'!$A:$A,"&lt;"&amp;$J1352+7),0))</f>
        <v/>
      </c>
      <c r="D1352">
        <f>IF($J1352="","",IFERROR(COUNTIFS('Weekly Log'!$H:$H,"Y",'Weekly Log'!$A:$A,"&gt;="&amp;$J1352,'Weekly Log'!$A:$A,"&lt;"&amp;$J1352+7)/COUNTIFS('Weekly Log'!$H:$H,"&lt;&gt;",'Weekly Log'!$A:$A,"&gt;="&amp;$J1352,'Weekly Log'!$A:$A,"&lt;"&amp;$J1352+7),0))</f>
        <v/>
      </c>
      <c r="E1352">
        <f>IF($J1352="","",IFERROR(AVERAGEIFS('Weekly Log'!$F:$F,'Weekly Log'!$A:$A,"&gt;="&amp;$J1352,'Weekly Log'!$A:$A,"&lt;"&amp;$J1352+7),0))</f>
        <v/>
      </c>
      <c r="F1352">
        <f>IF($J1352="","",IFERROR(SUMIFS('Weekly Log'!$F:$F,'Weekly Log'!$A:$A,"&gt;="&amp;$J1352,'Weekly Log'!$A:$A,"&lt;"&amp;$J1352+7)/SUMIFS('Weekly Log'!$E:$E,'Weekly Log'!$A:$A,"&gt;="&amp;$J1352,'Weekly Log'!$A:$A,"&lt;"&amp;$J1352+7),0))</f>
        <v/>
      </c>
      <c r="G1352">
        <f>IF($J1352="","",IFERROR(LOOKUP(2,1/(('Weekly Log'!$A$5:$A$5000&gt;=$J1352)*('Weekly Log'!$A$5:$A$5000&lt;$J1352+7)*('Weekly Log'!$M$5:$M$5000&lt;&gt;"")),'Weekly Log'!$M$5:$M$5000),0))</f>
        <v/>
      </c>
      <c r="J1352">
        <f>IF(COUNT('Weekly Log'!$A$5:$A$5000)=0,"",IF(MIN('Weekly Log'!$A$5:$A$5000)+7*(ROW()-10)&gt;MAX('Weekly Log'!$A$5:$A$5000),"",MIN('Weekly Log'!$A$5:$A$5000)+7*(ROW()-10)))</f>
        <v/>
      </c>
    </row>
    <row r="1353">
      <c r="A1353">
        <f>IF($J1353="","",YEAR($J1353-WEEKDAY($J1353,2)+4)&amp;"-W"&amp;TEXT(WEEKNUM($J1353,21),"00"))</f>
        <v/>
      </c>
      <c r="B1353">
        <f>IF($J1353="","",SUMIFS('Weekly Log'!$C:$C,'Weekly Log'!$A:$A,"&gt;="&amp;$J1353,'Weekly Log'!$A:$A,"&lt;"&amp;$J1353+7))</f>
        <v/>
      </c>
      <c r="C1353">
        <f>IF($J1353="","",IFERROR(COUNTIFS('Weekly Log'!$G:$G,"Y",'Weekly Log'!$A:$A,"&gt;="&amp;$J1353,'Weekly Log'!$A:$A,"&lt;"&amp;$J1353+7)/COUNTIFS('Weekly Log'!$G:$G,"&lt;&gt;",'Weekly Log'!$A:$A,"&gt;="&amp;$J1353,'Weekly Log'!$A:$A,"&lt;"&amp;$J1353+7),0))</f>
        <v/>
      </c>
      <c r="D1353">
        <f>IF($J1353="","",IFERROR(COUNTIFS('Weekly Log'!$H:$H,"Y",'Weekly Log'!$A:$A,"&gt;="&amp;$J1353,'Weekly Log'!$A:$A,"&lt;"&amp;$J1353+7)/COUNTIFS('Weekly Log'!$H:$H,"&lt;&gt;",'Weekly Log'!$A:$A,"&gt;="&amp;$J1353,'Weekly Log'!$A:$A,"&lt;"&amp;$J1353+7),0))</f>
        <v/>
      </c>
      <c r="E1353">
        <f>IF($J1353="","",IFERROR(AVERAGEIFS('Weekly Log'!$F:$F,'Weekly Log'!$A:$A,"&gt;="&amp;$J1353,'Weekly Log'!$A:$A,"&lt;"&amp;$J1353+7),0))</f>
        <v/>
      </c>
      <c r="F1353">
        <f>IF($J1353="","",IFERROR(SUMIFS('Weekly Log'!$F:$F,'Weekly Log'!$A:$A,"&gt;="&amp;$J1353,'Weekly Log'!$A:$A,"&lt;"&amp;$J1353+7)/SUMIFS('Weekly Log'!$E:$E,'Weekly Log'!$A:$A,"&gt;="&amp;$J1353,'Weekly Log'!$A:$A,"&lt;"&amp;$J1353+7),0))</f>
        <v/>
      </c>
      <c r="G1353">
        <f>IF($J1353="","",IFERROR(LOOKUP(2,1/(('Weekly Log'!$A$5:$A$5000&gt;=$J1353)*('Weekly Log'!$A$5:$A$5000&lt;$J1353+7)*('Weekly Log'!$M$5:$M$5000&lt;&gt;"")),'Weekly Log'!$M$5:$M$5000),0))</f>
        <v/>
      </c>
      <c r="J1353">
        <f>IF(COUNT('Weekly Log'!$A$5:$A$5000)=0,"",IF(MIN('Weekly Log'!$A$5:$A$5000)+7*(ROW()-10)&gt;MAX('Weekly Log'!$A$5:$A$5000),"",MIN('Weekly Log'!$A$5:$A$5000)+7*(ROW()-10)))</f>
        <v/>
      </c>
    </row>
    <row r="1354">
      <c r="A1354">
        <f>IF($J1354="","",YEAR($J1354-WEEKDAY($J1354,2)+4)&amp;"-W"&amp;TEXT(WEEKNUM($J1354,21),"00"))</f>
        <v/>
      </c>
      <c r="B1354">
        <f>IF($J1354="","",SUMIFS('Weekly Log'!$C:$C,'Weekly Log'!$A:$A,"&gt;="&amp;$J1354,'Weekly Log'!$A:$A,"&lt;"&amp;$J1354+7))</f>
        <v/>
      </c>
      <c r="C1354">
        <f>IF($J1354="","",IFERROR(COUNTIFS('Weekly Log'!$G:$G,"Y",'Weekly Log'!$A:$A,"&gt;="&amp;$J1354,'Weekly Log'!$A:$A,"&lt;"&amp;$J1354+7)/COUNTIFS('Weekly Log'!$G:$G,"&lt;&gt;",'Weekly Log'!$A:$A,"&gt;="&amp;$J1354,'Weekly Log'!$A:$A,"&lt;"&amp;$J1354+7),0))</f>
        <v/>
      </c>
      <c r="D1354">
        <f>IF($J1354="","",IFERROR(COUNTIFS('Weekly Log'!$H:$H,"Y",'Weekly Log'!$A:$A,"&gt;="&amp;$J1354,'Weekly Log'!$A:$A,"&lt;"&amp;$J1354+7)/COUNTIFS('Weekly Log'!$H:$H,"&lt;&gt;",'Weekly Log'!$A:$A,"&gt;="&amp;$J1354,'Weekly Log'!$A:$A,"&lt;"&amp;$J1354+7),0))</f>
        <v/>
      </c>
      <c r="E1354">
        <f>IF($J1354="","",IFERROR(AVERAGEIFS('Weekly Log'!$F:$F,'Weekly Log'!$A:$A,"&gt;="&amp;$J1354,'Weekly Log'!$A:$A,"&lt;"&amp;$J1354+7),0))</f>
        <v/>
      </c>
      <c r="F1354">
        <f>IF($J1354="","",IFERROR(SUMIFS('Weekly Log'!$F:$F,'Weekly Log'!$A:$A,"&gt;="&amp;$J1354,'Weekly Log'!$A:$A,"&lt;"&amp;$J1354+7)/SUMIFS('Weekly Log'!$E:$E,'Weekly Log'!$A:$A,"&gt;="&amp;$J1354,'Weekly Log'!$A:$A,"&lt;"&amp;$J1354+7),0))</f>
        <v/>
      </c>
      <c r="G1354">
        <f>IF($J1354="","",IFERROR(LOOKUP(2,1/(('Weekly Log'!$A$5:$A$5000&gt;=$J1354)*('Weekly Log'!$A$5:$A$5000&lt;$J1354+7)*('Weekly Log'!$M$5:$M$5000&lt;&gt;"")),'Weekly Log'!$M$5:$M$5000),0))</f>
        <v/>
      </c>
      <c r="J1354">
        <f>IF(COUNT('Weekly Log'!$A$5:$A$5000)=0,"",IF(MIN('Weekly Log'!$A$5:$A$5000)+7*(ROW()-10)&gt;MAX('Weekly Log'!$A$5:$A$5000),"",MIN('Weekly Log'!$A$5:$A$5000)+7*(ROW()-10)))</f>
        <v/>
      </c>
    </row>
    <row r="1355">
      <c r="A1355">
        <f>IF($J1355="","",YEAR($J1355-WEEKDAY($J1355,2)+4)&amp;"-W"&amp;TEXT(WEEKNUM($J1355,21),"00"))</f>
        <v/>
      </c>
      <c r="B1355">
        <f>IF($J1355="","",SUMIFS('Weekly Log'!$C:$C,'Weekly Log'!$A:$A,"&gt;="&amp;$J1355,'Weekly Log'!$A:$A,"&lt;"&amp;$J1355+7))</f>
        <v/>
      </c>
      <c r="C1355">
        <f>IF($J1355="","",IFERROR(COUNTIFS('Weekly Log'!$G:$G,"Y",'Weekly Log'!$A:$A,"&gt;="&amp;$J1355,'Weekly Log'!$A:$A,"&lt;"&amp;$J1355+7)/COUNTIFS('Weekly Log'!$G:$G,"&lt;&gt;",'Weekly Log'!$A:$A,"&gt;="&amp;$J1355,'Weekly Log'!$A:$A,"&lt;"&amp;$J1355+7),0))</f>
        <v/>
      </c>
      <c r="D1355">
        <f>IF($J1355="","",IFERROR(COUNTIFS('Weekly Log'!$H:$H,"Y",'Weekly Log'!$A:$A,"&gt;="&amp;$J1355,'Weekly Log'!$A:$A,"&lt;"&amp;$J1355+7)/COUNTIFS('Weekly Log'!$H:$H,"&lt;&gt;",'Weekly Log'!$A:$A,"&gt;="&amp;$J1355,'Weekly Log'!$A:$A,"&lt;"&amp;$J1355+7),0))</f>
        <v/>
      </c>
      <c r="E1355">
        <f>IF($J1355="","",IFERROR(AVERAGEIFS('Weekly Log'!$F:$F,'Weekly Log'!$A:$A,"&gt;="&amp;$J1355,'Weekly Log'!$A:$A,"&lt;"&amp;$J1355+7),0))</f>
        <v/>
      </c>
      <c r="F1355">
        <f>IF($J1355="","",IFERROR(SUMIFS('Weekly Log'!$F:$F,'Weekly Log'!$A:$A,"&gt;="&amp;$J1355,'Weekly Log'!$A:$A,"&lt;"&amp;$J1355+7)/SUMIFS('Weekly Log'!$E:$E,'Weekly Log'!$A:$A,"&gt;="&amp;$J1355,'Weekly Log'!$A:$A,"&lt;"&amp;$J1355+7),0))</f>
        <v/>
      </c>
      <c r="G1355">
        <f>IF($J1355="","",IFERROR(LOOKUP(2,1/(('Weekly Log'!$A$5:$A$5000&gt;=$J1355)*('Weekly Log'!$A$5:$A$5000&lt;$J1355+7)*('Weekly Log'!$M$5:$M$5000&lt;&gt;"")),'Weekly Log'!$M$5:$M$5000),0))</f>
        <v/>
      </c>
      <c r="J1355">
        <f>IF(COUNT('Weekly Log'!$A$5:$A$5000)=0,"",IF(MIN('Weekly Log'!$A$5:$A$5000)+7*(ROW()-10)&gt;MAX('Weekly Log'!$A$5:$A$5000),"",MIN('Weekly Log'!$A$5:$A$5000)+7*(ROW()-10)))</f>
        <v/>
      </c>
    </row>
    <row r="1356">
      <c r="A1356">
        <f>IF($J1356="","",YEAR($J1356-WEEKDAY($J1356,2)+4)&amp;"-W"&amp;TEXT(WEEKNUM($J1356,21),"00"))</f>
        <v/>
      </c>
      <c r="B1356">
        <f>IF($J1356="","",SUMIFS('Weekly Log'!$C:$C,'Weekly Log'!$A:$A,"&gt;="&amp;$J1356,'Weekly Log'!$A:$A,"&lt;"&amp;$J1356+7))</f>
        <v/>
      </c>
      <c r="C1356">
        <f>IF($J1356="","",IFERROR(COUNTIFS('Weekly Log'!$G:$G,"Y",'Weekly Log'!$A:$A,"&gt;="&amp;$J1356,'Weekly Log'!$A:$A,"&lt;"&amp;$J1356+7)/COUNTIFS('Weekly Log'!$G:$G,"&lt;&gt;",'Weekly Log'!$A:$A,"&gt;="&amp;$J1356,'Weekly Log'!$A:$A,"&lt;"&amp;$J1356+7),0))</f>
        <v/>
      </c>
      <c r="D1356">
        <f>IF($J1356="","",IFERROR(COUNTIFS('Weekly Log'!$H:$H,"Y",'Weekly Log'!$A:$A,"&gt;="&amp;$J1356,'Weekly Log'!$A:$A,"&lt;"&amp;$J1356+7)/COUNTIFS('Weekly Log'!$H:$H,"&lt;&gt;",'Weekly Log'!$A:$A,"&gt;="&amp;$J1356,'Weekly Log'!$A:$A,"&lt;"&amp;$J1356+7),0))</f>
        <v/>
      </c>
      <c r="E1356">
        <f>IF($J1356="","",IFERROR(AVERAGEIFS('Weekly Log'!$F:$F,'Weekly Log'!$A:$A,"&gt;="&amp;$J1356,'Weekly Log'!$A:$A,"&lt;"&amp;$J1356+7),0))</f>
        <v/>
      </c>
      <c r="F1356">
        <f>IF($J1356="","",IFERROR(SUMIFS('Weekly Log'!$F:$F,'Weekly Log'!$A:$A,"&gt;="&amp;$J1356,'Weekly Log'!$A:$A,"&lt;"&amp;$J1356+7)/SUMIFS('Weekly Log'!$E:$E,'Weekly Log'!$A:$A,"&gt;="&amp;$J1356,'Weekly Log'!$A:$A,"&lt;"&amp;$J1356+7),0))</f>
        <v/>
      </c>
      <c r="G1356">
        <f>IF($J1356="","",IFERROR(LOOKUP(2,1/(('Weekly Log'!$A$5:$A$5000&gt;=$J1356)*('Weekly Log'!$A$5:$A$5000&lt;$J1356+7)*('Weekly Log'!$M$5:$M$5000&lt;&gt;"")),'Weekly Log'!$M$5:$M$5000),0))</f>
        <v/>
      </c>
      <c r="J1356">
        <f>IF(COUNT('Weekly Log'!$A$5:$A$5000)=0,"",IF(MIN('Weekly Log'!$A$5:$A$5000)+7*(ROW()-10)&gt;MAX('Weekly Log'!$A$5:$A$5000),"",MIN('Weekly Log'!$A$5:$A$5000)+7*(ROW()-10)))</f>
        <v/>
      </c>
    </row>
    <row r="1357">
      <c r="A1357">
        <f>IF($J1357="","",YEAR($J1357-WEEKDAY($J1357,2)+4)&amp;"-W"&amp;TEXT(WEEKNUM($J1357,21),"00"))</f>
        <v/>
      </c>
      <c r="B1357">
        <f>IF($J1357="","",SUMIFS('Weekly Log'!$C:$C,'Weekly Log'!$A:$A,"&gt;="&amp;$J1357,'Weekly Log'!$A:$A,"&lt;"&amp;$J1357+7))</f>
        <v/>
      </c>
      <c r="C1357">
        <f>IF($J1357="","",IFERROR(COUNTIFS('Weekly Log'!$G:$G,"Y",'Weekly Log'!$A:$A,"&gt;="&amp;$J1357,'Weekly Log'!$A:$A,"&lt;"&amp;$J1357+7)/COUNTIFS('Weekly Log'!$G:$G,"&lt;&gt;",'Weekly Log'!$A:$A,"&gt;="&amp;$J1357,'Weekly Log'!$A:$A,"&lt;"&amp;$J1357+7),0))</f>
        <v/>
      </c>
      <c r="D1357">
        <f>IF($J1357="","",IFERROR(COUNTIFS('Weekly Log'!$H:$H,"Y",'Weekly Log'!$A:$A,"&gt;="&amp;$J1357,'Weekly Log'!$A:$A,"&lt;"&amp;$J1357+7)/COUNTIFS('Weekly Log'!$H:$H,"&lt;&gt;",'Weekly Log'!$A:$A,"&gt;="&amp;$J1357,'Weekly Log'!$A:$A,"&lt;"&amp;$J1357+7),0))</f>
        <v/>
      </c>
      <c r="E1357">
        <f>IF($J1357="","",IFERROR(AVERAGEIFS('Weekly Log'!$F:$F,'Weekly Log'!$A:$A,"&gt;="&amp;$J1357,'Weekly Log'!$A:$A,"&lt;"&amp;$J1357+7),0))</f>
        <v/>
      </c>
      <c r="F1357">
        <f>IF($J1357="","",IFERROR(SUMIFS('Weekly Log'!$F:$F,'Weekly Log'!$A:$A,"&gt;="&amp;$J1357,'Weekly Log'!$A:$A,"&lt;"&amp;$J1357+7)/SUMIFS('Weekly Log'!$E:$E,'Weekly Log'!$A:$A,"&gt;="&amp;$J1357,'Weekly Log'!$A:$A,"&lt;"&amp;$J1357+7),0))</f>
        <v/>
      </c>
      <c r="G1357">
        <f>IF($J1357="","",IFERROR(LOOKUP(2,1/(('Weekly Log'!$A$5:$A$5000&gt;=$J1357)*('Weekly Log'!$A$5:$A$5000&lt;$J1357+7)*('Weekly Log'!$M$5:$M$5000&lt;&gt;"")),'Weekly Log'!$M$5:$M$5000),0))</f>
        <v/>
      </c>
      <c r="J1357">
        <f>IF(COUNT('Weekly Log'!$A$5:$A$5000)=0,"",IF(MIN('Weekly Log'!$A$5:$A$5000)+7*(ROW()-10)&gt;MAX('Weekly Log'!$A$5:$A$5000),"",MIN('Weekly Log'!$A$5:$A$5000)+7*(ROW()-10)))</f>
        <v/>
      </c>
    </row>
    <row r="1358">
      <c r="A1358">
        <f>IF($J1358="","",YEAR($J1358-WEEKDAY($J1358,2)+4)&amp;"-W"&amp;TEXT(WEEKNUM($J1358,21),"00"))</f>
        <v/>
      </c>
      <c r="B1358">
        <f>IF($J1358="","",SUMIFS('Weekly Log'!$C:$C,'Weekly Log'!$A:$A,"&gt;="&amp;$J1358,'Weekly Log'!$A:$A,"&lt;"&amp;$J1358+7))</f>
        <v/>
      </c>
      <c r="C1358">
        <f>IF($J1358="","",IFERROR(COUNTIFS('Weekly Log'!$G:$G,"Y",'Weekly Log'!$A:$A,"&gt;="&amp;$J1358,'Weekly Log'!$A:$A,"&lt;"&amp;$J1358+7)/COUNTIFS('Weekly Log'!$G:$G,"&lt;&gt;",'Weekly Log'!$A:$A,"&gt;="&amp;$J1358,'Weekly Log'!$A:$A,"&lt;"&amp;$J1358+7),0))</f>
        <v/>
      </c>
      <c r="D1358">
        <f>IF($J1358="","",IFERROR(COUNTIFS('Weekly Log'!$H:$H,"Y",'Weekly Log'!$A:$A,"&gt;="&amp;$J1358,'Weekly Log'!$A:$A,"&lt;"&amp;$J1358+7)/COUNTIFS('Weekly Log'!$H:$H,"&lt;&gt;",'Weekly Log'!$A:$A,"&gt;="&amp;$J1358,'Weekly Log'!$A:$A,"&lt;"&amp;$J1358+7),0))</f>
        <v/>
      </c>
      <c r="E1358">
        <f>IF($J1358="","",IFERROR(AVERAGEIFS('Weekly Log'!$F:$F,'Weekly Log'!$A:$A,"&gt;="&amp;$J1358,'Weekly Log'!$A:$A,"&lt;"&amp;$J1358+7),0))</f>
        <v/>
      </c>
      <c r="F1358">
        <f>IF($J1358="","",IFERROR(SUMIFS('Weekly Log'!$F:$F,'Weekly Log'!$A:$A,"&gt;="&amp;$J1358,'Weekly Log'!$A:$A,"&lt;"&amp;$J1358+7)/SUMIFS('Weekly Log'!$E:$E,'Weekly Log'!$A:$A,"&gt;="&amp;$J1358,'Weekly Log'!$A:$A,"&lt;"&amp;$J1358+7),0))</f>
        <v/>
      </c>
      <c r="G1358">
        <f>IF($J1358="","",IFERROR(LOOKUP(2,1/(('Weekly Log'!$A$5:$A$5000&gt;=$J1358)*('Weekly Log'!$A$5:$A$5000&lt;$J1358+7)*('Weekly Log'!$M$5:$M$5000&lt;&gt;"")),'Weekly Log'!$M$5:$M$5000),0))</f>
        <v/>
      </c>
      <c r="J1358">
        <f>IF(COUNT('Weekly Log'!$A$5:$A$5000)=0,"",IF(MIN('Weekly Log'!$A$5:$A$5000)+7*(ROW()-10)&gt;MAX('Weekly Log'!$A$5:$A$5000),"",MIN('Weekly Log'!$A$5:$A$5000)+7*(ROW()-10)))</f>
        <v/>
      </c>
    </row>
    <row r="1359">
      <c r="A1359">
        <f>IF($J1359="","",YEAR($J1359-WEEKDAY($J1359,2)+4)&amp;"-W"&amp;TEXT(WEEKNUM($J1359,21),"00"))</f>
        <v/>
      </c>
      <c r="B1359">
        <f>IF($J1359="","",SUMIFS('Weekly Log'!$C:$C,'Weekly Log'!$A:$A,"&gt;="&amp;$J1359,'Weekly Log'!$A:$A,"&lt;"&amp;$J1359+7))</f>
        <v/>
      </c>
      <c r="C1359">
        <f>IF($J1359="","",IFERROR(COUNTIFS('Weekly Log'!$G:$G,"Y",'Weekly Log'!$A:$A,"&gt;="&amp;$J1359,'Weekly Log'!$A:$A,"&lt;"&amp;$J1359+7)/COUNTIFS('Weekly Log'!$G:$G,"&lt;&gt;",'Weekly Log'!$A:$A,"&gt;="&amp;$J1359,'Weekly Log'!$A:$A,"&lt;"&amp;$J1359+7),0))</f>
        <v/>
      </c>
      <c r="D1359">
        <f>IF($J1359="","",IFERROR(COUNTIFS('Weekly Log'!$H:$H,"Y",'Weekly Log'!$A:$A,"&gt;="&amp;$J1359,'Weekly Log'!$A:$A,"&lt;"&amp;$J1359+7)/COUNTIFS('Weekly Log'!$H:$H,"&lt;&gt;",'Weekly Log'!$A:$A,"&gt;="&amp;$J1359,'Weekly Log'!$A:$A,"&lt;"&amp;$J1359+7),0))</f>
        <v/>
      </c>
      <c r="E1359">
        <f>IF($J1359="","",IFERROR(AVERAGEIFS('Weekly Log'!$F:$F,'Weekly Log'!$A:$A,"&gt;="&amp;$J1359,'Weekly Log'!$A:$A,"&lt;"&amp;$J1359+7),0))</f>
        <v/>
      </c>
      <c r="F1359">
        <f>IF($J1359="","",IFERROR(SUMIFS('Weekly Log'!$F:$F,'Weekly Log'!$A:$A,"&gt;="&amp;$J1359,'Weekly Log'!$A:$A,"&lt;"&amp;$J1359+7)/SUMIFS('Weekly Log'!$E:$E,'Weekly Log'!$A:$A,"&gt;="&amp;$J1359,'Weekly Log'!$A:$A,"&lt;"&amp;$J1359+7),0))</f>
        <v/>
      </c>
      <c r="G1359">
        <f>IF($J1359="","",IFERROR(LOOKUP(2,1/(('Weekly Log'!$A$5:$A$5000&gt;=$J1359)*('Weekly Log'!$A$5:$A$5000&lt;$J1359+7)*('Weekly Log'!$M$5:$M$5000&lt;&gt;"")),'Weekly Log'!$M$5:$M$5000),0))</f>
        <v/>
      </c>
      <c r="J1359">
        <f>IF(COUNT('Weekly Log'!$A$5:$A$5000)=0,"",IF(MIN('Weekly Log'!$A$5:$A$5000)+7*(ROW()-10)&gt;MAX('Weekly Log'!$A$5:$A$5000),"",MIN('Weekly Log'!$A$5:$A$5000)+7*(ROW()-10)))</f>
        <v/>
      </c>
    </row>
    <row r="1360">
      <c r="A1360">
        <f>IF($J1360="","",YEAR($J1360-WEEKDAY($J1360,2)+4)&amp;"-W"&amp;TEXT(WEEKNUM($J1360,21),"00"))</f>
        <v/>
      </c>
      <c r="B1360">
        <f>IF($J1360="","",SUMIFS('Weekly Log'!$C:$C,'Weekly Log'!$A:$A,"&gt;="&amp;$J1360,'Weekly Log'!$A:$A,"&lt;"&amp;$J1360+7))</f>
        <v/>
      </c>
      <c r="C1360">
        <f>IF($J1360="","",IFERROR(COUNTIFS('Weekly Log'!$G:$G,"Y",'Weekly Log'!$A:$A,"&gt;="&amp;$J1360,'Weekly Log'!$A:$A,"&lt;"&amp;$J1360+7)/COUNTIFS('Weekly Log'!$G:$G,"&lt;&gt;",'Weekly Log'!$A:$A,"&gt;="&amp;$J1360,'Weekly Log'!$A:$A,"&lt;"&amp;$J1360+7),0))</f>
        <v/>
      </c>
      <c r="D1360">
        <f>IF($J1360="","",IFERROR(COUNTIFS('Weekly Log'!$H:$H,"Y",'Weekly Log'!$A:$A,"&gt;="&amp;$J1360,'Weekly Log'!$A:$A,"&lt;"&amp;$J1360+7)/COUNTIFS('Weekly Log'!$H:$H,"&lt;&gt;",'Weekly Log'!$A:$A,"&gt;="&amp;$J1360,'Weekly Log'!$A:$A,"&lt;"&amp;$J1360+7),0))</f>
        <v/>
      </c>
      <c r="E1360">
        <f>IF($J1360="","",IFERROR(AVERAGEIFS('Weekly Log'!$F:$F,'Weekly Log'!$A:$A,"&gt;="&amp;$J1360,'Weekly Log'!$A:$A,"&lt;"&amp;$J1360+7),0))</f>
        <v/>
      </c>
      <c r="F1360">
        <f>IF($J1360="","",IFERROR(SUMIFS('Weekly Log'!$F:$F,'Weekly Log'!$A:$A,"&gt;="&amp;$J1360,'Weekly Log'!$A:$A,"&lt;"&amp;$J1360+7)/SUMIFS('Weekly Log'!$E:$E,'Weekly Log'!$A:$A,"&gt;="&amp;$J1360,'Weekly Log'!$A:$A,"&lt;"&amp;$J1360+7),0))</f>
        <v/>
      </c>
      <c r="G1360">
        <f>IF($J1360="","",IFERROR(LOOKUP(2,1/(('Weekly Log'!$A$5:$A$5000&gt;=$J1360)*('Weekly Log'!$A$5:$A$5000&lt;$J1360+7)*('Weekly Log'!$M$5:$M$5000&lt;&gt;"")),'Weekly Log'!$M$5:$M$5000),0))</f>
        <v/>
      </c>
      <c r="J1360">
        <f>IF(COUNT('Weekly Log'!$A$5:$A$5000)=0,"",IF(MIN('Weekly Log'!$A$5:$A$5000)+7*(ROW()-10)&gt;MAX('Weekly Log'!$A$5:$A$5000),"",MIN('Weekly Log'!$A$5:$A$5000)+7*(ROW()-10)))</f>
        <v/>
      </c>
    </row>
    <row r="1361">
      <c r="A1361">
        <f>IF($J1361="","",YEAR($J1361-WEEKDAY($J1361,2)+4)&amp;"-W"&amp;TEXT(WEEKNUM($J1361,21),"00"))</f>
        <v/>
      </c>
      <c r="B1361">
        <f>IF($J1361="","",SUMIFS('Weekly Log'!$C:$C,'Weekly Log'!$A:$A,"&gt;="&amp;$J1361,'Weekly Log'!$A:$A,"&lt;"&amp;$J1361+7))</f>
        <v/>
      </c>
      <c r="C1361">
        <f>IF($J1361="","",IFERROR(COUNTIFS('Weekly Log'!$G:$G,"Y",'Weekly Log'!$A:$A,"&gt;="&amp;$J1361,'Weekly Log'!$A:$A,"&lt;"&amp;$J1361+7)/COUNTIFS('Weekly Log'!$G:$G,"&lt;&gt;",'Weekly Log'!$A:$A,"&gt;="&amp;$J1361,'Weekly Log'!$A:$A,"&lt;"&amp;$J1361+7),0))</f>
        <v/>
      </c>
      <c r="D1361">
        <f>IF($J1361="","",IFERROR(COUNTIFS('Weekly Log'!$H:$H,"Y",'Weekly Log'!$A:$A,"&gt;="&amp;$J1361,'Weekly Log'!$A:$A,"&lt;"&amp;$J1361+7)/COUNTIFS('Weekly Log'!$H:$H,"&lt;&gt;",'Weekly Log'!$A:$A,"&gt;="&amp;$J1361,'Weekly Log'!$A:$A,"&lt;"&amp;$J1361+7),0))</f>
        <v/>
      </c>
      <c r="E1361">
        <f>IF($J1361="","",IFERROR(AVERAGEIFS('Weekly Log'!$F:$F,'Weekly Log'!$A:$A,"&gt;="&amp;$J1361,'Weekly Log'!$A:$A,"&lt;"&amp;$J1361+7),0))</f>
        <v/>
      </c>
      <c r="F1361">
        <f>IF($J1361="","",IFERROR(SUMIFS('Weekly Log'!$F:$F,'Weekly Log'!$A:$A,"&gt;="&amp;$J1361,'Weekly Log'!$A:$A,"&lt;"&amp;$J1361+7)/SUMIFS('Weekly Log'!$E:$E,'Weekly Log'!$A:$A,"&gt;="&amp;$J1361,'Weekly Log'!$A:$A,"&lt;"&amp;$J1361+7),0))</f>
        <v/>
      </c>
      <c r="G1361">
        <f>IF($J1361="","",IFERROR(LOOKUP(2,1/(('Weekly Log'!$A$5:$A$5000&gt;=$J1361)*('Weekly Log'!$A$5:$A$5000&lt;$J1361+7)*('Weekly Log'!$M$5:$M$5000&lt;&gt;"")),'Weekly Log'!$M$5:$M$5000),0))</f>
        <v/>
      </c>
      <c r="J1361">
        <f>IF(COUNT('Weekly Log'!$A$5:$A$5000)=0,"",IF(MIN('Weekly Log'!$A$5:$A$5000)+7*(ROW()-10)&gt;MAX('Weekly Log'!$A$5:$A$5000),"",MIN('Weekly Log'!$A$5:$A$5000)+7*(ROW()-10)))</f>
        <v/>
      </c>
    </row>
    <row r="1362">
      <c r="A1362">
        <f>IF($J1362="","",YEAR($J1362-WEEKDAY($J1362,2)+4)&amp;"-W"&amp;TEXT(WEEKNUM($J1362,21),"00"))</f>
        <v/>
      </c>
      <c r="B1362">
        <f>IF($J1362="","",SUMIFS('Weekly Log'!$C:$C,'Weekly Log'!$A:$A,"&gt;="&amp;$J1362,'Weekly Log'!$A:$A,"&lt;"&amp;$J1362+7))</f>
        <v/>
      </c>
      <c r="C1362">
        <f>IF($J1362="","",IFERROR(COUNTIFS('Weekly Log'!$G:$G,"Y",'Weekly Log'!$A:$A,"&gt;="&amp;$J1362,'Weekly Log'!$A:$A,"&lt;"&amp;$J1362+7)/COUNTIFS('Weekly Log'!$G:$G,"&lt;&gt;",'Weekly Log'!$A:$A,"&gt;="&amp;$J1362,'Weekly Log'!$A:$A,"&lt;"&amp;$J1362+7),0))</f>
        <v/>
      </c>
      <c r="D1362">
        <f>IF($J1362="","",IFERROR(COUNTIFS('Weekly Log'!$H:$H,"Y",'Weekly Log'!$A:$A,"&gt;="&amp;$J1362,'Weekly Log'!$A:$A,"&lt;"&amp;$J1362+7)/COUNTIFS('Weekly Log'!$H:$H,"&lt;&gt;",'Weekly Log'!$A:$A,"&gt;="&amp;$J1362,'Weekly Log'!$A:$A,"&lt;"&amp;$J1362+7),0))</f>
        <v/>
      </c>
      <c r="E1362">
        <f>IF($J1362="","",IFERROR(AVERAGEIFS('Weekly Log'!$F:$F,'Weekly Log'!$A:$A,"&gt;="&amp;$J1362,'Weekly Log'!$A:$A,"&lt;"&amp;$J1362+7),0))</f>
        <v/>
      </c>
      <c r="F1362">
        <f>IF($J1362="","",IFERROR(SUMIFS('Weekly Log'!$F:$F,'Weekly Log'!$A:$A,"&gt;="&amp;$J1362,'Weekly Log'!$A:$A,"&lt;"&amp;$J1362+7)/SUMIFS('Weekly Log'!$E:$E,'Weekly Log'!$A:$A,"&gt;="&amp;$J1362,'Weekly Log'!$A:$A,"&lt;"&amp;$J1362+7),0))</f>
        <v/>
      </c>
      <c r="G1362">
        <f>IF($J1362="","",IFERROR(LOOKUP(2,1/(('Weekly Log'!$A$5:$A$5000&gt;=$J1362)*('Weekly Log'!$A$5:$A$5000&lt;$J1362+7)*('Weekly Log'!$M$5:$M$5000&lt;&gt;"")),'Weekly Log'!$M$5:$M$5000),0))</f>
        <v/>
      </c>
      <c r="J1362">
        <f>IF(COUNT('Weekly Log'!$A$5:$A$5000)=0,"",IF(MIN('Weekly Log'!$A$5:$A$5000)+7*(ROW()-10)&gt;MAX('Weekly Log'!$A$5:$A$5000),"",MIN('Weekly Log'!$A$5:$A$5000)+7*(ROW()-10)))</f>
        <v/>
      </c>
    </row>
    <row r="1363">
      <c r="A1363">
        <f>IF($J1363="","",YEAR($J1363-WEEKDAY($J1363,2)+4)&amp;"-W"&amp;TEXT(WEEKNUM($J1363,21),"00"))</f>
        <v/>
      </c>
      <c r="B1363">
        <f>IF($J1363="","",SUMIFS('Weekly Log'!$C:$C,'Weekly Log'!$A:$A,"&gt;="&amp;$J1363,'Weekly Log'!$A:$A,"&lt;"&amp;$J1363+7))</f>
        <v/>
      </c>
      <c r="C1363">
        <f>IF($J1363="","",IFERROR(COUNTIFS('Weekly Log'!$G:$G,"Y",'Weekly Log'!$A:$A,"&gt;="&amp;$J1363,'Weekly Log'!$A:$A,"&lt;"&amp;$J1363+7)/COUNTIFS('Weekly Log'!$G:$G,"&lt;&gt;",'Weekly Log'!$A:$A,"&gt;="&amp;$J1363,'Weekly Log'!$A:$A,"&lt;"&amp;$J1363+7),0))</f>
        <v/>
      </c>
      <c r="D1363">
        <f>IF($J1363="","",IFERROR(COUNTIFS('Weekly Log'!$H:$H,"Y",'Weekly Log'!$A:$A,"&gt;="&amp;$J1363,'Weekly Log'!$A:$A,"&lt;"&amp;$J1363+7)/COUNTIFS('Weekly Log'!$H:$H,"&lt;&gt;",'Weekly Log'!$A:$A,"&gt;="&amp;$J1363,'Weekly Log'!$A:$A,"&lt;"&amp;$J1363+7),0))</f>
        <v/>
      </c>
      <c r="E1363">
        <f>IF($J1363="","",IFERROR(AVERAGEIFS('Weekly Log'!$F:$F,'Weekly Log'!$A:$A,"&gt;="&amp;$J1363,'Weekly Log'!$A:$A,"&lt;"&amp;$J1363+7),0))</f>
        <v/>
      </c>
      <c r="F1363">
        <f>IF($J1363="","",IFERROR(SUMIFS('Weekly Log'!$F:$F,'Weekly Log'!$A:$A,"&gt;="&amp;$J1363,'Weekly Log'!$A:$A,"&lt;"&amp;$J1363+7)/SUMIFS('Weekly Log'!$E:$E,'Weekly Log'!$A:$A,"&gt;="&amp;$J1363,'Weekly Log'!$A:$A,"&lt;"&amp;$J1363+7),0))</f>
        <v/>
      </c>
      <c r="G1363">
        <f>IF($J1363="","",IFERROR(LOOKUP(2,1/(('Weekly Log'!$A$5:$A$5000&gt;=$J1363)*('Weekly Log'!$A$5:$A$5000&lt;$J1363+7)*('Weekly Log'!$M$5:$M$5000&lt;&gt;"")),'Weekly Log'!$M$5:$M$5000),0))</f>
        <v/>
      </c>
      <c r="J1363">
        <f>IF(COUNT('Weekly Log'!$A$5:$A$5000)=0,"",IF(MIN('Weekly Log'!$A$5:$A$5000)+7*(ROW()-10)&gt;MAX('Weekly Log'!$A$5:$A$5000),"",MIN('Weekly Log'!$A$5:$A$5000)+7*(ROW()-10)))</f>
        <v/>
      </c>
    </row>
    <row r="1364">
      <c r="A1364">
        <f>IF($J1364="","",YEAR($J1364-WEEKDAY($J1364,2)+4)&amp;"-W"&amp;TEXT(WEEKNUM($J1364,21),"00"))</f>
        <v/>
      </c>
      <c r="B1364">
        <f>IF($J1364="","",SUMIFS('Weekly Log'!$C:$C,'Weekly Log'!$A:$A,"&gt;="&amp;$J1364,'Weekly Log'!$A:$A,"&lt;"&amp;$J1364+7))</f>
        <v/>
      </c>
      <c r="C1364">
        <f>IF($J1364="","",IFERROR(COUNTIFS('Weekly Log'!$G:$G,"Y",'Weekly Log'!$A:$A,"&gt;="&amp;$J1364,'Weekly Log'!$A:$A,"&lt;"&amp;$J1364+7)/COUNTIFS('Weekly Log'!$G:$G,"&lt;&gt;",'Weekly Log'!$A:$A,"&gt;="&amp;$J1364,'Weekly Log'!$A:$A,"&lt;"&amp;$J1364+7),0))</f>
        <v/>
      </c>
      <c r="D1364">
        <f>IF($J1364="","",IFERROR(COUNTIFS('Weekly Log'!$H:$H,"Y",'Weekly Log'!$A:$A,"&gt;="&amp;$J1364,'Weekly Log'!$A:$A,"&lt;"&amp;$J1364+7)/COUNTIFS('Weekly Log'!$H:$H,"&lt;&gt;",'Weekly Log'!$A:$A,"&gt;="&amp;$J1364,'Weekly Log'!$A:$A,"&lt;"&amp;$J1364+7),0))</f>
        <v/>
      </c>
      <c r="E1364">
        <f>IF($J1364="","",IFERROR(AVERAGEIFS('Weekly Log'!$F:$F,'Weekly Log'!$A:$A,"&gt;="&amp;$J1364,'Weekly Log'!$A:$A,"&lt;"&amp;$J1364+7),0))</f>
        <v/>
      </c>
      <c r="F1364">
        <f>IF($J1364="","",IFERROR(SUMIFS('Weekly Log'!$F:$F,'Weekly Log'!$A:$A,"&gt;="&amp;$J1364,'Weekly Log'!$A:$A,"&lt;"&amp;$J1364+7)/SUMIFS('Weekly Log'!$E:$E,'Weekly Log'!$A:$A,"&gt;="&amp;$J1364,'Weekly Log'!$A:$A,"&lt;"&amp;$J1364+7),0))</f>
        <v/>
      </c>
      <c r="G1364">
        <f>IF($J1364="","",IFERROR(LOOKUP(2,1/(('Weekly Log'!$A$5:$A$5000&gt;=$J1364)*('Weekly Log'!$A$5:$A$5000&lt;$J1364+7)*('Weekly Log'!$M$5:$M$5000&lt;&gt;"")),'Weekly Log'!$M$5:$M$5000),0))</f>
        <v/>
      </c>
      <c r="J1364">
        <f>IF(COUNT('Weekly Log'!$A$5:$A$5000)=0,"",IF(MIN('Weekly Log'!$A$5:$A$5000)+7*(ROW()-10)&gt;MAX('Weekly Log'!$A$5:$A$5000),"",MIN('Weekly Log'!$A$5:$A$5000)+7*(ROW()-10)))</f>
        <v/>
      </c>
    </row>
    <row r="1365">
      <c r="A1365">
        <f>IF($J1365="","",YEAR($J1365-WEEKDAY($J1365,2)+4)&amp;"-W"&amp;TEXT(WEEKNUM($J1365,21),"00"))</f>
        <v/>
      </c>
      <c r="B1365">
        <f>IF($J1365="","",SUMIFS('Weekly Log'!$C:$C,'Weekly Log'!$A:$A,"&gt;="&amp;$J1365,'Weekly Log'!$A:$A,"&lt;"&amp;$J1365+7))</f>
        <v/>
      </c>
      <c r="C1365">
        <f>IF($J1365="","",IFERROR(COUNTIFS('Weekly Log'!$G:$G,"Y",'Weekly Log'!$A:$A,"&gt;="&amp;$J1365,'Weekly Log'!$A:$A,"&lt;"&amp;$J1365+7)/COUNTIFS('Weekly Log'!$G:$G,"&lt;&gt;",'Weekly Log'!$A:$A,"&gt;="&amp;$J1365,'Weekly Log'!$A:$A,"&lt;"&amp;$J1365+7),0))</f>
        <v/>
      </c>
      <c r="D1365">
        <f>IF($J1365="","",IFERROR(COUNTIFS('Weekly Log'!$H:$H,"Y",'Weekly Log'!$A:$A,"&gt;="&amp;$J1365,'Weekly Log'!$A:$A,"&lt;"&amp;$J1365+7)/COUNTIFS('Weekly Log'!$H:$H,"&lt;&gt;",'Weekly Log'!$A:$A,"&gt;="&amp;$J1365,'Weekly Log'!$A:$A,"&lt;"&amp;$J1365+7),0))</f>
        <v/>
      </c>
      <c r="E1365">
        <f>IF($J1365="","",IFERROR(AVERAGEIFS('Weekly Log'!$F:$F,'Weekly Log'!$A:$A,"&gt;="&amp;$J1365,'Weekly Log'!$A:$A,"&lt;"&amp;$J1365+7),0))</f>
        <v/>
      </c>
      <c r="F1365">
        <f>IF($J1365="","",IFERROR(SUMIFS('Weekly Log'!$F:$F,'Weekly Log'!$A:$A,"&gt;="&amp;$J1365,'Weekly Log'!$A:$A,"&lt;"&amp;$J1365+7)/SUMIFS('Weekly Log'!$E:$E,'Weekly Log'!$A:$A,"&gt;="&amp;$J1365,'Weekly Log'!$A:$A,"&lt;"&amp;$J1365+7),0))</f>
        <v/>
      </c>
      <c r="G1365">
        <f>IF($J1365="","",IFERROR(LOOKUP(2,1/(('Weekly Log'!$A$5:$A$5000&gt;=$J1365)*('Weekly Log'!$A$5:$A$5000&lt;$J1365+7)*('Weekly Log'!$M$5:$M$5000&lt;&gt;"")),'Weekly Log'!$M$5:$M$5000),0))</f>
        <v/>
      </c>
      <c r="J1365">
        <f>IF(COUNT('Weekly Log'!$A$5:$A$5000)=0,"",IF(MIN('Weekly Log'!$A$5:$A$5000)+7*(ROW()-10)&gt;MAX('Weekly Log'!$A$5:$A$5000),"",MIN('Weekly Log'!$A$5:$A$5000)+7*(ROW()-10)))</f>
        <v/>
      </c>
    </row>
    <row r="1366">
      <c r="A1366">
        <f>IF($J1366="","",YEAR($J1366-WEEKDAY($J1366,2)+4)&amp;"-W"&amp;TEXT(WEEKNUM($J1366,21),"00"))</f>
        <v/>
      </c>
      <c r="B1366">
        <f>IF($J1366="","",SUMIFS('Weekly Log'!$C:$C,'Weekly Log'!$A:$A,"&gt;="&amp;$J1366,'Weekly Log'!$A:$A,"&lt;"&amp;$J1366+7))</f>
        <v/>
      </c>
      <c r="C1366">
        <f>IF($J1366="","",IFERROR(COUNTIFS('Weekly Log'!$G:$G,"Y",'Weekly Log'!$A:$A,"&gt;="&amp;$J1366,'Weekly Log'!$A:$A,"&lt;"&amp;$J1366+7)/COUNTIFS('Weekly Log'!$G:$G,"&lt;&gt;",'Weekly Log'!$A:$A,"&gt;="&amp;$J1366,'Weekly Log'!$A:$A,"&lt;"&amp;$J1366+7),0))</f>
        <v/>
      </c>
      <c r="D1366">
        <f>IF($J1366="","",IFERROR(COUNTIFS('Weekly Log'!$H:$H,"Y",'Weekly Log'!$A:$A,"&gt;="&amp;$J1366,'Weekly Log'!$A:$A,"&lt;"&amp;$J1366+7)/COUNTIFS('Weekly Log'!$H:$H,"&lt;&gt;",'Weekly Log'!$A:$A,"&gt;="&amp;$J1366,'Weekly Log'!$A:$A,"&lt;"&amp;$J1366+7),0))</f>
        <v/>
      </c>
      <c r="E1366">
        <f>IF($J1366="","",IFERROR(AVERAGEIFS('Weekly Log'!$F:$F,'Weekly Log'!$A:$A,"&gt;="&amp;$J1366,'Weekly Log'!$A:$A,"&lt;"&amp;$J1366+7),0))</f>
        <v/>
      </c>
      <c r="F1366">
        <f>IF($J1366="","",IFERROR(SUMIFS('Weekly Log'!$F:$F,'Weekly Log'!$A:$A,"&gt;="&amp;$J1366,'Weekly Log'!$A:$A,"&lt;"&amp;$J1366+7)/SUMIFS('Weekly Log'!$E:$E,'Weekly Log'!$A:$A,"&gt;="&amp;$J1366,'Weekly Log'!$A:$A,"&lt;"&amp;$J1366+7),0))</f>
        <v/>
      </c>
      <c r="G1366">
        <f>IF($J1366="","",IFERROR(LOOKUP(2,1/(('Weekly Log'!$A$5:$A$5000&gt;=$J1366)*('Weekly Log'!$A$5:$A$5000&lt;$J1366+7)*('Weekly Log'!$M$5:$M$5000&lt;&gt;"")),'Weekly Log'!$M$5:$M$5000),0))</f>
        <v/>
      </c>
      <c r="J1366">
        <f>IF(COUNT('Weekly Log'!$A$5:$A$5000)=0,"",IF(MIN('Weekly Log'!$A$5:$A$5000)+7*(ROW()-10)&gt;MAX('Weekly Log'!$A$5:$A$5000),"",MIN('Weekly Log'!$A$5:$A$5000)+7*(ROW()-10)))</f>
        <v/>
      </c>
    </row>
    <row r="1367">
      <c r="A1367">
        <f>IF($J1367="","",YEAR($J1367-WEEKDAY($J1367,2)+4)&amp;"-W"&amp;TEXT(WEEKNUM($J1367,21),"00"))</f>
        <v/>
      </c>
      <c r="B1367">
        <f>IF($J1367="","",SUMIFS('Weekly Log'!$C:$C,'Weekly Log'!$A:$A,"&gt;="&amp;$J1367,'Weekly Log'!$A:$A,"&lt;"&amp;$J1367+7))</f>
        <v/>
      </c>
      <c r="C1367">
        <f>IF($J1367="","",IFERROR(COUNTIFS('Weekly Log'!$G:$G,"Y",'Weekly Log'!$A:$A,"&gt;="&amp;$J1367,'Weekly Log'!$A:$A,"&lt;"&amp;$J1367+7)/COUNTIFS('Weekly Log'!$G:$G,"&lt;&gt;",'Weekly Log'!$A:$A,"&gt;="&amp;$J1367,'Weekly Log'!$A:$A,"&lt;"&amp;$J1367+7),0))</f>
        <v/>
      </c>
      <c r="D1367">
        <f>IF($J1367="","",IFERROR(COUNTIFS('Weekly Log'!$H:$H,"Y",'Weekly Log'!$A:$A,"&gt;="&amp;$J1367,'Weekly Log'!$A:$A,"&lt;"&amp;$J1367+7)/COUNTIFS('Weekly Log'!$H:$H,"&lt;&gt;",'Weekly Log'!$A:$A,"&gt;="&amp;$J1367,'Weekly Log'!$A:$A,"&lt;"&amp;$J1367+7),0))</f>
        <v/>
      </c>
      <c r="E1367">
        <f>IF($J1367="","",IFERROR(AVERAGEIFS('Weekly Log'!$F:$F,'Weekly Log'!$A:$A,"&gt;="&amp;$J1367,'Weekly Log'!$A:$A,"&lt;"&amp;$J1367+7),0))</f>
        <v/>
      </c>
      <c r="F1367">
        <f>IF($J1367="","",IFERROR(SUMIFS('Weekly Log'!$F:$F,'Weekly Log'!$A:$A,"&gt;="&amp;$J1367,'Weekly Log'!$A:$A,"&lt;"&amp;$J1367+7)/SUMIFS('Weekly Log'!$E:$E,'Weekly Log'!$A:$A,"&gt;="&amp;$J1367,'Weekly Log'!$A:$A,"&lt;"&amp;$J1367+7),0))</f>
        <v/>
      </c>
      <c r="G1367">
        <f>IF($J1367="","",IFERROR(LOOKUP(2,1/(('Weekly Log'!$A$5:$A$5000&gt;=$J1367)*('Weekly Log'!$A$5:$A$5000&lt;$J1367+7)*('Weekly Log'!$M$5:$M$5000&lt;&gt;"")),'Weekly Log'!$M$5:$M$5000),0))</f>
        <v/>
      </c>
      <c r="J1367">
        <f>IF(COUNT('Weekly Log'!$A$5:$A$5000)=0,"",IF(MIN('Weekly Log'!$A$5:$A$5000)+7*(ROW()-10)&gt;MAX('Weekly Log'!$A$5:$A$5000),"",MIN('Weekly Log'!$A$5:$A$5000)+7*(ROW()-10)))</f>
        <v/>
      </c>
    </row>
    <row r="1368">
      <c r="A1368">
        <f>IF($J1368="","",YEAR($J1368-WEEKDAY($J1368,2)+4)&amp;"-W"&amp;TEXT(WEEKNUM($J1368,21),"00"))</f>
        <v/>
      </c>
      <c r="B1368">
        <f>IF($J1368="","",SUMIFS('Weekly Log'!$C:$C,'Weekly Log'!$A:$A,"&gt;="&amp;$J1368,'Weekly Log'!$A:$A,"&lt;"&amp;$J1368+7))</f>
        <v/>
      </c>
      <c r="C1368">
        <f>IF($J1368="","",IFERROR(COUNTIFS('Weekly Log'!$G:$G,"Y",'Weekly Log'!$A:$A,"&gt;="&amp;$J1368,'Weekly Log'!$A:$A,"&lt;"&amp;$J1368+7)/COUNTIFS('Weekly Log'!$G:$G,"&lt;&gt;",'Weekly Log'!$A:$A,"&gt;="&amp;$J1368,'Weekly Log'!$A:$A,"&lt;"&amp;$J1368+7),0))</f>
        <v/>
      </c>
      <c r="D1368">
        <f>IF($J1368="","",IFERROR(COUNTIFS('Weekly Log'!$H:$H,"Y",'Weekly Log'!$A:$A,"&gt;="&amp;$J1368,'Weekly Log'!$A:$A,"&lt;"&amp;$J1368+7)/COUNTIFS('Weekly Log'!$H:$H,"&lt;&gt;",'Weekly Log'!$A:$A,"&gt;="&amp;$J1368,'Weekly Log'!$A:$A,"&lt;"&amp;$J1368+7),0))</f>
        <v/>
      </c>
      <c r="E1368">
        <f>IF($J1368="","",IFERROR(AVERAGEIFS('Weekly Log'!$F:$F,'Weekly Log'!$A:$A,"&gt;="&amp;$J1368,'Weekly Log'!$A:$A,"&lt;"&amp;$J1368+7),0))</f>
        <v/>
      </c>
      <c r="F1368">
        <f>IF($J1368="","",IFERROR(SUMIFS('Weekly Log'!$F:$F,'Weekly Log'!$A:$A,"&gt;="&amp;$J1368,'Weekly Log'!$A:$A,"&lt;"&amp;$J1368+7)/SUMIFS('Weekly Log'!$E:$E,'Weekly Log'!$A:$A,"&gt;="&amp;$J1368,'Weekly Log'!$A:$A,"&lt;"&amp;$J1368+7),0))</f>
        <v/>
      </c>
      <c r="G1368">
        <f>IF($J1368="","",IFERROR(LOOKUP(2,1/(('Weekly Log'!$A$5:$A$5000&gt;=$J1368)*('Weekly Log'!$A$5:$A$5000&lt;$J1368+7)*('Weekly Log'!$M$5:$M$5000&lt;&gt;"")),'Weekly Log'!$M$5:$M$5000),0))</f>
        <v/>
      </c>
      <c r="J1368">
        <f>IF(COUNT('Weekly Log'!$A$5:$A$5000)=0,"",IF(MIN('Weekly Log'!$A$5:$A$5000)+7*(ROW()-10)&gt;MAX('Weekly Log'!$A$5:$A$5000),"",MIN('Weekly Log'!$A$5:$A$5000)+7*(ROW()-10)))</f>
        <v/>
      </c>
    </row>
    <row r="1369">
      <c r="A1369">
        <f>IF($J1369="","",YEAR($J1369-WEEKDAY($J1369,2)+4)&amp;"-W"&amp;TEXT(WEEKNUM($J1369,21),"00"))</f>
        <v/>
      </c>
      <c r="B1369">
        <f>IF($J1369="","",SUMIFS('Weekly Log'!$C:$C,'Weekly Log'!$A:$A,"&gt;="&amp;$J1369,'Weekly Log'!$A:$A,"&lt;"&amp;$J1369+7))</f>
        <v/>
      </c>
      <c r="C1369">
        <f>IF($J1369="","",IFERROR(COUNTIFS('Weekly Log'!$G:$G,"Y",'Weekly Log'!$A:$A,"&gt;="&amp;$J1369,'Weekly Log'!$A:$A,"&lt;"&amp;$J1369+7)/COUNTIFS('Weekly Log'!$G:$G,"&lt;&gt;",'Weekly Log'!$A:$A,"&gt;="&amp;$J1369,'Weekly Log'!$A:$A,"&lt;"&amp;$J1369+7),0))</f>
        <v/>
      </c>
      <c r="D1369">
        <f>IF($J1369="","",IFERROR(COUNTIFS('Weekly Log'!$H:$H,"Y",'Weekly Log'!$A:$A,"&gt;="&amp;$J1369,'Weekly Log'!$A:$A,"&lt;"&amp;$J1369+7)/COUNTIFS('Weekly Log'!$H:$H,"&lt;&gt;",'Weekly Log'!$A:$A,"&gt;="&amp;$J1369,'Weekly Log'!$A:$A,"&lt;"&amp;$J1369+7),0))</f>
        <v/>
      </c>
      <c r="E1369">
        <f>IF($J1369="","",IFERROR(AVERAGEIFS('Weekly Log'!$F:$F,'Weekly Log'!$A:$A,"&gt;="&amp;$J1369,'Weekly Log'!$A:$A,"&lt;"&amp;$J1369+7),0))</f>
        <v/>
      </c>
      <c r="F1369">
        <f>IF($J1369="","",IFERROR(SUMIFS('Weekly Log'!$F:$F,'Weekly Log'!$A:$A,"&gt;="&amp;$J1369,'Weekly Log'!$A:$A,"&lt;"&amp;$J1369+7)/SUMIFS('Weekly Log'!$E:$E,'Weekly Log'!$A:$A,"&gt;="&amp;$J1369,'Weekly Log'!$A:$A,"&lt;"&amp;$J1369+7),0))</f>
        <v/>
      </c>
      <c r="G1369">
        <f>IF($J1369="","",IFERROR(LOOKUP(2,1/(('Weekly Log'!$A$5:$A$5000&gt;=$J1369)*('Weekly Log'!$A$5:$A$5000&lt;$J1369+7)*('Weekly Log'!$M$5:$M$5000&lt;&gt;"")),'Weekly Log'!$M$5:$M$5000),0))</f>
        <v/>
      </c>
      <c r="J1369">
        <f>IF(COUNT('Weekly Log'!$A$5:$A$5000)=0,"",IF(MIN('Weekly Log'!$A$5:$A$5000)+7*(ROW()-10)&gt;MAX('Weekly Log'!$A$5:$A$5000),"",MIN('Weekly Log'!$A$5:$A$5000)+7*(ROW()-10)))</f>
        <v/>
      </c>
    </row>
    <row r="1370">
      <c r="A1370">
        <f>IF($J1370="","",YEAR($J1370-WEEKDAY($J1370,2)+4)&amp;"-W"&amp;TEXT(WEEKNUM($J1370,21),"00"))</f>
        <v/>
      </c>
      <c r="B1370">
        <f>IF($J1370="","",SUMIFS('Weekly Log'!$C:$C,'Weekly Log'!$A:$A,"&gt;="&amp;$J1370,'Weekly Log'!$A:$A,"&lt;"&amp;$J1370+7))</f>
        <v/>
      </c>
      <c r="C1370">
        <f>IF($J1370="","",IFERROR(COUNTIFS('Weekly Log'!$G:$G,"Y",'Weekly Log'!$A:$A,"&gt;="&amp;$J1370,'Weekly Log'!$A:$A,"&lt;"&amp;$J1370+7)/COUNTIFS('Weekly Log'!$G:$G,"&lt;&gt;",'Weekly Log'!$A:$A,"&gt;="&amp;$J1370,'Weekly Log'!$A:$A,"&lt;"&amp;$J1370+7),0))</f>
        <v/>
      </c>
      <c r="D1370">
        <f>IF($J1370="","",IFERROR(COUNTIFS('Weekly Log'!$H:$H,"Y",'Weekly Log'!$A:$A,"&gt;="&amp;$J1370,'Weekly Log'!$A:$A,"&lt;"&amp;$J1370+7)/COUNTIFS('Weekly Log'!$H:$H,"&lt;&gt;",'Weekly Log'!$A:$A,"&gt;="&amp;$J1370,'Weekly Log'!$A:$A,"&lt;"&amp;$J1370+7),0))</f>
        <v/>
      </c>
      <c r="E1370">
        <f>IF($J1370="","",IFERROR(AVERAGEIFS('Weekly Log'!$F:$F,'Weekly Log'!$A:$A,"&gt;="&amp;$J1370,'Weekly Log'!$A:$A,"&lt;"&amp;$J1370+7),0))</f>
        <v/>
      </c>
      <c r="F1370">
        <f>IF($J1370="","",IFERROR(SUMIFS('Weekly Log'!$F:$F,'Weekly Log'!$A:$A,"&gt;="&amp;$J1370,'Weekly Log'!$A:$A,"&lt;"&amp;$J1370+7)/SUMIFS('Weekly Log'!$E:$E,'Weekly Log'!$A:$A,"&gt;="&amp;$J1370,'Weekly Log'!$A:$A,"&lt;"&amp;$J1370+7),0))</f>
        <v/>
      </c>
      <c r="G1370">
        <f>IF($J1370="","",IFERROR(LOOKUP(2,1/(('Weekly Log'!$A$5:$A$5000&gt;=$J1370)*('Weekly Log'!$A$5:$A$5000&lt;$J1370+7)*('Weekly Log'!$M$5:$M$5000&lt;&gt;"")),'Weekly Log'!$M$5:$M$5000),0))</f>
        <v/>
      </c>
      <c r="J1370">
        <f>IF(COUNT('Weekly Log'!$A$5:$A$5000)=0,"",IF(MIN('Weekly Log'!$A$5:$A$5000)+7*(ROW()-10)&gt;MAX('Weekly Log'!$A$5:$A$5000),"",MIN('Weekly Log'!$A$5:$A$5000)+7*(ROW()-10)))</f>
        <v/>
      </c>
    </row>
    <row r="1371">
      <c r="A1371">
        <f>IF($J1371="","",YEAR($J1371-WEEKDAY($J1371,2)+4)&amp;"-W"&amp;TEXT(WEEKNUM($J1371,21),"00"))</f>
        <v/>
      </c>
      <c r="B1371">
        <f>IF($J1371="","",SUMIFS('Weekly Log'!$C:$C,'Weekly Log'!$A:$A,"&gt;="&amp;$J1371,'Weekly Log'!$A:$A,"&lt;"&amp;$J1371+7))</f>
        <v/>
      </c>
      <c r="C1371">
        <f>IF($J1371="","",IFERROR(COUNTIFS('Weekly Log'!$G:$G,"Y",'Weekly Log'!$A:$A,"&gt;="&amp;$J1371,'Weekly Log'!$A:$A,"&lt;"&amp;$J1371+7)/COUNTIFS('Weekly Log'!$G:$G,"&lt;&gt;",'Weekly Log'!$A:$A,"&gt;="&amp;$J1371,'Weekly Log'!$A:$A,"&lt;"&amp;$J1371+7),0))</f>
        <v/>
      </c>
      <c r="D1371">
        <f>IF($J1371="","",IFERROR(COUNTIFS('Weekly Log'!$H:$H,"Y",'Weekly Log'!$A:$A,"&gt;="&amp;$J1371,'Weekly Log'!$A:$A,"&lt;"&amp;$J1371+7)/COUNTIFS('Weekly Log'!$H:$H,"&lt;&gt;",'Weekly Log'!$A:$A,"&gt;="&amp;$J1371,'Weekly Log'!$A:$A,"&lt;"&amp;$J1371+7),0))</f>
        <v/>
      </c>
      <c r="E1371">
        <f>IF($J1371="","",IFERROR(AVERAGEIFS('Weekly Log'!$F:$F,'Weekly Log'!$A:$A,"&gt;="&amp;$J1371,'Weekly Log'!$A:$A,"&lt;"&amp;$J1371+7),0))</f>
        <v/>
      </c>
      <c r="F1371">
        <f>IF($J1371="","",IFERROR(SUMIFS('Weekly Log'!$F:$F,'Weekly Log'!$A:$A,"&gt;="&amp;$J1371,'Weekly Log'!$A:$A,"&lt;"&amp;$J1371+7)/SUMIFS('Weekly Log'!$E:$E,'Weekly Log'!$A:$A,"&gt;="&amp;$J1371,'Weekly Log'!$A:$A,"&lt;"&amp;$J1371+7),0))</f>
        <v/>
      </c>
      <c r="G1371">
        <f>IF($J1371="","",IFERROR(LOOKUP(2,1/(('Weekly Log'!$A$5:$A$5000&gt;=$J1371)*('Weekly Log'!$A$5:$A$5000&lt;$J1371+7)*('Weekly Log'!$M$5:$M$5000&lt;&gt;"")),'Weekly Log'!$M$5:$M$5000),0))</f>
        <v/>
      </c>
      <c r="J1371">
        <f>IF(COUNT('Weekly Log'!$A$5:$A$5000)=0,"",IF(MIN('Weekly Log'!$A$5:$A$5000)+7*(ROW()-10)&gt;MAX('Weekly Log'!$A$5:$A$5000),"",MIN('Weekly Log'!$A$5:$A$5000)+7*(ROW()-10)))</f>
        <v/>
      </c>
    </row>
    <row r="1372">
      <c r="A1372">
        <f>IF($J1372="","",YEAR($J1372-WEEKDAY($J1372,2)+4)&amp;"-W"&amp;TEXT(WEEKNUM($J1372,21),"00"))</f>
        <v/>
      </c>
      <c r="B1372">
        <f>IF($J1372="","",SUMIFS('Weekly Log'!$C:$C,'Weekly Log'!$A:$A,"&gt;="&amp;$J1372,'Weekly Log'!$A:$A,"&lt;"&amp;$J1372+7))</f>
        <v/>
      </c>
      <c r="C1372">
        <f>IF($J1372="","",IFERROR(COUNTIFS('Weekly Log'!$G:$G,"Y",'Weekly Log'!$A:$A,"&gt;="&amp;$J1372,'Weekly Log'!$A:$A,"&lt;"&amp;$J1372+7)/COUNTIFS('Weekly Log'!$G:$G,"&lt;&gt;",'Weekly Log'!$A:$A,"&gt;="&amp;$J1372,'Weekly Log'!$A:$A,"&lt;"&amp;$J1372+7),0))</f>
        <v/>
      </c>
      <c r="D1372">
        <f>IF($J1372="","",IFERROR(COUNTIFS('Weekly Log'!$H:$H,"Y",'Weekly Log'!$A:$A,"&gt;="&amp;$J1372,'Weekly Log'!$A:$A,"&lt;"&amp;$J1372+7)/COUNTIFS('Weekly Log'!$H:$H,"&lt;&gt;",'Weekly Log'!$A:$A,"&gt;="&amp;$J1372,'Weekly Log'!$A:$A,"&lt;"&amp;$J1372+7),0))</f>
        <v/>
      </c>
      <c r="E1372">
        <f>IF($J1372="","",IFERROR(AVERAGEIFS('Weekly Log'!$F:$F,'Weekly Log'!$A:$A,"&gt;="&amp;$J1372,'Weekly Log'!$A:$A,"&lt;"&amp;$J1372+7),0))</f>
        <v/>
      </c>
      <c r="F1372">
        <f>IF($J1372="","",IFERROR(SUMIFS('Weekly Log'!$F:$F,'Weekly Log'!$A:$A,"&gt;="&amp;$J1372,'Weekly Log'!$A:$A,"&lt;"&amp;$J1372+7)/SUMIFS('Weekly Log'!$E:$E,'Weekly Log'!$A:$A,"&gt;="&amp;$J1372,'Weekly Log'!$A:$A,"&lt;"&amp;$J1372+7),0))</f>
        <v/>
      </c>
      <c r="G1372">
        <f>IF($J1372="","",IFERROR(LOOKUP(2,1/(('Weekly Log'!$A$5:$A$5000&gt;=$J1372)*('Weekly Log'!$A$5:$A$5000&lt;$J1372+7)*('Weekly Log'!$M$5:$M$5000&lt;&gt;"")),'Weekly Log'!$M$5:$M$5000),0))</f>
        <v/>
      </c>
      <c r="J1372">
        <f>IF(COUNT('Weekly Log'!$A$5:$A$5000)=0,"",IF(MIN('Weekly Log'!$A$5:$A$5000)+7*(ROW()-10)&gt;MAX('Weekly Log'!$A$5:$A$5000),"",MIN('Weekly Log'!$A$5:$A$5000)+7*(ROW()-10)))</f>
        <v/>
      </c>
    </row>
    <row r="1373">
      <c r="A1373">
        <f>IF($J1373="","",YEAR($J1373-WEEKDAY($J1373,2)+4)&amp;"-W"&amp;TEXT(WEEKNUM($J1373,21),"00"))</f>
        <v/>
      </c>
      <c r="B1373">
        <f>IF($J1373="","",SUMIFS('Weekly Log'!$C:$C,'Weekly Log'!$A:$A,"&gt;="&amp;$J1373,'Weekly Log'!$A:$A,"&lt;"&amp;$J1373+7))</f>
        <v/>
      </c>
      <c r="C1373">
        <f>IF($J1373="","",IFERROR(COUNTIFS('Weekly Log'!$G:$G,"Y",'Weekly Log'!$A:$A,"&gt;="&amp;$J1373,'Weekly Log'!$A:$A,"&lt;"&amp;$J1373+7)/COUNTIFS('Weekly Log'!$G:$G,"&lt;&gt;",'Weekly Log'!$A:$A,"&gt;="&amp;$J1373,'Weekly Log'!$A:$A,"&lt;"&amp;$J1373+7),0))</f>
        <v/>
      </c>
      <c r="D1373">
        <f>IF($J1373="","",IFERROR(COUNTIFS('Weekly Log'!$H:$H,"Y",'Weekly Log'!$A:$A,"&gt;="&amp;$J1373,'Weekly Log'!$A:$A,"&lt;"&amp;$J1373+7)/COUNTIFS('Weekly Log'!$H:$H,"&lt;&gt;",'Weekly Log'!$A:$A,"&gt;="&amp;$J1373,'Weekly Log'!$A:$A,"&lt;"&amp;$J1373+7),0))</f>
        <v/>
      </c>
      <c r="E1373">
        <f>IF($J1373="","",IFERROR(AVERAGEIFS('Weekly Log'!$F:$F,'Weekly Log'!$A:$A,"&gt;="&amp;$J1373,'Weekly Log'!$A:$A,"&lt;"&amp;$J1373+7),0))</f>
        <v/>
      </c>
      <c r="F1373">
        <f>IF($J1373="","",IFERROR(SUMIFS('Weekly Log'!$F:$F,'Weekly Log'!$A:$A,"&gt;="&amp;$J1373,'Weekly Log'!$A:$A,"&lt;"&amp;$J1373+7)/SUMIFS('Weekly Log'!$E:$E,'Weekly Log'!$A:$A,"&gt;="&amp;$J1373,'Weekly Log'!$A:$A,"&lt;"&amp;$J1373+7),0))</f>
        <v/>
      </c>
      <c r="G1373">
        <f>IF($J1373="","",IFERROR(LOOKUP(2,1/(('Weekly Log'!$A$5:$A$5000&gt;=$J1373)*('Weekly Log'!$A$5:$A$5000&lt;$J1373+7)*('Weekly Log'!$M$5:$M$5000&lt;&gt;"")),'Weekly Log'!$M$5:$M$5000),0))</f>
        <v/>
      </c>
      <c r="J1373">
        <f>IF(COUNT('Weekly Log'!$A$5:$A$5000)=0,"",IF(MIN('Weekly Log'!$A$5:$A$5000)+7*(ROW()-10)&gt;MAX('Weekly Log'!$A$5:$A$5000),"",MIN('Weekly Log'!$A$5:$A$5000)+7*(ROW()-10)))</f>
        <v/>
      </c>
    </row>
    <row r="1374">
      <c r="A1374">
        <f>IF($J1374="","",YEAR($J1374-WEEKDAY($J1374,2)+4)&amp;"-W"&amp;TEXT(WEEKNUM($J1374,21),"00"))</f>
        <v/>
      </c>
      <c r="B1374">
        <f>IF($J1374="","",SUMIFS('Weekly Log'!$C:$C,'Weekly Log'!$A:$A,"&gt;="&amp;$J1374,'Weekly Log'!$A:$A,"&lt;"&amp;$J1374+7))</f>
        <v/>
      </c>
      <c r="C1374">
        <f>IF($J1374="","",IFERROR(COUNTIFS('Weekly Log'!$G:$G,"Y",'Weekly Log'!$A:$A,"&gt;="&amp;$J1374,'Weekly Log'!$A:$A,"&lt;"&amp;$J1374+7)/COUNTIFS('Weekly Log'!$G:$G,"&lt;&gt;",'Weekly Log'!$A:$A,"&gt;="&amp;$J1374,'Weekly Log'!$A:$A,"&lt;"&amp;$J1374+7),0))</f>
        <v/>
      </c>
      <c r="D1374">
        <f>IF($J1374="","",IFERROR(COUNTIFS('Weekly Log'!$H:$H,"Y",'Weekly Log'!$A:$A,"&gt;="&amp;$J1374,'Weekly Log'!$A:$A,"&lt;"&amp;$J1374+7)/COUNTIFS('Weekly Log'!$H:$H,"&lt;&gt;",'Weekly Log'!$A:$A,"&gt;="&amp;$J1374,'Weekly Log'!$A:$A,"&lt;"&amp;$J1374+7),0))</f>
        <v/>
      </c>
      <c r="E1374">
        <f>IF($J1374="","",IFERROR(AVERAGEIFS('Weekly Log'!$F:$F,'Weekly Log'!$A:$A,"&gt;="&amp;$J1374,'Weekly Log'!$A:$A,"&lt;"&amp;$J1374+7),0))</f>
        <v/>
      </c>
      <c r="F1374">
        <f>IF($J1374="","",IFERROR(SUMIFS('Weekly Log'!$F:$F,'Weekly Log'!$A:$A,"&gt;="&amp;$J1374,'Weekly Log'!$A:$A,"&lt;"&amp;$J1374+7)/SUMIFS('Weekly Log'!$E:$E,'Weekly Log'!$A:$A,"&gt;="&amp;$J1374,'Weekly Log'!$A:$A,"&lt;"&amp;$J1374+7),0))</f>
        <v/>
      </c>
      <c r="G1374">
        <f>IF($J1374="","",IFERROR(LOOKUP(2,1/(('Weekly Log'!$A$5:$A$5000&gt;=$J1374)*('Weekly Log'!$A$5:$A$5000&lt;$J1374+7)*('Weekly Log'!$M$5:$M$5000&lt;&gt;"")),'Weekly Log'!$M$5:$M$5000),0))</f>
        <v/>
      </c>
      <c r="J1374">
        <f>IF(COUNT('Weekly Log'!$A$5:$A$5000)=0,"",IF(MIN('Weekly Log'!$A$5:$A$5000)+7*(ROW()-10)&gt;MAX('Weekly Log'!$A$5:$A$5000),"",MIN('Weekly Log'!$A$5:$A$5000)+7*(ROW()-10)))</f>
        <v/>
      </c>
    </row>
    <row r="1375">
      <c r="A1375">
        <f>IF($J1375="","",YEAR($J1375-WEEKDAY($J1375,2)+4)&amp;"-W"&amp;TEXT(WEEKNUM($J1375,21),"00"))</f>
        <v/>
      </c>
      <c r="B1375">
        <f>IF($J1375="","",SUMIFS('Weekly Log'!$C:$C,'Weekly Log'!$A:$A,"&gt;="&amp;$J1375,'Weekly Log'!$A:$A,"&lt;"&amp;$J1375+7))</f>
        <v/>
      </c>
      <c r="C1375">
        <f>IF($J1375="","",IFERROR(COUNTIFS('Weekly Log'!$G:$G,"Y",'Weekly Log'!$A:$A,"&gt;="&amp;$J1375,'Weekly Log'!$A:$A,"&lt;"&amp;$J1375+7)/COUNTIFS('Weekly Log'!$G:$G,"&lt;&gt;",'Weekly Log'!$A:$A,"&gt;="&amp;$J1375,'Weekly Log'!$A:$A,"&lt;"&amp;$J1375+7),0))</f>
        <v/>
      </c>
      <c r="D1375">
        <f>IF($J1375="","",IFERROR(COUNTIFS('Weekly Log'!$H:$H,"Y",'Weekly Log'!$A:$A,"&gt;="&amp;$J1375,'Weekly Log'!$A:$A,"&lt;"&amp;$J1375+7)/COUNTIFS('Weekly Log'!$H:$H,"&lt;&gt;",'Weekly Log'!$A:$A,"&gt;="&amp;$J1375,'Weekly Log'!$A:$A,"&lt;"&amp;$J1375+7),0))</f>
        <v/>
      </c>
      <c r="E1375">
        <f>IF($J1375="","",IFERROR(AVERAGEIFS('Weekly Log'!$F:$F,'Weekly Log'!$A:$A,"&gt;="&amp;$J1375,'Weekly Log'!$A:$A,"&lt;"&amp;$J1375+7),0))</f>
        <v/>
      </c>
      <c r="F1375">
        <f>IF($J1375="","",IFERROR(SUMIFS('Weekly Log'!$F:$F,'Weekly Log'!$A:$A,"&gt;="&amp;$J1375,'Weekly Log'!$A:$A,"&lt;"&amp;$J1375+7)/SUMIFS('Weekly Log'!$E:$E,'Weekly Log'!$A:$A,"&gt;="&amp;$J1375,'Weekly Log'!$A:$A,"&lt;"&amp;$J1375+7),0))</f>
        <v/>
      </c>
      <c r="G1375">
        <f>IF($J1375="","",IFERROR(LOOKUP(2,1/(('Weekly Log'!$A$5:$A$5000&gt;=$J1375)*('Weekly Log'!$A$5:$A$5000&lt;$J1375+7)*('Weekly Log'!$M$5:$M$5000&lt;&gt;"")),'Weekly Log'!$M$5:$M$5000),0))</f>
        <v/>
      </c>
      <c r="J1375">
        <f>IF(COUNT('Weekly Log'!$A$5:$A$5000)=0,"",IF(MIN('Weekly Log'!$A$5:$A$5000)+7*(ROW()-10)&gt;MAX('Weekly Log'!$A$5:$A$5000),"",MIN('Weekly Log'!$A$5:$A$5000)+7*(ROW()-10)))</f>
        <v/>
      </c>
    </row>
    <row r="1376">
      <c r="A1376">
        <f>IF($J1376="","",YEAR($J1376-WEEKDAY($J1376,2)+4)&amp;"-W"&amp;TEXT(WEEKNUM($J1376,21),"00"))</f>
        <v/>
      </c>
      <c r="B1376">
        <f>IF($J1376="","",SUMIFS('Weekly Log'!$C:$C,'Weekly Log'!$A:$A,"&gt;="&amp;$J1376,'Weekly Log'!$A:$A,"&lt;"&amp;$J1376+7))</f>
        <v/>
      </c>
      <c r="C1376">
        <f>IF($J1376="","",IFERROR(COUNTIFS('Weekly Log'!$G:$G,"Y",'Weekly Log'!$A:$A,"&gt;="&amp;$J1376,'Weekly Log'!$A:$A,"&lt;"&amp;$J1376+7)/COUNTIFS('Weekly Log'!$G:$G,"&lt;&gt;",'Weekly Log'!$A:$A,"&gt;="&amp;$J1376,'Weekly Log'!$A:$A,"&lt;"&amp;$J1376+7),0))</f>
        <v/>
      </c>
      <c r="D1376">
        <f>IF($J1376="","",IFERROR(COUNTIFS('Weekly Log'!$H:$H,"Y",'Weekly Log'!$A:$A,"&gt;="&amp;$J1376,'Weekly Log'!$A:$A,"&lt;"&amp;$J1376+7)/COUNTIFS('Weekly Log'!$H:$H,"&lt;&gt;",'Weekly Log'!$A:$A,"&gt;="&amp;$J1376,'Weekly Log'!$A:$A,"&lt;"&amp;$J1376+7),0))</f>
        <v/>
      </c>
      <c r="E1376">
        <f>IF($J1376="","",IFERROR(AVERAGEIFS('Weekly Log'!$F:$F,'Weekly Log'!$A:$A,"&gt;="&amp;$J1376,'Weekly Log'!$A:$A,"&lt;"&amp;$J1376+7),0))</f>
        <v/>
      </c>
      <c r="F1376">
        <f>IF($J1376="","",IFERROR(SUMIFS('Weekly Log'!$F:$F,'Weekly Log'!$A:$A,"&gt;="&amp;$J1376,'Weekly Log'!$A:$A,"&lt;"&amp;$J1376+7)/SUMIFS('Weekly Log'!$E:$E,'Weekly Log'!$A:$A,"&gt;="&amp;$J1376,'Weekly Log'!$A:$A,"&lt;"&amp;$J1376+7),0))</f>
        <v/>
      </c>
      <c r="G1376">
        <f>IF($J1376="","",IFERROR(LOOKUP(2,1/(('Weekly Log'!$A$5:$A$5000&gt;=$J1376)*('Weekly Log'!$A$5:$A$5000&lt;$J1376+7)*('Weekly Log'!$M$5:$M$5000&lt;&gt;"")),'Weekly Log'!$M$5:$M$5000),0))</f>
        <v/>
      </c>
      <c r="J1376">
        <f>IF(COUNT('Weekly Log'!$A$5:$A$5000)=0,"",IF(MIN('Weekly Log'!$A$5:$A$5000)+7*(ROW()-10)&gt;MAX('Weekly Log'!$A$5:$A$5000),"",MIN('Weekly Log'!$A$5:$A$5000)+7*(ROW()-10)))</f>
        <v/>
      </c>
    </row>
    <row r="1377">
      <c r="A1377">
        <f>IF($J1377="","",YEAR($J1377-WEEKDAY($J1377,2)+4)&amp;"-W"&amp;TEXT(WEEKNUM($J1377,21),"00"))</f>
        <v/>
      </c>
      <c r="B1377">
        <f>IF($J1377="","",SUMIFS('Weekly Log'!$C:$C,'Weekly Log'!$A:$A,"&gt;="&amp;$J1377,'Weekly Log'!$A:$A,"&lt;"&amp;$J1377+7))</f>
        <v/>
      </c>
      <c r="C1377">
        <f>IF($J1377="","",IFERROR(COUNTIFS('Weekly Log'!$G:$G,"Y",'Weekly Log'!$A:$A,"&gt;="&amp;$J1377,'Weekly Log'!$A:$A,"&lt;"&amp;$J1377+7)/COUNTIFS('Weekly Log'!$G:$G,"&lt;&gt;",'Weekly Log'!$A:$A,"&gt;="&amp;$J1377,'Weekly Log'!$A:$A,"&lt;"&amp;$J1377+7),0))</f>
        <v/>
      </c>
      <c r="D1377">
        <f>IF($J1377="","",IFERROR(COUNTIFS('Weekly Log'!$H:$H,"Y",'Weekly Log'!$A:$A,"&gt;="&amp;$J1377,'Weekly Log'!$A:$A,"&lt;"&amp;$J1377+7)/COUNTIFS('Weekly Log'!$H:$H,"&lt;&gt;",'Weekly Log'!$A:$A,"&gt;="&amp;$J1377,'Weekly Log'!$A:$A,"&lt;"&amp;$J1377+7),0))</f>
        <v/>
      </c>
      <c r="E1377">
        <f>IF($J1377="","",IFERROR(AVERAGEIFS('Weekly Log'!$F:$F,'Weekly Log'!$A:$A,"&gt;="&amp;$J1377,'Weekly Log'!$A:$A,"&lt;"&amp;$J1377+7),0))</f>
        <v/>
      </c>
      <c r="F1377">
        <f>IF($J1377="","",IFERROR(SUMIFS('Weekly Log'!$F:$F,'Weekly Log'!$A:$A,"&gt;="&amp;$J1377,'Weekly Log'!$A:$A,"&lt;"&amp;$J1377+7)/SUMIFS('Weekly Log'!$E:$E,'Weekly Log'!$A:$A,"&gt;="&amp;$J1377,'Weekly Log'!$A:$A,"&lt;"&amp;$J1377+7),0))</f>
        <v/>
      </c>
      <c r="G1377">
        <f>IF($J1377="","",IFERROR(LOOKUP(2,1/(('Weekly Log'!$A$5:$A$5000&gt;=$J1377)*('Weekly Log'!$A$5:$A$5000&lt;$J1377+7)*('Weekly Log'!$M$5:$M$5000&lt;&gt;"")),'Weekly Log'!$M$5:$M$5000),0))</f>
        <v/>
      </c>
      <c r="J1377">
        <f>IF(COUNT('Weekly Log'!$A$5:$A$5000)=0,"",IF(MIN('Weekly Log'!$A$5:$A$5000)+7*(ROW()-10)&gt;MAX('Weekly Log'!$A$5:$A$5000),"",MIN('Weekly Log'!$A$5:$A$5000)+7*(ROW()-10)))</f>
        <v/>
      </c>
    </row>
    <row r="1378">
      <c r="A1378">
        <f>IF($J1378="","",YEAR($J1378-WEEKDAY($J1378,2)+4)&amp;"-W"&amp;TEXT(WEEKNUM($J1378,21),"00"))</f>
        <v/>
      </c>
      <c r="B1378">
        <f>IF($J1378="","",SUMIFS('Weekly Log'!$C:$C,'Weekly Log'!$A:$A,"&gt;="&amp;$J1378,'Weekly Log'!$A:$A,"&lt;"&amp;$J1378+7))</f>
        <v/>
      </c>
      <c r="C1378">
        <f>IF($J1378="","",IFERROR(COUNTIFS('Weekly Log'!$G:$G,"Y",'Weekly Log'!$A:$A,"&gt;="&amp;$J1378,'Weekly Log'!$A:$A,"&lt;"&amp;$J1378+7)/COUNTIFS('Weekly Log'!$G:$G,"&lt;&gt;",'Weekly Log'!$A:$A,"&gt;="&amp;$J1378,'Weekly Log'!$A:$A,"&lt;"&amp;$J1378+7),0))</f>
        <v/>
      </c>
      <c r="D1378">
        <f>IF($J1378="","",IFERROR(COUNTIFS('Weekly Log'!$H:$H,"Y",'Weekly Log'!$A:$A,"&gt;="&amp;$J1378,'Weekly Log'!$A:$A,"&lt;"&amp;$J1378+7)/COUNTIFS('Weekly Log'!$H:$H,"&lt;&gt;",'Weekly Log'!$A:$A,"&gt;="&amp;$J1378,'Weekly Log'!$A:$A,"&lt;"&amp;$J1378+7),0))</f>
        <v/>
      </c>
      <c r="E1378">
        <f>IF($J1378="","",IFERROR(AVERAGEIFS('Weekly Log'!$F:$F,'Weekly Log'!$A:$A,"&gt;="&amp;$J1378,'Weekly Log'!$A:$A,"&lt;"&amp;$J1378+7),0))</f>
        <v/>
      </c>
      <c r="F1378">
        <f>IF($J1378="","",IFERROR(SUMIFS('Weekly Log'!$F:$F,'Weekly Log'!$A:$A,"&gt;="&amp;$J1378,'Weekly Log'!$A:$A,"&lt;"&amp;$J1378+7)/SUMIFS('Weekly Log'!$E:$E,'Weekly Log'!$A:$A,"&gt;="&amp;$J1378,'Weekly Log'!$A:$A,"&lt;"&amp;$J1378+7),0))</f>
        <v/>
      </c>
      <c r="G1378">
        <f>IF($J1378="","",IFERROR(LOOKUP(2,1/(('Weekly Log'!$A$5:$A$5000&gt;=$J1378)*('Weekly Log'!$A$5:$A$5000&lt;$J1378+7)*('Weekly Log'!$M$5:$M$5000&lt;&gt;"")),'Weekly Log'!$M$5:$M$5000),0))</f>
        <v/>
      </c>
      <c r="J1378">
        <f>IF(COUNT('Weekly Log'!$A$5:$A$5000)=0,"",IF(MIN('Weekly Log'!$A$5:$A$5000)+7*(ROW()-10)&gt;MAX('Weekly Log'!$A$5:$A$5000),"",MIN('Weekly Log'!$A$5:$A$5000)+7*(ROW()-10)))</f>
        <v/>
      </c>
    </row>
    <row r="1379">
      <c r="A1379">
        <f>IF($J1379="","",YEAR($J1379-WEEKDAY($J1379,2)+4)&amp;"-W"&amp;TEXT(WEEKNUM($J1379,21),"00"))</f>
        <v/>
      </c>
      <c r="B1379">
        <f>IF($J1379="","",SUMIFS('Weekly Log'!$C:$C,'Weekly Log'!$A:$A,"&gt;="&amp;$J1379,'Weekly Log'!$A:$A,"&lt;"&amp;$J1379+7))</f>
        <v/>
      </c>
      <c r="C1379">
        <f>IF($J1379="","",IFERROR(COUNTIFS('Weekly Log'!$G:$G,"Y",'Weekly Log'!$A:$A,"&gt;="&amp;$J1379,'Weekly Log'!$A:$A,"&lt;"&amp;$J1379+7)/COUNTIFS('Weekly Log'!$G:$G,"&lt;&gt;",'Weekly Log'!$A:$A,"&gt;="&amp;$J1379,'Weekly Log'!$A:$A,"&lt;"&amp;$J1379+7),0))</f>
        <v/>
      </c>
      <c r="D1379">
        <f>IF($J1379="","",IFERROR(COUNTIFS('Weekly Log'!$H:$H,"Y",'Weekly Log'!$A:$A,"&gt;="&amp;$J1379,'Weekly Log'!$A:$A,"&lt;"&amp;$J1379+7)/COUNTIFS('Weekly Log'!$H:$H,"&lt;&gt;",'Weekly Log'!$A:$A,"&gt;="&amp;$J1379,'Weekly Log'!$A:$A,"&lt;"&amp;$J1379+7),0))</f>
        <v/>
      </c>
      <c r="E1379">
        <f>IF($J1379="","",IFERROR(AVERAGEIFS('Weekly Log'!$F:$F,'Weekly Log'!$A:$A,"&gt;="&amp;$J1379,'Weekly Log'!$A:$A,"&lt;"&amp;$J1379+7),0))</f>
        <v/>
      </c>
      <c r="F1379">
        <f>IF($J1379="","",IFERROR(SUMIFS('Weekly Log'!$F:$F,'Weekly Log'!$A:$A,"&gt;="&amp;$J1379,'Weekly Log'!$A:$A,"&lt;"&amp;$J1379+7)/SUMIFS('Weekly Log'!$E:$E,'Weekly Log'!$A:$A,"&gt;="&amp;$J1379,'Weekly Log'!$A:$A,"&lt;"&amp;$J1379+7),0))</f>
        <v/>
      </c>
      <c r="G1379">
        <f>IF($J1379="","",IFERROR(LOOKUP(2,1/(('Weekly Log'!$A$5:$A$5000&gt;=$J1379)*('Weekly Log'!$A$5:$A$5000&lt;$J1379+7)*('Weekly Log'!$M$5:$M$5000&lt;&gt;"")),'Weekly Log'!$M$5:$M$5000),0))</f>
        <v/>
      </c>
      <c r="J1379">
        <f>IF(COUNT('Weekly Log'!$A$5:$A$5000)=0,"",IF(MIN('Weekly Log'!$A$5:$A$5000)+7*(ROW()-10)&gt;MAX('Weekly Log'!$A$5:$A$5000),"",MIN('Weekly Log'!$A$5:$A$5000)+7*(ROW()-10)))</f>
        <v/>
      </c>
    </row>
    <row r="1380">
      <c r="A1380">
        <f>IF($J1380="","",YEAR($J1380-WEEKDAY($J1380,2)+4)&amp;"-W"&amp;TEXT(WEEKNUM($J1380,21),"00"))</f>
        <v/>
      </c>
      <c r="B1380">
        <f>IF($J1380="","",SUMIFS('Weekly Log'!$C:$C,'Weekly Log'!$A:$A,"&gt;="&amp;$J1380,'Weekly Log'!$A:$A,"&lt;"&amp;$J1380+7))</f>
        <v/>
      </c>
      <c r="C1380">
        <f>IF($J1380="","",IFERROR(COUNTIFS('Weekly Log'!$G:$G,"Y",'Weekly Log'!$A:$A,"&gt;="&amp;$J1380,'Weekly Log'!$A:$A,"&lt;"&amp;$J1380+7)/COUNTIFS('Weekly Log'!$G:$G,"&lt;&gt;",'Weekly Log'!$A:$A,"&gt;="&amp;$J1380,'Weekly Log'!$A:$A,"&lt;"&amp;$J1380+7),0))</f>
        <v/>
      </c>
      <c r="D1380">
        <f>IF($J1380="","",IFERROR(COUNTIFS('Weekly Log'!$H:$H,"Y",'Weekly Log'!$A:$A,"&gt;="&amp;$J1380,'Weekly Log'!$A:$A,"&lt;"&amp;$J1380+7)/COUNTIFS('Weekly Log'!$H:$H,"&lt;&gt;",'Weekly Log'!$A:$A,"&gt;="&amp;$J1380,'Weekly Log'!$A:$A,"&lt;"&amp;$J1380+7),0))</f>
        <v/>
      </c>
      <c r="E1380">
        <f>IF($J1380="","",IFERROR(AVERAGEIFS('Weekly Log'!$F:$F,'Weekly Log'!$A:$A,"&gt;="&amp;$J1380,'Weekly Log'!$A:$A,"&lt;"&amp;$J1380+7),0))</f>
        <v/>
      </c>
      <c r="F1380">
        <f>IF($J1380="","",IFERROR(SUMIFS('Weekly Log'!$F:$F,'Weekly Log'!$A:$A,"&gt;="&amp;$J1380,'Weekly Log'!$A:$A,"&lt;"&amp;$J1380+7)/SUMIFS('Weekly Log'!$E:$E,'Weekly Log'!$A:$A,"&gt;="&amp;$J1380,'Weekly Log'!$A:$A,"&lt;"&amp;$J1380+7),0))</f>
        <v/>
      </c>
      <c r="G1380">
        <f>IF($J1380="","",IFERROR(LOOKUP(2,1/(('Weekly Log'!$A$5:$A$5000&gt;=$J1380)*('Weekly Log'!$A$5:$A$5000&lt;$J1380+7)*('Weekly Log'!$M$5:$M$5000&lt;&gt;"")),'Weekly Log'!$M$5:$M$5000),0))</f>
        <v/>
      </c>
      <c r="J1380">
        <f>IF(COUNT('Weekly Log'!$A$5:$A$5000)=0,"",IF(MIN('Weekly Log'!$A$5:$A$5000)+7*(ROW()-10)&gt;MAX('Weekly Log'!$A$5:$A$5000),"",MIN('Weekly Log'!$A$5:$A$5000)+7*(ROW()-10)))</f>
        <v/>
      </c>
    </row>
    <row r="1381">
      <c r="A1381">
        <f>IF($J1381="","",YEAR($J1381-WEEKDAY($J1381,2)+4)&amp;"-W"&amp;TEXT(WEEKNUM($J1381,21),"00"))</f>
        <v/>
      </c>
      <c r="B1381">
        <f>IF($J1381="","",SUMIFS('Weekly Log'!$C:$C,'Weekly Log'!$A:$A,"&gt;="&amp;$J1381,'Weekly Log'!$A:$A,"&lt;"&amp;$J1381+7))</f>
        <v/>
      </c>
      <c r="C1381">
        <f>IF($J1381="","",IFERROR(COUNTIFS('Weekly Log'!$G:$G,"Y",'Weekly Log'!$A:$A,"&gt;="&amp;$J1381,'Weekly Log'!$A:$A,"&lt;"&amp;$J1381+7)/COUNTIFS('Weekly Log'!$G:$G,"&lt;&gt;",'Weekly Log'!$A:$A,"&gt;="&amp;$J1381,'Weekly Log'!$A:$A,"&lt;"&amp;$J1381+7),0))</f>
        <v/>
      </c>
      <c r="D1381">
        <f>IF($J1381="","",IFERROR(COUNTIFS('Weekly Log'!$H:$H,"Y",'Weekly Log'!$A:$A,"&gt;="&amp;$J1381,'Weekly Log'!$A:$A,"&lt;"&amp;$J1381+7)/COUNTIFS('Weekly Log'!$H:$H,"&lt;&gt;",'Weekly Log'!$A:$A,"&gt;="&amp;$J1381,'Weekly Log'!$A:$A,"&lt;"&amp;$J1381+7),0))</f>
        <v/>
      </c>
      <c r="E1381">
        <f>IF($J1381="","",IFERROR(AVERAGEIFS('Weekly Log'!$F:$F,'Weekly Log'!$A:$A,"&gt;="&amp;$J1381,'Weekly Log'!$A:$A,"&lt;"&amp;$J1381+7),0))</f>
        <v/>
      </c>
      <c r="F1381">
        <f>IF($J1381="","",IFERROR(SUMIFS('Weekly Log'!$F:$F,'Weekly Log'!$A:$A,"&gt;="&amp;$J1381,'Weekly Log'!$A:$A,"&lt;"&amp;$J1381+7)/SUMIFS('Weekly Log'!$E:$E,'Weekly Log'!$A:$A,"&gt;="&amp;$J1381,'Weekly Log'!$A:$A,"&lt;"&amp;$J1381+7),0))</f>
        <v/>
      </c>
      <c r="G1381">
        <f>IF($J1381="","",IFERROR(LOOKUP(2,1/(('Weekly Log'!$A$5:$A$5000&gt;=$J1381)*('Weekly Log'!$A$5:$A$5000&lt;$J1381+7)*('Weekly Log'!$M$5:$M$5000&lt;&gt;"")),'Weekly Log'!$M$5:$M$5000),0))</f>
        <v/>
      </c>
      <c r="J1381">
        <f>IF(COUNT('Weekly Log'!$A$5:$A$5000)=0,"",IF(MIN('Weekly Log'!$A$5:$A$5000)+7*(ROW()-10)&gt;MAX('Weekly Log'!$A$5:$A$5000),"",MIN('Weekly Log'!$A$5:$A$5000)+7*(ROW()-10)))</f>
        <v/>
      </c>
    </row>
    <row r="1382">
      <c r="A1382">
        <f>IF($J1382="","",YEAR($J1382-WEEKDAY($J1382,2)+4)&amp;"-W"&amp;TEXT(WEEKNUM($J1382,21),"00"))</f>
        <v/>
      </c>
      <c r="B1382">
        <f>IF($J1382="","",SUMIFS('Weekly Log'!$C:$C,'Weekly Log'!$A:$A,"&gt;="&amp;$J1382,'Weekly Log'!$A:$A,"&lt;"&amp;$J1382+7))</f>
        <v/>
      </c>
      <c r="C1382">
        <f>IF($J1382="","",IFERROR(COUNTIFS('Weekly Log'!$G:$G,"Y",'Weekly Log'!$A:$A,"&gt;="&amp;$J1382,'Weekly Log'!$A:$A,"&lt;"&amp;$J1382+7)/COUNTIFS('Weekly Log'!$G:$G,"&lt;&gt;",'Weekly Log'!$A:$A,"&gt;="&amp;$J1382,'Weekly Log'!$A:$A,"&lt;"&amp;$J1382+7),0))</f>
        <v/>
      </c>
      <c r="D1382">
        <f>IF($J1382="","",IFERROR(COUNTIFS('Weekly Log'!$H:$H,"Y",'Weekly Log'!$A:$A,"&gt;="&amp;$J1382,'Weekly Log'!$A:$A,"&lt;"&amp;$J1382+7)/COUNTIFS('Weekly Log'!$H:$H,"&lt;&gt;",'Weekly Log'!$A:$A,"&gt;="&amp;$J1382,'Weekly Log'!$A:$A,"&lt;"&amp;$J1382+7),0))</f>
        <v/>
      </c>
      <c r="E1382">
        <f>IF($J1382="","",IFERROR(AVERAGEIFS('Weekly Log'!$F:$F,'Weekly Log'!$A:$A,"&gt;="&amp;$J1382,'Weekly Log'!$A:$A,"&lt;"&amp;$J1382+7),0))</f>
        <v/>
      </c>
      <c r="F1382">
        <f>IF($J1382="","",IFERROR(SUMIFS('Weekly Log'!$F:$F,'Weekly Log'!$A:$A,"&gt;="&amp;$J1382,'Weekly Log'!$A:$A,"&lt;"&amp;$J1382+7)/SUMIFS('Weekly Log'!$E:$E,'Weekly Log'!$A:$A,"&gt;="&amp;$J1382,'Weekly Log'!$A:$A,"&lt;"&amp;$J1382+7),0))</f>
        <v/>
      </c>
      <c r="G1382">
        <f>IF($J1382="","",IFERROR(LOOKUP(2,1/(('Weekly Log'!$A$5:$A$5000&gt;=$J1382)*('Weekly Log'!$A$5:$A$5000&lt;$J1382+7)*('Weekly Log'!$M$5:$M$5000&lt;&gt;"")),'Weekly Log'!$M$5:$M$5000),0))</f>
        <v/>
      </c>
      <c r="J1382">
        <f>IF(COUNT('Weekly Log'!$A$5:$A$5000)=0,"",IF(MIN('Weekly Log'!$A$5:$A$5000)+7*(ROW()-10)&gt;MAX('Weekly Log'!$A$5:$A$5000),"",MIN('Weekly Log'!$A$5:$A$5000)+7*(ROW()-10)))</f>
        <v/>
      </c>
    </row>
    <row r="1383">
      <c r="A1383">
        <f>IF($J1383="","",YEAR($J1383-WEEKDAY($J1383,2)+4)&amp;"-W"&amp;TEXT(WEEKNUM($J1383,21),"00"))</f>
        <v/>
      </c>
      <c r="B1383">
        <f>IF($J1383="","",SUMIFS('Weekly Log'!$C:$C,'Weekly Log'!$A:$A,"&gt;="&amp;$J1383,'Weekly Log'!$A:$A,"&lt;"&amp;$J1383+7))</f>
        <v/>
      </c>
      <c r="C1383">
        <f>IF($J1383="","",IFERROR(COUNTIFS('Weekly Log'!$G:$G,"Y",'Weekly Log'!$A:$A,"&gt;="&amp;$J1383,'Weekly Log'!$A:$A,"&lt;"&amp;$J1383+7)/COUNTIFS('Weekly Log'!$G:$G,"&lt;&gt;",'Weekly Log'!$A:$A,"&gt;="&amp;$J1383,'Weekly Log'!$A:$A,"&lt;"&amp;$J1383+7),0))</f>
        <v/>
      </c>
      <c r="D1383">
        <f>IF($J1383="","",IFERROR(COUNTIFS('Weekly Log'!$H:$H,"Y",'Weekly Log'!$A:$A,"&gt;="&amp;$J1383,'Weekly Log'!$A:$A,"&lt;"&amp;$J1383+7)/COUNTIFS('Weekly Log'!$H:$H,"&lt;&gt;",'Weekly Log'!$A:$A,"&gt;="&amp;$J1383,'Weekly Log'!$A:$A,"&lt;"&amp;$J1383+7),0))</f>
        <v/>
      </c>
      <c r="E1383">
        <f>IF($J1383="","",IFERROR(AVERAGEIFS('Weekly Log'!$F:$F,'Weekly Log'!$A:$A,"&gt;="&amp;$J1383,'Weekly Log'!$A:$A,"&lt;"&amp;$J1383+7),0))</f>
        <v/>
      </c>
      <c r="F1383">
        <f>IF($J1383="","",IFERROR(SUMIFS('Weekly Log'!$F:$F,'Weekly Log'!$A:$A,"&gt;="&amp;$J1383,'Weekly Log'!$A:$A,"&lt;"&amp;$J1383+7)/SUMIFS('Weekly Log'!$E:$E,'Weekly Log'!$A:$A,"&gt;="&amp;$J1383,'Weekly Log'!$A:$A,"&lt;"&amp;$J1383+7),0))</f>
        <v/>
      </c>
      <c r="G1383">
        <f>IF($J1383="","",IFERROR(LOOKUP(2,1/(('Weekly Log'!$A$5:$A$5000&gt;=$J1383)*('Weekly Log'!$A$5:$A$5000&lt;$J1383+7)*('Weekly Log'!$M$5:$M$5000&lt;&gt;"")),'Weekly Log'!$M$5:$M$5000),0))</f>
        <v/>
      </c>
      <c r="J1383">
        <f>IF(COUNT('Weekly Log'!$A$5:$A$5000)=0,"",IF(MIN('Weekly Log'!$A$5:$A$5000)+7*(ROW()-10)&gt;MAX('Weekly Log'!$A$5:$A$5000),"",MIN('Weekly Log'!$A$5:$A$5000)+7*(ROW()-10)))</f>
        <v/>
      </c>
    </row>
    <row r="1384">
      <c r="A1384">
        <f>IF($J1384="","",YEAR($J1384-WEEKDAY($J1384,2)+4)&amp;"-W"&amp;TEXT(WEEKNUM($J1384,21),"00"))</f>
        <v/>
      </c>
      <c r="B1384">
        <f>IF($J1384="","",SUMIFS('Weekly Log'!$C:$C,'Weekly Log'!$A:$A,"&gt;="&amp;$J1384,'Weekly Log'!$A:$A,"&lt;"&amp;$J1384+7))</f>
        <v/>
      </c>
      <c r="C1384">
        <f>IF($J1384="","",IFERROR(COUNTIFS('Weekly Log'!$G:$G,"Y",'Weekly Log'!$A:$A,"&gt;="&amp;$J1384,'Weekly Log'!$A:$A,"&lt;"&amp;$J1384+7)/COUNTIFS('Weekly Log'!$G:$G,"&lt;&gt;",'Weekly Log'!$A:$A,"&gt;="&amp;$J1384,'Weekly Log'!$A:$A,"&lt;"&amp;$J1384+7),0))</f>
        <v/>
      </c>
      <c r="D1384">
        <f>IF($J1384="","",IFERROR(COUNTIFS('Weekly Log'!$H:$H,"Y",'Weekly Log'!$A:$A,"&gt;="&amp;$J1384,'Weekly Log'!$A:$A,"&lt;"&amp;$J1384+7)/COUNTIFS('Weekly Log'!$H:$H,"&lt;&gt;",'Weekly Log'!$A:$A,"&gt;="&amp;$J1384,'Weekly Log'!$A:$A,"&lt;"&amp;$J1384+7),0))</f>
        <v/>
      </c>
      <c r="E1384">
        <f>IF($J1384="","",IFERROR(AVERAGEIFS('Weekly Log'!$F:$F,'Weekly Log'!$A:$A,"&gt;="&amp;$J1384,'Weekly Log'!$A:$A,"&lt;"&amp;$J1384+7),0))</f>
        <v/>
      </c>
      <c r="F1384">
        <f>IF($J1384="","",IFERROR(SUMIFS('Weekly Log'!$F:$F,'Weekly Log'!$A:$A,"&gt;="&amp;$J1384,'Weekly Log'!$A:$A,"&lt;"&amp;$J1384+7)/SUMIFS('Weekly Log'!$E:$E,'Weekly Log'!$A:$A,"&gt;="&amp;$J1384,'Weekly Log'!$A:$A,"&lt;"&amp;$J1384+7),0))</f>
        <v/>
      </c>
      <c r="G1384">
        <f>IF($J1384="","",IFERROR(LOOKUP(2,1/(('Weekly Log'!$A$5:$A$5000&gt;=$J1384)*('Weekly Log'!$A$5:$A$5000&lt;$J1384+7)*('Weekly Log'!$M$5:$M$5000&lt;&gt;"")),'Weekly Log'!$M$5:$M$5000),0))</f>
        <v/>
      </c>
      <c r="J1384">
        <f>IF(COUNT('Weekly Log'!$A$5:$A$5000)=0,"",IF(MIN('Weekly Log'!$A$5:$A$5000)+7*(ROW()-10)&gt;MAX('Weekly Log'!$A$5:$A$5000),"",MIN('Weekly Log'!$A$5:$A$5000)+7*(ROW()-10)))</f>
        <v/>
      </c>
    </row>
    <row r="1385">
      <c r="A1385">
        <f>IF($J1385="","",YEAR($J1385-WEEKDAY($J1385,2)+4)&amp;"-W"&amp;TEXT(WEEKNUM($J1385,21),"00"))</f>
        <v/>
      </c>
      <c r="B1385">
        <f>IF($J1385="","",SUMIFS('Weekly Log'!$C:$C,'Weekly Log'!$A:$A,"&gt;="&amp;$J1385,'Weekly Log'!$A:$A,"&lt;"&amp;$J1385+7))</f>
        <v/>
      </c>
      <c r="C1385">
        <f>IF($J1385="","",IFERROR(COUNTIFS('Weekly Log'!$G:$G,"Y",'Weekly Log'!$A:$A,"&gt;="&amp;$J1385,'Weekly Log'!$A:$A,"&lt;"&amp;$J1385+7)/COUNTIFS('Weekly Log'!$G:$G,"&lt;&gt;",'Weekly Log'!$A:$A,"&gt;="&amp;$J1385,'Weekly Log'!$A:$A,"&lt;"&amp;$J1385+7),0))</f>
        <v/>
      </c>
      <c r="D1385">
        <f>IF($J1385="","",IFERROR(COUNTIFS('Weekly Log'!$H:$H,"Y",'Weekly Log'!$A:$A,"&gt;="&amp;$J1385,'Weekly Log'!$A:$A,"&lt;"&amp;$J1385+7)/COUNTIFS('Weekly Log'!$H:$H,"&lt;&gt;",'Weekly Log'!$A:$A,"&gt;="&amp;$J1385,'Weekly Log'!$A:$A,"&lt;"&amp;$J1385+7),0))</f>
        <v/>
      </c>
      <c r="E1385">
        <f>IF($J1385="","",IFERROR(AVERAGEIFS('Weekly Log'!$F:$F,'Weekly Log'!$A:$A,"&gt;="&amp;$J1385,'Weekly Log'!$A:$A,"&lt;"&amp;$J1385+7),0))</f>
        <v/>
      </c>
      <c r="F1385">
        <f>IF($J1385="","",IFERROR(SUMIFS('Weekly Log'!$F:$F,'Weekly Log'!$A:$A,"&gt;="&amp;$J1385,'Weekly Log'!$A:$A,"&lt;"&amp;$J1385+7)/SUMIFS('Weekly Log'!$E:$E,'Weekly Log'!$A:$A,"&gt;="&amp;$J1385,'Weekly Log'!$A:$A,"&lt;"&amp;$J1385+7),0))</f>
        <v/>
      </c>
      <c r="G1385">
        <f>IF($J1385="","",IFERROR(LOOKUP(2,1/(('Weekly Log'!$A$5:$A$5000&gt;=$J1385)*('Weekly Log'!$A$5:$A$5000&lt;$J1385+7)*('Weekly Log'!$M$5:$M$5000&lt;&gt;"")),'Weekly Log'!$M$5:$M$5000),0))</f>
        <v/>
      </c>
      <c r="J1385">
        <f>IF(COUNT('Weekly Log'!$A$5:$A$5000)=0,"",IF(MIN('Weekly Log'!$A$5:$A$5000)+7*(ROW()-10)&gt;MAX('Weekly Log'!$A$5:$A$5000),"",MIN('Weekly Log'!$A$5:$A$5000)+7*(ROW()-10)))</f>
        <v/>
      </c>
    </row>
    <row r="1386">
      <c r="A1386">
        <f>IF($J1386="","",YEAR($J1386-WEEKDAY($J1386,2)+4)&amp;"-W"&amp;TEXT(WEEKNUM($J1386,21),"00"))</f>
        <v/>
      </c>
      <c r="B1386">
        <f>IF($J1386="","",SUMIFS('Weekly Log'!$C:$C,'Weekly Log'!$A:$A,"&gt;="&amp;$J1386,'Weekly Log'!$A:$A,"&lt;"&amp;$J1386+7))</f>
        <v/>
      </c>
      <c r="C1386">
        <f>IF($J1386="","",IFERROR(COUNTIFS('Weekly Log'!$G:$G,"Y",'Weekly Log'!$A:$A,"&gt;="&amp;$J1386,'Weekly Log'!$A:$A,"&lt;"&amp;$J1386+7)/COUNTIFS('Weekly Log'!$G:$G,"&lt;&gt;",'Weekly Log'!$A:$A,"&gt;="&amp;$J1386,'Weekly Log'!$A:$A,"&lt;"&amp;$J1386+7),0))</f>
        <v/>
      </c>
      <c r="D1386">
        <f>IF($J1386="","",IFERROR(COUNTIFS('Weekly Log'!$H:$H,"Y",'Weekly Log'!$A:$A,"&gt;="&amp;$J1386,'Weekly Log'!$A:$A,"&lt;"&amp;$J1386+7)/COUNTIFS('Weekly Log'!$H:$H,"&lt;&gt;",'Weekly Log'!$A:$A,"&gt;="&amp;$J1386,'Weekly Log'!$A:$A,"&lt;"&amp;$J1386+7),0))</f>
        <v/>
      </c>
      <c r="E1386">
        <f>IF($J1386="","",IFERROR(AVERAGEIFS('Weekly Log'!$F:$F,'Weekly Log'!$A:$A,"&gt;="&amp;$J1386,'Weekly Log'!$A:$A,"&lt;"&amp;$J1386+7),0))</f>
        <v/>
      </c>
      <c r="F1386">
        <f>IF($J1386="","",IFERROR(SUMIFS('Weekly Log'!$F:$F,'Weekly Log'!$A:$A,"&gt;="&amp;$J1386,'Weekly Log'!$A:$A,"&lt;"&amp;$J1386+7)/SUMIFS('Weekly Log'!$E:$E,'Weekly Log'!$A:$A,"&gt;="&amp;$J1386,'Weekly Log'!$A:$A,"&lt;"&amp;$J1386+7),0))</f>
        <v/>
      </c>
      <c r="G1386">
        <f>IF($J1386="","",IFERROR(LOOKUP(2,1/(('Weekly Log'!$A$5:$A$5000&gt;=$J1386)*('Weekly Log'!$A$5:$A$5000&lt;$J1386+7)*('Weekly Log'!$M$5:$M$5000&lt;&gt;"")),'Weekly Log'!$M$5:$M$5000),0))</f>
        <v/>
      </c>
      <c r="J1386">
        <f>IF(COUNT('Weekly Log'!$A$5:$A$5000)=0,"",IF(MIN('Weekly Log'!$A$5:$A$5000)+7*(ROW()-10)&gt;MAX('Weekly Log'!$A$5:$A$5000),"",MIN('Weekly Log'!$A$5:$A$5000)+7*(ROW()-10)))</f>
        <v/>
      </c>
    </row>
    <row r="1387">
      <c r="A1387">
        <f>IF($J1387="","",YEAR($J1387-WEEKDAY($J1387,2)+4)&amp;"-W"&amp;TEXT(WEEKNUM($J1387,21),"00"))</f>
        <v/>
      </c>
      <c r="B1387">
        <f>IF($J1387="","",SUMIFS('Weekly Log'!$C:$C,'Weekly Log'!$A:$A,"&gt;="&amp;$J1387,'Weekly Log'!$A:$A,"&lt;"&amp;$J1387+7))</f>
        <v/>
      </c>
      <c r="C1387">
        <f>IF($J1387="","",IFERROR(COUNTIFS('Weekly Log'!$G:$G,"Y",'Weekly Log'!$A:$A,"&gt;="&amp;$J1387,'Weekly Log'!$A:$A,"&lt;"&amp;$J1387+7)/COUNTIFS('Weekly Log'!$G:$G,"&lt;&gt;",'Weekly Log'!$A:$A,"&gt;="&amp;$J1387,'Weekly Log'!$A:$A,"&lt;"&amp;$J1387+7),0))</f>
        <v/>
      </c>
      <c r="D1387">
        <f>IF($J1387="","",IFERROR(COUNTIFS('Weekly Log'!$H:$H,"Y",'Weekly Log'!$A:$A,"&gt;="&amp;$J1387,'Weekly Log'!$A:$A,"&lt;"&amp;$J1387+7)/COUNTIFS('Weekly Log'!$H:$H,"&lt;&gt;",'Weekly Log'!$A:$A,"&gt;="&amp;$J1387,'Weekly Log'!$A:$A,"&lt;"&amp;$J1387+7),0))</f>
        <v/>
      </c>
      <c r="E1387">
        <f>IF($J1387="","",IFERROR(AVERAGEIFS('Weekly Log'!$F:$F,'Weekly Log'!$A:$A,"&gt;="&amp;$J1387,'Weekly Log'!$A:$A,"&lt;"&amp;$J1387+7),0))</f>
        <v/>
      </c>
      <c r="F1387">
        <f>IF($J1387="","",IFERROR(SUMIFS('Weekly Log'!$F:$F,'Weekly Log'!$A:$A,"&gt;="&amp;$J1387,'Weekly Log'!$A:$A,"&lt;"&amp;$J1387+7)/SUMIFS('Weekly Log'!$E:$E,'Weekly Log'!$A:$A,"&gt;="&amp;$J1387,'Weekly Log'!$A:$A,"&lt;"&amp;$J1387+7),0))</f>
        <v/>
      </c>
      <c r="G1387">
        <f>IF($J1387="","",IFERROR(LOOKUP(2,1/(('Weekly Log'!$A$5:$A$5000&gt;=$J1387)*('Weekly Log'!$A$5:$A$5000&lt;$J1387+7)*('Weekly Log'!$M$5:$M$5000&lt;&gt;"")),'Weekly Log'!$M$5:$M$5000),0))</f>
        <v/>
      </c>
      <c r="J1387">
        <f>IF(COUNT('Weekly Log'!$A$5:$A$5000)=0,"",IF(MIN('Weekly Log'!$A$5:$A$5000)+7*(ROW()-10)&gt;MAX('Weekly Log'!$A$5:$A$5000),"",MIN('Weekly Log'!$A$5:$A$5000)+7*(ROW()-10)))</f>
        <v/>
      </c>
    </row>
    <row r="1388">
      <c r="A1388">
        <f>IF($J1388="","",YEAR($J1388-WEEKDAY($J1388,2)+4)&amp;"-W"&amp;TEXT(WEEKNUM($J1388,21),"00"))</f>
        <v/>
      </c>
      <c r="B1388">
        <f>IF($J1388="","",SUMIFS('Weekly Log'!$C:$C,'Weekly Log'!$A:$A,"&gt;="&amp;$J1388,'Weekly Log'!$A:$A,"&lt;"&amp;$J1388+7))</f>
        <v/>
      </c>
      <c r="C1388">
        <f>IF($J1388="","",IFERROR(COUNTIFS('Weekly Log'!$G:$G,"Y",'Weekly Log'!$A:$A,"&gt;="&amp;$J1388,'Weekly Log'!$A:$A,"&lt;"&amp;$J1388+7)/COUNTIFS('Weekly Log'!$G:$G,"&lt;&gt;",'Weekly Log'!$A:$A,"&gt;="&amp;$J1388,'Weekly Log'!$A:$A,"&lt;"&amp;$J1388+7),0))</f>
        <v/>
      </c>
      <c r="D1388">
        <f>IF($J1388="","",IFERROR(COUNTIFS('Weekly Log'!$H:$H,"Y",'Weekly Log'!$A:$A,"&gt;="&amp;$J1388,'Weekly Log'!$A:$A,"&lt;"&amp;$J1388+7)/COUNTIFS('Weekly Log'!$H:$H,"&lt;&gt;",'Weekly Log'!$A:$A,"&gt;="&amp;$J1388,'Weekly Log'!$A:$A,"&lt;"&amp;$J1388+7),0))</f>
        <v/>
      </c>
      <c r="E1388">
        <f>IF($J1388="","",IFERROR(AVERAGEIFS('Weekly Log'!$F:$F,'Weekly Log'!$A:$A,"&gt;="&amp;$J1388,'Weekly Log'!$A:$A,"&lt;"&amp;$J1388+7),0))</f>
        <v/>
      </c>
      <c r="F1388">
        <f>IF($J1388="","",IFERROR(SUMIFS('Weekly Log'!$F:$F,'Weekly Log'!$A:$A,"&gt;="&amp;$J1388,'Weekly Log'!$A:$A,"&lt;"&amp;$J1388+7)/SUMIFS('Weekly Log'!$E:$E,'Weekly Log'!$A:$A,"&gt;="&amp;$J1388,'Weekly Log'!$A:$A,"&lt;"&amp;$J1388+7),0))</f>
        <v/>
      </c>
      <c r="G1388">
        <f>IF($J1388="","",IFERROR(LOOKUP(2,1/(('Weekly Log'!$A$5:$A$5000&gt;=$J1388)*('Weekly Log'!$A$5:$A$5000&lt;$J1388+7)*('Weekly Log'!$M$5:$M$5000&lt;&gt;"")),'Weekly Log'!$M$5:$M$5000),0))</f>
        <v/>
      </c>
      <c r="J1388">
        <f>IF(COUNT('Weekly Log'!$A$5:$A$5000)=0,"",IF(MIN('Weekly Log'!$A$5:$A$5000)+7*(ROW()-10)&gt;MAX('Weekly Log'!$A$5:$A$5000),"",MIN('Weekly Log'!$A$5:$A$5000)+7*(ROW()-10)))</f>
        <v/>
      </c>
    </row>
    <row r="1389">
      <c r="A1389">
        <f>IF($J1389="","",YEAR($J1389-WEEKDAY($J1389,2)+4)&amp;"-W"&amp;TEXT(WEEKNUM($J1389,21),"00"))</f>
        <v/>
      </c>
      <c r="B1389">
        <f>IF($J1389="","",SUMIFS('Weekly Log'!$C:$C,'Weekly Log'!$A:$A,"&gt;="&amp;$J1389,'Weekly Log'!$A:$A,"&lt;"&amp;$J1389+7))</f>
        <v/>
      </c>
      <c r="C1389">
        <f>IF($J1389="","",IFERROR(COUNTIFS('Weekly Log'!$G:$G,"Y",'Weekly Log'!$A:$A,"&gt;="&amp;$J1389,'Weekly Log'!$A:$A,"&lt;"&amp;$J1389+7)/COUNTIFS('Weekly Log'!$G:$G,"&lt;&gt;",'Weekly Log'!$A:$A,"&gt;="&amp;$J1389,'Weekly Log'!$A:$A,"&lt;"&amp;$J1389+7),0))</f>
        <v/>
      </c>
      <c r="D1389">
        <f>IF($J1389="","",IFERROR(COUNTIFS('Weekly Log'!$H:$H,"Y",'Weekly Log'!$A:$A,"&gt;="&amp;$J1389,'Weekly Log'!$A:$A,"&lt;"&amp;$J1389+7)/COUNTIFS('Weekly Log'!$H:$H,"&lt;&gt;",'Weekly Log'!$A:$A,"&gt;="&amp;$J1389,'Weekly Log'!$A:$A,"&lt;"&amp;$J1389+7),0))</f>
        <v/>
      </c>
      <c r="E1389">
        <f>IF($J1389="","",IFERROR(AVERAGEIFS('Weekly Log'!$F:$F,'Weekly Log'!$A:$A,"&gt;="&amp;$J1389,'Weekly Log'!$A:$A,"&lt;"&amp;$J1389+7),0))</f>
        <v/>
      </c>
      <c r="F1389">
        <f>IF($J1389="","",IFERROR(SUMIFS('Weekly Log'!$F:$F,'Weekly Log'!$A:$A,"&gt;="&amp;$J1389,'Weekly Log'!$A:$A,"&lt;"&amp;$J1389+7)/SUMIFS('Weekly Log'!$E:$E,'Weekly Log'!$A:$A,"&gt;="&amp;$J1389,'Weekly Log'!$A:$A,"&lt;"&amp;$J1389+7),0))</f>
        <v/>
      </c>
      <c r="G1389">
        <f>IF($J1389="","",IFERROR(LOOKUP(2,1/(('Weekly Log'!$A$5:$A$5000&gt;=$J1389)*('Weekly Log'!$A$5:$A$5000&lt;$J1389+7)*('Weekly Log'!$M$5:$M$5000&lt;&gt;"")),'Weekly Log'!$M$5:$M$5000),0))</f>
        <v/>
      </c>
      <c r="J1389">
        <f>IF(COUNT('Weekly Log'!$A$5:$A$5000)=0,"",IF(MIN('Weekly Log'!$A$5:$A$5000)+7*(ROW()-10)&gt;MAX('Weekly Log'!$A$5:$A$5000),"",MIN('Weekly Log'!$A$5:$A$5000)+7*(ROW()-10)))</f>
        <v/>
      </c>
    </row>
    <row r="1390">
      <c r="A1390">
        <f>IF($J1390="","",YEAR($J1390-WEEKDAY($J1390,2)+4)&amp;"-W"&amp;TEXT(WEEKNUM($J1390,21),"00"))</f>
        <v/>
      </c>
      <c r="B1390">
        <f>IF($J1390="","",SUMIFS('Weekly Log'!$C:$C,'Weekly Log'!$A:$A,"&gt;="&amp;$J1390,'Weekly Log'!$A:$A,"&lt;"&amp;$J1390+7))</f>
        <v/>
      </c>
      <c r="C1390">
        <f>IF($J1390="","",IFERROR(COUNTIFS('Weekly Log'!$G:$G,"Y",'Weekly Log'!$A:$A,"&gt;="&amp;$J1390,'Weekly Log'!$A:$A,"&lt;"&amp;$J1390+7)/COUNTIFS('Weekly Log'!$G:$G,"&lt;&gt;",'Weekly Log'!$A:$A,"&gt;="&amp;$J1390,'Weekly Log'!$A:$A,"&lt;"&amp;$J1390+7),0))</f>
        <v/>
      </c>
      <c r="D1390">
        <f>IF($J1390="","",IFERROR(COUNTIFS('Weekly Log'!$H:$H,"Y",'Weekly Log'!$A:$A,"&gt;="&amp;$J1390,'Weekly Log'!$A:$A,"&lt;"&amp;$J1390+7)/COUNTIFS('Weekly Log'!$H:$H,"&lt;&gt;",'Weekly Log'!$A:$A,"&gt;="&amp;$J1390,'Weekly Log'!$A:$A,"&lt;"&amp;$J1390+7),0))</f>
        <v/>
      </c>
      <c r="E1390">
        <f>IF($J1390="","",IFERROR(AVERAGEIFS('Weekly Log'!$F:$F,'Weekly Log'!$A:$A,"&gt;="&amp;$J1390,'Weekly Log'!$A:$A,"&lt;"&amp;$J1390+7),0))</f>
        <v/>
      </c>
      <c r="F1390">
        <f>IF($J1390="","",IFERROR(SUMIFS('Weekly Log'!$F:$F,'Weekly Log'!$A:$A,"&gt;="&amp;$J1390,'Weekly Log'!$A:$A,"&lt;"&amp;$J1390+7)/SUMIFS('Weekly Log'!$E:$E,'Weekly Log'!$A:$A,"&gt;="&amp;$J1390,'Weekly Log'!$A:$A,"&lt;"&amp;$J1390+7),0))</f>
        <v/>
      </c>
      <c r="G1390">
        <f>IF($J1390="","",IFERROR(LOOKUP(2,1/(('Weekly Log'!$A$5:$A$5000&gt;=$J1390)*('Weekly Log'!$A$5:$A$5000&lt;$J1390+7)*('Weekly Log'!$M$5:$M$5000&lt;&gt;"")),'Weekly Log'!$M$5:$M$5000),0))</f>
        <v/>
      </c>
      <c r="J1390">
        <f>IF(COUNT('Weekly Log'!$A$5:$A$5000)=0,"",IF(MIN('Weekly Log'!$A$5:$A$5000)+7*(ROW()-10)&gt;MAX('Weekly Log'!$A$5:$A$5000),"",MIN('Weekly Log'!$A$5:$A$5000)+7*(ROW()-10)))</f>
        <v/>
      </c>
    </row>
    <row r="1391">
      <c r="A1391">
        <f>IF($J1391="","",YEAR($J1391-WEEKDAY($J1391,2)+4)&amp;"-W"&amp;TEXT(WEEKNUM($J1391,21),"00"))</f>
        <v/>
      </c>
      <c r="B1391">
        <f>IF($J1391="","",SUMIFS('Weekly Log'!$C:$C,'Weekly Log'!$A:$A,"&gt;="&amp;$J1391,'Weekly Log'!$A:$A,"&lt;"&amp;$J1391+7))</f>
        <v/>
      </c>
      <c r="C1391">
        <f>IF($J1391="","",IFERROR(COUNTIFS('Weekly Log'!$G:$G,"Y",'Weekly Log'!$A:$A,"&gt;="&amp;$J1391,'Weekly Log'!$A:$A,"&lt;"&amp;$J1391+7)/COUNTIFS('Weekly Log'!$G:$G,"&lt;&gt;",'Weekly Log'!$A:$A,"&gt;="&amp;$J1391,'Weekly Log'!$A:$A,"&lt;"&amp;$J1391+7),0))</f>
        <v/>
      </c>
      <c r="D1391">
        <f>IF($J1391="","",IFERROR(COUNTIFS('Weekly Log'!$H:$H,"Y",'Weekly Log'!$A:$A,"&gt;="&amp;$J1391,'Weekly Log'!$A:$A,"&lt;"&amp;$J1391+7)/COUNTIFS('Weekly Log'!$H:$H,"&lt;&gt;",'Weekly Log'!$A:$A,"&gt;="&amp;$J1391,'Weekly Log'!$A:$A,"&lt;"&amp;$J1391+7),0))</f>
        <v/>
      </c>
      <c r="E1391">
        <f>IF($J1391="","",IFERROR(AVERAGEIFS('Weekly Log'!$F:$F,'Weekly Log'!$A:$A,"&gt;="&amp;$J1391,'Weekly Log'!$A:$A,"&lt;"&amp;$J1391+7),0))</f>
        <v/>
      </c>
      <c r="F1391">
        <f>IF($J1391="","",IFERROR(SUMIFS('Weekly Log'!$F:$F,'Weekly Log'!$A:$A,"&gt;="&amp;$J1391,'Weekly Log'!$A:$A,"&lt;"&amp;$J1391+7)/SUMIFS('Weekly Log'!$E:$E,'Weekly Log'!$A:$A,"&gt;="&amp;$J1391,'Weekly Log'!$A:$A,"&lt;"&amp;$J1391+7),0))</f>
        <v/>
      </c>
      <c r="G1391">
        <f>IF($J1391="","",IFERROR(LOOKUP(2,1/(('Weekly Log'!$A$5:$A$5000&gt;=$J1391)*('Weekly Log'!$A$5:$A$5000&lt;$J1391+7)*('Weekly Log'!$M$5:$M$5000&lt;&gt;"")),'Weekly Log'!$M$5:$M$5000),0))</f>
        <v/>
      </c>
      <c r="J1391">
        <f>IF(COUNT('Weekly Log'!$A$5:$A$5000)=0,"",IF(MIN('Weekly Log'!$A$5:$A$5000)+7*(ROW()-10)&gt;MAX('Weekly Log'!$A$5:$A$5000),"",MIN('Weekly Log'!$A$5:$A$5000)+7*(ROW()-10)))</f>
        <v/>
      </c>
    </row>
    <row r="1392">
      <c r="A1392">
        <f>IF($J1392="","",YEAR($J1392-WEEKDAY($J1392,2)+4)&amp;"-W"&amp;TEXT(WEEKNUM($J1392,21),"00"))</f>
        <v/>
      </c>
      <c r="B1392">
        <f>IF($J1392="","",SUMIFS('Weekly Log'!$C:$C,'Weekly Log'!$A:$A,"&gt;="&amp;$J1392,'Weekly Log'!$A:$A,"&lt;"&amp;$J1392+7))</f>
        <v/>
      </c>
      <c r="C1392">
        <f>IF($J1392="","",IFERROR(COUNTIFS('Weekly Log'!$G:$G,"Y",'Weekly Log'!$A:$A,"&gt;="&amp;$J1392,'Weekly Log'!$A:$A,"&lt;"&amp;$J1392+7)/COUNTIFS('Weekly Log'!$G:$G,"&lt;&gt;",'Weekly Log'!$A:$A,"&gt;="&amp;$J1392,'Weekly Log'!$A:$A,"&lt;"&amp;$J1392+7),0))</f>
        <v/>
      </c>
      <c r="D1392">
        <f>IF($J1392="","",IFERROR(COUNTIFS('Weekly Log'!$H:$H,"Y",'Weekly Log'!$A:$A,"&gt;="&amp;$J1392,'Weekly Log'!$A:$A,"&lt;"&amp;$J1392+7)/COUNTIFS('Weekly Log'!$H:$H,"&lt;&gt;",'Weekly Log'!$A:$A,"&gt;="&amp;$J1392,'Weekly Log'!$A:$A,"&lt;"&amp;$J1392+7),0))</f>
        <v/>
      </c>
      <c r="E1392">
        <f>IF($J1392="","",IFERROR(AVERAGEIFS('Weekly Log'!$F:$F,'Weekly Log'!$A:$A,"&gt;="&amp;$J1392,'Weekly Log'!$A:$A,"&lt;"&amp;$J1392+7),0))</f>
        <v/>
      </c>
      <c r="F1392">
        <f>IF($J1392="","",IFERROR(SUMIFS('Weekly Log'!$F:$F,'Weekly Log'!$A:$A,"&gt;="&amp;$J1392,'Weekly Log'!$A:$A,"&lt;"&amp;$J1392+7)/SUMIFS('Weekly Log'!$E:$E,'Weekly Log'!$A:$A,"&gt;="&amp;$J1392,'Weekly Log'!$A:$A,"&lt;"&amp;$J1392+7),0))</f>
        <v/>
      </c>
      <c r="G1392">
        <f>IF($J1392="","",IFERROR(LOOKUP(2,1/(('Weekly Log'!$A$5:$A$5000&gt;=$J1392)*('Weekly Log'!$A$5:$A$5000&lt;$J1392+7)*('Weekly Log'!$M$5:$M$5000&lt;&gt;"")),'Weekly Log'!$M$5:$M$5000),0))</f>
        <v/>
      </c>
      <c r="J1392">
        <f>IF(COUNT('Weekly Log'!$A$5:$A$5000)=0,"",IF(MIN('Weekly Log'!$A$5:$A$5000)+7*(ROW()-10)&gt;MAX('Weekly Log'!$A$5:$A$5000),"",MIN('Weekly Log'!$A$5:$A$5000)+7*(ROW()-10)))</f>
        <v/>
      </c>
    </row>
    <row r="1393">
      <c r="A1393">
        <f>IF($J1393="","",YEAR($J1393-WEEKDAY($J1393,2)+4)&amp;"-W"&amp;TEXT(WEEKNUM($J1393,21),"00"))</f>
        <v/>
      </c>
      <c r="B1393">
        <f>IF($J1393="","",SUMIFS('Weekly Log'!$C:$C,'Weekly Log'!$A:$A,"&gt;="&amp;$J1393,'Weekly Log'!$A:$A,"&lt;"&amp;$J1393+7))</f>
        <v/>
      </c>
      <c r="C1393">
        <f>IF($J1393="","",IFERROR(COUNTIFS('Weekly Log'!$G:$G,"Y",'Weekly Log'!$A:$A,"&gt;="&amp;$J1393,'Weekly Log'!$A:$A,"&lt;"&amp;$J1393+7)/COUNTIFS('Weekly Log'!$G:$G,"&lt;&gt;",'Weekly Log'!$A:$A,"&gt;="&amp;$J1393,'Weekly Log'!$A:$A,"&lt;"&amp;$J1393+7),0))</f>
        <v/>
      </c>
      <c r="D1393">
        <f>IF($J1393="","",IFERROR(COUNTIFS('Weekly Log'!$H:$H,"Y",'Weekly Log'!$A:$A,"&gt;="&amp;$J1393,'Weekly Log'!$A:$A,"&lt;"&amp;$J1393+7)/COUNTIFS('Weekly Log'!$H:$H,"&lt;&gt;",'Weekly Log'!$A:$A,"&gt;="&amp;$J1393,'Weekly Log'!$A:$A,"&lt;"&amp;$J1393+7),0))</f>
        <v/>
      </c>
      <c r="E1393">
        <f>IF($J1393="","",IFERROR(AVERAGEIFS('Weekly Log'!$F:$F,'Weekly Log'!$A:$A,"&gt;="&amp;$J1393,'Weekly Log'!$A:$A,"&lt;"&amp;$J1393+7),0))</f>
        <v/>
      </c>
      <c r="F1393">
        <f>IF($J1393="","",IFERROR(SUMIFS('Weekly Log'!$F:$F,'Weekly Log'!$A:$A,"&gt;="&amp;$J1393,'Weekly Log'!$A:$A,"&lt;"&amp;$J1393+7)/SUMIFS('Weekly Log'!$E:$E,'Weekly Log'!$A:$A,"&gt;="&amp;$J1393,'Weekly Log'!$A:$A,"&lt;"&amp;$J1393+7),0))</f>
        <v/>
      </c>
      <c r="G1393">
        <f>IF($J1393="","",IFERROR(LOOKUP(2,1/(('Weekly Log'!$A$5:$A$5000&gt;=$J1393)*('Weekly Log'!$A$5:$A$5000&lt;$J1393+7)*('Weekly Log'!$M$5:$M$5000&lt;&gt;"")),'Weekly Log'!$M$5:$M$5000),0))</f>
        <v/>
      </c>
      <c r="J1393">
        <f>IF(COUNT('Weekly Log'!$A$5:$A$5000)=0,"",IF(MIN('Weekly Log'!$A$5:$A$5000)+7*(ROW()-10)&gt;MAX('Weekly Log'!$A$5:$A$5000),"",MIN('Weekly Log'!$A$5:$A$5000)+7*(ROW()-10)))</f>
        <v/>
      </c>
    </row>
    <row r="1394">
      <c r="A1394">
        <f>IF($J1394="","",YEAR($J1394-WEEKDAY($J1394,2)+4)&amp;"-W"&amp;TEXT(WEEKNUM($J1394,21),"00"))</f>
        <v/>
      </c>
      <c r="B1394">
        <f>IF($J1394="","",SUMIFS('Weekly Log'!$C:$C,'Weekly Log'!$A:$A,"&gt;="&amp;$J1394,'Weekly Log'!$A:$A,"&lt;"&amp;$J1394+7))</f>
        <v/>
      </c>
      <c r="C1394">
        <f>IF($J1394="","",IFERROR(COUNTIFS('Weekly Log'!$G:$G,"Y",'Weekly Log'!$A:$A,"&gt;="&amp;$J1394,'Weekly Log'!$A:$A,"&lt;"&amp;$J1394+7)/COUNTIFS('Weekly Log'!$G:$G,"&lt;&gt;",'Weekly Log'!$A:$A,"&gt;="&amp;$J1394,'Weekly Log'!$A:$A,"&lt;"&amp;$J1394+7),0))</f>
        <v/>
      </c>
      <c r="D1394">
        <f>IF($J1394="","",IFERROR(COUNTIFS('Weekly Log'!$H:$H,"Y",'Weekly Log'!$A:$A,"&gt;="&amp;$J1394,'Weekly Log'!$A:$A,"&lt;"&amp;$J1394+7)/COUNTIFS('Weekly Log'!$H:$H,"&lt;&gt;",'Weekly Log'!$A:$A,"&gt;="&amp;$J1394,'Weekly Log'!$A:$A,"&lt;"&amp;$J1394+7),0))</f>
        <v/>
      </c>
      <c r="E1394">
        <f>IF($J1394="","",IFERROR(AVERAGEIFS('Weekly Log'!$F:$F,'Weekly Log'!$A:$A,"&gt;="&amp;$J1394,'Weekly Log'!$A:$A,"&lt;"&amp;$J1394+7),0))</f>
        <v/>
      </c>
      <c r="F1394">
        <f>IF($J1394="","",IFERROR(SUMIFS('Weekly Log'!$F:$F,'Weekly Log'!$A:$A,"&gt;="&amp;$J1394,'Weekly Log'!$A:$A,"&lt;"&amp;$J1394+7)/SUMIFS('Weekly Log'!$E:$E,'Weekly Log'!$A:$A,"&gt;="&amp;$J1394,'Weekly Log'!$A:$A,"&lt;"&amp;$J1394+7),0))</f>
        <v/>
      </c>
      <c r="G1394">
        <f>IF($J1394="","",IFERROR(LOOKUP(2,1/(('Weekly Log'!$A$5:$A$5000&gt;=$J1394)*('Weekly Log'!$A$5:$A$5000&lt;$J1394+7)*('Weekly Log'!$M$5:$M$5000&lt;&gt;"")),'Weekly Log'!$M$5:$M$5000),0))</f>
        <v/>
      </c>
      <c r="J1394">
        <f>IF(COUNT('Weekly Log'!$A$5:$A$5000)=0,"",IF(MIN('Weekly Log'!$A$5:$A$5000)+7*(ROW()-10)&gt;MAX('Weekly Log'!$A$5:$A$5000),"",MIN('Weekly Log'!$A$5:$A$5000)+7*(ROW()-10)))</f>
        <v/>
      </c>
    </row>
    <row r="1395">
      <c r="A1395">
        <f>IF($J1395="","",YEAR($J1395-WEEKDAY($J1395,2)+4)&amp;"-W"&amp;TEXT(WEEKNUM($J1395,21),"00"))</f>
        <v/>
      </c>
      <c r="B1395">
        <f>IF($J1395="","",SUMIFS('Weekly Log'!$C:$C,'Weekly Log'!$A:$A,"&gt;="&amp;$J1395,'Weekly Log'!$A:$A,"&lt;"&amp;$J1395+7))</f>
        <v/>
      </c>
      <c r="C1395">
        <f>IF($J1395="","",IFERROR(COUNTIFS('Weekly Log'!$G:$G,"Y",'Weekly Log'!$A:$A,"&gt;="&amp;$J1395,'Weekly Log'!$A:$A,"&lt;"&amp;$J1395+7)/COUNTIFS('Weekly Log'!$G:$G,"&lt;&gt;",'Weekly Log'!$A:$A,"&gt;="&amp;$J1395,'Weekly Log'!$A:$A,"&lt;"&amp;$J1395+7),0))</f>
        <v/>
      </c>
      <c r="D1395">
        <f>IF($J1395="","",IFERROR(COUNTIFS('Weekly Log'!$H:$H,"Y",'Weekly Log'!$A:$A,"&gt;="&amp;$J1395,'Weekly Log'!$A:$A,"&lt;"&amp;$J1395+7)/COUNTIFS('Weekly Log'!$H:$H,"&lt;&gt;",'Weekly Log'!$A:$A,"&gt;="&amp;$J1395,'Weekly Log'!$A:$A,"&lt;"&amp;$J1395+7),0))</f>
        <v/>
      </c>
      <c r="E1395">
        <f>IF($J1395="","",IFERROR(AVERAGEIFS('Weekly Log'!$F:$F,'Weekly Log'!$A:$A,"&gt;="&amp;$J1395,'Weekly Log'!$A:$A,"&lt;"&amp;$J1395+7),0))</f>
        <v/>
      </c>
      <c r="F1395">
        <f>IF($J1395="","",IFERROR(SUMIFS('Weekly Log'!$F:$F,'Weekly Log'!$A:$A,"&gt;="&amp;$J1395,'Weekly Log'!$A:$A,"&lt;"&amp;$J1395+7)/SUMIFS('Weekly Log'!$E:$E,'Weekly Log'!$A:$A,"&gt;="&amp;$J1395,'Weekly Log'!$A:$A,"&lt;"&amp;$J1395+7),0))</f>
        <v/>
      </c>
      <c r="G1395">
        <f>IF($J1395="","",IFERROR(LOOKUP(2,1/(('Weekly Log'!$A$5:$A$5000&gt;=$J1395)*('Weekly Log'!$A$5:$A$5000&lt;$J1395+7)*('Weekly Log'!$M$5:$M$5000&lt;&gt;"")),'Weekly Log'!$M$5:$M$5000),0))</f>
        <v/>
      </c>
      <c r="J1395">
        <f>IF(COUNT('Weekly Log'!$A$5:$A$5000)=0,"",IF(MIN('Weekly Log'!$A$5:$A$5000)+7*(ROW()-10)&gt;MAX('Weekly Log'!$A$5:$A$5000),"",MIN('Weekly Log'!$A$5:$A$5000)+7*(ROW()-10)))</f>
        <v/>
      </c>
    </row>
    <row r="1396">
      <c r="A1396">
        <f>IF($J1396="","",YEAR($J1396-WEEKDAY($J1396,2)+4)&amp;"-W"&amp;TEXT(WEEKNUM($J1396,21),"00"))</f>
        <v/>
      </c>
      <c r="B1396">
        <f>IF($J1396="","",SUMIFS('Weekly Log'!$C:$C,'Weekly Log'!$A:$A,"&gt;="&amp;$J1396,'Weekly Log'!$A:$A,"&lt;"&amp;$J1396+7))</f>
        <v/>
      </c>
      <c r="C1396">
        <f>IF($J1396="","",IFERROR(COUNTIFS('Weekly Log'!$G:$G,"Y",'Weekly Log'!$A:$A,"&gt;="&amp;$J1396,'Weekly Log'!$A:$A,"&lt;"&amp;$J1396+7)/COUNTIFS('Weekly Log'!$G:$G,"&lt;&gt;",'Weekly Log'!$A:$A,"&gt;="&amp;$J1396,'Weekly Log'!$A:$A,"&lt;"&amp;$J1396+7),0))</f>
        <v/>
      </c>
      <c r="D1396">
        <f>IF($J1396="","",IFERROR(COUNTIFS('Weekly Log'!$H:$H,"Y",'Weekly Log'!$A:$A,"&gt;="&amp;$J1396,'Weekly Log'!$A:$A,"&lt;"&amp;$J1396+7)/COUNTIFS('Weekly Log'!$H:$H,"&lt;&gt;",'Weekly Log'!$A:$A,"&gt;="&amp;$J1396,'Weekly Log'!$A:$A,"&lt;"&amp;$J1396+7),0))</f>
        <v/>
      </c>
      <c r="E1396">
        <f>IF($J1396="","",IFERROR(AVERAGEIFS('Weekly Log'!$F:$F,'Weekly Log'!$A:$A,"&gt;="&amp;$J1396,'Weekly Log'!$A:$A,"&lt;"&amp;$J1396+7),0))</f>
        <v/>
      </c>
      <c r="F1396">
        <f>IF($J1396="","",IFERROR(SUMIFS('Weekly Log'!$F:$F,'Weekly Log'!$A:$A,"&gt;="&amp;$J1396,'Weekly Log'!$A:$A,"&lt;"&amp;$J1396+7)/SUMIFS('Weekly Log'!$E:$E,'Weekly Log'!$A:$A,"&gt;="&amp;$J1396,'Weekly Log'!$A:$A,"&lt;"&amp;$J1396+7),0))</f>
        <v/>
      </c>
      <c r="G1396">
        <f>IF($J1396="","",IFERROR(LOOKUP(2,1/(('Weekly Log'!$A$5:$A$5000&gt;=$J1396)*('Weekly Log'!$A$5:$A$5000&lt;$J1396+7)*('Weekly Log'!$M$5:$M$5000&lt;&gt;"")),'Weekly Log'!$M$5:$M$5000),0))</f>
        <v/>
      </c>
      <c r="J1396">
        <f>IF(COUNT('Weekly Log'!$A$5:$A$5000)=0,"",IF(MIN('Weekly Log'!$A$5:$A$5000)+7*(ROW()-10)&gt;MAX('Weekly Log'!$A$5:$A$5000),"",MIN('Weekly Log'!$A$5:$A$5000)+7*(ROW()-10)))</f>
        <v/>
      </c>
    </row>
    <row r="1397">
      <c r="A1397">
        <f>IF($J1397="","",YEAR($J1397-WEEKDAY($J1397,2)+4)&amp;"-W"&amp;TEXT(WEEKNUM($J1397,21),"00"))</f>
        <v/>
      </c>
      <c r="B1397">
        <f>IF($J1397="","",SUMIFS('Weekly Log'!$C:$C,'Weekly Log'!$A:$A,"&gt;="&amp;$J1397,'Weekly Log'!$A:$A,"&lt;"&amp;$J1397+7))</f>
        <v/>
      </c>
      <c r="C1397">
        <f>IF($J1397="","",IFERROR(COUNTIFS('Weekly Log'!$G:$G,"Y",'Weekly Log'!$A:$A,"&gt;="&amp;$J1397,'Weekly Log'!$A:$A,"&lt;"&amp;$J1397+7)/COUNTIFS('Weekly Log'!$G:$G,"&lt;&gt;",'Weekly Log'!$A:$A,"&gt;="&amp;$J1397,'Weekly Log'!$A:$A,"&lt;"&amp;$J1397+7),0))</f>
        <v/>
      </c>
      <c r="D1397">
        <f>IF($J1397="","",IFERROR(COUNTIFS('Weekly Log'!$H:$H,"Y",'Weekly Log'!$A:$A,"&gt;="&amp;$J1397,'Weekly Log'!$A:$A,"&lt;"&amp;$J1397+7)/COUNTIFS('Weekly Log'!$H:$H,"&lt;&gt;",'Weekly Log'!$A:$A,"&gt;="&amp;$J1397,'Weekly Log'!$A:$A,"&lt;"&amp;$J1397+7),0))</f>
        <v/>
      </c>
      <c r="E1397">
        <f>IF($J1397="","",IFERROR(AVERAGEIFS('Weekly Log'!$F:$F,'Weekly Log'!$A:$A,"&gt;="&amp;$J1397,'Weekly Log'!$A:$A,"&lt;"&amp;$J1397+7),0))</f>
        <v/>
      </c>
      <c r="F1397">
        <f>IF($J1397="","",IFERROR(SUMIFS('Weekly Log'!$F:$F,'Weekly Log'!$A:$A,"&gt;="&amp;$J1397,'Weekly Log'!$A:$A,"&lt;"&amp;$J1397+7)/SUMIFS('Weekly Log'!$E:$E,'Weekly Log'!$A:$A,"&gt;="&amp;$J1397,'Weekly Log'!$A:$A,"&lt;"&amp;$J1397+7),0))</f>
        <v/>
      </c>
      <c r="G1397">
        <f>IF($J1397="","",IFERROR(LOOKUP(2,1/(('Weekly Log'!$A$5:$A$5000&gt;=$J1397)*('Weekly Log'!$A$5:$A$5000&lt;$J1397+7)*('Weekly Log'!$M$5:$M$5000&lt;&gt;"")),'Weekly Log'!$M$5:$M$5000),0))</f>
        <v/>
      </c>
      <c r="J1397">
        <f>IF(COUNT('Weekly Log'!$A$5:$A$5000)=0,"",IF(MIN('Weekly Log'!$A$5:$A$5000)+7*(ROW()-10)&gt;MAX('Weekly Log'!$A$5:$A$5000),"",MIN('Weekly Log'!$A$5:$A$5000)+7*(ROW()-10)))</f>
        <v/>
      </c>
    </row>
    <row r="1398">
      <c r="A1398">
        <f>IF($J1398="","",YEAR($J1398-WEEKDAY($J1398,2)+4)&amp;"-W"&amp;TEXT(WEEKNUM($J1398,21),"00"))</f>
        <v/>
      </c>
      <c r="B1398">
        <f>IF($J1398="","",SUMIFS('Weekly Log'!$C:$C,'Weekly Log'!$A:$A,"&gt;="&amp;$J1398,'Weekly Log'!$A:$A,"&lt;"&amp;$J1398+7))</f>
        <v/>
      </c>
      <c r="C1398">
        <f>IF($J1398="","",IFERROR(COUNTIFS('Weekly Log'!$G:$G,"Y",'Weekly Log'!$A:$A,"&gt;="&amp;$J1398,'Weekly Log'!$A:$A,"&lt;"&amp;$J1398+7)/COUNTIFS('Weekly Log'!$G:$G,"&lt;&gt;",'Weekly Log'!$A:$A,"&gt;="&amp;$J1398,'Weekly Log'!$A:$A,"&lt;"&amp;$J1398+7),0))</f>
        <v/>
      </c>
      <c r="D1398">
        <f>IF($J1398="","",IFERROR(COUNTIFS('Weekly Log'!$H:$H,"Y",'Weekly Log'!$A:$A,"&gt;="&amp;$J1398,'Weekly Log'!$A:$A,"&lt;"&amp;$J1398+7)/COUNTIFS('Weekly Log'!$H:$H,"&lt;&gt;",'Weekly Log'!$A:$A,"&gt;="&amp;$J1398,'Weekly Log'!$A:$A,"&lt;"&amp;$J1398+7),0))</f>
        <v/>
      </c>
      <c r="E1398">
        <f>IF($J1398="","",IFERROR(AVERAGEIFS('Weekly Log'!$F:$F,'Weekly Log'!$A:$A,"&gt;="&amp;$J1398,'Weekly Log'!$A:$A,"&lt;"&amp;$J1398+7),0))</f>
        <v/>
      </c>
      <c r="F1398">
        <f>IF($J1398="","",IFERROR(SUMIFS('Weekly Log'!$F:$F,'Weekly Log'!$A:$A,"&gt;="&amp;$J1398,'Weekly Log'!$A:$A,"&lt;"&amp;$J1398+7)/SUMIFS('Weekly Log'!$E:$E,'Weekly Log'!$A:$A,"&gt;="&amp;$J1398,'Weekly Log'!$A:$A,"&lt;"&amp;$J1398+7),0))</f>
        <v/>
      </c>
      <c r="G1398">
        <f>IF($J1398="","",IFERROR(LOOKUP(2,1/(('Weekly Log'!$A$5:$A$5000&gt;=$J1398)*('Weekly Log'!$A$5:$A$5000&lt;$J1398+7)*('Weekly Log'!$M$5:$M$5000&lt;&gt;"")),'Weekly Log'!$M$5:$M$5000),0))</f>
        <v/>
      </c>
      <c r="J1398">
        <f>IF(COUNT('Weekly Log'!$A$5:$A$5000)=0,"",IF(MIN('Weekly Log'!$A$5:$A$5000)+7*(ROW()-10)&gt;MAX('Weekly Log'!$A$5:$A$5000),"",MIN('Weekly Log'!$A$5:$A$5000)+7*(ROW()-10)))</f>
        <v/>
      </c>
    </row>
    <row r="1399">
      <c r="A1399">
        <f>IF($J1399="","",YEAR($J1399-WEEKDAY($J1399,2)+4)&amp;"-W"&amp;TEXT(WEEKNUM($J1399,21),"00"))</f>
        <v/>
      </c>
      <c r="B1399">
        <f>IF($J1399="","",SUMIFS('Weekly Log'!$C:$C,'Weekly Log'!$A:$A,"&gt;="&amp;$J1399,'Weekly Log'!$A:$A,"&lt;"&amp;$J1399+7))</f>
        <v/>
      </c>
      <c r="C1399">
        <f>IF($J1399="","",IFERROR(COUNTIFS('Weekly Log'!$G:$G,"Y",'Weekly Log'!$A:$A,"&gt;="&amp;$J1399,'Weekly Log'!$A:$A,"&lt;"&amp;$J1399+7)/COUNTIFS('Weekly Log'!$G:$G,"&lt;&gt;",'Weekly Log'!$A:$A,"&gt;="&amp;$J1399,'Weekly Log'!$A:$A,"&lt;"&amp;$J1399+7),0))</f>
        <v/>
      </c>
      <c r="D1399">
        <f>IF($J1399="","",IFERROR(COUNTIFS('Weekly Log'!$H:$H,"Y",'Weekly Log'!$A:$A,"&gt;="&amp;$J1399,'Weekly Log'!$A:$A,"&lt;"&amp;$J1399+7)/COUNTIFS('Weekly Log'!$H:$H,"&lt;&gt;",'Weekly Log'!$A:$A,"&gt;="&amp;$J1399,'Weekly Log'!$A:$A,"&lt;"&amp;$J1399+7),0))</f>
        <v/>
      </c>
      <c r="E1399">
        <f>IF($J1399="","",IFERROR(AVERAGEIFS('Weekly Log'!$F:$F,'Weekly Log'!$A:$A,"&gt;="&amp;$J1399,'Weekly Log'!$A:$A,"&lt;"&amp;$J1399+7),0))</f>
        <v/>
      </c>
      <c r="F1399">
        <f>IF($J1399="","",IFERROR(SUMIFS('Weekly Log'!$F:$F,'Weekly Log'!$A:$A,"&gt;="&amp;$J1399,'Weekly Log'!$A:$A,"&lt;"&amp;$J1399+7)/SUMIFS('Weekly Log'!$E:$E,'Weekly Log'!$A:$A,"&gt;="&amp;$J1399,'Weekly Log'!$A:$A,"&lt;"&amp;$J1399+7),0))</f>
        <v/>
      </c>
      <c r="G1399">
        <f>IF($J1399="","",IFERROR(LOOKUP(2,1/(('Weekly Log'!$A$5:$A$5000&gt;=$J1399)*('Weekly Log'!$A$5:$A$5000&lt;$J1399+7)*('Weekly Log'!$M$5:$M$5000&lt;&gt;"")),'Weekly Log'!$M$5:$M$5000),0))</f>
        <v/>
      </c>
      <c r="J1399">
        <f>IF(COUNT('Weekly Log'!$A$5:$A$5000)=0,"",IF(MIN('Weekly Log'!$A$5:$A$5000)+7*(ROW()-10)&gt;MAX('Weekly Log'!$A$5:$A$5000),"",MIN('Weekly Log'!$A$5:$A$5000)+7*(ROW()-10)))</f>
        <v/>
      </c>
    </row>
    <row r="1400">
      <c r="A1400">
        <f>IF($J1400="","",YEAR($J1400-WEEKDAY($J1400,2)+4)&amp;"-W"&amp;TEXT(WEEKNUM($J1400,21),"00"))</f>
        <v/>
      </c>
      <c r="B1400">
        <f>IF($J1400="","",SUMIFS('Weekly Log'!$C:$C,'Weekly Log'!$A:$A,"&gt;="&amp;$J1400,'Weekly Log'!$A:$A,"&lt;"&amp;$J1400+7))</f>
        <v/>
      </c>
      <c r="C1400">
        <f>IF($J1400="","",IFERROR(COUNTIFS('Weekly Log'!$G:$G,"Y",'Weekly Log'!$A:$A,"&gt;="&amp;$J1400,'Weekly Log'!$A:$A,"&lt;"&amp;$J1400+7)/COUNTIFS('Weekly Log'!$G:$G,"&lt;&gt;",'Weekly Log'!$A:$A,"&gt;="&amp;$J1400,'Weekly Log'!$A:$A,"&lt;"&amp;$J1400+7),0))</f>
        <v/>
      </c>
      <c r="D1400">
        <f>IF($J1400="","",IFERROR(COUNTIFS('Weekly Log'!$H:$H,"Y",'Weekly Log'!$A:$A,"&gt;="&amp;$J1400,'Weekly Log'!$A:$A,"&lt;"&amp;$J1400+7)/COUNTIFS('Weekly Log'!$H:$H,"&lt;&gt;",'Weekly Log'!$A:$A,"&gt;="&amp;$J1400,'Weekly Log'!$A:$A,"&lt;"&amp;$J1400+7),0))</f>
        <v/>
      </c>
      <c r="E1400">
        <f>IF($J1400="","",IFERROR(AVERAGEIFS('Weekly Log'!$F:$F,'Weekly Log'!$A:$A,"&gt;="&amp;$J1400,'Weekly Log'!$A:$A,"&lt;"&amp;$J1400+7),0))</f>
        <v/>
      </c>
      <c r="F1400">
        <f>IF($J1400="","",IFERROR(SUMIFS('Weekly Log'!$F:$F,'Weekly Log'!$A:$A,"&gt;="&amp;$J1400,'Weekly Log'!$A:$A,"&lt;"&amp;$J1400+7)/SUMIFS('Weekly Log'!$E:$E,'Weekly Log'!$A:$A,"&gt;="&amp;$J1400,'Weekly Log'!$A:$A,"&lt;"&amp;$J1400+7),0))</f>
        <v/>
      </c>
      <c r="G1400">
        <f>IF($J1400="","",IFERROR(LOOKUP(2,1/(('Weekly Log'!$A$5:$A$5000&gt;=$J1400)*('Weekly Log'!$A$5:$A$5000&lt;$J1400+7)*('Weekly Log'!$M$5:$M$5000&lt;&gt;"")),'Weekly Log'!$M$5:$M$5000),0))</f>
        <v/>
      </c>
      <c r="J1400">
        <f>IF(COUNT('Weekly Log'!$A$5:$A$5000)=0,"",IF(MIN('Weekly Log'!$A$5:$A$5000)+7*(ROW()-10)&gt;MAX('Weekly Log'!$A$5:$A$5000),"",MIN('Weekly Log'!$A$5:$A$5000)+7*(ROW()-10)))</f>
        <v/>
      </c>
    </row>
    <row r="1401">
      <c r="A1401">
        <f>IF($J1401="","",YEAR($J1401-WEEKDAY($J1401,2)+4)&amp;"-W"&amp;TEXT(WEEKNUM($J1401,21),"00"))</f>
        <v/>
      </c>
      <c r="B1401">
        <f>IF($J1401="","",SUMIFS('Weekly Log'!$C:$C,'Weekly Log'!$A:$A,"&gt;="&amp;$J1401,'Weekly Log'!$A:$A,"&lt;"&amp;$J1401+7))</f>
        <v/>
      </c>
      <c r="C1401">
        <f>IF($J1401="","",IFERROR(COUNTIFS('Weekly Log'!$G:$G,"Y",'Weekly Log'!$A:$A,"&gt;="&amp;$J1401,'Weekly Log'!$A:$A,"&lt;"&amp;$J1401+7)/COUNTIFS('Weekly Log'!$G:$G,"&lt;&gt;",'Weekly Log'!$A:$A,"&gt;="&amp;$J1401,'Weekly Log'!$A:$A,"&lt;"&amp;$J1401+7),0))</f>
        <v/>
      </c>
      <c r="D1401">
        <f>IF($J1401="","",IFERROR(COUNTIFS('Weekly Log'!$H:$H,"Y",'Weekly Log'!$A:$A,"&gt;="&amp;$J1401,'Weekly Log'!$A:$A,"&lt;"&amp;$J1401+7)/COUNTIFS('Weekly Log'!$H:$H,"&lt;&gt;",'Weekly Log'!$A:$A,"&gt;="&amp;$J1401,'Weekly Log'!$A:$A,"&lt;"&amp;$J1401+7),0))</f>
        <v/>
      </c>
      <c r="E1401">
        <f>IF($J1401="","",IFERROR(AVERAGEIFS('Weekly Log'!$F:$F,'Weekly Log'!$A:$A,"&gt;="&amp;$J1401,'Weekly Log'!$A:$A,"&lt;"&amp;$J1401+7),0))</f>
        <v/>
      </c>
      <c r="F1401">
        <f>IF($J1401="","",IFERROR(SUMIFS('Weekly Log'!$F:$F,'Weekly Log'!$A:$A,"&gt;="&amp;$J1401,'Weekly Log'!$A:$A,"&lt;"&amp;$J1401+7)/SUMIFS('Weekly Log'!$E:$E,'Weekly Log'!$A:$A,"&gt;="&amp;$J1401,'Weekly Log'!$A:$A,"&lt;"&amp;$J1401+7),0))</f>
        <v/>
      </c>
      <c r="G1401">
        <f>IF($J1401="","",IFERROR(LOOKUP(2,1/(('Weekly Log'!$A$5:$A$5000&gt;=$J1401)*('Weekly Log'!$A$5:$A$5000&lt;$J1401+7)*('Weekly Log'!$M$5:$M$5000&lt;&gt;"")),'Weekly Log'!$M$5:$M$5000),0))</f>
        <v/>
      </c>
      <c r="J1401">
        <f>IF(COUNT('Weekly Log'!$A$5:$A$5000)=0,"",IF(MIN('Weekly Log'!$A$5:$A$5000)+7*(ROW()-10)&gt;MAX('Weekly Log'!$A$5:$A$5000),"",MIN('Weekly Log'!$A$5:$A$5000)+7*(ROW()-10)))</f>
        <v/>
      </c>
    </row>
    <row r="1402">
      <c r="A1402">
        <f>IF($J1402="","",YEAR($J1402-WEEKDAY($J1402,2)+4)&amp;"-W"&amp;TEXT(WEEKNUM($J1402,21),"00"))</f>
        <v/>
      </c>
      <c r="B1402">
        <f>IF($J1402="","",SUMIFS('Weekly Log'!$C:$C,'Weekly Log'!$A:$A,"&gt;="&amp;$J1402,'Weekly Log'!$A:$A,"&lt;"&amp;$J1402+7))</f>
        <v/>
      </c>
      <c r="C1402">
        <f>IF($J1402="","",IFERROR(COUNTIFS('Weekly Log'!$G:$G,"Y",'Weekly Log'!$A:$A,"&gt;="&amp;$J1402,'Weekly Log'!$A:$A,"&lt;"&amp;$J1402+7)/COUNTIFS('Weekly Log'!$G:$G,"&lt;&gt;",'Weekly Log'!$A:$A,"&gt;="&amp;$J1402,'Weekly Log'!$A:$A,"&lt;"&amp;$J1402+7),0))</f>
        <v/>
      </c>
      <c r="D1402">
        <f>IF($J1402="","",IFERROR(COUNTIFS('Weekly Log'!$H:$H,"Y",'Weekly Log'!$A:$A,"&gt;="&amp;$J1402,'Weekly Log'!$A:$A,"&lt;"&amp;$J1402+7)/COUNTIFS('Weekly Log'!$H:$H,"&lt;&gt;",'Weekly Log'!$A:$A,"&gt;="&amp;$J1402,'Weekly Log'!$A:$A,"&lt;"&amp;$J1402+7),0))</f>
        <v/>
      </c>
      <c r="E1402">
        <f>IF($J1402="","",IFERROR(AVERAGEIFS('Weekly Log'!$F:$F,'Weekly Log'!$A:$A,"&gt;="&amp;$J1402,'Weekly Log'!$A:$A,"&lt;"&amp;$J1402+7),0))</f>
        <v/>
      </c>
      <c r="F1402">
        <f>IF($J1402="","",IFERROR(SUMIFS('Weekly Log'!$F:$F,'Weekly Log'!$A:$A,"&gt;="&amp;$J1402,'Weekly Log'!$A:$A,"&lt;"&amp;$J1402+7)/SUMIFS('Weekly Log'!$E:$E,'Weekly Log'!$A:$A,"&gt;="&amp;$J1402,'Weekly Log'!$A:$A,"&lt;"&amp;$J1402+7),0))</f>
        <v/>
      </c>
      <c r="G1402">
        <f>IF($J1402="","",IFERROR(LOOKUP(2,1/(('Weekly Log'!$A$5:$A$5000&gt;=$J1402)*('Weekly Log'!$A$5:$A$5000&lt;$J1402+7)*('Weekly Log'!$M$5:$M$5000&lt;&gt;"")),'Weekly Log'!$M$5:$M$5000),0))</f>
        <v/>
      </c>
      <c r="J1402">
        <f>IF(COUNT('Weekly Log'!$A$5:$A$5000)=0,"",IF(MIN('Weekly Log'!$A$5:$A$5000)+7*(ROW()-10)&gt;MAX('Weekly Log'!$A$5:$A$5000),"",MIN('Weekly Log'!$A$5:$A$5000)+7*(ROW()-10)))</f>
        <v/>
      </c>
    </row>
    <row r="1403">
      <c r="A1403">
        <f>IF($J1403="","",YEAR($J1403-WEEKDAY($J1403,2)+4)&amp;"-W"&amp;TEXT(WEEKNUM($J1403,21),"00"))</f>
        <v/>
      </c>
      <c r="B1403">
        <f>IF($J1403="","",SUMIFS('Weekly Log'!$C:$C,'Weekly Log'!$A:$A,"&gt;="&amp;$J1403,'Weekly Log'!$A:$A,"&lt;"&amp;$J1403+7))</f>
        <v/>
      </c>
      <c r="C1403">
        <f>IF($J1403="","",IFERROR(COUNTIFS('Weekly Log'!$G:$G,"Y",'Weekly Log'!$A:$A,"&gt;="&amp;$J1403,'Weekly Log'!$A:$A,"&lt;"&amp;$J1403+7)/COUNTIFS('Weekly Log'!$G:$G,"&lt;&gt;",'Weekly Log'!$A:$A,"&gt;="&amp;$J1403,'Weekly Log'!$A:$A,"&lt;"&amp;$J1403+7),0))</f>
        <v/>
      </c>
      <c r="D1403">
        <f>IF($J1403="","",IFERROR(COUNTIFS('Weekly Log'!$H:$H,"Y",'Weekly Log'!$A:$A,"&gt;="&amp;$J1403,'Weekly Log'!$A:$A,"&lt;"&amp;$J1403+7)/COUNTIFS('Weekly Log'!$H:$H,"&lt;&gt;",'Weekly Log'!$A:$A,"&gt;="&amp;$J1403,'Weekly Log'!$A:$A,"&lt;"&amp;$J1403+7),0))</f>
        <v/>
      </c>
      <c r="E1403">
        <f>IF($J1403="","",IFERROR(AVERAGEIFS('Weekly Log'!$F:$F,'Weekly Log'!$A:$A,"&gt;="&amp;$J1403,'Weekly Log'!$A:$A,"&lt;"&amp;$J1403+7),0))</f>
        <v/>
      </c>
      <c r="F1403">
        <f>IF($J1403="","",IFERROR(SUMIFS('Weekly Log'!$F:$F,'Weekly Log'!$A:$A,"&gt;="&amp;$J1403,'Weekly Log'!$A:$A,"&lt;"&amp;$J1403+7)/SUMIFS('Weekly Log'!$E:$E,'Weekly Log'!$A:$A,"&gt;="&amp;$J1403,'Weekly Log'!$A:$A,"&lt;"&amp;$J1403+7),0))</f>
        <v/>
      </c>
      <c r="G1403">
        <f>IF($J1403="","",IFERROR(LOOKUP(2,1/(('Weekly Log'!$A$5:$A$5000&gt;=$J1403)*('Weekly Log'!$A$5:$A$5000&lt;$J1403+7)*('Weekly Log'!$M$5:$M$5000&lt;&gt;"")),'Weekly Log'!$M$5:$M$5000),0))</f>
        <v/>
      </c>
      <c r="J1403">
        <f>IF(COUNT('Weekly Log'!$A$5:$A$5000)=0,"",IF(MIN('Weekly Log'!$A$5:$A$5000)+7*(ROW()-10)&gt;MAX('Weekly Log'!$A$5:$A$5000),"",MIN('Weekly Log'!$A$5:$A$5000)+7*(ROW()-10)))</f>
        <v/>
      </c>
    </row>
    <row r="1404">
      <c r="A1404">
        <f>IF($J1404="","",YEAR($J1404-WEEKDAY($J1404,2)+4)&amp;"-W"&amp;TEXT(WEEKNUM($J1404,21),"00"))</f>
        <v/>
      </c>
      <c r="B1404">
        <f>IF($J1404="","",SUMIFS('Weekly Log'!$C:$C,'Weekly Log'!$A:$A,"&gt;="&amp;$J1404,'Weekly Log'!$A:$A,"&lt;"&amp;$J1404+7))</f>
        <v/>
      </c>
      <c r="C1404">
        <f>IF($J1404="","",IFERROR(COUNTIFS('Weekly Log'!$G:$G,"Y",'Weekly Log'!$A:$A,"&gt;="&amp;$J1404,'Weekly Log'!$A:$A,"&lt;"&amp;$J1404+7)/COUNTIFS('Weekly Log'!$G:$G,"&lt;&gt;",'Weekly Log'!$A:$A,"&gt;="&amp;$J1404,'Weekly Log'!$A:$A,"&lt;"&amp;$J1404+7),0))</f>
        <v/>
      </c>
      <c r="D1404">
        <f>IF($J1404="","",IFERROR(COUNTIFS('Weekly Log'!$H:$H,"Y",'Weekly Log'!$A:$A,"&gt;="&amp;$J1404,'Weekly Log'!$A:$A,"&lt;"&amp;$J1404+7)/COUNTIFS('Weekly Log'!$H:$H,"&lt;&gt;",'Weekly Log'!$A:$A,"&gt;="&amp;$J1404,'Weekly Log'!$A:$A,"&lt;"&amp;$J1404+7),0))</f>
        <v/>
      </c>
      <c r="E1404">
        <f>IF($J1404="","",IFERROR(AVERAGEIFS('Weekly Log'!$F:$F,'Weekly Log'!$A:$A,"&gt;="&amp;$J1404,'Weekly Log'!$A:$A,"&lt;"&amp;$J1404+7),0))</f>
        <v/>
      </c>
      <c r="F1404">
        <f>IF($J1404="","",IFERROR(SUMIFS('Weekly Log'!$F:$F,'Weekly Log'!$A:$A,"&gt;="&amp;$J1404,'Weekly Log'!$A:$A,"&lt;"&amp;$J1404+7)/SUMIFS('Weekly Log'!$E:$E,'Weekly Log'!$A:$A,"&gt;="&amp;$J1404,'Weekly Log'!$A:$A,"&lt;"&amp;$J1404+7),0))</f>
        <v/>
      </c>
      <c r="G1404">
        <f>IF($J1404="","",IFERROR(LOOKUP(2,1/(('Weekly Log'!$A$5:$A$5000&gt;=$J1404)*('Weekly Log'!$A$5:$A$5000&lt;$J1404+7)*('Weekly Log'!$M$5:$M$5000&lt;&gt;"")),'Weekly Log'!$M$5:$M$5000),0))</f>
        <v/>
      </c>
      <c r="J1404">
        <f>IF(COUNT('Weekly Log'!$A$5:$A$5000)=0,"",IF(MIN('Weekly Log'!$A$5:$A$5000)+7*(ROW()-10)&gt;MAX('Weekly Log'!$A$5:$A$5000),"",MIN('Weekly Log'!$A$5:$A$5000)+7*(ROW()-10)))</f>
        <v/>
      </c>
    </row>
    <row r="1405">
      <c r="A1405">
        <f>IF($J1405="","",YEAR($J1405-WEEKDAY($J1405,2)+4)&amp;"-W"&amp;TEXT(WEEKNUM($J1405,21),"00"))</f>
        <v/>
      </c>
      <c r="B1405">
        <f>IF($J1405="","",SUMIFS('Weekly Log'!$C:$C,'Weekly Log'!$A:$A,"&gt;="&amp;$J1405,'Weekly Log'!$A:$A,"&lt;"&amp;$J1405+7))</f>
        <v/>
      </c>
      <c r="C1405">
        <f>IF($J1405="","",IFERROR(COUNTIFS('Weekly Log'!$G:$G,"Y",'Weekly Log'!$A:$A,"&gt;="&amp;$J1405,'Weekly Log'!$A:$A,"&lt;"&amp;$J1405+7)/COUNTIFS('Weekly Log'!$G:$G,"&lt;&gt;",'Weekly Log'!$A:$A,"&gt;="&amp;$J1405,'Weekly Log'!$A:$A,"&lt;"&amp;$J1405+7),0))</f>
        <v/>
      </c>
      <c r="D1405">
        <f>IF($J1405="","",IFERROR(COUNTIFS('Weekly Log'!$H:$H,"Y",'Weekly Log'!$A:$A,"&gt;="&amp;$J1405,'Weekly Log'!$A:$A,"&lt;"&amp;$J1405+7)/COUNTIFS('Weekly Log'!$H:$H,"&lt;&gt;",'Weekly Log'!$A:$A,"&gt;="&amp;$J1405,'Weekly Log'!$A:$A,"&lt;"&amp;$J1405+7),0))</f>
        <v/>
      </c>
      <c r="E1405">
        <f>IF($J1405="","",IFERROR(AVERAGEIFS('Weekly Log'!$F:$F,'Weekly Log'!$A:$A,"&gt;="&amp;$J1405,'Weekly Log'!$A:$A,"&lt;"&amp;$J1405+7),0))</f>
        <v/>
      </c>
      <c r="F1405">
        <f>IF($J1405="","",IFERROR(SUMIFS('Weekly Log'!$F:$F,'Weekly Log'!$A:$A,"&gt;="&amp;$J1405,'Weekly Log'!$A:$A,"&lt;"&amp;$J1405+7)/SUMIFS('Weekly Log'!$E:$E,'Weekly Log'!$A:$A,"&gt;="&amp;$J1405,'Weekly Log'!$A:$A,"&lt;"&amp;$J1405+7),0))</f>
        <v/>
      </c>
      <c r="G1405">
        <f>IF($J1405="","",IFERROR(LOOKUP(2,1/(('Weekly Log'!$A$5:$A$5000&gt;=$J1405)*('Weekly Log'!$A$5:$A$5000&lt;$J1405+7)*('Weekly Log'!$M$5:$M$5000&lt;&gt;"")),'Weekly Log'!$M$5:$M$5000),0))</f>
        <v/>
      </c>
      <c r="J1405">
        <f>IF(COUNT('Weekly Log'!$A$5:$A$5000)=0,"",IF(MIN('Weekly Log'!$A$5:$A$5000)+7*(ROW()-10)&gt;MAX('Weekly Log'!$A$5:$A$5000),"",MIN('Weekly Log'!$A$5:$A$5000)+7*(ROW()-10)))</f>
        <v/>
      </c>
    </row>
    <row r="1406">
      <c r="A1406">
        <f>IF($J1406="","",YEAR($J1406-WEEKDAY($J1406,2)+4)&amp;"-W"&amp;TEXT(WEEKNUM($J1406,21),"00"))</f>
        <v/>
      </c>
      <c r="B1406">
        <f>IF($J1406="","",SUMIFS('Weekly Log'!$C:$C,'Weekly Log'!$A:$A,"&gt;="&amp;$J1406,'Weekly Log'!$A:$A,"&lt;"&amp;$J1406+7))</f>
        <v/>
      </c>
      <c r="C1406">
        <f>IF($J1406="","",IFERROR(COUNTIFS('Weekly Log'!$G:$G,"Y",'Weekly Log'!$A:$A,"&gt;="&amp;$J1406,'Weekly Log'!$A:$A,"&lt;"&amp;$J1406+7)/COUNTIFS('Weekly Log'!$G:$G,"&lt;&gt;",'Weekly Log'!$A:$A,"&gt;="&amp;$J1406,'Weekly Log'!$A:$A,"&lt;"&amp;$J1406+7),0))</f>
        <v/>
      </c>
      <c r="D1406">
        <f>IF($J1406="","",IFERROR(COUNTIFS('Weekly Log'!$H:$H,"Y",'Weekly Log'!$A:$A,"&gt;="&amp;$J1406,'Weekly Log'!$A:$A,"&lt;"&amp;$J1406+7)/COUNTIFS('Weekly Log'!$H:$H,"&lt;&gt;",'Weekly Log'!$A:$A,"&gt;="&amp;$J1406,'Weekly Log'!$A:$A,"&lt;"&amp;$J1406+7),0))</f>
        <v/>
      </c>
      <c r="E1406">
        <f>IF($J1406="","",IFERROR(AVERAGEIFS('Weekly Log'!$F:$F,'Weekly Log'!$A:$A,"&gt;="&amp;$J1406,'Weekly Log'!$A:$A,"&lt;"&amp;$J1406+7),0))</f>
        <v/>
      </c>
      <c r="F1406">
        <f>IF($J1406="","",IFERROR(SUMIFS('Weekly Log'!$F:$F,'Weekly Log'!$A:$A,"&gt;="&amp;$J1406,'Weekly Log'!$A:$A,"&lt;"&amp;$J1406+7)/SUMIFS('Weekly Log'!$E:$E,'Weekly Log'!$A:$A,"&gt;="&amp;$J1406,'Weekly Log'!$A:$A,"&lt;"&amp;$J1406+7),0))</f>
        <v/>
      </c>
      <c r="G1406">
        <f>IF($J1406="","",IFERROR(LOOKUP(2,1/(('Weekly Log'!$A$5:$A$5000&gt;=$J1406)*('Weekly Log'!$A$5:$A$5000&lt;$J1406+7)*('Weekly Log'!$M$5:$M$5000&lt;&gt;"")),'Weekly Log'!$M$5:$M$5000),0))</f>
        <v/>
      </c>
      <c r="J1406">
        <f>IF(COUNT('Weekly Log'!$A$5:$A$5000)=0,"",IF(MIN('Weekly Log'!$A$5:$A$5000)+7*(ROW()-10)&gt;MAX('Weekly Log'!$A$5:$A$5000),"",MIN('Weekly Log'!$A$5:$A$5000)+7*(ROW()-10)))</f>
        <v/>
      </c>
    </row>
    <row r="1407">
      <c r="A1407">
        <f>IF($J1407="","",YEAR($J1407-WEEKDAY($J1407,2)+4)&amp;"-W"&amp;TEXT(WEEKNUM($J1407,21),"00"))</f>
        <v/>
      </c>
      <c r="B1407">
        <f>IF($J1407="","",SUMIFS('Weekly Log'!$C:$C,'Weekly Log'!$A:$A,"&gt;="&amp;$J1407,'Weekly Log'!$A:$A,"&lt;"&amp;$J1407+7))</f>
        <v/>
      </c>
      <c r="C1407">
        <f>IF($J1407="","",IFERROR(COUNTIFS('Weekly Log'!$G:$G,"Y",'Weekly Log'!$A:$A,"&gt;="&amp;$J1407,'Weekly Log'!$A:$A,"&lt;"&amp;$J1407+7)/COUNTIFS('Weekly Log'!$G:$G,"&lt;&gt;",'Weekly Log'!$A:$A,"&gt;="&amp;$J1407,'Weekly Log'!$A:$A,"&lt;"&amp;$J1407+7),0))</f>
        <v/>
      </c>
      <c r="D1407">
        <f>IF($J1407="","",IFERROR(COUNTIFS('Weekly Log'!$H:$H,"Y",'Weekly Log'!$A:$A,"&gt;="&amp;$J1407,'Weekly Log'!$A:$A,"&lt;"&amp;$J1407+7)/COUNTIFS('Weekly Log'!$H:$H,"&lt;&gt;",'Weekly Log'!$A:$A,"&gt;="&amp;$J1407,'Weekly Log'!$A:$A,"&lt;"&amp;$J1407+7),0))</f>
        <v/>
      </c>
      <c r="E1407">
        <f>IF($J1407="","",IFERROR(AVERAGEIFS('Weekly Log'!$F:$F,'Weekly Log'!$A:$A,"&gt;="&amp;$J1407,'Weekly Log'!$A:$A,"&lt;"&amp;$J1407+7),0))</f>
        <v/>
      </c>
      <c r="F1407">
        <f>IF($J1407="","",IFERROR(SUMIFS('Weekly Log'!$F:$F,'Weekly Log'!$A:$A,"&gt;="&amp;$J1407,'Weekly Log'!$A:$A,"&lt;"&amp;$J1407+7)/SUMIFS('Weekly Log'!$E:$E,'Weekly Log'!$A:$A,"&gt;="&amp;$J1407,'Weekly Log'!$A:$A,"&lt;"&amp;$J1407+7),0))</f>
        <v/>
      </c>
      <c r="G1407">
        <f>IF($J1407="","",IFERROR(LOOKUP(2,1/(('Weekly Log'!$A$5:$A$5000&gt;=$J1407)*('Weekly Log'!$A$5:$A$5000&lt;$J1407+7)*('Weekly Log'!$M$5:$M$5000&lt;&gt;"")),'Weekly Log'!$M$5:$M$5000),0))</f>
        <v/>
      </c>
      <c r="J1407">
        <f>IF(COUNT('Weekly Log'!$A$5:$A$5000)=0,"",IF(MIN('Weekly Log'!$A$5:$A$5000)+7*(ROW()-10)&gt;MAX('Weekly Log'!$A$5:$A$5000),"",MIN('Weekly Log'!$A$5:$A$5000)+7*(ROW()-10)))</f>
        <v/>
      </c>
    </row>
    <row r="1408">
      <c r="A1408">
        <f>IF($J1408="","",YEAR($J1408-WEEKDAY($J1408,2)+4)&amp;"-W"&amp;TEXT(WEEKNUM($J1408,21),"00"))</f>
        <v/>
      </c>
      <c r="B1408">
        <f>IF($J1408="","",SUMIFS('Weekly Log'!$C:$C,'Weekly Log'!$A:$A,"&gt;="&amp;$J1408,'Weekly Log'!$A:$A,"&lt;"&amp;$J1408+7))</f>
        <v/>
      </c>
      <c r="C1408">
        <f>IF($J1408="","",IFERROR(COUNTIFS('Weekly Log'!$G:$G,"Y",'Weekly Log'!$A:$A,"&gt;="&amp;$J1408,'Weekly Log'!$A:$A,"&lt;"&amp;$J1408+7)/COUNTIFS('Weekly Log'!$G:$G,"&lt;&gt;",'Weekly Log'!$A:$A,"&gt;="&amp;$J1408,'Weekly Log'!$A:$A,"&lt;"&amp;$J1408+7),0))</f>
        <v/>
      </c>
      <c r="D1408">
        <f>IF($J1408="","",IFERROR(COUNTIFS('Weekly Log'!$H:$H,"Y",'Weekly Log'!$A:$A,"&gt;="&amp;$J1408,'Weekly Log'!$A:$A,"&lt;"&amp;$J1408+7)/COUNTIFS('Weekly Log'!$H:$H,"&lt;&gt;",'Weekly Log'!$A:$A,"&gt;="&amp;$J1408,'Weekly Log'!$A:$A,"&lt;"&amp;$J1408+7),0))</f>
        <v/>
      </c>
      <c r="E1408">
        <f>IF($J1408="","",IFERROR(AVERAGEIFS('Weekly Log'!$F:$F,'Weekly Log'!$A:$A,"&gt;="&amp;$J1408,'Weekly Log'!$A:$A,"&lt;"&amp;$J1408+7),0))</f>
        <v/>
      </c>
      <c r="F1408">
        <f>IF($J1408="","",IFERROR(SUMIFS('Weekly Log'!$F:$F,'Weekly Log'!$A:$A,"&gt;="&amp;$J1408,'Weekly Log'!$A:$A,"&lt;"&amp;$J1408+7)/SUMIFS('Weekly Log'!$E:$E,'Weekly Log'!$A:$A,"&gt;="&amp;$J1408,'Weekly Log'!$A:$A,"&lt;"&amp;$J1408+7),0))</f>
        <v/>
      </c>
      <c r="G1408">
        <f>IF($J1408="","",IFERROR(LOOKUP(2,1/(('Weekly Log'!$A$5:$A$5000&gt;=$J1408)*('Weekly Log'!$A$5:$A$5000&lt;$J1408+7)*('Weekly Log'!$M$5:$M$5000&lt;&gt;"")),'Weekly Log'!$M$5:$M$5000),0))</f>
        <v/>
      </c>
      <c r="J1408">
        <f>IF(COUNT('Weekly Log'!$A$5:$A$5000)=0,"",IF(MIN('Weekly Log'!$A$5:$A$5000)+7*(ROW()-10)&gt;MAX('Weekly Log'!$A$5:$A$5000),"",MIN('Weekly Log'!$A$5:$A$5000)+7*(ROW()-10)))</f>
        <v/>
      </c>
    </row>
    <row r="1409">
      <c r="A1409">
        <f>IF($J1409="","",YEAR($J1409-WEEKDAY($J1409,2)+4)&amp;"-W"&amp;TEXT(WEEKNUM($J1409,21),"00"))</f>
        <v/>
      </c>
      <c r="B1409">
        <f>IF($J1409="","",SUMIFS('Weekly Log'!$C:$C,'Weekly Log'!$A:$A,"&gt;="&amp;$J1409,'Weekly Log'!$A:$A,"&lt;"&amp;$J1409+7))</f>
        <v/>
      </c>
      <c r="C1409">
        <f>IF($J1409="","",IFERROR(COUNTIFS('Weekly Log'!$G:$G,"Y",'Weekly Log'!$A:$A,"&gt;="&amp;$J1409,'Weekly Log'!$A:$A,"&lt;"&amp;$J1409+7)/COUNTIFS('Weekly Log'!$G:$G,"&lt;&gt;",'Weekly Log'!$A:$A,"&gt;="&amp;$J1409,'Weekly Log'!$A:$A,"&lt;"&amp;$J1409+7),0))</f>
        <v/>
      </c>
      <c r="D1409">
        <f>IF($J1409="","",IFERROR(COUNTIFS('Weekly Log'!$H:$H,"Y",'Weekly Log'!$A:$A,"&gt;="&amp;$J1409,'Weekly Log'!$A:$A,"&lt;"&amp;$J1409+7)/COUNTIFS('Weekly Log'!$H:$H,"&lt;&gt;",'Weekly Log'!$A:$A,"&gt;="&amp;$J1409,'Weekly Log'!$A:$A,"&lt;"&amp;$J1409+7),0))</f>
        <v/>
      </c>
      <c r="E1409">
        <f>IF($J1409="","",IFERROR(AVERAGEIFS('Weekly Log'!$F:$F,'Weekly Log'!$A:$A,"&gt;="&amp;$J1409,'Weekly Log'!$A:$A,"&lt;"&amp;$J1409+7),0))</f>
        <v/>
      </c>
      <c r="F1409">
        <f>IF($J1409="","",IFERROR(SUMIFS('Weekly Log'!$F:$F,'Weekly Log'!$A:$A,"&gt;="&amp;$J1409,'Weekly Log'!$A:$A,"&lt;"&amp;$J1409+7)/SUMIFS('Weekly Log'!$E:$E,'Weekly Log'!$A:$A,"&gt;="&amp;$J1409,'Weekly Log'!$A:$A,"&lt;"&amp;$J1409+7),0))</f>
        <v/>
      </c>
      <c r="G1409">
        <f>IF($J1409="","",IFERROR(LOOKUP(2,1/(('Weekly Log'!$A$5:$A$5000&gt;=$J1409)*('Weekly Log'!$A$5:$A$5000&lt;$J1409+7)*('Weekly Log'!$M$5:$M$5000&lt;&gt;"")),'Weekly Log'!$M$5:$M$5000),0))</f>
        <v/>
      </c>
      <c r="J1409">
        <f>IF(COUNT('Weekly Log'!$A$5:$A$5000)=0,"",IF(MIN('Weekly Log'!$A$5:$A$5000)+7*(ROW()-10)&gt;MAX('Weekly Log'!$A$5:$A$5000),"",MIN('Weekly Log'!$A$5:$A$5000)+7*(ROW()-10)))</f>
        <v/>
      </c>
    </row>
    <row r="1410">
      <c r="A1410">
        <f>IF($J1410="","",YEAR($J1410-WEEKDAY($J1410,2)+4)&amp;"-W"&amp;TEXT(WEEKNUM($J1410,21),"00"))</f>
        <v/>
      </c>
      <c r="B1410">
        <f>IF($J1410="","",SUMIFS('Weekly Log'!$C:$C,'Weekly Log'!$A:$A,"&gt;="&amp;$J1410,'Weekly Log'!$A:$A,"&lt;"&amp;$J1410+7))</f>
        <v/>
      </c>
      <c r="C1410">
        <f>IF($J1410="","",IFERROR(COUNTIFS('Weekly Log'!$G:$G,"Y",'Weekly Log'!$A:$A,"&gt;="&amp;$J1410,'Weekly Log'!$A:$A,"&lt;"&amp;$J1410+7)/COUNTIFS('Weekly Log'!$G:$G,"&lt;&gt;",'Weekly Log'!$A:$A,"&gt;="&amp;$J1410,'Weekly Log'!$A:$A,"&lt;"&amp;$J1410+7),0))</f>
        <v/>
      </c>
      <c r="D1410">
        <f>IF($J1410="","",IFERROR(COUNTIFS('Weekly Log'!$H:$H,"Y",'Weekly Log'!$A:$A,"&gt;="&amp;$J1410,'Weekly Log'!$A:$A,"&lt;"&amp;$J1410+7)/COUNTIFS('Weekly Log'!$H:$H,"&lt;&gt;",'Weekly Log'!$A:$A,"&gt;="&amp;$J1410,'Weekly Log'!$A:$A,"&lt;"&amp;$J1410+7),0))</f>
        <v/>
      </c>
      <c r="E1410">
        <f>IF($J1410="","",IFERROR(AVERAGEIFS('Weekly Log'!$F:$F,'Weekly Log'!$A:$A,"&gt;="&amp;$J1410,'Weekly Log'!$A:$A,"&lt;"&amp;$J1410+7),0))</f>
        <v/>
      </c>
      <c r="F1410">
        <f>IF($J1410="","",IFERROR(SUMIFS('Weekly Log'!$F:$F,'Weekly Log'!$A:$A,"&gt;="&amp;$J1410,'Weekly Log'!$A:$A,"&lt;"&amp;$J1410+7)/SUMIFS('Weekly Log'!$E:$E,'Weekly Log'!$A:$A,"&gt;="&amp;$J1410,'Weekly Log'!$A:$A,"&lt;"&amp;$J1410+7),0))</f>
        <v/>
      </c>
      <c r="G1410">
        <f>IF($J1410="","",IFERROR(LOOKUP(2,1/(('Weekly Log'!$A$5:$A$5000&gt;=$J1410)*('Weekly Log'!$A$5:$A$5000&lt;$J1410+7)*('Weekly Log'!$M$5:$M$5000&lt;&gt;"")),'Weekly Log'!$M$5:$M$5000),0))</f>
        <v/>
      </c>
      <c r="J1410">
        <f>IF(COUNT('Weekly Log'!$A$5:$A$5000)=0,"",IF(MIN('Weekly Log'!$A$5:$A$5000)+7*(ROW()-10)&gt;MAX('Weekly Log'!$A$5:$A$5000),"",MIN('Weekly Log'!$A$5:$A$5000)+7*(ROW()-10)))</f>
        <v/>
      </c>
    </row>
    <row r="1411">
      <c r="A1411">
        <f>IF($J1411="","",YEAR($J1411-WEEKDAY($J1411,2)+4)&amp;"-W"&amp;TEXT(WEEKNUM($J1411,21),"00"))</f>
        <v/>
      </c>
      <c r="B1411">
        <f>IF($J1411="","",SUMIFS('Weekly Log'!$C:$C,'Weekly Log'!$A:$A,"&gt;="&amp;$J1411,'Weekly Log'!$A:$A,"&lt;"&amp;$J1411+7))</f>
        <v/>
      </c>
      <c r="C1411">
        <f>IF($J1411="","",IFERROR(COUNTIFS('Weekly Log'!$G:$G,"Y",'Weekly Log'!$A:$A,"&gt;="&amp;$J1411,'Weekly Log'!$A:$A,"&lt;"&amp;$J1411+7)/COUNTIFS('Weekly Log'!$G:$G,"&lt;&gt;",'Weekly Log'!$A:$A,"&gt;="&amp;$J1411,'Weekly Log'!$A:$A,"&lt;"&amp;$J1411+7),0))</f>
        <v/>
      </c>
      <c r="D1411">
        <f>IF($J1411="","",IFERROR(COUNTIFS('Weekly Log'!$H:$H,"Y",'Weekly Log'!$A:$A,"&gt;="&amp;$J1411,'Weekly Log'!$A:$A,"&lt;"&amp;$J1411+7)/COUNTIFS('Weekly Log'!$H:$H,"&lt;&gt;",'Weekly Log'!$A:$A,"&gt;="&amp;$J1411,'Weekly Log'!$A:$A,"&lt;"&amp;$J1411+7),0))</f>
        <v/>
      </c>
      <c r="E1411">
        <f>IF($J1411="","",IFERROR(AVERAGEIFS('Weekly Log'!$F:$F,'Weekly Log'!$A:$A,"&gt;="&amp;$J1411,'Weekly Log'!$A:$A,"&lt;"&amp;$J1411+7),0))</f>
        <v/>
      </c>
      <c r="F1411">
        <f>IF($J1411="","",IFERROR(SUMIFS('Weekly Log'!$F:$F,'Weekly Log'!$A:$A,"&gt;="&amp;$J1411,'Weekly Log'!$A:$A,"&lt;"&amp;$J1411+7)/SUMIFS('Weekly Log'!$E:$E,'Weekly Log'!$A:$A,"&gt;="&amp;$J1411,'Weekly Log'!$A:$A,"&lt;"&amp;$J1411+7),0))</f>
        <v/>
      </c>
      <c r="G1411">
        <f>IF($J1411="","",IFERROR(LOOKUP(2,1/(('Weekly Log'!$A$5:$A$5000&gt;=$J1411)*('Weekly Log'!$A$5:$A$5000&lt;$J1411+7)*('Weekly Log'!$M$5:$M$5000&lt;&gt;"")),'Weekly Log'!$M$5:$M$5000),0))</f>
        <v/>
      </c>
      <c r="J1411">
        <f>IF(COUNT('Weekly Log'!$A$5:$A$5000)=0,"",IF(MIN('Weekly Log'!$A$5:$A$5000)+7*(ROW()-10)&gt;MAX('Weekly Log'!$A$5:$A$5000),"",MIN('Weekly Log'!$A$5:$A$5000)+7*(ROW()-10)))</f>
        <v/>
      </c>
    </row>
    <row r="1412">
      <c r="A1412">
        <f>IF($J1412="","",YEAR($J1412-WEEKDAY($J1412,2)+4)&amp;"-W"&amp;TEXT(WEEKNUM($J1412,21),"00"))</f>
        <v/>
      </c>
      <c r="B1412">
        <f>IF($J1412="","",SUMIFS('Weekly Log'!$C:$C,'Weekly Log'!$A:$A,"&gt;="&amp;$J1412,'Weekly Log'!$A:$A,"&lt;"&amp;$J1412+7))</f>
        <v/>
      </c>
      <c r="C1412">
        <f>IF($J1412="","",IFERROR(COUNTIFS('Weekly Log'!$G:$G,"Y",'Weekly Log'!$A:$A,"&gt;="&amp;$J1412,'Weekly Log'!$A:$A,"&lt;"&amp;$J1412+7)/COUNTIFS('Weekly Log'!$G:$G,"&lt;&gt;",'Weekly Log'!$A:$A,"&gt;="&amp;$J1412,'Weekly Log'!$A:$A,"&lt;"&amp;$J1412+7),0))</f>
        <v/>
      </c>
      <c r="D1412">
        <f>IF($J1412="","",IFERROR(COUNTIFS('Weekly Log'!$H:$H,"Y",'Weekly Log'!$A:$A,"&gt;="&amp;$J1412,'Weekly Log'!$A:$A,"&lt;"&amp;$J1412+7)/COUNTIFS('Weekly Log'!$H:$H,"&lt;&gt;",'Weekly Log'!$A:$A,"&gt;="&amp;$J1412,'Weekly Log'!$A:$A,"&lt;"&amp;$J1412+7),0))</f>
        <v/>
      </c>
      <c r="E1412">
        <f>IF($J1412="","",IFERROR(AVERAGEIFS('Weekly Log'!$F:$F,'Weekly Log'!$A:$A,"&gt;="&amp;$J1412,'Weekly Log'!$A:$A,"&lt;"&amp;$J1412+7),0))</f>
        <v/>
      </c>
      <c r="F1412">
        <f>IF($J1412="","",IFERROR(SUMIFS('Weekly Log'!$F:$F,'Weekly Log'!$A:$A,"&gt;="&amp;$J1412,'Weekly Log'!$A:$A,"&lt;"&amp;$J1412+7)/SUMIFS('Weekly Log'!$E:$E,'Weekly Log'!$A:$A,"&gt;="&amp;$J1412,'Weekly Log'!$A:$A,"&lt;"&amp;$J1412+7),0))</f>
        <v/>
      </c>
      <c r="G1412">
        <f>IF($J1412="","",IFERROR(LOOKUP(2,1/(('Weekly Log'!$A$5:$A$5000&gt;=$J1412)*('Weekly Log'!$A$5:$A$5000&lt;$J1412+7)*('Weekly Log'!$M$5:$M$5000&lt;&gt;"")),'Weekly Log'!$M$5:$M$5000),0))</f>
        <v/>
      </c>
      <c r="J1412">
        <f>IF(COUNT('Weekly Log'!$A$5:$A$5000)=0,"",IF(MIN('Weekly Log'!$A$5:$A$5000)+7*(ROW()-10)&gt;MAX('Weekly Log'!$A$5:$A$5000),"",MIN('Weekly Log'!$A$5:$A$5000)+7*(ROW()-10)))</f>
        <v/>
      </c>
    </row>
    <row r="1413">
      <c r="A1413">
        <f>IF($J1413="","",YEAR($J1413-WEEKDAY($J1413,2)+4)&amp;"-W"&amp;TEXT(WEEKNUM($J1413,21),"00"))</f>
        <v/>
      </c>
      <c r="B1413">
        <f>IF($J1413="","",SUMIFS('Weekly Log'!$C:$C,'Weekly Log'!$A:$A,"&gt;="&amp;$J1413,'Weekly Log'!$A:$A,"&lt;"&amp;$J1413+7))</f>
        <v/>
      </c>
      <c r="C1413">
        <f>IF($J1413="","",IFERROR(COUNTIFS('Weekly Log'!$G:$G,"Y",'Weekly Log'!$A:$A,"&gt;="&amp;$J1413,'Weekly Log'!$A:$A,"&lt;"&amp;$J1413+7)/COUNTIFS('Weekly Log'!$G:$G,"&lt;&gt;",'Weekly Log'!$A:$A,"&gt;="&amp;$J1413,'Weekly Log'!$A:$A,"&lt;"&amp;$J1413+7),0))</f>
        <v/>
      </c>
      <c r="D1413">
        <f>IF($J1413="","",IFERROR(COUNTIFS('Weekly Log'!$H:$H,"Y",'Weekly Log'!$A:$A,"&gt;="&amp;$J1413,'Weekly Log'!$A:$A,"&lt;"&amp;$J1413+7)/COUNTIFS('Weekly Log'!$H:$H,"&lt;&gt;",'Weekly Log'!$A:$A,"&gt;="&amp;$J1413,'Weekly Log'!$A:$A,"&lt;"&amp;$J1413+7),0))</f>
        <v/>
      </c>
      <c r="E1413">
        <f>IF($J1413="","",IFERROR(AVERAGEIFS('Weekly Log'!$F:$F,'Weekly Log'!$A:$A,"&gt;="&amp;$J1413,'Weekly Log'!$A:$A,"&lt;"&amp;$J1413+7),0))</f>
        <v/>
      </c>
      <c r="F1413">
        <f>IF($J1413="","",IFERROR(SUMIFS('Weekly Log'!$F:$F,'Weekly Log'!$A:$A,"&gt;="&amp;$J1413,'Weekly Log'!$A:$A,"&lt;"&amp;$J1413+7)/SUMIFS('Weekly Log'!$E:$E,'Weekly Log'!$A:$A,"&gt;="&amp;$J1413,'Weekly Log'!$A:$A,"&lt;"&amp;$J1413+7),0))</f>
        <v/>
      </c>
      <c r="G1413">
        <f>IF($J1413="","",IFERROR(LOOKUP(2,1/(('Weekly Log'!$A$5:$A$5000&gt;=$J1413)*('Weekly Log'!$A$5:$A$5000&lt;$J1413+7)*('Weekly Log'!$M$5:$M$5000&lt;&gt;"")),'Weekly Log'!$M$5:$M$5000),0))</f>
        <v/>
      </c>
      <c r="J1413">
        <f>IF(COUNT('Weekly Log'!$A$5:$A$5000)=0,"",IF(MIN('Weekly Log'!$A$5:$A$5000)+7*(ROW()-10)&gt;MAX('Weekly Log'!$A$5:$A$5000),"",MIN('Weekly Log'!$A$5:$A$5000)+7*(ROW()-10)))</f>
        <v/>
      </c>
    </row>
    <row r="1414">
      <c r="A1414">
        <f>IF($J1414="","",YEAR($J1414-WEEKDAY($J1414,2)+4)&amp;"-W"&amp;TEXT(WEEKNUM($J1414,21),"00"))</f>
        <v/>
      </c>
      <c r="B1414">
        <f>IF($J1414="","",SUMIFS('Weekly Log'!$C:$C,'Weekly Log'!$A:$A,"&gt;="&amp;$J1414,'Weekly Log'!$A:$A,"&lt;"&amp;$J1414+7))</f>
        <v/>
      </c>
      <c r="C1414">
        <f>IF($J1414="","",IFERROR(COUNTIFS('Weekly Log'!$G:$G,"Y",'Weekly Log'!$A:$A,"&gt;="&amp;$J1414,'Weekly Log'!$A:$A,"&lt;"&amp;$J1414+7)/COUNTIFS('Weekly Log'!$G:$G,"&lt;&gt;",'Weekly Log'!$A:$A,"&gt;="&amp;$J1414,'Weekly Log'!$A:$A,"&lt;"&amp;$J1414+7),0))</f>
        <v/>
      </c>
      <c r="D1414">
        <f>IF($J1414="","",IFERROR(COUNTIFS('Weekly Log'!$H:$H,"Y",'Weekly Log'!$A:$A,"&gt;="&amp;$J1414,'Weekly Log'!$A:$A,"&lt;"&amp;$J1414+7)/COUNTIFS('Weekly Log'!$H:$H,"&lt;&gt;",'Weekly Log'!$A:$A,"&gt;="&amp;$J1414,'Weekly Log'!$A:$A,"&lt;"&amp;$J1414+7),0))</f>
        <v/>
      </c>
      <c r="E1414">
        <f>IF($J1414="","",IFERROR(AVERAGEIFS('Weekly Log'!$F:$F,'Weekly Log'!$A:$A,"&gt;="&amp;$J1414,'Weekly Log'!$A:$A,"&lt;"&amp;$J1414+7),0))</f>
        <v/>
      </c>
      <c r="F1414">
        <f>IF($J1414="","",IFERROR(SUMIFS('Weekly Log'!$F:$F,'Weekly Log'!$A:$A,"&gt;="&amp;$J1414,'Weekly Log'!$A:$A,"&lt;"&amp;$J1414+7)/SUMIFS('Weekly Log'!$E:$E,'Weekly Log'!$A:$A,"&gt;="&amp;$J1414,'Weekly Log'!$A:$A,"&lt;"&amp;$J1414+7),0))</f>
        <v/>
      </c>
      <c r="G1414">
        <f>IF($J1414="","",IFERROR(LOOKUP(2,1/(('Weekly Log'!$A$5:$A$5000&gt;=$J1414)*('Weekly Log'!$A$5:$A$5000&lt;$J1414+7)*('Weekly Log'!$M$5:$M$5000&lt;&gt;"")),'Weekly Log'!$M$5:$M$5000),0))</f>
        <v/>
      </c>
      <c r="J1414">
        <f>IF(COUNT('Weekly Log'!$A$5:$A$5000)=0,"",IF(MIN('Weekly Log'!$A$5:$A$5000)+7*(ROW()-10)&gt;MAX('Weekly Log'!$A$5:$A$5000),"",MIN('Weekly Log'!$A$5:$A$5000)+7*(ROW()-10)))</f>
        <v/>
      </c>
    </row>
    <row r="1415">
      <c r="A1415">
        <f>IF($J1415="","",YEAR($J1415-WEEKDAY($J1415,2)+4)&amp;"-W"&amp;TEXT(WEEKNUM($J1415,21),"00"))</f>
        <v/>
      </c>
      <c r="B1415">
        <f>IF($J1415="","",SUMIFS('Weekly Log'!$C:$C,'Weekly Log'!$A:$A,"&gt;="&amp;$J1415,'Weekly Log'!$A:$A,"&lt;"&amp;$J1415+7))</f>
        <v/>
      </c>
      <c r="C1415">
        <f>IF($J1415="","",IFERROR(COUNTIFS('Weekly Log'!$G:$G,"Y",'Weekly Log'!$A:$A,"&gt;="&amp;$J1415,'Weekly Log'!$A:$A,"&lt;"&amp;$J1415+7)/COUNTIFS('Weekly Log'!$G:$G,"&lt;&gt;",'Weekly Log'!$A:$A,"&gt;="&amp;$J1415,'Weekly Log'!$A:$A,"&lt;"&amp;$J1415+7),0))</f>
        <v/>
      </c>
      <c r="D1415">
        <f>IF($J1415="","",IFERROR(COUNTIFS('Weekly Log'!$H:$H,"Y",'Weekly Log'!$A:$A,"&gt;="&amp;$J1415,'Weekly Log'!$A:$A,"&lt;"&amp;$J1415+7)/COUNTIFS('Weekly Log'!$H:$H,"&lt;&gt;",'Weekly Log'!$A:$A,"&gt;="&amp;$J1415,'Weekly Log'!$A:$A,"&lt;"&amp;$J1415+7),0))</f>
        <v/>
      </c>
      <c r="E1415">
        <f>IF($J1415="","",IFERROR(AVERAGEIFS('Weekly Log'!$F:$F,'Weekly Log'!$A:$A,"&gt;="&amp;$J1415,'Weekly Log'!$A:$A,"&lt;"&amp;$J1415+7),0))</f>
        <v/>
      </c>
      <c r="F1415">
        <f>IF($J1415="","",IFERROR(SUMIFS('Weekly Log'!$F:$F,'Weekly Log'!$A:$A,"&gt;="&amp;$J1415,'Weekly Log'!$A:$A,"&lt;"&amp;$J1415+7)/SUMIFS('Weekly Log'!$E:$E,'Weekly Log'!$A:$A,"&gt;="&amp;$J1415,'Weekly Log'!$A:$A,"&lt;"&amp;$J1415+7),0))</f>
        <v/>
      </c>
      <c r="G1415">
        <f>IF($J1415="","",IFERROR(LOOKUP(2,1/(('Weekly Log'!$A$5:$A$5000&gt;=$J1415)*('Weekly Log'!$A$5:$A$5000&lt;$J1415+7)*('Weekly Log'!$M$5:$M$5000&lt;&gt;"")),'Weekly Log'!$M$5:$M$5000),0))</f>
        <v/>
      </c>
      <c r="J1415">
        <f>IF(COUNT('Weekly Log'!$A$5:$A$5000)=0,"",IF(MIN('Weekly Log'!$A$5:$A$5000)+7*(ROW()-10)&gt;MAX('Weekly Log'!$A$5:$A$5000),"",MIN('Weekly Log'!$A$5:$A$5000)+7*(ROW()-10)))</f>
        <v/>
      </c>
    </row>
    <row r="1416">
      <c r="A1416">
        <f>IF($J1416="","",YEAR($J1416-WEEKDAY($J1416,2)+4)&amp;"-W"&amp;TEXT(WEEKNUM($J1416,21),"00"))</f>
        <v/>
      </c>
      <c r="B1416">
        <f>IF($J1416="","",SUMIFS('Weekly Log'!$C:$C,'Weekly Log'!$A:$A,"&gt;="&amp;$J1416,'Weekly Log'!$A:$A,"&lt;"&amp;$J1416+7))</f>
        <v/>
      </c>
      <c r="C1416">
        <f>IF($J1416="","",IFERROR(COUNTIFS('Weekly Log'!$G:$G,"Y",'Weekly Log'!$A:$A,"&gt;="&amp;$J1416,'Weekly Log'!$A:$A,"&lt;"&amp;$J1416+7)/COUNTIFS('Weekly Log'!$G:$G,"&lt;&gt;",'Weekly Log'!$A:$A,"&gt;="&amp;$J1416,'Weekly Log'!$A:$A,"&lt;"&amp;$J1416+7),0))</f>
        <v/>
      </c>
      <c r="D1416">
        <f>IF($J1416="","",IFERROR(COUNTIFS('Weekly Log'!$H:$H,"Y",'Weekly Log'!$A:$A,"&gt;="&amp;$J1416,'Weekly Log'!$A:$A,"&lt;"&amp;$J1416+7)/COUNTIFS('Weekly Log'!$H:$H,"&lt;&gt;",'Weekly Log'!$A:$A,"&gt;="&amp;$J1416,'Weekly Log'!$A:$A,"&lt;"&amp;$J1416+7),0))</f>
        <v/>
      </c>
      <c r="E1416">
        <f>IF($J1416="","",IFERROR(AVERAGEIFS('Weekly Log'!$F:$F,'Weekly Log'!$A:$A,"&gt;="&amp;$J1416,'Weekly Log'!$A:$A,"&lt;"&amp;$J1416+7),0))</f>
        <v/>
      </c>
      <c r="F1416">
        <f>IF($J1416="","",IFERROR(SUMIFS('Weekly Log'!$F:$F,'Weekly Log'!$A:$A,"&gt;="&amp;$J1416,'Weekly Log'!$A:$A,"&lt;"&amp;$J1416+7)/SUMIFS('Weekly Log'!$E:$E,'Weekly Log'!$A:$A,"&gt;="&amp;$J1416,'Weekly Log'!$A:$A,"&lt;"&amp;$J1416+7),0))</f>
        <v/>
      </c>
      <c r="G1416">
        <f>IF($J1416="","",IFERROR(LOOKUP(2,1/(('Weekly Log'!$A$5:$A$5000&gt;=$J1416)*('Weekly Log'!$A$5:$A$5000&lt;$J1416+7)*('Weekly Log'!$M$5:$M$5000&lt;&gt;"")),'Weekly Log'!$M$5:$M$5000),0))</f>
        <v/>
      </c>
      <c r="J1416">
        <f>IF(COUNT('Weekly Log'!$A$5:$A$5000)=0,"",IF(MIN('Weekly Log'!$A$5:$A$5000)+7*(ROW()-10)&gt;MAX('Weekly Log'!$A$5:$A$5000),"",MIN('Weekly Log'!$A$5:$A$5000)+7*(ROW()-10)))</f>
        <v/>
      </c>
    </row>
    <row r="1417">
      <c r="A1417">
        <f>IF($J1417="","",YEAR($J1417-WEEKDAY($J1417,2)+4)&amp;"-W"&amp;TEXT(WEEKNUM($J1417,21),"00"))</f>
        <v/>
      </c>
      <c r="B1417">
        <f>IF($J1417="","",SUMIFS('Weekly Log'!$C:$C,'Weekly Log'!$A:$A,"&gt;="&amp;$J1417,'Weekly Log'!$A:$A,"&lt;"&amp;$J1417+7))</f>
        <v/>
      </c>
      <c r="C1417">
        <f>IF($J1417="","",IFERROR(COUNTIFS('Weekly Log'!$G:$G,"Y",'Weekly Log'!$A:$A,"&gt;="&amp;$J1417,'Weekly Log'!$A:$A,"&lt;"&amp;$J1417+7)/COUNTIFS('Weekly Log'!$G:$G,"&lt;&gt;",'Weekly Log'!$A:$A,"&gt;="&amp;$J1417,'Weekly Log'!$A:$A,"&lt;"&amp;$J1417+7),0))</f>
        <v/>
      </c>
      <c r="D1417">
        <f>IF($J1417="","",IFERROR(COUNTIFS('Weekly Log'!$H:$H,"Y",'Weekly Log'!$A:$A,"&gt;="&amp;$J1417,'Weekly Log'!$A:$A,"&lt;"&amp;$J1417+7)/COUNTIFS('Weekly Log'!$H:$H,"&lt;&gt;",'Weekly Log'!$A:$A,"&gt;="&amp;$J1417,'Weekly Log'!$A:$A,"&lt;"&amp;$J1417+7),0))</f>
        <v/>
      </c>
      <c r="E1417">
        <f>IF($J1417="","",IFERROR(AVERAGEIFS('Weekly Log'!$F:$F,'Weekly Log'!$A:$A,"&gt;="&amp;$J1417,'Weekly Log'!$A:$A,"&lt;"&amp;$J1417+7),0))</f>
        <v/>
      </c>
      <c r="F1417">
        <f>IF($J1417="","",IFERROR(SUMIFS('Weekly Log'!$F:$F,'Weekly Log'!$A:$A,"&gt;="&amp;$J1417,'Weekly Log'!$A:$A,"&lt;"&amp;$J1417+7)/SUMIFS('Weekly Log'!$E:$E,'Weekly Log'!$A:$A,"&gt;="&amp;$J1417,'Weekly Log'!$A:$A,"&lt;"&amp;$J1417+7),0))</f>
        <v/>
      </c>
      <c r="G1417">
        <f>IF($J1417="","",IFERROR(LOOKUP(2,1/(('Weekly Log'!$A$5:$A$5000&gt;=$J1417)*('Weekly Log'!$A$5:$A$5000&lt;$J1417+7)*('Weekly Log'!$M$5:$M$5000&lt;&gt;"")),'Weekly Log'!$M$5:$M$5000),0))</f>
        <v/>
      </c>
      <c r="J1417">
        <f>IF(COUNT('Weekly Log'!$A$5:$A$5000)=0,"",IF(MIN('Weekly Log'!$A$5:$A$5000)+7*(ROW()-10)&gt;MAX('Weekly Log'!$A$5:$A$5000),"",MIN('Weekly Log'!$A$5:$A$5000)+7*(ROW()-10)))</f>
        <v/>
      </c>
    </row>
    <row r="1418">
      <c r="A1418">
        <f>IF($J1418="","",YEAR($J1418-WEEKDAY($J1418,2)+4)&amp;"-W"&amp;TEXT(WEEKNUM($J1418,21),"00"))</f>
        <v/>
      </c>
      <c r="B1418">
        <f>IF($J1418="","",SUMIFS('Weekly Log'!$C:$C,'Weekly Log'!$A:$A,"&gt;="&amp;$J1418,'Weekly Log'!$A:$A,"&lt;"&amp;$J1418+7))</f>
        <v/>
      </c>
      <c r="C1418">
        <f>IF($J1418="","",IFERROR(COUNTIFS('Weekly Log'!$G:$G,"Y",'Weekly Log'!$A:$A,"&gt;="&amp;$J1418,'Weekly Log'!$A:$A,"&lt;"&amp;$J1418+7)/COUNTIFS('Weekly Log'!$G:$G,"&lt;&gt;",'Weekly Log'!$A:$A,"&gt;="&amp;$J1418,'Weekly Log'!$A:$A,"&lt;"&amp;$J1418+7),0))</f>
        <v/>
      </c>
      <c r="D1418">
        <f>IF($J1418="","",IFERROR(COUNTIFS('Weekly Log'!$H:$H,"Y",'Weekly Log'!$A:$A,"&gt;="&amp;$J1418,'Weekly Log'!$A:$A,"&lt;"&amp;$J1418+7)/COUNTIFS('Weekly Log'!$H:$H,"&lt;&gt;",'Weekly Log'!$A:$A,"&gt;="&amp;$J1418,'Weekly Log'!$A:$A,"&lt;"&amp;$J1418+7),0))</f>
        <v/>
      </c>
      <c r="E1418">
        <f>IF($J1418="","",IFERROR(AVERAGEIFS('Weekly Log'!$F:$F,'Weekly Log'!$A:$A,"&gt;="&amp;$J1418,'Weekly Log'!$A:$A,"&lt;"&amp;$J1418+7),0))</f>
        <v/>
      </c>
      <c r="F1418">
        <f>IF($J1418="","",IFERROR(SUMIFS('Weekly Log'!$F:$F,'Weekly Log'!$A:$A,"&gt;="&amp;$J1418,'Weekly Log'!$A:$A,"&lt;"&amp;$J1418+7)/SUMIFS('Weekly Log'!$E:$E,'Weekly Log'!$A:$A,"&gt;="&amp;$J1418,'Weekly Log'!$A:$A,"&lt;"&amp;$J1418+7),0))</f>
        <v/>
      </c>
      <c r="G1418">
        <f>IF($J1418="","",IFERROR(LOOKUP(2,1/(('Weekly Log'!$A$5:$A$5000&gt;=$J1418)*('Weekly Log'!$A$5:$A$5000&lt;$J1418+7)*('Weekly Log'!$M$5:$M$5000&lt;&gt;"")),'Weekly Log'!$M$5:$M$5000),0))</f>
        <v/>
      </c>
      <c r="J1418">
        <f>IF(COUNT('Weekly Log'!$A$5:$A$5000)=0,"",IF(MIN('Weekly Log'!$A$5:$A$5000)+7*(ROW()-10)&gt;MAX('Weekly Log'!$A$5:$A$5000),"",MIN('Weekly Log'!$A$5:$A$5000)+7*(ROW()-10)))</f>
        <v/>
      </c>
    </row>
    <row r="1419">
      <c r="A1419">
        <f>IF($J1419="","",YEAR($J1419-WEEKDAY($J1419,2)+4)&amp;"-W"&amp;TEXT(WEEKNUM($J1419,21),"00"))</f>
        <v/>
      </c>
      <c r="B1419">
        <f>IF($J1419="","",SUMIFS('Weekly Log'!$C:$C,'Weekly Log'!$A:$A,"&gt;="&amp;$J1419,'Weekly Log'!$A:$A,"&lt;"&amp;$J1419+7))</f>
        <v/>
      </c>
      <c r="C1419">
        <f>IF($J1419="","",IFERROR(COUNTIFS('Weekly Log'!$G:$G,"Y",'Weekly Log'!$A:$A,"&gt;="&amp;$J1419,'Weekly Log'!$A:$A,"&lt;"&amp;$J1419+7)/COUNTIFS('Weekly Log'!$G:$G,"&lt;&gt;",'Weekly Log'!$A:$A,"&gt;="&amp;$J1419,'Weekly Log'!$A:$A,"&lt;"&amp;$J1419+7),0))</f>
        <v/>
      </c>
      <c r="D1419">
        <f>IF($J1419="","",IFERROR(COUNTIFS('Weekly Log'!$H:$H,"Y",'Weekly Log'!$A:$A,"&gt;="&amp;$J1419,'Weekly Log'!$A:$A,"&lt;"&amp;$J1419+7)/COUNTIFS('Weekly Log'!$H:$H,"&lt;&gt;",'Weekly Log'!$A:$A,"&gt;="&amp;$J1419,'Weekly Log'!$A:$A,"&lt;"&amp;$J1419+7),0))</f>
        <v/>
      </c>
      <c r="E1419">
        <f>IF($J1419="","",IFERROR(AVERAGEIFS('Weekly Log'!$F:$F,'Weekly Log'!$A:$A,"&gt;="&amp;$J1419,'Weekly Log'!$A:$A,"&lt;"&amp;$J1419+7),0))</f>
        <v/>
      </c>
      <c r="F1419">
        <f>IF($J1419="","",IFERROR(SUMIFS('Weekly Log'!$F:$F,'Weekly Log'!$A:$A,"&gt;="&amp;$J1419,'Weekly Log'!$A:$A,"&lt;"&amp;$J1419+7)/SUMIFS('Weekly Log'!$E:$E,'Weekly Log'!$A:$A,"&gt;="&amp;$J1419,'Weekly Log'!$A:$A,"&lt;"&amp;$J1419+7),0))</f>
        <v/>
      </c>
      <c r="G1419">
        <f>IF($J1419="","",IFERROR(LOOKUP(2,1/(('Weekly Log'!$A$5:$A$5000&gt;=$J1419)*('Weekly Log'!$A$5:$A$5000&lt;$J1419+7)*('Weekly Log'!$M$5:$M$5000&lt;&gt;"")),'Weekly Log'!$M$5:$M$5000),0))</f>
        <v/>
      </c>
      <c r="J1419">
        <f>IF(COUNT('Weekly Log'!$A$5:$A$5000)=0,"",IF(MIN('Weekly Log'!$A$5:$A$5000)+7*(ROW()-10)&gt;MAX('Weekly Log'!$A$5:$A$5000),"",MIN('Weekly Log'!$A$5:$A$5000)+7*(ROW()-10)))</f>
        <v/>
      </c>
    </row>
    <row r="1420">
      <c r="A1420">
        <f>IF($J1420="","",YEAR($J1420-WEEKDAY($J1420,2)+4)&amp;"-W"&amp;TEXT(WEEKNUM($J1420,21),"00"))</f>
        <v/>
      </c>
      <c r="B1420">
        <f>IF($J1420="","",SUMIFS('Weekly Log'!$C:$C,'Weekly Log'!$A:$A,"&gt;="&amp;$J1420,'Weekly Log'!$A:$A,"&lt;"&amp;$J1420+7))</f>
        <v/>
      </c>
      <c r="C1420">
        <f>IF($J1420="","",IFERROR(COUNTIFS('Weekly Log'!$G:$G,"Y",'Weekly Log'!$A:$A,"&gt;="&amp;$J1420,'Weekly Log'!$A:$A,"&lt;"&amp;$J1420+7)/COUNTIFS('Weekly Log'!$G:$G,"&lt;&gt;",'Weekly Log'!$A:$A,"&gt;="&amp;$J1420,'Weekly Log'!$A:$A,"&lt;"&amp;$J1420+7),0))</f>
        <v/>
      </c>
      <c r="D1420">
        <f>IF($J1420="","",IFERROR(COUNTIFS('Weekly Log'!$H:$H,"Y",'Weekly Log'!$A:$A,"&gt;="&amp;$J1420,'Weekly Log'!$A:$A,"&lt;"&amp;$J1420+7)/COUNTIFS('Weekly Log'!$H:$H,"&lt;&gt;",'Weekly Log'!$A:$A,"&gt;="&amp;$J1420,'Weekly Log'!$A:$A,"&lt;"&amp;$J1420+7),0))</f>
        <v/>
      </c>
      <c r="E1420">
        <f>IF($J1420="","",IFERROR(AVERAGEIFS('Weekly Log'!$F:$F,'Weekly Log'!$A:$A,"&gt;="&amp;$J1420,'Weekly Log'!$A:$A,"&lt;"&amp;$J1420+7),0))</f>
        <v/>
      </c>
      <c r="F1420">
        <f>IF($J1420="","",IFERROR(SUMIFS('Weekly Log'!$F:$F,'Weekly Log'!$A:$A,"&gt;="&amp;$J1420,'Weekly Log'!$A:$A,"&lt;"&amp;$J1420+7)/SUMIFS('Weekly Log'!$E:$E,'Weekly Log'!$A:$A,"&gt;="&amp;$J1420,'Weekly Log'!$A:$A,"&lt;"&amp;$J1420+7),0))</f>
        <v/>
      </c>
      <c r="G1420">
        <f>IF($J1420="","",IFERROR(LOOKUP(2,1/(('Weekly Log'!$A$5:$A$5000&gt;=$J1420)*('Weekly Log'!$A$5:$A$5000&lt;$J1420+7)*('Weekly Log'!$M$5:$M$5000&lt;&gt;"")),'Weekly Log'!$M$5:$M$5000),0))</f>
        <v/>
      </c>
      <c r="J1420">
        <f>IF(COUNT('Weekly Log'!$A$5:$A$5000)=0,"",IF(MIN('Weekly Log'!$A$5:$A$5000)+7*(ROW()-10)&gt;MAX('Weekly Log'!$A$5:$A$5000),"",MIN('Weekly Log'!$A$5:$A$5000)+7*(ROW()-10)))</f>
        <v/>
      </c>
    </row>
    <row r="1421">
      <c r="A1421">
        <f>IF($J1421="","",YEAR($J1421-WEEKDAY($J1421,2)+4)&amp;"-W"&amp;TEXT(WEEKNUM($J1421,21),"00"))</f>
        <v/>
      </c>
      <c r="B1421">
        <f>IF($J1421="","",SUMIFS('Weekly Log'!$C:$C,'Weekly Log'!$A:$A,"&gt;="&amp;$J1421,'Weekly Log'!$A:$A,"&lt;"&amp;$J1421+7))</f>
        <v/>
      </c>
      <c r="C1421">
        <f>IF($J1421="","",IFERROR(COUNTIFS('Weekly Log'!$G:$G,"Y",'Weekly Log'!$A:$A,"&gt;="&amp;$J1421,'Weekly Log'!$A:$A,"&lt;"&amp;$J1421+7)/COUNTIFS('Weekly Log'!$G:$G,"&lt;&gt;",'Weekly Log'!$A:$A,"&gt;="&amp;$J1421,'Weekly Log'!$A:$A,"&lt;"&amp;$J1421+7),0))</f>
        <v/>
      </c>
      <c r="D1421">
        <f>IF($J1421="","",IFERROR(COUNTIFS('Weekly Log'!$H:$H,"Y",'Weekly Log'!$A:$A,"&gt;="&amp;$J1421,'Weekly Log'!$A:$A,"&lt;"&amp;$J1421+7)/COUNTIFS('Weekly Log'!$H:$H,"&lt;&gt;",'Weekly Log'!$A:$A,"&gt;="&amp;$J1421,'Weekly Log'!$A:$A,"&lt;"&amp;$J1421+7),0))</f>
        <v/>
      </c>
      <c r="E1421">
        <f>IF($J1421="","",IFERROR(AVERAGEIFS('Weekly Log'!$F:$F,'Weekly Log'!$A:$A,"&gt;="&amp;$J1421,'Weekly Log'!$A:$A,"&lt;"&amp;$J1421+7),0))</f>
        <v/>
      </c>
      <c r="F1421">
        <f>IF($J1421="","",IFERROR(SUMIFS('Weekly Log'!$F:$F,'Weekly Log'!$A:$A,"&gt;="&amp;$J1421,'Weekly Log'!$A:$A,"&lt;"&amp;$J1421+7)/SUMIFS('Weekly Log'!$E:$E,'Weekly Log'!$A:$A,"&gt;="&amp;$J1421,'Weekly Log'!$A:$A,"&lt;"&amp;$J1421+7),0))</f>
        <v/>
      </c>
      <c r="G1421">
        <f>IF($J1421="","",IFERROR(LOOKUP(2,1/(('Weekly Log'!$A$5:$A$5000&gt;=$J1421)*('Weekly Log'!$A$5:$A$5000&lt;$J1421+7)*('Weekly Log'!$M$5:$M$5000&lt;&gt;"")),'Weekly Log'!$M$5:$M$5000),0))</f>
        <v/>
      </c>
      <c r="J1421">
        <f>IF(COUNT('Weekly Log'!$A$5:$A$5000)=0,"",IF(MIN('Weekly Log'!$A$5:$A$5000)+7*(ROW()-10)&gt;MAX('Weekly Log'!$A$5:$A$5000),"",MIN('Weekly Log'!$A$5:$A$5000)+7*(ROW()-10)))</f>
        <v/>
      </c>
    </row>
    <row r="1422">
      <c r="A1422">
        <f>IF($J1422="","",YEAR($J1422-WEEKDAY($J1422,2)+4)&amp;"-W"&amp;TEXT(WEEKNUM($J1422,21),"00"))</f>
        <v/>
      </c>
      <c r="B1422">
        <f>IF($J1422="","",SUMIFS('Weekly Log'!$C:$C,'Weekly Log'!$A:$A,"&gt;="&amp;$J1422,'Weekly Log'!$A:$A,"&lt;"&amp;$J1422+7))</f>
        <v/>
      </c>
      <c r="C1422">
        <f>IF($J1422="","",IFERROR(COUNTIFS('Weekly Log'!$G:$G,"Y",'Weekly Log'!$A:$A,"&gt;="&amp;$J1422,'Weekly Log'!$A:$A,"&lt;"&amp;$J1422+7)/COUNTIFS('Weekly Log'!$G:$G,"&lt;&gt;",'Weekly Log'!$A:$A,"&gt;="&amp;$J1422,'Weekly Log'!$A:$A,"&lt;"&amp;$J1422+7),0))</f>
        <v/>
      </c>
      <c r="D1422">
        <f>IF($J1422="","",IFERROR(COUNTIFS('Weekly Log'!$H:$H,"Y",'Weekly Log'!$A:$A,"&gt;="&amp;$J1422,'Weekly Log'!$A:$A,"&lt;"&amp;$J1422+7)/COUNTIFS('Weekly Log'!$H:$H,"&lt;&gt;",'Weekly Log'!$A:$A,"&gt;="&amp;$J1422,'Weekly Log'!$A:$A,"&lt;"&amp;$J1422+7),0))</f>
        <v/>
      </c>
      <c r="E1422">
        <f>IF($J1422="","",IFERROR(AVERAGEIFS('Weekly Log'!$F:$F,'Weekly Log'!$A:$A,"&gt;="&amp;$J1422,'Weekly Log'!$A:$A,"&lt;"&amp;$J1422+7),0))</f>
        <v/>
      </c>
      <c r="F1422">
        <f>IF($J1422="","",IFERROR(SUMIFS('Weekly Log'!$F:$F,'Weekly Log'!$A:$A,"&gt;="&amp;$J1422,'Weekly Log'!$A:$A,"&lt;"&amp;$J1422+7)/SUMIFS('Weekly Log'!$E:$E,'Weekly Log'!$A:$A,"&gt;="&amp;$J1422,'Weekly Log'!$A:$A,"&lt;"&amp;$J1422+7),0))</f>
        <v/>
      </c>
      <c r="G1422">
        <f>IF($J1422="","",IFERROR(LOOKUP(2,1/(('Weekly Log'!$A$5:$A$5000&gt;=$J1422)*('Weekly Log'!$A$5:$A$5000&lt;$J1422+7)*('Weekly Log'!$M$5:$M$5000&lt;&gt;"")),'Weekly Log'!$M$5:$M$5000),0))</f>
        <v/>
      </c>
      <c r="J1422">
        <f>IF(COUNT('Weekly Log'!$A$5:$A$5000)=0,"",IF(MIN('Weekly Log'!$A$5:$A$5000)+7*(ROW()-10)&gt;MAX('Weekly Log'!$A$5:$A$5000),"",MIN('Weekly Log'!$A$5:$A$5000)+7*(ROW()-10)))</f>
        <v/>
      </c>
    </row>
    <row r="1423">
      <c r="A1423">
        <f>IF($J1423="","",YEAR($J1423-WEEKDAY($J1423,2)+4)&amp;"-W"&amp;TEXT(WEEKNUM($J1423,21),"00"))</f>
        <v/>
      </c>
      <c r="B1423">
        <f>IF($J1423="","",SUMIFS('Weekly Log'!$C:$C,'Weekly Log'!$A:$A,"&gt;="&amp;$J1423,'Weekly Log'!$A:$A,"&lt;"&amp;$J1423+7))</f>
        <v/>
      </c>
      <c r="C1423">
        <f>IF($J1423="","",IFERROR(COUNTIFS('Weekly Log'!$G:$G,"Y",'Weekly Log'!$A:$A,"&gt;="&amp;$J1423,'Weekly Log'!$A:$A,"&lt;"&amp;$J1423+7)/COUNTIFS('Weekly Log'!$G:$G,"&lt;&gt;",'Weekly Log'!$A:$A,"&gt;="&amp;$J1423,'Weekly Log'!$A:$A,"&lt;"&amp;$J1423+7),0))</f>
        <v/>
      </c>
      <c r="D1423">
        <f>IF($J1423="","",IFERROR(COUNTIFS('Weekly Log'!$H:$H,"Y",'Weekly Log'!$A:$A,"&gt;="&amp;$J1423,'Weekly Log'!$A:$A,"&lt;"&amp;$J1423+7)/COUNTIFS('Weekly Log'!$H:$H,"&lt;&gt;",'Weekly Log'!$A:$A,"&gt;="&amp;$J1423,'Weekly Log'!$A:$A,"&lt;"&amp;$J1423+7),0))</f>
        <v/>
      </c>
      <c r="E1423">
        <f>IF($J1423="","",IFERROR(AVERAGEIFS('Weekly Log'!$F:$F,'Weekly Log'!$A:$A,"&gt;="&amp;$J1423,'Weekly Log'!$A:$A,"&lt;"&amp;$J1423+7),0))</f>
        <v/>
      </c>
      <c r="F1423">
        <f>IF($J1423="","",IFERROR(SUMIFS('Weekly Log'!$F:$F,'Weekly Log'!$A:$A,"&gt;="&amp;$J1423,'Weekly Log'!$A:$A,"&lt;"&amp;$J1423+7)/SUMIFS('Weekly Log'!$E:$E,'Weekly Log'!$A:$A,"&gt;="&amp;$J1423,'Weekly Log'!$A:$A,"&lt;"&amp;$J1423+7),0))</f>
        <v/>
      </c>
      <c r="G1423">
        <f>IF($J1423="","",IFERROR(LOOKUP(2,1/(('Weekly Log'!$A$5:$A$5000&gt;=$J1423)*('Weekly Log'!$A$5:$A$5000&lt;$J1423+7)*('Weekly Log'!$M$5:$M$5000&lt;&gt;"")),'Weekly Log'!$M$5:$M$5000),0))</f>
        <v/>
      </c>
      <c r="J1423">
        <f>IF(COUNT('Weekly Log'!$A$5:$A$5000)=0,"",IF(MIN('Weekly Log'!$A$5:$A$5000)+7*(ROW()-10)&gt;MAX('Weekly Log'!$A$5:$A$5000),"",MIN('Weekly Log'!$A$5:$A$5000)+7*(ROW()-10)))</f>
        <v/>
      </c>
    </row>
    <row r="1424">
      <c r="A1424">
        <f>IF($J1424="","",YEAR($J1424-WEEKDAY($J1424,2)+4)&amp;"-W"&amp;TEXT(WEEKNUM($J1424,21),"00"))</f>
        <v/>
      </c>
      <c r="B1424">
        <f>IF($J1424="","",SUMIFS('Weekly Log'!$C:$C,'Weekly Log'!$A:$A,"&gt;="&amp;$J1424,'Weekly Log'!$A:$A,"&lt;"&amp;$J1424+7))</f>
        <v/>
      </c>
      <c r="C1424">
        <f>IF($J1424="","",IFERROR(COUNTIFS('Weekly Log'!$G:$G,"Y",'Weekly Log'!$A:$A,"&gt;="&amp;$J1424,'Weekly Log'!$A:$A,"&lt;"&amp;$J1424+7)/COUNTIFS('Weekly Log'!$G:$G,"&lt;&gt;",'Weekly Log'!$A:$A,"&gt;="&amp;$J1424,'Weekly Log'!$A:$A,"&lt;"&amp;$J1424+7),0))</f>
        <v/>
      </c>
      <c r="D1424">
        <f>IF($J1424="","",IFERROR(COUNTIFS('Weekly Log'!$H:$H,"Y",'Weekly Log'!$A:$A,"&gt;="&amp;$J1424,'Weekly Log'!$A:$A,"&lt;"&amp;$J1424+7)/COUNTIFS('Weekly Log'!$H:$H,"&lt;&gt;",'Weekly Log'!$A:$A,"&gt;="&amp;$J1424,'Weekly Log'!$A:$A,"&lt;"&amp;$J1424+7),0))</f>
        <v/>
      </c>
      <c r="E1424">
        <f>IF($J1424="","",IFERROR(AVERAGEIFS('Weekly Log'!$F:$F,'Weekly Log'!$A:$A,"&gt;="&amp;$J1424,'Weekly Log'!$A:$A,"&lt;"&amp;$J1424+7),0))</f>
        <v/>
      </c>
      <c r="F1424">
        <f>IF($J1424="","",IFERROR(SUMIFS('Weekly Log'!$F:$F,'Weekly Log'!$A:$A,"&gt;="&amp;$J1424,'Weekly Log'!$A:$A,"&lt;"&amp;$J1424+7)/SUMIFS('Weekly Log'!$E:$E,'Weekly Log'!$A:$A,"&gt;="&amp;$J1424,'Weekly Log'!$A:$A,"&lt;"&amp;$J1424+7),0))</f>
        <v/>
      </c>
      <c r="G1424">
        <f>IF($J1424="","",IFERROR(LOOKUP(2,1/(('Weekly Log'!$A$5:$A$5000&gt;=$J1424)*('Weekly Log'!$A$5:$A$5000&lt;$J1424+7)*('Weekly Log'!$M$5:$M$5000&lt;&gt;"")),'Weekly Log'!$M$5:$M$5000),0))</f>
        <v/>
      </c>
      <c r="J1424">
        <f>IF(COUNT('Weekly Log'!$A$5:$A$5000)=0,"",IF(MIN('Weekly Log'!$A$5:$A$5000)+7*(ROW()-10)&gt;MAX('Weekly Log'!$A$5:$A$5000),"",MIN('Weekly Log'!$A$5:$A$5000)+7*(ROW()-10)))</f>
        <v/>
      </c>
    </row>
    <row r="1425">
      <c r="A1425">
        <f>IF($J1425="","",YEAR($J1425-WEEKDAY($J1425,2)+4)&amp;"-W"&amp;TEXT(WEEKNUM($J1425,21),"00"))</f>
        <v/>
      </c>
      <c r="B1425">
        <f>IF($J1425="","",SUMIFS('Weekly Log'!$C:$C,'Weekly Log'!$A:$A,"&gt;="&amp;$J1425,'Weekly Log'!$A:$A,"&lt;"&amp;$J1425+7))</f>
        <v/>
      </c>
      <c r="C1425">
        <f>IF($J1425="","",IFERROR(COUNTIFS('Weekly Log'!$G:$G,"Y",'Weekly Log'!$A:$A,"&gt;="&amp;$J1425,'Weekly Log'!$A:$A,"&lt;"&amp;$J1425+7)/COUNTIFS('Weekly Log'!$G:$G,"&lt;&gt;",'Weekly Log'!$A:$A,"&gt;="&amp;$J1425,'Weekly Log'!$A:$A,"&lt;"&amp;$J1425+7),0))</f>
        <v/>
      </c>
      <c r="D1425">
        <f>IF($J1425="","",IFERROR(COUNTIFS('Weekly Log'!$H:$H,"Y",'Weekly Log'!$A:$A,"&gt;="&amp;$J1425,'Weekly Log'!$A:$A,"&lt;"&amp;$J1425+7)/COUNTIFS('Weekly Log'!$H:$H,"&lt;&gt;",'Weekly Log'!$A:$A,"&gt;="&amp;$J1425,'Weekly Log'!$A:$A,"&lt;"&amp;$J1425+7),0))</f>
        <v/>
      </c>
      <c r="E1425">
        <f>IF($J1425="","",IFERROR(AVERAGEIFS('Weekly Log'!$F:$F,'Weekly Log'!$A:$A,"&gt;="&amp;$J1425,'Weekly Log'!$A:$A,"&lt;"&amp;$J1425+7),0))</f>
        <v/>
      </c>
      <c r="F1425">
        <f>IF($J1425="","",IFERROR(SUMIFS('Weekly Log'!$F:$F,'Weekly Log'!$A:$A,"&gt;="&amp;$J1425,'Weekly Log'!$A:$A,"&lt;"&amp;$J1425+7)/SUMIFS('Weekly Log'!$E:$E,'Weekly Log'!$A:$A,"&gt;="&amp;$J1425,'Weekly Log'!$A:$A,"&lt;"&amp;$J1425+7),0))</f>
        <v/>
      </c>
      <c r="G1425">
        <f>IF($J1425="","",IFERROR(LOOKUP(2,1/(('Weekly Log'!$A$5:$A$5000&gt;=$J1425)*('Weekly Log'!$A$5:$A$5000&lt;$J1425+7)*('Weekly Log'!$M$5:$M$5000&lt;&gt;"")),'Weekly Log'!$M$5:$M$5000),0))</f>
        <v/>
      </c>
      <c r="J1425">
        <f>IF(COUNT('Weekly Log'!$A$5:$A$5000)=0,"",IF(MIN('Weekly Log'!$A$5:$A$5000)+7*(ROW()-10)&gt;MAX('Weekly Log'!$A$5:$A$5000),"",MIN('Weekly Log'!$A$5:$A$5000)+7*(ROW()-10)))</f>
        <v/>
      </c>
    </row>
    <row r="1426">
      <c r="A1426">
        <f>IF($J1426="","",YEAR($J1426-WEEKDAY($J1426,2)+4)&amp;"-W"&amp;TEXT(WEEKNUM($J1426,21),"00"))</f>
        <v/>
      </c>
      <c r="B1426">
        <f>IF($J1426="","",SUMIFS('Weekly Log'!$C:$C,'Weekly Log'!$A:$A,"&gt;="&amp;$J1426,'Weekly Log'!$A:$A,"&lt;"&amp;$J1426+7))</f>
        <v/>
      </c>
      <c r="C1426">
        <f>IF($J1426="","",IFERROR(COUNTIFS('Weekly Log'!$G:$G,"Y",'Weekly Log'!$A:$A,"&gt;="&amp;$J1426,'Weekly Log'!$A:$A,"&lt;"&amp;$J1426+7)/COUNTIFS('Weekly Log'!$G:$G,"&lt;&gt;",'Weekly Log'!$A:$A,"&gt;="&amp;$J1426,'Weekly Log'!$A:$A,"&lt;"&amp;$J1426+7),0))</f>
        <v/>
      </c>
      <c r="D1426">
        <f>IF($J1426="","",IFERROR(COUNTIFS('Weekly Log'!$H:$H,"Y",'Weekly Log'!$A:$A,"&gt;="&amp;$J1426,'Weekly Log'!$A:$A,"&lt;"&amp;$J1426+7)/COUNTIFS('Weekly Log'!$H:$H,"&lt;&gt;",'Weekly Log'!$A:$A,"&gt;="&amp;$J1426,'Weekly Log'!$A:$A,"&lt;"&amp;$J1426+7),0))</f>
        <v/>
      </c>
      <c r="E1426">
        <f>IF($J1426="","",IFERROR(AVERAGEIFS('Weekly Log'!$F:$F,'Weekly Log'!$A:$A,"&gt;="&amp;$J1426,'Weekly Log'!$A:$A,"&lt;"&amp;$J1426+7),0))</f>
        <v/>
      </c>
      <c r="F1426">
        <f>IF($J1426="","",IFERROR(SUMIFS('Weekly Log'!$F:$F,'Weekly Log'!$A:$A,"&gt;="&amp;$J1426,'Weekly Log'!$A:$A,"&lt;"&amp;$J1426+7)/SUMIFS('Weekly Log'!$E:$E,'Weekly Log'!$A:$A,"&gt;="&amp;$J1426,'Weekly Log'!$A:$A,"&lt;"&amp;$J1426+7),0))</f>
        <v/>
      </c>
      <c r="G1426">
        <f>IF($J1426="","",IFERROR(LOOKUP(2,1/(('Weekly Log'!$A$5:$A$5000&gt;=$J1426)*('Weekly Log'!$A$5:$A$5000&lt;$J1426+7)*('Weekly Log'!$M$5:$M$5000&lt;&gt;"")),'Weekly Log'!$M$5:$M$5000),0))</f>
        <v/>
      </c>
      <c r="J1426">
        <f>IF(COUNT('Weekly Log'!$A$5:$A$5000)=0,"",IF(MIN('Weekly Log'!$A$5:$A$5000)+7*(ROW()-10)&gt;MAX('Weekly Log'!$A$5:$A$5000),"",MIN('Weekly Log'!$A$5:$A$5000)+7*(ROW()-10)))</f>
        <v/>
      </c>
    </row>
    <row r="1427">
      <c r="A1427">
        <f>IF($J1427="","",YEAR($J1427-WEEKDAY($J1427,2)+4)&amp;"-W"&amp;TEXT(WEEKNUM($J1427,21),"00"))</f>
        <v/>
      </c>
      <c r="B1427">
        <f>IF($J1427="","",SUMIFS('Weekly Log'!$C:$C,'Weekly Log'!$A:$A,"&gt;="&amp;$J1427,'Weekly Log'!$A:$A,"&lt;"&amp;$J1427+7))</f>
        <v/>
      </c>
      <c r="C1427">
        <f>IF($J1427="","",IFERROR(COUNTIFS('Weekly Log'!$G:$G,"Y",'Weekly Log'!$A:$A,"&gt;="&amp;$J1427,'Weekly Log'!$A:$A,"&lt;"&amp;$J1427+7)/COUNTIFS('Weekly Log'!$G:$G,"&lt;&gt;",'Weekly Log'!$A:$A,"&gt;="&amp;$J1427,'Weekly Log'!$A:$A,"&lt;"&amp;$J1427+7),0))</f>
        <v/>
      </c>
      <c r="D1427">
        <f>IF($J1427="","",IFERROR(COUNTIFS('Weekly Log'!$H:$H,"Y",'Weekly Log'!$A:$A,"&gt;="&amp;$J1427,'Weekly Log'!$A:$A,"&lt;"&amp;$J1427+7)/COUNTIFS('Weekly Log'!$H:$H,"&lt;&gt;",'Weekly Log'!$A:$A,"&gt;="&amp;$J1427,'Weekly Log'!$A:$A,"&lt;"&amp;$J1427+7),0))</f>
        <v/>
      </c>
      <c r="E1427">
        <f>IF($J1427="","",IFERROR(AVERAGEIFS('Weekly Log'!$F:$F,'Weekly Log'!$A:$A,"&gt;="&amp;$J1427,'Weekly Log'!$A:$A,"&lt;"&amp;$J1427+7),0))</f>
        <v/>
      </c>
      <c r="F1427">
        <f>IF($J1427="","",IFERROR(SUMIFS('Weekly Log'!$F:$F,'Weekly Log'!$A:$A,"&gt;="&amp;$J1427,'Weekly Log'!$A:$A,"&lt;"&amp;$J1427+7)/SUMIFS('Weekly Log'!$E:$E,'Weekly Log'!$A:$A,"&gt;="&amp;$J1427,'Weekly Log'!$A:$A,"&lt;"&amp;$J1427+7),0))</f>
        <v/>
      </c>
      <c r="G1427">
        <f>IF($J1427="","",IFERROR(LOOKUP(2,1/(('Weekly Log'!$A$5:$A$5000&gt;=$J1427)*('Weekly Log'!$A$5:$A$5000&lt;$J1427+7)*('Weekly Log'!$M$5:$M$5000&lt;&gt;"")),'Weekly Log'!$M$5:$M$5000),0))</f>
        <v/>
      </c>
      <c r="J1427">
        <f>IF(COUNT('Weekly Log'!$A$5:$A$5000)=0,"",IF(MIN('Weekly Log'!$A$5:$A$5000)+7*(ROW()-10)&gt;MAX('Weekly Log'!$A$5:$A$5000),"",MIN('Weekly Log'!$A$5:$A$5000)+7*(ROW()-10)))</f>
        <v/>
      </c>
    </row>
    <row r="1428">
      <c r="A1428">
        <f>IF($J1428="","",YEAR($J1428-WEEKDAY($J1428,2)+4)&amp;"-W"&amp;TEXT(WEEKNUM($J1428,21),"00"))</f>
        <v/>
      </c>
      <c r="B1428">
        <f>IF($J1428="","",SUMIFS('Weekly Log'!$C:$C,'Weekly Log'!$A:$A,"&gt;="&amp;$J1428,'Weekly Log'!$A:$A,"&lt;"&amp;$J1428+7))</f>
        <v/>
      </c>
      <c r="C1428">
        <f>IF($J1428="","",IFERROR(COUNTIFS('Weekly Log'!$G:$G,"Y",'Weekly Log'!$A:$A,"&gt;="&amp;$J1428,'Weekly Log'!$A:$A,"&lt;"&amp;$J1428+7)/COUNTIFS('Weekly Log'!$G:$G,"&lt;&gt;",'Weekly Log'!$A:$A,"&gt;="&amp;$J1428,'Weekly Log'!$A:$A,"&lt;"&amp;$J1428+7),0))</f>
        <v/>
      </c>
      <c r="D1428">
        <f>IF($J1428="","",IFERROR(COUNTIFS('Weekly Log'!$H:$H,"Y",'Weekly Log'!$A:$A,"&gt;="&amp;$J1428,'Weekly Log'!$A:$A,"&lt;"&amp;$J1428+7)/COUNTIFS('Weekly Log'!$H:$H,"&lt;&gt;",'Weekly Log'!$A:$A,"&gt;="&amp;$J1428,'Weekly Log'!$A:$A,"&lt;"&amp;$J1428+7),0))</f>
        <v/>
      </c>
      <c r="E1428">
        <f>IF($J1428="","",IFERROR(AVERAGEIFS('Weekly Log'!$F:$F,'Weekly Log'!$A:$A,"&gt;="&amp;$J1428,'Weekly Log'!$A:$A,"&lt;"&amp;$J1428+7),0))</f>
        <v/>
      </c>
      <c r="F1428">
        <f>IF($J1428="","",IFERROR(SUMIFS('Weekly Log'!$F:$F,'Weekly Log'!$A:$A,"&gt;="&amp;$J1428,'Weekly Log'!$A:$A,"&lt;"&amp;$J1428+7)/SUMIFS('Weekly Log'!$E:$E,'Weekly Log'!$A:$A,"&gt;="&amp;$J1428,'Weekly Log'!$A:$A,"&lt;"&amp;$J1428+7),0))</f>
        <v/>
      </c>
      <c r="G1428">
        <f>IF($J1428="","",IFERROR(LOOKUP(2,1/(('Weekly Log'!$A$5:$A$5000&gt;=$J1428)*('Weekly Log'!$A$5:$A$5000&lt;$J1428+7)*('Weekly Log'!$M$5:$M$5000&lt;&gt;"")),'Weekly Log'!$M$5:$M$5000),0))</f>
        <v/>
      </c>
      <c r="J1428">
        <f>IF(COUNT('Weekly Log'!$A$5:$A$5000)=0,"",IF(MIN('Weekly Log'!$A$5:$A$5000)+7*(ROW()-10)&gt;MAX('Weekly Log'!$A$5:$A$5000),"",MIN('Weekly Log'!$A$5:$A$5000)+7*(ROW()-10)))</f>
        <v/>
      </c>
    </row>
    <row r="1429">
      <c r="A1429">
        <f>IF($J1429="","",YEAR($J1429-WEEKDAY($J1429,2)+4)&amp;"-W"&amp;TEXT(WEEKNUM($J1429,21),"00"))</f>
        <v/>
      </c>
      <c r="B1429">
        <f>IF($J1429="","",SUMIFS('Weekly Log'!$C:$C,'Weekly Log'!$A:$A,"&gt;="&amp;$J1429,'Weekly Log'!$A:$A,"&lt;"&amp;$J1429+7))</f>
        <v/>
      </c>
      <c r="C1429">
        <f>IF($J1429="","",IFERROR(COUNTIFS('Weekly Log'!$G:$G,"Y",'Weekly Log'!$A:$A,"&gt;="&amp;$J1429,'Weekly Log'!$A:$A,"&lt;"&amp;$J1429+7)/COUNTIFS('Weekly Log'!$G:$G,"&lt;&gt;",'Weekly Log'!$A:$A,"&gt;="&amp;$J1429,'Weekly Log'!$A:$A,"&lt;"&amp;$J1429+7),0))</f>
        <v/>
      </c>
      <c r="D1429">
        <f>IF($J1429="","",IFERROR(COUNTIFS('Weekly Log'!$H:$H,"Y",'Weekly Log'!$A:$A,"&gt;="&amp;$J1429,'Weekly Log'!$A:$A,"&lt;"&amp;$J1429+7)/COUNTIFS('Weekly Log'!$H:$H,"&lt;&gt;",'Weekly Log'!$A:$A,"&gt;="&amp;$J1429,'Weekly Log'!$A:$A,"&lt;"&amp;$J1429+7),0))</f>
        <v/>
      </c>
      <c r="E1429">
        <f>IF($J1429="","",IFERROR(AVERAGEIFS('Weekly Log'!$F:$F,'Weekly Log'!$A:$A,"&gt;="&amp;$J1429,'Weekly Log'!$A:$A,"&lt;"&amp;$J1429+7),0))</f>
        <v/>
      </c>
      <c r="F1429">
        <f>IF($J1429="","",IFERROR(SUMIFS('Weekly Log'!$F:$F,'Weekly Log'!$A:$A,"&gt;="&amp;$J1429,'Weekly Log'!$A:$A,"&lt;"&amp;$J1429+7)/SUMIFS('Weekly Log'!$E:$E,'Weekly Log'!$A:$A,"&gt;="&amp;$J1429,'Weekly Log'!$A:$A,"&lt;"&amp;$J1429+7),0))</f>
        <v/>
      </c>
      <c r="G1429">
        <f>IF($J1429="","",IFERROR(LOOKUP(2,1/(('Weekly Log'!$A$5:$A$5000&gt;=$J1429)*('Weekly Log'!$A$5:$A$5000&lt;$J1429+7)*('Weekly Log'!$M$5:$M$5000&lt;&gt;"")),'Weekly Log'!$M$5:$M$5000),0))</f>
        <v/>
      </c>
      <c r="J1429">
        <f>IF(COUNT('Weekly Log'!$A$5:$A$5000)=0,"",IF(MIN('Weekly Log'!$A$5:$A$5000)+7*(ROW()-10)&gt;MAX('Weekly Log'!$A$5:$A$5000),"",MIN('Weekly Log'!$A$5:$A$5000)+7*(ROW()-10)))</f>
        <v/>
      </c>
    </row>
    <row r="1430">
      <c r="A1430">
        <f>IF($J1430="","",YEAR($J1430-WEEKDAY($J1430,2)+4)&amp;"-W"&amp;TEXT(WEEKNUM($J1430,21),"00"))</f>
        <v/>
      </c>
      <c r="B1430">
        <f>IF($J1430="","",SUMIFS('Weekly Log'!$C:$C,'Weekly Log'!$A:$A,"&gt;="&amp;$J1430,'Weekly Log'!$A:$A,"&lt;"&amp;$J1430+7))</f>
        <v/>
      </c>
      <c r="C1430">
        <f>IF($J1430="","",IFERROR(COUNTIFS('Weekly Log'!$G:$G,"Y",'Weekly Log'!$A:$A,"&gt;="&amp;$J1430,'Weekly Log'!$A:$A,"&lt;"&amp;$J1430+7)/COUNTIFS('Weekly Log'!$G:$G,"&lt;&gt;",'Weekly Log'!$A:$A,"&gt;="&amp;$J1430,'Weekly Log'!$A:$A,"&lt;"&amp;$J1430+7),0))</f>
        <v/>
      </c>
      <c r="D1430">
        <f>IF($J1430="","",IFERROR(COUNTIFS('Weekly Log'!$H:$H,"Y",'Weekly Log'!$A:$A,"&gt;="&amp;$J1430,'Weekly Log'!$A:$A,"&lt;"&amp;$J1430+7)/COUNTIFS('Weekly Log'!$H:$H,"&lt;&gt;",'Weekly Log'!$A:$A,"&gt;="&amp;$J1430,'Weekly Log'!$A:$A,"&lt;"&amp;$J1430+7),0))</f>
        <v/>
      </c>
      <c r="E1430">
        <f>IF($J1430="","",IFERROR(AVERAGEIFS('Weekly Log'!$F:$F,'Weekly Log'!$A:$A,"&gt;="&amp;$J1430,'Weekly Log'!$A:$A,"&lt;"&amp;$J1430+7),0))</f>
        <v/>
      </c>
      <c r="F1430">
        <f>IF($J1430="","",IFERROR(SUMIFS('Weekly Log'!$F:$F,'Weekly Log'!$A:$A,"&gt;="&amp;$J1430,'Weekly Log'!$A:$A,"&lt;"&amp;$J1430+7)/SUMIFS('Weekly Log'!$E:$E,'Weekly Log'!$A:$A,"&gt;="&amp;$J1430,'Weekly Log'!$A:$A,"&lt;"&amp;$J1430+7),0))</f>
        <v/>
      </c>
      <c r="G1430">
        <f>IF($J1430="","",IFERROR(LOOKUP(2,1/(('Weekly Log'!$A$5:$A$5000&gt;=$J1430)*('Weekly Log'!$A$5:$A$5000&lt;$J1430+7)*('Weekly Log'!$M$5:$M$5000&lt;&gt;"")),'Weekly Log'!$M$5:$M$5000),0))</f>
        <v/>
      </c>
      <c r="J1430">
        <f>IF(COUNT('Weekly Log'!$A$5:$A$5000)=0,"",IF(MIN('Weekly Log'!$A$5:$A$5000)+7*(ROW()-10)&gt;MAX('Weekly Log'!$A$5:$A$5000),"",MIN('Weekly Log'!$A$5:$A$5000)+7*(ROW()-10)))</f>
        <v/>
      </c>
    </row>
    <row r="1431">
      <c r="A1431">
        <f>IF($J1431="","",YEAR($J1431-WEEKDAY($J1431,2)+4)&amp;"-W"&amp;TEXT(WEEKNUM($J1431,21),"00"))</f>
        <v/>
      </c>
      <c r="B1431">
        <f>IF($J1431="","",SUMIFS('Weekly Log'!$C:$C,'Weekly Log'!$A:$A,"&gt;="&amp;$J1431,'Weekly Log'!$A:$A,"&lt;"&amp;$J1431+7))</f>
        <v/>
      </c>
      <c r="C1431">
        <f>IF($J1431="","",IFERROR(COUNTIFS('Weekly Log'!$G:$G,"Y",'Weekly Log'!$A:$A,"&gt;="&amp;$J1431,'Weekly Log'!$A:$A,"&lt;"&amp;$J1431+7)/COUNTIFS('Weekly Log'!$G:$G,"&lt;&gt;",'Weekly Log'!$A:$A,"&gt;="&amp;$J1431,'Weekly Log'!$A:$A,"&lt;"&amp;$J1431+7),0))</f>
        <v/>
      </c>
      <c r="D1431">
        <f>IF($J1431="","",IFERROR(COUNTIFS('Weekly Log'!$H:$H,"Y",'Weekly Log'!$A:$A,"&gt;="&amp;$J1431,'Weekly Log'!$A:$A,"&lt;"&amp;$J1431+7)/COUNTIFS('Weekly Log'!$H:$H,"&lt;&gt;",'Weekly Log'!$A:$A,"&gt;="&amp;$J1431,'Weekly Log'!$A:$A,"&lt;"&amp;$J1431+7),0))</f>
        <v/>
      </c>
      <c r="E1431">
        <f>IF($J1431="","",IFERROR(AVERAGEIFS('Weekly Log'!$F:$F,'Weekly Log'!$A:$A,"&gt;="&amp;$J1431,'Weekly Log'!$A:$A,"&lt;"&amp;$J1431+7),0))</f>
        <v/>
      </c>
      <c r="F1431">
        <f>IF($J1431="","",IFERROR(SUMIFS('Weekly Log'!$F:$F,'Weekly Log'!$A:$A,"&gt;="&amp;$J1431,'Weekly Log'!$A:$A,"&lt;"&amp;$J1431+7)/SUMIFS('Weekly Log'!$E:$E,'Weekly Log'!$A:$A,"&gt;="&amp;$J1431,'Weekly Log'!$A:$A,"&lt;"&amp;$J1431+7),0))</f>
        <v/>
      </c>
      <c r="G1431">
        <f>IF($J1431="","",IFERROR(LOOKUP(2,1/(('Weekly Log'!$A$5:$A$5000&gt;=$J1431)*('Weekly Log'!$A$5:$A$5000&lt;$J1431+7)*('Weekly Log'!$M$5:$M$5000&lt;&gt;"")),'Weekly Log'!$M$5:$M$5000),0))</f>
        <v/>
      </c>
      <c r="J1431">
        <f>IF(COUNT('Weekly Log'!$A$5:$A$5000)=0,"",IF(MIN('Weekly Log'!$A$5:$A$5000)+7*(ROW()-10)&gt;MAX('Weekly Log'!$A$5:$A$5000),"",MIN('Weekly Log'!$A$5:$A$5000)+7*(ROW()-10)))</f>
        <v/>
      </c>
    </row>
    <row r="1432">
      <c r="A1432">
        <f>IF($J1432="","",YEAR($J1432-WEEKDAY($J1432,2)+4)&amp;"-W"&amp;TEXT(WEEKNUM($J1432,21),"00"))</f>
        <v/>
      </c>
      <c r="B1432">
        <f>IF($J1432="","",SUMIFS('Weekly Log'!$C:$C,'Weekly Log'!$A:$A,"&gt;="&amp;$J1432,'Weekly Log'!$A:$A,"&lt;"&amp;$J1432+7))</f>
        <v/>
      </c>
      <c r="C1432">
        <f>IF($J1432="","",IFERROR(COUNTIFS('Weekly Log'!$G:$G,"Y",'Weekly Log'!$A:$A,"&gt;="&amp;$J1432,'Weekly Log'!$A:$A,"&lt;"&amp;$J1432+7)/COUNTIFS('Weekly Log'!$G:$G,"&lt;&gt;",'Weekly Log'!$A:$A,"&gt;="&amp;$J1432,'Weekly Log'!$A:$A,"&lt;"&amp;$J1432+7),0))</f>
        <v/>
      </c>
      <c r="D1432">
        <f>IF($J1432="","",IFERROR(COUNTIFS('Weekly Log'!$H:$H,"Y",'Weekly Log'!$A:$A,"&gt;="&amp;$J1432,'Weekly Log'!$A:$A,"&lt;"&amp;$J1432+7)/COUNTIFS('Weekly Log'!$H:$H,"&lt;&gt;",'Weekly Log'!$A:$A,"&gt;="&amp;$J1432,'Weekly Log'!$A:$A,"&lt;"&amp;$J1432+7),0))</f>
        <v/>
      </c>
      <c r="E1432">
        <f>IF($J1432="","",IFERROR(AVERAGEIFS('Weekly Log'!$F:$F,'Weekly Log'!$A:$A,"&gt;="&amp;$J1432,'Weekly Log'!$A:$A,"&lt;"&amp;$J1432+7),0))</f>
        <v/>
      </c>
      <c r="F1432">
        <f>IF($J1432="","",IFERROR(SUMIFS('Weekly Log'!$F:$F,'Weekly Log'!$A:$A,"&gt;="&amp;$J1432,'Weekly Log'!$A:$A,"&lt;"&amp;$J1432+7)/SUMIFS('Weekly Log'!$E:$E,'Weekly Log'!$A:$A,"&gt;="&amp;$J1432,'Weekly Log'!$A:$A,"&lt;"&amp;$J1432+7),0))</f>
        <v/>
      </c>
      <c r="G1432">
        <f>IF($J1432="","",IFERROR(LOOKUP(2,1/(('Weekly Log'!$A$5:$A$5000&gt;=$J1432)*('Weekly Log'!$A$5:$A$5000&lt;$J1432+7)*('Weekly Log'!$M$5:$M$5000&lt;&gt;"")),'Weekly Log'!$M$5:$M$5000),0))</f>
        <v/>
      </c>
      <c r="J1432">
        <f>IF(COUNT('Weekly Log'!$A$5:$A$5000)=0,"",IF(MIN('Weekly Log'!$A$5:$A$5000)+7*(ROW()-10)&gt;MAX('Weekly Log'!$A$5:$A$5000),"",MIN('Weekly Log'!$A$5:$A$5000)+7*(ROW()-10)))</f>
        <v/>
      </c>
    </row>
    <row r="1433">
      <c r="A1433">
        <f>IF($J1433="","",YEAR($J1433-WEEKDAY($J1433,2)+4)&amp;"-W"&amp;TEXT(WEEKNUM($J1433,21),"00"))</f>
        <v/>
      </c>
      <c r="B1433">
        <f>IF($J1433="","",SUMIFS('Weekly Log'!$C:$C,'Weekly Log'!$A:$A,"&gt;="&amp;$J1433,'Weekly Log'!$A:$A,"&lt;"&amp;$J1433+7))</f>
        <v/>
      </c>
      <c r="C1433">
        <f>IF($J1433="","",IFERROR(COUNTIFS('Weekly Log'!$G:$G,"Y",'Weekly Log'!$A:$A,"&gt;="&amp;$J1433,'Weekly Log'!$A:$A,"&lt;"&amp;$J1433+7)/COUNTIFS('Weekly Log'!$G:$G,"&lt;&gt;",'Weekly Log'!$A:$A,"&gt;="&amp;$J1433,'Weekly Log'!$A:$A,"&lt;"&amp;$J1433+7),0))</f>
        <v/>
      </c>
      <c r="D1433">
        <f>IF($J1433="","",IFERROR(COUNTIFS('Weekly Log'!$H:$H,"Y",'Weekly Log'!$A:$A,"&gt;="&amp;$J1433,'Weekly Log'!$A:$A,"&lt;"&amp;$J1433+7)/COUNTIFS('Weekly Log'!$H:$H,"&lt;&gt;",'Weekly Log'!$A:$A,"&gt;="&amp;$J1433,'Weekly Log'!$A:$A,"&lt;"&amp;$J1433+7),0))</f>
        <v/>
      </c>
      <c r="E1433">
        <f>IF($J1433="","",IFERROR(AVERAGEIFS('Weekly Log'!$F:$F,'Weekly Log'!$A:$A,"&gt;="&amp;$J1433,'Weekly Log'!$A:$A,"&lt;"&amp;$J1433+7),0))</f>
        <v/>
      </c>
      <c r="F1433">
        <f>IF($J1433="","",IFERROR(SUMIFS('Weekly Log'!$F:$F,'Weekly Log'!$A:$A,"&gt;="&amp;$J1433,'Weekly Log'!$A:$A,"&lt;"&amp;$J1433+7)/SUMIFS('Weekly Log'!$E:$E,'Weekly Log'!$A:$A,"&gt;="&amp;$J1433,'Weekly Log'!$A:$A,"&lt;"&amp;$J1433+7),0))</f>
        <v/>
      </c>
      <c r="G1433">
        <f>IF($J1433="","",IFERROR(LOOKUP(2,1/(('Weekly Log'!$A$5:$A$5000&gt;=$J1433)*('Weekly Log'!$A$5:$A$5000&lt;$J1433+7)*('Weekly Log'!$M$5:$M$5000&lt;&gt;"")),'Weekly Log'!$M$5:$M$5000),0))</f>
        <v/>
      </c>
      <c r="J1433">
        <f>IF(COUNT('Weekly Log'!$A$5:$A$5000)=0,"",IF(MIN('Weekly Log'!$A$5:$A$5000)+7*(ROW()-10)&gt;MAX('Weekly Log'!$A$5:$A$5000),"",MIN('Weekly Log'!$A$5:$A$5000)+7*(ROW()-10)))</f>
        <v/>
      </c>
    </row>
    <row r="1434">
      <c r="A1434">
        <f>IF($J1434="","",YEAR($J1434-WEEKDAY($J1434,2)+4)&amp;"-W"&amp;TEXT(WEEKNUM($J1434,21),"00"))</f>
        <v/>
      </c>
      <c r="B1434">
        <f>IF($J1434="","",SUMIFS('Weekly Log'!$C:$C,'Weekly Log'!$A:$A,"&gt;="&amp;$J1434,'Weekly Log'!$A:$A,"&lt;"&amp;$J1434+7))</f>
        <v/>
      </c>
      <c r="C1434">
        <f>IF($J1434="","",IFERROR(COUNTIFS('Weekly Log'!$G:$G,"Y",'Weekly Log'!$A:$A,"&gt;="&amp;$J1434,'Weekly Log'!$A:$A,"&lt;"&amp;$J1434+7)/COUNTIFS('Weekly Log'!$G:$G,"&lt;&gt;",'Weekly Log'!$A:$A,"&gt;="&amp;$J1434,'Weekly Log'!$A:$A,"&lt;"&amp;$J1434+7),0))</f>
        <v/>
      </c>
      <c r="D1434">
        <f>IF($J1434="","",IFERROR(COUNTIFS('Weekly Log'!$H:$H,"Y",'Weekly Log'!$A:$A,"&gt;="&amp;$J1434,'Weekly Log'!$A:$A,"&lt;"&amp;$J1434+7)/COUNTIFS('Weekly Log'!$H:$H,"&lt;&gt;",'Weekly Log'!$A:$A,"&gt;="&amp;$J1434,'Weekly Log'!$A:$A,"&lt;"&amp;$J1434+7),0))</f>
        <v/>
      </c>
      <c r="E1434">
        <f>IF($J1434="","",IFERROR(AVERAGEIFS('Weekly Log'!$F:$F,'Weekly Log'!$A:$A,"&gt;="&amp;$J1434,'Weekly Log'!$A:$A,"&lt;"&amp;$J1434+7),0))</f>
        <v/>
      </c>
      <c r="F1434">
        <f>IF($J1434="","",IFERROR(SUMIFS('Weekly Log'!$F:$F,'Weekly Log'!$A:$A,"&gt;="&amp;$J1434,'Weekly Log'!$A:$A,"&lt;"&amp;$J1434+7)/SUMIFS('Weekly Log'!$E:$E,'Weekly Log'!$A:$A,"&gt;="&amp;$J1434,'Weekly Log'!$A:$A,"&lt;"&amp;$J1434+7),0))</f>
        <v/>
      </c>
      <c r="G1434">
        <f>IF($J1434="","",IFERROR(LOOKUP(2,1/(('Weekly Log'!$A$5:$A$5000&gt;=$J1434)*('Weekly Log'!$A$5:$A$5000&lt;$J1434+7)*('Weekly Log'!$M$5:$M$5000&lt;&gt;"")),'Weekly Log'!$M$5:$M$5000),0))</f>
        <v/>
      </c>
      <c r="J1434">
        <f>IF(COUNT('Weekly Log'!$A$5:$A$5000)=0,"",IF(MIN('Weekly Log'!$A$5:$A$5000)+7*(ROW()-10)&gt;MAX('Weekly Log'!$A$5:$A$5000),"",MIN('Weekly Log'!$A$5:$A$5000)+7*(ROW()-10)))</f>
        <v/>
      </c>
    </row>
    <row r="1435">
      <c r="A1435">
        <f>IF($J1435="","",YEAR($J1435-WEEKDAY($J1435,2)+4)&amp;"-W"&amp;TEXT(WEEKNUM($J1435,21),"00"))</f>
        <v/>
      </c>
      <c r="B1435">
        <f>IF($J1435="","",SUMIFS('Weekly Log'!$C:$C,'Weekly Log'!$A:$A,"&gt;="&amp;$J1435,'Weekly Log'!$A:$A,"&lt;"&amp;$J1435+7))</f>
        <v/>
      </c>
      <c r="C1435">
        <f>IF($J1435="","",IFERROR(COUNTIFS('Weekly Log'!$G:$G,"Y",'Weekly Log'!$A:$A,"&gt;="&amp;$J1435,'Weekly Log'!$A:$A,"&lt;"&amp;$J1435+7)/COUNTIFS('Weekly Log'!$G:$G,"&lt;&gt;",'Weekly Log'!$A:$A,"&gt;="&amp;$J1435,'Weekly Log'!$A:$A,"&lt;"&amp;$J1435+7),0))</f>
        <v/>
      </c>
      <c r="D1435">
        <f>IF($J1435="","",IFERROR(COUNTIFS('Weekly Log'!$H:$H,"Y",'Weekly Log'!$A:$A,"&gt;="&amp;$J1435,'Weekly Log'!$A:$A,"&lt;"&amp;$J1435+7)/COUNTIFS('Weekly Log'!$H:$H,"&lt;&gt;",'Weekly Log'!$A:$A,"&gt;="&amp;$J1435,'Weekly Log'!$A:$A,"&lt;"&amp;$J1435+7),0))</f>
        <v/>
      </c>
      <c r="E1435">
        <f>IF($J1435="","",IFERROR(AVERAGEIFS('Weekly Log'!$F:$F,'Weekly Log'!$A:$A,"&gt;="&amp;$J1435,'Weekly Log'!$A:$A,"&lt;"&amp;$J1435+7),0))</f>
        <v/>
      </c>
      <c r="F1435">
        <f>IF($J1435="","",IFERROR(SUMIFS('Weekly Log'!$F:$F,'Weekly Log'!$A:$A,"&gt;="&amp;$J1435,'Weekly Log'!$A:$A,"&lt;"&amp;$J1435+7)/SUMIFS('Weekly Log'!$E:$E,'Weekly Log'!$A:$A,"&gt;="&amp;$J1435,'Weekly Log'!$A:$A,"&lt;"&amp;$J1435+7),0))</f>
        <v/>
      </c>
      <c r="G1435">
        <f>IF($J1435="","",IFERROR(LOOKUP(2,1/(('Weekly Log'!$A$5:$A$5000&gt;=$J1435)*('Weekly Log'!$A$5:$A$5000&lt;$J1435+7)*('Weekly Log'!$M$5:$M$5000&lt;&gt;"")),'Weekly Log'!$M$5:$M$5000),0))</f>
        <v/>
      </c>
      <c r="J1435">
        <f>IF(COUNT('Weekly Log'!$A$5:$A$5000)=0,"",IF(MIN('Weekly Log'!$A$5:$A$5000)+7*(ROW()-10)&gt;MAX('Weekly Log'!$A$5:$A$5000),"",MIN('Weekly Log'!$A$5:$A$5000)+7*(ROW()-10)))</f>
        <v/>
      </c>
    </row>
    <row r="1436">
      <c r="A1436">
        <f>IF($J1436="","",YEAR($J1436-WEEKDAY($J1436,2)+4)&amp;"-W"&amp;TEXT(WEEKNUM($J1436,21),"00"))</f>
        <v/>
      </c>
      <c r="B1436">
        <f>IF($J1436="","",SUMIFS('Weekly Log'!$C:$C,'Weekly Log'!$A:$A,"&gt;="&amp;$J1436,'Weekly Log'!$A:$A,"&lt;"&amp;$J1436+7))</f>
        <v/>
      </c>
      <c r="C1436">
        <f>IF($J1436="","",IFERROR(COUNTIFS('Weekly Log'!$G:$G,"Y",'Weekly Log'!$A:$A,"&gt;="&amp;$J1436,'Weekly Log'!$A:$A,"&lt;"&amp;$J1436+7)/COUNTIFS('Weekly Log'!$G:$G,"&lt;&gt;",'Weekly Log'!$A:$A,"&gt;="&amp;$J1436,'Weekly Log'!$A:$A,"&lt;"&amp;$J1436+7),0))</f>
        <v/>
      </c>
      <c r="D1436">
        <f>IF($J1436="","",IFERROR(COUNTIFS('Weekly Log'!$H:$H,"Y",'Weekly Log'!$A:$A,"&gt;="&amp;$J1436,'Weekly Log'!$A:$A,"&lt;"&amp;$J1436+7)/COUNTIFS('Weekly Log'!$H:$H,"&lt;&gt;",'Weekly Log'!$A:$A,"&gt;="&amp;$J1436,'Weekly Log'!$A:$A,"&lt;"&amp;$J1436+7),0))</f>
        <v/>
      </c>
      <c r="E1436">
        <f>IF($J1436="","",IFERROR(AVERAGEIFS('Weekly Log'!$F:$F,'Weekly Log'!$A:$A,"&gt;="&amp;$J1436,'Weekly Log'!$A:$A,"&lt;"&amp;$J1436+7),0))</f>
        <v/>
      </c>
      <c r="F1436">
        <f>IF($J1436="","",IFERROR(SUMIFS('Weekly Log'!$F:$F,'Weekly Log'!$A:$A,"&gt;="&amp;$J1436,'Weekly Log'!$A:$A,"&lt;"&amp;$J1436+7)/SUMIFS('Weekly Log'!$E:$E,'Weekly Log'!$A:$A,"&gt;="&amp;$J1436,'Weekly Log'!$A:$A,"&lt;"&amp;$J1436+7),0))</f>
        <v/>
      </c>
      <c r="G1436">
        <f>IF($J1436="","",IFERROR(LOOKUP(2,1/(('Weekly Log'!$A$5:$A$5000&gt;=$J1436)*('Weekly Log'!$A$5:$A$5000&lt;$J1436+7)*('Weekly Log'!$M$5:$M$5000&lt;&gt;"")),'Weekly Log'!$M$5:$M$5000),0))</f>
        <v/>
      </c>
      <c r="J1436">
        <f>IF(COUNT('Weekly Log'!$A$5:$A$5000)=0,"",IF(MIN('Weekly Log'!$A$5:$A$5000)+7*(ROW()-10)&gt;MAX('Weekly Log'!$A$5:$A$5000),"",MIN('Weekly Log'!$A$5:$A$5000)+7*(ROW()-10)))</f>
        <v/>
      </c>
    </row>
    <row r="1437">
      <c r="A1437">
        <f>IF($J1437="","",YEAR($J1437-WEEKDAY($J1437,2)+4)&amp;"-W"&amp;TEXT(WEEKNUM($J1437,21),"00"))</f>
        <v/>
      </c>
      <c r="B1437">
        <f>IF($J1437="","",SUMIFS('Weekly Log'!$C:$C,'Weekly Log'!$A:$A,"&gt;="&amp;$J1437,'Weekly Log'!$A:$A,"&lt;"&amp;$J1437+7))</f>
        <v/>
      </c>
      <c r="C1437">
        <f>IF($J1437="","",IFERROR(COUNTIFS('Weekly Log'!$G:$G,"Y",'Weekly Log'!$A:$A,"&gt;="&amp;$J1437,'Weekly Log'!$A:$A,"&lt;"&amp;$J1437+7)/COUNTIFS('Weekly Log'!$G:$G,"&lt;&gt;",'Weekly Log'!$A:$A,"&gt;="&amp;$J1437,'Weekly Log'!$A:$A,"&lt;"&amp;$J1437+7),0))</f>
        <v/>
      </c>
      <c r="D1437">
        <f>IF($J1437="","",IFERROR(COUNTIFS('Weekly Log'!$H:$H,"Y",'Weekly Log'!$A:$A,"&gt;="&amp;$J1437,'Weekly Log'!$A:$A,"&lt;"&amp;$J1437+7)/COUNTIFS('Weekly Log'!$H:$H,"&lt;&gt;",'Weekly Log'!$A:$A,"&gt;="&amp;$J1437,'Weekly Log'!$A:$A,"&lt;"&amp;$J1437+7),0))</f>
        <v/>
      </c>
      <c r="E1437">
        <f>IF($J1437="","",IFERROR(AVERAGEIFS('Weekly Log'!$F:$F,'Weekly Log'!$A:$A,"&gt;="&amp;$J1437,'Weekly Log'!$A:$A,"&lt;"&amp;$J1437+7),0))</f>
        <v/>
      </c>
      <c r="F1437">
        <f>IF($J1437="","",IFERROR(SUMIFS('Weekly Log'!$F:$F,'Weekly Log'!$A:$A,"&gt;="&amp;$J1437,'Weekly Log'!$A:$A,"&lt;"&amp;$J1437+7)/SUMIFS('Weekly Log'!$E:$E,'Weekly Log'!$A:$A,"&gt;="&amp;$J1437,'Weekly Log'!$A:$A,"&lt;"&amp;$J1437+7),0))</f>
        <v/>
      </c>
      <c r="G1437">
        <f>IF($J1437="","",IFERROR(LOOKUP(2,1/(('Weekly Log'!$A$5:$A$5000&gt;=$J1437)*('Weekly Log'!$A$5:$A$5000&lt;$J1437+7)*('Weekly Log'!$M$5:$M$5000&lt;&gt;"")),'Weekly Log'!$M$5:$M$5000),0))</f>
        <v/>
      </c>
      <c r="J1437">
        <f>IF(COUNT('Weekly Log'!$A$5:$A$5000)=0,"",IF(MIN('Weekly Log'!$A$5:$A$5000)+7*(ROW()-10)&gt;MAX('Weekly Log'!$A$5:$A$5000),"",MIN('Weekly Log'!$A$5:$A$5000)+7*(ROW()-10)))</f>
        <v/>
      </c>
    </row>
    <row r="1438">
      <c r="A1438">
        <f>IF($J1438="","",YEAR($J1438-WEEKDAY($J1438,2)+4)&amp;"-W"&amp;TEXT(WEEKNUM($J1438,21),"00"))</f>
        <v/>
      </c>
      <c r="B1438">
        <f>IF($J1438="","",SUMIFS('Weekly Log'!$C:$C,'Weekly Log'!$A:$A,"&gt;="&amp;$J1438,'Weekly Log'!$A:$A,"&lt;"&amp;$J1438+7))</f>
        <v/>
      </c>
      <c r="C1438">
        <f>IF($J1438="","",IFERROR(COUNTIFS('Weekly Log'!$G:$G,"Y",'Weekly Log'!$A:$A,"&gt;="&amp;$J1438,'Weekly Log'!$A:$A,"&lt;"&amp;$J1438+7)/COUNTIFS('Weekly Log'!$G:$G,"&lt;&gt;",'Weekly Log'!$A:$A,"&gt;="&amp;$J1438,'Weekly Log'!$A:$A,"&lt;"&amp;$J1438+7),0))</f>
        <v/>
      </c>
      <c r="D1438">
        <f>IF($J1438="","",IFERROR(COUNTIFS('Weekly Log'!$H:$H,"Y",'Weekly Log'!$A:$A,"&gt;="&amp;$J1438,'Weekly Log'!$A:$A,"&lt;"&amp;$J1438+7)/COUNTIFS('Weekly Log'!$H:$H,"&lt;&gt;",'Weekly Log'!$A:$A,"&gt;="&amp;$J1438,'Weekly Log'!$A:$A,"&lt;"&amp;$J1438+7),0))</f>
        <v/>
      </c>
      <c r="E1438">
        <f>IF($J1438="","",IFERROR(AVERAGEIFS('Weekly Log'!$F:$F,'Weekly Log'!$A:$A,"&gt;="&amp;$J1438,'Weekly Log'!$A:$A,"&lt;"&amp;$J1438+7),0))</f>
        <v/>
      </c>
      <c r="F1438">
        <f>IF($J1438="","",IFERROR(SUMIFS('Weekly Log'!$F:$F,'Weekly Log'!$A:$A,"&gt;="&amp;$J1438,'Weekly Log'!$A:$A,"&lt;"&amp;$J1438+7)/SUMIFS('Weekly Log'!$E:$E,'Weekly Log'!$A:$A,"&gt;="&amp;$J1438,'Weekly Log'!$A:$A,"&lt;"&amp;$J1438+7),0))</f>
        <v/>
      </c>
      <c r="G1438">
        <f>IF($J1438="","",IFERROR(LOOKUP(2,1/(('Weekly Log'!$A$5:$A$5000&gt;=$J1438)*('Weekly Log'!$A$5:$A$5000&lt;$J1438+7)*('Weekly Log'!$M$5:$M$5000&lt;&gt;"")),'Weekly Log'!$M$5:$M$5000),0))</f>
        <v/>
      </c>
      <c r="J1438">
        <f>IF(COUNT('Weekly Log'!$A$5:$A$5000)=0,"",IF(MIN('Weekly Log'!$A$5:$A$5000)+7*(ROW()-10)&gt;MAX('Weekly Log'!$A$5:$A$5000),"",MIN('Weekly Log'!$A$5:$A$5000)+7*(ROW()-10)))</f>
        <v/>
      </c>
    </row>
    <row r="1439">
      <c r="A1439">
        <f>IF($J1439="","",YEAR($J1439-WEEKDAY($J1439,2)+4)&amp;"-W"&amp;TEXT(WEEKNUM($J1439,21),"00"))</f>
        <v/>
      </c>
      <c r="B1439">
        <f>IF($J1439="","",SUMIFS('Weekly Log'!$C:$C,'Weekly Log'!$A:$A,"&gt;="&amp;$J1439,'Weekly Log'!$A:$A,"&lt;"&amp;$J1439+7))</f>
        <v/>
      </c>
      <c r="C1439">
        <f>IF($J1439="","",IFERROR(COUNTIFS('Weekly Log'!$G:$G,"Y",'Weekly Log'!$A:$A,"&gt;="&amp;$J1439,'Weekly Log'!$A:$A,"&lt;"&amp;$J1439+7)/COUNTIFS('Weekly Log'!$G:$G,"&lt;&gt;",'Weekly Log'!$A:$A,"&gt;="&amp;$J1439,'Weekly Log'!$A:$A,"&lt;"&amp;$J1439+7),0))</f>
        <v/>
      </c>
      <c r="D1439">
        <f>IF($J1439="","",IFERROR(COUNTIFS('Weekly Log'!$H:$H,"Y",'Weekly Log'!$A:$A,"&gt;="&amp;$J1439,'Weekly Log'!$A:$A,"&lt;"&amp;$J1439+7)/COUNTIFS('Weekly Log'!$H:$H,"&lt;&gt;",'Weekly Log'!$A:$A,"&gt;="&amp;$J1439,'Weekly Log'!$A:$A,"&lt;"&amp;$J1439+7),0))</f>
        <v/>
      </c>
      <c r="E1439">
        <f>IF($J1439="","",IFERROR(AVERAGEIFS('Weekly Log'!$F:$F,'Weekly Log'!$A:$A,"&gt;="&amp;$J1439,'Weekly Log'!$A:$A,"&lt;"&amp;$J1439+7),0))</f>
        <v/>
      </c>
      <c r="F1439">
        <f>IF($J1439="","",IFERROR(SUMIFS('Weekly Log'!$F:$F,'Weekly Log'!$A:$A,"&gt;="&amp;$J1439,'Weekly Log'!$A:$A,"&lt;"&amp;$J1439+7)/SUMIFS('Weekly Log'!$E:$E,'Weekly Log'!$A:$A,"&gt;="&amp;$J1439,'Weekly Log'!$A:$A,"&lt;"&amp;$J1439+7),0))</f>
        <v/>
      </c>
      <c r="G1439">
        <f>IF($J1439="","",IFERROR(LOOKUP(2,1/(('Weekly Log'!$A$5:$A$5000&gt;=$J1439)*('Weekly Log'!$A$5:$A$5000&lt;$J1439+7)*('Weekly Log'!$M$5:$M$5000&lt;&gt;"")),'Weekly Log'!$M$5:$M$5000),0))</f>
        <v/>
      </c>
      <c r="J1439">
        <f>IF(COUNT('Weekly Log'!$A$5:$A$5000)=0,"",IF(MIN('Weekly Log'!$A$5:$A$5000)+7*(ROW()-10)&gt;MAX('Weekly Log'!$A$5:$A$5000),"",MIN('Weekly Log'!$A$5:$A$5000)+7*(ROW()-10)))</f>
        <v/>
      </c>
    </row>
    <row r="1440">
      <c r="A1440">
        <f>IF($J1440="","",YEAR($J1440-WEEKDAY($J1440,2)+4)&amp;"-W"&amp;TEXT(WEEKNUM($J1440,21),"00"))</f>
        <v/>
      </c>
      <c r="B1440">
        <f>IF($J1440="","",SUMIFS('Weekly Log'!$C:$C,'Weekly Log'!$A:$A,"&gt;="&amp;$J1440,'Weekly Log'!$A:$A,"&lt;"&amp;$J1440+7))</f>
        <v/>
      </c>
      <c r="C1440">
        <f>IF($J1440="","",IFERROR(COUNTIFS('Weekly Log'!$G:$G,"Y",'Weekly Log'!$A:$A,"&gt;="&amp;$J1440,'Weekly Log'!$A:$A,"&lt;"&amp;$J1440+7)/COUNTIFS('Weekly Log'!$G:$G,"&lt;&gt;",'Weekly Log'!$A:$A,"&gt;="&amp;$J1440,'Weekly Log'!$A:$A,"&lt;"&amp;$J1440+7),0))</f>
        <v/>
      </c>
      <c r="D1440">
        <f>IF($J1440="","",IFERROR(COUNTIFS('Weekly Log'!$H:$H,"Y",'Weekly Log'!$A:$A,"&gt;="&amp;$J1440,'Weekly Log'!$A:$A,"&lt;"&amp;$J1440+7)/COUNTIFS('Weekly Log'!$H:$H,"&lt;&gt;",'Weekly Log'!$A:$A,"&gt;="&amp;$J1440,'Weekly Log'!$A:$A,"&lt;"&amp;$J1440+7),0))</f>
        <v/>
      </c>
      <c r="E1440">
        <f>IF($J1440="","",IFERROR(AVERAGEIFS('Weekly Log'!$F:$F,'Weekly Log'!$A:$A,"&gt;="&amp;$J1440,'Weekly Log'!$A:$A,"&lt;"&amp;$J1440+7),0))</f>
        <v/>
      </c>
      <c r="F1440">
        <f>IF($J1440="","",IFERROR(SUMIFS('Weekly Log'!$F:$F,'Weekly Log'!$A:$A,"&gt;="&amp;$J1440,'Weekly Log'!$A:$A,"&lt;"&amp;$J1440+7)/SUMIFS('Weekly Log'!$E:$E,'Weekly Log'!$A:$A,"&gt;="&amp;$J1440,'Weekly Log'!$A:$A,"&lt;"&amp;$J1440+7),0))</f>
        <v/>
      </c>
      <c r="G1440">
        <f>IF($J1440="","",IFERROR(LOOKUP(2,1/(('Weekly Log'!$A$5:$A$5000&gt;=$J1440)*('Weekly Log'!$A$5:$A$5000&lt;$J1440+7)*('Weekly Log'!$M$5:$M$5000&lt;&gt;"")),'Weekly Log'!$M$5:$M$5000),0))</f>
        <v/>
      </c>
      <c r="J1440">
        <f>IF(COUNT('Weekly Log'!$A$5:$A$5000)=0,"",IF(MIN('Weekly Log'!$A$5:$A$5000)+7*(ROW()-10)&gt;MAX('Weekly Log'!$A$5:$A$5000),"",MIN('Weekly Log'!$A$5:$A$5000)+7*(ROW()-10)))</f>
        <v/>
      </c>
    </row>
    <row r="1441">
      <c r="A1441">
        <f>IF($J1441="","",YEAR($J1441-WEEKDAY($J1441,2)+4)&amp;"-W"&amp;TEXT(WEEKNUM($J1441,21),"00"))</f>
        <v/>
      </c>
      <c r="B1441">
        <f>IF($J1441="","",SUMIFS('Weekly Log'!$C:$C,'Weekly Log'!$A:$A,"&gt;="&amp;$J1441,'Weekly Log'!$A:$A,"&lt;"&amp;$J1441+7))</f>
        <v/>
      </c>
      <c r="C1441">
        <f>IF($J1441="","",IFERROR(COUNTIFS('Weekly Log'!$G:$G,"Y",'Weekly Log'!$A:$A,"&gt;="&amp;$J1441,'Weekly Log'!$A:$A,"&lt;"&amp;$J1441+7)/COUNTIFS('Weekly Log'!$G:$G,"&lt;&gt;",'Weekly Log'!$A:$A,"&gt;="&amp;$J1441,'Weekly Log'!$A:$A,"&lt;"&amp;$J1441+7),0))</f>
        <v/>
      </c>
      <c r="D1441">
        <f>IF($J1441="","",IFERROR(COUNTIFS('Weekly Log'!$H:$H,"Y",'Weekly Log'!$A:$A,"&gt;="&amp;$J1441,'Weekly Log'!$A:$A,"&lt;"&amp;$J1441+7)/COUNTIFS('Weekly Log'!$H:$H,"&lt;&gt;",'Weekly Log'!$A:$A,"&gt;="&amp;$J1441,'Weekly Log'!$A:$A,"&lt;"&amp;$J1441+7),0))</f>
        <v/>
      </c>
      <c r="E1441">
        <f>IF($J1441="","",IFERROR(AVERAGEIFS('Weekly Log'!$F:$F,'Weekly Log'!$A:$A,"&gt;="&amp;$J1441,'Weekly Log'!$A:$A,"&lt;"&amp;$J1441+7),0))</f>
        <v/>
      </c>
      <c r="F1441">
        <f>IF($J1441="","",IFERROR(SUMIFS('Weekly Log'!$F:$F,'Weekly Log'!$A:$A,"&gt;="&amp;$J1441,'Weekly Log'!$A:$A,"&lt;"&amp;$J1441+7)/SUMIFS('Weekly Log'!$E:$E,'Weekly Log'!$A:$A,"&gt;="&amp;$J1441,'Weekly Log'!$A:$A,"&lt;"&amp;$J1441+7),0))</f>
        <v/>
      </c>
      <c r="G1441">
        <f>IF($J1441="","",IFERROR(LOOKUP(2,1/(('Weekly Log'!$A$5:$A$5000&gt;=$J1441)*('Weekly Log'!$A$5:$A$5000&lt;$J1441+7)*('Weekly Log'!$M$5:$M$5000&lt;&gt;"")),'Weekly Log'!$M$5:$M$5000),0))</f>
        <v/>
      </c>
      <c r="J1441">
        <f>IF(COUNT('Weekly Log'!$A$5:$A$5000)=0,"",IF(MIN('Weekly Log'!$A$5:$A$5000)+7*(ROW()-10)&gt;MAX('Weekly Log'!$A$5:$A$5000),"",MIN('Weekly Log'!$A$5:$A$5000)+7*(ROW()-10)))</f>
        <v/>
      </c>
    </row>
    <row r="1442">
      <c r="A1442">
        <f>IF($J1442="","",YEAR($J1442-WEEKDAY($J1442,2)+4)&amp;"-W"&amp;TEXT(WEEKNUM($J1442,21),"00"))</f>
        <v/>
      </c>
      <c r="B1442">
        <f>IF($J1442="","",SUMIFS('Weekly Log'!$C:$C,'Weekly Log'!$A:$A,"&gt;="&amp;$J1442,'Weekly Log'!$A:$A,"&lt;"&amp;$J1442+7))</f>
        <v/>
      </c>
      <c r="C1442">
        <f>IF($J1442="","",IFERROR(COUNTIFS('Weekly Log'!$G:$G,"Y",'Weekly Log'!$A:$A,"&gt;="&amp;$J1442,'Weekly Log'!$A:$A,"&lt;"&amp;$J1442+7)/COUNTIFS('Weekly Log'!$G:$G,"&lt;&gt;",'Weekly Log'!$A:$A,"&gt;="&amp;$J1442,'Weekly Log'!$A:$A,"&lt;"&amp;$J1442+7),0))</f>
        <v/>
      </c>
      <c r="D1442">
        <f>IF($J1442="","",IFERROR(COUNTIFS('Weekly Log'!$H:$H,"Y",'Weekly Log'!$A:$A,"&gt;="&amp;$J1442,'Weekly Log'!$A:$A,"&lt;"&amp;$J1442+7)/COUNTIFS('Weekly Log'!$H:$H,"&lt;&gt;",'Weekly Log'!$A:$A,"&gt;="&amp;$J1442,'Weekly Log'!$A:$A,"&lt;"&amp;$J1442+7),0))</f>
        <v/>
      </c>
      <c r="E1442">
        <f>IF($J1442="","",IFERROR(AVERAGEIFS('Weekly Log'!$F:$F,'Weekly Log'!$A:$A,"&gt;="&amp;$J1442,'Weekly Log'!$A:$A,"&lt;"&amp;$J1442+7),0))</f>
        <v/>
      </c>
      <c r="F1442">
        <f>IF($J1442="","",IFERROR(SUMIFS('Weekly Log'!$F:$F,'Weekly Log'!$A:$A,"&gt;="&amp;$J1442,'Weekly Log'!$A:$A,"&lt;"&amp;$J1442+7)/SUMIFS('Weekly Log'!$E:$E,'Weekly Log'!$A:$A,"&gt;="&amp;$J1442,'Weekly Log'!$A:$A,"&lt;"&amp;$J1442+7),0))</f>
        <v/>
      </c>
      <c r="G1442">
        <f>IF($J1442="","",IFERROR(LOOKUP(2,1/(('Weekly Log'!$A$5:$A$5000&gt;=$J1442)*('Weekly Log'!$A$5:$A$5000&lt;$J1442+7)*('Weekly Log'!$M$5:$M$5000&lt;&gt;"")),'Weekly Log'!$M$5:$M$5000),0))</f>
        <v/>
      </c>
      <c r="J1442">
        <f>IF(COUNT('Weekly Log'!$A$5:$A$5000)=0,"",IF(MIN('Weekly Log'!$A$5:$A$5000)+7*(ROW()-10)&gt;MAX('Weekly Log'!$A$5:$A$5000),"",MIN('Weekly Log'!$A$5:$A$5000)+7*(ROW()-10)))</f>
        <v/>
      </c>
    </row>
    <row r="1443">
      <c r="A1443">
        <f>IF($J1443="","",YEAR($J1443-WEEKDAY($J1443,2)+4)&amp;"-W"&amp;TEXT(WEEKNUM($J1443,21),"00"))</f>
        <v/>
      </c>
      <c r="B1443">
        <f>IF($J1443="","",SUMIFS('Weekly Log'!$C:$C,'Weekly Log'!$A:$A,"&gt;="&amp;$J1443,'Weekly Log'!$A:$A,"&lt;"&amp;$J1443+7))</f>
        <v/>
      </c>
      <c r="C1443">
        <f>IF($J1443="","",IFERROR(COUNTIFS('Weekly Log'!$G:$G,"Y",'Weekly Log'!$A:$A,"&gt;="&amp;$J1443,'Weekly Log'!$A:$A,"&lt;"&amp;$J1443+7)/COUNTIFS('Weekly Log'!$G:$G,"&lt;&gt;",'Weekly Log'!$A:$A,"&gt;="&amp;$J1443,'Weekly Log'!$A:$A,"&lt;"&amp;$J1443+7),0))</f>
        <v/>
      </c>
      <c r="D1443">
        <f>IF($J1443="","",IFERROR(COUNTIFS('Weekly Log'!$H:$H,"Y",'Weekly Log'!$A:$A,"&gt;="&amp;$J1443,'Weekly Log'!$A:$A,"&lt;"&amp;$J1443+7)/COUNTIFS('Weekly Log'!$H:$H,"&lt;&gt;",'Weekly Log'!$A:$A,"&gt;="&amp;$J1443,'Weekly Log'!$A:$A,"&lt;"&amp;$J1443+7),0))</f>
        <v/>
      </c>
      <c r="E1443">
        <f>IF($J1443="","",IFERROR(AVERAGEIFS('Weekly Log'!$F:$F,'Weekly Log'!$A:$A,"&gt;="&amp;$J1443,'Weekly Log'!$A:$A,"&lt;"&amp;$J1443+7),0))</f>
        <v/>
      </c>
      <c r="F1443">
        <f>IF($J1443="","",IFERROR(SUMIFS('Weekly Log'!$F:$F,'Weekly Log'!$A:$A,"&gt;="&amp;$J1443,'Weekly Log'!$A:$A,"&lt;"&amp;$J1443+7)/SUMIFS('Weekly Log'!$E:$E,'Weekly Log'!$A:$A,"&gt;="&amp;$J1443,'Weekly Log'!$A:$A,"&lt;"&amp;$J1443+7),0))</f>
        <v/>
      </c>
      <c r="G1443">
        <f>IF($J1443="","",IFERROR(LOOKUP(2,1/(('Weekly Log'!$A$5:$A$5000&gt;=$J1443)*('Weekly Log'!$A$5:$A$5000&lt;$J1443+7)*('Weekly Log'!$M$5:$M$5000&lt;&gt;"")),'Weekly Log'!$M$5:$M$5000),0))</f>
        <v/>
      </c>
      <c r="J1443">
        <f>IF(COUNT('Weekly Log'!$A$5:$A$5000)=0,"",IF(MIN('Weekly Log'!$A$5:$A$5000)+7*(ROW()-10)&gt;MAX('Weekly Log'!$A$5:$A$5000),"",MIN('Weekly Log'!$A$5:$A$5000)+7*(ROW()-10)))</f>
        <v/>
      </c>
    </row>
    <row r="1444">
      <c r="A1444">
        <f>IF($J1444="","",YEAR($J1444-WEEKDAY($J1444,2)+4)&amp;"-W"&amp;TEXT(WEEKNUM($J1444,21),"00"))</f>
        <v/>
      </c>
      <c r="B1444">
        <f>IF($J1444="","",SUMIFS('Weekly Log'!$C:$C,'Weekly Log'!$A:$A,"&gt;="&amp;$J1444,'Weekly Log'!$A:$A,"&lt;"&amp;$J1444+7))</f>
        <v/>
      </c>
      <c r="C1444">
        <f>IF($J1444="","",IFERROR(COUNTIFS('Weekly Log'!$G:$G,"Y",'Weekly Log'!$A:$A,"&gt;="&amp;$J1444,'Weekly Log'!$A:$A,"&lt;"&amp;$J1444+7)/COUNTIFS('Weekly Log'!$G:$G,"&lt;&gt;",'Weekly Log'!$A:$A,"&gt;="&amp;$J1444,'Weekly Log'!$A:$A,"&lt;"&amp;$J1444+7),0))</f>
        <v/>
      </c>
      <c r="D1444">
        <f>IF($J1444="","",IFERROR(COUNTIFS('Weekly Log'!$H:$H,"Y",'Weekly Log'!$A:$A,"&gt;="&amp;$J1444,'Weekly Log'!$A:$A,"&lt;"&amp;$J1444+7)/COUNTIFS('Weekly Log'!$H:$H,"&lt;&gt;",'Weekly Log'!$A:$A,"&gt;="&amp;$J1444,'Weekly Log'!$A:$A,"&lt;"&amp;$J1444+7),0))</f>
        <v/>
      </c>
      <c r="E1444">
        <f>IF($J1444="","",IFERROR(AVERAGEIFS('Weekly Log'!$F:$F,'Weekly Log'!$A:$A,"&gt;="&amp;$J1444,'Weekly Log'!$A:$A,"&lt;"&amp;$J1444+7),0))</f>
        <v/>
      </c>
      <c r="F1444">
        <f>IF($J1444="","",IFERROR(SUMIFS('Weekly Log'!$F:$F,'Weekly Log'!$A:$A,"&gt;="&amp;$J1444,'Weekly Log'!$A:$A,"&lt;"&amp;$J1444+7)/SUMIFS('Weekly Log'!$E:$E,'Weekly Log'!$A:$A,"&gt;="&amp;$J1444,'Weekly Log'!$A:$A,"&lt;"&amp;$J1444+7),0))</f>
        <v/>
      </c>
      <c r="G1444">
        <f>IF($J1444="","",IFERROR(LOOKUP(2,1/(('Weekly Log'!$A$5:$A$5000&gt;=$J1444)*('Weekly Log'!$A$5:$A$5000&lt;$J1444+7)*('Weekly Log'!$M$5:$M$5000&lt;&gt;"")),'Weekly Log'!$M$5:$M$5000),0))</f>
        <v/>
      </c>
      <c r="J1444">
        <f>IF(COUNT('Weekly Log'!$A$5:$A$5000)=0,"",IF(MIN('Weekly Log'!$A$5:$A$5000)+7*(ROW()-10)&gt;MAX('Weekly Log'!$A$5:$A$5000),"",MIN('Weekly Log'!$A$5:$A$5000)+7*(ROW()-10)))</f>
        <v/>
      </c>
    </row>
    <row r="1445">
      <c r="A1445">
        <f>IF($J1445="","",YEAR($J1445-WEEKDAY($J1445,2)+4)&amp;"-W"&amp;TEXT(WEEKNUM($J1445,21),"00"))</f>
        <v/>
      </c>
      <c r="B1445">
        <f>IF($J1445="","",SUMIFS('Weekly Log'!$C:$C,'Weekly Log'!$A:$A,"&gt;="&amp;$J1445,'Weekly Log'!$A:$A,"&lt;"&amp;$J1445+7))</f>
        <v/>
      </c>
      <c r="C1445">
        <f>IF($J1445="","",IFERROR(COUNTIFS('Weekly Log'!$G:$G,"Y",'Weekly Log'!$A:$A,"&gt;="&amp;$J1445,'Weekly Log'!$A:$A,"&lt;"&amp;$J1445+7)/COUNTIFS('Weekly Log'!$G:$G,"&lt;&gt;",'Weekly Log'!$A:$A,"&gt;="&amp;$J1445,'Weekly Log'!$A:$A,"&lt;"&amp;$J1445+7),0))</f>
        <v/>
      </c>
      <c r="D1445">
        <f>IF($J1445="","",IFERROR(COUNTIFS('Weekly Log'!$H:$H,"Y",'Weekly Log'!$A:$A,"&gt;="&amp;$J1445,'Weekly Log'!$A:$A,"&lt;"&amp;$J1445+7)/COUNTIFS('Weekly Log'!$H:$H,"&lt;&gt;",'Weekly Log'!$A:$A,"&gt;="&amp;$J1445,'Weekly Log'!$A:$A,"&lt;"&amp;$J1445+7),0))</f>
        <v/>
      </c>
      <c r="E1445">
        <f>IF($J1445="","",IFERROR(AVERAGEIFS('Weekly Log'!$F:$F,'Weekly Log'!$A:$A,"&gt;="&amp;$J1445,'Weekly Log'!$A:$A,"&lt;"&amp;$J1445+7),0))</f>
        <v/>
      </c>
      <c r="F1445">
        <f>IF($J1445="","",IFERROR(SUMIFS('Weekly Log'!$F:$F,'Weekly Log'!$A:$A,"&gt;="&amp;$J1445,'Weekly Log'!$A:$A,"&lt;"&amp;$J1445+7)/SUMIFS('Weekly Log'!$E:$E,'Weekly Log'!$A:$A,"&gt;="&amp;$J1445,'Weekly Log'!$A:$A,"&lt;"&amp;$J1445+7),0))</f>
        <v/>
      </c>
      <c r="G1445">
        <f>IF($J1445="","",IFERROR(LOOKUP(2,1/(('Weekly Log'!$A$5:$A$5000&gt;=$J1445)*('Weekly Log'!$A$5:$A$5000&lt;$J1445+7)*('Weekly Log'!$M$5:$M$5000&lt;&gt;"")),'Weekly Log'!$M$5:$M$5000),0))</f>
        <v/>
      </c>
      <c r="J1445">
        <f>IF(COUNT('Weekly Log'!$A$5:$A$5000)=0,"",IF(MIN('Weekly Log'!$A$5:$A$5000)+7*(ROW()-10)&gt;MAX('Weekly Log'!$A$5:$A$5000),"",MIN('Weekly Log'!$A$5:$A$5000)+7*(ROW()-10)))</f>
        <v/>
      </c>
    </row>
    <row r="1446">
      <c r="A1446">
        <f>IF($J1446="","",YEAR($J1446-WEEKDAY($J1446,2)+4)&amp;"-W"&amp;TEXT(WEEKNUM($J1446,21),"00"))</f>
        <v/>
      </c>
      <c r="B1446">
        <f>IF($J1446="","",SUMIFS('Weekly Log'!$C:$C,'Weekly Log'!$A:$A,"&gt;="&amp;$J1446,'Weekly Log'!$A:$A,"&lt;"&amp;$J1446+7))</f>
        <v/>
      </c>
      <c r="C1446">
        <f>IF($J1446="","",IFERROR(COUNTIFS('Weekly Log'!$G:$G,"Y",'Weekly Log'!$A:$A,"&gt;="&amp;$J1446,'Weekly Log'!$A:$A,"&lt;"&amp;$J1446+7)/COUNTIFS('Weekly Log'!$G:$G,"&lt;&gt;",'Weekly Log'!$A:$A,"&gt;="&amp;$J1446,'Weekly Log'!$A:$A,"&lt;"&amp;$J1446+7),0))</f>
        <v/>
      </c>
      <c r="D1446">
        <f>IF($J1446="","",IFERROR(COUNTIFS('Weekly Log'!$H:$H,"Y",'Weekly Log'!$A:$A,"&gt;="&amp;$J1446,'Weekly Log'!$A:$A,"&lt;"&amp;$J1446+7)/COUNTIFS('Weekly Log'!$H:$H,"&lt;&gt;",'Weekly Log'!$A:$A,"&gt;="&amp;$J1446,'Weekly Log'!$A:$A,"&lt;"&amp;$J1446+7),0))</f>
        <v/>
      </c>
      <c r="E1446">
        <f>IF($J1446="","",IFERROR(AVERAGEIFS('Weekly Log'!$F:$F,'Weekly Log'!$A:$A,"&gt;="&amp;$J1446,'Weekly Log'!$A:$A,"&lt;"&amp;$J1446+7),0))</f>
        <v/>
      </c>
      <c r="F1446">
        <f>IF($J1446="","",IFERROR(SUMIFS('Weekly Log'!$F:$F,'Weekly Log'!$A:$A,"&gt;="&amp;$J1446,'Weekly Log'!$A:$A,"&lt;"&amp;$J1446+7)/SUMIFS('Weekly Log'!$E:$E,'Weekly Log'!$A:$A,"&gt;="&amp;$J1446,'Weekly Log'!$A:$A,"&lt;"&amp;$J1446+7),0))</f>
        <v/>
      </c>
      <c r="G1446">
        <f>IF($J1446="","",IFERROR(LOOKUP(2,1/(('Weekly Log'!$A$5:$A$5000&gt;=$J1446)*('Weekly Log'!$A$5:$A$5000&lt;$J1446+7)*('Weekly Log'!$M$5:$M$5000&lt;&gt;"")),'Weekly Log'!$M$5:$M$5000),0))</f>
        <v/>
      </c>
      <c r="J1446">
        <f>IF(COUNT('Weekly Log'!$A$5:$A$5000)=0,"",IF(MIN('Weekly Log'!$A$5:$A$5000)+7*(ROW()-10)&gt;MAX('Weekly Log'!$A$5:$A$5000),"",MIN('Weekly Log'!$A$5:$A$5000)+7*(ROW()-10)))</f>
        <v/>
      </c>
    </row>
    <row r="1447">
      <c r="A1447">
        <f>IF($J1447="","",YEAR($J1447-WEEKDAY($J1447,2)+4)&amp;"-W"&amp;TEXT(WEEKNUM($J1447,21),"00"))</f>
        <v/>
      </c>
      <c r="B1447">
        <f>IF($J1447="","",SUMIFS('Weekly Log'!$C:$C,'Weekly Log'!$A:$A,"&gt;="&amp;$J1447,'Weekly Log'!$A:$A,"&lt;"&amp;$J1447+7))</f>
        <v/>
      </c>
      <c r="C1447">
        <f>IF($J1447="","",IFERROR(COUNTIFS('Weekly Log'!$G:$G,"Y",'Weekly Log'!$A:$A,"&gt;="&amp;$J1447,'Weekly Log'!$A:$A,"&lt;"&amp;$J1447+7)/COUNTIFS('Weekly Log'!$G:$G,"&lt;&gt;",'Weekly Log'!$A:$A,"&gt;="&amp;$J1447,'Weekly Log'!$A:$A,"&lt;"&amp;$J1447+7),0))</f>
        <v/>
      </c>
      <c r="D1447">
        <f>IF($J1447="","",IFERROR(COUNTIFS('Weekly Log'!$H:$H,"Y",'Weekly Log'!$A:$A,"&gt;="&amp;$J1447,'Weekly Log'!$A:$A,"&lt;"&amp;$J1447+7)/COUNTIFS('Weekly Log'!$H:$H,"&lt;&gt;",'Weekly Log'!$A:$A,"&gt;="&amp;$J1447,'Weekly Log'!$A:$A,"&lt;"&amp;$J1447+7),0))</f>
        <v/>
      </c>
      <c r="E1447">
        <f>IF($J1447="","",IFERROR(AVERAGEIFS('Weekly Log'!$F:$F,'Weekly Log'!$A:$A,"&gt;="&amp;$J1447,'Weekly Log'!$A:$A,"&lt;"&amp;$J1447+7),0))</f>
        <v/>
      </c>
      <c r="F1447">
        <f>IF($J1447="","",IFERROR(SUMIFS('Weekly Log'!$F:$F,'Weekly Log'!$A:$A,"&gt;="&amp;$J1447,'Weekly Log'!$A:$A,"&lt;"&amp;$J1447+7)/SUMIFS('Weekly Log'!$E:$E,'Weekly Log'!$A:$A,"&gt;="&amp;$J1447,'Weekly Log'!$A:$A,"&lt;"&amp;$J1447+7),0))</f>
        <v/>
      </c>
      <c r="G1447">
        <f>IF($J1447="","",IFERROR(LOOKUP(2,1/(('Weekly Log'!$A$5:$A$5000&gt;=$J1447)*('Weekly Log'!$A$5:$A$5000&lt;$J1447+7)*('Weekly Log'!$M$5:$M$5000&lt;&gt;"")),'Weekly Log'!$M$5:$M$5000),0))</f>
        <v/>
      </c>
      <c r="J1447">
        <f>IF(COUNT('Weekly Log'!$A$5:$A$5000)=0,"",IF(MIN('Weekly Log'!$A$5:$A$5000)+7*(ROW()-10)&gt;MAX('Weekly Log'!$A$5:$A$5000),"",MIN('Weekly Log'!$A$5:$A$5000)+7*(ROW()-10)))</f>
        <v/>
      </c>
    </row>
    <row r="1448">
      <c r="A1448">
        <f>IF($J1448="","",YEAR($J1448-WEEKDAY($J1448,2)+4)&amp;"-W"&amp;TEXT(WEEKNUM($J1448,21),"00"))</f>
        <v/>
      </c>
      <c r="B1448">
        <f>IF($J1448="","",SUMIFS('Weekly Log'!$C:$C,'Weekly Log'!$A:$A,"&gt;="&amp;$J1448,'Weekly Log'!$A:$A,"&lt;"&amp;$J1448+7))</f>
        <v/>
      </c>
      <c r="C1448">
        <f>IF($J1448="","",IFERROR(COUNTIFS('Weekly Log'!$G:$G,"Y",'Weekly Log'!$A:$A,"&gt;="&amp;$J1448,'Weekly Log'!$A:$A,"&lt;"&amp;$J1448+7)/COUNTIFS('Weekly Log'!$G:$G,"&lt;&gt;",'Weekly Log'!$A:$A,"&gt;="&amp;$J1448,'Weekly Log'!$A:$A,"&lt;"&amp;$J1448+7),0))</f>
        <v/>
      </c>
      <c r="D1448">
        <f>IF($J1448="","",IFERROR(COUNTIFS('Weekly Log'!$H:$H,"Y",'Weekly Log'!$A:$A,"&gt;="&amp;$J1448,'Weekly Log'!$A:$A,"&lt;"&amp;$J1448+7)/COUNTIFS('Weekly Log'!$H:$H,"&lt;&gt;",'Weekly Log'!$A:$A,"&gt;="&amp;$J1448,'Weekly Log'!$A:$A,"&lt;"&amp;$J1448+7),0))</f>
        <v/>
      </c>
      <c r="E1448">
        <f>IF($J1448="","",IFERROR(AVERAGEIFS('Weekly Log'!$F:$F,'Weekly Log'!$A:$A,"&gt;="&amp;$J1448,'Weekly Log'!$A:$A,"&lt;"&amp;$J1448+7),0))</f>
        <v/>
      </c>
      <c r="F1448">
        <f>IF($J1448="","",IFERROR(SUMIFS('Weekly Log'!$F:$F,'Weekly Log'!$A:$A,"&gt;="&amp;$J1448,'Weekly Log'!$A:$A,"&lt;"&amp;$J1448+7)/SUMIFS('Weekly Log'!$E:$E,'Weekly Log'!$A:$A,"&gt;="&amp;$J1448,'Weekly Log'!$A:$A,"&lt;"&amp;$J1448+7),0))</f>
        <v/>
      </c>
      <c r="G1448">
        <f>IF($J1448="","",IFERROR(LOOKUP(2,1/(('Weekly Log'!$A$5:$A$5000&gt;=$J1448)*('Weekly Log'!$A$5:$A$5000&lt;$J1448+7)*('Weekly Log'!$M$5:$M$5000&lt;&gt;"")),'Weekly Log'!$M$5:$M$5000),0))</f>
        <v/>
      </c>
      <c r="J1448">
        <f>IF(COUNT('Weekly Log'!$A$5:$A$5000)=0,"",IF(MIN('Weekly Log'!$A$5:$A$5000)+7*(ROW()-10)&gt;MAX('Weekly Log'!$A$5:$A$5000),"",MIN('Weekly Log'!$A$5:$A$5000)+7*(ROW()-10)))</f>
        <v/>
      </c>
    </row>
    <row r="1449">
      <c r="A1449">
        <f>IF($J1449="","",YEAR($J1449-WEEKDAY($J1449,2)+4)&amp;"-W"&amp;TEXT(WEEKNUM($J1449,21),"00"))</f>
        <v/>
      </c>
      <c r="B1449">
        <f>IF($J1449="","",SUMIFS('Weekly Log'!$C:$C,'Weekly Log'!$A:$A,"&gt;="&amp;$J1449,'Weekly Log'!$A:$A,"&lt;"&amp;$J1449+7))</f>
        <v/>
      </c>
      <c r="C1449">
        <f>IF($J1449="","",IFERROR(COUNTIFS('Weekly Log'!$G:$G,"Y",'Weekly Log'!$A:$A,"&gt;="&amp;$J1449,'Weekly Log'!$A:$A,"&lt;"&amp;$J1449+7)/COUNTIFS('Weekly Log'!$G:$G,"&lt;&gt;",'Weekly Log'!$A:$A,"&gt;="&amp;$J1449,'Weekly Log'!$A:$A,"&lt;"&amp;$J1449+7),0))</f>
        <v/>
      </c>
      <c r="D1449">
        <f>IF($J1449="","",IFERROR(COUNTIFS('Weekly Log'!$H:$H,"Y",'Weekly Log'!$A:$A,"&gt;="&amp;$J1449,'Weekly Log'!$A:$A,"&lt;"&amp;$J1449+7)/COUNTIFS('Weekly Log'!$H:$H,"&lt;&gt;",'Weekly Log'!$A:$A,"&gt;="&amp;$J1449,'Weekly Log'!$A:$A,"&lt;"&amp;$J1449+7),0))</f>
        <v/>
      </c>
      <c r="E1449">
        <f>IF($J1449="","",IFERROR(AVERAGEIFS('Weekly Log'!$F:$F,'Weekly Log'!$A:$A,"&gt;="&amp;$J1449,'Weekly Log'!$A:$A,"&lt;"&amp;$J1449+7),0))</f>
        <v/>
      </c>
      <c r="F1449">
        <f>IF($J1449="","",IFERROR(SUMIFS('Weekly Log'!$F:$F,'Weekly Log'!$A:$A,"&gt;="&amp;$J1449,'Weekly Log'!$A:$A,"&lt;"&amp;$J1449+7)/SUMIFS('Weekly Log'!$E:$E,'Weekly Log'!$A:$A,"&gt;="&amp;$J1449,'Weekly Log'!$A:$A,"&lt;"&amp;$J1449+7),0))</f>
        <v/>
      </c>
      <c r="G1449">
        <f>IF($J1449="","",IFERROR(LOOKUP(2,1/(('Weekly Log'!$A$5:$A$5000&gt;=$J1449)*('Weekly Log'!$A$5:$A$5000&lt;$J1449+7)*('Weekly Log'!$M$5:$M$5000&lt;&gt;"")),'Weekly Log'!$M$5:$M$5000),0))</f>
        <v/>
      </c>
      <c r="J1449">
        <f>IF(COUNT('Weekly Log'!$A$5:$A$5000)=0,"",IF(MIN('Weekly Log'!$A$5:$A$5000)+7*(ROW()-10)&gt;MAX('Weekly Log'!$A$5:$A$5000),"",MIN('Weekly Log'!$A$5:$A$5000)+7*(ROW()-10)))</f>
        <v/>
      </c>
    </row>
    <row r="1450">
      <c r="A1450">
        <f>IF($J1450="","",YEAR($J1450-WEEKDAY($J1450,2)+4)&amp;"-W"&amp;TEXT(WEEKNUM($J1450,21),"00"))</f>
        <v/>
      </c>
      <c r="B1450">
        <f>IF($J1450="","",SUMIFS('Weekly Log'!$C:$C,'Weekly Log'!$A:$A,"&gt;="&amp;$J1450,'Weekly Log'!$A:$A,"&lt;"&amp;$J1450+7))</f>
        <v/>
      </c>
      <c r="C1450">
        <f>IF($J1450="","",IFERROR(COUNTIFS('Weekly Log'!$G:$G,"Y",'Weekly Log'!$A:$A,"&gt;="&amp;$J1450,'Weekly Log'!$A:$A,"&lt;"&amp;$J1450+7)/COUNTIFS('Weekly Log'!$G:$G,"&lt;&gt;",'Weekly Log'!$A:$A,"&gt;="&amp;$J1450,'Weekly Log'!$A:$A,"&lt;"&amp;$J1450+7),0))</f>
        <v/>
      </c>
      <c r="D1450">
        <f>IF($J1450="","",IFERROR(COUNTIFS('Weekly Log'!$H:$H,"Y",'Weekly Log'!$A:$A,"&gt;="&amp;$J1450,'Weekly Log'!$A:$A,"&lt;"&amp;$J1450+7)/COUNTIFS('Weekly Log'!$H:$H,"&lt;&gt;",'Weekly Log'!$A:$A,"&gt;="&amp;$J1450,'Weekly Log'!$A:$A,"&lt;"&amp;$J1450+7),0))</f>
        <v/>
      </c>
      <c r="E1450">
        <f>IF($J1450="","",IFERROR(AVERAGEIFS('Weekly Log'!$F:$F,'Weekly Log'!$A:$A,"&gt;="&amp;$J1450,'Weekly Log'!$A:$A,"&lt;"&amp;$J1450+7),0))</f>
        <v/>
      </c>
      <c r="F1450">
        <f>IF($J1450="","",IFERROR(SUMIFS('Weekly Log'!$F:$F,'Weekly Log'!$A:$A,"&gt;="&amp;$J1450,'Weekly Log'!$A:$A,"&lt;"&amp;$J1450+7)/SUMIFS('Weekly Log'!$E:$E,'Weekly Log'!$A:$A,"&gt;="&amp;$J1450,'Weekly Log'!$A:$A,"&lt;"&amp;$J1450+7),0))</f>
        <v/>
      </c>
      <c r="G1450">
        <f>IF($J1450="","",IFERROR(LOOKUP(2,1/(('Weekly Log'!$A$5:$A$5000&gt;=$J1450)*('Weekly Log'!$A$5:$A$5000&lt;$J1450+7)*('Weekly Log'!$M$5:$M$5000&lt;&gt;"")),'Weekly Log'!$M$5:$M$5000),0))</f>
        <v/>
      </c>
      <c r="J1450">
        <f>IF(COUNT('Weekly Log'!$A$5:$A$5000)=0,"",IF(MIN('Weekly Log'!$A$5:$A$5000)+7*(ROW()-10)&gt;MAX('Weekly Log'!$A$5:$A$5000),"",MIN('Weekly Log'!$A$5:$A$5000)+7*(ROW()-10)))</f>
        <v/>
      </c>
    </row>
    <row r="1451">
      <c r="A1451">
        <f>IF($J1451="","",YEAR($J1451-WEEKDAY($J1451,2)+4)&amp;"-W"&amp;TEXT(WEEKNUM($J1451,21),"00"))</f>
        <v/>
      </c>
      <c r="B1451">
        <f>IF($J1451="","",SUMIFS('Weekly Log'!$C:$C,'Weekly Log'!$A:$A,"&gt;="&amp;$J1451,'Weekly Log'!$A:$A,"&lt;"&amp;$J1451+7))</f>
        <v/>
      </c>
      <c r="C1451">
        <f>IF($J1451="","",IFERROR(COUNTIFS('Weekly Log'!$G:$G,"Y",'Weekly Log'!$A:$A,"&gt;="&amp;$J1451,'Weekly Log'!$A:$A,"&lt;"&amp;$J1451+7)/COUNTIFS('Weekly Log'!$G:$G,"&lt;&gt;",'Weekly Log'!$A:$A,"&gt;="&amp;$J1451,'Weekly Log'!$A:$A,"&lt;"&amp;$J1451+7),0))</f>
        <v/>
      </c>
      <c r="D1451">
        <f>IF($J1451="","",IFERROR(COUNTIFS('Weekly Log'!$H:$H,"Y",'Weekly Log'!$A:$A,"&gt;="&amp;$J1451,'Weekly Log'!$A:$A,"&lt;"&amp;$J1451+7)/COUNTIFS('Weekly Log'!$H:$H,"&lt;&gt;",'Weekly Log'!$A:$A,"&gt;="&amp;$J1451,'Weekly Log'!$A:$A,"&lt;"&amp;$J1451+7),0))</f>
        <v/>
      </c>
      <c r="E1451">
        <f>IF($J1451="","",IFERROR(AVERAGEIFS('Weekly Log'!$F:$F,'Weekly Log'!$A:$A,"&gt;="&amp;$J1451,'Weekly Log'!$A:$A,"&lt;"&amp;$J1451+7),0))</f>
        <v/>
      </c>
      <c r="F1451">
        <f>IF($J1451="","",IFERROR(SUMIFS('Weekly Log'!$F:$F,'Weekly Log'!$A:$A,"&gt;="&amp;$J1451,'Weekly Log'!$A:$A,"&lt;"&amp;$J1451+7)/SUMIFS('Weekly Log'!$E:$E,'Weekly Log'!$A:$A,"&gt;="&amp;$J1451,'Weekly Log'!$A:$A,"&lt;"&amp;$J1451+7),0))</f>
        <v/>
      </c>
      <c r="G1451">
        <f>IF($J1451="","",IFERROR(LOOKUP(2,1/(('Weekly Log'!$A$5:$A$5000&gt;=$J1451)*('Weekly Log'!$A$5:$A$5000&lt;$J1451+7)*('Weekly Log'!$M$5:$M$5000&lt;&gt;"")),'Weekly Log'!$M$5:$M$5000),0))</f>
        <v/>
      </c>
      <c r="J1451">
        <f>IF(COUNT('Weekly Log'!$A$5:$A$5000)=0,"",IF(MIN('Weekly Log'!$A$5:$A$5000)+7*(ROW()-10)&gt;MAX('Weekly Log'!$A$5:$A$5000),"",MIN('Weekly Log'!$A$5:$A$5000)+7*(ROW()-10)))</f>
        <v/>
      </c>
    </row>
    <row r="1452">
      <c r="A1452">
        <f>IF($J1452="","",YEAR($J1452-WEEKDAY($J1452,2)+4)&amp;"-W"&amp;TEXT(WEEKNUM($J1452,21),"00"))</f>
        <v/>
      </c>
      <c r="B1452">
        <f>IF($J1452="","",SUMIFS('Weekly Log'!$C:$C,'Weekly Log'!$A:$A,"&gt;="&amp;$J1452,'Weekly Log'!$A:$A,"&lt;"&amp;$J1452+7))</f>
        <v/>
      </c>
      <c r="C1452">
        <f>IF($J1452="","",IFERROR(COUNTIFS('Weekly Log'!$G:$G,"Y",'Weekly Log'!$A:$A,"&gt;="&amp;$J1452,'Weekly Log'!$A:$A,"&lt;"&amp;$J1452+7)/COUNTIFS('Weekly Log'!$G:$G,"&lt;&gt;",'Weekly Log'!$A:$A,"&gt;="&amp;$J1452,'Weekly Log'!$A:$A,"&lt;"&amp;$J1452+7),0))</f>
        <v/>
      </c>
      <c r="D1452">
        <f>IF($J1452="","",IFERROR(COUNTIFS('Weekly Log'!$H:$H,"Y",'Weekly Log'!$A:$A,"&gt;="&amp;$J1452,'Weekly Log'!$A:$A,"&lt;"&amp;$J1452+7)/COUNTIFS('Weekly Log'!$H:$H,"&lt;&gt;",'Weekly Log'!$A:$A,"&gt;="&amp;$J1452,'Weekly Log'!$A:$A,"&lt;"&amp;$J1452+7),0))</f>
        <v/>
      </c>
      <c r="E1452">
        <f>IF($J1452="","",IFERROR(AVERAGEIFS('Weekly Log'!$F:$F,'Weekly Log'!$A:$A,"&gt;="&amp;$J1452,'Weekly Log'!$A:$A,"&lt;"&amp;$J1452+7),0))</f>
        <v/>
      </c>
      <c r="F1452">
        <f>IF($J1452="","",IFERROR(SUMIFS('Weekly Log'!$F:$F,'Weekly Log'!$A:$A,"&gt;="&amp;$J1452,'Weekly Log'!$A:$A,"&lt;"&amp;$J1452+7)/SUMIFS('Weekly Log'!$E:$E,'Weekly Log'!$A:$A,"&gt;="&amp;$J1452,'Weekly Log'!$A:$A,"&lt;"&amp;$J1452+7),0))</f>
        <v/>
      </c>
      <c r="G1452">
        <f>IF($J1452="","",IFERROR(LOOKUP(2,1/(('Weekly Log'!$A$5:$A$5000&gt;=$J1452)*('Weekly Log'!$A$5:$A$5000&lt;$J1452+7)*('Weekly Log'!$M$5:$M$5000&lt;&gt;"")),'Weekly Log'!$M$5:$M$5000),0))</f>
        <v/>
      </c>
      <c r="J1452">
        <f>IF(COUNT('Weekly Log'!$A$5:$A$5000)=0,"",IF(MIN('Weekly Log'!$A$5:$A$5000)+7*(ROW()-10)&gt;MAX('Weekly Log'!$A$5:$A$5000),"",MIN('Weekly Log'!$A$5:$A$5000)+7*(ROW()-10)))</f>
        <v/>
      </c>
    </row>
    <row r="1453">
      <c r="A1453">
        <f>IF($J1453="","",YEAR($J1453-WEEKDAY($J1453,2)+4)&amp;"-W"&amp;TEXT(WEEKNUM($J1453,21),"00"))</f>
        <v/>
      </c>
      <c r="B1453">
        <f>IF($J1453="","",SUMIFS('Weekly Log'!$C:$C,'Weekly Log'!$A:$A,"&gt;="&amp;$J1453,'Weekly Log'!$A:$A,"&lt;"&amp;$J1453+7))</f>
        <v/>
      </c>
      <c r="C1453">
        <f>IF($J1453="","",IFERROR(COUNTIFS('Weekly Log'!$G:$G,"Y",'Weekly Log'!$A:$A,"&gt;="&amp;$J1453,'Weekly Log'!$A:$A,"&lt;"&amp;$J1453+7)/COUNTIFS('Weekly Log'!$G:$G,"&lt;&gt;",'Weekly Log'!$A:$A,"&gt;="&amp;$J1453,'Weekly Log'!$A:$A,"&lt;"&amp;$J1453+7),0))</f>
        <v/>
      </c>
      <c r="D1453">
        <f>IF($J1453="","",IFERROR(COUNTIFS('Weekly Log'!$H:$H,"Y",'Weekly Log'!$A:$A,"&gt;="&amp;$J1453,'Weekly Log'!$A:$A,"&lt;"&amp;$J1453+7)/COUNTIFS('Weekly Log'!$H:$H,"&lt;&gt;",'Weekly Log'!$A:$A,"&gt;="&amp;$J1453,'Weekly Log'!$A:$A,"&lt;"&amp;$J1453+7),0))</f>
        <v/>
      </c>
      <c r="E1453">
        <f>IF($J1453="","",IFERROR(AVERAGEIFS('Weekly Log'!$F:$F,'Weekly Log'!$A:$A,"&gt;="&amp;$J1453,'Weekly Log'!$A:$A,"&lt;"&amp;$J1453+7),0))</f>
        <v/>
      </c>
      <c r="F1453">
        <f>IF($J1453="","",IFERROR(SUMIFS('Weekly Log'!$F:$F,'Weekly Log'!$A:$A,"&gt;="&amp;$J1453,'Weekly Log'!$A:$A,"&lt;"&amp;$J1453+7)/SUMIFS('Weekly Log'!$E:$E,'Weekly Log'!$A:$A,"&gt;="&amp;$J1453,'Weekly Log'!$A:$A,"&lt;"&amp;$J1453+7),0))</f>
        <v/>
      </c>
      <c r="G1453">
        <f>IF($J1453="","",IFERROR(LOOKUP(2,1/(('Weekly Log'!$A$5:$A$5000&gt;=$J1453)*('Weekly Log'!$A$5:$A$5000&lt;$J1453+7)*('Weekly Log'!$M$5:$M$5000&lt;&gt;"")),'Weekly Log'!$M$5:$M$5000),0))</f>
        <v/>
      </c>
      <c r="J1453">
        <f>IF(COUNT('Weekly Log'!$A$5:$A$5000)=0,"",IF(MIN('Weekly Log'!$A$5:$A$5000)+7*(ROW()-10)&gt;MAX('Weekly Log'!$A$5:$A$5000),"",MIN('Weekly Log'!$A$5:$A$5000)+7*(ROW()-10)))</f>
        <v/>
      </c>
    </row>
    <row r="1454">
      <c r="A1454">
        <f>IF($J1454="","",YEAR($J1454-WEEKDAY($J1454,2)+4)&amp;"-W"&amp;TEXT(WEEKNUM($J1454,21),"00"))</f>
        <v/>
      </c>
      <c r="B1454">
        <f>IF($J1454="","",SUMIFS('Weekly Log'!$C:$C,'Weekly Log'!$A:$A,"&gt;="&amp;$J1454,'Weekly Log'!$A:$A,"&lt;"&amp;$J1454+7))</f>
        <v/>
      </c>
      <c r="C1454">
        <f>IF($J1454="","",IFERROR(COUNTIFS('Weekly Log'!$G:$G,"Y",'Weekly Log'!$A:$A,"&gt;="&amp;$J1454,'Weekly Log'!$A:$A,"&lt;"&amp;$J1454+7)/COUNTIFS('Weekly Log'!$G:$G,"&lt;&gt;",'Weekly Log'!$A:$A,"&gt;="&amp;$J1454,'Weekly Log'!$A:$A,"&lt;"&amp;$J1454+7),0))</f>
        <v/>
      </c>
      <c r="D1454">
        <f>IF($J1454="","",IFERROR(COUNTIFS('Weekly Log'!$H:$H,"Y",'Weekly Log'!$A:$A,"&gt;="&amp;$J1454,'Weekly Log'!$A:$A,"&lt;"&amp;$J1454+7)/COUNTIFS('Weekly Log'!$H:$H,"&lt;&gt;",'Weekly Log'!$A:$A,"&gt;="&amp;$J1454,'Weekly Log'!$A:$A,"&lt;"&amp;$J1454+7),0))</f>
        <v/>
      </c>
      <c r="E1454">
        <f>IF($J1454="","",IFERROR(AVERAGEIFS('Weekly Log'!$F:$F,'Weekly Log'!$A:$A,"&gt;="&amp;$J1454,'Weekly Log'!$A:$A,"&lt;"&amp;$J1454+7),0))</f>
        <v/>
      </c>
      <c r="F1454">
        <f>IF($J1454="","",IFERROR(SUMIFS('Weekly Log'!$F:$F,'Weekly Log'!$A:$A,"&gt;="&amp;$J1454,'Weekly Log'!$A:$A,"&lt;"&amp;$J1454+7)/SUMIFS('Weekly Log'!$E:$E,'Weekly Log'!$A:$A,"&gt;="&amp;$J1454,'Weekly Log'!$A:$A,"&lt;"&amp;$J1454+7),0))</f>
        <v/>
      </c>
      <c r="G1454">
        <f>IF($J1454="","",IFERROR(LOOKUP(2,1/(('Weekly Log'!$A$5:$A$5000&gt;=$J1454)*('Weekly Log'!$A$5:$A$5000&lt;$J1454+7)*('Weekly Log'!$M$5:$M$5000&lt;&gt;"")),'Weekly Log'!$M$5:$M$5000),0))</f>
        <v/>
      </c>
      <c r="J1454">
        <f>IF(COUNT('Weekly Log'!$A$5:$A$5000)=0,"",IF(MIN('Weekly Log'!$A$5:$A$5000)+7*(ROW()-10)&gt;MAX('Weekly Log'!$A$5:$A$5000),"",MIN('Weekly Log'!$A$5:$A$5000)+7*(ROW()-10)))</f>
        <v/>
      </c>
    </row>
    <row r="1455">
      <c r="A1455">
        <f>IF($J1455="","",YEAR($J1455-WEEKDAY($J1455,2)+4)&amp;"-W"&amp;TEXT(WEEKNUM($J1455,21),"00"))</f>
        <v/>
      </c>
      <c r="B1455">
        <f>IF($J1455="","",SUMIFS('Weekly Log'!$C:$C,'Weekly Log'!$A:$A,"&gt;="&amp;$J1455,'Weekly Log'!$A:$A,"&lt;"&amp;$J1455+7))</f>
        <v/>
      </c>
      <c r="C1455">
        <f>IF($J1455="","",IFERROR(COUNTIFS('Weekly Log'!$G:$G,"Y",'Weekly Log'!$A:$A,"&gt;="&amp;$J1455,'Weekly Log'!$A:$A,"&lt;"&amp;$J1455+7)/COUNTIFS('Weekly Log'!$G:$G,"&lt;&gt;",'Weekly Log'!$A:$A,"&gt;="&amp;$J1455,'Weekly Log'!$A:$A,"&lt;"&amp;$J1455+7),0))</f>
        <v/>
      </c>
      <c r="D1455">
        <f>IF($J1455="","",IFERROR(COUNTIFS('Weekly Log'!$H:$H,"Y",'Weekly Log'!$A:$A,"&gt;="&amp;$J1455,'Weekly Log'!$A:$A,"&lt;"&amp;$J1455+7)/COUNTIFS('Weekly Log'!$H:$H,"&lt;&gt;",'Weekly Log'!$A:$A,"&gt;="&amp;$J1455,'Weekly Log'!$A:$A,"&lt;"&amp;$J1455+7),0))</f>
        <v/>
      </c>
      <c r="E1455">
        <f>IF($J1455="","",IFERROR(AVERAGEIFS('Weekly Log'!$F:$F,'Weekly Log'!$A:$A,"&gt;="&amp;$J1455,'Weekly Log'!$A:$A,"&lt;"&amp;$J1455+7),0))</f>
        <v/>
      </c>
      <c r="F1455">
        <f>IF($J1455="","",IFERROR(SUMIFS('Weekly Log'!$F:$F,'Weekly Log'!$A:$A,"&gt;="&amp;$J1455,'Weekly Log'!$A:$A,"&lt;"&amp;$J1455+7)/SUMIFS('Weekly Log'!$E:$E,'Weekly Log'!$A:$A,"&gt;="&amp;$J1455,'Weekly Log'!$A:$A,"&lt;"&amp;$J1455+7),0))</f>
        <v/>
      </c>
      <c r="G1455">
        <f>IF($J1455="","",IFERROR(LOOKUP(2,1/(('Weekly Log'!$A$5:$A$5000&gt;=$J1455)*('Weekly Log'!$A$5:$A$5000&lt;$J1455+7)*('Weekly Log'!$M$5:$M$5000&lt;&gt;"")),'Weekly Log'!$M$5:$M$5000),0))</f>
        <v/>
      </c>
      <c r="J1455">
        <f>IF(COUNT('Weekly Log'!$A$5:$A$5000)=0,"",IF(MIN('Weekly Log'!$A$5:$A$5000)+7*(ROW()-10)&gt;MAX('Weekly Log'!$A$5:$A$5000),"",MIN('Weekly Log'!$A$5:$A$5000)+7*(ROW()-10)))</f>
        <v/>
      </c>
    </row>
    <row r="1456">
      <c r="A1456">
        <f>IF($J1456="","",YEAR($J1456-WEEKDAY($J1456,2)+4)&amp;"-W"&amp;TEXT(WEEKNUM($J1456,21),"00"))</f>
        <v/>
      </c>
      <c r="B1456">
        <f>IF($J1456="","",SUMIFS('Weekly Log'!$C:$C,'Weekly Log'!$A:$A,"&gt;="&amp;$J1456,'Weekly Log'!$A:$A,"&lt;"&amp;$J1456+7))</f>
        <v/>
      </c>
      <c r="C1456">
        <f>IF($J1456="","",IFERROR(COUNTIFS('Weekly Log'!$G:$G,"Y",'Weekly Log'!$A:$A,"&gt;="&amp;$J1456,'Weekly Log'!$A:$A,"&lt;"&amp;$J1456+7)/COUNTIFS('Weekly Log'!$G:$G,"&lt;&gt;",'Weekly Log'!$A:$A,"&gt;="&amp;$J1456,'Weekly Log'!$A:$A,"&lt;"&amp;$J1456+7),0))</f>
        <v/>
      </c>
      <c r="D1456">
        <f>IF($J1456="","",IFERROR(COUNTIFS('Weekly Log'!$H:$H,"Y",'Weekly Log'!$A:$A,"&gt;="&amp;$J1456,'Weekly Log'!$A:$A,"&lt;"&amp;$J1456+7)/COUNTIFS('Weekly Log'!$H:$H,"&lt;&gt;",'Weekly Log'!$A:$A,"&gt;="&amp;$J1456,'Weekly Log'!$A:$A,"&lt;"&amp;$J1456+7),0))</f>
        <v/>
      </c>
      <c r="E1456">
        <f>IF($J1456="","",IFERROR(AVERAGEIFS('Weekly Log'!$F:$F,'Weekly Log'!$A:$A,"&gt;="&amp;$J1456,'Weekly Log'!$A:$A,"&lt;"&amp;$J1456+7),0))</f>
        <v/>
      </c>
      <c r="F1456">
        <f>IF($J1456="","",IFERROR(SUMIFS('Weekly Log'!$F:$F,'Weekly Log'!$A:$A,"&gt;="&amp;$J1456,'Weekly Log'!$A:$A,"&lt;"&amp;$J1456+7)/SUMIFS('Weekly Log'!$E:$E,'Weekly Log'!$A:$A,"&gt;="&amp;$J1456,'Weekly Log'!$A:$A,"&lt;"&amp;$J1456+7),0))</f>
        <v/>
      </c>
      <c r="G1456">
        <f>IF($J1456="","",IFERROR(LOOKUP(2,1/(('Weekly Log'!$A$5:$A$5000&gt;=$J1456)*('Weekly Log'!$A$5:$A$5000&lt;$J1456+7)*('Weekly Log'!$M$5:$M$5000&lt;&gt;"")),'Weekly Log'!$M$5:$M$5000),0))</f>
        <v/>
      </c>
      <c r="J1456">
        <f>IF(COUNT('Weekly Log'!$A$5:$A$5000)=0,"",IF(MIN('Weekly Log'!$A$5:$A$5000)+7*(ROW()-10)&gt;MAX('Weekly Log'!$A$5:$A$5000),"",MIN('Weekly Log'!$A$5:$A$5000)+7*(ROW()-10)))</f>
        <v/>
      </c>
    </row>
    <row r="1457">
      <c r="A1457">
        <f>IF($J1457="","",YEAR($J1457-WEEKDAY($J1457,2)+4)&amp;"-W"&amp;TEXT(WEEKNUM($J1457,21),"00"))</f>
        <v/>
      </c>
      <c r="B1457">
        <f>IF($J1457="","",SUMIFS('Weekly Log'!$C:$C,'Weekly Log'!$A:$A,"&gt;="&amp;$J1457,'Weekly Log'!$A:$A,"&lt;"&amp;$J1457+7))</f>
        <v/>
      </c>
      <c r="C1457">
        <f>IF($J1457="","",IFERROR(COUNTIFS('Weekly Log'!$G:$G,"Y",'Weekly Log'!$A:$A,"&gt;="&amp;$J1457,'Weekly Log'!$A:$A,"&lt;"&amp;$J1457+7)/COUNTIFS('Weekly Log'!$G:$G,"&lt;&gt;",'Weekly Log'!$A:$A,"&gt;="&amp;$J1457,'Weekly Log'!$A:$A,"&lt;"&amp;$J1457+7),0))</f>
        <v/>
      </c>
      <c r="D1457">
        <f>IF($J1457="","",IFERROR(COUNTIFS('Weekly Log'!$H:$H,"Y",'Weekly Log'!$A:$A,"&gt;="&amp;$J1457,'Weekly Log'!$A:$A,"&lt;"&amp;$J1457+7)/COUNTIFS('Weekly Log'!$H:$H,"&lt;&gt;",'Weekly Log'!$A:$A,"&gt;="&amp;$J1457,'Weekly Log'!$A:$A,"&lt;"&amp;$J1457+7),0))</f>
        <v/>
      </c>
      <c r="E1457">
        <f>IF($J1457="","",IFERROR(AVERAGEIFS('Weekly Log'!$F:$F,'Weekly Log'!$A:$A,"&gt;="&amp;$J1457,'Weekly Log'!$A:$A,"&lt;"&amp;$J1457+7),0))</f>
        <v/>
      </c>
      <c r="F1457">
        <f>IF($J1457="","",IFERROR(SUMIFS('Weekly Log'!$F:$F,'Weekly Log'!$A:$A,"&gt;="&amp;$J1457,'Weekly Log'!$A:$A,"&lt;"&amp;$J1457+7)/SUMIFS('Weekly Log'!$E:$E,'Weekly Log'!$A:$A,"&gt;="&amp;$J1457,'Weekly Log'!$A:$A,"&lt;"&amp;$J1457+7),0))</f>
        <v/>
      </c>
      <c r="G1457">
        <f>IF($J1457="","",IFERROR(LOOKUP(2,1/(('Weekly Log'!$A$5:$A$5000&gt;=$J1457)*('Weekly Log'!$A$5:$A$5000&lt;$J1457+7)*('Weekly Log'!$M$5:$M$5000&lt;&gt;"")),'Weekly Log'!$M$5:$M$5000),0))</f>
        <v/>
      </c>
      <c r="J1457">
        <f>IF(COUNT('Weekly Log'!$A$5:$A$5000)=0,"",IF(MIN('Weekly Log'!$A$5:$A$5000)+7*(ROW()-10)&gt;MAX('Weekly Log'!$A$5:$A$5000),"",MIN('Weekly Log'!$A$5:$A$5000)+7*(ROW()-10)))</f>
        <v/>
      </c>
    </row>
    <row r="1458">
      <c r="A1458">
        <f>IF($J1458="","",YEAR($J1458-WEEKDAY($J1458,2)+4)&amp;"-W"&amp;TEXT(WEEKNUM($J1458,21),"00"))</f>
        <v/>
      </c>
      <c r="B1458">
        <f>IF($J1458="","",SUMIFS('Weekly Log'!$C:$C,'Weekly Log'!$A:$A,"&gt;="&amp;$J1458,'Weekly Log'!$A:$A,"&lt;"&amp;$J1458+7))</f>
        <v/>
      </c>
      <c r="C1458">
        <f>IF($J1458="","",IFERROR(COUNTIFS('Weekly Log'!$G:$G,"Y",'Weekly Log'!$A:$A,"&gt;="&amp;$J1458,'Weekly Log'!$A:$A,"&lt;"&amp;$J1458+7)/COUNTIFS('Weekly Log'!$G:$G,"&lt;&gt;",'Weekly Log'!$A:$A,"&gt;="&amp;$J1458,'Weekly Log'!$A:$A,"&lt;"&amp;$J1458+7),0))</f>
        <v/>
      </c>
      <c r="D1458">
        <f>IF($J1458="","",IFERROR(COUNTIFS('Weekly Log'!$H:$H,"Y",'Weekly Log'!$A:$A,"&gt;="&amp;$J1458,'Weekly Log'!$A:$A,"&lt;"&amp;$J1458+7)/COUNTIFS('Weekly Log'!$H:$H,"&lt;&gt;",'Weekly Log'!$A:$A,"&gt;="&amp;$J1458,'Weekly Log'!$A:$A,"&lt;"&amp;$J1458+7),0))</f>
        <v/>
      </c>
      <c r="E1458">
        <f>IF($J1458="","",IFERROR(AVERAGEIFS('Weekly Log'!$F:$F,'Weekly Log'!$A:$A,"&gt;="&amp;$J1458,'Weekly Log'!$A:$A,"&lt;"&amp;$J1458+7),0))</f>
        <v/>
      </c>
      <c r="F1458">
        <f>IF($J1458="","",IFERROR(SUMIFS('Weekly Log'!$F:$F,'Weekly Log'!$A:$A,"&gt;="&amp;$J1458,'Weekly Log'!$A:$A,"&lt;"&amp;$J1458+7)/SUMIFS('Weekly Log'!$E:$E,'Weekly Log'!$A:$A,"&gt;="&amp;$J1458,'Weekly Log'!$A:$A,"&lt;"&amp;$J1458+7),0))</f>
        <v/>
      </c>
      <c r="G1458">
        <f>IF($J1458="","",IFERROR(LOOKUP(2,1/(('Weekly Log'!$A$5:$A$5000&gt;=$J1458)*('Weekly Log'!$A$5:$A$5000&lt;$J1458+7)*('Weekly Log'!$M$5:$M$5000&lt;&gt;"")),'Weekly Log'!$M$5:$M$5000),0))</f>
        <v/>
      </c>
      <c r="J1458">
        <f>IF(COUNT('Weekly Log'!$A$5:$A$5000)=0,"",IF(MIN('Weekly Log'!$A$5:$A$5000)+7*(ROW()-10)&gt;MAX('Weekly Log'!$A$5:$A$5000),"",MIN('Weekly Log'!$A$5:$A$5000)+7*(ROW()-10)))</f>
        <v/>
      </c>
    </row>
    <row r="1459">
      <c r="A1459">
        <f>IF($J1459="","",YEAR($J1459-WEEKDAY($J1459,2)+4)&amp;"-W"&amp;TEXT(WEEKNUM($J1459,21),"00"))</f>
        <v/>
      </c>
      <c r="B1459">
        <f>IF($J1459="","",SUMIFS('Weekly Log'!$C:$C,'Weekly Log'!$A:$A,"&gt;="&amp;$J1459,'Weekly Log'!$A:$A,"&lt;"&amp;$J1459+7))</f>
        <v/>
      </c>
      <c r="C1459">
        <f>IF($J1459="","",IFERROR(COUNTIFS('Weekly Log'!$G:$G,"Y",'Weekly Log'!$A:$A,"&gt;="&amp;$J1459,'Weekly Log'!$A:$A,"&lt;"&amp;$J1459+7)/COUNTIFS('Weekly Log'!$G:$G,"&lt;&gt;",'Weekly Log'!$A:$A,"&gt;="&amp;$J1459,'Weekly Log'!$A:$A,"&lt;"&amp;$J1459+7),0))</f>
        <v/>
      </c>
      <c r="D1459">
        <f>IF($J1459="","",IFERROR(COUNTIFS('Weekly Log'!$H:$H,"Y",'Weekly Log'!$A:$A,"&gt;="&amp;$J1459,'Weekly Log'!$A:$A,"&lt;"&amp;$J1459+7)/COUNTIFS('Weekly Log'!$H:$H,"&lt;&gt;",'Weekly Log'!$A:$A,"&gt;="&amp;$J1459,'Weekly Log'!$A:$A,"&lt;"&amp;$J1459+7),0))</f>
        <v/>
      </c>
      <c r="E1459">
        <f>IF($J1459="","",IFERROR(AVERAGEIFS('Weekly Log'!$F:$F,'Weekly Log'!$A:$A,"&gt;="&amp;$J1459,'Weekly Log'!$A:$A,"&lt;"&amp;$J1459+7),0))</f>
        <v/>
      </c>
      <c r="F1459">
        <f>IF($J1459="","",IFERROR(SUMIFS('Weekly Log'!$F:$F,'Weekly Log'!$A:$A,"&gt;="&amp;$J1459,'Weekly Log'!$A:$A,"&lt;"&amp;$J1459+7)/SUMIFS('Weekly Log'!$E:$E,'Weekly Log'!$A:$A,"&gt;="&amp;$J1459,'Weekly Log'!$A:$A,"&lt;"&amp;$J1459+7),0))</f>
        <v/>
      </c>
      <c r="G1459">
        <f>IF($J1459="","",IFERROR(LOOKUP(2,1/(('Weekly Log'!$A$5:$A$5000&gt;=$J1459)*('Weekly Log'!$A$5:$A$5000&lt;$J1459+7)*('Weekly Log'!$M$5:$M$5000&lt;&gt;"")),'Weekly Log'!$M$5:$M$5000),0))</f>
        <v/>
      </c>
      <c r="J1459">
        <f>IF(COUNT('Weekly Log'!$A$5:$A$5000)=0,"",IF(MIN('Weekly Log'!$A$5:$A$5000)+7*(ROW()-10)&gt;MAX('Weekly Log'!$A$5:$A$5000),"",MIN('Weekly Log'!$A$5:$A$5000)+7*(ROW()-10)))</f>
        <v/>
      </c>
    </row>
    <row r="1460">
      <c r="A1460">
        <f>IF($J1460="","",YEAR($J1460-WEEKDAY($J1460,2)+4)&amp;"-W"&amp;TEXT(WEEKNUM($J1460,21),"00"))</f>
        <v/>
      </c>
      <c r="B1460">
        <f>IF($J1460="","",SUMIFS('Weekly Log'!$C:$C,'Weekly Log'!$A:$A,"&gt;="&amp;$J1460,'Weekly Log'!$A:$A,"&lt;"&amp;$J1460+7))</f>
        <v/>
      </c>
      <c r="C1460">
        <f>IF($J1460="","",IFERROR(COUNTIFS('Weekly Log'!$G:$G,"Y",'Weekly Log'!$A:$A,"&gt;="&amp;$J1460,'Weekly Log'!$A:$A,"&lt;"&amp;$J1460+7)/COUNTIFS('Weekly Log'!$G:$G,"&lt;&gt;",'Weekly Log'!$A:$A,"&gt;="&amp;$J1460,'Weekly Log'!$A:$A,"&lt;"&amp;$J1460+7),0))</f>
        <v/>
      </c>
      <c r="D1460">
        <f>IF($J1460="","",IFERROR(COUNTIFS('Weekly Log'!$H:$H,"Y",'Weekly Log'!$A:$A,"&gt;="&amp;$J1460,'Weekly Log'!$A:$A,"&lt;"&amp;$J1460+7)/COUNTIFS('Weekly Log'!$H:$H,"&lt;&gt;",'Weekly Log'!$A:$A,"&gt;="&amp;$J1460,'Weekly Log'!$A:$A,"&lt;"&amp;$J1460+7),0))</f>
        <v/>
      </c>
      <c r="E1460">
        <f>IF($J1460="","",IFERROR(AVERAGEIFS('Weekly Log'!$F:$F,'Weekly Log'!$A:$A,"&gt;="&amp;$J1460,'Weekly Log'!$A:$A,"&lt;"&amp;$J1460+7),0))</f>
        <v/>
      </c>
      <c r="F1460">
        <f>IF($J1460="","",IFERROR(SUMIFS('Weekly Log'!$F:$F,'Weekly Log'!$A:$A,"&gt;="&amp;$J1460,'Weekly Log'!$A:$A,"&lt;"&amp;$J1460+7)/SUMIFS('Weekly Log'!$E:$E,'Weekly Log'!$A:$A,"&gt;="&amp;$J1460,'Weekly Log'!$A:$A,"&lt;"&amp;$J1460+7),0))</f>
        <v/>
      </c>
      <c r="G1460">
        <f>IF($J1460="","",IFERROR(LOOKUP(2,1/(('Weekly Log'!$A$5:$A$5000&gt;=$J1460)*('Weekly Log'!$A$5:$A$5000&lt;$J1460+7)*('Weekly Log'!$M$5:$M$5000&lt;&gt;"")),'Weekly Log'!$M$5:$M$5000),0))</f>
        <v/>
      </c>
      <c r="J1460">
        <f>IF(COUNT('Weekly Log'!$A$5:$A$5000)=0,"",IF(MIN('Weekly Log'!$A$5:$A$5000)+7*(ROW()-10)&gt;MAX('Weekly Log'!$A$5:$A$5000),"",MIN('Weekly Log'!$A$5:$A$5000)+7*(ROW()-10)))</f>
        <v/>
      </c>
    </row>
    <row r="1461">
      <c r="A1461">
        <f>IF($J1461="","",YEAR($J1461-WEEKDAY($J1461,2)+4)&amp;"-W"&amp;TEXT(WEEKNUM($J1461,21),"00"))</f>
        <v/>
      </c>
      <c r="B1461">
        <f>IF($J1461="","",SUMIFS('Weekly Log'!$C:$C,'Weekly Log'!$A:$A,"&gt;="&amp;$J1461,'Weekly Log'!$A:$A,"&lt;"&amp;$J1461+7))</f>
        <v/>
      </c>
      <c r="C1461">
        <f>IF($J1461="","",IFERROR(COUNTIFS('Weekly Log'!$G:$G,"Y",'Weekly Log'!$A:$A,"&gt;="&amp;$J1461,'Weekly Log'!$A:$A,"&lt;"&amp;$J1461+7)/COUNTIFS('Weekly Log'!$G:$G,"&lt;&gt;",'Weekly Log'!$A:$A,"&gt;="&amp;$J1461,'Weekly Log'!$A:$A,"&lt;"&amp;$J1461+7),0))</f>
        <v/>
      </c>
      <c r="D1461">
        <f>IF($J1461="","",IFERROR(COUNTIFS('Weekly Log'!$H:$H,"Y",'Weekly Log'!$A:$A,"&gt;="&amp;$J1461,'Weekly Log'!$A:$A,"&lt;"&amp;$J1461+7)/COUNTIFS('Weekly Log'!$H:$H,"&lt;&gt;",'Weekly Log'!$A:$A,"&gt;="&amp;$J1461,'Weekly Log'!$A:$A,"&lt;"&amp;$J1461+7),0))</f>
        <v/>
      </c>
      <c r="E1461">
        <f>IF($J1461="","",IFERROR(AVERAGEIFS('Weekly Log'!$F:$F,'Weekly Log'!$A:$A,"&gt;="&amp;$J1461,'Weekly Log'!$A:$A,"&lt;"&amp;$J1461+7),0))</f>
        <v/>
      </c>
      <c r="F1461">
        <f>IF($J1461="","",IFERROR(SUMIFS('Weekly Log'!$F:$F,'Weekly Log'!$A:$A,"&gt;="&amp;$J1461,'Weekly Log'!$A:$A,"&lt;"&amp;$J1461+7)/SUMIFS('Weekly Log'!$E:$E,'Weekly Log'!$A:$A,"&gt;="&amp;$J1461,'Weekly Log'!$A:$A,"&lt;"&amp;$J1461+7),0))</f>
        <v/>
      </c>
      <c r="G1461">
        <f>IF($J1461="","",IFERROR(LOOKUP(2,1/(('Weekly Log'!$A$5:$A$5000&gt;=$J1461)*('Weekly Log'!$A$5:$A$5000&lt;$J1461+7)*('Weekly Log'!$M$5:$M$5000&lt;&gt;"")),'Weekly Log'!$M$5:$M$5000),0))</f>
        <v/>
      </c>
      <c r="J1461">
        <f>IF(COUNT('Weekly Log'!$A$5:$A$5000)=0,"",IF(MIN('Weekly Log'!$A$5:$A$5000)+7*(ROW()-10)&gt;MAX('Weekly Log'!$A$5:$A$5000),"",MIN('Weekly Log'!$A$5:$A$5000)+7*(ROW()-10)))</f>
        <v/>
      </c>
    </row>
    <row r="1462">
      <c r="A1462">
        <f>IF($J1462="","",YEAR($J1462-WEEKDAY($J1462,2)+4)&amp;"-W"&amp;TEXT(WEEKNUM($J1462,21),"00"))</f>
        <v/>
      </c>
      <c r="B1462">
        <f>IF($J1462="","",SUMIFS('Weekly Log'!$C:$C,'Weekly Log'!$A:$A,"&gt;="&amp;$J1462,'Weekly Log'!$A:$A,"&lt;"&amp;$J1462+7))</f>
        <v/>
      </c>
      <c r="C1462">
        <f>IF($J1462="","",IFERROR(COUNTIFS('Weekly Log'!$G:$G,"Y",'Weekly Log'!$A:$A,"&gt;="&amp;$J1462,'Weekly Log'!$A:$A,"&lt;"&amp;$J1462+7)/COUNTIFS('Weekly Log'!$G:$G,"&lt;&gt;",'Weekly Log'!$A:$A,"&gt;="&amp;$J1462,'Weekly Log'!$A:$A,"&lt;"&amp;$J1462+7),0))</f>
        <v/>
      </c>
      <c r="D1462">
        <f>IF($J1462="","",IFERROR(COUNTIFS('Weekly Log'!$H:$H,"Y",'Weekly Log'!$A:$A,"&gt;="&amp;$J1462,'Weekly Log'!$A:$A,"&lt;"&amp;$J1462+7)/COUNTIFS('Weekly Log'!$H:$H,"&lt;&gt;",'Weekly Log'!$A:$A,"&gt;="&amp;$J1462,'Weekly Log'!$A:$A,"&lt;"&amp;$J1462+7),0))</f>
        <v/>
      </c>
      <c r="E1462">
        <f>IF($J1462="","",IFERROR(AVERAGEIFS('Weekly Log'!$F:$F,'Weekly Log'!$A:$A,"&gt;="&amp;$J1462,'Weekly Log'!$A:$A,"&lt;"&amp;$J1462+7),0))</f>
        <v/>
      </c>
      <c r="F1462">
        <f>IF($J1462="","",IFERROR(SUMIFS('Weekly Log'!$F:$F,'Weekly Log'!$A:$A,"&gt;="&amp;$J1462,'Weekly Log'!$A:$A,"&lt;"&amp;$J1462+7)/SUMIFS('Weekly Log'!$E:$E,'Weekly Log'!$A:$A,"&gt;="&amp;$J1462,'Weekly Log'!$A:$A,"&lt;"&amp;$J1462+7),0))</f>
        <v/>
      </c>
      <c r="G1462">
        <f>IF($J1462="","",IFERROR(LOOKUP(2,1/(('Weekly Log'!$A$5:$A$5000&gt;=$J1462)*('Weekly Log'!$A$5:$A$5000&lt;$J1462+7)*('Weekly Log'!$M$5:$M$5000&lt;&gt;"")),'Weekly Log'!$M$5:$M$5000),0))</f>
        <v/>
      </c>
      <c r="J1462">
        <f>IF(COUNT('Weekly Log'!$A$5:$A$5000)=0,"",IF(MIN('Weekly Log'!$A$5:$A$5000)+7*(ROW()-10)&gt;MAX('Weekly Log'!$A$5:$A$5000),"",MIN('Weekly Log'!$A$5:$A$5000)+7*(ROW()-10)))</f>
        <v/>
      </c>
    </row>
    <row r="1463">
      <c r="A1463">
        <f>IF($J1463="","",YEAR($J1463-WEEKDAY($J1463,2)+4)&amp;"-W"&amp;TEXT(WEEKNUM($J1463,21),"00"))</f>
        <v/>
      </c>
      <c r="B1463">
        <f>IF($J1463="","",SUMIFS('Weekly Log'!$C:$C,'Weekly Log'!$A:$A,"&gt;="&amp;$J1463,'Weekly Log'!$A:$A,"&lt;"&amp;$J1463+7))</f>
        <v/>
      </c>
      <c r="C1463">
        <f>IF($J1463="","",IFERROR(COUNTIFS('Weekly Log'!$G:$G,"Y",'Weekly Log'!$A:$A,"&gt;="&amp;$J1463,'Weekly Log'!$A:$A,"&lt;"&amp;$J1463+7)/COUNTIFS('Weekly Log'!$G:$G,"&lt;&gt;",'Weekly Log'!$A:$A,"&gt;="&amp;$J1463,'Weekly Log'!$A:$A,"&lt;"&amp;$J1463+7),0))</f>
        <v/>
      </c>
      <c r="D1463">
        <f>IF($J1463="","",IFERROR(COUNTIFS('Weekly Log'!$H:$H,"Y",'Weekly Log'!$A:$A,"&gt;="&amp;$J1463,'Weekly Log'!$A:$A,"&lt;"&amp;$J1463+7)/COUNTIFS('Weekly Log'!$H:$H,"&lt;&gt;",'Weekly Log'!$A:$A,"&gt;="&amp;$J1463,'Weekly Log'!$A:$A,"&lt;"&amp;$J1463+7),0))</f>
        <v/>
      </c>
      <c r="E1463">
        <f>IF($J1463="","",IFERROR(AVERAGEIFS('Weekly Log'!$F:$F,'Weekly Log'!$A:$A,"&gt;="&amp;$J1463,'Weekly Log'!$A:$A,"&lt;"&amp;$J1463+7),0))</f>
        <v/>
      </c>
      <c r="F1463">
        <f>IF($J1463="","",IFERROR(SUMIFS('Weekly Log'!$F:$F,'Weekly Log'!$A:$A,"&gt;="&amp;$J1463,'Weekly Log'!$A:$A,"&lt;"&amp;$J1463+7)/SUMIFS('Weekly Log'!$E:$E,'Weekly Log'!$A:$A,"&gt;="&amp;$J1463,'Weekly Log'!$A:$A,"&lt;"&amp;$J1463+7),0))</f>
        <v/>
      </c>
      <c r="G1463">
        <f>IF($J1463="","",IFERROR(LOOKUP(2,1/(('Weekly Log'!$A$5:$A$5000&gt;=$J1463)*('Weekly Log'!$A$5:$A$5000&lt;$J1463+7)*('Weekly Log'!$M$5:$M$5000&lt;&gt;"")),'Weekly Log'!$M$5:$M$5000),0))</f>
        <v/>
      </c>
      <c r="J1463">
        <f>IF(COUNT('Weekly Log'!$A$5:$A$5000)=0,"",IF(MIN('Weekly Log'!$A$5:$A$5000)+7*(ROW()-10)&gt;MAX('Weekly Log'!$A$5:$A$5000),"",MIN('Weekly Log'!$A$5:$A$5000)+7*(ROW()-10)))</f>
        <v/>
      </c>
    </row>
    <row r="1464">
      <c r="A1464">
        <f>IF($J1464="","",YEAR($J1464-WEEKDAY($J1464,2)+4)&amp;"-W"&amp;TEXT(WEEKNUM($J1464,21),"00"))</f>
        <v/>
      </c>
      <c r="B1464">
        <f>IF($J1464="","",SUMIFS('Weekly Log'!$C:$C,'Weekly Log'!$A:$A,"&gt;="&amp;$J1464,'Weekly Log'!$A:$A,"&lt;"&amp;$J1464+7))</f>
        <v/>
      </c>
      <c r="C1464">
        <f>IF($J1464="","",IFERROR(COUNTIFS('Weekly Log'!$G:$G,"Y",'Weekly Log'!$A:$A,"&gt;="&amp;$J1464,'Weekly Log'!$A:$A,"&lt;"&amp;$J1464+7)/COUNTIFS('Weekly Log'!$G:$G,"&lt;&gt;",'Weekly Log'!$A:$A,"&gt;="&amp;$J1464,'Weekly Log'!$A:$A,"&lt;"&amp;$J1464+7),0))</f>
        <v/>
      </c>
      <c r="D1464">
        <f>IF($J1464="","",IFERROR(COUNTIFS('Weekly Log'!$H:$H,"Y",'Weekly Log'!$A:$A,"&gt;="&amp;$J1464,'Weekly Log'!$A:$A,"&lt;"&amp;$J1464+7)/COUNTIFS('Weekly Log'!$H:$H,"&lt;&gt;",'Weekly Log'!$A:$A,"&gt;="&amp;$J1464,'Weekly Log'!$A:$A,"&lt;"&amp;$J1464+7),0))</f>
        <v/>
      </c>
      <c r="E1464">
        <f>IF($J1464="","",IFERROR(AVERAGEIFS('Weekly Log'!$F:$F,'Weekly Log'!$A:$A,"&gt;="&amp;$J1464,'Weekly Log'!$A:$A,"&lt;"&amp;$J1464+7),0))</f>
        <v/>
      </c>
      <c r="F1464">
        <f>IF($J1464="","",IFERROR(SUMIFS('Weekly Log'!$F:$F,'Weekly Log'!$A:$A,"&gt;="&amp;$J1464,'Weekly Log'!$A:$A,"&lt;"&amp;$J1464+7)/SUMIFS('Weekly Log'!$E:$E,'Weekly Log'!$A:$A,"&gt;="&amp;$J1464,'Weekly Log'!$A:$A,"&lt;"&amp;$J1464+7),0))</f>
        <v/>
      </c>
      <c r="G1464">
        <f>IF($J1464="","",IFERROR(LOOKUP(2,1/(('Weekly Log'!$A$5:$A$5000&gt;=$J1464)*('Weekly Log'!$A$5:$A$5000&lt;$J1464+7)*('Weekly Log'!$M$5:$M$5000&lt;&gt;"")),'Weekly Log'!$M$5:$M$5000),0))</f>
        <v/>
      </c>
      <c r="J1464">
        <f>IF(COUNT('Weekly Log'!$A$5:$A$5000)=0,"",IF(MIN('Weekly Log'!$A$5:$A$5000)+7*(ROW()-10)&gt;MAX('Weekly Log'!$A$5:$A$5000),"",MIN('Weekly Log'!$A$5:$A$5000)+7*(ROW()-10)))</f>
        <v/>
      </c>
    </row>
    <row r="1465">
      <c r="A1465">
        <f>IF($J1465="","",YEAR($J1465-WEEKDAY($J1465,2)+4)&amp;"-W"&amp;TEXT(WEEKNUM($J1465,21),"00"))</f>
        <v/>
      </c>
      <c r="B1465">
        <f>IF($J1465="","",SUMIFS('Weekly Log'!$C:$C,'Weekly Log'!$A:$A,"&gt;="&amp;$J1465,'Weekly Log'!$A:$A,"&lt;"&amp;$J1465+7))</f>
        <v/>
      </c>
      <c r="C1465">
        <f>IF($J1465="","",IFERROR(COUNTIFS('Weekly Log'!$G:$G,"Y",'Weekly Log'!$A:$A,"&gt;="&amp;$J1465,'Weekly Log'!$A:$A,"&lt;"&amp;$J1465+7)/COUNTIFS('Weekly Log'!$G:$G,"&lt;&gt;",'Weekly Log'!$A:$A,"&gt;="&amp;$J1465,'Weekly Log'!$A:$A,"&lt;"&amp;$J1465+7),0))</f>
        <v/>
      </c>
      <c r="D1465">
        <f>IF($J1465="","",IFERROR(COUNTIFS('Weekly Log'!$H:$H,"Y",'Weekly Log'!$A:$A,"&gt;="&amp;$J1465,'Weekly Log'!$A:$A,"&lt;"&amp;$J1465+7)/COUNTIFS('Weekly Log'!$H:$H,"&lt;&gt;",'Weekly Log'!$A:$A,"&gt;="&amp;$J1465,'Weekly Log'!$A:$A,"&lt;"&amp;$J1465+7),0))</f>
        <v/>
      </c>
      <c r="E1465">
        <f>IF($J1465="","",IFERROR(AVERAGEIFS('Weekly Log'!$F:$F,'Weekly Log'!$A:$A,"&gt;="&amp;$J1465,'Weekly Log'!$A:$A,"&lt;"&amp;$J1465+7),0))</f>
        <v/>
      </c>
      <c r="F1465">
        <f>IF($J1465="","",IFERROR(SUMIFS('Weekly Log'!$F:$F,'Weekly Log'!$A:$A,"&gt;="&amp;$J1465,'Weekly Log'!$A:$A,"&lt;"&amp;$J1465+7)/SUMIFS('Weekly Log'!$E:$E,'Weekly Log'!$A:$A,"&gt;="&amp;$J1465,'Weekly Log'!$A:$A,"&lt;"&amp;$J1465+7),0))</f>
        <v/>
      </c>
      <c r="G1465">
        <f>IF($J1465="","",IFERROR(LOOKUP(2,1/(('Weekly Log'!$A$5:$A$5000&gt;=$J1465)*('Weekly Log'!$A$5:$A$5000&lt;$J1465+7)*('Weekly Log'!$M$5:$M$5000&lt;&gt;"")),'Weekly Log'!$M$5:$M$5000),0))</f>
        <v/>
      </c>
      <c r="J1465">
        <f>IF(COUNT('Weekly Log'!$A$5:$A$5000)=0,"",IF(MIN('Weekly Log'!$A$5:$A$5000)+7*(ROW()-10)&gt;MAX('Weekly Log'!$A$5:$A$5000),"",MIN('Weekly Log'!$A$5:$A$5000)+7*(ROW()-10)))</f>
        <v/>
      </c>
    </row>
    <row r="1466">
      <c r="A1466">
        <f>IF($J1466="","",YEAR($J1466-WEEKDAY($J1466,2)+4)&amp;"-W"&amp;TEXT(WEEKNUM($J1466,21),"00"))</f>
        <v/>
      </c>
      <c r="B1466">
        <f>IF($J1466="","",SUMIFS('Weekly Log'!$C:$C,'Weekly Log'!$A:$A,"&gt;="&amp;$J1466,'Weekly Log'!$A:$A,"&lt;"&amp;$J1466+7))</f>
        <v/>
      </c>
      <c r="C1466">
        <f>IF($J1466="","",IFERROR(COUNTIFS('Weekly Log'!$G:$G,"Y",'Weekly Log'!$A:$A,"&gt;="&amp;$J1466,'Weekly Log'!$A:$A,"&lt;"&amp;$J1466+7)/COUNTIFS('Weekly Log'!$G:$G,"&lt;&gt;",'Weekly Log'!$A:$A,"&gt;="&amp;$J1466,'Weekly Log'!$A:$A,"&lt;"&amp;$J1466+7),0))</f>
        <v/>
      </c>
      <c r="D1466">
        <f>IF($J1466="","",IFERROR(COUNTIFS('Weekly Log'!$H:$H,"Y",'Weekly Log'!$A:$A,"&gt;="&amp;$J1466,'Weekly Log'!$A:$A,"&lt;"&amp;$J1466+7)/COUNTIFS('Weekly Log'!$H:$H,"&lt;&gt;",'Weekly Log'!$A:$A,"&gt;="&amp;$J1466,'Weekly Log'!$A:$A,"&lt;"&amp;$J1466+7),0))</f>
        <v/>
      </c>
      <c r="E1466">
        <f>IF($J1466="","",IFERROR(AVERAGEIFS('Weekly Log'!$F:$F,'Weekly Log'!$A:$A,"&gt;="&amp;$J1466,'Weekly Log'!$A:$A,"&lt;"&amp;$J1466+7),0))</f>
        <v/>
      </c>
      <c r="F1466">
        <f>IF($J1466="","",IFERROR(SUMIFS('Weekly Log'!$F:$F,'Weekly Log'!$A:$A,"&gt;="&amp;$J1466,'Weekly Log'!$A:$A,"&lt;"&amp;$J1466+7)/SUMIFS('Weekly Log'!$E:$E,'Weekly Log'!$A:$A,"&gt;="&amp;$J1466,'Weekly Log'!$A:$A,"&lt;"&amp;$J1466+7),0))</f>
        <v/>
      </c>
      <c r="G1466">
        <f>IF($J1466="","",IFERROR(LOOKUP(2,1/(('Weekly Log'!$A$5:$A$5000&gt;=$J1466)*('Weekly Log'!$A$5:$A$5000&lt;$J1466+7)*('Weekly Log'!$M$5:$M$5000&lt;&gt;"")),'Weekly Log'!$M$5:$M$5000),0))</f>
        <v/>
      </c>
      <c r="J1466">
        <f>IF(COUNT('Weekly Log'!$A$5:$A$5000)=0,"",IF(MIN('Weekly Log'!$A$5:$A$5000)+7*(ROW()-10)&gt;MAX('Weekly Log'!$A$5:$A$5000),"",MIN('Weekly Log'!$A$5:$A$5000)+7*(ROW()-10)))</f>
        <v/>
      </c>
    </row>
    <row r="1467">
      <c r="A1467">
        <f>IF($J1467="","",YEAR($J1467-WEEKDAY($J1467,2)+4)&amp;"-W"&amp;TEXT(WEEKNUM($J1467,21),"00"))</f>
        <v/>
      </c>
      <c r="B1467">
        <f>IF($J1467="","",SUMIFS('Weekly Log'!$C:$C,'Weekly Log'!$A:$A,"&gt;="&amp;$J1467,'Weekly Log'!$A:$A,"&lt;"&amp;$J1467+7))</f>
        <v/>
      </c>
      <c r="C1467">
        <f>IF($J1467="","",IFERROR(COUNTIFS('Weekly Log'!$G:$G,"Y",'Weekly Log'!$A:$A,"&gt;="&amp;$J1467,'Weekly Log'!$A:$A,"&lt;"&amp;$J1467+7)/COUNTIFS('Weekly Log'!$G:$G,"&lt;&gt;",'Weekly Log'!$A:$A,"&gt;="&amp;$J1467,'Weekly Log'!$A:$A,"&lt;"&amp;$J1467+7),0))</f>
        <v/>
      </c>
      <c r="D1467">
        <f>IF($J1467="","",IFERROR(COUNTIFS('Weekly Log'!$H:$H,"Y",'Weekly Log'!$A:$A,"&gt;="&amp;$J1467,'Weekly Log'!$A:$A,"&lt;"&amp;$J1467+7)/COUNTIFS('Weekly Log'!$H:$H,"&lt;&gt;",'Weekly Log'!$A:$A,"&gt;="&amp;$J1467,'Weekly Log'!$A:$A,"&lt;"&amp;$J1467+7),0))</f>
        <v/>
      </c>
      <c r="E1467">
        <f>IF($J1467="","",IFERROR(AVERAGEIFS('Weekly Log'!$F:$F,'Weekly Log'!$A:$A,"&gt;="&amp;$J1467,'Weekly Log'!$A:$A,"&lt;"&amp;$J1467+7),0))</f>
        <v/>
      </c>
      <c r="F1467">
        <f>IF($J1467="","",IFERROR(SUMIFS('Weekly Log'!$F:$F,'Weekly Log'!$A:$A,"&gt;="&amp;$J1467,'Weekly Log'!$A:$A,"&lt;"&amp;$J1467+7)/SUMIFS('Weekly Log'!$E:$E,'Weekly Log'!$A:$A,"&gt;="&amp;$J1467,'Weekly Log'!$A:$A,"&lt;"&amp;$J1467+7),0))</f>
        <v/>
      </c>
      <c r="G1467">
        <f>IF($J1467="","",IFERROR(LOOKUP(2,1/(('Weekly Log'!$A$5:$A$5000&gt;=$J1467)*('Weekly Log'!$A$5:$A$5000&lt;$J1467+7)*('Weekly Log'!$M$5:$M$5000&lt;&gt;"")),'Weekly Log'!$M$5:$M$5000),0))</f>
        <v/>
      </c>
      <c r="J1467">
        <f>IF(COUNT('Weekly Log'!$A$5:$A$5000)=0,"",IF(MIN('Weekly Log'!$A$5:$A$5000)+7*(ROW()-10)&gt;MAX('Weekly Log'!$A$5:$A$5000),"",MIN('Weekly Log'!$A$5:$A$5000)+7*(ROW()-10)))</f>
        <v/>
      </c>
    </row>
    <row r="1468">
      <c r="A1468">
        <f>IF($J1468="","",YEAR($J1468-WEEKDAY($J1468,2)+4)&amp;"-W"&amp;TEXT(WEEKNUM($J1468,21),"00"))</f>
        <v/>
      </c>
      <c r="B1468">
        <f>IF($J1468="","",SUMIFS('Weekly Log'!$C:$C,'Weekly Log'!$A:$A,"&gt;="&amp;$J1468,'Weekly Log'!$A:$A,"&lt;"&amp;$J1468+7))</f>
        <v/>
      </c>
      <c r="C1468">
        <f>IF($J1468="","",IFERROR(COUNTIFS('Weekly Log'!$G:$G,"Y",'Weekly Log'!$A:$A,"&gt;="&amp;$J1468,'Weekly Log'!$A:$A,"&lt;"&amp;$J1468+7)/COUNTIFS('Weekly Log'!$G:$G,"&lt;&gt;",'Weekly Log'!$A:$A,"&gt;="&amp;$J1468,'Weekly Log'!$A:$A,"&lt;"&amp;$J1468+7),0))</f>
        <v/>
      </c>
      <c r="D1468">
        <f>IF($J1468="","",IFERROR(COUNTIFS('Weekly Log'!$H:$H,"Y",'Weekly Log'!$A:$A,"&gt;="&amp;$J1468,'Weekly Log'!$A:$A,"&lt;"&amp;$J1468+7)/COUNTIFS('Weekly Log'!$H:$H,"&lt;&gt;",'Weekly Log'!$A:$A,"&gt;="&amp;$J1468,'Weekly Log'!$A:$A,"&lt;"&amp;$J1468+7),0))</f>
        <v/>
      </c>
      <c r="E1468">
        <f>IF($J1468="","",IFERROR(AVERAGEIFS('Weekly Log'!$F:$F,'Weekly Log'!$A:$A,"&gt;="&amp;$J1468,'Weekly Log'!$A:$A,"&lt;"&amp;$J1468+7),0))</f>
        <v/>
      </c>
      <c r="F1468">
        <f>IF($J1468="","",IFERROR(SUMIFS('Weekly Log'!$F:$F,'Weekly Log'!$A:$A,"&gt;="&amp;$J1468,'Weekly Log'!$A:$A,"&lt;"&amp;$J1468+7)/SUMIFS('Weekly Log'!$E:$E,'Weekly Log'!$A:$A,"&gt;="&amp;$J1468,'Weekly Log'!$A:$A,"&lt;"&amp;$J1468+7),0))</f>
        <v/>
      </c>
      <c r="G1468">
        <f>IF($J1468="","",IFERROR(LOOKUP(2,1/(('Weekly Log'!$A$5:$A$5000&gt;=$J1468)*('Weekly Log'!$A$5:$A$5000&lt;$J1468+7)*('Weekly Log'!$M$5:$M$5000&lt;&gt;"")),'Weekly Log'!$M$5:$M$5000),0))</f>
        <v/>
      </c>
      <c r="J1468">
        <f>IF(COUNT('Weekly Log'!$A$5:$A$5000)=0,"",IF(MIN('Weekly Log'!$A$5:$A$5000)+7*(ROW()-10)&gt;MAX('Weekly Log'!$A$5:$A$5000),"",MIN('Weekly Log'!$A$5:$A$5000)+7*(ROW()-10)))</f>
        <v/>
      </c>
    </row>
    <row r="1469">
      <c r="A1469">
        <f>IF($J1469="","",YEAR($J1469-WEEKDAY($J1469,2)+4)&amp;"-W"&amp;TEXT(WEEKNUM($J1469,21),"00"))</f>
        <v/>
      </c>
      <c r="B1469">
        <f>IF($J1469="","",SUMIFS('Weekly Log'!$C:$C,'Weekly Log'!$A:$A,"&gt;="&amp;$J1469,'Weekly Log'!$A:$A,"&lt;"&amp;$J1469+7))</f>
        <v/>
      </c>
      <c r="C1469">
        <f>IF($J1469="","",IFERROR(COUNTIFS('Weekly Log'!$G:$G,"Y",'Weekly Log'!$A:$A,"&gt;="&amp;$J1469,'Weekly Log'!$A:$A,"&lt;"&amp;$J1469+7)/COUNTIFS('Weekly Log'!$G:$G,"&lt;&gt;",'Weekly Log'!$A:$A,"&gt;="&amp;$J1469,'Weekly Log'!$A:$A,"&lt;"&amp;$J1469+7),0))</f>
        <v/>
      </c>
      <c r="D1469">
        <f>IF($J1469="","",IFERROR(COUNTIFS('Weekly Log'!$H:$H,"Y",'Weekly Log'!$A:$A,"&gt;="&amp;$J1469,'Weekly Log'!$A:$A,"&lt;"&amp;$J1469+7)/COUNTIFS('Weekly Log'!$H:$H,"&lt;&gt;",'Weekly Log'!$A:$A,"&gt;="&amp;$J1469,'Weekly Log'!$A:$A,"&lt;"&amp;$J1469+7),0))</f>
        <v/>
      </c>
      <c r="E1469">
        <f>IF($J1469="","",IFERROR(AVERAGEIFS('Weekly Log'!$F:$F,'Weekly Log'!$A:$A,"&gt;="&amp;$J1469,'Weekly Log'!$A:$A,"&lt;"&amp;$J1469+7),0))</f>
        <v/>
      </c>
      <c r="F1469">
        <f>IF($J1469="","",IFERROR(SUMIFS('Weekly Log'!$F:$F,'Weekly Log'!$A:$A,"&gt;="&amp;$J1469,'Weekly Log'!$A:$A,"&lt;"&amp;$J1469+7)/SUMIFS('Weekly Log'!$E:$E,'Weekly Log'!$A:$A,"&gt;="&amp;$J1469,'Weekly Log'!$A:$A,"&lt;"&amp;$J1469+7),0))</f>
        <v/>
      </c>
      <c r="G1469">
        <f>IF($J1469="","",IFERROR(LOOKUP(2,1/(('Weekly Log'!$A$5:$A$5000&gt;=$J1469)*('Weekly Log'!$A$5:$A$5000&lt;$J1469+7)*('Weekly Log'!$M$5:$M$5000&lt;&gt;"")),'Weekly Log'!$M$5:$M$5000),0))</f>
        <v/>
      </c>
      <c r="J1469">
        <f>IF(COUNT('Weekly Log'!$A$5:$A$5000)=0,"",IF(MIN('Weekly Log'!$A$5:$A$5000)+7*(ROW()-10)&gt;MAX('Weekly Log'!$A$5:$A$5000),"",MIN('Weekly Log'!$A$5:$A$5000)+7*(ROW()-10)))</f>
        <v/>
      </c>
    </row>
    <row r="1470">
      <c r="A1470">
        <f>IF($J1470="","",YEAR($J1470-WEEKDAY($J1470,2)+4)&amp;"-W"&amp;TEXT(WEEKNUM($J1470,21),"00"))</f>
        <v/>
      </c>
      <c r="B1470">
        <f>IF($J1470="","",SUMIFS('Weekly Log'!$C:$C,'Weekly Log'!$A:$A,"&gt;="&amp;$J1470,'Weekly Log'!$A:$A,"&lt;"&amp;$J1470+7))</f>
        <v/>
      </c>
      <c r="C1470">
        <f>IF($J1470="","",IFERROR(COUNTIFS('Weekly Log'!$G:$G,"Y",'Weekly Log'!$A:$A,"&gt;="&amp;$J1470,'Weekly Log'!$A:$A,"&lt;"&amp;$J1470+7)/COUNTIFS('Weekly Log'!$G:$G,"&lt;&gt;",'Weekly Log'!$A:$A,"&gt;="&amp;$J1470,'Weekly Log'!$A:$A,"&lt;"&amp;$J1470+7),0))</f>
        <v/>
      </c>
      <c r="D1470">
        <f>IF($J1470="","",IFERROR(COUNTIFS('Weekly Log'!$H:$H,"Y",'Weekly Log'!$A:$A,"&gt;="&amp;$J1470,'Weekly Log'!$A:$A,"&lt;"&amp;$J1470+7)/COUNTIFS('Weekly Log'!$H:$H,"&lt;&gt;",'Weekly Log'!$A:$A,"&gt;="&amp;$J1470,'Weekly Log'!$A:$A,"&lt;"&amp;$J1470+7),0))</f>
        <v/>
      </c>
      <c r="E1470">
        <f>IF($J1470="","",IFERROR(AVERAGEIFS('Weekly Log'!$F:$F,'Weekly Log'!$A:$A,"&gt;="&amp;$J1470,'Weekly Log'!$A:$A,"&lt;"&amp;$J1470+7),0))</f>
        <v/>
      </c>
      <c r="F1470">
        <f>IF($J1470="","",IFERROR(SUMIFS('Weekly Log'!$F:$F,'Weekly Log'!$A:$A,"&gt;="&amp;$J1470,'Weekly Log'!$A:$A,"&lt;"&amp;$J1470+7)/SUMIFS('Weekly Log'!$E:$E,'Weekly Log'!$A:$A,"&gt;="&amp;$J1470,'Weekly Log'!$A:$A,"&lt;"&amp;$J1470+7),0))</f>
        <v/>
      </c>
      <c r="G1470">
        <f>IF($J1470="","",IFERROR(LOOKUP(2,1/(('Weekly Log'!$A$5:$A$5000&gt;=$J1470)*('Weekly Log'!$A$5:$A$5000&lt;$J1470+7)*('Weekly Log'!$M$5:$M$5000&lt;&gt;"")),'Weekly Log'!$M$5:$M$5000),0))</f>
        <v/>
      </c>
      <c r="J1470">
        <f>IF(COUNT('Weekly Log'!$A$5:$A$5000)=0,"",IF(MIN('Weekly Log'!$A$5:$A$5000)+7*(ROW()-10)&gt;MAX('Weekly Log'!$A$5:$A$5000),"",MIN('Weekly Log'!$A$5:$A$5000)+7*(ROW()-10)))</f>
        <v/>
      </c>
    </row>
    <row r="1471">
      <c r="A1471">
        <f>IF($J1471="","",YEAR($J1471-WEEKDAY($J1471,2)+4)&amp;"-W"&amp;TEXT(WEEKNUM($J1471,21),"00"))</f>
        <v/>
      </c>
      <c r="B1471">
        <f>IF($J1471="","",SUMIFS('Weekly Log'!$C:$C,'Weekly Log'!$A:$A,"&gt;="&amp;$J1471,'Weekly Log'!$A:$A,"&lt;"&amp;$J1471+7))</f>
        <v/>
      </c>
      <c r="C1471">
        <f>IF($J1471="","",IFERROR(COUNTIFS('Weekly Log'!$G:$G,"Y",'Weekly Log'!$A:$A,"&gt;="&amp;$J1471,'Weekly Log'!$A:$A,"&lt;"&amp;$J1471+7)/COUNTIFS('Weekly Log'!$G:$G,"&lt;&gt;",'Weekly Log'!$A:$A,"&gt;="&amp;$J1471,'Weekly Log'!$A:$A,"&lt;"&amp;$J1471+7),0))</f>
        <v/>
      </c>
      <c r="D1471">
        <f>IF($J1471="","",IFERROR(COUNTIFS('Weekly Log'!$H:$H,"Y",'Weekly Log'!$A:$A,"&gt;="&amp;$J1471,'Weekly Log'!$A:$A,"&lt;"&amp;$J1471+7)/COUNTIFS('Weekly Log'!$H:$H,"&lt;&gt;",'Weekly Log'!$A:$A,"&gt;="&amp;$J1471,'Weekly Log'!$A:$A,"&lt;"&amp;$J1471+7),0))</f>
        <v/>
      </c>
      <c r="E1471">
        <f>IF($J1471="","",IFERROR(AVERAGEIFS('Weekly Log'!$F:$F,'Weekly Log'!$A:$A,"&gt;="&amp;$J1471,'Weekly Log'!$A:$A,"&lt;"&amp;$J1471+7),0))</f>
        <v/>
      </c>
      <c r="F1471">
        <f>IF($J1471="","",IFERROR(SUMIFS('Weekly Log'!$F:$F,'Weekly Log'!$A:$A,"&gt;="&amp;$J1471,'Weekly Log'!$A:$A,"&lt;"&amp;$J1471+7)/SUMIFS('Weekly Log'!$E:$E,'Weekly Log'!$A:$A,"&gt;="&amp;$J1471,'Weekly Log'!$A:$A,"&lt;"&amp;$J1471+7),0))</f>
        <v/>
      </c>
      <c r="G1471">
        <f>IF($J1471="","",IFERROR(LOOKUP(2,1/(('Weekly Log'!$A$5:$A$5000&gt;=$J1471)*('Weekly Log'!$A$5:$A$5000&lt;$J1471+7)*('Weekly Log'!$M$5:$M$5000&lt;&gt;"")),'Weekly Log'!$M$5:$M$5000),0))</f>
        <v/>
      </c>
      <c r="J1471">
        <f>IF(COUNT('Weekly Log'!$A$5:$A$5000)=0,"",IF(MIN('Weekly Log'!$A$5:$A$5000)+7*(ROW()-10)&gt;MAX('Weekly Log'!$A$5:$A$5000),"",MIN('Weekly Log'!$A$5:$A$5000)+7*(ROW()-10)))</f>
        <v/>
      </c>
    </row>
    <row r="1472">
      <c r="A1472">
        <f>IF($J1472="","",YEAR($J1472-WEEKDAY($J1472,2)+4)&amp;"-W"&amp;TEXT(WEEKNUM($J1472,21),"00"))</f>
        <v/>
      </c>
      <c r="B1472">
        <f>IF($J1472="","",SUMIFS('Weekly Log'!$C:$C,'Weekly Log'!$A:$A,"&gt;="&amp;$J1472,'Weekly Log'!$A:$A,"&lt;"&amp;$J1472+7))</f>
        <v/>
      </c>
      <c r="C1472">
        <f>IF($J1472="","",IFERROR(COUNTIFS('Weekly Log'!$G:$G,"Y",'Weekly Log'!$A:$A,"&gt;="&amp;$J1472,'Weekly Log'!$A:$A,"&lt;"&amp;$J1472+7)/COUNTIFS('Weekly Log'!$G:$G,"&lt;&gt;",'Weekly Log'!$A:$A,"&gt;="&amp;$J1472,'Weekly Log'!$A:$A,"&lt;"&amp;$J1472+7),0))</f>
        <v/>
      </c>
      <c r="D1472">
        <f>IF($J1472="","",IFERROR(COUNTIFS('Weekly Log'!$H:$H,"Y",'Weekly Log'!$A:$A,"&gt;="&amp;$J1472,'Weekly Log'!$A:$A,"&lt;"&amp;$J1472+7)/COUNTIFS('Weekly Log'!$H:$H,"&lt;&gt;",'Weekly Log'!$A:$A,"&gt;="&amp;$J1472,'Weekly Log'!$A:$A,"&lt;"&amp;$J1472+7),0))</f>
        <v/>
      </c>
      <c r="E1472">
        <f>IF($J1472="","",IFERROR(AVERAGEIFS('Weekly Log'!$F:$F,'Weekly Log'!$A:$A,"&gt;="&amp;$J1472,'Weekly Log'!$A:$A,"&lt;"&amp;$J1472+7),0))</f>
        <v/>
      </c>
      <c r="F1472">
        <f>IF($J1472="","",IFERROR(SUMIFS('Weekly Log'!$F:$F,'Weekly Log'!$A:$A,"&gt;="&amp;$J1472,'Weekly Log'!$A:$A,"&lt;"&amp;$J1472+7)/SUMIFS('Weekly Log'!$E:$E,'Weekly Log'!$A:$A,"&gt;="&amp;$J1472,'Weekly Log'!$A:$A,"&lt;"&amp;$J1472+7),0))</f>
        <v/>
      </c>
      <c r="G1472">
        <f>IF($J1472="","",IFERROR(LOOKUP(2,1/(('Weekly Log'!$A$5:$A$5000&gt;=$J1472)*('Weekly Log'!$A$5:$A$5000&lt;$J1472+7)*('Weekly Log'!$M$5:$M$5000&lt;&gt;"")),'Weekly Log'!$M$5:$M$5000),0))</f>
        <v/>
      </c>
      <c r="J1472">
        <f>IF(COUNT('Weekly Log'!$A$5:$A$5000)=0,"",IF(MIN('Weekly Log'!$A$5:$A$5000)+7*(ROW()-10)&gt;MAX('Weekly Log'!$A$5:$A$5000),"",MIN('Weekly Log'!$A$5:$A$5000)+7*(ROW()-10)))</f>
        <v/>
      </c>
    </row>
    <row r="1473">
      <c r="A1473">
        <f>IF($J1473="","",YEAR($J1473-WEEKDAY($J1473,2)+4)&amp;"-W"&amp;TEXT(WEEKNUM($J1473,21),"00"))</f>
        <v/>
      </c>
      <c r="B1473">
        <f>IF($J1473="","",SUMIFS('Weekly Log'!$C:$C,'Weekly Log'!$A:$A,"&gt;="&amp;$J1473,'Weekly Log'!$A:$A,"&lt;"&amp;$J1473+7))</f>
        <v/>
      </c>
      <c r="C1473">
        <f>IF($J1473="","",IFERROR(COUNTIFS('Weekly Log'!$G:$G,"Y",'Weekly Log'!$A:$A,"&gt;="&amp;$J1473,'Weekly Log'!$A:$A,"&lt;"&amp;$J1473+7)/COUNTIFS('Weekly Log'!$G:$G,"&lt;&gt;",'Weekly Log'!$A:$A,"&gt;="&amp;$J1473,'Weekly Log'!$A:$A,"&lt;"&amp;$J1473+7),0))</f>
        <v/>
      </c>
      <c r="D1473">
        <f>IF($J1473="","",IFERROR(COUNTIFS('Weekly Log'!$H:$H,"Y",'Weekly Log'!$A:$A,"&gt;="&amp;$J1473,'Weekly Log'!$A:$A,"&lt;"&amp;$J1473+7)/COUNTIFS('Weekly Log'!$H:$H,"&lt;&gt;",'Weekly Log'!$A:$A,"&gt;="&amp;$J1473,'Weekly Log'!$A:$A,"&lt;"&amp;$J1473+7),0))</f>
        <v/>
      </c>
      <c r="E1473">
        <f>IF($J1473="","",IFERROR(AVERAGEIFS('Weekly Log'!$F:$F,'Weekly Log'!$A:$A,"&gt;="&amp;$J1473,'Weekly Log'!$A:$A,"&lt;"&amp;$J1473+7),0))</f>
        <v/>
      </c>
      <c r="F1473">
        <f>IF($J1473="","",IFERROR(SUMIFS('Weekly Log'!$F:$F,'Weekly Log'!$A:$A,"&gt;="&amp;$J1473,'Weekly Log'!$A:$A,"&lt;"&amp;$J1473+7)/SUMIFS('Weekly Log'!$E:$E,'Weekly Log'!$A:$A,"&gt;="&amp;$J1473,'Weekly Log'!$A:$A,"&lt;"&amp;$J1473+7),0))</f>
        <v/>
      </c>
      <c r="G1473">
        <f>IF($J1473="","",IFERROR(LOOKUP(2,1/(('Weekly Log'!$A$5:$A$5000&gt;=$J1473)*('Weekly Log'!$A$5:$A$5000&lt;$J1473+7)*('Weekly Log'!$M$5:$M$5000&lt;&gt;"")),'Weekly Log'!$M$5:$M$5000),0))</f>
        <v/>
      </c>
      <c r="J1473">
        <f>IF(COUNT('Weekly Log'!$A$5:$A$5000)=0,"",IF(MIN('Weekly Log'!$A$5:$A$5000)+7*(ROW()-10)&gt;MAX('Weekly Log'!$A$5:$A$5000),"",MIN('Weekly Log'!$A$5:$A$5000)+7*(ROW()-10)))</f>
        <v/>
      </c>
    </row>
    <row r="1474">
      <c r="A1474">
        <f>IF($J1474="","",YEAR($J1474-WEEKDAY($J1474,2)+4)&amp;"-W"&amp;TEXT(WEEKNUM($J1474,21),"00"))</f>
        <v/>
      </c>
      <c r="B1474">
        <f>IF($J1474="","",SUMIFS('Weekly Log'!$C:$C,'Weekly Log'!$A:$A,"&gt;="&amp;$J1474,'Weekly Log'!$A:$A,"&lt;"&amp;$J1474+7))</f>
        <v/>
      </c>
      <c r="C1474">
        <f>IF($J1474="","",IFERROR(COUNTIFS('Weekly Log'!$G:$G,"Y",'Weekly Log'!$A:$A,"&gt;="&amp;$J1474,'Weekly Log'!$A:$A,"&lt;"&amp;$J1474+7)/COUNTIFS('Weekly Log'!$G:$G,"&lt;&gt;",'Weekly Log'!$A:$A,"&gt;="&amp;$J1474,'Weekly Log'!$A:$A,"&lt;"&amp;$J1474+7),0))</f>
        <v/>
      </c>
      <c r="D1474">
        <f>IF($J1474="","",IFERROR(COUNTIFS('Weekly Log'!$H:$H,"Y",'Weekly Log'!$A:$A,"&gt;="&amp;$J1474,'Weekly Log'!$A:$A,"&lt;"&amp;$J1474+7)/COUNTIFS('Weekly Log'!$H:$H,"&lt;&gt;",'Weekly Log'!$A:$A,"&gt;="&amp;$J1474,'Weekly Log'!$A:$A,"&lt;"&amp;$J1474+7),0))</f>
        <v/>
      </c>
      <c r="E1474">
        <f>IF($J1474="","",IFERROR(AVERAGEIFS('Weekly Log'!$F:$F,'Weekly Log'!$A:$A,"&gt;="&amp;$J1474,'Weekly Log'!$A:$A,"&lt;"&amp;$J1474+7),0))</f>
        <v/>
      </c>
      <c r="F1474">
        <f>IF($J1474="","",IFERROR(SUMIFS('Weekly Log'!$F:$F,'Weekly Log'!$A:$A,"&gt;="&amp;$J1474,'Weekly Log'!$A:$A,"&lt;"&amp;$J1474+7)/SUMIFS('Weekly Log'!$E:$E,'Weekly Log'!$A:$A,"&gt;="&amp;$J1474,'Weekly Log'!$A:$A,"&lt;"&amp;$J1474+7),0))</f>
        <v/>
      </c>
      <c r="G1474">
        <f>IF($J1474="","",IFERROR(LOOKUP(2,1/(('Weekly Log'!$A$5:$A$5000&gt;=$J1474)*('Weekly Log'!$A$5:$A$5000&lt;$J1474+7)*('Weekly Log'!$M$5:$M$5000&lt;&gt;"")),'Weekly Log'!$M$5:$M$5000),0))</f>
        <v/>
      </c>
      <c r="J1474">
        <f>IF(COUNT('Weekly Log'!$A$5:$A$5000)=0,"",IF(MIN('Weekly Log'!$A$5:$A$5000)+7*(ROW()-10)&gt;MAX('Weekly Log'!$A$5:$A$5000),"",MIN('Weekly Log'!$A$5:$A$5000)+7*(ROW()-10)))</f>
        <v/>
      </c>
    </row>
    <row r="1475">
      <c r="A1475">
        <f>IF($J1475="","",YEAR($J1475-WEEKDAY($J1475,2)+4)&amp;"-W"&amp;TEXT(WEEKNUM($J1475,21),"00"))</f>
        <v/>
      </c>
      <c r="B1475">
        <f>IF($J1475="","",SUMIFS('Weekly Log'!$C:$C,'Weekly Log'!$A:$A,"&gt;="&amp;$J1475,'Weekly Log'!$A:$A,"&lt;"&amp;$J1475+7))</f>
        <v/>
      </c>
      <c r="C1475">
        <f>IF($J1475="","",IFERROR(COUNTIFS('Weekly Log'!$G:$G,"Y",'Weekly Log'!$A:$A,"&gt;="&amp;$J1475,'Weekly Log'!$A:$A,"&lt;"&amp;$J1475+7)/COUNTIFS('Weekly Log'!$G:$G,"&lt;&gt;",'Weekly Log'!$A:$A,"&gt;="&amp;$J1475,'Weekly Log'!$A:$A,"&lt;"&amp;$J1475+7),0))</f>
        <v/>
      </c>
      <c r="D1475">
        <f>IF($J1475="","",IFERROR(COUNTIFS('Weekly Log'!$H:$H,"Y",'Weekly Log'!$A:$A,"&gt;="&amp;$J1475,'Weekly Log'!$A:$A,"&lt;"&amp;$J1475+7)/COUNTIFS('Weekly Log'!$H:$H,"&lt;&gt;",'Weekly Log'!$A:$A,"&gt;="&amp;$J1475,'Weekly Log'!$A:$A,"&lt;"&amp;$J1475+7),0))</f>
        <v/>
      </c>
      <c r="E1475">
        <f>IF($J1475="","",IFERROR(AVERAGEIFS('Weekly Log'!$F:$F,'Weekly Log'!$A:$A,"&gt;="&amp;$J1475,'Weekly Log'!$A:$A,"&lt;"&amp;$J1475+7),0))</f>
        <v/>
      </c>
      <c r="F1475">
        <f>IF($J1475="","",IFERROR(SUMIFS('Weekly Log'!$F:$F,'Weekly Log'!$A:$A,"&gt;="&amp;$J1475,'Weekly Log'!$A:$A,"&lt;"&amp;$J1475+7)/SUMIFS('Weekly Log'!$E:$E,'Weekly Log'!$A:$A,"&gt;="&amp;$J1475,'Weekly Log'!$A:$A,"&lt;"&amp;$J1475+7),0))</f>
        <v/>
      </c>
      <c r="G1475">
        <f>IF($J1475="","",IFERROR(LOOKUP(2,1/(('Weekly Log'!$A$5:$A$5000&gt;=$J1475)*('Weekly Log'!$A$5:$A$5000&lt;$J1475+7)*('Weekly Log'!$M$5:$M$5000&lt;&gt;"")),'Weekly Log'!$M$5:$M$5000),0))</f>
        <v/>
      </c>
      <c r="J1475">
        <f>IF(COUNT('Weekly Log'!$A$5:$A$5000)=0,"",IF(MIN('Weekly Log'!$A$5:$A$5000)+7*(ROW()-10)&gt;MAX('Weekly Log'!$A$5:$A$5000),"",MIN('Weekly Log'!$A$5:$A$5000)+7*(ROW()-10)))</f>
        <v/>
      </c>
    </row>
    <row r="1476">
      <c r="A1476">
        <f>IF($J1476="","",YEAR($J1476-WEEKDAY($J1476,2)+4)&amp;"-W"&amp;TEXT(WEEKNUM($J1476,21),"00"))</f>
        <v/>
      </c>
      <c r="B1476">
        <f>IF($J1476="","",SUMIFS('Weekly Log'!$C:$C,'Weekly Log'!$A:$A,"&gt;="&amp;$J1476,'Weekly Log'!$A:$A,"&lt;"&amp;$J1476+7))</f>
        <v/>
      </c>
      <c r="C1476">
        <f>IF($J1476="","",IFERROR(COUNTIFS('Weekly Log'!$G:$G,"Y",'Weekly Log'!$A:$A,"&gt;="&amp;$J1476,'Weekly Log'!$A:$A,"&lt;"&amp;$J1476+7)/COUNTIFS('Weekly Log'!$G:$G,"&lt;&gt;",'Weekly Log'!$A:$A,"&gt;="&amp;$J1476,'Weekly Log'!$A:$A,"&lt;"&amp;$J1476+7),0))</f>
        <v/>
      </c>
      <c r="D1476">
        <f>IF($J1476="","",IFERROR(COUNTIFS('Weekly Log'!$H:$H,"Y",'Weekly Log'!$A:$A,"&gt;="&amp;$J1476,'Weekly Log'!$A:$A,"&lt;"&amp;$J1476+7)/COUNTIFS('Weekly Log'!$H:$H,"&lt;&gt;",'Weekly Log'!$A:$A,"&gt;="&amp;$J1476,'Weekly Log'!$A:$A,"&lt;"&amp;$J1476+7),0))</f>
        <v/>
      </c>
      <c r="E1476">
        <f>IF($J1476="","",IFERROR(AVERAGEIFS('Weekly Log'!$F:$F,'Weekly Log'!$A:$A,"&gt;="&amp;$J1476,'Weekly Log'!$A:$A,"&lt;"&amp;$J1476+7),0))</f>
        <v/>
      </c>
      <c r="F1476">
        <f>IF($J1476="","",IFERROR(SUMIFS('Weekly Log'!$F:$F,'Weekly Log'!$A:$A,"&gt;="&amp;$J1476,'Weekly Log'!$A:$A,"&lt;"&amp;$J1476+7)/SUMIFS('Weekly Log'!$E:$E,'Weekly Log'!$A:$A,"&gt;="&amp;$J1476,'Weekly Log'!$A:$A,"&lt;"&amp;$J1476+7),0))</f>
        <v/>
      </c>
      <c r="G1476">
        <f>IF($J1476="","",IFERROR(LOOKUP(2,1/(('Weekly Log'!$A$5:$A$5000&gt;=$J1476)*('Weekly Log'!$A$5:$A$5000&lt;$J1476+7)*('Weekly Log'!$M$5:$M$5000&lt;&gt;"")),'Weekly Log'!$M$5:$M$5000),0))</f>
        <v/>
      </c>
      <c r="J1476">
        <f>IF(COUNT('Weekly Log'!$A$5:$A$5000)=0,"",IF(MIN('Weekly Log'!$A$5:$A$5000)+7*(ROW()-10)&gt;MAX('Weekly Log'!$A$5:$A$5000),"",MIN('Weekly Log'!$A$5:$A$5000)+7*(ROW()-10)))</f>
        <v/>
      </c>
    </row>
    <row r="1477">
      <c r="A1477">
        <f>IF($J1477="","",YEAR($J1477-WEEKDAY($J1477,2)+4)&amp;"-W"&amp;TEXT(WEEKNUM($J1477,21),"00"))</f>
        <v/>
      </c>
      <c r="B1477">
        <f>IF($J1477="","",SUMIFS('Weekly Log'!$C:$C,'Weekly Log'!$A:$A,"&gt;="&amp;$J1477,'Weekly Log'!$A:$A,"&lt;"&amp;$J1477+7))</f>
        <v/>
      </c>
      <c r="C1477">
        <f>IF($J1477="","",IFERROR(COUNTIFS('Weekly Log'!$G:$G,"Y",'Weekly Log'!$A:$A,"&gt;="&amp;$J1477,'Weekly Log'!$A:$A,"&lt;"&amp;$J1477+7)/COUNTIFS('Weekly Log'!$G:$G,"&lt;&gt;",'Weekly Log'!$A:$A,"&gt;="&amp;$J1477,'Weekly Log'!$A:$A,"&lt;"&amp;$J1477+7),0))</f>
        <v/>
      </c>
      <c r="D1477">
        <f>IF($J1477="","",IFERROR(COUNTIFS('Weekly Log'!$H:$H,"Y",'Weekly Log'!$A:$A,"&gt;="&amp;$J1477,'Weekly Log'!$A:$A,"&lt;"&amp;$J1477+7)/COUNTIFS('Weekly Log'!$H:$H,"&lt;&gt;",'Weekly Log'!$A:$A,"&gt;="&amp;$J1477,'Weekly Log'!$A:$A,"&lt;"&amp;$J1477+7),0))</f>
        <v/>
      </c>
      <c r="E1477">
        <f>IF($J1477="","",IFERROR(AVERAGEIFS('Weekly Log'!$F:$F,'Weekly Log'!$A:$A,"&gt;="&amp;$J1477,'Weekly Log'!$A:$A,"&lt;"&amp;$J1477+7),0))</f>
        <v/>
      </c>
      <c r="F1477">
        <f>IF($J1477="","",IFERROR(SUMIFS('Weekly Log'!$F:$F,'Weekly Log'!$A:$A,"&gt;="&amp;$J1477,'Weekly Log'!$A:$A,"&lt;"&amp;$J1477+7)/SUMIFS('Weekly Log'!$E:$E,'Weekly Log'!$A:$A,"&gt;="&amp;$J1477,'Weekly Log'!$A:$A,"&lt;"&amp;$J1477+7),0))</f>
        <v/>
      </c>
      <c r="G1477">
        <f>IF($J1477="","",IFERROR(LOOKUP(2,1/(('Weekly Log'!$A$5:$A$5000&gt;=$J1477)*('Weekly Log'!$A$5:$A$5000&lt;$J1477+7)*('Weekly Log'!$M$5:$M$5000&lt;&gt;"")),'Weekly Log'!$M$5:$M$5000),0))</f>
        <v/>
      </c>
      <c r="J1477">
        <f>IF(COUNT('Weekly Log'!$A$5:$A$5000)=0,"",IF(MIN('Weekly Log'!$A$5:$A$5000)+7*(ROW()-10)&gt;MAX('Weekly Log'!$A$5:$A$5000),"",MIN('Weekly Log'!$A$5:$A$5000)+7*(ROW()-10)))</f>
        <v/>
      </c>
    </row>
    <row r="1478">
      <c r="A1478">
        <f>IF($J1478="","",YEAR($J1478-WEEKDAY($J1478,2)+4)&amp;"-W"&amp;TEXT(WEEKNUM($J1478,21),"00"))</f>
        <v/>
      </c>
      <c r="B1478">
        <f>IF($J1478="","",SUMIFS('Weekly Log'!$C:$C,'Weekly Log'!$A:$A,"&gt;="&amp;$J1478,'Weekly Log'!$A:$A,"&lt;"&amp;$J1478+7))</f>
        <v/>
      </c>
      <c r="C1478">
        <f>IF($J1478="","",IFERROR(COUNTIFS('Weekly Log'!$G:$G,"Y",'Weekly Log'!$A:$A,"&gt;="&amp;$J1478,'Weekly Log'!$A:$A,"&lt;"&amp;$J1478+7)/COUNTIFS('Weekly Log'!$G:$G,"&lt;&gt;",'Weekly Log'!$A:$A,"&gt;="&amp;$J1478,'Weekly Log'!$A:$A,"&lt;"&amp;$J1478+7),0))</f>
        <v/>
      </c>
      <c r="D1478">
        <f>IF($J1478="","",IFERROR(COUNTIFS('Weekly Log'!$H:$H,"Y",'Weekly Log'!$A:$A,"&gt;="&amp;$J1478,'Weekly Log'!$A:$A,"&lt;"&amp;$J1478+7)/COUNTIFS('Weekly Log'!$H:$H,"&lt;&gt;",'Weekly Log'!$A:$A,"&gt;="&amp;$J1478,'Weekly Log'!$A:$A,"&lt;"&amp;$J1478+7),0))</f>
        <v/>
      </c>
      <c r="E1478">
        <f>IF($J1478="","",IFERROR(AVERAGEIFS('Weekly Log'!$F:$F,'Weekly Log'!$A:$A,"&gt;="&amp;$J1478,'Weekly Log'!$A:$A,"&lt;"&amp;$J1478+7),0))</f>
        <v/>
      </c>
      <c r="F1478">
        <f>IF($J1478="","",IFERROR(SUMIFS('Weekly Log'!$F:$F,'Weekly Log'!$A:$A,"&gt;="&amp;$J1478,'Weekly Log'!$A:$A,"&lt;"&amp;$J1478+7)/SUMIFS('Weekly Log'!$E:$E,'Weekly Log'!$A:$A,"&gt;="&amp;$J1478,'Weekly Log'!$A:$A,"&lt;"&amp;$J1478+7),0))</f>
        <v/>
      </c>
      <c r="G1478">
        <f>IF($J1478="","",IFERROR(LOOKUP(2,1/(('Weekly Log'!$A$5:$A$5000&gt;=$J1478)*('Weekly Log'!$A$5:$A$5000&lt;$J1478+7)*('Weekly Log'!$M$5:$M$5000&lt;&gt;"")),'Weekly Log'!$M$5:$M$5000),0))</f>
        <v/>
      </c>
      <c r="J1478">
        <f>IF(COUNT('Weekly Log'!$A$5:$A$5000)=0,"",IF(MIN('Weekly Log'!$A$5:$A$5000)+7*(ROW()-10)&gt;MAX('Weekly Log'!$A$5:$A$5000),"",MIN('Weekly Log'!$A$5:$A$5000)+7*(ROW()-10)))</f>
        <v/>
      </c>
    </row>
    <row r="1479">
      <c r="A1479">
        <f>IF($J1479="","",YEAR($J1479-WEEKDAY($J1479,2)+4)&amp;"-W"&amp;TEXT(WEEKNUM($J1479,21),"00"))</f>
        <v/>
      </c>
      <c r="B1479">
        <f>IF($J1479="","",SUMIFS('Weekly Log'!$C:$C,'Weekly Log'!$A:$A,"&gt;="&amp;$J1479,'Weekly Log'!$A:$A,"&lt;"&amp;$J1479+7))</f>
        <v/>
      </c>
      <c r="C1479">
        <f>IF($J1479="","",IFERROR(COUNTIFS('Weekly Log'!$G:$G,"Y",'Weekly Log'!$A:$A,"&gt;="&amp;$J1479,'Weekly Log'!$A:$A,"&lt;"&amp;$J1479+7)/COUNTIFS('Weekly Log'!$G:$G,"&lt;&gt;",'Weekly Log'!$A:$A,"&gt;="&amp;$J1479,'Weekly Log'!$A:$A,"&lt;"&amp;$J1479+7),0))</f>
        <v/>
      </c>
      <c r="D1479">
        <f>IF($J1479="","",IFERROR(COUNTIFS('Weekly Log'!$H:$H,"Y",'Weekly Log'!$A:$A,"&gt;="&amp;$J1479,'Weekly Log'!$A:$A,"&lt;"&amp;$J1479+7)/COUNTIFS('Weekly Log'!$H:$H,"&lt;&gt;",'Weekly Log'!$A:$A,"&gt;="&amp;$J1479,'Weekly Log'!$A:$A,"&lt;"&amp;$J1479+7),0))</f>
        <v/>
      </c>
      <c r="E1479">
        <f>IF($J1479="","",IFERROR(AVERAGEIFS('Weekly Log'!$F:$F,'Weekly Log'!$A:$A,"&gt;="&amp;$J1479,'Weekly Log'!$A:$A,"&lt;"&amp;$J1479+7),0))</f>
        <v/>
      </c>
      <c r="F1479">
        <f>IF($J1479="","",IFERROR(SUMIFS('Weekly Log'!$F:$F,'Weekly Log'!$A:$A,"&gt;="&amp;$J1479,'Weekly Log'!$A:$A,"&lt;"&amp;$J1479+7)/SUMIFS('Weekly Log'!$E:$E,'Weekly Log'!$A:$A,"&gt;="&amp;$J1479,'Weekly Log'!$A:$A,"&lt;"&amp;$J1479+7),0))</f>
        <v/>
      </c>
      <c r="G1479">
        <f>IF($J1479="","",IFERROR(LOOKUP(2,1/(('Weekly Log'!$A$5:$A$5000&gt;=$J1479)*('Weekly Log'!$A$5:$A$5000&lt;$J1479+7)*('Weekly Log'!$M$5:$M$5000&lt;&gt;"")),'Weekly Log'!$M$5:$M$5000),0))</f>
        <v/>
      </c>
      <c r="J1479">
        <f>IF(COUNT('Weekly Log'!$A$5:$A$5000)=0,"",IF(MIN('Weekly Log'!$A$5:$A$5000)+7*(ROW()-10)&gt;MAX('Weekly Log'!$A$5:$A$5000),"",MIN('Weekly Log'!$A$5:$A$5000)+7*(ROW()-10)))</f>
        <v/>
      </c>
    </row>
    <row r="1480">
      <c r="A1480">
        <f>IF($J1480="","",YEAR($J1480-WEEKDAY($J1480,2)+4)&amp;"-W"&amp;TEXT(WEEKNUM($J1480,21),"00"))</f>
        <v/>
      </c>
      <c r="B1480">
        <f>IF($J1480="","",SUMIFS('Weekly Log'!$C:$C,'Weekly Log'!$A:$A,"&gt;="&amp;$J1480,'Weekly Log'!$A:$A,"&lt;"&amp;$J1480+7))</f>
        <v/>
      </c>
      <c r="C1480">
        <f>IF($J1480="","",IFERROR(COUNTIFS('Weekly Log'!$G:$G,"Y",'Weekly Log'!$A:$A,"&gt;="&amp;$J1480,'Weekly Log'!$A:$A,"&lt;"&amp;$J1480+7)/COUNTIFS('Weekly Log'!$G:$G,"&lt;&gt;",'Weekly Log'!$A:$A,"&gt;="&amp;$J1480,'Weekly Log'!$A:$A,"&lt;"&amp;$J1480+7),0))</f>
        <v/>
      </c>
      <c r="D1480">
        <f>IF($J1480="","",IFERROR(COUNTIFS('Weekly Log'!$H:$H,"Y",'Weekly Log'!$A:$A,"&gt;="&amp;$J1480,'Weekly Log'!$A:$A,"&lt;"&amp;$J1480+7)/COUNTIFS('Weekly Log'!$H:$H,"&lt;&gt;",'Weekly Log'!$A:$A,"&gt;="&amp;$J1480,'Weekly Log'!$A:$A,"&lt;"&amp;$J1480+7),0))</f>
        <v/>
      </c>
      <c r="E1480">
        <f>IF($J1480="","",IFERROR(AVERAGEIFS('Weekly Log'!$F:$F,'Weekly Log'!$A:$A,"&gt;="&amp;$J1480,'Weekly Log'!$A:$A,"&lt;"&amp;$J1480+7),0))</f>
        <v/>
      </c>
      <c r="F1480">
        <f>IF($J1480="","",IFERROR(SUMIFS('Weekly Log'!$F:$F,'Weekly Log'!$A:$A,"&gt;="&amp;$J1480,'Weekly Log'!$A:$A,"&lt;"&amp;$J1480+7)/SUMIFS('Weekly Log'!$E:$E,'Weekly Log'!$A:$A,"&gt;="&amp;$J1480,'Weekly Log'!$A:$A,"&lt;"&amp;$J1480+7),0))</f>
        <v/>
      </c>
      <c r="G1480">
        <f>IF($J1480="","",IFERROR(LOOKUP(2,1/(('Weekly Log'!$A$5:$A$5000&gt;=$J1480)*('Weekly Log'!$A$5:$A$5000&lt;$J1480+7)*('Weekly Log'!$M$5:$M$5000&lt;&gt;"")),'Weekly Log'!$M$5:$M$5000),0))</f>
        <v/>
      </c>
      <c r="J1480">
        <f>IF(COUNT('Weekly Log'!$A$5:$A$5000)=0,"",IF(MIN('Weekly Log'!$A$5:$A$5000)+7*(ROW()-10)&gt;MAX('Weekly Log'!$A$5:$A$5000),"",MIN('Weekly Log'!$A$5:$A$5000)+7*(ROW()-10)))</f>
        <v/>
      </c>
    </row>
    <row r="1481">
      <c r="A1481">
        <f>IF($J1481="","",YEAR($J1481-WEEKDAY($J1481,2)+4)&amp;"-W"&amp;TEXT(WEEKNUM($J1481,21),"00"))</f>
        <v/>
      </c>
      <c r="B1481">
        <f>IF($J1481="","",SUMIFS('Weekly Log'!$C:$C,'Weekly Log'!$A:$A,"&gt;="&amp;$J1481,'Weekly Log'!$A:$A,"&lt;"&amp;$J1481+7))</f>
        <v/>
      </c>
      <c r="C1481">
        <f>IF($J1481="","",IFERROR(COUNTIFS('Weekly Log'!$G:$G,"Y",'Weekly Log'!$A:$A,"&gt;="&amp;$J1481,'Weekly Log'!$A:$A,"&lt;"&amp;$J1481+7)/COUNTIFS('Weekly Log'!$G:$G,"&lt;&gt;",'Weekly Log'!$A:$A,"&gt;="&amp;$J1481,'Weekly Log'!$A:$A,"&lt;"&amp;$J1481+7),0))</f>
        <v/>
      </c>
      <c r="D1481">
        <f>IF($J1481="","",IFERROR(COUNTIFS('Weekly Log'!$H:$H,"Y",'Weekly Log'!$A:$A,"&gt;="&amp;$J1481,'Weekly Log'!$A:$A,"&lt;"&amp;$J1481+7)/COUNTIFS('Weekly Log'!$H:$H,"&lt;&gt;",'Weekly Log'!$A:$A,"&gt;="&amp;$J1481,'Weekly Log'!$A:$A,"&lt;"&amp;$J1481+7),0))</f>
        <v/>
      </c>
      <c r="E1481">
        <f>IF($J1481="","",IFERROR(AVERAGEIFS('Weekly Log'!$F:$F,'Weekly Log'!$A:$A,"&gt;="&amp;$J1481,'Weekly Log'!$A:$A,"&lt;"&amp;$J1481+7),0))</f>
        <v/>
      </c>
      <c r="F1481">
        <f>IF($J1481="","",IFERROR(SUMIFS('Weekly Log'!$F:$F,'Weekly Log'!$A:$A,"&gt;="&amp;$J1481,'Weekly Log'!$A:$A,"&lt;"&amp;$J1481+7)/SUMIFS('Weekly Log'!$E:$E,'Weekly Log'!$A:$A,"&gt;="&amp;$J1481,'Weekly Log'!$A:$A,"&lt;"&amp;$J1481+7),0))</f>
        <v/>
      </c>
      <c r="G1481">
        <f>IF($J1481="","",IFERROR(LOOKUP(2,1/(('Weekly Log'!$A$5:$A$5000&gt;=$J1481)*('Weekly Log'!$A$5:$A$5000&lt;$J1481+7)*('Weekly Log'!$M$5:$M$5000&lt;&gt;"")),'Weekly Log'!$M$5:$M$5000),0))</f>
        <v/>
      </c>
      <c r="J1481">
        <f>IF(COUNT('Weekly Log'!$A$5:$A$5000)=0,"",IF(MIN('Weekly Log'!$A$5:$A$5000)+7*(ROW()-10)&gt;MAX('Weekly Log'!$A$5:$A$5000),"",MIN('Weekly Log'!$A$5:$A$5000)+7*(ROW()-10)))</f>
        <v/>
      </c>
    </row>
    <row r="1482">
      <c r="A1482">
        <f>IF($J1482="","",YEAR($J1482-WEEKDAY($J1482,2)+4)&amp;"-W"&amp;TEXT(WEEKNUM($J1482,21),"00"))</f>
        <v/>
      </c>
      <c r="B1482">
        <f>IF($J1482="","",SUMIFS('Weekly Log'!$C:$C,'Weekly Log'!$A:$A,"&gt;="&amp;$J1482,'Weekly Log'!$A:$A,"&lt;"&amp;$J1482+7))</f>
        <v/>
      </c>
      <c r="C1482">
        <f>IF($J1482="","",IFERROR(COUNTIFS('Weekly Log'!$G:$G,"Y",'Weekly Log'!$A:$A,"&gt;="&amp;$J1482,'Weekly Log'!$A:$A,"&lt;"&amp;$J1482+7)/COUNTIFS('Weekly Log'!$G:$G,"&lt;&gt;",'Weekly Log'!$A:$A,"&gt;="&amp;$J1482,'Weekly Log'!$A:$A,"&lt;"&amp;$J1482+7),0))</f>
        <v/>
      </c>
      <c r="D1482">
        <f>IF($J1482="","",IFERROR(COUNTIFS('Weekly Log'!$H:$H,"Y",'Weekly Log'!$A:$A,"&gt;="&amp;$J1482,'Weekly Log'!$A:$A,"&lt;"&amp;$J1482+7)/COUNTIFS('Weekly Log'!$H:$H,"&lt;&gt;",'Weekly Log'!$A:$A,"&gt;="&amp;$J1482,'Weekly Log'!$A:$A,"&lt;"&amp;$J1482+7),0))</f>
        <v/>
      </c>
      <c r="E1482">
        <f>IF($J1482="","",IFERROR(AVERAGEIFS('Weekly Log'!$F:$F,'Weekly Log'!$A:$A,"&gt;="&amp;$J1482,'Weekly Log'!$A:$A,"&lt;"&amp;$J1482+7),0))</f>
        <v/>
      </c>
      <c r="F1482">
        <f>IF($J1482="","",IFERROR(SUMIFS('Weekly Log'!$F:$F,'Weekly Log'!$A:$A,"&gt;="&amp;$J1482,'Weekly Log'!$A:$A,"&lt;"&amp;$J1482+7)/SUMIFS('Weekly Log'!$E:$E,'Weekly Log'!$A:$A,"&gt;="&amp;$J1482,'Weekly Log'!$A:$A,"&lt;"&amp;$J1482+7),0))</f>
        <v/>
      </c>
      <c r="G1482">
        <f>IF($J1482="","",IFERROR(LOOKUP(2,1/(('Weekly Log'!$A$5:$A$5000&gt;=$J1482)*('Weekly Log'!$A$5:$A$5000&lt;$J1482+7)*('Weekly Log'!$M$5:$M$5000&lt;&gt;"")),'Weekly Log'!$M$5:$M$5000),0))</f>
        <v/>
      </c>
      <c r="J1482">
        <f>IF(COUNT('Weekly Log'!$A$5:$A$5000)=0,"",IF(MIN('Weekly Log'!$A$5:$A$5000)+7*(ROW()-10)&gt;MAX('Weekly Log'!$A$5:$A$5000),"",MIN('Weekly Log'!$A$5:$A$5000)+7*(ROW()-10)))</f>
        <v/>
      </c>
    </row>
    <row r="1483">
      <c r="A1483">
        <f>IF($J1483="","",YEAR($J1483-WEEKDAY($J1483,2)+4)&amp;"-W"&amp;TEXT(WEEKNUM($J1483,21),"00"))</f>
        <v/>
      </c>
      <c r="B1483">
        <f>IF($J1483="","",SUMIFS('Weekly Log'!$C:$C,'Weekly Log'!$A:$A,"&gt;="&amp;$J1483,'Weekly Log'!$A:$A,"&lt;"&amp;$J1483+7))</f>
        <v/>
      </c>
      <c r="C1483">
        <f>IF($J1483="","",IFERROR(COUNTIFS('Weekly Log'!$G:$G,"Y",'Weekly Log'!$A:$A,"&gt;="&amp;$J1483,'Weekly Log'!$A:$A,"&lt;"&amp;$J1483+7)/COUNTIFS('Weekly Log'!$G:$G,"&lt;&gt;",'Weekly Log'!$A:$A,"&gt;="&amp;$J1483,'Weekly Log'!$A:$A,"&lt;"&amp;$J1483+7),0))</f>
        <v/>
      </c>
      <c r="D1483">
        <f>IF($J1483="","",IFERROR(COUNTIFS('Weekly Log'!$H:$H,"Y",'Weekly Log'!$A:$A,"&gt;="&amp;$J1483,'Weekly Log'!$A:$A,"&lt;"&amp;$J1483+7)/COUNTIFS('Weekly Log'!$H:$H,"&lt;&gt;",'Weekly Log'!$A:$A,"&gt;="&amp;$J1483,'Weekly Log'!$A:$A,"&lt;"&amp;$J1483+7),0))</f>
        <v/>
      </c>
      <c r="E1483">
        <f>IF($J1483="","",IFERROR(AVERAGEIFS('Weekly Log'!$F:$F,'Weekly Log'!$A:$A,"&gt;="&amp;$J1483,'Weekly Log'!$A:$A,"&lt;"&amp;$J1483+7),0))</f>
        <v/>
      </c>
      <c r="F1483">
        <f>IF($J1483="","",IFERROR(SUMIFS('Weekly Log'!$F:$F,'Weekly Log'!$A:$A,"&gt;="&amp;$J1483,'Weekly Log'!$A:$A,"&lt;"&amp;$J1483+7)/SUMIFS('Weekly Log'!$E:$E,'Weekly Log'!$A:$A,"&gt;="&amp;$J1483,'Weekly Log'!$A:$A,"&lt;"&amp;$J1483+7),0))</f>
        <v/>
      </c>
      <c r="G1483">
        <f>IF($J1483="","",IFERROR(LOOKUP(2,1/(('Weekly Log'!$A$5:$A$5000&gt;=$J1483)*('Weekly Log'!$A$5:$A$5000&lt;$J1483+7)*('Weekly Log'!$M$5:$M$5000&lt;&gt;"")),'Weekly Log'!$M$5:$M$5000),0))</f>
        <v/>
      </c>
      <c r="J1483">
        <f>IF(COUNT('Weekly Log'!$A$5:$A$5000)=0,"",IF(MIN('Weekly Log'!$A$5:$A$5000)+7*(ROW()-10)&gt;MAX('Weekly Log'!$A$5:$A$5000),"",MIN('Weekly Log'!$A$5:$A$5000)+7*(ROW()-10)))</f>
        <v/>
      </c>
    </row>
    <row r="1484">
      <c r="A1484">
        <f>IF($J1484="","",YEAR($J1484-WEEKDAY($J1484,2)+4)&amp;"-W"&amp;TEXT(WEEKNUM($J1484,21),"00"))</f>
        <v/>
      </c>
      <c r="B1484">
        <f>IF($J1484="","",SUMIFS('Weekly Log'!$C:$C,'Weekly Log'!$A:$A,"&gt;="&amp;$J1484,'Weekly Log'!$A:$A,"&lt;"&amp;$J1484+7))</f>
        <v/>
      </c>
      <c r="C1484">
        <f>IF($J1484="","",IFERROR(COUNTIFS('Weekly Log'!$G:$G,"Y",'Weekly Log'!$A:$A,"&gt;="&amp;$J1484,'Weekly Log'!$A:$A,"&lt;"&amp;$J1484+7)/COUNTIFS('Weekly Log'!$G:$G,"&lt;&gt;",'Weekly Log'!$A:$A,"&gt;="&amp;$J1484,'Weekly Log'!$A:$A,"&lt;"&amp;$J1484+7),0))</f>
        <v/>
      </c>
      <c r="D1484">
        <f>IF($J1484="","",IFERROR(COUNTIFS('Weekly Log'!$H:$H,"Y",'Weekly Log'!$A:$A,"&gt;="&amp;$J1484,'Weekly Log'!$A:$A,"&lt;"&amp;$J1484+7)/COUNTIFS('Weekly Log'!$H:$H,"&lt;&gt;",'Weekly Log'!$A:$A,"&gt;="&amp;$J1484,'Weekly Log'!$A:$A,"&lt;"&amp;$J1484+7),0))</f>
        <v/>
      </c>
      <c r="E1484">
        <f>IF($J1484="","",IFERROR(AVERAGEIFS('Weekly Log'!$F:$F,'Weekly Log'!$A:$A,"&gt;="&amp;$J1484,'Weekly Log'!$A:$A,"&lt;"&amp;$J1484+7),0))</f>
        <v/>
      </c>
      <c r="F1484">
        <f>IF($J1484="","",IFERROR(SUMIFS('Weekly Log'!$F:$F,'Weekly Log'!$A:$A,"&gt;="&amp;$J1484,'Weekly Log'!$A:$A,"&lt;"&amp;$J1484+7)/SUMIFS('Weekly Log'!$E:$E,'Weekly Log'!$A:$A,"&gt;="&amp;$J1484,'Weekly Log'!$A:$A,"&lt;"&amp;$J1484+7),0))</f>
        <v/>
      </c>
      <c r="G1484">
        <f>IF($J1484="","",IFERROR(LOOKUP(2,1/(('Weekly Log'!$A$5:$A$5000&gt;=$J1484)*('Weekly Log'!$A$5:$A$5000&lt;$J1484+7)*('Weekly Log'!$M$5:$M$5000&lt;&gt;"")),'Weekly Log'!$M$5:$M$5000),0))</f>
        <v/>
      </c>
      <c r="J1484">
        <f>IF(COUNT('Weekly Log'!$A$5:$A$5000)=0,"",IF(MIN('Weekly Log'!$A$5:$A$5000)+7*(ROW()-10)&gt;MAX('Weekly Log'!$A$5:$A$5000),"",MIN('Weekly Log'!$A$5:$A$5000)+7*(ROW()-10)))</f>
        <v/>
      </c>
    </row>
    <row r="1485">
      <c r="A1485">
        <f>IF($J1485="","",YEAR($J1485-WEEKDAY($J1485,2)+4)&amp;"-W"&amp;TEXT(WEEKNUM($J1485,21),"00"))</f>
        <v/>
      </c>
      <c r="B1485">
        <f>IF($J1485="","",SUMIFS('Weekly Log'!$C:$C,'Weekly Log'!$A:$A,"&gt;="&amp;$J1485,'Weekly Log'!$A:$A,"&lt;"&amp;$J1485+7))</f>
        <v/>
      </c>
      <c r="C1485">
        <f>IF($J1485="","",IFERROR(COUNTIFS('Weekly Log'!$G:$G,"Y",'Weekly Log'!$A:$A,"&gt;="&amp;$J1485,'Weekly Log'!$A:$A,"&lt;"&amp;$J1485+7)/COUNTIFS('Weekly Log'!$G:$G,"&lt;&gt;",'Weekly Log'!$A:$A,"&gt;="&amp;$J1485,'Weekly Log'!$A:$A,"&lt;"&amp;$J1485+7),0))</f>
        <v/>
      </c>
      <c r="D1485">
        <f>IF($J1485="","",IFERROR(COUNTIFS('Weekly Log'!$H:$H,"Y",'Weekly Log'!$A:$A,"&gt;="&amp;$J1485,'Weekly Log'!$A:$A,"&lt;"&amp;$J1485+7)/COUNTIFS('Weekly Log'!$H:$H,"&lt;&gt;",'Weekly Log'!$A:$A,"&gt;="&amp;$J1485,'Weekly Log'!$A:$A,"&lt;"&amp;$J1485+7),0))</f>
        <v/>
      </c>
      <c r="E1485">
        <f>IF($J1485="","",IFERROR(AVERAGEIFS('Weekly Log'!$F:$F,'Weekly Log'!$A:$A,"&gt;="&amp;$J1485,'Weekly Log'!$A:$A,"&lt;"&amp;$J1485+7),0))</f>
        <v/>
      </c>
      <c r="F1485">
        <f>IF($J1485="","",IFERROR(SUMIFS('Weekly Log'!$F:$F,'Weekly Log'!$A:$A,"&gt;="&amp;$J1485,'Weekly Log'!$A:$A,"&lt;"&amp;$J1485+7)/SUMIFS('Weekly Log'!$E:$E,'Weekly Log'!$A:$A,"&gt;="&amp;$J1485,'Weekly Log'!$A:$A,"&lt;"&amp;$J1485+7),0))</f>
        <v/>
      </c>
      <c r="G1485">
        <f>IF($J1485="","",IFERROR(LOOKUP(2,1/(('Weekly Log'!$A$5:$A$5000&gt;=$J1485)*('Weekly Log'!$A$5:$A$5000&lt;$J1485+7)*('Weekly Log'!$M$5:$M$5000&lt;&gt;"")),'Weekly Log'!$M$5:$M$5000),0))</f>
        <v/>
      </c>
      <c r="J1485">
        <f>IF(COUNT('Weekly Log'!$A$5:$A$5000)=0,"",IF(MIN('Weekly Log'!$A$5:$A$5000)+7*(ROW()-10)&gt;MAX('Weekly Log'!$A$5:$A$5000),"",MIN('Weekly Log'!$A$5:$A$5000)+7*(ROW()-10)))</f>
        <v/>
      </c>
    </row>
    <row r="1486">
      <c r="A1486">
        <f>IF($J1486="","",YEAR($J1486-WEEKDAY($J1486,2)+4)&amp;"-W"&amp;TEXT(WEEKNUM($J1486,21),"00"))</f>
        <v/>
      </c>
      <c r="B1486">
        <f>IF($J1486="","",SUMIFS('Weekly Log'!$C:$C,'Weekly Log'!$A:$A,"&gt;="&amp;$J1486,'Weekly Log'!$A:$A,"&lt;"&amp;$J1486+7))</f>
        <v/>
      </c>
      <c r="C1486">
        <f>IF($J1486="","",IFERROR(COUNTIFS('Weekly Log'!$G:$G,"Y",'Weekly Log'!$A:$A,"&gt;="&amp;$J1486,'Weekly Log'!$A:$A,"&lt;"&amp;$J1486+7)/COUNTIFS('Weekly Log'!$G:$G,"&lt;&gt;",'Weekly Log'!$A:$A,"&gt;="&amp;$J1486,'Weekly Log'!$A:$A,"&lt;"&amp;$J1486+7),0))</f>
        <v/>
      </c>
      <c r="D1486">
        <f>IF($J1486="","",IFERROR(COUNTIFS('Weekly Log'!$H:$H,"Y",'Weekly Log'!$A:$A,"&gt;="&amp;$J1486,'Weekly Log'!$A:$A,"&lt;"&amp;$J1486+7)/COUNTIFS('Weekly Log'!$H:$H,"&lt;&gt;",'Weekly Log'!$A:$A,"&gt;="&amp;$J1486,'Weekly Log'!$A:$A,"&lt;"&amp;$J1486+7),0))</f>
        <v/>
      </c>
      <c r="E1486">
        <f>IF($J1486="","",IFERROR(AVERAGEIFS('Weekly Log'!$F:$F,'Weekly Log'!$A:$A,"&gt;="&amp;$J1486,'Weekly Log'!$A:$A,"&lt;"&amp;$J1486+7),0))</f>
        <v/>
      </c>
      <c r="F1486">
        <f>IF($J1486="","",IFERROR(SUMIFS('Weekly Log'!$F:$F,'Weekly Log'!$A:$A,"&gt;="&amp;$J1486,'Weekly Log'!$A:$A,"&lt;"&amp;$J1486+7)/SUMIFS('Weekly Log'!$E:$E,'Weekly Log'!$A:$A,"&gt;="&amp;$J1486,'Weekly Log'!$A:$A,"&lt;"&amp;$J1486+7),0))</f>
        <v/>
      </c>
      <c r="G1486">
        <f>IF($J1486="","",IFERROR(LOOKUP(2,1/(('Weekly Log'!$A$5:$A$5000&gt;=$J1486)*('Weekly Log'!$A$5:$A$5000&lt;$J1486+7)*('Weekly Log'!$M$5:$M$5000&lt;&gt;"")),'Weekly Log'!$M$5:$M$5000),0))</f>
        <v/>
      </c>
      <c r="J1486">
        <f>IF(COUNT('Weekly Log'!$A$5:$A$5000)=0,"",IF(MIN('Weekly Log'!$A$5:$A$5000)+7*(ROW()-10)&gt;MAX('Weekly Log'!$A$5:$A$5000),"",MIN('Weekly Log'!$A$5:$A$5000)+7*(ROW()-10)))</f>
        <v/>
      </c>
    </row>
    <row r="1487">
      <c r="A1487">
        <f>IF($J1487="","",YEAR($J1487-WEEKDAY($J1487,2)+4)&amp;"-W"&amp;TEXT(WEEKNUM($J1487,21),"00"))</f>
        <v/>
      </c>
      <c r="B1487">
        <f>IF($J1487="","",SUMIFS('Weekly Log'!$C:$C,'Weekly Log'!$A:$A,"&gt;="&amp;$J1487,'Weekly Log'!$A:$A,"&lt;"&amp;$J1487+7))</f>
        <v/>
      </c>
      <c r="C1487">
        <f>IF($J1487="","",IFERROR(COUNTIFS('Weekly Log'!$G:$G,"Y",'Weekly Log'!$A:$A,"&gt;="&amp;$J1487,'Weekly Log'!$A:$A,"&lt;"&amp;$J1487+7)/COUNTIFS('Weekly Log'!$G:$G,"&lt;&gt;",'Weekly Log'!$A:$A,"&gt;="&amp;$J1487,'Weekly Log'!$A:$A,"&lt;"&amp;$J1487+7),0))</f>
        <v/>
      </c>
      <c r="D1487">
        <f>IF($J1487="","",IFERROR(COUNTIFS('Weekly Log'!$H:$H,"Y",'Weekly Log'!$A:$A,"&gt;="&amp;$J1487,'Weekly Log'!$A:$A,"&lt;"&amp;$J1487+7)/COUNTIFS('Weekly Log'!$H:$H,"&lt;&gt;",'Weekly Log'!$A:$A,"&gt;="&amp;$J1487,'Weekly Log'!$A:$A,"&lt;"&amp;$J1487+7),0))</f>
        <v/>
      </c>
      <c r="E1487">
        <f>IF($J1487="","",IFERROR(AVERAGEIFS('Weekly Log'!$F:$F,'Weekly Log'!$A:$A,"&gt;="&amp;$J1487,'Weekly Log'!$A:$A,"&lt;"&amp;$J1487+7),0))</f>
        <v/>
      </c>
      <c r="F1487">
        <f>IF($J1487="","",IFERROR(SUMIFS('Weekly Log'!$F:$F,'Weekly Log'!$A:$A,"&gt;="&amp;$J1487,'Weekly Log'!$A:$A,"&lt;"&amp;$J1487+7)/SUMIFS('Weekly Log'!$E:$E,'Weekly Log'!$A:$A,"&gt;="&amp;$J1487,'Weekly Log'!$A:$A,"&lt;"&amp;$J1487+7),0))</f>
        <v/>
      </c>
      <c r="G1487">
        <f>IF($J1487="","",IFERROR(LOOKUP(2,1/(('Weekly Log'!$A$5:$A$5000&gt;=$J1487)*('Weekly Log'!$A$5:$A$5000&lt;$J1487+7)*('Weekly Log'!$M$5:$M$5000&lt;&gt;"")),'Weekly Log'!$M$5:$M$5000),0))</f>
        <v/>
      </c>
      <c r="J1487">
        <f>IF(COUNT('Weekly Log'!$A$5:$A$5000)=0,"",IF(MIN('Weekly Log'!$A$5:$A$5000)+7*(ROW()-10)&gt;MAX('Weekly Log'!$A$5:$A$5000),"",MIN('Weekly Log'!$A$5:$A$5000)+7*(ROW()-10)))</f>
        <v/>
      </c>
    </row>
    <row r="1488">
      <c r="A1488">
        <f>IF($J1488="","",YEAR($J1488-WEEKDAY($J1488,2)+4)&amp;"-W"&amp;TEXT(WEEKNUM($J1488,21),"00"))</f>
        <v/>
      </c>
      <c r="B1488">
        <f>IF($J1488="","",SUMIFS('Weekly Log'!$C:$C,'Weekly Log'!$A:$A,"&gt;="&amp;$J1488,'Weekly Log'!$A:$A,"&lt;"&amp;$J1488+7))</f>
        <v/>
      </c>
      <c r="C1488">
        <f>IF($J1488="","",IFERROR(COUNTIFS('Weekly Log'!$G:$G,"Y",'Weekly Log'!$A:$A,"&gt;="&amp;$J1488,'Weekly Log'!$A:$A,"&lt;"&amp;$J1488+7)/COUNTIFS('Weekly Log'!$G:$G,"&lt;&gt;",'Weekly Log'!$A:$A,"&gt;="&amp;$J1488,'Weekly Log'!$A:$A,"&lt;"&amp;$J1488+7),0))</f>
        <v/>
      </c>
      <c r="D1488">
        <f>IF($J1488="","",IFERROR(COUNTIFS('Weekly Log'!$H:$H,"Y",'Weekly Log'!$A:$A,"&gt;="&amp;$J1488,'Weekly Log'!$A:$A,"&lt;"&amp;$J1488+7)/COUNTIFS('Weekly Log'!$H:$H,"&lt;&gt;",'Weekly Log'!$A:$A,"&gt;="&amp;$J1488,'Weekly Log'!$A:$A,"&lt;"&amp;$J1488+7),0))</f>
        <v/>
      </c>
      <c r="E1488">
        <f>IF($J1488="","",IFERROR(AVERAGEIFS('Weekly Log'!$F:$F,'Weekly Log'!$A:$A,"&gt;="&amp;$J1488,'Weekly Log'!$A:$A,"&lt;"&amp;$J1488+7),0))</f>
        <v/>
      </c>
      <c r="F1488">
        <f>IF($J1488="","",IFERROR(SUMIFS('Weekly Log'!$F:$F,'Weekly Log'!$A:$A,"&gt;="&amp;$J1488,'Weekly Log'!$A:$A,"&lt;"&amp;$J1488+7)/SUMIFS('Weekly Log'!$E:$E,'Weekly Log'!$A:$A,"&gt;="&amp;$J1488,'Weekly Log'!$A:$A,"&lt;"&amp;$J1488+7),0))</f>
        <v/>
      </c>
      <c r="G1488">
        <f>IF($J1488="","",IFERROR(LOOKUP(2,1/(('Weekly Log'!$A$5:$A$5000&gt;=$J1488)*('Weekly Log'!$A$5:$A$5000&lt;$J1488+7)*('Weekly Log'!$M$5:$M$5000&lt;&gt;"")),'Weekly Log'!$M$5:$M$5000),0))</f>
        <v/>
      </c>
      <c r="J1488">
        <f>IF(COUNT('Weekly Log'!$A$5:$A$5000)=0,"",IF(MIN('Weekly Log'!$A$5:$A$5000)+7*(ROW()-10)&gt;MAX('Weekly Log'!$A$5:$A$5000),"",MIN('Weekly Log'!$A$5:$A$5000)+7*(ROW()-10)))</f>
        <v/>
      </c>
    </row>
    <row r="1489">
      <c r="A1489">
        <f>IF($J1489="","",YEAR($J1489-WEEKDAY($J1489,2)+4)&amp;"-W"&amp;TEXT(WEEKNUM($J1489,21),"00"))</f>
        <v/>
      </c>
      <c r="B1489">
        <f>IF($J1489="","",SUMIFS('Weekly Log'!$C:$C,'Weekly Log'!$A:$A,"&gt;="&amp;$J1489,'Weekly Log'!$A:$A,"&lt;"&amp;$J1489+7))</f>
        <v/>
      </c>
      <c r="C1489">
        <f>IF($J1489="","",IFERROR(COUNTIFS('Weekly Log'!$G:$G,"Y",'Weekly Log'!$A:$A,"&gt;="&amp;$J1489,'Weekly Log'!$A:$A,"&lt;"&amp;$J1489+7)/COUNTIFS('Weekly Log'!$G:$G,"&lt;&gt;",'Weekly Log'!$A:$A,"&gt;="&amp;$J1489,'Weekly Log'!$A:$A,"&lt;"&amp;$J1489+7),0))</f>
        <v/>
      </c>
      <c r="D1489">
        <f>IF($J1489="","",IFERROR(COUNTIFS('Weekly Log'!$H:$H,"Y",'Weekly Log'!$A:$A,"&gt;="&amp;$J1489,'Weekly Log'!$A:$A,"&lt;"&amp;$J1489+7)/COUNTIFS('Weekly Log'!$H:$H,"&lt;&gt;",'Weekly Log'!$A:$A,"&gt;="&amp;$J1489,'Weekly Log'!$A:$A,"&lt;"&amp;$J1489+7),0))</f>
        <v/>
      </c>
      <c r="E1489">
        <f>IF($J1489="","",IFERROR(AVERAGEIFS('Weekly Log'!$F:$F,'Weekly Log'!$A:$A,"&gt;="&amp;$J1489,'Weekly Log'!$A:$A,"&lt;"&amp;$J1489+7),0))</f>
        <v/>
      </c>
      <c r="F1489">
        <f>IF($J1489="","",IFERROR(SUMIFS('Weekly Log'!$F:$F,'Weekly Log'!$A:$A,"&gt;="&amp;$J1489,'Weekly Log'!$A:$A,"&lt;"&amp;$J1489+7)/SUMIFS('Weekly Log'!$E:$E,'Weekly Log'!$A:$A,"&gt;="&amp;$J1489,'Weekly Log'!$A:$A,"&lt;"&amp;$J1489+7),0))</f>
        <v/>
      </c>
      <c r="G1489">
        <f>IF($J1489="","",IFERROR(LOOKUP(2,1/(('Weekly Log'!$A$5:$A$5000&gt;=$J1489)*('Weekly Log'!$A$5:$A$5000&lt;$J1489+7)*('Weekly Log'!$M$5:$M$5000&lt;&gt;"")),'Weekly Log'!$M$5:$M$5000),0))</f>
        <v/>
      </c>
      <c r="J1489">
        <f>IF(COUNT('Weekly Log'!$A$5:$A$5000)=0,"",IF(MIN('Weekly Log'!$A$5:$A$5000)+7*(ROW()-10)&gt;MAX('Weekly Log'!$A$5:$A$5000),"",MIN('Weekly Log'!$A$5:$A$5000)+7*(ROW()-10)))</f>
        <v/>
      </c>
    </row>
    <row r="1490">
      <c r="A1490">
        <f>IF($J1490="","",YEAR($J1490-WEEKDAY($J1490,2)+4)&amp;"-W"&amp;TEXT(WEEKNUM($J1490,21),"00"))</f>
        <v/>
      </c>
      <c r="B1490">
        <f>IF($J1490="","",SUMIFS('Weekly Log'!$C:$C,'Weekly Log'!$A:$A,"&gt;="&amp;$J1490,'Weekly Log'!$A:$A,"&lt;"&amp;$J1490+7))</f>
        <v/>
      </c>
      <c r="C1490">
        <f>IF($J1490="","",IFERROR(COUNTIFS('Weekly Log'!$G:$G,"Y",'Weekly Log'!$A:$A,"&gt;="&amp;$J1490,'Weekly Log'!$A:$A,"&lt;"&amp;$J1490+7)/COUNTIFS('Weekly Log'!$G:$G,"&lt;&gt;",'Weekly Log'!$A:$A,"&gt;="&amp;$J1490,'Weekly Log'!$A:$A,"&lt;"&amp;$J1490+7),0))</f>
        <v/>
      </c>
      <c r="D1490">
        <f>IF($J1490="","",IFERROR(COUNTIFS('Weekly Log'!$H:$H,"Y",'Weekly Log'!$A:$A,"&gt;="&amp;$J1490,'Weekly Log'!$A:$A,"&lt;"&amp;$J1490+7)/COUNTIFS('Weekly Log'!$H:$H,"&lt;&gt;",'Weekly Log'!$A:$A,"&gt;="&amp;$J1490,'Weekly Log'!$A:$A,"&lt;"&amp;$J1490+7),0))</f>
        <v/>
      </c>
      <c r="E1490">
        <f>IF($J1490="","",IFERROR(AVERAGEIFS('Weekly Log'!$F:$F,'Weekly Log'!$A:$A,"&gt;="&amp;$J1490,'Weekly Log'!$A:$A,"&lt;"&amp;$J1490+7),0))</f>
        <v/>
      </c>
      <c r="F1490">
        <f>IF($J1490="","",IFERROR(SUMIFS('Weekly Log'!$F:$F,'Weekly Log'!$A:$A,"&gt;="&amp;$J1490,'Weekly Log'!$A:$A,"&lt;"&amp;$J1490+7)/SUMIFS('Weekly Log'!$E:$E,'Weekly Log'!$A:$A,"&gt;="&amp;$J1490,'Weekly Log'!$A:$A,"&lt;"&amp;$J1490+7),0))</f>
        <v/>
      </c>
      <c r="G1490">
        <f>IF($J1490="","",IFERROR(LOOKUP(2,1/(('Weekly Log'!$A$5:$A$5000&gt;=$J1490)*('Weekly Log'!$A$5:$A$5000&lt;$J1490+7)*('Weekly Log'!$M$5:$M$5000&lt;&gt;"")),'Weekly Log'!$M$5:$M$5000),0))</f>
        <v/>
      </c>
      <c r="J1490">
        <f>IF(COUNT('Weekly Log'!$A$5:$A$5000)=0,"",IF(MIN('Weekly Log'!$A$5:$A$5000)+7*(ROW()-10)&gt;MAX('Weekly Log'!$A$5:$A$5000),"",MIN('Weekly Log'!$A$5:$A$5000)+7*(ROW()-10)))</f>
        <v/>
      </c>
    </row>
    <row r="1491">
      <c r="A1491">
        <f>IF($J1491="","",YEAR($J1491-WEEKDAY($J1491,2)+4)&amp;"-W"&amp;TEXT(WEEKNUM($J1491,21),"00"))</f>
        <v/>
      </c>
      <c r="B1491">
        <f>IF($J1491="","",SUMIFS('Weekly Log'!$C:$C,'Weekly Log'!$A:$A,"&gt;="&amp;$J1491,'Weekly Log'!$A:$A,"&lt;"&amp;$J1491+7))</f>
        <v/>
      </c>
      <c r="C1491">
        <f>IF($J1491="","",IFERROR(COUNTIFS('Weekly Log'!$G:$G,"Y",'Weekly Log'!$A:$A,"&gt;="&amp;$J1491,'Weekly Log'!$A:$A,"&lt;"&amp;$J1491+7)/COUNTIFS('Weekly Log'!$G:$G,"&lt;&gt;",'Weekly Log'!$A:$A,"&gt;="&amp;$J1491,'Weekly Log'!$A:$A,"&lt;"&amp;$J1491+7),0))</f>
        <v/>
      </c>
      <c r="D1491">
        <f>IF($J1491="","",IFERROR(COUNTIFS('Weekly Log'!$H:$H,"Y",'Weekly Log'!$A:$A,"&gt;="&amp;$J1491,'Weekly Log'!$A:$A,"&lt;"&amp;$J1491+7)/COUNTIFS('Weekly Log'!$H:$H,"&lt;&gt;",'Weekly Log'!$A:$A,"&gt;="&amp;$J1491,'Weekly Log'!$A:$A,"&lt;"&amp;$J1491+7),0))</f>
        <v/>
      </c>
      <c r="E1491">
        <f>IF($J1491="","",IFERROR(AVERAGEIFS('Weekly Log'!$F:$F,'Weekly Log'!$A:$A,"&gt;="&amp;$J1491,'Weekly Log'!$A:$A,"&lt;"&amp;$J1491+7),0))</f>
        <v/>
      </c>
      <c r="F1491">
        <f>IF($J1491="","",IFERROR(SUMIFS('Weekly Log'!$F:$F,'Weekly Log'!$A:$A,"&gt;="&amp;$J1491,'Weekly Log'!$A:$A,"&lt;"&amp;$J1491+7)/SUMIFS('Weekly Log'!$E:$E,'Weekly Log'!$A:$A,"&gt;="&amp;$J1491,'Weekly Log'!$A:$A,"&lt;"&amp;$J1491+7),0))</f>
        <v/>
      </c>
      <c r="G1491">
        <f>IF($J1491="","",IFERROR(LOOKUP(2,1/(('Weekly Log'!$A$5:$A$5000&gt;=$J1491)*('Weekly Log'!$A$5:$A$5000&lt;$J1491+7)*('Weekly Log'!$M$5:$M$5000&lt;&gt;"")),'Weekly Log'!$M$5:$M$5000),0))</f>
        <v/>
      </c>
      <c r="J1491">
        <f>IF(COUNT('Weekly Log'!$A$5:$A$5000)=0,"",IF(MIN('Weekly Log'!$A$5:$A$5000)+7*(ROW()-10)&gt;MAX('Weekly Log'!$A$5:$A$5000),"",MIN('Weekly Log'!$A$5:$A$5000)+7*(ROW()-10)))</f>
        <v/>
      </c>
    </row>
    <row r="1492">
      <c r="A1492">
        <f>IF($J1492="","",YEAR($J1492-WEEKDAY($J1492,2)+4)&amp;"-W"&amp;TEXT(WEEKNUM($J1492,21),"00"))</f>
        <v/>
      </c>
      <c r="B1492">
        <f>IF($J1492="","",SUMIFS('Weekly Log'!$C:$C,'Weekly Log'!$A:$A,"&gt;="&amp;$J1492,'Weekly Log'!$A:$A,"&lt;"&amp;$J1492+7))</f>
        <v/>
      </c>
      <c r="C1492">
        <f>IF($J1492="","",IFERROR(COUNTIFS('Weekly Log'!$G:$G,"Y",'Weekly Log'!$A:$A,"&gt;="&amp;$J1492,'Weekly Log'!$A:$A,"&lt;"&amp;$J1492+7)/COUNTIFS('Weekly Log'!$G:$G,"&lt;&gt;",'Weekly Log'!$A:$A,"&gt;="&amp;$J1492,'Weekly Log'!$A:$A,"&lt;"&amp;$J1492+7),0))</f>
        <v/>
      </c>
      <c r="D1492">
        <f>IF($J1492="","",IFERROR(COUNTIFS('Weekly Log'!$H:$H,"Y",'Weekly Log'!$A:$A,"&gt;="&amp;$J1492,'Weekly Log'!$A:$A,"&lt;"&amp;$J1492+7)/COUNTIFS('Weekly Log'!$H:$H,"&lt;&gt;",'Weekly Log'!$A:$A,"&gt;="&amp;$J1492,'Weekly Log'!$A:$A,"&lt;"&amp;$J1492+7),0))</f>
        <v/>
      </c>
      <c r="E1492">
        <f>IF($J1492="","",IFERROR(AVERAGEIFS('Weekly Log'!$F:$F,'Weekly Log'!$A:$A,"&gt;="&amp;$J1492,'Weekly Log'!$A:$A,"&lt;"&amp;$J1492+7),0))</f>
        <v/>
      </c>
      <c r="F1492">
        <f>IF($J1492="","",IFERROR(SUMIFS('Weekly Log'!$F:$F,'Weekly Log'!$A:$A,"&gt;="&amp;$J1492,'Weekly Log'!$A:$A,"&lt;"&amp;$J1492+7)/SUMIFS('Weekly Log'!$E:$E,'Weekly Log'!$A:$A,"&gt;="&amp;$J1492,'Weekly Log'!$A:$A,"&lt;"&amp;$J1492+7),0))</f>
        <v/>
      </c>
      <c r="G1492">
        <f>IF($J1492="","",IFERROR(LOOKUP(2,1/(('Weekly Log'!$A$5:$A$5000&gt;=$J1492)*('Weekly Log'!$A$5:$A$5000&lt;$J1492+7)*('Weekly Log'!$M$5:$M$5000&lt;&gt;"")),'Weekly Log'!$M$5:$M$5000),0))</f>
        <v/>
      </c>
      <c r="J1492">
        <f>IF(COUNT('Weekly Log'!$A$5:$A$5000)=0,"",IF(MIN('Weekly Log'!$A$5:$A$5000)+7*(ROW()-10)&gt;MAX('Weekly Log'!$A$5:$A$5000),"",MIN('Weekly Log'!$A$5:$A$5000)+7*(ROW()-10)))</f>
        <v/>
      </c>
    </row>
    <row r="1493">
      <c r="A1493">
        <f>IF($J1493="","",YEAR($J1493-WEEKDAY($J1493,2)+4)&amp;"-W"&amp;TEXT(WEEKNUM($J1493,21),"00"))</f>
        <v/>
      </c>
      <c r="B1493">
        <f>IF($J1493="","",SUMIFS('Weekly Log'!$C:$C,'Weekly Log'!$A:$A,"&gt;="&amp;$J1493,'Weekly Log'!$A:$A,"&lt;"&amp;$J1493+7))</f>
        <v/>
      </c>
      <c r="C1493">
        <f>IF($J1493="","",IFERROR(COUNTIFS('Weekly Log'!$G:$G,"Y",'Weekly Log'!$A:$A,"&gt;="&amp;$J1493,'Weekly Log'!$A:$A,"&lt;"&amp;$J1493+7)/COUNTIFS('Weekly Log'!$G:$G,"&lt;&gt;",'Weekly Log'!$A:$A,"&gt;="&amp;$J1493,'Weekly Log'!$A:$A,"&lt;"&amp;$J1493+7),0))</f>
        <v/>
      </c>
      <c r="D1493">
        <f>IF($J1493="","",IFERROR(COUNTIFS('Weekly Log'!$H:$H,"Y",'Weekly Log'!$A:$A,"&gt;="&amp;$J1493,'Weekly Log'!$A:$A,"&lt;"&amp;$J1493+7)/COUNTIFS('Weekly Log'!$H:$H,"&lt;&gt;",'Weekly Log'!$A:$A,"&gt;="&amp;$J1493,'Weekly Log'!$A:$A,"&lt;"&amp;$J1493+7),0))</f>
        <v/>
      </c>
      <c r="E1493">
        <f>IF($J1493="","",IFERROR(AVERAGEIFS('Weekly Log'!$F:$F,'Weekly Log'!$A:$A,"&gt;="&amp;$J1493,'Weekly Log'!$A:$A,"&lt;"&amp;$J1493+7),0))</f>
        <v/>
      </c>
      <c r="F1493">
        <f>IF($J1493="","",IFERROR(SUMIFS('Weekly Log'!$F:$F,'Weekly Log'!$A:$A,"&gt;="&amp;$J1493,'Weekly Log'!$A:$A,"&lt;"&amp;$J1493+7)/SUMIFS('Weekly Log'!$E:$E,'Weekly Log'!$A:$A,"&gt;="&amp;$J1493,'Weekly Log'!$A:$A,"&lt;"&amp;$J1493+7),0))</f>
        <v/>
      </c>
      <c r="G1493">
        <f>IF($J1493="","",IFERROR(LOOKUP(2,1/(('Weekly Log'!$A$5:$A$5000&gt;=$J1493)*('Weekly Log'!$A$5:$A$5000&lt;$J1493+7)*('Weekly Log'!$M$5:$M$5000&lt;&gt;"")),'Weekly Log'!$M$5:$M$5000),0))</f>
        <v/>
      </c>
      <c r="J1493">
        <f>IF(COUNT('Weekly Log'!$A$5:$A$5000)=0,"",IF(MIN('Weekly Log'!$A$5:$A$5000)+7*(ROW()-10)&gt;MAX('Weekly Log'!$A$5:$A$5000),"",MIN('Weekly Log'!$A$5:$A$5000)+7*(ROW()-10)))</f>
        <v/>
      </c>
    </row>
    <row r="1494">
      <c r="A1494">
        <f>IF($J1494="","",YEAR($J1494-WEEKDAY($J1494,2)+4)&amp;"-W"&amp;TEXT(WEEKNUM($J1494,21),"00"))</f>
        <v/>
      </c>
      <c r="B1494">
        <f>IF($J1494="","",SUMIFS('Weekly Log'!$C:$C,'Weekly Log'!$A:$A,"&gt;="&amp;$J1494,'Weekly Log'!$A:$A,"&lt;"&amp;$J1494+7))</f>
        <v/>
      </c>
      <c r="C1494">
        <f>IF($J1494="","",IFERROR(COUNTIFS('Weekly Log'!$G:$G,"Y",'Weekly Log'!$A:$A,"&gt;="&amp;$J1494,'Weekly Log'!$A:$A,"&lt;"&amp;$J1494+7)/COUNTIFS('Weekly Log'!$G:$G,"&lt;&gt;",'Weekly Log'!$A:$A,"&gt;="&amp;$J1494,'Weekly Log'!$A:$A,"&lt;"&amp;$J1494+7),0))</f>
        <v/>
      </c>
      <c r="D1494">
        <f>IF($J1494="","",IFERROR(COUNTIFS('Weekly Log'!$H:$H,"Y",'Weekly Log'!$A:$A,"&gt;="&amp;$J1494,'Weekly Log'!$A:$A,"&lt;"&amp;$J1494+7)/COUNTIFS('Weekly Log'!$H:$H,"&lt;&gt;",'Weekly Log'!$A:$A,"&gt;="&amp;$J1494,'Weekly Log'!$A:$A,"&lt;"&amp;$J1494+7),0))</f>
        <v/>
      </c>
      <c r="E1494">
        <f>IF($J1494="","",IFERROR(AVERAGEIFS('Weekly Log'!$F:$F,'Weekly Log'!$A:$A,"&gt;="&amp;$J1494,'Weekly Log'!$A:$A,"&lt;"&amp;$J1494+7),0))</f>
        <v/>
      </c>
      <c r="F1494">
        <f>IF($J1494="","",IFERROR(SUMIFS('Weekly Log'!$F:$F,'Weekly Log'!$A:$A,"&gt;="&amp;$J1494,'Weekly Log'!$A:$A,"&lt;"&amp;$J1494+7)/SUMIFS('Weekly Log'!$E:$E,'Weekly Log'!$A:$A,"&gt;="&amp;$J1494,'Weekly Log'!$A:$A,"&lt;"&amp;$J1494+7),0))</f>
        <v/>
      </c>
      <c r="G1494">
        <f>IF($J1494="","",IFERROR(LOOKUP(2,1/(('Weekly Log'!$A$5:$A$5000&gt;=$J1494)*('Weekly Log'!$A$5:$A$5000&lt;$J1494+7)*('Weekly Log'!$M$5:$M$5000&lt;&gt;"")),'Weekly Log'!$M$5:$M$5000),0))</f>
        <v/>
      </c>
      <c r="J1494">
        <f>IF(COUNT('Weekly Log'!$A$5:$A$5000)=0,"",IF(MIN('Weekly Log'!$A$5:$A$5000)+7*(ROW()-10)&gt;MAX('Weekly Log'!$A$5:$A$5000),"",MIN('Weekly Log'!$A$5:$A$5000)+7*(ROW()-10)))</f>
        <v/>
      </c>
    </row>
    <row r="1495">
      <c r="A1495">
        <f>IF($J1495="","",YEAR($J1495-WEEKDAY($J1495,2)+4)&amp;"-W"&amp;TEXT(WEEKNUM($J1495,21),"00"))</f>
        <v/>
      </c>
      <c r="B1495">
        <f>IF($J1495="","",SUMIFS('Weekly Log'!$C:$C,'Weekly Log'!$A:$A,"&gt;="&amp;$J1495,'Weekly Log'!$A:$A,"&lt;"&amp;$J1495+7))</f>
        <v/>
      </c>
      <c r="C1495">
        <f>IF($J1495="","",IFERROR(COUNTIFS('Weekly Log'!$G:$G,"Y",'Weekly Log'!$A:$A,"&gt;="&amp;$J1495,'Weekly Log'!$A:$A,"&lt;"&amp;$J1495+7)/COUNTIFS('Weekly Log'!$G:$G,"&lt;&gt;",'Weekly Log'!$A:$A,"&gt;="&amp;$J1495,'Weekly Log'!$A:$A,"&lt;"&amp;$J1495+7),0))</f>
        <v/>
      </c>
      <c r="D1495">
        <f>IF($J1495="","",IFERROR(COUNTIFS('Weekly Log'!$H:$H,"Y",'Weekly Log'!$A:$A,"&gt;="&amp;$J1495,'Weekly Log'!$A:$A,"&lt;"&amp;$J1495+7)/COUNTIFS('Weekly Log'!$H:$H,"&lt;&gt;",'Weekly Log'!$A:$A,"&gt;="&amp;$J1495,'Weekly Log'!$A:$A,"&lt;"&amp;$J1495+7),0))</f>
        <v/>
      </c>
      <c r="E1495">
        <f>IF($J1495="","",IFERROR(AVERAGEIFS('Weekly Log'!$F:$F,'Weekly Log'!$A:$A,"&gt;="&amp;$J1495,'Weekly Log'!$A:$A,"&lt;"&amp;$J1495+7),0))</f>
        <v/>
      </c>
      <c r="F1495">
        <f>IF($J1495="","",IFERROR(SUMIFS('Weekly Log'!$F:$F,'Weekly Log'!$A:$A,"&gt;="&amp;$J1495,'Weekly Log'!$A:$A,"&lt;"&amp;$J1495+7)/SUMIFS('Weekly Log'!$E:$E,'Weekly Log'!$A:$A,"&gt;="&amp;$J1495,'Weekly Log'!$A:$A,"&lt;"&amp;$J1495+7),0))</f>
        <v/>
      </c>
      <c r="G1495">
        <f>IF($J1495="","",IFERROR(LOOKUP(2,1/(('Weekly Log'!$A$5:$A$5000&gt;=$J1495)*('Weekly Log'!$A$5:$A$5000&lt;$J1495+7)*('Weekly Log'!$M$5:$M$5000&lt;&gt;"")),'Weekly Log'!$M$5:$M$5000),0))</f>
        <v/>
      </c>
      <c r="J1495">
        <f>IF(COUNT('Weekly Log'!$A$5:$A$5000)=0,"",IF(MIN('Weekly Log'!$A$5:$A$5000)+7*(ROW()-10)&gt;MAX('Weekly Log'!$A$5:$A$5000),"",MIN('Weekly Log'!$A$5:$A$5000)+7*(ROW()-10)))</f>
        <v/>
      </c>
    </row>
    <row r="1496">
      <c r="A1496">
        <f>IF($J1496="","",YEAR($J1496-WEEKDAY($J1496,2)+4)&amp;"-W"&amp;TEXT(WEEKNUM($J1496,21),"00"))</f>
        <v/>
      </c>
      <c r="B1496">
        <f>IF($J1496="","",SUMIFS('Weekly Log'!$C:$C,'Weekly Log'!$A:$A,"&gt;="&amp;$J1496,'Weekly Log'!$A:$A,"&lt;"&amp;$J1496+7))</f>
        <v/>
      </c>
      <c r="C1496">
        <f>IF($J1496="","",IFERROR(COUNTIFS('Weekly Log'!$G:$G,"Y",'Weekly Log'!$A:$A,"&gt;="&amp;$J1496,'Weekly Log'!$A:$A,"&lt;"&amp;$J1496+7)/COUNTIFS('Weekly Log'!$G:$G,"&lt;&gt;",'Weekly Log'!$A:$A,"&gt;="&amp;$J1496,'Weekly Log'!$A:$A,"&lt;"&amp;$J1496+7),0))</f>
        <v/>
      </c>
      <c r="D1496">
        <f>IF($J1496="","",IFERROR(COUNTIFS('Weekly Log'!$H:$H,"Y",'Weekly Log'!$A:$A,"&gt;="&amp;$J1496,'Weekly Log'!$A:$A,"&lt;"&amp;$J1496+7)/COUNTIFS('Weekly Log'!$H:$H,"&lt;&gt;",'Weekly Log'!$A:$A,"&gt;="&amp;$J1496,'Weekly Log'!$A:$A,"&lt;"&amp;$J1496+7),0))</f>
        <v/>
      </c>
      <c r="E1496">
        <f>IF($J1496="","",IFERROR(AVERAGEIFS('Weekly Log'!$F:$F,'Weekly Log'!$A:$A,"&gt;="&amp;$J1496,'Weekly Log'!$A:$A,"&lt;"&amp;$J1496+7),0))</f>
        <v/>
      </c>
      <c r="F1496">
        <f>IF($J1496="","",IFERROR(SUMIFS('Weekly Log'!$F:$F,'Weekly Log'!$A:$A,"&gt;="&amp;$J1496,'Weekly Log'!$A:$A,"&lt;"&amp;$J1496+7)/SUMIFS('Weekly Log'!$E:$E,'Weekly Log'!$A:$A,"&gt;="&amp;$J1496,'Weekly Log'!$A:$A,"&lt;"&amp;$J1496+7),0))</f>
        <v/>
      </c>
      <c r="G1496">
        <f>IF($J1496="","",IFERROR(LOOKUP(2,1/(('Weekly Log'!$A$5:$A$5000&gt;=$J1496)*('Weekly Log'!$A$5:$A$5000&lt;$J1496+7)*('Weekly Log'!$M$5:$M$5000&lt;&gt;"")),'Weekly Log'!$M$5:$M$5000),0))</f>
        <v/>
      </c>
      <c r="J1496">
        <f>IF(COUNT('Weekly Log'!$A$5:$A$5000)=0,"",IF(MIN('Weekly Log'!$A$5:$A$5000)+7*(ROW()-10)&gt;MAX('Weekly Log'!$A$5:$A$5000),"",MIN('Weekly Log'!$A$5:$A$5000)+7*(ROW()-10)))</f>
        <v/>
      </c>
    </row>
    <row r="1497">
      <c r="A1497">
        <f>IF($J1497="","",YEAR($J1497-WEEKDAY($J1497,2)+4)&amp;"-W"&amp;TEXT(WEEKNUM($J1497,21),"00"))</f>
        <v/>
      </c>
      <c r="B1497">
        <f>IF($J1497="","",SUMIFS('Weekly Log'!$C:$C,'Weekly Log'!$A:$A,"&gt;="&amp;$J1497,'Weekly Log'!$A:$A,"&lt;"&amp;$J1497+7))</f>
        <v/>
      </c>
      <c r="C1497">
        <f>IF($J1497="","",IFERROR(COUNTIFS('Weekly Log'!$G:$G,"Y",'Weekly Log'!$A:$A,"&gt;="&amp;$J1497,'Weekly Log'!$A:$A,"&lt;"&amp;$J1497+7)/COUNTIFS('Weekly Log'!$G:$G,"&lt;&gt;",'Weekly Log'!$A:$A,"&gt;="&amp;$J1497,'Weekly Log'!$A:$A,"&lt;"&amp;$J1497+7),0))</f>
        <v/>
      </c>
      <c r="D1497">
        <f>IF($J1497="","",IFERROR(COUNTIFS('Weekly Log'!$H:$H,"Y",'Weekly Log'!$A:$A,"&gt;="&amp;$J1497,'Weekly Log'!$A:$A,"&lt;"&amp;$J1497+7)/COUNTIFS('Weekly Log'!$H:$H,"&lt;&gt;",'Weekly Log'!$A:$A,"&gt;="&amp;$J1497,'Weekly Log'!$A:$A,"&lt;"&amp;$J1497+7),0))</f>
        <v/>
      </c>
      <c r="E1497">
        <f>IF($J1497="","",IFERROR(AVERAGEIFS('Weekly Log'!$F:$F,'Weekly Log'!$A:$A,"&gt;="&amp;$J1497,'Weekly Log'!$A:$A,"&lt;"&amp;$J1497+7),0))</f>
        <v/>
      </c>
      <c r="F1497">
        <f>IF($J1497="","",IFERROR(SUMIFS('Weekly Log'!$F:$F,'Weekly Log'!$A:$A,"&gt;="&amp;$J1497,'Weekly Log'!$A:$A,"&lt;"&amp;$J1497+7)/SUMIFS('Weekly Log'!$E:$E,'Weekly Log'!$A:$A,"&gt;="&amp;$J1497,'Weekly Log'!$A:$A,"&lt;"&amp;$J1497+7),0))</f>
        <v/>
      </c>
      <c r="G1497">
        <f>IF($J1497="","",IFERROR(LOOKUP(2,1/(('Weekly Log'!$A$5:$A$5000&gt;=$J1497)*('Weekly Log'!$A$5:$A$5000&lt;$J1497+7)*('Weekly Log'!$M$5:$M$5000&lt;&gt;"")),'Weekly Log'!$M$5:$M$5000),0))</f>
        <v/>
      </c>
      <c r="J1497">
        <f>IF(COUNT('Weekly Log'!$A$5:$A$5000)=0,"",IF(MIN('Weekly Log'!$A$5:$A$5000)+7*(ROW()-10)&gt;MAX('Weekly Log'!$A$5:$A$5000),"",MIN('Weekly Log'!$A$5:$A$5000)+7*(ROW()-10)))</f>
        <v/>
      </c>
    </row>
    <row r="1498">
      <c r="A1498">
        <f>IF($J1498="","",YEAR($J1498-WEEKDAY($J1498,2)+4)&amp;"-W"&amp;TEXT(WEEKNUM($J1498,21),"00"))</f>
        <v/>
      </c>
      <c r="B1498">
        <f>IF($J1498="","",SUMIFS('Weekly Log'!$C:$C,'Weekly Log'!$A:$A,"&gt;="&amp;$J1498,'Weekly Log'!$A:$A,"&lt;"&amp;$J1498+7))</f>
        <v/>
      </c>
      <c r="C1498">
        <f>IF($J1498="","",IFERROR(COUNTIFS('Weekly Log'!$G:$G,"Y",'Weekly Log'!$A:$A,"&gt;="&amp;$J1498,'Weekly Log'!$A:$A,"&lt;"&amp;$J1498+7)/COUNTIFS('Weekly Log'!$G:$G,"&lt;&gt;",'Weekly Log'!$A:$A,"&gt;="&amp;$J1498,'Weekly Log'!$A:$A,"&lt;"&amp;$J1498+7),0))</f>
        <v/>
      </c>
      <c r="D1498">
        <f>IF($J1498="","",IFERROR(COUNTIFS('Weekly Log'!$H:$H,"Y",'Weekly Log'!$A:$A,"&gt;="&amp;$J1498,'Weekly Log'!$A:$A,"&lt;"&amp;$J1498+7)/COUNTIFS('Weekly Log'!$H:$H,"&lt;&gt;",'Weekly Log'!$A:$A,"&gt;="&amp;$J1498,'Weekly Log'!$A:$A,"&lt;"&amp;$J1498+7),0))</f>
        <v/>
      </c>
      <c r="E1498">
        <f>IF($J1498="","",IFERROR(AVERAGEIFS('Weekly Log'!$F:$F,'Weekly Log'!$A:$A,"&gt;="&amp;$J1498,'Weekly Log'!$A:$A,"&lt;"&amp;$J1498+7),0))</f>
        <v/>
      </c>
      <c r="F1498">
        <f>IF($J1498="","",IFERROR(SUMIFS('Weekly Log'!$F:$F,'Weekly Log'!$A:$A,"&gt;="&amp;$J1498,'Weekly Log'!$A:$A,"&lt;"&amp;$J1498+7)/SUMIFS('Weekly Log'!$E:$E,'Weekly Log'!$A:$A,"&gt;="&amp;$J1498,'Weekly Log'!$A:$A,"&lt;"&amp;$J1498+7),0))</f>
        <v/>
      </c>
      <c r="G1498">
        <f>IF($J1498="","",IFERROR(LOOKUP(2,1/(('Weekly Log'!$A$5:$A$5000&gt;=$J1498)*('Weekly Log'!$A$5:$A$5000&lt;$J1498+7)*('Weekly Log'!$M$5:$M$5000&lt;&gt;"")),'Weekly Log'!$M$5:$M$5000),0))</f>
        <v/>
      </c>
      <c r="J1498">
        <f>IF(COUNT('Weekly Log'!$A$5:$A$5000)=0,"",IF(MIN('Weekly Log'!$A$5:$A$5000)+7*(ROW()-10)&gt;MAX('Weekly Log'!$A$5:$A$5000),"",MIN('Weekly Log'!$A$5:$A$5000)+7*(ROW()-10)))</f>
        <v/>
      </c>
    </row>
    <row r="1499">
      <c r="A1499">
        <f>IF($J1499="","",YEAR($J1499-WEEKDAY($J1499,2)+4)&amp;"-W"&amp;TEXT(WEEKNUM($J1499,21),"00"))</f>
        <v/>
      </c>
      <c r="B1499">
        <f>IF($J1499="","",SUMIFS('Weekly Log'!$C:$C,'Weekly Log'!$A:$A,"&gt;="&amp;$J1499,'Weekly Log'!$A:$A,"&lt;"&amp;$J1499+7))</f>
        <v/>
      </c>
      <c r="C1499">
        <f>IF($J1499="","",IFERROR(COUNTIFS('Weekly Log'!$G:$G,"Y",'Weekly Log'!$A:$A,"&gt;="&amp;$J1499,'Weekly Log'!$A:$A,"&lt;"&amp;$J1499+7)/COUNTIFS('Weekly Log'!$G:$G,"&lt;&gt;",'Weekly Log'!$A:$A,"&gt;="&amp;$J1499,'Weekly Log'!$A:$A,"&lt;"&amp;$J1499+7),0))</f>
        <v/>
      </c>
      <c r="D1499">
        <f>IF($J1499="","",IFERROR(COUNTIFS('Weekly Log'!$H:$H,"Y",'Weekly Log'!$A:$A,"&gt;="&amp;$J1499,'Weekly Log'!$A:$A,"&lt;"&amp;$J1499+7)/COUNTIFS('Weekly Log'!$H:$H,"&lt;&gt;",'Weekly Log'!$A:$A,"&gt;="&amp;$J1499,'Weekly Log'!$A:$A,"&lt;"&amp;$J1499+7),0))</f>
        <v/>
      </c>
      <c r="E1499">
        <f>IF($J1499="","",IFERROR(AVERAGEIFS('Weekly Log'!$F:$F,'Weekly Log'!$A:$A,"&gt;="&amp;$J1499,'Weekly Log'!$A:$A,"&lt;"&amp;$J1499+7),0))</f>
        <v/>
      </c>
      <c r="F1499">
        <f>IF($J1499="","",IFERROR(SUMIFS('Weekly Log'!$F:$F,'Weekly Log'!$A:$A,"&gt;="&amp;$J1499,'Weekly Log'!$A:$A,"&lt;"&amp;$J1499+7)/SUMIFS('Weekly Log'!$E:$E,'Weekly Log'!$A:$A,"&gt;="&amp;$J1499,'Weekly Log'!$A:$A,"&lt;"&amp;$J1499+7),0))</f>
        <v/>
      </c>
      <c r="G1499">
        <f>IF($J1499="","",IFERROR(LOOKUP(2,1/(('Weekly Log'!$A$5:$A$5000&gt;=$J1499)*('Weekly Log'!$A$5:$A$5000&lt;$J1499+7)*('Weekly Log'!$M$5:$M$5000&lt;&gt;"")),'Weekly Log'!$M$5:$M$5000),0))</f>
        <v/>
      </c>
      <c r="J1499">
        <f>IF(COUNT('Weekly Log'!$A$5:$A$5000)=0,"",IF(MIN('Weekly Log'!$A$5:$A$5000)+7*(ROW()-10)&gt;MAX('Weekly Log'!$A$5:$A$5000),"",MIN('Weekly Log'!$A$5:$A$5000)+7*(ROW()-10)))</f>
        <v/>
      </c>
    </row>
    <row r="1500">
      <c r="A1500">
        <f>IF($J1500="","",YEAR($J1500-WEEKDAY($J1500,2)+4)&amp;"-W"&amp;TEXT(WEEKNUM($J1500,21),"00"))</f>
        <v/>
      </c>
      <c r="B1500">
        <f>IF($J1500="","",SUMIFS('Weekly Log'!$C:$C,'Weekly Log'!$A:$A,"&gt;="&amp;$J1500,'Weekly Log'!$A:$A,"&lt;"&amp;$J1500+7))</f>
        <v/>
      </c>
      <c r="C1500">
        <f>IF($J1500="","",IFERROR(COUNTIFS('Weekly Log'!$G:$G,"Y",'Weekly Log'!$A:$A,"&gt;="&amp;$J1500,'Weekly Log'!$A:$A,"&lt;"&amp;$J1500+7)/COUNTIFS('Weekly Log'!$G:$G,"&lt;&gt;",'Weekly Log'!$A:$A,"&gt;="&amp;$J1500,'Weekly Log'!$A:$A,"&lt;"&amp;$J1500+7),0))</f>
        <v/>
      </c>
      <c r="D1500">
        <f>IF($J1500="","",IFERROR(COUNTIFS('Weekly Log'!$H:$H,"Y",'Weekly Log'!$A:$A,"&gt;="&amp;$J1500,'Weekly Log'!$A:$A,"&lt;"&amp;$J1500+7)/COUNTIFS('Weekly Log'!$H:$H,"&lt;&gt;",'Weekly Log'!$A:$A,"&gt;="&amp;$J1500,'Weekly Log'!$A:$A,"&lt;"&amp;$J1500+7),0))</f>
        <v/>
      </c>
      <c r="E1500">
        <f>IF($J1500="","",IFERROR(AVERAGEIFS('Weekly Log'!$F:$F,'Weekly Log'!$A:$A,"&gt;="&amp;$J1500,'Weekly Log'!$A:$A,"&lt;"&amp;$J1500+7),0))</f>
        <v/>
      </c>
      <c r="F1500">
        <f>IF($J1500="","",IFERROR(SUMIFS('Weekly Log'!$F:$F,'Weekly Log'!$A:$A,"&gt;="&amp;$J1500,'Weekly Log'!$A:$A,"&lt;"&amp;$J1500+7)/SUMIFS('Weekly Log'!$E:$E,'Weekly Log'!$A:$A,"&gt;="&amp;$J1500,'Weekly Log'!$A:$A,"&lt;"&amp;$J1500+7),0))</f>
        <v/>
      </c>
      <c r="G1500">
        <f>IF($J1500="","",IFERROR(LOOKUP(2,1/(('Weekly Log'!$A$5:$A$5000&gt;=$J1500)*('Weekly Log'!$A$5:$A$5000&lt;$J1500+7)*('Weekly Log'!$M$5:$M$5000&lt;&gt;"")),'Weekly Log'!$M$5:$M$5000),0))</f>
        <v/>
      </c>
      <c r="J1500">
        <f>IF(COUNT('Weekly Log'!$A$5:$A$5000)=0,"",IF(MIN('Weekly Log'!$A$5:$A$5000)+7*(ROW()-10)&gt;MAX('Weekly Log'!$A$5:$A$5000),"",MIN('Weekly Log'!$A$5:$A$5000)+7*(ROW()-10)))</f>
        <v/>
      </c>
    </row>
    <row r="1501">
      <c r="A1501">
        <f>IF($J1501="","",YEAR($J1501-WEEKDAY($J1501,2)+4)&amp;"-W"&amp;TEXT(WEEKNUM($J1501,21),"00"))</f>
        <v/>
      </c>
      <c r="B1501">
        <f>IF($J1501="","",SUMIFS('Weekly Log'!$C:$C,'Weekly Log'!$A:$A,"&gt;="&amp;$J1501,'Weekly Log'!$A:$A,"&lt;"&amp;$J1501+7))</f>
        <v/>
      </c>
      <c r="C1501">
        <f>IF($J1501="","",IFERROR(COUNTIFS('Weekly Log'!$G:$G,"Y",'Weekly Log'!$A:$A,"&gt;="&amp;$J1501,'Weekly Log'!$A:$A,"&lt;"&amp;$J1501+7)/COUNTIFS('Weekly Log'!$G:$G,"&lt;&gt;",'Weekly Log'!$A:$A,"&gt;="&amp;$J1501,'Weekly Log'!$A:$A,"&lt;"&amp;$J1501+7),0))</f>
        <v/>
      </c>
      <c r="D1501">
        <f>IF($J1501="","",IFERROR(COUNTIFS('Weekly Log'!$H:$H,"Y",'Weekly Log'!$A:$A,"&gt;="&amp;$J1501,'Weekly Log'!$A:$A,"&lt;"&amp;$J1501+7)/COUNTIFS('Weekly Log'!$H:$H,"&lt;&gt;",'Weekly Log'!$A:$A,"&gt;="&amp;$J1501,'Weekly Log'!$A:$A,"&lt;"&amp;$J1501+7),0))</f>
        <v/>
      </c>
      <c r="E1501">
        <f>IF($J1501="","",IFERROR(AVERAGEIFS('Weekly Log'!$F:$F,'Weekly Log'!$A:$A,"&gt;="&amp;$J1501,'Weekly Log'!$A:$A,"&lt;"&amp;$J1501+7),0))</f>
        <v/>
      </c>
      <c r="F1501">
        <f>IF($J1501="","",IFERROR(SUMIFS('Weekly Log'!$F:$F,'Weekly Log'!$A:$A,"&gt;="&amp;$J1501,'Weekly Log'!$A:$A,"&lt;"&amp;$J1501+7)/SUMIFS('Weekly Log'!$E:$E,'Weekly Log'!$A:$A,"&gt;="&amp;$J1501,'Weekly Log'!$A:$A,"&lt;"&amp;$J1501+7),0))</f>
        <v/>
      </c>
      <c r="G1501">
        <f>IF($J1501="","",IFERROR(LOOKUP(2,1/(('Weekly Log'!$A$5:$A$5000&gt;=$J1501)*('Weekly Log'!$A$5:$A$5000&lt;$J1501+7)*('Weekly Log'!$M$5:$M$5000&lt;&gt;"")),'Weekly Log'!$M$5:$M$5000),0))</f>
        <v/>
      </c>
      <c r="J1501">
        <f>IF(COUNT('Weekly Log'!$A$5:$A$5000)=0,"",IF(MIN('Weekly Log'!$A$5:$A$5000)+7*(ROW()-10)&gt;MAX('Weekly Log'!$A$5:$A$5000),"",MIN('Weekly Log'!$A$5:$A$5000)+7*(ROW()-10)))</f>
        <v/>
      </c>
    </row>
    <row r="1502">
      <c r="A1502">
        <f>IF($J1502="","",YEAR($J1502-WEEKDAY($J1502,2)+4)&amp;"-W"&amp;TEXT(WEEKNUM($J1502,21),"00"))</f>
        <v/>
      </c>
      <c r="B1502">
        <f>IF($J1502="","",SUMIFS('Weekly Log'!$C:$C,'Weekly Log'!$A:$A,"&gt;="&amp;$J1502,'Weekly Log'!$A:$A,"&lt;"&amp;$J1502+7))</f>
        <v/>
      </c>
      <c r="C1502">
        <f>IF($J1502="","",IFERROR(COUNTIFS('Weekly Log'!$G:$G,"Y",'Weekly Log'!$A:$A,"&gt;="&amp;$J1502,'Weekly Log'!$A:$A,"&lt;"&amp;$J1502+7)/COUNTIFS('Weekly Log'!$G:$G,"&lt;&gt;",'Weekly Log'!$A:$A,"&gt;="&amp;$J1502,'Weekly Log'!$A:$A,"&lt;"&amp;$J1502+7),0))</f>
        <v/>
      </c>
      <c r="D1502">
        <f>IF($J1502="","",IFERROR(COUNTIFS('Weekly Log'!$H:$H,"Y",'Weekly Log'!$A:$A,"&gt;="&amp;$J1502,'Weekly Log'!$A:$A,"&lt;"&amp;$J1502+7)/COUNTIFS('Weekly Log'!$H:$H,"&lt;&gt;",'Weekly Log'!$A:$A,"&gt;="&amp;$J1502,'Weekly Log'!$A:$A,"&lt;"&amp;$J1502+7),0))</f>
        <v/>
      </c>
      <c r="E1502">
        <f>IF($J1502="","",IFERROR(AVERAGEIFS('Weekly Log'!$F:$F,'Weekly Log'!$A:$A,"&gt;="&amp;$J1502,'Weekly Log'!$A:$A,"&lt;"&amp;$J1502+7),0))</f>
        <v/>
      </c>
      <c r="F1502">
        <f>IF($J1502="","",IFERROR(SUMIFS('Weekly Log'!$F:$F,'Weekly Log'!$A:$A,"&gt;="&amp;$J1502,'Weekly Log'!$A:$A,"&lt;"&amp;$J1502+7)/SUMIFS('Weekly Log'!$E:$E,'Weekly Log'!$A:$A,"&gt;="&amp;$J1502,'Weekly Log'!$A:$A,"&lt;"&amp;$J1502+7),0))</f>
        <v/>
      </c>
      <c r="G1502">
        <f>IF($J1502="","",IFERROR(LOOKUP(2,1/(('Weekly Log'!$A$5:$A$5000&gt;=$J1502)*('Weekly Log'!$A$5:$A$5000&lt;$J1502+7)*('Weekly Log'!$M$5:$M$5000&lt;&gt;"")),'Weekly Log'!$M$5:$M$5000),0))</f>
        <v/>
      </c>
      <c r="J1502">
        <f>IF(COUNT('Weekly Log'!$A$5:$A$5000)=0,"",IF(MIN('Weekly Log'!$A$5:$A$5000)+7*(ROW()-10)&gt;MAX('Weekly Log'!$A$5:$A$5000),"",MIN('Weekly Log'!$A$5:$A$5000)+7*(ROW()-10)))</f>
        <v/>
      </c>
    </row>
    <row r="1503">
      <c r="A1503">
        <f>IF($J1503="","",YEAR($J1503-WEEKDAY($J1503,2)+4)&amp;"-W"&amp;TEXT(WEEKNUM($J1503,21),"00"))</f>
        <v/>
      </c>
      <c r="B1503">
        <f>IF($J1503="","",SUMIFS('Weekly Log'!$C:$C,'Weekly Log'!$A:$A,"&gt;="&amp;$J1503,'Weekly Log'!$A:$A,"&lt;"&amp;$J1503+7))</f>
        <v/>
      </c>
      <c r="C1503">
        <f>IF($J1503="","",IFERROR(COUNTIFS('Weekly Log'!$G:$G,"Y",'Weekly Log'!$A:$A,"&gt;="&amp;$J1503,'Weekly Log'!$A:$A,"&lt;"&amp;$J1503+7)/COUNTIFS('Weekly Log'!$G:$G,"&lt;&gt;",'Weekly Log'!$A:$A,"&gt;="&amp;$J1503,'Weekly Log'!$A:$A,"&lt;"&amp;$J1503+7),0))</f>
        <v/>
      </c>
      <c r="D1503">
        <f>IF($J1503="","",IFERROR(COUNTIFS('Weekly Log'!$H:$H,"Y",'Weekly Log'!$A:$A,"&gt;="&amp;$J1503,'Weekly Log'!$A:$A,"&lt;"&amp;$J1503+7)/COUNTIFS('Weekly Log'!$H:$H,"&lt;&gt;",'Weekly Log'!$A:$A,"&gt;="&amp;$J1503,'Weekly Log'!$A:$A,"&lt;"&amp;$J1503+7),0))</f>
        <v/>
      </c>
      <c r="E1503">
        <f>IF($J1503="","",IFERROR(AVERAGEIFS('Weekly Log'!$F:$F,'Weekly Log'!$A:$A,"&gt;="&amp;$J1503,'Weekly Log'!$A:$A,"&lt;"&amp;$J1503+7),0))</f>
        <v/>
      </c>
      <c r="F1503">
        <f>IF($J1503="","",IFERROR(SUMIFS('Weekly Log'!$F:$F,'Weekly Log'!$A:$A,"&gt;="&amp;$J1503,'Weekly Log'!$A:$A,"&lt;"&amp;$J1503+7)/SUMIFS('Weekly Log'!$E:$E,'Weekly Log'!$A:$A,"&gt;="&amp;$J1503,'Weekly Log'!$A:$A,"&lt;"&amp;$J1503+7),0))</f>
        <v/>
      </c>
      <c r="G1503">
        <f>IF($J1503="","",IFERROR(LOOKUP(2,1/(('Weekly Log'!$A$5:$A$5000&gt;=$J1503)*('Weekly Log'!$A$5:$A$5000&lt;$J1503+7)*('Weekly Log'!$M$5:$M$5000&lt;&gt;"")),'Weekly Log'!$M$5:$M$5000),0))</f>
        <v/>
      </c>
      <c r="J1503">
        <f>IF(COUNT('Weekly Log'!$A$5:$A$5000)=0,"",IF(MIN('Weekly Log'!$A$5:$A$5000)+7*(ROW()-10)&gt;MAX('Weekly Log'!$A$5:$A$5000),"",MIN('Weekly Log'!$A$5:$A$5000)+7*(ROW()-10)))</f>
        <v/>
      </c>
    </row>
    <row r="1504">
      <c r="A1504">
        <f>IF($J1504="","",YEAR($J1504-WEEKDAY($J1504,2)+4)&amp;"-W"&amp;TEXT(WEEKNUM($J1504,21),"00"))</f>
        <v/>
      </c>
      <c r="B1504">
        <f>IF($J1504="","",SUMIFS('Weekly Log'!$C:$C,'Weekly Log'!$A:$A,"&gt;="&amp;$J1504,'Weekly Log'!$A:$A,"&lt;"&amp;$J1504+7))</f>
        <v/>
      </c>
      <c r="C1504">
        <f>IF($J1504="","",IFERROR(COUNTIFS('Weekly Log'!$G:$G,"Y",'Weekly Log'!$A:$A,"&gt;="&amp;$J1504,'Weekly Log'!$A:$A,"&lt;"&amp;$J1504+7)/COUNTIFS('Weekly Log'!$G:$G,"&lt;&gt;",'Weekly Log'!$A:$A,"&gt;="&amp;$J1504,'Weekly Log'!$A:$A,"&lt;"&amp;$J1504+7),0))</f>
        <v/>
      </c>
      <c r="D1504">
        <f>IF($J1504="","",IFERROR(COUNTIFS('Weekly Log'!$H:$H,"Y",'Weekly Log'!$A:$A,"&gt;="&amp;$J1504,'Weekly Log'!$A:$A,"&lt;"&amp;$J1504+7)/COUNTIFS('Weekly Log'!$H:$H,"&lt;&gt;",'Weekly Log'!$A:$A,"&gt;="&amp;$J1504,'Weekly Log'!$A:$A,"&lt;"&amp;$J1504+7),0))</f>
        <v/>
      </c>
      <c r="E1504">
        <f>IF($J1504="","",IFERROR(AVERAGEIFS('Weekly Log'!$F:$F,'Weekly Log'!$A:$A,"&gt;="&amp;$J1504,'Weekly Log'!$A:$A,"&lt;"&amp;$J1504+7),0))</f>
        <v/>
      </c>
      <c r="F1504">
        <f>IF($J1504="","",IFERROR(SUMIFS('Weekly Log'!$F:$F,'Weekly Log'!$A:$A,"&gt;="&amp;$J1504,'Weekly Log'!$A:$A,"&lt;"&amp;$J1504+7)/SUMIFS('Weekly Log'!$E:$E,'Weekly Log'!$A:$A,"&gt;="&amp;$J1504,'Weekly Log'!$A:$A,"&lt;"&amp;$J1504+7),0))</f>
        <v/>
      </c>
      <c r="G1504">
        <f>IF($J1504="","",IFERROR(LOOKUP(2,1/(('Weekly Log'!$A$5:$A$5000&gt;=$J1504)*('Weekly Log'!$A$5:$A$5000&lt;$J1504+7)*('Weekly Log'!$M$5:$M$5000&lt;&gt;"")),'Weekly Log'!$M$5:$M$5000),0))</f>
        <v/>
      </c>
      <c r="J1504">
        <f>IF(COUNT('Weekly Log'!$A$5:$A$5000)=0,"",IF(MIN('Weekly Log'!$A$5:$A$5000)+7*(ROW()-10)&gt;MAX('Weekly Log'!$A$5:$A$5000),"",MIN('Weekly Log'!$A$5:$A$5000)+7*(ROW()-10)))</f>
        <v/>
      </c>
    </row>
    <row r="1505">
      <c r="A1505">
        <f>IF($J1505="","",YEAR($J1505-WEEKDAY($J1505,2)+4)&amp;"-W"&amp;TEXT(WEEKNUM($J1505,21),"00"))</f>
        <v/>
      </c>
      <c r="B1505">
        <f>IF($J1505="","",SUMIFS('Weekly Log'!$C:$C,'Weekly Log'!$A:$A,"&gt;="&amp;$J1505,'Weekly Log'!$A:$A,"&lt;"&amp;$J1505+7))</f>
        <v/>
      </c>
      <c r="C1505">
        <f>IF($J1505="","",IFERROR(COUNTIFS('Weekly Log'!$G:$G,"Y",'Weekly Log'!$A:$A,"&gt;="&amp;$J1505,'Weekly Log'!$A:$A,"&lt;"&amp;$J1505+7)/COUNTIFS('Weekly Log'!$G:$G,"&lt;&gt;",'Weekly Log'!$A:$A,"&gt;="&amp;$J1505,'Weekly Log'!$A:$A,"&lt;"&amp;$J1505+7),0))</f>
        <v/>
      </c>
      <c r="D1505">
        <f>IF($J1505="","",IFERROR(COUNTIFS('Weekly Log'!$H:$H,"Y",'Weekly Log'!$A:$A,"&gt;="&amp;$J1505,'Weekly Log'!$A:$A,"&lt;"&amp;$J1505+7)/COUNTIFS('Weekly Log'!$H:$H,"&lt;&gt;",'Weekly Log'!$A:$A,"&gt;="&amp;$J1505,'Weekly Log'!$A:$A,"&lt;"&amp;$J1505+7),0))</f>
        <v/>
      </c>
      <c r="E1505">
        <f>IF($J1505="","",IFERROR(AVERAGEIFS('Weekly Log'!$F:$F,'Weekly Log'!$A:$A,"&gt;="&amp;$J1505,'Weekly Log'!$A:$A,"&lt;"&amp;$J1505+7),0))</f>
        <v/>
      </c>
      <c r="F1505">
        <f>IF($J1505="","",IFERROR(SUMIFS('Weekly Log'!$F:$F,'Weekly Log'!$A:$A,"&gt;="&amp;$J1505,'Weekly Log'!$A:$A,"&lt;"&amp;$J1505+7)/SUMIFS('Weekly Log'!$E:$E,'Weekly Log'!$A:$A,"&gt;="&amp;$J1505,'Weekly Log'!$A:$A,"&lt;"&amp;$J1505+7),0))</f>
        <v/>
      </c>
      <c r="G1505">
        <f>IF($J1505="","",IFERROR(LOOKUP(2,1/(('Weekly Log'!$A$5:$A$5000&gt;=$J1505)*('Weekly Log'!$A$5:$A$5000&lt;$J1505+7)*('Weekly Log'!$M$5:$M$5000&lt;&gt;"")),'Weekly Log'!$M$5:$M$5000),0))</f>
        <v/>
      </c>
      <c r="J1505">
        <f>IF(COUNT('Weekly Log'!$A$5:$A$5000)=0,"",IF(MIN('Weekly Log'!$A$5:$A$5000)+7*(ROW()-10)&gt;MAX('Weekly Log'!$A$5:$A$5000),"",MIN('Weekly Log'!$A$5:$A$5000)+7*(ROW()-10)))</f>
        <v/>
      </c>
    </row>
    <row r="1506">
      <c r="A1506">
        <f>IF($J1506="","",YEAR($J1506-WEEKDAY($J1506,2)+4)&amp;"-W"&amp;TEXT(WEEKNUM($J1506,21),"00"))</f>
        <v/>
      </c>
      <c r="B1506">
        <f>IF($J1506="","",SUMIFS('Weekly Log'!$C:$C,'Weekly Log'!$A:$A,"&gt;="&amp;$J1506,'Weekly Log'!$A:$A,"&lt;"&amp;$J1506+7))</f>
        <v/>
      </c>
      <c r="C1506">
        <f>IF($J1506="","",IFERROR(COUNTIFS('Weekly Log'!$G:$G,"Y",'Weekly Log'!$A:$A,"&gt;="&amp;$J1506,'Weekly Log'!$A:$A,"&lt;"&amp;$J1506+7)/COUNTIFS('Weekly Log'!$G:$G,"&lt;&gt;",'Weekly Log'!$A:$A,"&gt;="&amp;$J1506,'Weekly Log'!$A:$A,"&lt;"&amp;$J1506+7),0))</f>
        <v/>
      </c>
      <c r="D1506">
        <f>IF($J1506="","",IFERROR(COUNTIFS('Weekly Log'!$H:$H,"Y",'Weekly Log'!$A:$A,"&gt;="&amp;$J1506,'Weekly Log'!$A:$A,"&lt;"&amp;$J1506+7)/COUNTIFS('Weekly Log'!$H:$H,"&lt;&gt;",'Weekly Log'!$A:$A,"&gt;="&amp;$J1506,'Weekly Log'!$A:$A,"&lt;"&amp;$J1506+7),0))</f>
        <v/>
      </c>
      <c r="E1506">
        <f>IF($J1506="","",IFERROR(AVERAGEIFS('Weekly Log'!$F:$F,'Weekly Log'!$A:$A,"&gt;="&amp;$J1506,'Weekly Log'!$A:$A,"&lt;"&amp;$J1506+7),0))</f>
        <v/>
      </c>
      <c r="F1506">
        <f>IF($J1506="","",IFERROR(SUMIFS('Weekly Log'!$F:$F,'Weekly Log'!$A:$A,"&gt;="&amp;$J1506,'Weekly Log'!$A:$A,"&lt;"&amp;$J1506+7)/SUMIFS('Weekly Log'!$E:$E,'Weekly Log'!$A:$A,"&gt;="&amp;$J1506,'Weekly Log'!$A:$A,"&lt;"&amp;$J1506+7),0))</f>
        <v/>
      </c>
      <c r="G1506">
        <f>IF($J1506="","",IFERROR(LOOKUP(2,1/(('Weekly Log'!$A$5:$A$5000&gt;=$J1506)*('Weekly Log'!$A$5:$A$5000&lt;$J1506+7)*('Weekly Log'!$M$5:$M$5000&lt;&gt;"")),'Weekly Log'!$M$5:$M$5000),0))</f>
        <v/>
      </c>
      <c r="J1506">
        <f>IF(COUNT('Weekly Log'!$A$5:$A$5000)=0,"",IF(MIN('Weekly Log'!$A$5:$A$5000)+7*(ROW()-10)&gt;MAX('Weekly Log'!$A$5:$A$5000),"",MIN('Weekly Log'!$A$5:$A$5000)+7*(ROW()-10)))</f>
        <v/>
      </c>
    </row>
    <row r="1507">
      <c r="A1507">
        <f>IF($J1507="","",YEAR($J1507-WEEKDAY($J1507,2)+4)&amp;"-W"&amp;TEXT(WEEKNUM($J1507,21),"00"))</f>
        <v/>
      </c>
      <c r="B1507">
        <f>IF($J1507="","",SUMIFS('Weekly Log'!$C:$C,'Weekly Log'!$A:$A,"&gt;="&amp;$J1507,'Weekly Log'!$A:$A,"&lt;"&amp;$J1507+7))</f>
        <v/>
      </c>
      <c r="C1507">
        <f>IF($J1507="","",IFERROR(COUNTIFS('Weekly Log'!$G:$G,"Y",'Weekly Log'!$A:$A,"&gt;="&amp;$J1507,'Weekly Log'!$A:$A,"&lt;"&amp;$J1507+7)/COUNTIFS('Weekly Log'!$G:$G,"&lt;&gt;",'Weekly Log'!$A:$A,"&gt;="&amp;$J1507,'Weekly Log'!$A:$A,"&lt;"&amp;$J1507+7),0))</f>
        <v/>
      </c>
      <c r="D1507">
        <f>IF($J1507="","",IFERROR(COUNTIFS('Weekly Log'!$H:$H,"Y",'Weekly Log'!$A:$A,"&gt;="&amp;$J1507,'Weekly Log'!$A:$A,"&lt;"&amp;$J1507+7)/COUNTIFS('Weekly Log'!$H:$H,"&lt;&gt;",'Weekly Log'!$A:$A,"&gt;="&amp;$J1507,'Weekly Log'!$A:$A,"&lt;"&amp;$J1507+7),0))</f>
        <v/>
      </c>
      <c r="E1507">
        <f>IF($J1507="","",IFERROR(AVERAGEIFS('Weekly Log'!$F:$F,'Weekly Log'!$A:$A,"&gt;="&amp;$J1507,'Weekly Log'!$A:$A,"&lt;"&amp;$J1507+7),0))</f>
        <v/>
      </c>
      <c r="F1507">
        <f>IF($J1507="","",IFERROR(SUMIFS('Weekly Log'!$F:$F,'Weekly Log'!$A:$A,"&gt;="&amp;$J1507,'Weekly Log'!$A:$A,"&lt;"&amp;$J1507+7)/SUMIFS('Weekly Log'!$E:$E,'Weekly Log'!$A:$A,"&gt;="&amp;$J1507,'Weekly Log'!$A:$A,"&lt;"&amp;$J1507+7),0))</f>
        <v/>
      </c>
      <c r="G1507">
        <f>IF($J1507="","",IFERROR(LOOKUP(2,1/(('Weekly Log'!$A$5:$A$5000&gt;=$J1507)*('Weekly Log'!$A$5:$A$5000&lt;$J1507+7)*('Weekly Log'!$M$5:$M$5000&lt;&gt;"")),'Weekly Log'!$M$5:$M$5000),0))</f>
        <v/>
      </c>
      <c r="J1507">
        <f>IF(COUNT('Weekly Log'!$A$5:$A$5000)=0,"",IF(MIN('Weekly Log'!$A$5:$A$5000)+7*(ROW()-10)&gt;MAX('Weekly Log'!$A$5:$A$5000),"",MIN('Weekly Log'!$A$5:$A$5000)+7*(ROW()-10)))</f>
        <v/>
      </c>
    </row>
    <row r="1508">
      <c r="A1508">
        <f>IF($J1508="","",YEAR($J1508-WEEKDAY($J1508,2)+4)&amp;"-W"&amp;TEXT(WEEKNUM($J1508,21),"00"))</f>
        <v/>
      </c>
      <c r="B1508">
        <f>IF($J1508="","",SUMIFS('Weekly Log'!$C:$C,'Weekly Log'!$A:$A,"&gt;="&amp;$J1508,'Weekly Log'!$A:$A,"&lt;"&amp;$J1508+7))</f>
        <v/>
      </c>
      <c r="C1508">
        <f>IF($J1508="","",IFERROR(COUNTIFS('Weekly Log'!$G:$G,"Y",'Weekly Log'!$A:$A,"&gt;="&amp;$J1508,'Weekly Log'!$A:$A,"&lt;"&amp;$J1508+7)/COUNTIFS('Weekly Log'!$G:$G,"&lt;&gt;",'Weekly Log'!$A:$A,"&gt;="&amp;$J1508,'Weekly Log'!$A:$A,"&lt;"&amp;$J1508+7),0))</f>
        <v/>
      </c>
      <c r="D1508">
        <f>IF($J1508="","",IFERROR(COUNTIFS('Weekly Log'!$H:$H,"Y",'Weekly Log'!$A:$A,"&gt;="&amp;$J1508,'Weekly Log'!$A:$A,"&lt;"&amp;$J1508+7)/COUNTIFS('Weekly Log'!$H:$H,"&lt;&gt;",'Weekly Log'!$A:$A,"&gt;="&amp;$J1508,'Weekly Log'!$A:$A,"&lt;"&amp;$J1508+7),0))</f>
        <v/>
      </c>
      <c r="E1508">
        <f>IF($J1508="","",IFERROR(AVERAGEIFS('Weekly Log'!$F:$F,'Weekly Log'!$A:$A,"&gt;="&amp;$J1508,'Weekly Log'!$A:$A,"&lt;"&amp;$J1508+7),0))</f>
        <v/>
      </c>
      <c r="F1508">
        <f>IF($J1508="","",IFERROR(SUMIFS('Weekly Log'!$F:$F,'Weekly Log'!$A:$A,"&gt;="&amp;$J1508,'Weekly Log'!$A:$A,"&lt;"&amp;$J1508+7)/SUMIFS('Weekly Log'!$E:$E,'Weekly Log'!$A:$A,"&gt;="&amp;$J1508,'Weekly Log'!$A:$A,"&lt;"&amp;$J1508+7),0))</f>
        <v/>
      </c>
      <c r="G1508">
        <f>IF($J1508="","",IFERROR(LOOKUP(2,1/(('Weekly Log'!$A$5:$A$5000&gt;=$J1508)*('Weekly Log'!$A$5:$A$5000&lt;$J1508+7)*('Weekly Log'!$M$5:$M$5000&lt;&gt;"")),'Weekly Log'!$M$5:$M$5000),0))</f>
        <v/>
      </c>
      <c r="J1508">
        <f>IF(COUNT('Weekly Log'!$A$5:$A$5000)=0,"",IF(MIN('Weekly Log'!$A$5:$A$5000)+7*(ROW()-10)&gt;MAX('Weekly Log'!$A$5:$A$5000),"",MIN('Weekly Log'!$A$5:$A$5000)+7*(ROW()-10)))</f>
        <v/>
      </c>
    </row>
    <row r="1509">
      <c r="A1509">
        <f>IF($J1509="","",YEAR($J1509-WEEKDAY($J1509,2)+4)&amp;"-W"&amp;TEXT(WEEKNUM($J1509,21),"00"))</f>
        <v/>
      </c>
      <c r="B1509">
        <f>IF($J1509="","",SUMIFS('Weekly Log'!$C:$C,'Weekly Log'!$A:$A,"&gt;="&amp;$J1509,'Weekly Log'!$A:$A,"&lt;"&amp;$J1509+7))</f>
        <v/>
      </c>
      <c r="C1509">
        <f>IF($J1509="","",IFERROR(COUNTIFS('Weekly Log'!$G:$G,"Y",'Weekly Log'!$A:$A,"&gt;="&amp;$J1509,'Weekly Log'!$A:$A,"&lt;"&amp;$J1509+7)/COUNTIFS('Weekly Log'!$G:$G,"&lt;&gt;",'Weekly Log'!$A:$A,"&gt;="&amp;$J1509,'Weekly Log'!$A:$A,"&lt;"&amp;$J1509+7),0))</f>
        <v/>
      </c>
      <c r="D1509">
        <f>IF($J1509="","",IFERROR(COUNTIFS('Weekly Log'!$H:$H,"Y",'Weekly Log'!$A:$A,"&gt;="&amp;$J1509,'Weekly Log'!$A:$A,"&lt;"&amp;$J1509+7)/COUNTIFS('Weekly Log'!$H:$H,"&lt;&gt;",'Weekly Log'!$A:$A,"&gt;="&amp;$J1509,'Weekly Log'!$A:$A,"&lt;"&amp;$J1509+7),0))</f>
        <v/>
      </c>
      <c r="E1509">
        <f>IF($J1509="","",IFERROR(AVERAGEIFS('Weekly Log'!$F:$F,'Weekly Log'!$A:$A,"&gt;="&amp;$J1509,'Weekly Log'!$A:$A,"&lt;"&amp;$J1509+7),0))</f>
        <v/>
      </c>
      <c r="F1509">
        <f>IF($J1509="","",IFERROR(SUMIFS('Weekly Log'!$F:$F,'Weekly Log'!$A:$A,"&gt;="&amp;$J1509,'Weekly Log'!$A:$A,"&lt;"&amp;$J1509+7)/SUMIFS('Weekly Log'!$E:$E,'Weekly Log'!$A:$A,"&gt;="&amp;$J1509,'Weekly Log'!$A:$A,"&lt;"&amp;$J1509+7),0))</f>
        <v/>
      </c>
      <c r="G1509">
        <f>IF($J1509="","",IFERROR(LOOKUP(2,1/(('Weekly Log'!$A$5:$A$5000&gt;=$J1509)*('Weekly Log'!$A$5:$A$5000&lt;$J1509+7)*('Weekly Log'!$M$5:$M$5000&lt;&gt;"")),'Weekly Log'!$M$5:$M$5000),0))</f>
        <v/>
      </c>
      <c r="J1509">
        <f>IF(COUNT('Weekly Log'!$A$5:$A$5000)=0,"",IF(MIN('Weekly Log'!$A$5:$A$5000)+7*(ROW()-10)&gt;MAX('Weekly Log'!$A$5:$A$5000),"",MIN('Weekly Log'!$A$5:$A$5000)+7*(ROW()-10)))</f>
        <v/>
      </c>
    </row>
    <row r="1510">
      <c r="A1510">
        <f>IF($J1510="","",YEAR($J1510-WEEKDAY($J1510,2)+4)&amp;"-W"&amp;TEXT(WEEKNUM($J1510,21),"00"))</f>
        <v/>
      </c>
      <c r="B1510">
        <f>IF($J1510="","",SUMIFS('Weekly Log'!$C:$C,'Weekly Log'!$A:$A,"&gt;="&amp;$J1510,'Weekly Log'!$A:$A,"&lt;"&amp;$J1510+7))</f>
        <v/>
      </c>
      <c r="C1510">
        <f>IF($J1510="","",IFERROR(COUNTIFS('Weekly Log'!$G:$G,"Y",'Weekly Log'!$A:$A,"&gt;="&amp;$J1510,'Weekly Log'!$A:$A,"&lt;"&amp;$J1510+7)/COUNTIFS('Weekly Log'!$G:$G,"&lt;&gt;",'Weekly Log'!$A:$A,"&gt;="&amp;$J1510,'Weekly Log'!$A:$A,"&lt;"&amp;$J1510+7),0))</f>
        <v/>
      </c>
      <c r="D1510">
        <f>IF($J1510="","",IFERROR(COUNTIFS('Weekly Log'!$H:$H,"Y",'Weekly Log'!$A:$A,"&gt;="&amp;$J1510,'Weekly Log'!$A:$A,"&lt;"&amp;$J1510+7)/COUNTIFS('Weekly Log'!$H:$H,"&lt;&gt;",'Weekly Log'!$A:$A,"&gt;="&amp;$J1510,'Weekly Log'!$A:$A,"&lt;"&amp;$J1510+7),0))</f>
        <v/>
      </c>
      <c r="E1510">
        <f>IF($J1510="","",IFERROR(AVERAGEIFS('Weekly Log'!$F:$F,'Weekly Log'!$A:$A,"&gt;="&amp;$J1510,'Weekly Log'!$A:$A,"&lt;"&amp;$J1510+7),0))</f>
        <v/>
      </c>
      <c r="F1510">
        <f>IF($J1510="","",IFERROR(SUMIFS('Weekly Log'!$F:$F,'Weekly Log'!$A:$A,"&gt;="&amp;$J1510,'Weekly Log'!$A:$A,"&lt;"&amp;$J1510+7)/SUMIFS('Weekly Log'!$E:$E,'Weekly Log'!$A:$A,"&gt;="&amp;$J1510,'Weekly Log'!$A:$A,"&lt;"&amp;$J1510+7),0))</f>
        <v/>
      </c>
      <c r="G1510">
        <f>IF($J1510="","",IFERROR(LOOKUP(2,1/(('Weekly Log'!$A$5:$A$5000&gt;=$J1510)*('Weekly Log'!$A$5:$A$5000&lt;$J1510+7)*('Weekly Log'!$M$5:$M$5000&lt;&gt;"")),'Weekly Log'!$M$5:$M$5000),0))</f>
        <v/>
      </c>
      <c r="J1510">
        <f>IF(COUNT('Weekly Log'!$A$5:$A$5000)=0,"",IF(MIN('Weekly Log'!$A$5:$A$5000)+7*(ROW()-10)&gt;MAX('Weekly Log'!$A$5:$A$5000),"",MIN('Weekly Log'!$A$5:$A$5000)+7*(ROW()-10)))</f>
        <v/>
      </c>
    </row>
    <row r="1511">
      <c r="A1511">
        <f>IF($J1511="","",YEAR($J1511-WEEKDAY($J1511,2)+4)&amp;"-W"&amp;TEXT(WEEKNUM($J1511,21),"00"))</f>
        <v/>
      </c>
      <c r="B1511">
        <f>IF($J1511="","",SUMIFS('Weekly Log'!$C:$C,'Weekly Log'!$A:$A,"&gt;="&amp;$J1511,'Weekly Log'!$A:$A,"&lt;"&amp;$J1511+7))</f>
        <v/>
      </c>
      <c r="C1511">
        <f>IF($J1511="","",IFERROR(COUNTIFS('Weekly Log'!$G:$G,"Y",'Weekly Log'!$A:$A,"&gt;="&amp;$J1511,'Weekly Log'!$A:$A,"&lt;"&amp;$J1511+7)/COUNTIFS('Weekly Log'!$G:$G,"&lt;&gt;",'Weekly Log'!$A:$A,"&gt;="&amp;$J1511,'Weekly Log'!$A:$A,"&lt;"&amp;$J1511+7),0))</f>
        <v/>
      </c>
      <c r="D1511">
        <f>IF($J1511="","",IFERROR(COUNTIFS('Weekly Log'!$H:$H,"Y",'Weekly Log'!$A:$A,"&gt;="&amp;$J1511,'Weekly Log'!$A:$A,"&lt;"&amp;$J1511+7)/COUNTIFS('Weekly Log'!$H:$H,"&lt;&gt;",'Weekly Log'!$A:$A,"&gt;="&amp;$J1511,'Weekly Log'!$A:$A,"&lt;"&amp;$J1511+7),0))</f>
        <v/>
      </c>
      <c r="E1511">
        <f>IF($J1511="","",IFERROR(AVERAGEIFS('Weekly Log'!$F:$F,'Weekly Log'!$A:$A,"&gt;="&amp;$J1511,'Weekly Log'!$A:$A,"&lt;"&amp;$J1511+7),0))</f>
        <v/>
      </c>
      <c r="F1511">
        <f>IF($J1511="","",IFERROR(SUMIFS('Weekly Log'!$F:$F,'Weekly Log'!$A:$A,"&gt;="&amp;$J1511,'Weekly Log'!$A:$A,"&lt;"&amp;$J1511+7)/SUMIFS('Weekly Log'!$E:$E,'Weekly Log'!$A:$A,"&gt;="&amp;$J1511,'Weekly Log'!$A:$A,"&lt;"&amp;$J1511+7),0))</f>
        <v/>
      </c>
      <c r="G1511">
        <f>IF($J1511="","",IFERROR(LOOKUP(2,1/(('Weekly Log'!$A$5:$A$5000&gt;=$J1511)*('Weekly Log'!$A$5:$A$5000&lt;$J1511+7)*('Weekly Log'!$M$5:$M$5000&lt;&gt;"")),'Weekly Log'!$M$5:$M$5000),0))</f>
        <v/>
      </c>
      <c r="J1511">
        <f>IF(COUNT('Weekly Log'!$A$5:$A$5000)=0,"",IF(MIN('Weekly Log'!$A$5:$A$5000)+7*(ROW()-10)&gt;MAX('Weekly Log'!$A$5:$A$5000),"",MIN('Weekly Log'!$A$5:$A$5000)+7*(ROW()-10)))</f>
        <v/>
      </c>
    </row>
    <row r="1512">
      <c r="A1512">
        <f>IF($J1512="","",YEAR($J1512-WEEKDAY($J1512,2)+4)&amp;"-W"&amp;TEXT(WEEKNUM($J1512,21),"00"))</f>
        <v/>
      </c>
      <c r="B1512">
        <f>IF($J1512="","",SUMIFS('Weekly Log'!$C:$C,'Weekly Log'!$A:$A,"&gt;="&amp;$J1512,'Weekly Log'!$A:$A,"&lt;"&amp;$J1512+7))</f>
        <v/>
      </c>
      <c r="C1512">
        <f>IF($J1512="","",IFERROR(COUNTIFS('Weekly Log'!$G:$G,"Y",'Weekly Log'!$A:$A,"&gt;="&amp;$J1512,'Weekly Log'!$A:$A,"&lt;"&amp;$J1512+7)/COUNTIFS('Weekly Log'!$G:$G,"&lt;&gt;",'Weekly Log'!$A:$A,"&gt;="&amp;$J1512,'Weekly Log'!$A:$A,"&lt;"&amp;$J1512+7),0))</f>
        <v/>
      </c>
      <c r="D1512">
        <f>IF($J1512="","",IFERROR(COUNTIFS('Weekly Log'!$H:$H,"Y",'Weekly Log'!$A:$A,"&gt;="&amp;$J1512,'Weekly Log'!$A:$A,"&lt;"&amp;$J1512+7)/COUNTIFS('Weekly Log'!$H:$H,"&lt;&gt;",'Weekly Log'!$A:$A,"&gt;="&amp;$J1512,'Weekly Log'!$A:$A,"&lt;"&amp;$J1512+7),0))</f>
        <v/>
      </c>
      <c r="E1512">
        <f>IF($J1512="","",IFERROR(AVERAGEIFS('Weekly Log'!$F:$F,'Weekly Log'!$A:$A,"&gt;="&amp;$J1512,'Weekly Log'!$A:$A,"&lt;"&amp;$J1512+7),0))</f>
        <v/>
      </c>
      <c r="F1512">
        <f>IF($J1512="","",IFERROR(SUMIFS('Weekly Log'!$F:$F,'Weekly Log'!$A:$A,"&gt;="&amp;$J1512,'Weekly Log'!$A:$A,"&lt;"&amp;$J1512+7)/SUMIFS('Weekly Log'!$E:$E,'Weekly Log'!$A:$A,"&gt;="&amp;$J1512,'Weekly Log'!$A:$A,"&lt;"&amp;$J1512+7),0))</f>
        <v/>
      </c>
      <c r="G1512">
        <f>IF($J1512="","",IFERROR(LOOKUP(2,1/(('Weekly Log'!$A$5:$A$5000&gt;=$J1512)*('Weekly Log'!$A$5:$A$5000&lt;$J1512+7)*('Weekly Log'!$M$5:$M$5000&lt;&gt;"")),'Weekly Log'!$M$5:$M$5000),0))</f>
        <v/>
      </c>
      <c r="J1512">
        <f>IF(COUNT('Weekly Log'!$A$5:$A$5000)=0,"",IF(MIN('Weekly Log'!$A$5:$A$5000)+7*(ROW()-10)&gt;MAX('Weekly Log'!$A$5:$A$5000),"",MIN('Weekly Log'!$A$5:$A$5000)+7*(ROW()-10)))</f>
        <v/>
      </c>
    </row>
    <row r="1513">
      <c r="A1513">
        <f>IF($J1513="","",YEAR($J1513-WEEKDAY($J1513,2)+4)&amp;"-W"&amp;TEXT(WEEKNUM($J1513,21),"00"))</f>
        <v/>
      </c>
      <c r="B1513">
        <f>IF($J1513="","",SUMIFS('Weekly Log'!$C:$C,'Weekly Log'!$A:$A,"&gt;="&amp;$J1513,'Weekly Log'!$A:$A,"&lt;"&amp;$J1513+7))</f>
        <v/>
      </c>
      <c r="C1513">
        <f>IF($J1513="","",IFERROR(COUNTIFS('Weekly Log'!$G:$G,"Y",'Weekly Log'!$A:$A,"&gt;="&amp;$J1513,'Weekly Log'!$A:$A,"&lt;"&amp;$J1513+7)/COUNTIFS('Weekly Log'!$G:$G,"&lt;&gt;",'Weekly Log'!$A:$A,"&gt;="&amp;$J1513,'Weekly Log'!$A:$A,"&lt;"&amp;$J1513+7),0))</f>
        <v/>
      </c>
      <c r="D1513">
        <f>IF($J1513="","",IFERROR(COUNTIFS('Weekly Log'!$H:$H,"Y",'Weekly Log'!$A:$A,"&gt;="&amp;$J1513,'Weekly Log'!$A:$A,"&lt;"&amp;$J1513+7)/COUNTIFS('Weekly Log'!$H:$H,"&lt;&gt;",'Weekly Log'!$A:$A,"&gt;="&amp;$J1513,'Weekly Log'!$A:$A,"&lt;"&amp;$J1513+7),0))</f>
        <v/>
      </c>
      <c r="E1513">
        <f>IF($J1513="","",IFERROR(AVERAGEIFS('Weekly Log'!$F:$F,'Weekly Log'!$A:$A,"&gt;="&amp;$J1513,'Weekly Log'!$A:$A,"&lt;"&amp;$J1513+7),0))</f>
        <v/>
      </c>
      <c r="F1513">
        <f>IF($J1513="","",IFERROR(SUMIFS('Weekly Log'!$F:$F,'Weekly Log'!$A:$A,"&gt;="&amp;$J1513,'Weekly Log'!$A:$A,"&lt;"&amp;$J1513+7)/SUMIFS('Weekly Log'!$E:$E,'Weekly Log'!$A:$A,"&gt;="&amp;$J1513,'Weekly Log'!$A:$A,"&lt;"&amp;$J1513+7),0))</f>
        <v/>
      </c>
      <c r="G1513">
        <f>IF($J1513="","",IFERROR(LOOKUP(2,1/(('Weekly Log'!$A$5:$A$5000&gt;=$J1513)*('Weekly Log'!$A$5:$A$5000&lt;$J1513+7)*('Weekly Log'!$M$5:$M$5000&lt;&gt;"")),'Weekly Log'!$M$5:$M$5000),0))</f>
        <v/>
      </c>
      <c r="J1513">
        <f>IF(COUNT('Weekly Log'!$A$5:$A$5000)=0,"",IF(MIN('Weekly Log'!$A$5:$A$5000)+7*(ROW()-10)&gt;MAX('Weekly Log'!$A$5:$A$5000),"",MIN('Weekly Log'!$A$5:$A$5000)+7*(ROW()-10)))</f>
        <v/>
      </c>
    </row>
    <row r="1514">
      <c r="A1514">
        <f>IF($J1514="","",YEAR($J1514-WEEKDAY($J1514,2)+4)&amp;"-W"&amp;TEXT(WEEKNUM($J1514,21),"00"))</f>
        <v/>
      </c>
      <c r="B1514">
        <f>IF($J1514="","",SUMIFS('Weekly Log'!$C:$C,'Weekly Log'!$A:$A,"&gt;="&amp;$J1514,'Weekly Log'!$A:$A,"&lt;"&amp;$J1514+7))</f>
        <v/>
      </c>
      <c r="C1514">
        <f>IF($J1514="","",IFERROR(COUNTIFS('Weekly Log'!$G:$G,"Y",'Weekly Log'!$A:$A,"&gt;="&amp;$J1514,'Weekly Log'!$A:$A,"&lt;"&amp;$J1514+7)/COUNTIFS('Weekly Log'!$G:$G,"&lt;&gt;",'Weekly Log'!$A:$A,"&gt;="&amp;$J1514,'Weekly Log'!$A:$A,"&lt;"&amp;$J1514+7),0))</f>
        <v/>
      </c>
      <c r="D1514">
        <f>IF($J1514="","",IFERROR(COUNTIFS('Weekly Log'!$H:$H,"Y",'Weekly Log'!$A:$A,"&gt;="&amp;$J1514,'Weekly Log'!$A:$A,"&lt;"&amp;$J1514+7)/COUNTIFS('Weekly Log'!$H:$H,"&lt;&gt;",'Weekly Log'!$A:$A,"&gt;="&amp;$J1514,'Weekly Log'!$A:$A,"&lt;"&amp;$J1514+7),0))</f>
        <v/>
      </c>
      <c r="E1514">
        <f>IF($J1514="","",IFERROR(AVERAGEIFS('Weekly Log'!$F:$F,'Weekly Log'!$A:$A,"&gt;="&amp;$J1514,'Weekly Log'!$A:$A,"&lt;"&amp;$J1514+7),0))</f>
        <v/>
      </c>
      <c r="F1514">
        <f>IF($J1514="","",IFERROR(SUMIFS('Weekly Log'!$F:$F,'Weekly Log'!$A:$A,"&gt;="&amp;$J1514,'Weekly Log'!$A:$A,"&lt;"&amp;$J1514+7)/SUMIFS('Weekly Log'!$E:$E,'Weekly Log'!$A:$A,"&gt;="&amp;$J1514,'Weekly Log'!$A:$A,"&lt;"&amp;$J1514+7),0))</f>
        <v/>
      </c>
      <c r="G1514">
        <f>IF($J1514="","",IFERROR(LOOKUP(2,1/(('Weekly Log'!$A$5:$A$5000&gt;=$J1514)*('Weekly Log'!$A$5:$A$5000&lt;$J1514+7)*('Weekly Log'!$M$5:$M$5000&lt;&gt;"")),'Weekly Log'!$M$5:$M$5000),0))</f>
        <v/>
      </c>
      <c r="J1514">
        <f>IF(COUNT('Weekly Log'!$A$5:$A$5000)=0,"",IF(MIN('Weekly Log'!$A$5:$A$5000)+7*(ROW()-10)&gt;MAX('Weekly Log'!$A$5:$A$5000),"",MIN('Weekly Log'!$A$5:$A$5000)+7*(ROW()-10)))</f>
        <v/>
      </c>
    </row>
    <row r="1515">
      <c r="A1515">
        <f>IF($J1515="","",YEAR($J1515-WEEKDAY($J1515,2)+4)&amp;"-W"&amp;TEXT(WEEKNUM($J1515,21),"00"))</f>
        <v/>
      </c>
      <c r="B1515">
        <f>IF($J1515="","",SUMIFS('Weekly Log'!$C:$C,'Weekly Log'!$A:$A,"&gt;="&amp;$J1515,'Weekly Log'!$A:$A,"&lt;"&amp;$J1515+7))</f>
        <v/>
      </c>
      <c r="C1515">
        <f>IF($J1515="","",IFERROR(COUNTIFS('Weekly Log'!$G:$G,"Y",'Weekly Log'!$A:$A,"&gt;="&amp;$J1515,'Weekly Log'!$A:$A,"&lt;"&amp;$J1515+7)/COUNTIFS('Weekly Log'!$G:$G,"&lt;&gt;",'Weekly Log'!$A:$A,"&gt;="&amp;$J1515,'Weekly Log'!$A:$A,"&lt;"&amp;$J1515+7),0))</f>
        <v/>
      </c>
      <c r="D1515">
        <f>IF($J1515="","",IFERROR(COUNTIFS('Weekly Log'!$H:$H,"Y",'Weekly Log'!$A:$A,"&gt;="&amp;$J1515,'Weekly Log'!$A:$A,"&lt;"&amp;$J1515+7)/COUNTIFS('Weekly Log'!$H:$H,"&lt;&gt;",'Weekly Log'!$A:$A,"&gt;="&amp;$J1515,'Weekly Log'!$A:$A,"&lt;"&amp;$J1515+7),0))</f>
        <v/>
      </c>
      <c r="E1515">
        <f>IF($J1515="","",IFERROR(AVERAGEIFS('Weekly Log'!$F:$F,'Weekly Log'!$A:$A,"&gt;="&amp;$J1515,'Weekly Log'!$A:$A,"&lt;"&amp;$J1515+7),0))</f>
        <v/>
      </c>
      <c r="F1515">
        <f>IF($J1515="","",IFERROR(SUMIFS('Weekly Log'!$F:$F,'Weekly Log'!$A:$A,"&gt;="&amp;$J1515,'Weekly Log'!$A:$A,"&lt;"&amp;$J1515+7)/SUMIFS('Weekly Log'!$E:$E,'Weekly Log'!$A:$A,"&gt;="&amp;$J1515,'Weekly Log'!$A:$A,"&lt;"&amp;$J1515+7),0))</f>
        <v/>
      </c>
      <c r="G1515">
        <f>IF($J1515="","",IFERROR(LOOKUP(2,1/(('Weekly Log'!$A$5:$A$5000&gt;=$J1515)*('Weekly Log'!$A$5:$A$5000&lt;$J1515+7)*('Weekly Log'!$M$5:$M$5000&lt;&gt;"")),'Weekly Log'!$M$5:$M$5000),0))</f>
        <v/>
      </c>
      <c r="J1515">
        <f>IF(COUNT('Weekly Log'!$A$5:$A$5000)=0,"",IF(MIN('Weekly Log'!$A$5:$A$5000)+7*(ROW()-10)&gt;MAX('Weekly Log'!$A$5:$A$5000),"",MIN('Weekly Log'!$A$5:$A$5000)+7*(ROW()-10)))</f>
        <v/>
      </c>
    </row>
    <row r="1516">
      <c r="A1516">
        <f>IF($J1516="","",YEAR($J1516-WEEKDAY($J1516,2)+4)&amp;"-W"&amp;TEXT(WEEKNUM($J1516,21),"00"))</f>
        <v/>
      </c>
      <c r="B1516">
        <f>IF($J1516="","",SUMIFS('Weekly Log'!$C:$C,'Weekly Log'!$A:$A,"&gt;="&amp;$J1516,'Weekly Log'!$A:$A,"&lt;"&amp;$J1516+7))</f>
        <v/>
      </c>
      <c r="C1516">
        <f>IF($J1516="","",IFERROR(COUNTIFS('Weekly Log'!$G:$G,"Y",'Weekly Log'!$A:$A,"&gt;="&amp;$J1516,'Weekly Log'!$A:$A,"&lt;"&amp;$J1516+7)/COUNTIFS('Weekly Log'!$G:$G,"&lt;&gt;",'Weekly Log'!$A:$A,"&gt;="&amp;$J1516,'Weekly Log'!$A:$A,"&lt;"&amp;$J1516+7),0))</f>
        <v/>
      </c>
      <c r="D1516">
        <f>IF($J1516="","",IFERROR(COUNTIFS('Weekly Log'!$H:$H,"Y",'Weekly Log'!$A:$A,"&gt;="&amp;$J1516,'Weekly Log'!$A:$A,"&lt;"&amp;$J1516+7)/COUNTIFS('Weekly Log'!$H:$H,"&lt;&gt;",'Weekly Log'!$A:$A,"&gt;="&amp;$J1516,'Weekly Log'!$A:$A,"&lt;"&amp;$J1516+7),0))</f>
        <v/>
      </c>
      <c r="E1516">
        <f>IF($J1516="","",IFERROR(AVERAGEIFS('Weekly Log'!$F:$F,'Weekly Log'!$A:$A,"&gt;="&amp;$J1516,'Weekly Log'!$A:$A,"&lt;"&amp;$J1516+7),0))</f>
        <v/>
      </c>
      <c r="F1516">
        <f>IF($J1516="","",IFERROR(SUMIFS('Weekly Log'!$F:$F,'Weekly Log'!$A:$A,"&gt;="&amp;$J1516,'Weekly Log'!$A:$A,"&lt;"&amp;$J1516+7)/SUMIFS('Weekly Log'!$E:$E,'Weekly Log'!$A:$A,"&gt;="&amp;$J1516,'Weekly Log'!$A:$A,"&lt;"&amp;$J1516+7),0))</f>
        <v/>
      </c>
      <c r="G1516">
        <f>IF($J1516="","",IFERROR(LOOKUP(2,1/(('Weekly Log'!$A$5:$A$5000&gt;=$J1516)*('Weekly Log'!$A$5:$A$5000&lt;$J1516+7)*('Weekly Log'!$M$5:$M$5000&lt;&gt;"")),'Weekly Log'!$M$5:$M$5000),0))</f>
        <v/>
      </c>
      <c r="J1516">
        <f>IF(COUNT('Weekly Log'!$A$5:$A$5000)=0,"",IF(MIN('Weekly Log'!$A$5:$A$5000)+7*(ROW()-10)&gt;MAX('Weekly Log'!$A$5:$A$5000),"",MIN('Weekly Log'!$A$5:$A$5000)+7*(ROW()-10)))</f>
        <v/>
      </c>
    </row>
    <row r="1517">
      <c r="A1517">
        <f>IF($J1517="","",YEAR($J1517-WEEKDAY($J1517,2)+4)&amp;"-W"&amp;TEXT(WEEKNUM($J1517,21),"00"))</f>
        <v/>
      </c>
      <c r="B1517">
        <f>IF($J1517="","",SUMIFS('Weekly Log'!$C:$C,'Weekly Log'!$A:$A,"&gt;="&amp;$J1517,'Weekly Log'!$A:$A,"&lt;"&amp;$J1517+7))</f>
        <v/>
      </c>
      <c r="C1517">
        <f>IF($J1517="","",IFERROR(COUNTIFS('Weekly Log'!$G:$G,"Y",'Weekly Log'!$A:$A,"&gt;="&amp;$J1517,'Weekly Log'!$A:$A,"&lt;"&amp;$J1517+7)/COUNTIFS('Weekly Log'!$G:$G,"&lt;&gt;",'Weekly Log'!$A:$A,"&gt;="&amp;$J1517,'Weekly Log'!$A:$A,"&lt;"&amp;$J1517+7),0))</f>
        <v/>
      </c>
      <c r="D1517">
        <f>IF($J1517="","",IFERROR(COUNTIFS('Weekly Log'!$H:$H,"Y",'Weekly Log'!$A:$A,"&gt;="&amp;$J1517,'Weekly Log'!$A:$A,"&lt;"&amp;$J1517+7)/COUNTIFS('Weekly Log'!$H:$H,"&lt;&gt;",'Weekly Log'!$A:$A,"&gt;="&amp;$J1517,'Weekly Log'!$A:$A,"&lt;"&amp;$J1517+7),0))</f>
        <v/>
      </c>
      <c r="E1517">
        <f>IF($J1517="","",IFERROR(AVERAGEIFS('Weekly Log'!$F:$F,'Weekly Log'!$A:$A,"&gt;="&amp;$J1517,'Weekly Log'!$A:$A,"&lt;"&amp;$J1517+7),0))</f>
        <v/>
      </c>
      <c r="F1517">
        <f>IF($J1517="","",IFERROR(SUMIFS('Weekly Log'!$F:$F,'Weekly Log'!$A:$A,"&gt;="&amp;$J1517,'Weekly Log'!$A:$A,"&lt;"&amp;$J1517+7)/SUMIFS('Weekly Log'!$E:$E,'Weekly Log'!$A:$A,"&gt;="&amp;$J1517,'Weekly Log'!$A:$A,"&lt;"&amp;$J1517+7),0))</f>
        <v/>
      </c>
      <c r="G1517">
        <f>IF($J1517="","",IFERROR(LOOKUP(2,1/(('Weekly Log'!$A$5:$A$5000&gt;=$J1517)*('Weekly Log'!$A$5:$A$5000&lt;$J1517+7)*('Weekly Log'!$M$5:$M$5000&lt;&gt;"")),'Weekly Log'!$M$5:$M$5000),0))</f>
        <v/>
      </c>
      <c r="J1517">
        <f>IF(COUNT('Weekly Log'!$A$5:$A$5000)=0,"",IF(MIN('Weekly Log'!$A$5:$A$5000)+7*(ROW()-10)&gt;MAX('Weekly Log'!$A$5:$A$5000),"",MIN('Weekly Log'!$A$5:$A$5000)+7*(ROW()-10)))</f>
        <v/>
      </c>
    </row>
    <row r="1518">
      <c r="A1518">
        <f>IF($J1518="","",YEAR($J1518-WEEKDAY($J1518,2)+4)&amp;"-W"&amp;TEXT(WEEKNUM($J1518,21),"00"))</f>
        <v/>
      </c>
      <c r="B1518">
        <f>IF($J1518="","",SUMIFS('Weekly Log'!$C:$C,'Weekly Log'!$A:$A,"&gt;="&amp;$J1518,'Weekly Log'!$A:$A,"&lt;"&amp;$J1518+7))</f>
        <v/>
      </c>
      <c r="C1518">
        <f>IF($J1518="","",IFERROR(COUNTIFS('Weekly Log'!$G:$G,"Y",'Weekly Log'!$A:$A,"&gt;="&amp;$J1518,'Weekly Log'!$A:$A,"&lt;"&amp;$J1518+7)/COUNTIFS('Weekly Log'!$G:$G,"&lt;&gt;",'Weekly Log'!$A:$A,"&gt;="&amp;$J1518,'Weekly Log'!$A:$A,"&lt;"&amp;$J1518+7),0))</f>
        <v/>
      </c>
      <c r="D1518">
        <f>IF($J1518="","",IFERROR(COUNTIFS('Weekly Log'!$H:$H,"Y",'Weekly Log'!$A:$A,"&gt;="&amp;$J1518,'Weekly Log'!$A:$A,"&lt;"&amp;$J1518+7)/COUNTIFS('Weekly Log'!$H:$H,"&lt;&gt;",'Weekly Log'!$A:$A,"&gt;="&amp;$J1518,'Weekly Log'!$A:$A,"&lt;"&amp;$J1518+7),0))</f>
        <v/>
      </c>
      <c r="E1518">
        <f>IF($J1518="","",IFERROR(AVERAGEIFS('Weekly Log'!$F:$F,'Weekly Log'!$A:$A,"&gt;="&amp;$J1518,'Weekly Log'!$A:$A,"&lt;"&amp;$J1518+7),0))</f>
        <v/>
      </c>
      <c r="F1518">
        <f>IF($J1518="","",IFERROR(SUMIFS('Weekly Log'!$F:$F,'Weekly Log'!$A:$A,"&gt;="&amp;$J1518,'Weekly Log'!$A:$A,"&lt;"&amp;$J1518+7)/SUMIFS('Weekly Log'!$E:$E,'Weekly Log'!$A:$A,"&gt;="&amp;$J1518,'Weekly Log'!$A:$A,"&lt;"&amp;$J1518+7),0))</f>
        <v/>
      </c>
      <c r="G1518">
        <f>IF($J1518="","",IFERROR(LOOKUP(2,1/(('Weekly Log'!$A$5:$A$5000&gt;=$J1518)*('Weekly Log'!$A$5:$A$5000&lt;$J1518+7)*('Weekly Log'!$M$5:$M$5000&lt;&gt;"")),'Weekly Log'!$M$5:$M$5000),0))</f>
        <v/>
      </c>
      <c r="J1518">
        <f>IF(COUNT('Weekly Log'!$A$5:$A$5000)=0,"",IF(MIN('Weekly Log'!$A$5:$A$5000)+7*(ROW()-10)&gt;MAX('Weekly Log'!$A$5:$A$5000),"",MIN('Weekly Log'!$A$5:$A$5000)+7*(ROW()-10)))</f>
        <v/>
      </c>
    </row>
    <row r="1519">
      <c r="A1519">
        <f>IF($J1519="","",YEAR($J1519-WEEKDAY($J1519,2)+4)&amp;"-W"&amp;TEXT(WEEKNUM($J1519,21),"00"))</f>
        <v/>
      </c>
      <c r="B1519">
        <f>IF($J1519="","",SUMIFS('Weekly Log'!$C:$C,'Weekly Log'!$A:$A,"&gt;="&amp;$J1519,'Weekly Log'!$A:$A,"&lt;"&amp;$J1519+7))</f>
        <v/>
      </c>
      <c r="C1519">
        <f>IF($J1519="","",IFERROR(COUNTIFS('Weekly Log'!$G:$G,"Y",'Weekly Log'!$A:$A,"&gt;="&amp;$J1519,'Weekly Log'!$A:$A,"&lt;"&amp;$J1519+7)/COUNTIFS('Weekly Log'!$G:$G,"&lt;&gt;",'Weekly Log'!$A:$A,"&gt;="&amp;$J1519,'Weekly Log'!$A:$A,"&lt;"&amp;$J1519+7),0))</f>
        <v/>
      </c>
      <c r="D1519">
        <f>IF($J1519="","",IFERROR(COUNTIFS('Weekly Log'!$H:$H,"Y",'Weekly Log'!$A:$A,"&gt;="&amp;$J1519,'Weekly Log'!$A:$A,"&lt;"&amp;$J1519+7)/COUNTIFS('Weekly Log'!$H:$H,"&lt;&gt;",'Weekly Log'!$A:$A,"&gt;="&amp;$J1519,'Weekly Log'!$A:$A,"&lt;"&amp;$J1519+7),0))</f>
        <v/>
      </c>
      <c r="E1519">
        <f>IF($J1519="","",IFERROR(AVERAGEIFS('Weekly Log'!$F:$F,'Weekly Log'!$A:$A,"&gt;="&amp;$J1519,'Weekly Log'!$A:$A,"&lt;"&amp;$J1519+7),0))</f>
        <v/>
      </c>
      <c r="F1519">
        <f>IF($J1519="","",IFERROR(SUMIFS('Weekly Log'!$F:$F,'Weekly Log'!$A:$A,"&gt;="&amp;$J1519,'Weekly Log'!$A:$A,"&lt;"&amp;$J1519+7)/SUMIFS('Weekly Log'!$E:$E,'Weekly Log'!$A:$A,"&gt;="&amp;$J1519,'Weekly Log'!$A:$A,"&lt;"&amp;$J1519+7),0))</f>
        <v/>
      </c>
      <c r="G1519">
        <f>IF($J1519="","",IFERROR(LOOKUP(2,1/(('Weekly Log'!$A$5:$A$5000&gt;=$J1519)*('Weekly Log'!$A$5:$A$5000&lt;$J1519+7)*('Weekly Log'!$M$5:$M$5000&lt;&gt;"")),'Weekly Log'!$M$5:$M$5000),0))</f>
        <v/>
      </c>
      <c r="J1519">
        <f>IF(COUNT('Weekly Log'!$A$5:$A$5000)=0,"",IF(MIN('Weekly Log'!$A$5:$A$5000)+7*(ROW()-10)&gt;MAX('Weekly Log'!$A$5:$A$5000),"",MIN('Weekly Log'!$A$5:$A$5000)+7*(ROW()-10)))</f>
        <v/>
      </c>
    </row>
    <row r="1520">
      <c r="A1520">
        <f>IF($J1520="","",YEAR($J1520-WEEKDAY($J1520,2)+4)&amp;"-W"&amp;TEXT(WEEKNUM($J1520,21),"00"))</f>
        <v/>
      </c>
      <c r="B1520">
        <f>IF($J1520="","",SUMIFS('Weekly Log'!$C:$C,'Weekly Log'!$A:$A,"&gt;="&amp;$J1520,'Weekly Log'!$A:$A,"&lt;"&amp;$J1520+7))</f>
        <v/>
      </c>
      <c r="C1520">
        <f>IF($J1520="","",IFERROR(COUNTIFS('Weekly Log'!$G:$G,"Y",'Weekly Log'!$A:$A,"&gt;="&amp;$J1520,'Weekly Log'!$A:$A,"&lt;"&amp;$J1520+7)/COUNTIFS('Weekly Log'!$G:$G,"&lt;&gt;",'Weekly Log'!$A:$A,"&gt;="&amp;$J1520,'Weekly Log'!$A:$A,"&lt;"&amp;$J1520+7),0))</f>
        <v/>
      </c>
      <c r="D1520">
        <f>IF($J1520="","",IFERROR(COUNTIFS('Weekly Log'!$H:$H,"Y",'Weekly Log'!$A:$A,"&gt;="&amp;$J1520,'Weekly Log'!$A:$A,"&lt;"&amp;$J1520+7)/COUNTIFS('Weekly Log'!$H:$H,"&lt;&gt;",'Weekly Log'!$A:$A,"&gt;="&amp;$J1520,'Weekly Log'!$A:$A,"&lt;"&amp;$J1520+7),0))</f>
        <v/>
      </c>
      <c r="E1520">
        <f>IF($J1520="","",IFERROR(AVERAGEIFS('Weekly Log'!$F:$F,'Weekly Log'!$A:$A,"&gt;="&amp;$J1520,'Weekly Log'!$A:$A,"&lt;"&amp;$J1520+7),0))</f>
        <v/>
      </c>
      <c r="F1520">
        <f>IF($J1520="","",IFERROR(SUMIFS('Weekly Log'!$F:$F,'Weekly Log'!$A:$A,"&gt;="&amp;$J1520,'Weekly Log'!$A:$A,"&lt;"&amp;$J1520+7)/SUMIFS('Weekly Log'!$E:$E,'Weekly Log'!$A:$A,"&gt;="&amp;$J1520,'Weekly Log'!$A:$A,"&lt;"&amp;$J1520+7),0))</f>
        <v/>
      </c>
      <c r="G1520">
        <f>IF($J1520="","",IFERROR(LOOKUP(2,1/(('Weekly Log'!$A$5:$A$5000&gt;=$J1520)*('Weekly Log'!$A$5:$A$5000&lt;$J1520+7)*('Weekly Log'!$M$5:$M$5000&lt;&gt;"")),'Weekly Log'!$M$5:$M$5000),0))</f>
        <v/>
      </c>
      <c r="J1520">
        <f>IF(COUNT('Weekly Log'!$A$5:$A$5000)=0,"",IF(MIN('Weekly Log'!$A$5:$A$5000)+7*(ROW()-10)&gt;MAX('Weekly Log'!$A$5:$A$5000),"",MIN('Weekly Log'!$A$5:$A$5000)+7*(ROW()-10)))</f>
        <v/>
      </c>
    </row>
    <row r="1521">
      <c r="A1521">
        <f>IF($J1521="","",YEAR($J1521-WEEKDAY($J1521,2)+4)&amp;"-W"&amp;TEXT(WEEKNUM($J1521,21),"00"))</f>
        <v/>
      </c>
      <c r="B1521">
        <f>IF($J1521="","",SUMIFS('Weekly Log'!$C:$C,'Weekly Log'!$A:$A,"&gt;="&amp;$J1521,'Weekly Log'!$A:$A,"&lt;"&amp;$J1521+7))</f>
        <v/>
      </c>
      <c r="C1521">
        <f>IF($J1521="","",IFERROR(COUNTIFS('Weekly Log'!$G:$G,"Y",'Weekly Log'!$A:$A,"&gt;="&amp;$J1521,'Weekly Log'!$A:$A,"&lt;"&amp;$J1521+7)/COUNTIFS('Weekly Log'!$G:$G,"&lt;&gt;",'Weekly Log'!$A:$A,"&gt;="&amp;$J1521,'Weekly Log'!$A:$A,"&lt;"&amp;$J1521+7),0))</f>
        <v/>
      </c>
      <c r="D1521">
        <f>IF($J1521="","",IFERROR(COUNTIFS('Weekly Log'!$H:$H,"Y",'Weekly Log'!$A:$A,"&gt;="&amp;$J1521,'Weekly Log'!$A:$A,"&lt;"&amp;$J1521+7)/COUNTIFS('Weekly Log'!$H:$H,"&lt;&gt;",'Weekly Log'!$A:$A,"&gt;="&amp;$J1521,'Weekly Log'!$A:$A,"&lt;"&amp;$J1521+7),0))</f>
        <v/>
      </c>
      <c r="E1521">
        <f>IF($J1521="","",IFERROR(AVERAGEIFS('Weekly Log'!$F:$F,'Weekly Log'!$A:$A,"&gt;="&amp;$J1521,'Weekly Log'!$A:$A,"&lt;"&amp;$J1521+7),0))</f>
        <v/>
      </c>
      <c r="F1521">
        <f>IF($J1521="","",IFERROR(SUMIFS('Weekly Log'!$F:$F,'Weekly Log'!$A:$A,"&gt;="&amp;$J1521,'Weekly Log'!$A:$A,"&lt;"&amp;$J1521+7)/SUMIFS('Weekly Log'!$E:$E,'Weekly Log'!$A:$A,"&gt;="&amp;$J1521,'Weekly Log'!$A:$A,"&lt;"&amp;$J1521+7),0))</f>
        <v/>
      </c>
      <c r="G1521">
        <f>IF($J1521="","",IFERROR(LOOKUP(2,1/(('Weekly Log'!$A$5:$A$5000&gt;=$J1521)*('Weekly Log'!$A$5:$A$5000&lt;$J1521+7)*('Weekly Log'!$M$5:$M$5000&lt;&gt;"")),'Weekly Log'!$M$5:$M$5000),0))</f>
        <v/>
      </c>
      <c r="J1521">
        <f>IF(COUNT('Weekly Log'!$A$5:$A$5000)=0,"",IF(MIN('Weekly Log'!$A$5:$A$5000)+7*(ROW()-10)&gt;MAX('Weekly Log'!$A$5:$A$5000),"",MIN('Weekly Log'!$A$5:$A$5000)+7*(ROW()-10)))</f>
        <v/>
      </c>
    </row>
    <row r="1522">
      <c r="A1522">
        <f>IF($J1522="","",YEAR($J1522-WEEKDAY($J1522,2)+4)&amp;"-W"&amp;TEXT(WEEKNUM($J1522,21),"00"))</f>
        <v/>
      </c>
      <c r="B1522">
        <f>IF($J1522="","",SUMIFS('Weekly Log'!$C:$C,'Weekly Log'!$A:$A,"&gt;="&amp;$J1522,'Weekly Log'!$A:$A,"&lt;"&amp;$J1522+7))</f>
        <v/>
      </c>
      <c r="C1522">
        <f>IF($J1522="","",IFERROR(COUNTIFS('Weekly Log'!$G:$G,"Y",'Weekly Log'!$A:$A,"&gt;="&amp;$J1522,'Weekly Log'!$A:$A,"&lt;"&amp;$J1522+7)/COUNTIFS('Weekly Log'!$G:$G,"&lt;&gt;",'Weekly Log'!$A:$A,"&gt;="&amp;$J1522,'Weekly Log'!$A:$A,"&lt;"&amp;$J1522+7),0))</f>
        <v/>
      </c>
      <c r="D1522">
        <f>IF($J1522="","",IFERROR(COUNTIFS('Weekly Log'!$H:$H,"Y",'Weekly Log'!$A:$A,"&gt;="&amp;$J1522,'Weekly Log'!$A:$A,"&lt;"&amp;$J1522+7)/COUNTIFS('Weekly Log'!$H:$H,"&lt;&gt;",'Weekly Log'!$A:$A,"&gt;="&amp;$J1522,'Weekly Log'!$A:$A,"&lt;"&amp;$J1522+7),0))</f>
        <v/>
      </c>
      <c r="E1522">
        <f>IF($J1522="","",IFERROR(AVERAGEIFS('Weekly Log'!$F:$F,'Weekly Log'!$A:$A,"&gt;="&amp;$J1522,'Weekly Log'!$A:$A,"&lt;"&amp;$J1522+7),0))</f>
        <v/>
      </c>
      <c r="F1522">
        <f>IF($J1522="","",IFERROR(SUMIFS('Weekly Log'!$F:$F,'Weekly Log'!$A:$A,"&gt;="&amp;$J1522,'Weekly Log'!$A:$A,"&lt;"&amp;$J1522+7)/SUMIFS('Weekly Log'!$E:$E,'Weekly Log'!$A:$A,"&gt;="&amp;$J1522,'Weekly Log'!$A:$A,"&lt;"&amp;$J1522+7),0))</f>
        <v/>
      </c>
      <c r="G1522">
        <f>IF($J1522="","",IFERROR(LOOKUP(2,1/(('Weekly Log'!$A$5:$A$5000&gt;=$J1522)*('Weekly Log'!$A$5:$A$5000&lt;$J1522+7)*('Weekly Log'!$M$5:$M$5000&lt;&gt;"")),'Weekly Log'!$M$5:$M$5000),0))</f>
        <v/>
      </c>
      <c r="J1522">
        <f>IF(COUNT('Weekly Log'!$A$5:$A$5000)=0,"",IF(MIN('Weekly Log'!$A$5:$A$5000)+7*(ROW()-10)&gt;MAX('Weekly Log'!$A$5:$A$5000),"",MIN('Weekly Log'!$A$5:$A$5000)+7*(ROW()-10)))</f>
        <v/>
      </c>
    </row>
    <row r="1523">
      <c r="A1523">
        <f>IF($J1523="","",YEAR($J1523-WEEKDAY($J1523,2)+4)&amp;"-W"&amp;TEXT(WEEKNUM($J1523,21),"00"))</f>
        <v/>
      </c>
      <c r="B1523">
        <f>IF($J1523="","",SUMIFS('Weekly Log'!$C:$C,'Weekly Log'!$A:$A,"&gt;="&amp;$J1523,'Weekly Log'!$A:$A,"&lt;"&amp;$J1523+7))</f>
        <v/>
      </c>
      <c r="C1523">
        <f>IF($J1523="","",IFERROR(COUNTIFS('Weekly Log'!$G:$G,"Y",'Weekly Log'!$A:$A,"&gt;="&amp;$J1523,'Weekly Log'!$A:$A,"&lt;"&amp;$J1523+7)/COUNTIFS('Weekly Log'!$G:$G,"&lt;&gt;",'Weekly Log'!$A:$A,"&gt;="&amp;$J1523,'Weekly Log'!$A:$A,"&lt;"&amp;$J1523+7),0))</f>
        <v/>
      </c>
      <c r="D1523">
        <f>IF($J1523="","",IFERROR(COUNTIFS('Weekly Log'!$H:$H,"Y",'Weekly Log'!$A:$A,"&gt;="&amp;$J1523,'Weekly Log'!$A:$A,"&lt;"&amp;$J1523+7)/COUNTIFS('Weekly Log'!$H:$H,"&lt;&gt;",'Weekly Log'!$A:$A,"&gt;="&amp;$J1523,'Weekly Log'!$A:$A,"&lt;"&amp;$J1523+7),0))</f>
        <v/>
      </c>
      <c r="E1523">
        <f>IF($J1523="","",IFERROR(AVERAGEIFS('Weekly Log'!$F:$F,'Weekly Log'!$A:$A,"&gt;="&amp;$J1523,'Weekly Log'!$A:$A,"&lt;"&amp;$J1523+7),0))</f>
        <v/>
      </c>
      <c r="F1523">
        <f>IF($J1523="","",IFERROR(SUMIFS('Weekly Log'!$F:$F,'Weekly Log'!$A:$A,"&gt;="&amp;$J1523,'Weekly Log'!$A:$A,"&lt;"&amp;$J1523+7)/SUMIFS('Weekly Log'!$E:$E,'Weekly Log'!$A:$A,"&gt;="&amp;$J1523,'Weekly Log'!$A:$A,"&lt;"&amp;$J1523+7),0))</f>
        <v/>
      </c>
      <c r="G1523">
        <f>IF($J1523="","",IFERROR(LOOKUP(2,1/(('Weekly Log'!$A$5:$A$5000&gt;=$J1523)*('Weekly Log'!$A$5:$A$5000&lt;$J1523+7)*('Weekly Log'!$M$5:$M$5000&lt;&gt;"")),'Weekly Log'!$M$5:$M$5000),0))</f>
        <v/>
      </c>
      <c r="J1523">
        <f>IF(COUNT('Weekly Log'!$A$5:$A$5000)=0,"",IF(MIN('Weekly Log'!$A$5:$A$5000)+7*(ROW()-10)&gt;MAX('Weekly Log'!$A$5:$A$5000),"",MIN('Weekly Log'!$A$5:$A$5000)+7*(ROW()-10)))</f>
        <v/>
      </c>
    </row>
    <row r="1524">
      <c r="A1524">
        <f>IF($J1524="","",YEAR($J1524-WEEKDAY($J1524,2)+4)&amp;"-W"&amp;TEXT(WEEKNUM($J1524,21),"00"))</f>
        <v/>
      </c>
      <c r="B1524">
        <f>IF($J1524="","",SUMIFS('Weekly Log'!$C:$C,'Weekly Log'!$A:$A,"&gt;="&amp;$J1524,'Weekly Log'!$A:$A,"&lt;"&amp;$J1524+7))</f>
        <v/>
      </c>
      <c r="C1524">
        <f>IF($J1524="","",IFERROR(COUNTIFS('Weekly Log'!$G:$G,"Y",'Weekly Log'!$A:$A,"&gt;="&amp;$J1524,'Weekly Log'!$A:$A,"&lt;"&amp;$J1524+7)/COUNTIFS('Weekly Log'!$G:$G,"&lt;&gt;",'Weekly Log'!$A:$A,"&gt;="&amp;$J1524,'Weekly Log'!$A:$A,"&lt;"&amp;$J1524+7),0))</f>
        <v/>
      </c>
      <c r="D1524">
        <f>IF($J1524="","",IFERROR(COUNTIFS('Weekly Log'!$H:$H,"Y",'Weekly Log'!$A:$A,"&gt;="&amp;$J1524,'Weekly Log'!$A:$A,"&lt;"&amp;$J1524+7)/COUNTIFS('Weekly Log'!$H:$H,"&lt;&gt;",'Weekly Log'!$A:$A,"&gt;="&amp;$J1524,'Weekly Log'!$A:$A,"&lt;"&amp;$J1524+7),0))</f>
        <v/>
      </c>
      <c r="E1524">
        <f>IF($J1524="","",IFERROR(AVERAGEIFS('Weekly Log'!$F:$F,'Weekly Log'!$A:$A,"&gt;="&amp;$J1524,'Weekly Log'!$A:$A,"&lt;"&amp;$J1524+7),0))</f>
        <v/>
      </c>
      <c r="F1524">
        <f>IF($J1524="","",IFERROR(SUMIFS('Weekly Log'!$F:$F,'Weekly Log'!$A:$A,"&gt;="&amp;$J1524,'Weekly Log'!$A:$A,"&lt;"&amp;$J1524+7)/SUMIFS('Weekly Log'!$E:$E,'Weekly Log'!$A:$A,"&gt;="&amp;$J1524,'Weekly Log'!$A:$A,"&lt;"&amp;$J1524+7),0))</f>
        <v/>
      </c>
      <c r="G1524">
        <f>IF($J1524="","",IFERROR(LOOKUP(2,1/(('Weekly Log'!$A$5:$A$5000&gt;=$J1524)*('Weekly Log'!$A$5:$A$5000&lt;$J1524+7)*('Weekly Log'!$M$5:$M$5000&lt;&gt;"")),'Weekly Log'!$M$5:$M$5000),0))</f>
        <v/>
      </c>
      <c r="J1524">
        <f>IF(COUNT('Weekly Log'!$A$5:$A$5000)=0,"",IF(MIN('Weekly Log'!$A$5:$A$5000)+7*(ROW()-10)&gt;MAX('Weekly Log'!$A$5:$A$5000),"",MIN('Weekly Log'!$A$5:$A$5000)+7*(ROW()-10)))</f>
        <v/>
      </c>
    </row>
    <row r="1525">
      <c r="A1525">
        <f>IF($J1525="","",YEAR($J1525-WEEKDAY($J1525,2)+4)&amp;"-W"&amp;TEXT(WEEKNUM($J1525,21),"00"))</f>
        <v/>
      </c>
      <c r="B1525">
        <f>IF($J1525="","",SUMIFS('Weekly Log'!$C:$C,'Weekly Log'!$A:$A,"&gt;="&amp;$J1525,'Weekly Log'!$A:$A,"&lt;"&amp;$J1525+7))</f>
        <v/>
      </c>
      <c r="C1525">
        <f>IF($J1525="","",IFERROR(COUNTIFS('Weekly Log'!$G:$G,"Y",'Weekly Log'!$A:$A,"&gt;="&amp;$J1525,'Weekly Log'!$A:$A,"&lt;"&amp;$J1525+7)/COUNTIFS('Weekly Log'!$G:$G,"&lt;&gt;",'Weekly Log'!$A:$A,"&gt;="&amp;$J1525,'Weekly Log'!$A:$A,"&lt;"&amp;$J1525+7),0))</f>
        <v/>
      </c>
      <c r="D1525">
        <f>IF($J1525="","",IFERROR(COUNTIFS('Weekly Log'!$H:$H,"Y",'Weekly Log'!$A:$A,"&gt;="&amp;$J1525,'Weekly Log'!$A:$A,"&lt;"&amp;$J1525+7)/COUNTIFS('Weekly Log'!$H:$H,"&lt;&gt;",'Weekly Log'!$A:$A,"&gt;="&amp;$J1525,'Weekly Log'!$A:$A,"&lt;"&amp;$J1525+7),0))</f>
        <v/>
      </c>
      <c r="E1525">
        <f>IF($J1525="","",IFERROR(AVERAGEIFS('Weekly Log'!$F:$F,'Weekly Log'!$A:$A,"&gt;="&amp;$J1525,'Weekly Log'!$A:$A,"&lt;"&amp;$J1525+7),0))</f>
        <v/>
      </c>
      <c r="F1525">
        <f>IF($J1525="","",IFERROR(SUMIFS('Weekly Log'!$F:$F,'Weekly Log'!$A:$A,"&gt;="&amp;$J1525,'Weekly Log'!$A:$A,"&lt;"&amp;$J1525+7)/SUMIFS('Weekly Log'!$E:$E,'Weekly Log'!$A:$A,"&gt;="&amp;$J1525,'Weekly Log'!$A:$A,"&lt;"&amp;$J1525+7),0))</f>
        <v/>
      </c>
      <c r="G1525">
        <f>IF($J1525="","",IFERROR(LOOKUP(2,1/(('Weekly Log'!$A$5:$A$5000&gt;=$J1525)*('Weekly Log'!$A$5:$A$5000&lt;$J1525+7)*('Weekly Log'!$M$5:$M$5000&lt;&gt;"")),'Weekly Log'!$M$5:$M$5000),0))</f>
        <v/>
      </c>
      <c r="J1525">
        <f>IF(COUNT('Weekly Log'!$A$5:$A$5000)=0,"",IF(MIN('Weekly Log'!$A$5:$A$5000)+7*(ROW()-10)&gt;MAX('Weekly Log'!$A$5:$A$5000),"",MIN('Weekly Log'!$A$5:$A$5000)+7*(ROW()-10)))</f>
        <v/>
      </c>
    </row>
    <row r="1526">
      <c r="A1526">
        <f>IF($J1526="","",YEAR($J1526-WEEKDAY($J1526,2)+4)&amp;"-W"&amp;TEXT(WEEKNUM($J1526,21),"00"))</f>
        <v/>
      </c>
      <c r="B1526">
        <f>IF($J1526="","",SUMIFS('Weekly Log'!$C:$C,'Weekly Log'!$A:$A,"&gt;="&amp;$J1526,'Weekly Log'!$A:$A,"&lt;"&amp;$J1526+7))</f>
        <v/>
      </c>
      <c r="C1526">
        <f>IF($J1526="","",IFERROR(COUNTIFS('Weekly Log'!$G:$G,"Y",'Weekly Log'!$A:$A,"&gt;="&amp;$J1526,'Weekly Log'!$A:$A,"&lt;"&amp;$J1526+7)/COUNTIFS('Weekly Log'!$G:$G,"&lt;&gt;",'Weekly Log'!$A:$A,"&gt;="&amp;$J1526,'Weekly Log'!$A:$A,"&lt;"&amp;$J1526+7),0))</f>
        <v/>
      </c>
      <c r="D1526">
        <f>IF($J1526="","",IFERROR(COUNTIFS('Weekly Log'!$H:$H,"Y",'Weekly Log'!$A:$A,"&gt;="&amp;$J1526,'Weekly Log'!$A:$A,"&lt;"&amp;$J1526+7)/COUNTIFS('Weekly Log'!$H:$H,"&lt;&gt;",'Weekly Log'!$A:$A,"&gt;="&amp;$J1526,'Weekly Log'!$A:$A,"&lt;"&amp;$J1526+7),0))</f>
        <v/>
      </c>
      <c r="E1526">
        <f>IF($J1526="","",IFERROR(AVERAGEIFS('Weekly Log'!$F:$F,'Weekly Log'!$A:$A,"&gt;="&amp;$J1526,'Weekly Log'!$A:$A,"&lt;"&amp;$J1526+7),0))</f>
        <v/>
      </c>
      <c r="F1526">
        <f>IF($J1526="","",IFERROR(SUMIFS('Weekly Log'!$F:$F,'Weekly Log'!$A:$A,"&gt;="&amp;$J1526,'Weekly Log'!$A:$A,"&lt;"&amp;$J1526+7)/SUMIFS('Weekly Log'!$E:$E,'Weekly Log'!$A:$A,"&gt;="&amp;$J1526,'Weekly Log'!$A:$A,"&lt;"&amp;$J1526+7),0))</f>
        <v/>
      </c>
      <c r="G1526">
        <f>IF($J1526="","",IFERROR(LOOKUP(2,1/(('Weekly Log'!$A$5:$A$5000&gt;=$J1526)*('Weekly Log'!$A$5:$A$5000&lt;$J1526+7)*('Weekly Log'!$M$5:$M$5000&lt;&gt;"")),'Weekly Log'!$M$5:$M$5000),0))</f>
        <v/>
      </c>
      <c r="J1526">
        <f>IF(COUNT('Weekly Log'!$A$5:$A$5000)=0,"",IF(MIN('Weekly Log'!$A$5:$A$5000)+7*(ROW()-10)&gt;MAX('Weekly Log'!$A$5:$A$5000),"",MIN('Weekly Log'!$A$5:$A$5000)+7*(ROW()-10)))</f>
        <v/>
      </c>
    </row>
    <row r="1527">
      <c r="A1527">
        <f>IF($J1527="","",YEAR($J1527-WEEKDAY($J1527,2)+4)&amp;"-W"&amp;TEXT(WEEKNUM($J1527,21),"00"))</f>
        <v/>
      </c>
      <c r="B1527">
        <f>IF($J1527="","",SUMIFS('Weekly Log'!$C:$C,'Weekly Log'!$A:$A,"&gt;="&amp;$J1527,'Weekly Log'!$A:$A,"&lt;"&amp;$J1527+7))</f>
        <v/>
      </c>
      <c r="C1527">
        <f>IF($J1527="","",IFERROR(COUNTIFS('Weekly Log'!$G:$G,"Y",'Weekly Log'!$A:$A,"&gt;="&amp;$J1527,'Weekly Log'!$A:$A,"&lt;"&amp;$J1527+7)/COUNTIFS('Weekly Log'!$G:$G,"&lt;&gt;",'Weekly Log'!$A:$A,"&gt;="&amp;$J1527,'Weekly Log'!$A:$A,"&lt;"&amp;$J1527+7),0))</f>
        <v/>
      </c>
      <c r="D1527">
        <f>IF($J1527="","",IFERROR(COUNTIFS('Weekly Log'!$H:$H,"Y",'Weekly Log'!$A:$A,"&gt;="&amp;$J1527,'Weekly Log'!$A:$A,"&lt;"&amp;$J1527+7)/COUNTIFS('Weekly Log'!$H:$H,"&lt;&gt;",'Weekly Log'!$A:$A,"&gt;="&amp;$J1527,'Weekly Log'!$A:$A,"&lt;"&amp;$J1527+7),0))</f>
        <v/>
      </c>
      <c r="E1527">
        <f>IF($J1527="","",IFERROR(AVERAGEIFS('Weekly Log'!$F:$F,'Weekly Log'!$A:$A,"&gt;="&amp;$J1527,'Weekly Log'!$A:$A,"&lt;"&amp;$J1527+7),0))</f>
        <v/>
      </c>
      <c r="F1527">
        <f>IF($J1527="","",IFERROR(SUMIFS('Weekly Log'!$F:$F,'Weekly Log'!$A:$A,"&gt;="&amp;$J1527,'Weekly Log'!$A:$A,"&lt;"&amp;$J1527+7)/SUMIFS('Weekly Log'!$E:$E,'Weekly Log'!$A:$A,"&gt;="&amp;$J1527,'Weekly Log'!$A:$A,"&lt;"&amp;$J1527+7),0))</f>
        <v/>
      </c>
      <c r="G1527">
        <f>IF($J1527="","",IFERROR(LOOKUP(2,1/(('Weekly Log'!$A$5:$A$5000&gt;=$J1527)*('Weekly Log'!$A$5:$A$5000&lt;$J1527+7)*('Weekly Log'!$M$5:$M$5000&lt;&gt;"")),'Weekly Log'!$M$5:$M$5000),0))</f>
        <v/>
      </c>
      <c r="J1527">
        <f>IF(COUNT('Weekly Log'!$A$5:$A$5000)=0,"",IF(MIN('Weekly Log'!$A$5:$A$5000)+7*(ROW()-10)&gt;MAX('Weekly Log'!$A$5:$A$5000),"",MIN('Weekly Log'!$A$5:$A$5000)+7*(ROW()-10)))</f>
        <v/>
      </c>
    </row>
    <row r="1528">
      <c r="A1528">
        <f>IF($J1528="","",YEAR($J1528-WEEKDAY($J1528,2)+4)&amp;"-W"&amp;TEXT(WEEKNUM($J1528,21),"00"))</f>
        <v/>
      </c>
      <c r="B1528">
        <f>IF($J1528="","",SUMIFS('Weekly Log'!$C:$C,'Weekly Log'!$A:$A,"&gt;="&amp;$J1528,'Weekly Log'!$A:$A,"&lt;"&amp;$J1528+7))</f>
        <v/>
      </c>
      <c r="C1528">
        <f>IF($J1528="","",IFERROR(COUNTIFS('Weekly Log'!$G:$G,"Y",'Weekly Log'!$A:$A,"&gt;="&amp;$J1528,'Weekly Log'!$A:$A,"&lt;"&amp;$J1528+7)/COUNTIFS('Weekly Log'!$G:$G,"&lt;&gt;",'Weekly Log'!$A:$A,"&gt;="&amp;$J1528,'Weekly Log'!$A:$A,"&lt;"&amp;$J1528+7),0))</f>
        <v/>
      </c>
      <c r="D1528">
        <f>IF($J1528="","",IFERROR(COUNTIFS('Weekly Log'!$H:$H,"Y",'Weekly Log'!$A:$A,"&gt;="&amp;$J1528,'Weekly Log'!$A:$A,"&lt;"&amp;$J1528+7)/COUNTIFS('Weekly Log'!$H:$H,"&lt;&gt;",'Weekly Log'!$A:$A,"&gt;="&amp;$J1528,'Weekly Log'!$A:$A,"&lt;"&amp;$J1528+7),0))</f>
        <v/>
      </c>
      <c r="E1528">
        <f>IF($J1528="","",IFERROR(AVERAGEIFS('Weekly Log'!$F:$F,'Weekly Log'!$A:$A,"&gt;="&amp;$J1528,'Weekly Log'!$A:$A,"&lt;"&amp;$J1528+7),0))</f>
        <v/>
      </c>
      <c r="F1528">
        <f>IF($J1528="","",IFERROR(SUMIFS('Weekly Log'!$F:$F,'Weekly Log'!$A:$A,"&gt;="&amp;$J1528,'Weekly Log'!$A:$A,"&lt;"&amp;$J1528+7)/SUMIFS('Weekly Log'!$E:$E,'Weekly Log'!$A:$A,"&gt;="&amp;$J1528,'Weekly Log'!$A:$A,"&lt;"&amp;$J1528+7),0))</f>
        <v/>
      </c>
      <c r="G1528">
        <f>IF($J1528="","",IFERROR(LOOKUP(2,1/(('Weekly Log'!$A$5:$A$5000&gt;=$J1528)*('Weekly Log'!$A$5:$A$5000&lt;$J1528+7)*('Weekly Log'!$M$5:$M$5000&lt;&gt;"")),'Weekly Log'!$M$5:$M$5000),0))</f>
        <v/>
      </c>
      <c r="J1528">
        <f>IF(COUNT('Weekly Log'!$A$5:$A$5000)=0,"",IF(MIN('Weekly Log'!$A$5:$A$5000)+7*(ROW()-10)&gt;MAX('Weekly Log'!$A$5:$A$5000),"",MIN('Weekly Log'!$A$5:$A$5000)+7*(ROW()-10)))</f>
        <v/>
      </c>
    </row>
    <row r="1529">
      <c r="A1529">
        <f>IF($J1529="","",YEAR($J1529-WEEKDAY($J1529,2)+4)&amp;"-W"&amp;TEXT(WEEKNUM($J1529,21),"00"))</f>
        <v/>
      </c>
      <c r="B1529">
        <f>IF($J1529="","",SUMIFS('Weekly Log'!$C:$C,'Weekly Log'!$A:$A,"&gt;="&amp;$J1529,'Weekly Log'!$A:$A,"&lt;"&amp;$J1529+7))</f>
        <v/>
      </c>
      <c r="C1529">
        <f>IF($J1529="","",IFERROR(COUNTIFS('Weekly Log'!$G:$G,"Y",'Weekly Log'!$A:$A,"&gt;="&amp;$J1529,'Weekly Log'!$A:$A,"&lt;"&amp;$J1529+7)/COUNTIFS('Weekly Log'!$G:$G,"&lt;&gt;",'Weekly Log'!$A:$A,"&gt;="&amp;$J1529,'Weekly Log'!$A:$A,"&lt;"&amp;$J1529+7),0))</f>
        <v/>
      </c>
      <c r="D1529">
        <f>IF($J1529="","",IFERROR(COUNTIFS('Weekly Log'!$H:$H,"Y",'Weekly Log'!$A:$A,"&gt;="&amp;$J1529,'Weekly Log'!$A:$A,"&lt;"&amp;$J1529+7)/COUNTIFS('Weekly Log'!$H:$H,"&lt;&gt;",'Weekly Log'!$A:$A,"&gt;="&amp;$J1529,'Weekly Log'!$A:$A,"&lt;"&amp;$J1529+7),0))</f>
        <v/>
      </c>
      <c r="E1529">
        <f>IF($J1529="","",IFERROR(AVERAGEIFS('Weekly Log'!$F:$F,'Weekly Log'!$A:$A,"&gt;="&amp;$J1529,'Weekly Log'!$A:$A,"&lt;"&amp;$J1529+7),0))</f>
        <v/>
      </c>
      <c r="F1529">
        <f>IF($J1529="","",IFERROR(SUMIFS('Weekly Log'!$F:$F,'Weekly Log'!$A:$A,"&gt;="&amp;$J1529,'Weekly Log'!$A:$A,"&lt;"&amp;$J1529+7)/SUMIFS('Weekly Log'!$E:$E,'Weekly Log'!$A:$A,"&gt;="&amp;$J1529,'Weekly Log'!$A:$A,"&lt;"&amp;$J1529+7),0))</f>
        <v/>
      </c>
      <c r="G1529">
        <f>IF($J1529="","",IFERROR(LOOKUP(2,1/(('Weekly Log'!$A$5:$A$5000&gt;=$J1529)*('Weekly Log'!$A$5:$A$5000&lt;$J1529+7)*('Weekly Log'!$M$5:$M$5000&lt;&gt;"")),'Weekly Log'!$M$5:$M$5000),0))</f>
        <v/>
      </c>
      <c r="J1529">
        <f>IF(COUNT('Weekly Log'!$A$5:$A$5000)=0,"",IF(MIN('Weekly Log'!$A$5:$A$5000)+7*(ROW()-10)&gt;MAX('Weekly Log'!$A$5:$A$5000),"",MIN('Weekly Log'!$A$5:$A$5000)+7*(ROW()-10)))</f>
        <v/>
      </c>
    </row>
    <row r="1530">
      <c r="A1530">
        <f>IF($J1530="","",YEAR($J1530-WEEKDAY($J1530,2)+4)&amp;"-W"&amp;TEXT(WEEKNUM($J1530,21),"00"))</f>
        <v/>
      </c>
      <c r="B1530">
        <f>IF($J1530="","",SUMIFS('Weekly Log'!$C:$C,'Weekly Log'!$A:$A,"&gt;="&amp;$J1530,'Weekly Log'!$A:$A,"&lt;"&amp;$J1530+7))</f>
        <v/>
      </c>
      <c r="C1530">
        <f>IF($J1530="","",IFERROR(COUNTIFS('Weekly Log'!$G:$G,"Y",'Weekly Log'!$A:$A,"&gt;="&amp;$J1530,'Weekly Log'!$A:$A,"&lt;"&amp;$J1530+7)/COUNTIFS('Weekly Log'!$G:$G,"&lt;&gt;",'Weekly Log'!$A:$A,"&gt;="&amp;$J1530,'Weekly Log'!$A:$A,"&lt;"&amp;$J1530+7),0))</f>
        <v/>
      </c>
      <c r="D1530">
        <f>IF($J1530="","",IFERROR(COUNTIFS('Weekly Log'!$H:$H,"Y",'Weekly Log'!$A:$A,"&gt;="&amp;$J1530,'Weekly Log'!$A:$A,"&lt;"&amp;$J1530+7)/COUNTIFS('Weekly Log'!$H:$H,"&lt;&gt;",'Weekly Log'!$A:$A,"&gt;="&amp;$J1530,'Weekly Log'!$A:$A,"&lt;"&amp;$J1530+7),0))</f>
        <v/>
      </c>
      <c r="E1530">
        <f>IF($J1530="","",IFERROR(AVERAGEIFS('Weekly Log'!$F:$F,'Weekly Log'!$A:$A,"&gt;="&amp;$J1530,'Weekly Log'!$A:$A,"&lt;"&amp;$J1530+7),0))</f>
        <v/>
      </c>
      <c r="F1530">
        <f>IF($J1530="","",IFERROR(SUMIFS('Weekly Log'!$F:$F,'Weekly Log'!$A:$A,"&gt;="&amp;$J1530,'Weekly Log'!$A:$A,"&lt;"&amp;$J1530+7)/SUMIFS('Weekly Log'!$E:$E,'Weekly Log'!$A:$A,"&gt;="&amp;$J1530,'Weekly Log'!$A:$A,"&lt;"&amp;$J1530+7),0))</f>
        <v/>
      </c>
      <c r="G1530">
        <f>IF($J1530="","",IFERROR(LOOKUP(2,1/(('Weekly Log'!$A$5:$A$5000&gt;=$J1530)*('Weekly Log'!$A$5:$A$5000&lt;$J1530+7)*('Weekly Log'!$M$5:$M$5000&lt;&gt;"")),'Weekly Log'!$M$5:$M$5000),0))</f>
        <v/>
      </c>
      <c r="J1530">
        <f>IF(COUNT('Weekly Log'!$A$5:$A$5000)=0,"",IF(MIN('Weekly Log'!$A$5:$A$5000)+7*(ROW()-10)&gt;MAX('Weekly Log'!$A$5:$A$5000),"",MIN('Weekly Log'!$A$5:$A$5000)+7*(ROW()-10)))</f>
        <v/>
      </c>
    </row>
    <row r="1531">
      <c r="A1531">
        <f>IF($J1531="","",YEAR($J1531-WEEKDAY($J1531,2)+4)&amp;"-W"&amp;TEXT(WEEKNUM($J1531,21),"00"))</f>
        <v/>
      </c>
      <c r="B1531">
        <f>IF($J1531="","",SUMIFS('Weekly Log'!$C:$C,'Weekly Log'!$A:$A,"&gt;="&amp;$J1531,'Weekly Log'!$A:$A,"&lt;"&amp;$J1531+7))</f>
        <v/>
      </c>
      <c r="C1531">
        <f>IF($J1531="","",IFERROR(COUNTIFS('Weekly Log'!$G:$G,"Y",'Weekly Log'!$A:$A,"&gt;="&amp;$J1531,'Weekly Log'!$A:$A,"&lt;"&amp;$J1531+7)/COUNTIFS('Weekly Log'!$G:$G,"&lt;&gt;",'Weekly Log'!$A:$A,"&gt;="&amp;$J1531,'Weekly Log'!$A:$A,"&lt;"&amp;$J1531+7),0))</f>
        <v/>
      </c>
      <c r="D1531">
        <f>IF($J1531="","",IFERROR(COUNTIFS('Weekly Log'!$H:$H,"Y",'Weekly Log'!$A:$A,"&gt;="&amp;$J1531,'Weekly Log'!$A:$A,"&lt;"&amp;$J1531+7)/COUNTIFS('Weekly Log'!$H:$H,"&lt;&gt;",'Weekly Log'!$A:$A,"&gt;="&amp;$J1531,'Weekly Log'!$A:$A,"&lt;"&amp;$J1531+7),0))</f>
        <v/>
      </c>
      <c r="E1531">
        <f>IF($J1531="","",IFERROR(AVERAGEIFS('Weekly Log'!$F:$F,'Weekly Log'!$A:$A,"&gt;="&amp;$J1531,'Weekly Log'!$A:$A,"&lt;"&amp;$J1531+7),0))</f>
        <v/>
      </c>
      <c r="F1531">
        <f>IF($J1531="","",IFERROR(SUMIFS('Weekly Log'!$F:$F,'Weekly Log'!$A:$A,"&gt;="&amp;$J1531,'Weekly Log'!$A:$A,"&lt;"&amp;$J1531+7)/SUMIFS('Weekly Log'!$E:$E,'Weekly Log'!$A:$A,"&gt;="&amp;$J1531,'Weekly Log'!$A:$A,"&lt;"&amp;$J1531+7),0))</f>
        <v/>
      </c>
      <c r="G1531">
        <f>IF($J1531="","",IFERROR(LOOKUP(2,1/(('Weekly Log'!$A$5:$A$5000&gt;=$J1531)*('Weekly Log'!$A$5:$A$5000&lt;$J1531+7)*('Weekly Log'!$M$5:$M$5000&lt;&gt;"")),'Weekly Log'!$M$5:$M$5000),0))</f>
        <v/>
      </c>
      <c r="J1531">
        <f>IF(COUNT('Weekly Log'!$A$5:$A$5000)=0,"",IF(MIN('Weekly Log'!$A$5:$A$5000)+7*(ROW()-10)&gt;MAX('Weekly Log'!$A$5:$A$5000),"",MIN('Weekly Log'!$A$5:$A$5000)+7*(ROW()-10)))</f>
        <v/>
      </c>
    </row>
    <row r="1532">
      <c r="A1532">
        <f>IF($J1532="","",YEAR($J1532-WEEKDAY($J1532,2)+4)&amp;"-W"&amp;TEXT(WEEKNUM($J1532,21),"00"))</f>
        <v/>
      </c>
      <c r="B1532">
        <f>IF($J1532="","",SUMIFS('Weekly Log'!$C:$C,'Weekly Log'!$A:$A,"&gt;="&amp;$J1532,'Weekly Log'!$A:$A,"&lt;"&amp;$J1532+7))</f>
        <v/>
      </c>
      <c r="C1532">
        <f>IF($J1532="","",IFERROR(COUNTIFS('Weekly Log'!$G:$G,"Y",'Weekly Log'!$A:$A,"&gt;="&amp;$J1532,'Weekly Log'!$A:$A,"&lt;"&amp;$J1532+7)/COUNTIFS('Weekly Log'!$G:$G,"&lt;&gt;",'Weekly Log'!$A:$A,"&gt;="&amp;$J1532,'Weekly Log'!$A:$A,"&lt;"&amp;$J1532+7),0))</f>
        <v/>
      </c>
      <c r="D1532">
        <f>IF($J1532="","",IFERROR(COUNTIFS('Weekly Log'!$H:$H,"Y",'Weekly Log'!$A:$A,"&gt;="&amp;$J1532,'Weekly Log'!$A:$A,"&lt;"&amp;$J1532+7)/COUNTIFS('Weekly Log'!$H:$H,"&lt;&gt;",'Weekly Log'!$A:$A,"&gt;="&amp;$J1532,'Weekly Log'!$A:$A,"&lt;"&amp;$J1532+7),0))</f>
        <v/>
      </c>
      <c r="E1532">
        <f>IF($J1532="","",IFERROR(AVERAGEIFS('Weekly Log'!$F:$F,'Weekly Log'!$A:$A,"&gt;="&amp;$J1532,'Weekly Log'!$A:$A,"&lt;"&amp;$J1532+7),0))</f>
        <v/>
      </c>
      <c r="F1532">
        <f>IF($J1532="","",IFERROR(SUMIFS('Weekly Log'!$F:$F,'Weekly Log'!$A:$A,"&gt;="&amp;$J1532,'Weekly Log'!$A:$A,"&lt;"&amp;$J1532+7)/SUMIFS('Weekly Log'!$E:$E,'Weekly Log'!$A:$A,"&gt;="&amp;$J1532,'Weekly Log'!$A:$A,"&lt;"&amp;$J1532+7),0))</f>
        <v/>
      </c>
      <c r="G1532">
        <f>IF($J1532="","",IFERROR(LOOKUP(2,1/(('Weekly Log'!$A$5:$A$5000&gt;=$J1532)*('Weekly Log'!$A$5:$A$5000&lt;$J1532+7)*('Weekly Log'!$M$5:$M$5000&lt;&gt;"")),'Weekly Log'!$M$5:$M$5000),0))</f>
        <v/>
      </c>
      <c r="J1532">
        <f>IF(COUNT('Weekly Log'!$A$5:$A$5000)=0,"",IF(MIN('Weekly Log'!$A$5:$A$5000)+7*(ROW()-10)&gt;MAX('Weekly Log'!$A$5:$A$5000),"",MIN('Weekly Log'!$A$5:$A$5000)+7*(ROW()-10)))</f>
        <v/>
      </c>
    </row>
    <row r="1533">
      <c r="A1533">
        <f>IF($J1533="","",YEAR($J1533-WEEKDAY($J1533,2)+4)&amp;"-W"&amp;TEXT(WEEKNUM($J1533,21),"00"))</f>
        <v/>
      </c>
      <c r="B1533">
        <f>IF($J1533="","",SUMIFS('Weekly Log'!$C:$C,'Weekly Log'!$A:$A,"&gt;="&amp;$J1533,'Weekly Log'!$A:$A,"&lt;"&amp;$J1533+7))</f>
        <v/>
      </c>
      <c r="C1533">
        <f>IF($J1533="","",IFERROR(COUNTIFS('Weekly Log'!$G:$G,"Y",'Weekly Log'!$A:$A,"&gt;="&amp;$J1533,'Weekly Log'!$A:$A,"&lt;"&amp;$J1533+7)/COUNTIFS('Weekly Log'!$G:$G,"&lt;&gt;",'Weekly Log'!$A:$A,"&gt;="&amp;$J1533,'Weekly Log'!$A:$A,"&lt;"&amp;$J1533+7),0))</f>
        <v/>
      </c>
      <c r="D1533">
        <f>IF($J1533="","",IFERROR(COUNTIFS('Weekly Log'!$H:$H,"Y",'Weekly Log'!$A:$A,"&gt;="&amp;$J1533,'Weekly Log'!$A:$A,"&lt;"&amp;$J1533+7)/COUNTIFS('Weekly Log'!$H:$H,"&lt;&gt;",'Weekly Log'!$A:$A,"&gt;="&amp;$J1533,'Weekly Log'!$A:$A,"&lt;"&amp;$J1533+7),0))</f>
        <v/>
      </c>
      <c r="E1533">
        <f>IF($J1533="","",IFERROR(AVERAGEIFS('Weekly Log'!$F:$F,'Weekly Log'!$A:$A,"&gt;="&amp;$J1533,'Weekly Log'!$A:$A,"&lt;"&amp;$J1533+7),0))</f>
        <v/>
      </c>
      <c r="F1533">
        <f>IF($J1533="","",IFERROR(SUMIFS('Weekly Log'!$F:$F,'Weekly Log'!$A:$A,"&gt;="&amp;$J1533,'Weekly Log'!$A:$A,"&lt;"&amp;$J1533+7)/SUMIFS('Weekly Log'!$E:$E,'Weekly Log'!$A:$A,"&gt;="&amp;$J1533,'Weekly Log'!$A:$A,"&lt;"&amp;$J1533+7),0))</f>
        <v/>
      </c>
      <c r="G1533">
        <f>IF($J1533="","",IFERROR(LOOKUP(2,1/(('Weekly Log'!$A$5:$A$5000&gt;=$J1533)*('Weekly Log'!$A$5:$A$5000&lt;$J1533+7)*('Weekly Log'!$M$5:$M$5000&lt;&gt;"")),'Weekly Log'!$M$5:$M$5000),0))</f>
        <v/>
      </c>
      <c r="J1533">
        <f>IF(COUNT('Weekly Log'!$A$5:$A$5000)=0,"",IF(MIN('Weekly Log'!$A$5:$A$5000)+7*(ROW()-10)&gt;MAX('Weekly Log'!$A$5:$A$5000),"",MIN('Weekly Log'!$A$5:$A$5000)+7*(ROW()-10)))</f>
        <v/>
      </c>
    </row>
    <row r="1534">
      <c r="A1534">
        <f>IF($J1534="","",YEAR($J1534-WEEKDAY($J1534,2)+4)&amp;"-W"&amp;TEXT(WEEKNUM($J1534,21),"00"))</f>
        <v/>
      </c>
      <c r="B1534">
        <f>IF($J1534="","",SUMIFS('Weekly Log'!$C:$C,'Weekly Log'!$A:$A,"&gt;="&amp;$J1534,'Weekly Log'!$A:$A,"&lt;"&amp;$J1534+7))</f>
        <v/>
      </c>
      <c r="C1534">
        <f>IF($J1534="","",IFERROR(COUNTIFS('Weekly Log'!$G:$G,"Y",'Weekly Log'!$A:$A,"&gt;="&amp;$J1534,'Weekly Log'!$A:$A,"&lt;"&amp;$J1534+7)/COUNTIFS('Weekly Log'!$G:$G,"&lt;&gt;",'Weekly Log'!$A:$A,"&gt;="&amp;$J1534,'Weekly Log'!$A:$A,"&lt;"&amp;$J1534+7),0))</f>
        <v/>
      </c>
      <c r="D1534">
        <f>IF($J1534="","",IFERROR(COUNTIFS('Weekly Log'!$H:$H,"Y",'Weekly Log'!$A:$A,"&gt;="&amp;$J1534,'Weekly Log'!$A:$A,"&lt;"&amp;$J1534+7)/COUNTIFS('Weekly Log'!$H:$H,"&lt;&gt;",'Weekly Log'!$A:$A,"&gt;="&amp;$J1534,'Weekly Log'!$A:$A,"&lt;"&amp;$J1534+7),0))</f>
        <v/>
      </c>
      <c r="E1534">
        <f>IF($J1534="","",IFERROR(AVERAGEIFS('Weekly Log'!$F:$F,'Weekly Log'!$A:$A,"&gt;="&amp;$J1534,'Weekly Log'!$A:$A,"&lt;"&amp;$J1534+7),0))</f>
        <v/>
      </c>
      <c r="F1534">
        <f>IF($J1534="","",IFERROR(SUMIFS('Weekly Log'!$F:$F,'Weekly Log'!$A:$A,"&gt;="&amp;$J1534,'Weekly Log'!$A:$A,"&lt;"&amp;$J1534+7)/SUMIFS('Weekly Log'!$E:$E,'Weekly Log'!$A:$A,"&gt;="&amp;$J1534,'Weekly Log'!$A:$A,"&lt;"&amp;$J1534+7),0))</f>
        <v/>
      </c>
      <c r="G1534">
        <f>IF($J1534="","",IFERROR(LOOKUP(2,1/(('Weekly Log'!$A$5:$A$5000&gt;=$J1534)*('Weekly Log'!$A$5:$A$5000&lt;$J1534+7)*('Weekly Log'!$M$5:$M$5000&lt;&gt;"")),'Weekly Log'!$M$5:$M$5000),0))</f>
        <v/>
      </c>
      <c r="J1534">
        <f>IF(COUNT('Weekly Log'!$A$5:$A$5000)=0,"",IF(MIN('Weekly Log'!$A$5:$A$5000)+7*(ROW()-10)&gt;MAX('Weekly Log'!$A$5:$A$5000),"",MIN('Weekly Log'!$A$5:$A$5000)+7*(ROW()-10)))</f>
        <v/>
      </c>
    </row>
    <row r="1535">
      <c r="A1535">
        <f>IF($J1535="","",YEAR($J1535-WEEKDAY($J1535,2)+4)&amp;"-W"&amp;TEXT(WEEKNUM($J1535,21),"00"))</f>
        <v/>
      </c>
      <c r="B1535">
        <f>IF($J1535="","",SUMIFS('Weekly Log'!$C:$C,'Weekly Log'!$A:$A,"&gt;="&amp;$J1535,'Weekly Log'!$A:$A,"&lt;"&amp;$J1535+7))</f>
        <v/>
      </c>
      <c r="C1535">
        <f>IF($J1535="","",IFERROR(COUNTIFS('Weekly Log'!$G:$G,"Y",'Weekly Log'!$A:$A,"&gt;="&amp;$J1535,'Weekly Log'!$A:$A,"&lt;"&amp;$J1535+7)/COUNTIFS('Weekly Log'!$G:$G,"&lt;&gt;",'Weekly Log'!$A:$A,"&gt;="&amp;$J1535,'Weekly Log'!$A:$A,"&lt;"&amp;$J1535+7),0))</f>
        <v/>
      </c>
      <c r="D1535">
        <f>IF($J1535="","",IFERROR(COUNTIFS('Weekly Log'!$H:$H,"Y",'Weekly Log'!$A:$A,"&gt;="&amp;$J1535,'Weekly Log'!$A:$A,"&lt;"&amp;$J1535+7)/COUNTIFS('Weekly Log'!$H:$H,"&lt;&gt;",'Weekly Log'!$A:$A,"&gt;="&amp;$J1535,'Weekly Log'!$A:$A,"&lt;"&amp;$J1535+7),0))</f>
        <v/>
      </c>
      <c r="E1535">
        <f>IF($J1535="","",IFERROR(AVERAGEIFS('Weekly Log'!$F:$F,'Weekly Log'!$A:$A,"&gt;="&amp;$J1535,'Weekly Log'!$A:$A,"&lt;"&amp;$J1535+7),0))</f>
        <v/>
      </c>
      <c r="F1535">
        <f>IF($J1535="","",IFERROR(SUMIFS('Weekly Log'!$F:$F,'Weekly Log'!$A:$A,"&gt;="&amp;$J1535,'Weekly Log'!$A:$A,"&lt;"&amp;$J1535+7)/SUMIFS('Weekly Log'!$E:$E,'Weekly Log'!$A:$A,"&gt;="&amp;$J1535,'Weekly Log'!$A:$A,"&lt;"&amp;$J1535+7),0))</f>
        <v/>
      </c>
      <c r="G1535">
        <f>IF($J1535="","",IFERROR(LOOKUP(2,1/(('Weekly Log'!$A$5:$A$5000&gt;=$J1535)*('Weekly Log'!$A$5:$A$5000&lt;$J1535+7)*('Weekly Log'!$M$5:$M$5000&lt;&gt;"")),'Weekly Log'!$M$5:$M$5000),0))</f>
        <v/>
      </c>
      <c r="J1535">
        <f>IF(COUNT('Weekly Log'!$A$5:$A$5000)=0,"",IF(MIN('Weekly Log'!$A$5:$A$5000)+7*(ROW()-10)&gt;MAX('Weekly Log'!$A$5:$A$5000),"",MIN('Weekly Log'!$A$5:$A$5000)+7*(ROW()-10)))</f>
        <v/>
      </c>
    </row>
    <row r="1536">
      <c r="A1536">
        <f>IF($J1536="","",YEAR($J1536-WEEKDAY($J1536,2)+4)&amp;"-W"&amp;TEXT(WEEKNUM($J1536,21),"00"))</f>
        <v/>
      </c>
      <c r="B1536">
        <f>IF($J1536="","",SUMIFS('Weekly Log'!$C:$C,'Weekly Log'!$A:$A,"&gt;="&amp;$J1536,'Weekly Log'!$A:$A,"&lt;"&amp;$J1536+7))</f>
        <v/>
      </c>
      <c r="C1536">
        <f>IF($J1536="","",IFERROR(COUNTIFS('Weekly Log'!$G:$G,"Y",'Weekly Log'!$A:$A,"&gt;="&amp;$J1536,'Weekly Log'!$A:$A,"&lt;"&amp;$J1536+7)/COUNTIFS('Weekly Log'!$G:$G,"&lt;&gt;",'Weekly Log'!$A:$A,"&gt;="&amp;$J1536,'Weekly Log'!$A:$A,"&lt;"&amp;$J1536+7),0))</f>
        <v/>
      </c>
      <c r="D1536">
        <f>IF($J1536="","",IFERROR(COUNTIFS('Weekly Log'!$H:$H,"Y",'Weekly Log'!$A:$A,"&gt;="&amp;$J1536,'Weekly Log'!$A:$A,"&lt;"&amp;$J1536+7)/COUNTIFS('Weekly Log'!$H:$H,"&lt;&gt;",'Weekly Log'!$A:$A,"&gt;="&amp;$J1536,'Weekly Log'!$A:$A,"&lt;"&amp;$J1536+7),0))</f>
        <v/>
      </c>
      <c r="E1536">
        <f>IF($J1536="","",IFERROR(AVERAGEIFS('Weekly Log'!$F:$F,'Weekly Log'!$A:$A,"&gt;="&amp;$J1536,'Weekly Log'!$A:$A,"&lt;"&amp;$J1536+7),0))</f>
        <v/>
      </c>
      <c r="F1536">
        <f>IF($J1536="","",IFERROR(SUMIFS('Weekly Log'!$F:$F,'Weekly Log'!$A:$A,"&gt;="&amp;$J1536,'Weekly Log'!$A:$A,"&lt;"&amp;$J1536+7)/SUMIFS('Weekly Log'!$E:$E,'Weekly Log'!$A:$A,"&gt;="&amp;$J1536,'Weekly Log'!$A:$A,"&lt;"&amp;$J1536+7),0))</f>
        <v/>
      </c>
      <c r="G1536">
        <f>IF($J1536="","",IFERROR(LOOKUP(2,1/(('Weekly Log'!$A$5:$A$5000&gt;=$J1536)*('Weekly Log'!$A$5:$A$5000&lt;$J1536+7)*('Weekly Log'!$M$5:$M$5000&lt;&gt;"")),'Weekly Log'!$M$5:$M$5000),0))</f>
        <v/>
      </c>
      <c r="J1536">
        <f>IF(COUNT('Weekly Log'!$A$5:$A$5000)=0,"",IF(MIN('Weekly Log'!$A$5:$A$5000)+7*(ROW()-10)&gt;MAX('Weekly Log'!$A$5:$A$5000),"",MIN('Weekly Log'!$A$5:$A$5000)+7*(ROW()-10)))</f>
        <v/>
      </c>
    </row>
    <row r="1537">
      <c r="A1537">
        <f>IF($J1537="","",YEAR($J1537-WEEKDAY($J1537,2)+4)&amp;"-W"&amp;TEXT(WEEKNUM($J1537,21),"00"))</f>
        <v/>
      </c>
      <c r="B1537">
        <f>IF($J1537="","",SUMIFS('Weekly Log'!$C:$C,'Weekly Log'!$A:$A,"&gt;="&amp;$J1537,'Weekly Log'!$A:$A,"&lt;"&amp;$J1537+7))</f>
        <v/>
      </c>
      <c r="C1537">
        <f>IF($J1537="","",IFERROR(COUNTIFS('Weekly Log'!$G:$G,"Y",'Weekly Log'!$A:$A,"&gt;="&amp;$J1537,'Weekly Log'!$A:$A,"&lt;"&amp;$J1537+7)/COUNTIFS('Weekly Log'!$G:$G,"&lt;&gt;",'Weekly Log'!$A:$A,"&gt;="&amp;$J1537,'Weekly Log'!$A:$A,"&lt;"&amp;$J1537+7),0))</f>
        <v/>
      </c>
      <c r="D1537">
        <f>IF($J1537="","",IFERROR(COUNTIFS('Weekly Log'!$H:$H,"Y",'Weekly Log'!$A:$A,"&gt;="&amp;$J1537,'Weekly Log'!$A:$A,"&lt;"&amp;$J1537+7)/COUNTIFS('Weekly Log'!$H:$H,"&lt;&gt;",'Weekly Log'!$A:$A,"&gt;="&amp;$J1537,'Weekly Log'!$A:$A,"&lt;"&amp;$J1537+7),0))</f>
        <v/>
      </c>
      <c r="E1537">
        <f>IF($J1537="","",IFERROR(AVERAGEIFS('Weekly Log'!$F:$F,'Weekly Log'!$A:$A,"&gt;="&amp;$J1537,'Weekly Log'!$A:$A,"&lt;"&amp;$J1537+7),0))</f>
        <v/>
      </c>
      <c r="F1537">
        <f>IF($J1537="","",IFERROR(SUMIFS('Weekly Log'!$F:$F,'Weekly Log'!$A:$A,"&gt;="&amp;$J1537,'Weekly Log'!$A:$A,"&lt;"&amp;$J1537+7)/SUMIFS('Weekly Log'!$E:$E,'Weekly Log'!$A:$A,"&gt;="&amp;$J1537,'Weekly Log'!$A:$A,"&lt;"&amp;$J1537+7),0))</f>
        <v/>
      </c>
      <c r="G1537">
        <f>IF($J1537="","",IFERROR(LOOKUP(2,1/(('Weekly Log'!$A$5:$A$5000&gt;=$J1537)*('Weekly Log'!$A$5:$A$5000&lt;$J1537+7)*('Weekly Log'!$M$5:$M$5000&lt;&gt;"")),'Weekly Log'!$M$5:$M$5000),0))</f>
        <v/>
      </c>
      <c r="J1537">
        <f>IF(COUNT('Weekly Log'!$A$5:$A$5000)=0,"",IF(MIN('Weekly Log'!$A$5:$A$5000)+7*(ROW()-10)&gt;MAX('Weekly Log'!$A$5:$A$5000),"",MIN('Weekly Log'!$A$5:$A$5000)+7*(ROW()-10)))</f>
        <v/>
      </c>
    </row>
    <row r="1538">
      <c r="A1538">
        <f>IF($J1538="","",YEAR($J1538-WEEKDAY($J1538,2)+4)&amp;"-W"&amp;TEXT(WEEKNUM($J1538,21),"00"))</f>
        <v/>
      </c>
      <c r="B1538">
        <f>IF($J1538="","",SUMIFS('Weekly Log'!$C:$C,'Weekly Log'!$A:$A,"&gt;="&amp;$J1538,'Weekly Log'!$A:$A,"&lt;"&amp;$J1538+7))</f>
        <v/>
      </c>
      <c r="C1538">
        <f>IF($J1538="","",IFERROR(COUNTIFS('Weekly Log'!$G:$G,"Y",'Weekly Log'!$A:$A,"&gt;="&amp;$J1538,'Weekly Log'!$A:$A,"&lt;"&amp;$J1538+7)/COUNTIFS('Weekly Log'!$G:$G,"&lt;&gt;",'Weekly Log'!$A:$A,"&gt;="&amp;$J1538,'Weekly Log'!$A:$A,"&lt;"&amp;$J1538+7),0))</f>
        <v/>
      </c>
      <c r="D1538">
        <f>IF($J1538="","",IFERROR(COUNTIFS('Weekly Log'!$H:$H,"Y",'Weekly Log'!$A:$A,"&gt;="&amp;$J1538,'Weekly Log'!$A:$A,"&lt;"&amp;$J1538+7)/COUNTIFS('Weekly Log'!$H:$H,"&lt;&gt;",'Weekly Log'!$A:$A,"&gt;="&amp;$J1538,'Weekly Log'!$A:$A,"&lt;"&amp;$J1538+7),0))</f>
        <v/>
      </c>
      <c r="E1538">
        <f>IF($J1538="","",IFERROR(AVERAGEIFS('Weekly Log'!$F:$F,'Weekly Log'!$A:$A,"&gt;="&amp;$J1538,'Weekly Log'!$A:$A,"&lt;"&amp;$J1538+7),0))</f>
        <v/>
      </c>
      <c r="F1538">
        <f>IF($J1538="","",IFERROR(SUMIFS('Weekly Log'!$F:$F,'Weekly Log'!$A:$A,"&gt;="&amp;$J1538,'Weekly Log'!$A:$A,"&lt;"&amp;$J1538+7)/SUMIFS('Weekly Log'!$E:$E,'Weekly Log'!$A:$A,"&gt;="&amp;$J1538,'Weekly Log'!$A:$A,"&lt;"&amp;$J1538+7),0))</f>
        <v/>
      </c>
      <c r="G1538">
        <f>IF($J1538="","",IFERROR(LOOKUP(2,1/(('Weekly Log'!$A$5:$A$5000&gt;=$J1538)*('Weekly Log'!$A$5:$A$5000&lt;$J1538+7)*('Weekly Log'!$M$5:$M$5000&lt;&gt;"")),'Weekly Log'!$M$5:$M$5000),0))</f>
        <v/>
      </c>
      <c r="J1538">
        <f>IF(COUNT('Weekly Log'!$A$5:$A$5000)=0,"",IF(MIN('Weekly Log'!$A$5:$A$5000)+7*(ROW()-10)&gt;MAX('Weekly Log'!$A$5:$A$5000),"",MIN('Weekly Log'!$A$5:$A$5000)+7*(ROW()-10)))</f>
        <v/>
      </c>
    </row>
    <row r="1539">
      <c r="A1539">
        <f>IF($J1539="","",YEAR($J1539-WEEKDAY($J1539,2)+4)&amp;"-W"&amp;TEXT(WEEKNUM($J1539,21),"00"))</f>
        <v/>
      </c>
      <c r="B1539">
        <f>IF($J1539="","",SUMIFS('Weekly Log'!$C:$C,'Weekly Log'!$A:$A,"&gt;="&amp;$J1539,'Weekly Log'!$A:$A,"&lt;"&amp;$J1539+7))</f>
        <v/>
      </c>
      <c r="C1539">
        <f>IF($J1539="","",IFERROR(COUNTIFS('Weekly Log'!$G:$G,"Y",'Weekly Log'!$A:$A,"&gt;="&amp;$J1539,'Weekly Log'!$A:$A,"&lt;"&amp;$J1539+7)/COUNTIFS('Weekly Log'!$G:$G,"&lt;&gt;",'Weekly Log'!$A:$A,"&gt;="&amp;$J1539,'Weekly Log'!$A:$A,"&lt;"&amp;$J1539+7),0))</f>
        <v/>
      </c>
      <c r="D1539">
        <f>IF($J1539="","",IFERROR(COUNTIFS('Weekly Log'!$H:$H,"Y",'Weekly Log'!$A:$A,"&gt;="&amp;$J1539,'Weekly Log'!$A:$A,"&lt;"&amp;$J1539+7)/COUNTIFS('Weekly Log'!$H:$H,"&lt;&gt;",'Weekly Log'!$A:$A,"&gt;="&amp;$J1539,'Weekly Log'!$A:$A,"&lt;"&amp;$J1539+7),0))</f>
        <v/>
      </c>
      <c r="E1539">
        <f>IF($J1539="","",IFERROR(AVERAGEIFS('Weekly Log'!$F:$F,'Weekly Log'!$A:$A,"&gt;="&amp;$J1539,'Weekly Log'!$A:$A,"&lt;"&amp;$J1539+7),0))</f>
        <v/>
      </c>
      <c r="F1539">
        <f>IF($J1539="","",IFERROR(SUMIFS('Weekly Log'!$F:$F,'Weekly Log'!$A:$A,"&gt;="&amp;$J1539,'Weekly Log'!$A:$A,"&lt;"&amp;$J1539+7)/SUMIFS('Weekly Log'!$E:$E,'Weekly Log'!$A:$A,"&gt;="&amp;$J1539,'Weekly Log'!$A:$A,"&lt;"&amp;$J1539+7),0))</f>
        <v/>
      </c>
      <c r="G1539">
        <f>IF($J1539="","",IFERROR(LOOKUP(2,1/(('Weekly Log'!$A$5:$A$5000&gt;=$J1539)*('Weekly Log'!$A$5:$A$5000&lt;$J1539+7)*('Weekly Log'!$M$5:$M$5000&lt;&gt;"")),'Weekly Log'!$M$5:$M$5000),0))</f>
        <v/>
      </c>
      <c r="J1539">
        <f>IF(COUNT('Weekly Log'!$A$5:$A$5000)=0,"",IF(MIN('Weekly Log'!$A$5:$A$5000)+7*(ROW()-10)&gt;MAX('Weekly Log'!$A$5:$A$5000),"",MIN('Weekly Log'!$A$5:$A$5000)+7*(ROW()-10)))</f>
        <v/>
      </c>
    </row>
    <row r="1540">
      <c r="A1540">
        <f>IF($J1540="","",YEAR($J1540-WEEKDAY($J1540,2)+4)&amp;"-W"&amp;TEXT(WEEKNUM($J1540,21),"00"))</f>
        <v/>
      </c>
      <c r="B1540">
        <f>IF($J1540="","",SUMIFS('Weekly Log'!$C:$C,'Weekly Log'!$A:$A,"&gt;="&amp;$J1540,'Weekly Log'!$A:$A,"&lt;"&amp;$J1540+7))</f>
        <v/>
      </c>
      <c r="C1540">
        <f>IF($J1540="","",IFERROR(COUNTIFS('Weekly Log'!$G:$G,"Y",'Weekly Log'!$A:$A,"&gt;="&amp;$J1540,'Weekly Log'!$A:$A,"&lt;"&amp;$J1540+7)/COUNTIFS('Weekly Log'!$G:$G,"&lt;&gt;",'Weekly Log'!$A:$A,"&gt;="&amp;$J1540,'Weekly Log'!$A:$A,"&lt;"&amp;$J1540+7),0))</f>
        <v/>
      </c>
      <c r="D1540">
        <f>IF($J1540="","",IFERROR(COUNTIFS('Weekly Log'!$H:$H,"Y",'Weekly Log'!$A:$A,"&gt;="&amp;$J1540,'Weekly Log'!$A:$A,"&lt;"&amp;$J1540+7)/COUNTIFS('Weekly Log'!$H:$H,"&lt;&gt;",'Weekly Log'!$A:$A,"&gt;="&amp;$J1540,'Weekly Log'!$A:$A,"&lt;"&amp;$J1540+7),0))</f>
        <v/>
      </c>
      <c r="E1540">
        <f>IF($J1540="","",IFERROR(AVERAGEIFS('Weekly Log'!$F:$F,'Weekly Log'!$A:$A,"&gt;="&amp;$J1540,'Weekly Log'!$A:$A,"&lt;"&amp;$J1540+7),0))</f>
        <v/>
      </c>
      <c r="F1540">
        <f>IF($J1540="","",IFERROR(SUMIFS('Weekly Log'!$F:$F,'Weekly Log'!$A:$A,"&gt;="&amp;$J1540,'Weekly Log'!$A:$A,"&lt;"&amp;$J1540+7)/SUMIFS('Weekly Log'!$E:$E,'Weekly Log'!$A:$A,"&gt;="&amp;$J1540,'Weekly Log'!$A:$A,"&lt;"&amp;$J1540+7),0))</f>
        <v/>
      </c>
      <c r="G1540">
        <f>IF($J1540="","",IFERROR(LOOKUP(2,1/(('Weekly Log'!$A$5:$A$5000&gt;=$J1540)*('Weekly Log'!$A$5:$A$5000&lt;$J1540+7)*('Weekly Log'!$M$5:$M$5000&lt;&gt;"")),'Weekly Log'!$M$5:$M$5000),0))</f>
        <v/>
      </c>
      <c r="J1540">
        <f>IF(COUNT('Weekly Log'!$A$5:$A$5000)=0,"",IF(MIN('Weekly Log'!$A$5:$A$5000)+7*(ROW()-10)&gt;MAX('Weekly Log'!$A$5:$A$5000),"",MIN('Weekly Log'!$A$5:$A$5000)+7*(ROW()-10)))</f>
        <v/>
      </c>
    </row>
    <row r="1541">
      <c r="A1541">
        <f>IF($J1541="","",YEAR($J1541-WEEKDAY($J1541,2)+4)&amp;"-W"&amp;TEXT(WEEKNUM($J1541,21),"00"))</f>
        <v/>
      </c>
      <c r="B1541">
        <f>IF($J1541="","",SUMIFS('Weekly Log'!$C:$C,'Weekly Log'!$A:$A,"&gt;="&amp;$J1541,'Weekly Log'!$A:$A,"&lt;"&amp;$J1541+7))</f>
        <v/>
      </c>
      <c r="C1541">
        <f>IF($J1541="","",IFERROR(COUNTIFS('Weekly Log'!$G:$G,"Y",'Weekly Log'!$A:$A,"&gt;="&amp;$J1541,'Weekly Log'!$A:$A,"&lt;"&amp;$J1541+7)/COUNTIFS('Weekly Log'!$G:$G,"&lt;&gt;",'Weekly Log'!$A:$A,"&gt;="&amp;$J1541,'Weekly Log'!$A:$A,"&lt;"&amp;$J1541+7),0))</f>
        <v/>
      </c>
      <c r="D1541">
        <f>IF($J1541="","",IFERROR(COUNTIFS('Weekly Log'!$H:$H,"Y",'Weekly Log'!$A:$A,"&gt;="&amp;$J1541,'Weekly Log'!$A:$A,"&lt;"&amp;$J1541+7)/COUNTIFS('Weekly Log'!$H:$H,"&lt;&gt;",'Weekly Log'!$A:$A,"&gt;="&amp;$J1541,'Weekly Log'!$A:$A,"&lt;"&amp;$J1541+7),0))</f>
        <v/>
      </c>
      <c r="E1541">
        <f>IF($J1541="","",IFERROR(AVERAGEIFS('Weekly Log'!$F:$F,'Weekly Log'!$A:$A,"&gt;="&amp;$J1541,'Weekly Log'!$A:$A,"&lt;"&amp;$J1541+7),0))</f>
        <v/>
      </c>
      <c r="F1541">
        <f>IF($J1541="","",IFERROR(SUMIFS('Weekly Log'!$F:$F,'Weekly Log'!$A:$A,"&gt;="&amp;$J1541,'Weekly Log'!$A:$A,"&lt;"&amp;$J1541+7)/SUMIFS('Weekly Log'!$E:$E,'Weekly Log'!$A:$A,"&gt;="&amp;$J1541,'Weekly Log'!$A:$A,"&lt;"&amp;$J1541+7),0))</f>
        <v/>
      </c>
      <c r="G1541">
        <f>IF($J1541="","",IFERROR(LOOKUP(2,1/(('Weekly Log'!$A$5:$A$5000&gt;=$J1541)*('Weekly Log'!$A$5:$A$5000&lt;$J1541+7)*('Weekly Log'!$M$5:$M$5000&lt;&gt;"")),'Weekly Log'!$M$5:$M$5000),0))</f>
        <v/>
      </c>
      <c r="J1541">
        <f>IF(COUNT('Weekly Log'!$A$5:$A$5000)=0,"",IF(MIN('Weekly Log'!$A$5:$A$5000)+7*(ROW()-10)&gt;MAX('Weekly Log'!$A$5:$A$5000),"",MIN('Weekly Log'!$A$5:$A$5000)+7*(ROW()-10)))</f>
        <v/>
      </c>
    </row>
    <row r="1542">
      <c r="A1542">
        <f>IF($J1542="","",YEAR($J1542-WEEKDAY($J1542,2)+4)&amp;"-W"&amp;TEXT(WEEKNUM($J1542,21),"00"))</f>
        <v/>
      </c>
      <c r="B1542">
        <f>IF($J1542="","",SUMIFS('Weekly Log'!$C:$C,'Weekly Log'!$A:$A,"&gt;="&amp;$J1542,'Weekly Log'!$A:$A,"&lt;"&amp;$J1542+7))</f>
        <v/>
      </c>
      <c r="C1542">
        <f>IF($J1542="","",IFERROR(COUNTIFS('Weekly Log'!$G:$G,"Y",'Weekly Log'!$A:$A,"&gt;="&amp;$J1542,'Weekly Log'!$A:$A,"&lt;"&amp;$J1542+7)/COUNTIFS('Weekly Log'!$G:$G,"&lt;&gt;",'Weekly Log'!$A:$A,"&gt;="&amp;$J1542,'Weekly Log'!$A:$A,"&lt;"&amp;$J1542+7),0))</f>
        <v/>
      </c>
      <c r="D1542">
        <f>IF($J1542="","",IFERROR(COUNTIFS('Weekly Log'!$H:$H,"Y",'Weekly Log'!$A:$A,"&gt;="&amp;$J1542,'Weekly Log'!$A:$A,"&lt;"&amp;$J1542+7)/COUNTIFS('Weekly Log'!$H:$H,"&lt;&gt;",'Weekly Log'!$A:$A,"&gt;="&amp;$J1542,'Weekly Log'!$A:$A,"&lt;"&amp;$J1542+7),0))</f>
        <v/>
      </c>
      <c r="E1542">
        <f>IF($J1542="","",IFERROR(AVERAGEIFS('Weekly Log'!$F:$F,'Weekly Log'!$A:$A,"&gt;="&amp;$J1542,'Weekly Log'!$A:$A,"&lt;"&amp;$J1542+7),0))</f>
        <v/>
      </c>
      <c r="F1542">
        <f>IF($J1542="","",IFERROR(SUMIFS('Weekly Log'!$F:$F,'Weekly Log'!$A:$A,"&gt;="&amp;$J1542,'Weekly Log'!$A:$A,"&lt;"&amp;$J1542+7)/SUMIFS('Weekly Log'!$E:$E,'Weekly Log'!$A:$A,"&gt;="&amp;$J1542,'Weekly Log'!$A:$A,"&lt;"&amp;$J1542+7),0))</f>
        <v/>
      </c>
      <c r="G1542">
        <f>IF($J1542="","",IFERROR(LOOKUP(2,1/(('Weekly Log'!$A$5:$A$5000&gt;=$J1542)*('Weekly Log'!$A$5:$A$5000&lt;$J1542+7)*('Weekly Log'!$M$5:$M$5000&lt;&gt;"")),'Weekly Log'!$M$5:$M$5000),0))</f>
        <v/>
      </c>
      <c r="J1542">
        <f>IF(COUNT('Weekly Log'!$A$5:$A$5000)=0,"",IF(MIN('Weekly Log'!$A$5:$A$5000)+7*(ROW()-10)&gt;MAX('Weekly Log'!$A$5:$A$5000),"",MIN('Weekly Log'!$A$5:$A$5000)+7*(ROW()-10)))</f>
        <v/>
      </c>
    </row>
    <row r="1543">
      <c r="A1543">
        <f>IF($J1543="","",YEAR($J1543-WEEKDAY($J1543,2)+4)&amp;"-W"&amp;TEXT(WEEKNUM($J1543,21),"00"))</f>
        <v/>
      </c>
      <c r="B1543">
        <f>IF($J1543="","",SUMIFS('Weekly Log'!$C:$C,'Weekly Log'!$A:$A,"&gt;="&amp;$J1543,'Weekly Log'!$A:$A,"&lt;"&amp;$J1543+7))</f>
        <v/>
      </c>
      <c r="C1543">
        <f>IF($J1543="","",IFERROR(COUNTIFS('Weekly Log'!$G:$G,"Y",'Weekly Log'!$A:$A,"&gt;="&amp;$J1543,'Weekly Log'!$A:$A,"&lt;"&amp;$J1543+7)/COUNTIFS('Weekly Log'!$G:$G,"&lt;&gt;",'Weekly Log'!$A:$A,"&gt;="&amp;$J1543,'Weekly Log'!$A:$A,"&lt;"&amp;$J1543+7),0))</f>
        <v/>
      </c>
      <c r="D1543">
        <f>IF($J1543="","",IFERROR(COUNTIFS('Weekly Log'!$H:$H,"Y",'Weekly Log'!$A:$A,"&gt;="&amp;$J1543,'Weekly Log'!$A:$A,"&lt;"&amp;$J1543+7)/COUNTIFS('Weekly Log'!$H:$H,"&lt;&gt;",'Weekly Log'!$A:$A,"&gt;="&amp;$J1543,'Weekly Log'!$A:$A,"&lt;"&amp;$J1543+7),0))</f>
        <v/>
      </c>
      <c r="E1543">
        <f>IF($J1543="","",IFERROR(AVERAGEIFS('Weekly Log'!$F:$F,'Weekly Log'!$A:$A,"&gt;="&amp;$J1543,'Weekly Log'!$A:$A,"&lt;"&amp;$J1543+7),0))</f>
        <v/>
      </c>
      <c r="F1543">
        <f>IF($J1543="","",IFERROR(SUMIFS('Weekly Log'!$F:$F,'Weekly Log'!$A:$A,"&gt;="&amp;$J1543,'Weekly Log'!$A:$A,"&lt;"&amp;$J1543+7)/SUMIFS('Weekly Log'!$E:$E,'Weekly Log'!$A:$A,"&gt;="&amp;$J1543,'Weekly Log'!$A:$A,"&lt;"&amp;$J1543+7),0))</f>
        <v/>
      </c>
      <c r="G1543">
        <f>IF($J1543="","",IFERROR(LOOKUP(2,1/(('Weekly Log'!$A$5:$A$5000&gt;=$J1543)*('Weekly Log'!$A$5:$A$5000&lt;$J1543+7)*('Weekly Log'!$M$5:$M$5000&lt;&gt;"")),'Weekly Log'!$M$5:$M$5000),0))</f>
        <v/>
      </c>
      <c r="J1543">
        <f>IF(COUNT('Weekly Log'!$A$5:$A$5000)=0,"",IF(MIN('Weekly Log'!$A$5:$A$5000)+7*(ROW()-10)&gt;MAX('Weekly Log'!$A$5:$A$5000),"",MIN('Weekly Log'!$A$5:$A$5000)+7*(ROW()-10)))</f>
        <v/>
      </c>
    </row>
    <row r="1544">
      <c r="A1544">
        <f>IF($J1544="","",YEAR($J1544-WEEKDAY($J1544,2)+4)&amp;"-W"&amp;TEXT(WEEKNUM($J1544,21),"00"))</f>
        <v/>
      </c>
      <c r="B1544">
        <f>IF($J1544="","",SUMIFS('Weekly Log'!$C:$C,'Weekly Log'!$A:$A,"&gt;="&amp;$J1544,'Weekly Log'!$A:$A,"&lt;"&amp;$J1544+7))</f>
        <v/>
      </c>
      <c r="C1544">
        <f>IF($J1544="","",IFERROR(COUNTIFS('Weekly Log'!$G:$G,"Y",'Weekly Log'!$A:$A,"&gt;="&amp;$J1544,'Weekly Log'!$A:$A,"&lt;"&amp;$J1544+7)/COUNTIFS('Weekly Log'!$G:$G,"&lt;&gt;",'Weekly Log'!$A:$A,"&gt;="&amp;$J1544,'Weekly Log'!$A:$A,"&lt;"&amp;$J1544+7),0))</f>
        <v/>
      </c>
      <c r="D1544">
        <f>IF($J1544="","",IFERROR(COUNTIFS('Weekly Log'!$H:$H,"Y",'Weekly Log'!$A:$A,"&gt;="&amp;$J1544,'Weekly Log'!$A:$A,"&lt;"&amp;$J1544+7)/COUNTIFS('Weekly Log'!$H:$H,"&lt;&gt;",'Weekly Log'!$A:$A,"&gt;="&amp;$J1544,'Weekly Log'!$A:$A,"&lt;"&amp;$J1544+7),0))</f>
        <v/>
      </c>
      <c r="E1544">
        <f>IF($J1544="","",IFERROR(AVERAGEIFS('Weekly Log'!$F:$F,'Weekly Log'!$A:$A,"&gt;="&amp;$J1544,'Weekly Log'!$A:$A,"&lt;"&amp;$J1544+7),0))</f>
        <v/>
      </c>
      <c r="F1544">
        <f>IF($J1544="","",IFERROR(SUMIFS('Weekly Log'!$F:$F,'Weekly Log'!$A:$A,"&gt;="&amp;$J1544,'Weekly Log'!$A:$A,"&lt;"&amp;$J1544+7)/SUMIFS('Weekly Log'!$E:$E,'Weekly Log'!$A:$A,"&gt;="&amp;$J1544,'Weekly Log'!$A:$A,"&lt;"&amp;$J1544+7),0))</f>
        <v/>
      </c>
      <c r="G1544">
        <f>IF($J1544="","",IFERROR(LOOKUP(2,1/(('Weekly Log'!$A$5:$A$5000&gt;=$J1544)*('Weekly Log'!$A$5:$A$5000&lt;$J1544+7)*('Weekly Log'!$M$5:$M$5000&lt;&gt;"")),'Weekly Log'!$M$5:$M$5000),0))</f>
        <v/>
      </c>
      <c r="J1544">
        <f>IF(COUNT('Weekly Log'!$A$5:$A$5000)=0,"",IF(MIN('Weekly Log'!$A$5:$A$5000)+7*(ROW()-10)&gt;MAX('Weekly Log'!$A$5:$A$5000),"",MIN('Weekly Log'!$A$5:$A$5000)+7*(ROW()-10)))</f>
        <v/>
      </c>
    </row>
    <row r="1545">
      <c r="A1545">
        <f>IF($J1545="","",YEAR($J1545-WEEKDAY($J1545,2)+4)&amp;"-W"&amp;TEXT(WEEKNUM($J1545,21),"00"))</f>
        <v/>
      </c>
      <c r="B1545">
        <f>IF($J1545="","",SUMIFS('Weekly Log'!$C:$C,'Weekly Log'!$A:$A,"&gt;="&amp;$J1545,'Weekly Log'!$A:$A,"&lt;"&amp;$J1545+7))</f>
        <v/>
      </c>
      <c r="C1545">
        <f>IF($J1545="","",IFERROR(COUNTIFS('Weekly Log'!$G:$G,"Y",'Weekly Log'!$A:$A,"&gt;="&amp;$J1545,'Weekly Log'!$A:$A,"&lt;"&amp;$J1545+7)/COUNTIFS('Weekly Log'!$G:$G,"&lt;&gt;",'Weekly Log'!$A:$A,"&gt;="&amp;$J1545,'Weekly Log'!$A:$A,"&lt;"&amp;$J1545+7),0))</f>
        <v/>
      </c>
      <c r="D1545">
        <f>IF($J1545="","",IFERROR(COUNTIFS('Weekly Log'!$H:$H,"Y",'Weekly Log'!$A:$A,"&gt;="&amp;$J1545,'Weekly Log'!$A:$A,"&lt;"&amp;$J1545+7)/COUNTIFS('Weekly Log'!$H:$H,"&lt;&gt;",'Weekly Log'!$A:$A,"&gt;="&amp;$J1545,'Weekly Log'!$A:$A,"&lt;"&amp;$J1545+7),0))</f>
        <v/>
      </c>
      <c r="E1545">
        <f>IF($J1545="","",IFERROR(AVERAGEIFS('Weekly Log'!$F:$F,'Weekly Log'!$A:$A,"&gt;="&amp;$J1545,'Weekly Log'!$A:$A,"&lt;"&amp;$J1545+7),0))</f>
        <v/>
      </c>
      <c r="F1545">
        <f>IF($J1545="","",IFERROR(SUMIFS('Weekly Log'!$F:$F,'Weekly Log'!$A:$A,"&gt;="&amp;$J1545,'Weekly Log'!$A:$A,"&lt;"&amp;$J1545+7)/SUMIFS('Weekly Log'!$E:$E,'Weekly Log'!$A:$A,"&gt;="&amp;$J1545,'Weekly Log'!$A:$A,"&lt;"&amp;$J1545+7),0))</f>
        <v/>
      </c>
      <c r="G1545">
        <f>IF($J1545="","",IFERROR(LOOKUP(2,1/(('Weekly Log'!$A$5:$A$5000&gt;=$J1545)*('Weekly Log'!$A$5:$A$5000&lt;$J1545+7)*('Weekly Log'!$M$5:$M$5000&lt;&gt;"")),'Weekly Log'!$M$5:$M$5000),0))</f>
        <v/>
      </c>
      <c r="J1545">
        <f>IF(COUNT('Weekly Log'!$A$5:$A$5000)=0,"",IF(MIN('Weekly Log'!$A$5:$A$5000)+7*(ROW()-10)&gt;MAX('Weekly Log'!$A$5:$A$5000),"",MIN('Weekly Log'!$A$5:$A$5000)+7*(ROW()-10)))</f>
        <v/>
      </c>
    </row>
    <row r="1546">
      <c r="A1546">
        <f>IF($J1546="","",YEAR($J1546-WEEKDAY($J1546,2)+4)&amp;"-W"&amp;TEXT(WEEKNUM($J1546,21),"00"))</f>
        <v/>
      </c>
      <c r="B1546">
        <f>IF($J1546="","",SUMIFS('Weekly Log'!$C:$C,'Weekly Log'!$A:$A,"&gt;="&amp;$J1546,'Weekly Log'!$A:$A,"&lt;"&amp;$J1546+7))</f>
        <v/>
      </c>
      <c r="C1546">
        <f>IF($J1546="","",IFERROR(COUNTIFS('Weekly Log'!$G:$G,"Y",'Weekly Log'!$A:$A,"&gt;="&amp;$J1546,'Weekly Log'!$A:$A,"&lt;"&amp;$J1546+7)/COUNTIFS('Weekly Log'!$G:$G,"&lt;&gt;",'Weekly Log'!$A:$A,"&gt;="&amp;$J1546,'Weekly Log'!$A:$A,"&lt;"&amp;$J1546+7),0))</f>
        <v/>
      </c>
      <c r="D1546">
        <f>IF($J1546="","",IFERROR(COUNTIFS('Weekly Log'!$H:$H,"Y",'Weekly Log'!$A:$A,"&gt;="&amp;$J1546,'Weekly Log'!$A:$A,"&lt;"&amp;$J1546+7)/COUNTIFS('Weekly Log'!$H:$H,"&lt;&gt;",'Weekly Log'!$A:$A,"&gt;="&amp;$J1546,'Weekly Log'!$A:$A,"&lt;"&amp;$J1546+7),0))</f>
        <v/>
      </c>
      <c r="E1546">
        <f>IF($J1546="","",IFERROR(AVERAGEIFS('Weekly Log'!$F:$F,'Weekly Log'!$A:$A,"&gt;="&amp;$J1546,'Weekly Log'!$A:$A,"&lt;"&amp;$J1546+7),0))</f>
        <v/>
      </c>
      <c r="F1546">
        <f>IF($J1546="","",IFERROR(SUMIFS('Weekly Log'!$F:$F,'Weekly Log'!$A:$A,"&gt;="&amp;$J1546,'Weekly Log'!$A:$A,"&lt;"&amp;$J1546+7)/SUMIFS('Weekly Log'!$E:$E,'Weekly Log'!$A:$A,"&gt;="&amp;$J1546,'Weekly Log'!$A:$A,"&lt;"&amp;$J1546+7),0))</f>
        <v/>
      </c>
      <c r="G1546">
        <f>IF($J1546="","",IFERROR(LOOKUP(2,1/(('Weekly Log'!$A$5:$A$5000&gt;=$J1546)*('Weekly Log'!$A$5:$A$5000&lt;$J1546+7)*('Weekly Log'!$M$5:$M$5000&lt;&gt;"")),'Weekly Log'!$M$5:$M$5000),0))</f>
        <v/>
      </c>
      <c r="J1546">
        <f>IF(COUNT('Weekly Log'!$A$5:$A$5000)=0,"",IF(MIN('Weekly Log'!$A$5:$A$5000)+7*(ROW()-10)&gt;MAX('Weekly Log'!$A$5:$A$5000),"",MIN('Weekly Log'!$A$5:$A$5000)+7*(ROW()-10)))</f>
        <v/>
      </c>
    </row>
    <row r="1547">
      <c r="A1547">
        <f>IF($J1547="","",YEAR($J1547-WEEKDAY($J1547,2)+4)&amp;"-W"&amp;TEXT(WEEKNUM($J1547,21),"00"))</f>
        <v/>
      </c>
      <c r="B1547">
        <f>IF($J1547="","",SUMIFS('Weekly Log'!$C:$C,'Weekly Log'!$A:$A,"&gt;="&amp;$J1547,'Weekly Log'!$A:$A,"&lt;"&amp;$J1547+7))</f>
        <v/>
      </c>
      <c r="C1547">
        <f>IF($J1547="","",IFERROR(COUNTIFS('Weekly Log'!$G:$G,"Y",'Weekly Log'!$A:$A,"&gt;="&amp;$J1547,'Weekly Log'!$A:$A,"&lt;"&amp;$J1547+7)/COUNTIFS('Weekly Log'!$G:$G,"&lt;&gt;",'Weekly Log'!$A:$A,"&gt;="&amp;$J1547,'Weekly Log'!$A:$A,"&lt;"&amp;$J1547+7),0))</f>
        <v/>
      </c>
      <c r="D1547">
        <f>IF($J1547="","",IFERROR(COUNTIFS('Weekly Log'!$H:$H,"Y",'Weekly Log'!$A:$A,"&gt;="&amp;$J1547,'Weekly Log'!$A:$A,"&lt;"&amp;$J1547+7)/COUNTIFS('Weekly Log'!$H:$H,"&lt;&gt;",'Weekly Log'!$A:$A,"&gt;="&amp;$J1547,'Weekly Log'!$A:$A,"&lt;"&amp;$J1547+7),0))</f>
        <v/>
      </c>
      <c r="E1547">
        <f>IF($J1547="","",IFERROR(AVERAGEIFS('Weekly Log'!$F:$F,'Weekly Log'!$A:$A,"&gt;="&amp;$J1547,'Weekly Log'!$A:$A,"&lt;"&amp;$J1547+7),0))</f>
        <v/>
      </c>
      <c r="F1547">
        <f>IF($J1547="","",IFERROR(SUMIFS('Weekly Log'!$F:$F,'Weekly Log'!$A:$A,"&gt;="&amp;$J1547,'Weekly Log'!$A:$A,"&lt;"&amp;$J1547+7)/SUMIFS('Weekly Log'!$E:$E,'Weekly Log'!$A:$A,"&gt;="&amp;$J1547,'Weekly Log'!$A:$A,"&lt;"&amp;$J1547+7),0))</f>
        <v/>
      </c>
      <c r="G1547">
        <f>IF($J1547="","",IFERROR(LOOKUP(2,1/(('Weekly Log'!$A$5:$A$5000&gt;=$J1547)*('Weekly Log'!$A$5:$A$5000&lt;$J1547+7)*('Weekly Log'!$M$5:$M$5000&lt;&gt;"")),'Weekly Log'!$M$5:$M$5000),0))</f>
        <v/>
      </c>
      <c r="J1547">
        <f>IF(COUNT('Weekly Log'!$A$5:$A$5000)=0,"",IF(MIN('Weekly Log'!$A$5:$A$5000)+7*(ROW()-10)&gt;MAX('Weekly Log'!$A$5:$A$5000),"",MIN('Weekly Log'!$A$5:$A$5000)+7*(ROW()-10)))</f>
        <v/>
      </c>
    </row>
    <row r="1548">
      <c r="A1548">
        <f>IF($J1548="","",YEAR($J1548-WEEKDAY($J1548,2)+4)&amp;"-W"&amp;TEXT(WEEKNUM($J1548,21),"00"))</f>
        <v/>
      </c>
      <c r="B1548">
        <f>IF($J1548="","",SUMIFS('Weekly Log'!$C:$C,'Weekly Log'!$A:$A,"&gt;="&amp;$J1548,'Weekly Log'!$A:$A,"&lt;"&amp;$J1548+7))</f>
        <v/>
      </c>
      <c r="C1548">
        <f>IF($J1548="","",IFERROR(COUNTIFS('Weekly Log'!$G:$G,"Y",'Weekly Log'!$A:$A,"&gt;="&amp;$J1548,'Weekly Log'!$A:$A,"&lt;"&amp;$J1548+7)/COUNTIFS('Weekly Log'!$G:$G,"&lt;&gt;",'Weekly Log'!$A:$A,"&gt;="&amp;$J1548,'Weekly Log'!$A:$A,"&lt;"&amp;$J1548+7),0))</f>
        <v/>
      </c>
      <c r="D1548">
        <f>IF($J1548="","",IFERROR(COUNTIFS('Weekly Log'!$H:$H,"Y",'Weekly Log'!$A:$A,"&gt;="&amp;$J1548,'Weekly Log'!$A:$A,"&lt;"&amp;$J1548+7)/COUNTIFS('Weekly Log'!$H:$H,"&lt;&gt;",'Weekly Log'!$A:$A,"&gt;="&amp;$J1548,'Weekly Log'!$A:$A,"&lt;"&amp;$J1548+7),0))</f>
        <v/>
      </c>
      <c r="E1548">
        <f>IF($J1548="","",IFERROR(AVERAGEIFS('Weekly Log'!$F:$F,'Weekly Log'!$A:$A,"&gt;="&amp;$J1548,'Weekly Log'!$A:$A,"&lt;"&amp;$J1548+7),0))</f>
        <v/>
      </c>
      <c r="F1548">
        <f>IF($J1548="","",IFERROR(SUMIFS('Weekly Log'!$F:$F,'Weekly Log'!$A:$A,"&gt;="&amp;$J1548,'Weekly Log'!$A:$A,"&lt;"&amp;$J1548+7)/SUMIFS('Weekly Log'!$E:$E,'Weekly Log'!$A:$A,"&gt;="&amp;$J1548,'Weekly Log'!$A:$A,"&lt;"&amp;$J1548+7),0))</f>
        <v/>
      </c>
      <c r="G1548">
        <f>IF($J1548="","",IFERROR(LOOKUP(2,1/(('Weekly Log'!$A$5:$A$5000&gt;=$J1548)*('Weekly Log'!$A$5:$A$5000&lt;$J1548+7)*('Weekly Log'!$M$5:$M$5000&lt;&gt;"")),'Weekly Log'!$M$5:$M$5000),0))</f>
        <v/>
      </c>
      <c r="J1548">
        <f>IF(COUNT('Weekly Log'!$A$5:$A$5000)=0,"",IF(MIN('Weekly Log'!$A$5:$A$5000)+7*(ROW()-10)&gt;MAX('Weekly Log'!$A$5:$A$5000),"",MIN('Weekly Log'!$A$5:$A$5000)+7*(ROW()-10)))</f>
        <v/>
      </c>
    </row>
    <row r="1549">
      <c r="A1549">
        <f>IF($J1549="","",YEAR($J1549-WEEKDAY($J1549,2)+4)&amp;"-W"&amp;TEXT(WEEKNUM($J1549,21),"00"))</f>
        <v/>
      </c>
      <c r="B1549">
        <f>IF($J1549="","",SUMIFS('Weekly Log'!$C:$C,'Weekly Log'!$A:$A,"&gt;="&amp;$J1549,'Weekly Log'!$A:$A,"&lt;"&amp;$J1549+7))</f>
        <v/>
      </c>
      <c r="C1549">
        <f>IF($J1549="","",IFERROR(COUNTIFS('Weekly Log'!$G:$G,"Y",'Weekly Log'!$A:$A,"&gt;="&amp;$J1549,'Weekly Log'!$A:$A,"&lt;"&amp;$J1549+7)/COUNTIFS('Weekly Log'!$G:$G,"&lt;&gt;",'Weekly Log'!$A:$A,"&gt;="&amp;$J1549,'Weekly Log'!$A:$A,"&lt;"&amp;$J1549+7),0))</f>
        <v/>
      </c>
      <c r="D1549">
        <f>IF($J1549="","",IFERROR(COUNTIFS('Weekly Log'!$H:$H,"Y",'Weekly Log'!$A:$A,"&gt;="&amp;$J1549,'Weekly Log'!$A:$A,"&lt;"&amp;$J1549+7)/COUNTIFS('Weekly Log'!$H:$H,"&lt;&gt;",'Weekly Log'!$A:$A,"&gt;="&amp;$J1549,'Weekly Log'!$A:$A,"&lt;"&amp;$J1549+7),0))</f>
        <v/>
      </c>
      <c r="E1549">
        <f>IF($J1549="","",IFERROR(AVERAGEIFS('Weekly Log'!$F:$F,'Weekly Log'!$A:$A,"&gt;="&amp;$J1549,'Weekly Log'!$A:$A,"&lt;"&amp;$J1549+7),0))</f>
        <v/>
      </c>
      <c r="F1549">
        <f>IF($J1549="","",IFERROR(SUMIFS('Weekly Log'!$F:$F,'Weekly Log'!$A:$A,"&gt;="&amp;$J1549,'Weekly Log'!$A:$A,"&lt;"&amp;$J1549+7)/SUMIFS('Weekly Log'!$E:$E,'Weekly Log'!$A:$A,"&gt;="&amp;$J1549,'Weekly Log'!$A:$A,"&lt;"&amp;$J1549+7),0))</f>
        <v/>
      </c>
      <c r="G1549">
        <f>IF($J1549="","",IFERROR(LOOKUP(2,1/(('Weekly Log'!$A$5:$A$5000&gt;=$J1549)*('Weekly Log'!$A$5:$A$5000&lt;$J1549+7)*('Weekly Log'!$M$5:$M$5000&lt;&gt;"")),'Weekly Log'!$M$5:$M$5000),0))</f>
        <v/>
      </c>
      <c r="J1549">
        <f>IF(COUNT('Weekly Log'!$A$5:$A$5000)=0,"",IF(MIN('Weekly Log'!$A$5:$A$5000)+7*(ROW()-10)&gt;MAX('Weekly Log'!$A$5:$A$5000),"",MIN('Weekly Log'!$A$5:$A$5000)+7*(ROW()-10)))</f>
        <v/>
      </c>
    </row>
    <row r="1550">
      <c r="A1550">
        <f>IF($J1550="","",YEAR($J1550-WEEKDAY($J1550,2)+4)&amp;"-W"&amp;TEXT(WEEKNUM($J1550,21),"00"))</f>
        <v/>
      </c>
      <c r="B1550">
        <f>IF($J1550="","",SUMIFS('Weekly Log'!$C:$C,'Weekly Log'!$A:$A,"&gt;="&amp;$J1550,'Weekly Log'!$A:$A,"&lt;"&amp;$J1550+7))</f>
        <v/>
      </c>
      <c r="C1550">
        <f>IF($J1550="","",IFERROR(COUNTIFS('Weekly Log'!$G:$G,"Y",'Weekly Log'!$A:$A,"&gt;="&amp;$J1550,'Weekly Log'!$A:$A,"&lt;"&amp;$J1550+7)/COUNTIFS('Weekly Log'!$G:$G,"&lt;&gt;",'Weekly Log'!$A:$A,"&gt;="&amp;$J1550,'Weekly Log'!$A:$A,"&lt;"&amp;$J1550+7),0))</f>
        <v/>
      </c>
      <c r="D1550">
        <f>IF($J1550="","",IFERROR(COUNTIFS('Weekly Log'!$H:$H,"Y",'Weekly Log'!$A:$A,"&gt;="&amp;$J1550,'Weekly Log'!$A:$A,"&lt;"&amp;$J1550+7)/COUNTIFS('Weekly Log'!$H:$H,"&lt;&gt;",'Weekly Log'!$A:$A,"&gt;="&amp;$J1550,'Weekly Log'!$A:$A,"&lt;"&amp;$J1550+7),0))</f>
        <v/>
      </c>
      <c r="E1550">
        <f>IF($J1550="","",IFERROR(AVERAGEIFS('Weekly Log'!$F:$F,'Weekly Log'!$A:$A,"&gt;="&amp;$J1550,'Weekly Log'!$A:$A,"&lt;"&amp;$J1550+7),0))</f>
        <v/>
      </c>
      <c r="F1550">
        <f>IF($J1550="","",IFERROR(SUMIFS('Weekly Log'!$F:$F,'Weekly Log'!$A:$A,"&gt;="&amp;$J1550,'Weekly Log'!$A:$A,"&lt;"&amp;$J1550+7)/SUMIFS('Weekly Log'!$E:$E,'Weekly Log'!$A:$A,"&gt;="&amp;$J1550,'Weekly Log'!$A:$A,"&lt;"&amp;$J1550+7),0))</f>
        <v/>
      </c>
      <c r="G1550">
        <f>IF($J1550="","",IFERROR(LOOKUP(2,1/(('Weekly Log'!$A$5:$A$5000&gt;=$J1550)*('Weekly Log'!$A$5:$A$5000&lt;$J1550+7)*('Weekly Log'!$M$5:$M$5000&lt;&gt;"")),'Weekly Log'!$M$5:$M$5000),0))</f>
        <v/>
      </c>
      <c r="J1550">
        <f>IF(COUNT('Weekly Log'!$A$5:$A$5000)=0,"",IF(MIN('Weekly Log'!$A$5:$A$5000)+7*(ROW()-10)&gt;MAX('Weekly Log'!$A$5:$A$5000),"",MIN('Weekly Log'!$A$5:$A$5000)+7*(ROW()-10)))</f>
        <v/>
      </c>
    </row>
    <row r="1551">
      <c r="A1551">
        <f>IF($J1551="","",YEAR($J1551-WEEKDAY($J1551,2)+4)&amp;"-W"&amp;TEXT(WEEKNUM($J1551,21),"00"))</f>
        <v/>
      </c>
      <c r="B1551">
        <f>IF($J1551="","",SUMIFS('Weekly Log'!$C:$C,'Weekly Log'!$A:$A,"&gt;="&amp;$J1551,'Weekly Log'!$A:$A,"&lt;"&amp;$J1551+7))</f>
        <v/>
      </c>
      <c r="C1551">
        <f>IF($J1551="","",IFERROR(COUNTIFS('Weekly Log'!$G:$G,"Y",'Weekly Log'!$A:$A,"&gt;="&amp;$J1551,'Weekly Log'!$A:$A,"&lt;"&amp;$J1551+7)/COUNTIFS('Weekly Log'!$G:$G,"&lt;&gt;",'Weekly Log'!$A:$A,"&gt;="&amp;$J1551,'Weekly Log'!$A:$A,"&lt;"&amp;$J1551+7),0))</f>
        <v/>
      </c>
      <c r="D1551">
        <f>IF($J1551="","",IFERROR(COUNTIFS('Weekly Log'!$H:$H,"Y",'Weekly Log'!$A:$A,"&gt;="&amp;$J1551,'Weekly Log'!$A:$A,"&lt;"&amp;$J1551+7)/COUNTIFS('Weekly Log'!$H:$H,"&lt;&gt;",'Weekly Log'!$A:$A,"&gt;="&amp;$J1551,'Weekly Log'!$A:$A,"&lt;"&amp;$J1551+7),0))</f>
        <v/>
      </c>
      <c r="E1551">
        <f>IF($J1551="","",IFERROR(AVERAGEIFS('Weekly Log'!$F:$F,'Weekly Log'!$A:$A,"&gt;="&amp;$J1551,'Weekly Log'!$A:$A,"&lt;"&amp;$J1551+7),0))</f>
        <v/>
      </c>
      <c r="F1551">
        <f>IF($J1551="","",IFERROR(SUMIFS('Weekly Log'!$F:$F,'Weekly Log'!$A:$A,"&gt;="&amp;$J1551,'Weekly Log'!$A:$A,"&lt;"&amp;$J1551+7)/SUMIFS('Weekly Log'!$E:$E,'Weekly Log'!$A:$A,"&gt;="&amp;$J1551,'Weekly Log'!$A:$A,"&lt;"&amp;$J1551+7),0))</f>
        <v/>
      </c>
      <c r="G1551">
        <f>IF($J1551="","",IFERROR(LOOKUP(2,1/(('Weekly Log'!$A$5:$A$5000&gt;=$J1551)*('Weekly Log'!$A$5:$A$5000&lt;$J1551+7)*('Weekly Log'!$M$5:$M$5000&lt;&gt;"")),'Weekly Log'!$M$5:$M$5000),0))</f>
        <v/>
      </c>
      <c r="J1551">
        <f>IF(COUNT('Weekly Log'!$A$5:$A$5000)=0,"",IF(MIN('Weekly Log'!$A$5:$A$5000)+7*(ROW()-10)&gt;MAX('Weekly Log'!$A$5:$A$5000),"",MIN('Weekly Log'!$A$5:$A$5000)+7*(ROW()-10)))</f>
        <v/>
      </c>
    </row>
    <row r="1552">
      <c r="A1552">
        <f>IF($J1552="","",YEAR($J1552-WEEKDAY($J1552,2)+4)&amp;"-W"&amp;TEXT(WEEKNUM($J1552,21),"00"))</f>
        <v/>
      </c>
      <c r="B1552">
        <f>IF($J1552="","",SUMIFS('Weekly Log'!$C:$C,'Weekly Log'!$A:$A,"&gt;="&amp;$J1552,'Weekly Log'!$A:$A,"&lt;"&amp;$J1552+7))</f>
        <v/>
      </c>
      <c r="C1552">
        <f>IF($J1552="","",IFERROR(COUNTIFS('Weekly Log'!$G:$G,"Y",'Weekly Log'!$A:$A,"&gt;="&amp;$J1552,'Weekly Log'!$A:$A,"&lt;"&amp;$J1552+7)/COUNTIFS('Weekly Log'!$G:$G,"&lt;&gt;",'Weekly Log'!$A:$A,"&gt;="&amp;$J1552,'Weekly Log'!$A:$A,"&lt;"&amp;$J1552+7),0))</f>
        <v/>
      </c>
      <c r="D1552">
        <f>IF($J1552="","",IFERROR(COUNTIFS('Weekly Log'!$H:$H,"Y",'Weekly Log'!$A:$A,"&gt;="&amp;$J1552,'Weekly Log'!$A:$A,"&lt;"&amp;$J1552+7)/COUNTIFS('Weekly Log'!$H:$H,"&lt;&gt;",'Weekly Log'!$A:$A,"&gt;="&amp;$J1552,'Weekly Log'!$A:$A,"&lt;"&amp;$J1552+7),0))</f>
        <v/>
      </c>
      <c r="E1552">
        <f>IF($J1552="","",IFERROR(AVERAGEIFS('Weekly Log'!$F:$F,'Weekly Log'!$A:$A,"&gt;="&amp;$J1552,'Weekly Log'!$A:$A,"&lt;"&amp;$J1552+7),0))</f>
        <v/>
      </c>
      <c r="F1552">
        <f>IF($J1552="","",IFERROR(SUMIFS('Weekly Log'!$F:$F,'Weekly Log'!$A:$A,"&gt;="&amp;$J1552,'Weekly Log'!$A:$A,"&lt;"&amp;$J1552+7)/SUMIFS('Weekly Log'!$E:$E,'Weekly Log'!$A:$A,"&gt;="&amp;$J1552,'Weekly Log'!$A:$A,"&lt;"&amp;$J1552+7),0))</f>
        <v/>
      </c>
      <c r="G1552">
        <f>IF($J1552="","",IFERROR(LOOKUP(2,1/(('Weekly Log'!$A$5:$A$5000&gt;=$J1552)*('Weekly Log'!$A$5:$A$5000&lt;$J1552+7)*('Weekly Log'!$M$5:$M$5000&lt;&gt;"")),'Weekly Log'!$M$5:$M$5000),0))</f>
        <v/>
      </c>
      <c r="J1552">
        <f>IF(COUNT('Weekly Log'!$A$5:$A$5000)=0,"",IF(MIN('Weekly Log'!$A$5:$A$5000)+7*(ROW()-10)&gt;MAX('Weekly Log'!$A$5:$A$5000),"",MIN('Weekly Log'!$A$5:$A$5000)+7*(ROW()-10)))</f>
        <v/>
      </c>
    </row>
    <row r="1553">
      <c r="A1553">
        <f>IF($J1553="","",YEAR($J1553-WEEKDAY($J1553,2)+4)&amp;"-W"&amp;TEXT(WEEKNUM($J1553,21),"00"))</f>
        <v/>
      </c>
      <c r="B1553">
        <f>IF($J1553="","",SUMIFS('Weekly Log'!$C:$C,'Weekly Log'!$A:$A,"&gt;="&amp;$J1553,'Weekly Log'!$A:$A,"&lt;"&amp;$J1553+7))</f>
        <v/>
      </c>
      <c r="C1553">
        <f>IF($J1553="","",IFERROR(COUNTIFS('Weekly Log'!$G:$G,"Y",'Weekly Log'!$A:$A,"&gt;="&amp;$J1553,'Weekly Log'!$A:$A,"&lt;"&amp;$J1553+7)/COUNTIFS('Weekly Log'!$G:$G,"&lt;&gt;",'Weekly Log'!$A:$A,"&gt;="&amp;$J1553,'Weekly Log'!$A:$A,"&lt;"&amp;$J1553+7),0))</f>
        <v/>
      </c>
      <c r="D1553">
        <f>IF($J1553="","",IFERROR(COUNTIFS('Weekly Log'!$H:$H,"Y",'Weekly Log'!$A:$A,"&gt;="&amp;$J1553,'Weekly Log'!$A:$A,"&lt;"&amp;$J1553+7)/COUNTIFS('Weekly Log'!$H:$H,"&lt;&gt;",'Weekly Log'!$A:$A,"&gt;="&amp;$J1553,'Weekly Log'!$A:$A,"&lt;"&amp;$J1553+7),0))</f>
        <v/>
      </c>
      <c r="E1553">
        <f>IF($J1553="","",IFERROR(AVERAGEIFS('Weekly Log'!$F:$F,'Weekly Log'!$A:$A,"&gt;="&amp;$J1553,'Weekly Log'!$A:$A,"&lt;"&amp;$J1553+7),0))</f>
        <v/>
      </c>
      <c r="F1553">
        <f>IF($J1553="","",IFERROR(SUMIFS('Weekly Log'!$F:$F,'Weekly Log'!$A:$A,"&gt;="&amp;$J1553,'Weekly Log'!$A:$A,"&lt;"&amp;$J1553+7)/SUMIFS('Weekly Log'!$E:$E,'Weekly Log'!$A:$A,"&gt;="&amp;$J1553,'Weekly Log'!$A:$A,"&lt;"&amp;$J1553+7),0))</f>
        <v/>
      </c>
      <c r="G1553">
        <f>IF($J1553="","",IFERROR(LOOKUP(2,1/(('Weekly Log'!$A$5:$A$5000&gt;=$J1553)*('Weekly Log'!$A$5:$A$5000&lt;$J1553+7)*('Weekly Log'!$M$5:$M$5000&lt;&gt;"")),'Weekly Log'!$M$5:$M$5000),0))</f>
        <v/>
      </c>
      <c r="J1553">
        <f>IF(COUNT('Weekly Log'!$A$5:$A$5000)=0,"",IF(MIN('Weekly Log'!$A$5:$A$5000)+7*(ROW()-10)&gt;MAX('Weekly Log'!$A$5:$A$5000),"",MIN('Weekly Log'!$A$5:$A$5000)+7*(ROW()-10)))</f>
        <v/>
      </c>
    </row>
    <row r="1554">
      <c r="A1554">
        <f>IF($J1554="","",YEAR($J1554-WEEKDAY($J1554,2)+4)&amp;"-W"&amp;TEXT(WEEKNUM($J1554,21),"00"))</f>
        <v/>
      </c>
      <c r="B1554">
        <f>IF($J1554="","",SUMIFS('Weekly Log'!$C:$C,'Weekly Log'!$A:$A,"&gt;="&amp;$J1554,'Weekly Log'!$A:$A,"&lt;"&amp;$J1554+7))</f>
        <v/>
      </c>
      <c r="C1554">
        <f>IF($J1554="","",IFERROR(COUNTIFS('Weekly Log'!$G:$G,"Y",'Weekly Log'!$A:$A,"&gt;="&amp;$J1554,'Weekly Log'!$A:$A,"&lt;"&amp;$J1554+7)/COUNTIFS('Weekly Log'!$G:$G,"&lt;&gt;",'Weekly Log'!$A:$A,"&gt;="&amp;$J1554,'Weekly Log'!$A:$A,"&lt;"&amp;$J1554+7),0))</f>
        <v/>
      </c>
      <c r="D1554">
        <f>IF($J1554="","",IFERROR(COUNTIFS('Weekly Log'!$H:$H,"Y",'Weekly Log'!$A:$A,"&gt;="&amp;$J1554,'Weekly Log'!$A:$A,"&lt;"&amp;$J1554+7)/COUNTIFS('Weekly Log'!$H:$H,"&lt;&gt;",'Weekly Log'!$A:$A,"&gt;="&amp;$J1554,'Weekly Log'!$A:$A,"&lt;"&amp;$J1554+7),0))</f>
        <v/>
      </c>
      <c r="E1554">
        <f>IF($J1554="","",IFERROR(AVERAGEIFS('Weekly Log'!$F:$F,'Weekly Log'!$A:$A,"&gt;="&amp;$J1554,'Weekly Log'!$A:$A,"&lt;"&amp;$J1554+7),0))</f>
        <v/>
      </c>
      <c r="F1554">
        <f>IF($J1554="","",IFERROR(SUMIFS('Weekly Log'!$F:$F,'Weekly Log'!$A:$A,"&gt;="&amp;$J1554,'Weekly Log'!$A:$A,"&lt;"&amp;$J1554+7)/SUMIFS('Weekly Log'!$E:$E,'Weekly Log'!$A:$A,"&gt;="&amp;$J1554,'Weekly Log'!$A:$A,"&lt;"&amp;$J1554+7),0))</f>
        <v/>
      </c>
      <c r="G1554">
        <f>IF($J1554="","",IFERROR(LOOKUP(2,1/(('Weekly Log'!$A$5:$A$5000&gt;=$J1554)*('Weekly Log'!$A$5:$A$5000&lt;$J1554+7)*('Weekly Log'!$M$5:$M$5000&lt;&gt;"")),'Weekly Log'!$M$5:$M$5000),0))</f>
        <v/>
      </c>
      <c r="J1554">
        <f>IF(COUNT('Weekly Log'!$A$5:$A$5000)=0,"",IF(MIN('Weekly Log'!$A$5:$A$5000)+7*(ROW()-10)&gt;MAX('Weekly Log'!$A$5:$A$5000),"",MIN('Weekly Log'!$A$5:$A$5000)+7*(ROW()-10)))</f>
        <v/>
      </c>
    </row>
    <row r="1555">
      <c r="A1555">
        <f>IF($J1555="","",YEAR($J1555-WEEKDAY($J1555,2)+4)&amp;"-W"&amp;TEXT(WEEKNUM($J1555,21),"00"))</f>
        <v/>
      </c>
      <c r="B1555">
        <f>IF($J1555="","",SUMIFS('Weekly Log'!$C:$C,'Weekly Log'!$A:$A,"&gt;="&amp;$J1555,'Weekly Log'!$A:$A,"&lt;"&amp;$J1555+7))</f>
        <v/>
      </c>
      <c r="C1555">
        <f>IF($J1555="","",IFERROR(COUNTIFS('Weekly Log'!$G:$G,"Y",'Weekly Log'!$A:$A,"&gt;="&amp;$J1555,'Weekly Log'!$A:$A,"&lt;"&amp;$J1555+7)/COUNTIFS('Weekly Log'!$G:$G,"&lt;&gt;",'Weekly Log'!$A:$A,"&gt;="&amp;$J1555,'Weekly Log'!$A:$A,"&lt;"&amp;$J1555+7),0))</f>
        <v/>
      </c>
      <c r="D1555">
        <f>IF($J1555="","",IFERROR(COUNTIFS('Weekly Log'!$H:$H,"Y",'Weekly Log'!$A:$A,"&gt;="&amp;$J1555,'Weekly Log'!$A:$A,"&lt;"&amp;$J1555+7)/COUNTIFS('Weekly Log'!$H:$H,"&lt;&gt;",'Weekly Log'!$A:$A,"&gt;="&amp;$J1555,'Weekly Log'!$A:$A,"&lt;"&amp;$J1555+7),0))</f>
        <v/>
      </c>
      <c r="E1555">
        <f>IF($J1555="","",IFERROR(AVERAGEIFS('Weekly Log'!$F:$F,'Weekly Log'!$A:$A,"&gt;="&amp;$J1555,'Weekly Log'!$A:$A,"&lt;"&amp;$J1555+7),0))</f>
        <v/>
      </c>
      <c r="F1555">
        <f>IF($J1555="","",IFERROR(SUMIFS('Weekly Log'!$F:$F,'Weekly Log'!$A:$A,"&gt;="&amp;$J1555,'Weekly Log'!$A:$A,"&lt;"&amp;$J1555+7)/SUMIFS('Weekly Log'!$E:$E,'Weekly Log'!$A:$A,"&gt;="&amp;$J1555,'Weekly Log'!$A:$A,"&lt;"&amp;$J1555+7),0))</f>
        <v/>
      </c>
      <c r="G1555">
        <f>IF($J1555="","",IFERROR(LOOKUP(2,1/(('Weekly Log'!$A$5:$A$5000&gt;=$J1555)*('Weekly Log'!$A$5:$A$5000&lt;$J1555+7)*('Weekly Log'!$M$5:$M$5000&lt;&gt;"")),'Weekly Log'!$M$5:$M$5000),0))</f>
        <v/>
      </c>
      <c r="J1555">
        <f>IF(COUNT('Weekly Log'!$A$5:$A$5000)=0,"",IF(MIN('Weekly Log'!$A$5:$A$5000)+7*(ROW()-10)&gt;MAX('Weekly Log'!$A$5:$A$5000),"",MIN('Weekly Log'!$A$5:$A$5000)+7*(ROW()-10)))</f>
        <v/>
      </c>
    </row>
    <row r="1556">
      <c r="A1556">
        <f>IF($J1556="","",YEAR($J1556-WEEKDAY($J1556,2)+4)&amp;"-W"&amp;TEXT(WEEKNUM($J1556,21),"00"))</f>
        <v/>
      </c>
      <c r="B1556">
        <f>IF($J1556="","",SUMIFS('Weekly Log'!$C:$C,'Weekly Log'!$A:$A,"&gt;="&amp;$J1556,'Weekly Log'!$A:$A,"&lt;"&amp;$J1556+7))</f>
        <v/>
      </c>
      <c r="C1556">
        <f>IF($J1556="","",IFERROR(COUNTIFS('Weekly Log'!$G:$G,"Y",'Weekly Log'!$A:$A,"&gt;="&amp;$J1556,'Weekly Log'!$A:$A,"&lt;"&amp;$J1556+7)/COUNTIFS('Weekly Log'!$G:$G,"&lt;&gt;",'Weekly Log'!$A:$A,"&gt;="&amp;$J1556,'Weekly Log'!$A:$A,"&lt;"&amp;$J1556+7),0))</f>
        <v/>
      </c>
      <c r="D1556">
        <f>IF($J1556="","",IFERROR(COUNTIFS('Weekly Log'!$H:$H,"Y",'Weekly Log'!$A:$A,"&gt;="&amp;$J1556,'Weekly Log'!$A:$A,"&lt;"&amp;$J1556+7)/COUNTIFS('Weekly Log'!$H:$H,"&lt;&gt;",'Weekly Log'!$A:$A,"&gt;="&amp;$J1556,'Weekly Log'!$A:$A,"&lt;"&amp;$J1556+7),0))</f>
        <v/>
      </c>
      <c r="E1556">
        <f>IF($J1556="","",IFERROR(AVERAGEIFS('Weekly Log'!$F:$F,'Weekly Log'!$A:$A,"&gt;="&amp;$J1556,'Weekly Log'!$A:$A,"&lt;"&amp;$J1556+7),0))</f>
        <v/>
      </c>
      <c r="F1556">
        <f>IF($J1556="","",IFERROR(SUMIFS('Weekly Log'!$F:$F,'Weekly Log'!$A:$A,"&gt;="&amp;$J1556,'Weekly Log'!$A:$A,"&lt;"&amp;$J1556+7)/SUMIFS('Weekly Log'!$E:$E,'Weekly Log'!$A:$A,"&gt;="&amp;$J1556,'Weekly Log'!$A:$A,"&lt;"&amp;$J1556+7),0))</f>
        <v/>
      </c>
      <c r="G1556">
        <f>IF($J1556="","",IFERROR(LOOKUP(2,1/(('Weekly Log'!$A$5:$A$5000&gt;=$J1556)*('Weekly Log'!$A$5:$A$5000&lt;$J1556+7)*('Weekly Log'!$M$5:$M$5000&lt;&gt;"")),'Weekly Log'!$M$5:$M$5000),0))</f>
        <v/>
      </c>
      <c r="J1556">
        <f>IF(COUNT('Weekly Log'!$A$5:$A$5000)=0,"",IF(MIN('Weekly Log'!$A$5:$A$5000)+7*(ROW()-10)&gt;MAX('Weekly Log'!$A$5:$A$5000),"",MIN('Weekly Log'!$A$5:$A$5000)+7*(ROW()-10)))</f>
        <v/>
      </c>
    </row>
    <row r="1557">
      <c r="A1557">
        <f>IF($J1557="","",YEAR($J1557-WEEKDAY($J1557,2)+4)&amp;"-W"&amp;TEXT(WEEKNUM($J1557,21),"00"))</f>
        <v/>
      </c>
      <c r="B1557">
        <f>IF($J1557="","",SUMIFS('Weekly Log'!$C:$C,'Weekly Log'!$A:$A,"&gt;="&amp;$J1557,'Weekly Log'!$A:$A,"&lt;"&amp;$J1557+7))</f>
        <v/>
      </c>
      <c r="C1557">
        <f>IF($J1557="","",IFERROR(COUNTIFS('Weekly Log'!$G:$G,"Y",'Weekly Log'!$A:$A,"&gt;="&amp;$J1557,'Weekly Log'!$A:$A,"&lt;"&amp;$J1557+7)/COUNTIFS('Weekly Log'!$G:$G,"&lt;&gt;",'Weekly Log'!$A:$A,"&gt;="&amp;$J1557,'Weekly Log'!$A:$A,"&lt;"&amp;$J1557+7),0))</f>
        <v/>
      </c>
      <c r="D1557">
        <f>IF($J1557="","",IFERROR(COUNTIFS('Weekly Log'!$H:$H,"Y",'Weekly Log'!$A:$A,"&gt;="&amp;$J1557,'Weekly Log'!$A:$A,"&lt;"&amp;$J1557+7)/COUNTIFS('Weekly Log'!$H:$H,"&lt;&gt;",'Weekly Log'!$A:$A,"&gt;="&amp;$J1557,'Weekly Log'!$A:$A,"&lt;"&amp;$J1557+7),0))</f>
        <v/>
      </c>
      <c r="E1557">
        <f>IF($J1557="","",IFERROR(AVERAGEIFS('Weekly Log'!$F:$F,'Weekly Log'!$A:$A,"&gt;="&amp;$J1557,'Weekly Log'!$A:$A,"&lt;"&amp;$J1557+7),0))</f>
        <v/>
      </c>
      <c r="F1557">
        <f>IF($J1557="","",IFERROR(SUMIFS('Weekly Log'!$F:$F,'Weekly Log'!$A:$A,"&gt;="&amp;$J1557,'Weekly Log'!$A:$A,"&lt;"&amp;$J1557+7)/SUMIFS('Weekly Log'!$E:$E,'Weekly Log'!$A:$A,"&gt;="&amp;$J1557,'Weekly Log'!$A:$A,"&lt;"&amp;$J1557+7),0))</f>
        <v/>
      </c>
      <c r="G1557">
        <f>IF($J1557="","",IFERROR(LOOKUP(2,1/(('Weekly Log'!$A$5:$A$5000&gt;=$J1557)*('Weekly Log'!$A$5:$A$5000&lt;$J1557+7)*('Weekly Log'!$M$5:$M$5000&lt;&gt;"")),'Weekly Log'!$M$5:$M$5000),0))</f>
        <v/>
      </c>
      <c r="J1557">
        <f>IF(COUNT('Weekly Log'!$A$5:$A$5000)=0,"",IF(MIN('Weekly Log'!$A$5:$A$5000)+7*(ROW()-10)&gt;MAX('Weekly Log'!$A$5:$A$5000),"",MIN('Weekly Log'!$A$5:$A$5000)+7*(ROW()-10)))</f>
        <v/>
      </c>
    </row>
    <row r="1558">
      <c r="A1558">
        <f>IF($J1558="","",YEAR($J1558-WEEKDAY($J1558,2)+4)&amp;"-W"&amp;TEXT(WEEKNUM($J1558,21),"00"))</f>
        <v/>
      </c>
      <c r="B1558">
        <f>IF($J1558="","",SUMIFS('Weekly Log'!$C:$C,'Weekly Log'!$A:$A,"&gt;="&amp;$J1558,'Weekly Log'!$A:$A,"&lt;"&amp;$J1558+7))</f>
        <v/>
      </c>
      <c r="C1558">
        <f>IF($J1558="","",IFERROR(COUNTIFS('Weekly Log'!$G:$G,"Y",'Weekly Log'!$A:$A,"&gt;="&amp;$J1558,'Weekly Log'!$A:$A,"&lt;"&amp;$J1558+7)/COUNTIFS('Weekly Log'!$G:$G,"&lt;&gt;",'Weekly Log'!$A:$A,"&gt;="&amp;$J1558,'Weekly Log'!$A:$A,"&lt;"&amp;$J1558+7),0))</f>
        <v/>
      </c>
      <c r="D1558">
        <f>IF($J1558="","",IFERROR(COUNTIFS('Weekly Log'!$H:$H,"Y",'Weekly Log'!$A:$A,"&gt;="&amp;$J1558,'Weekly Log'!$A:$A,"&lt;"&amp;$J1558+7)/COUNTIFS('Weekly Log'!$H:$H,"&lt;&gt;",'Weekly Log'!$A:$A,"&gt;="&amp;$J1558,'Weekly Log'!$A:$A,"&lt;"&amp;$J1558+7),0))</f>
        <v/>
      </c>
      <c r="E1558">
        <f>IF($J1558="","",IFERROR(AVERAGEIFS('Weekly Log'!$F:$F,'Weekly Log'!$A:$A,"&gt;="&amp;$J1558,'Weekly Log'!$A:$A,"&lt;"&amp;$J1558+7),0))</f>
        <v/>
      </c>
      <c r="F1558">
        <f>IF($J1558="","",IFERROR(SUMIFS('Weekly Log'!$F:$F,'Weekly Log'!$A:$A,"&gt;="&amp;$J1558,'Weekly Log'!$A:$A,"&lt;"&amp;$J1558+7)/SUMIFS('Weekly Log'!$E:$E,'Weekly Log'!$A:$A,"&gt;="&amp;$J1558,'Weekly Log'!$A:$A,"&lt;"&amp;$J1558+7),0))</f>
        <v/>
      </c>
      <c r="G1558">
        <f>IF($J1558="","",IFERROR(LOOKUP(2,1/(('Weekly Log'!$A$5:$A$5000&gt;=$J1558)*('Weekly Log'!$A$5:$A$5000&lt;$J1558+7)*('Weekly Log'!$M$5:$M$5000&lt;&gt;"")),'Weekly Log'!$M$5:$M$5000),0))</f>
        <v/>
      </c>
      <c r="J1558">
        <f>IF(COUNT('Weekly Log'!$A$5:$A$5000)=0,"",IF(MIN('Weekly Log'!$A$5:$A$5000)+7*(ROW()-10)&gt;MAX('Weekly Log'!$A$5:$A$5000),"",MIN('Weekly Log'!$A$5:$A$5000)+7*(ROW()-10)))</f>
        <v/>
      </c>
    </row>
    <row r="1559">
      <c r="A1559">
        <f>IF($J1559="","",YEAR($J1559-WEEKDAY($J1559,2)+4)&amp;"-W"&amp;TEXT(WEEKNUM($J1559,21),"00"))</f>
        <v/>
      </c>
      <c r="B1559">
        <f>IF($J1559="","",SUMIFS('Weekly Log'!$C:$C,'Weekly Log'!$A:$A,"&gt;="&amp;$J1559,'Weekly Log'!$A:$A,"&lt;"&amp;$J1559+7))</f>
        <v/>
      </c>
      <c r="C1559">
        <f>IF($J1559="","",IFERROR(COUNTIFS('Weekly Log'!$G:$G,"Y",'Weekly Log'!$A:$A,"&gt;="&amp;$J1559,'Weekly Log'!$A:$A,"&lt;"&amp;$J1559+7)/COUNTIFS('Weekly Log'!$G:$G,"&lt;&gt;",'Weekly Log'!$A:$A,"&gt;="&amp;$J1559,'Weekly Log'!$A:$A,"&lt;"&amp;$J1559+7),0))</f>
        <v/>
      </c>
      <c r="D1559">
        <f>IF($J1559="","",IFERROR(COUNTIFS('Weekly Log'!$H:$H,"Y",'Weekly Log'!$A:$A,"&gt;="&amp;$J1559,'Weekly Log'!$A:$A,"&lt;"&amp;$J1559+7)/COUNTIFS('Weekly Log'!$H:$H,"&lt;&gt;",'Weekly Log'!$A:$A,"&gt;="&amp;$J1559,'Weekly Log'!$A:$A,"&lt;"&amp;$J1559+7),0))</f>
        <v/>
      </c>
      <c r="E1559">
        <f>IF($J1559="","",IFERROR(AVERAGEIFS('Weekly Log'!$F:$F,'Weekly Log'!$A:$A,"&gt;="&amp;$J1559,'Weekly Log'!$A:$A,"&lt;"&amp;$J1559+7),0))</f>
        <v/>
      </c>
      <c r="F1559">
        <f>IF($J1559="","",IFERROR(SUMIFS('Weekly Log'!$F:$F,'Weekly Log'!$A:$A,"&gt;="&amp;$J1559,'Weekly Log'!$A:$A,"&lt;"&amp;$J1559+7)/SUMIFS('Weekly Log'!$E:$E,'Weekly Log'!$A:$A,"&gt;="&amp;$J1559,'Weekly Log'!$A:$A,"&lt;"&amp;$J1559+7),0))</f>
        <v/>
      </c>
      <c r="G1559">
        <f>IF($J1559="","",IFERROR(LOOKUP(2,1/(('Weekly Log'!$A$5:$A$5000&gt;=$J1559)*('Weekly Log'!$A$5:$A$5000&lt;$J1559+7)*('Weekly Log'!$M$5:$M$5000&lt;&gt;"")),'Weekly Log'!$M$5:$M$5000),0))</f>
        <v/>
      </c>
      <c r="J1559">
        <f>IF(COUNT('Weekly Log'!$A$5:$A$5000)=0,"",IF(MIN('Weekly Log'!$A$5:$A$5000)+7*(ROW()-10)&gt;MAX('Weekly Log'!$A$5:$A$5000),"",MIN('Weekly Log'!$A$5:$A$5000)+7*(ROW()-10)))</f>
        <v/>
      </c>
    </row>
    <row r="1560">
      <c r="A1560">
        <f>IF($J1560="","",YEAR($J1560-WEEKDAY($J1560,2)+4)&amp;"-W"&amp;TEXT(WEEKNUM($J1560,21),"00"))</f>
        <v/>
      </c>
      <c r="B1560">
        <f>IF($J1560="","",SUMIFS('Weekly Log'!$C:$C,'Weekly Log'!$A:$A,"&gt;="&amp;$J1560,'Weekly Log'!$A:$A,"&lt;"&amp;$J1560+7))</f>
        <v/>
      </c>
      <c r="C1560">
        <f>IF($J1560="","",IFERROR(COUNTIFS('Weekly Log'!$G:$G,"Y",'Weekly Log'!$A:$A,"&gt;="&amp;$J1560,'Weekly Log'!$A:$A,"&lt;"&amp;$J1560+7)/COUNTIFS('Weekly Log'!$G:$G,"&lt;&gt;",'Weekly Log'!$A:$A,"&gt;="&amp;$J1560,'Weekly Log'!$A:$A,"&lt;"&amp;$J1560+7),0))</f>
        <v/>
      </c>
      <c r="D1560">
        <f>IF($J1560="","",IFERROR(COUNTIFS('Weekly Log'!$H:$H,"Y",'Weekly Log'!$A:$A,"&gt;="&amp;$J1560,'Weekly Log'!$A:$A,"&lt;"&amp;$J1560+7)/COUNTIFS('Weekly Log'!$H:$H,"&lt;&gt;",'Weekly Log'!$A:$A,"&gt;="&amp;$J1560,'Weekly Log'!$A:$A,"&lt;"&amp;$J1560+7),0))</f>
        <v/>
      </c>
      <c r="E1560">
        <f>IF($J1560="","",IFERROR(AVERAGEIFS('Weekly Log'!$F:$F,'Weekly Log'!$A:$A,"&gt;="&amp;$J1560,'Weekly Log'!$A:$A,"&lt;"&amp;$J1560+7),0))</f>
        <v/>
      </c>
      <c r="F1560">
        <f>IF($J1560="","",IFERROR(SUMIFS('Weekly Log'!$F:$F,'Weekly Log'!$A:$A,"&gt;="&amp;$J1560,'Weekly Log'!$A:$A,"&lt;"&amp;$J1560+7)/SUMIFS('Weekly Log'!$E:$E,'Weekly Log'!$A:$A,"&gt;="&amp;$J1560,'Weekly Log'!$A:$A,"&lt;"&amp;$J1560+7),0))</f>
        <v/>
      </c>
      <c r="G1560">
        <f>IF($J1560="","",IFERROR(LOOKUP(2,1/(('Weekly Log'!$A$5:$A$5000&gt;=$J1560)*('Weekly Log'!$A$5:$A$5000&lt;$J1560+7)*('Weekly Log'!$M$5:$M$5000&lt;&gt;"")),'Weekly Log'!$M$5:$M$5000),0))</f>
        <v/>
      </c>
      <c r="J1560">
        <f>IF(COUNT('Weekly Log'!$A$5:$A$5000)=0,"",IF(MIN('Weekly Log'!$A$5:$A$5000)+7*(ROW()-10)&gt;MAX('Weekly Log'!$A$5:$A$5000),"",MIN('Weekly Log'!$A$5:$A$5000)+7*(ROW()-10)))</f>
        <v/>
      </c>
    </row>
    <row r="1561">
      <c r="A1561">
        <f>IF($J1561="","",YEAR($J1561-WEEKDAY($J1561,2)+4)&amp;"-W"&amp;TEXT(WEEKNUM($J1561,21),"00"))</f>
        <v/>
      </c>
      <c r="B1561">
        <f>IF($J1561="","",SUMIFS('Weekly Log'!$C:$C,'Weekly Log'!$A:$A,"&gt;="&amp;$J1561,'Weekly Log'!$A:$A,"&lt;"&amp;$J1561+7))</f>
        <v/>
      </c>
      <c r="C1561">
        <f>IF($J1561="","",IFERROR(COUNTIFS('Weekly Log'!$G:$G,"Y",'Weekly Log'!$A:$A,"&gt;="&amp;$J1561,'Weekly Log'!$A:$A,"&lt;"&amp;$J1561+7)/COUNTIFS('Weekly Log'!$G:$G,"&lt;&gt;",'Weekly Log'!$A:$A,"&gt;="&amp;$J1561,'Weekly Log'!$A:$A,"&lt;"&amp;$J1561+7),0))</f>
        <v/>
      </c>
      <c r="D1561">
        <f>IF($J1561="","",IFERROR(COUNTIFS('Weekly Log'!$H:$H,"Y",'Weekly Log'!$A:$A,"&gt;="&amp;$J1561,'Weekly Log'!$A:$A,"&lt;"&amp;$J1561+7)/COUNTIFS('Weekly Log'!$H:$H,"&lt;&gt;",'Weekly Log'!$A:$A,"&gt;="&amp;$J1561,'Weekly Log'!$A:$A,"&lt;"&amp;$J1561+7),0))</f>
        <v/>
      </c>
      <c r="E1561">
        <f>IF($J1561="","",IFERROR(AVERAGEIFS('Weekly Log'!$F:$F,'Weekly Log'!$A:$A,"&gt;="&amp;$J1561,'Weekly Log'!$A:$A,"&lt;"&amp;$J1561+7),0))</f>
        <v/>
      </c>
      <c r="F1561">
        <f>IF($J1561="","",IFERROR(SUMIFS('Weekly Log'!$F:$F,'Weekly Log'!$A:$A,"&gt;="&amp;$J1561,'Weekly Log'!$A:$A,"&lt;"&amp;$J1561+7)/SUMIFS('Weekly Log'!$E:$E,'Weekly Log'!$A:$A,"&gt;="&amp;$J1561,'Weekly Log'!$A:$A,"&lt;"&amp;$J1561+7),0))</f>
        <v/>
      </c>
      <c r="G1561">
        <f>IF($J1561="","",IFERROR(LOOKUP(2,1/(('Weekly Log'!$A$5:$A$5000&gt;=$J1561)*('Weekly Log'!$A$5:$A$5000&lt;$J1561+7)*('Weekly Log'!$M$5:$M$5000&lt;&gt;"")),'Weekly Log'!$M$5:$M$5000),0))</f>
        <v/>
      </c>
      <c r="J1561">
        <f>IF(COUNT('Weekly Log'!$A$5:$A$5000)=0,"",IF(MIN('Weekly Log'!$A$5:$A$5000)+7*(ROW()-10)&gt;MAX('Weekly Log'!$A$5:$A$5000),"",MIN('Weekly Log'!$A$5:$A$5000)+7*(ROW()-10)))</f>
        <v/>
      </c>
    </row>
    <row r="1562">
      <c r="A1562">
        <f>IF($J1562="","",YEAR($J1562-WEEKDAY($J1562,2)+4)&amp;"-W"&amp;TEXT(WEEKNUM($J1562,21),"00"))</f>
        <v/>
      </c>
      <c r="B1562">
        <f>IF($J1562="","",SUMIFS('Weekly Log'!$C:$C,'Weekly Log'!$A:$A,"&gt;="&amp;$J1562,'Weekly Log'!$A:$A,"&lt;"&amp;$J1562+7))</f>
        <v/>
      </c>
      <c r="C1562">
        <f>IF($J1562="","",IFERROR(COUNTIFS('Weekly Log'!$G:$G,"Y",'Weekly Log'!$A:$A,"&gt;="&amp;$J1562,'Weekly Log'!$A:$A,"&lt;"&amp;$J1562+7)/COUNTIFS('Weekly Log'!$G:$G,"&lt;&gt;",'Weekly Log'!$A:$A,"&gt;="&amp;$J1562,'Weekly Log'!$A:$A,"&lt;"&amp;$J1562+7),0))</f>
        <v/>
      </c>
      <c r="D1562">
        <f>IF($J1562="","",IFERROR(COUNTIFS('Weekly Log'!$H:$H,"Y",'Weekly Log'!$A:$A,"&gt;="&amp;$J1562,'Weekly Log'!$A:$A,"&lt;"&amp;$J1562+7)/COUNTIFS('Weekly Log'!$H:$H,"&lt;&gt;",'Weekly Log'!$A:$A,"&gt;="&amp;$J1562,'Weekly Log'!$A:$A,"&lt;"&amp;$J1562+7),0))</f>
        <v/>
      </c>
      <c r="E1562">
        <f>IF($J1562="","",IFERROR(AVERAGEIFS('Weekly Log'!$F:$F,'Weekly Log'!$A:$A,"&gt;="&amp;$J1562,'Weekly Log'!$A:$A,"&lt;"&amp;$J1562+7),0))</f>
        <v/>
      </c>
      <c r="F1562">
        <f>IF($J1562="","",IFERROR(SUMIFS('Weekly Log'!$F:$F,'Weekly Log'!$A:$A,"&gt;="&amp;$J1562,'Weekly Log'!$A:$A,"&lt;"&amp;$J1562+7)/SUMIFS('Weekly Log'!$E:$E,'Weekly Log'!$A:$A,"&gt;="&amp;$J1562,'Weekly Log'!$A:$A,"&lt;"&amp;$J1562+7),0))</f>
        <v/>
      </c>
      <c r="G1562">
        <f>IF($J1562="","",IFERROR(LOOKUP(2,1/(('Weekly Log'!$A$5:$A$5000&gt;=$J1562)*('Weekly Log'!$A$5:$A$5000&lt;$J1562+7)*('Weekly Log'!$M$5:$M$5000&lt;&gt;"")),'Weekly Log'!$M$5:$M$5000),0))</f>
        <v/>
      </c>
      <c r="J1562">
        <f>IF(COUNT('Weekly Log'!$A$5:$A$5000)=0,"",IF(MIN('Weekly Log'!$A$5:$A$5000)+7*(ROW()-10)&gt;MAX('Weekly Log'!$A$5:$A$5000),"",MIN('Weekly Log'!$A$5:$A$5000)+7*(ROW()-10)))</f>
        <v/>
      </c>
    </row>
    <row r="1563">
      <c r="A1563">
        <f>IF($J1563="","",YEAR($J1563-WEEKDAY($J1563,2)+4)&amp;"-W"&amp;TEXT(WEEKNUM($J1563,21),"00"))</f>
        <v/>
      </c>
      <c r="B1563">
        <f>IF($J1563="","",SUMIFS('Weekly Log'!$C:$C,'Weekly Log'!$A:$A,"&gt;="&amp;$J1563,'Weekly Log'!$A:$A,"&lt;"&amp;$J1563+7))</f>
        <v/>
      </c>
      <c r="C1563">
        <f>IF($J1563="","",IFERROR(COUNTIFS('Weekly Log'!$G:$G,"Y",'Weekly Log'!$A:$A,"&gt;="&amp;$J1563,'Weekly Log'!$A:$A,"&lt;"&amp;$J1563+7)/COUNTIFS('Weekly Log'!$G:$G,"&lt;&gt;",'Weekly Log'!$A:$A,"&gt;="&amp;$J1563,'Weekly Log'!$A:$A,"&lt;"&amp;$J1563+7),0))</f>
        <v/>
      </c>
      <c r="D1563">
        <f>IF($J1563="","",IFERROR(COUNTIFS('Weekly Log'!$H:$H,"Y",'Weekly Log'!$A:$A,"&gt;="&amp;$J1563,'Weekly Log'!$A:$A,"&lt;"&amp;$J1563+7)/COUNTIFS('Weekly Log'!$H:$H,"&lt;&gt;",'Weekly Log'!$A:$A,"&gt;="&amp;$J1563,'Weekly Log'!$A:$A,"&lt;"&amp;$J1563+7),0))</f>
        <v/>
      </c>
      <c r="E1563">
        <f>IF($J1563="","",IFERROR(AVERAGEIFS('Weekly Log'!$F:$F,'Weekly Log'!$A:$A,"&gt;="&amp;$J1563,'Weekly Log'!$A:$A,"&lt;"&amp;$J1563+7),0))</f>
        <v/>
      </c>
      <c r="F1563">
        <f>IF($J1563="","",IFERROR(SUMIFS('Weekly Log'!$F:$F,'Weekly Log'!$A:$A,"&gt;="&amp;$J1563,'Weekly Log'!$A:$A,"&lt;"&amp;$J1563+7)/SUMIFS('Weekly Log'!$E:$E,'Weekly Log'!$A:$A,"&gt;="&amp;$J1563,'Weekly Log'!$A:$A,"&lt;"&amp;$J1563+7),0))</f>
        <v/>
      </c>
      <c r="G1563">
        <f>IF($J1563="","",IFERROR(LOOKUP(2,1/(('Weekly Log'!$A$5:$A$5000&gt;=$J1563)*('Weekly Log'!$A$5:$A$5000&lt;$J1563+7)*('Weekly Log'!$M$5:$M$5000&lt;&gt;"")),'Weekly Log'!$M$5:$M$5000),0))</f>
        <v/>
      </c>
      <c r="J1563">
        <f>IF(COUNT('Weekly Log'!$A$5:$A$5000)=0,"",IF(MIN('Weekly Log'!$A$5:$A$5000)+7*(ROW()-10)&gt;MAX('Weekly Log'!$A$5:$A$5000),"",MIN('Weekly Log'!$A$5:$A$5000)+7*(ROW()-10)))</f>
        <v/>
      </c>
    </row>
    <row r="1564">
      <c r="A1564">
        <f>IF($J1564="","",YEAR($J1564-WEEKDAY($J1564,2)+4)&amp;"-W"&amp;TEXT(WEEKNUM($J1564,21),"00"))</f>
        <v/>
      </c>
      <c r="B1564">
        <f>IF($J1564="","",SUMIFS('Weekly Log'!$C:$C,'Weekly Log'!$A:$A,"&gt;="&amp;$J1564,'Weekly Log'!$A:$A,"&lt;"&amp;$J1564+7))</f>
        <v/>
      </c>
      <c r="C1564">
        <f>IF($J1564="","",IFERROR(COUNTIFS('Weekly Log'!$G:$G,"Y",'Weekly Log'!$A:$A,"&gt;="&amp;$J1564,'Weekly Log'!$A:$A,"&lt;"&amp;$J1564+7)/COUNTIFS('Weekly Log'!$G:$G,"&lt;&gt;",'Weekly Log'!$A:$A,"&gt;="&amp;$J1564,'Weekly Log'!$A:$A,"&lt;"&amp;$J1564+7),0))</f>
        <v/>
      </c>
      <c r="D1564">
        <f>IF($J1564="","",IFERROR(COUNTIFS('Weekly Log'!$H:$H,"Y",'Weekly Log'!$A:$A,"&gt;="&amp;$J1564,'Weekly Log'!$A:$A,"&lt;"&amp;$J1564+7)/COUNTIFS('Weekly Log'!$H:$H,"&lt;&gt;",'Weekly Log'!$A:$A,"&gt;="&amp;$J1564,'Weekly Log'!$A:$A,"&lt;"&amp;$J1564+7),0))</f>
        <v/>
      </c>
      <c r="E1564">
        <f>IF($J1564="","",IFERROR(AVERAGEIFS('Weekly Log'!$F:$F,'Weekly Log'!$A:$A,"&gt;="&amp;$J1564,'Weekly Log'!$A:$A,"&lt;"&amp;$J1564+7),0))</f>
        <v/>
      </c>
      <c r="F1564">
        <f>IF($J1564="","",IFERROR(SUMIFS('Weekly Log'!$F:$F,'Weekly Log'!$A:$A,"&gt;="&amp;$J1564,'Weekly Log'!$A:$A,"&lt;"&amp;$J1564+7)/SUMIFS('Weekly Log'!$E:$E,'Weekly Log'!$A:$A,"&gt;="&amp;$J1564,'Weekly Log'!$A:$A,"&lt;"&amp;$J1564+7),0))</f>
        <v/>
      </c>
      <c r="G1564">
        <f>IF($J1564="","",IFERROR(LOOKUP(2,1/(('Weekly Log'!$A$5:$A$5000&gt;=$J1564)*('Weekly Log'!$A$5:$A$5000&lt;$J1564+7)*('Weekly Log'!$M$5:$M$5000&lt;&gt;"")),'Weekly Log'!$M$5:$M$5000),0))</f>
        <v/>
      </c>
      <c r="J1564">
        <f>IF(COUNT('Weekly Log'!$A$5:$A$5000)=0,"",IF(MIN('Weekly Log'!$A$5:$A$5000)+7*(ROW()-10)&gt;MAX('Weekly Log'!$A$5:$A$5000),"",MIN('Weekly Log'!$A$5:$A$5000)+7*(ROW()-10)))</f>
        <v/>
      </c>
    </row>
    <row r="1565">
      <c r="A1565">
        <f>IF($J1565="","",YEAR($J1565-WEEKDAY($J1565,2)+4)&amp;"-W"&amp;TEXT(WEEKNUM($J1565,21),"00"))</f>
        <v/>
      </c>
      <c r="B1565">
        <f>IF($J1565="","",SUMIFS('Weekly Log'!$C:$C,'Weekly Log'!$A:$A,"&gt;="&amp;$J1565,'Weekly Log'!$A:$A,"&lt;"&amp;$J1565+7))</f>
        <v/>
      </c>
      <c r="C1565">
        <f>IF($J1565="","",IFERROR(COUNTIFS('Weekly Log'!$G:$G,"Y",'Weekly Log'!$A:$A,"&gt;="&amp;$J1565,'Weekly Log'!$A:$A,"&lt;"&amp;$J1565+7)/COUNTIFS('Weekly Log'!$G:$G,"&lt;&gt;",'Weekly Log'!$A:$A,"&gt;="&amp;$J1565,'Weekly Log'!$A:$A,"&lt;"&amp;$J1565+7),0))</f>
        <v/>
      </c>
      <c r="D1565">
        <f>IF($J1565="","",IFERROR(COUNTIFS('Weekly Log'!$H:$H,"Y",'Weekly Log'!$A:$A,"&gt;="&amp;$J1565,'Weekly Log'!$A:$A,"&lt;"&amp;$J1565+7)/COUNTIFS('Weekly Log'!$H:$H,"&lt;&gt;",'Weekly Log'!$A:$A,"&gt;="&amp;$J1565,'Weekly Log'!$A:$A,"&lt;"&amp;$J1565+7),0))</f>
        <v/>
      </c>
      <c r="E1565">
        <f>IF($J1565="","",IFERROR(AVERAGEIFS('Weekly Log'!$F:$F,'Weekly Log'!$A:$A,"&gt;="&amp;$J1565,'Weekly Log'!$A:$A,"&lt;"&amp;$J1565+7),0))</f>
        <v/>
      </c>
      <c r="F1565">
        <f>IF($J1565="","",IFERROR(SUMIFS('Weekly Log'!$F:$F,'Weekly Log'!$A:$A,"&gt;="&amp;$J1565,'Weekly Log'!$A:$A,"&lt;"&amp;$J1565+7)/SUMIFS('Weekly Log'!$E:$E,'Weekly Log'!$A:$A,"&gt;="&amp;$J1565,'Weekly Log'!$A:$A,"&lt;"&amp;$J1565+7),0))</f>
        <v/>
      </c>
      <c r="G1565">
        <f>IF($J1565="","",IFERROR(LOOKUP(2,1/(('Weekly Log'!$A$5:$A$5000&gt;=$J1565)*('Weekly Log'!$A$5:$A$5000&lt;$J1565+7)*('Weekly Log'!$M$5:$M$5000&lt;&gt;"")),'Weekly Log'!$M$5:$M$5000),0))</f>
        <v/>
      </c>
      <c r="J1565">
        <f>IF(COUNT('Weekly Log'!$A$5:$A$5000)=0,"",IF(MIN('Weekly Log'!$A$5:$A$5000)+7*(ROW()-10)&gt;MAX('Weekly Log'!$A$5:$A$5000),"",MIN('Weekly Log'!$A$5:$A$5000)+7*(ROW()-10)))</f>
        <v/>
      </c>
    </row>
    <row r="1566">
      <c r="A1566">
        <f>IF($J1566="","",YEAR($J1566-WEEKDAY($J1566,2)+4)&amp;"-W"&amp;TEXT(WEEKNUM($J1566,21),"00"))</f>
        <v/>
      </c>
      <c r="B1566">
        <f>IF($J1566="","",SUMIFS('Weekly Log'!$C:$C,'Weekly Log'!$A:$A,"&gt;="&amp;$J1566,'Weekly Log'!$A:$A,"&lt;"&amp;$J1566+7))</f>
        <v/>
      </c>
      <c r="C1566">
        <f>IF($J1566="","",IFERROR(COUNTIFS('Weekly Log'!$G:$G,"Y",'Weekly Log'!$A:$A,"&gt;="&amp;$J1566,'Weekly Log'!$A:$A,"&lt;"&amp;$J1566+7)/COUNTIFS('Weekly Log'!$G:$G,"&lt;&gt;",'Weekly Log'!$A:$A,"&gt;="&amp;$J1566,'Weekly Log'!$A:$A,"&lt;"&amp;$J1566+7),0))</f>
        <v/>
      </c>
      <c r="D1566">
        <f>IF($J1566="","",IFERROR(COUNTIFS('Weekly Log'!$H:$H,"Y",'Weekly Log'!$A:$A,"&gt;="&amp;$J1566,'Weekly Log'!$A:$A,"&lt;"&amp;$J1566+7)/COUNTIFS('Weekly Log'!$H:$H,"&lt;&gt;",'Weekly Log'!$A:$A,"&gt;="&amp;$J1566,'Weekly Log'!$A:$A,"&lt;"&amp;$J1566+7),0))</f>
        <v/>
      </c>
      <c r="E1566">
        <f>IF($J1566="","",IFERROR(AVERAGEIFS('Weekly Log'!$F:$F,'Weekly Log'!$A:$A,"&gt;="&amp;$J1566,'Weekly Log'!$A:$A,"&lt;"&amp;$J1566+7),0))</f>
        <v/>
      </c>
      <c r="F1566">
        <f>IF($J1566="","",IFERROR(SUMIFS('Weekly Log'!$F:$F,'Weekly Log'!$A:$A,"&gt;="&amp;$J1566,'Weekly Log'!$A:$A,"&lt;"&amp;$J1566+7)/SUMIFS('Weekly Log'!$E:$E,'Weekly Log'!$A:$A,"&gt;="&amp;$J1566,'Weekly Log'!$A:$A,"&lt;"&amp;$J1566+7),0))</f>
        <v/>
      </c>
      <c r="G1566">
        <f>IF($J1566="","",IFERROR(LOOKUP(2,1/(('Weekly Log'!$A$5:$A$5000&gt;=$J1566)*('Weekly Log'!$A$5:$A$5000&lt;$J1566+7)*('Weekly Log'!$M$5:$M$5000&lt;&gt;"")),'Weekly Log'!$M$5:$M$5000),0))</f>
        <v/>
      </c>
      <c r="J1566">
        <f>IF(COUNT('Weekly Log'!$A$5:$A$5000)=0,"",IF(MIN('Weekly Log'!$A$5:$A$5000)+7*(ROW()-10)&gt;MAX('Weekly Log'!$A$5:$A$5000),"",MIN('Weekly Log'!$A$5:$A$5000)+7*(ROW()-10)))</f>
        <v/>
      </c>
    </row>
    <row r="1567">
      <c r="A1567">
        <f>IF($J1567="","",YEAR($J1567-WEEKDAY($J1567,2)+4)&amp;"-W"&amp;TEXT(WEEKNUM($J1567,21),"00"))</f>
        <v/>
      </c>
      <c r="B1567">
        <f>IF($J1567="","",SUMIFS('Weekly Log'!$C:$C,'Weekly Log'!$A:$A,"&gt;="&amp;$J1567,'Weekly Log'!$A:$A,"&lt;"&amp;$J1567+7))</f>
        <v/>
      </c>
      <c r="C1567">
        <f>IF($J1567="","",IFERROR(COUNTIFS('Weekly Log'!$G:$G,"Y",'Weekly Log'!$A:$A,"&gt;="&amp;$J1567,'Weekly Log'!$A:$A,"&lt;"&amp;$J1567+7)/COUNTIFS('Weekly Log'!$G:$G,"&lt;&gt;",'Weekly Log'!$A:$A,"&gt;="&amp;$J1567,'Weekly Log'!$A:$A,"&lt;"&amp;$J1567+7),0))</f>
        <v/>
      </c>
      <c r="D1567">
        <f>IF($J1567="","",IFERROR(COUNTIFS('Weekly Log'!$H:$H,"Y",'Weekly Log'!$A:$A,"&gt;="&amp;$J1567,'Weekly Log'!$A:$A,"&lt;"&amp;$J1567+7)/COUNTIFS('Weekly Log'!$H:$H,"&lt;&gt;",'Weekly Log'!$A:$A,"&gt;="&amp;$J1567,'Weekly Log'!$A:$A,"&lt;"&amp;$J1567+7),0))</f>
        <v/>
      </c>
      <c r="E1567">
        <f>IF($J1567="","",IFERROR(AVERAGEIFS('Weekly Log'!$F:$F,'Weekly Log'!$A:$A,"&gt;="&amp;$J1567,'Weekly Log'!$A:$A,"&lt;"&amp;$J1567+7),0))</f>
        <v/>
      </c>
      <c r="F1567">
        <f>IF($J1567="","",IFERROR(SUMIFS('Weekly Log'!$F:$F,'Weekly Log'!$A:$A,"&gt;="&amp;$J1567,'Weekly Log'!$A:$A,"&lt;"&amp;$J1567+7)/SUMIFS('Weekly Log'!$E:$E,'Weekly Log'!$A:$A,"&gt;="&amp;$J1567,'Weekly Log'!$A:$A,"&lt;"&amp;$J1567+7),0))</f>
        <v/>
      </c>
      <c r="G1567">
        <f>IF($J1567="","",IFERROR(LOOKUP(2,1/(('Weekly Log'!$A$5:$A$5000&gt;=$J1567)*('Weekly Log'!$A$5:$A$5000&lt;$J1567+7)*('Weekly Log'!$M$5:$M$5000&lt;&gt;"")),'Weekly Log'!$M$5:$M$5000),0))</f>
        <v/>
      </c>
      <c r="J1567">
        <f>IF(COUNT('Weekly Log'!$A$5:$A$5000)=0,"",IF(MIN('Weekly Log'!$A$5:$A$5000)+7*(ROW()-10)&gt;MAX('Weekly Log'!$A$5:$A$5000),"",MIN('Weekly Log'!$A$5:$A$5000)+7*(ROW()-10)))</f>
        <v/>
      </c>
    </row>
    <row r="1568">
      <c r="A1568">
        <f>IF($J1568="","",YEAR($J1568-WEEKDAY($J1568,2)+4)&amp;"-W"&amp;TEXT(WEEKNUM($J1568,21),"00"))</f>
        <v/>
      </c>
      <c r="B1568">
        <f>IF($J1568="","",SUMIFS('Weekly Log'!$C:$C,'Weekly Log'!$A:$A,"&gt;="&amp;$J1568,'Weekly Log'!$A:$A,"&lt;"&amp;$J1568+7))</f>
        <v/>
      </c>
      <c r="C1568">
        <f>IF($J1568="","",IFERROR(COUNTIFS('Weekly Log'!$G:$G,"Y",'Weekly Log'!$A:$A,"&gt;="&amp;$J1568,'Weekly Log'!$A:$A,"&lt;"&amp;$J1568+7)/COUNTIFS('Weekly Log'!$G:$G,"&lt;&gt;",'Weekly Log'!$A:$A,"&gt;="&amp;$J1568,'Weekly Log'!$A:$A,"&lt;"&amp;$J1568+7),0))</f>
        <v/>
      </c>
      <c r="D1568">
        <f>IF($J1568="","",IFERROR(COUNTIFS('Weekly Log'!$H:$H,"Y",'Weekly Log'!$A:$A,"&gt;="&amp;$J1568,'Weekly Log'!$A:$A,"&lt;"&amp;$J1568+7)/COUNTIFS('Weekly Log'!$H:$H,"&lt;&gt;",'Weekly Log'!$A:$A,"&gt;="&amp;$J1568,'Weekly Log'!$A:$A,"&lt;"&amp;$J1568+7),0))</f>
        <v/>
      </c>
      <c r="E1568">
        <f>IF($J1568="","",IFERROR(AVERAGEIFS('Weekly Log'!$F:$F,'Weekly Log'!$A:$A,"&gt;="&amp;$J1568,'Weekly Log'!$A:$A,"&lt;"&amp;$J1568+7),0))</f>
        <v/>
      </c>
      <c r="F1568">
        <f>IF($J1568="","",IFERROR(SUMIFS('Weekly Log'!$F:$F,'Weekly Log'!$A:$A,"&gt;="&amp;$J1568,'Weekly Log'!$A:$A,"&lt;"&amp;$J1568+7)/SUMIFS('Weekly Log'!$E:$E,'Weekly Log'!$A:$A,"&gt;="&amp;$J1568,'Weekly Log'!$A:$A,"&lt;"&amp;$J1568+7),0))</f>
        <v/>
      </c>
      <c r="G1568">
        <f>IF($J1568="","",IFERROR(LOOKUP(2,1/(('Weekly Log'!$A$5:$A$5000&gt;=$J1568)*('Weekly Log'!$A$5:$A$5000&lt;$J1568+7)*('Weekly Log'!$M$5:$M$5000&lt;&gt;"")),'Weekly Log'!$M$5:$M$5000),0))</f>
        <v/>
      </c>
      <c r="J1568">
        <f>IF(COUNT('Weekly Log'!$A$5:$A$5000)=0,"",IF(MIN('Weekly Log'!$A$5:$A$5000)+7*(ROW()-10)&gt;MAX('Weekly Log'!$A$5:$A$5000),"",MIN('Weekly Log'!$A$5:$A$5000)+7*(ROW()-10)))</f>
        <v/>
      </c>
    </row>
    <row r="1569">
      <c r="A1569">
        <f>IF($J1569="","",YEAR($J1569-WEEKDAY($J1569,2)+4)&amp;"-W"&amp;TEXT(WEEKNUM($J1569,21),"00"))</f>
        <v/>
      </c>
      <c r="B1569">
        <f>IF($J1569="","",SUMIFS('Weekly Log'!$C:$C,'Weekly Log'!$A:$A,"&gt;="&amp;$J1569,'Weekly Log'!$A:$A,"&lt;"&amp;$J1569+7))</f>
        <v/>
      </c>
      <c r="C1569">
        <f>IF($J1569="","",IFERROR(COUNTIFS('Weekly Log'!$G:$G,"Y",'Weekly Log'!$A:$A,"&gt;="&amp;$J1569,'Weekly Log'!$A:$A,"&lt;"&amp;$J1569+7)/COUNTIFS('Weekly Log'!$G:$G,"&lt;&gt;",'Weekly Log'!$A:$A,"&gt;="&amp;$J1569,'Weekly Log'!$A:$A,"&lt;"&amp;$J1569+7),0))</f>
        <v/>
      </c>
      <c r="D1569">
        <f>IF($J1569="","",IFERROR(COUNTIFS('Weekly Log'!$H:$H,"Y",'Weekly Log'!$A:$A,"&gt;="&amp;$J1569,'Weekly Log'!$A:$A,"&lt;"&amp;$J1569+7)/COUNTIFS('Weekly Log'!$H:$H,"&lt;&gt;",'Weekly Log'!$A:$A,"&gt;="&amp;$J1569,'Weekly Log'!$A:$A,"&lt;"&amp;$J1569+7),0))</f>
        <v/>
      </c>
      <c r="E1569">
        <f>IF($J1569="","",IFERROR(AVERAGEIFS('Weekly Log'!$F:$F,'Weekly Log'!$A:$A,"&gt;="&amp;$J1569,'Weekly Log'!$A:$A,"&lt;"&amp;$J1569+7),0))</f>
        <v/>
      </c>
      <c r="F1569">
        <f>IF($J1569="","",IFERROR(SUMIFS('Weekly Log'!$F:$F,'Weekly Log'!$A:$A,"&gt;="&amp;$J1569,'Weekly Log'!$A:$A,"&lt;"&amp;$J1569+7)/SUMIFS('Weekly Log'!$E:$E,'Weekly Log'!$A:$A,"&gt;="&amp;$J1569,'Weekly Log'!$A:$A,"&lt;"&amp;$J1569+7),0))</f>
        <v/>
      </c>
      <c r="G1569">
        <f>IF($J1569="","",IFERROR(LOOKUP(2,1/(('Weekly Log'!$A$5:$A$5000&gt;=$J1569)*('Weekly Log'!$A$5:$A$5000&lt;$J1569+7)*('Weekly Log'!$M$5:$M$5000&lt;&gt;"")),'Weekly Log'!$M$5:$M$5000),0))</f>
        <v/>
      </c>
      <c r="J1569">
        <f>IF(COUNT('Weekly Log'!$A$5:$A$5000)=0,"",IF(MIN('Weekly Log'!$A$5:$A$5000)+7*(ROW()-10)&gt;MAX('Weekly Log'!$A$5:$A$5000),"",MIN('Weekly Log'!$A$5:$A$5000)+7*(ROW()-10)))</f>
        <v/>
      </c>
    </row>
    <row r="1570">
      <c r="A1570">
        <f>IF($J1570="","",YEAR($J1570-WEEKDAY($J1570,2)+4)&amp;"-W"&amp;TEXT(WEEKNUM($J1570,21),"00"))</f>
        <v/>
      </c>
      <c r="B1570">
        <f>IF($J1570="","",SUMIFS('Weekly Log'!$C:$C,'Weekly Log'!$A:$A,"&gt;="&amp;$J1570,'Weekly Log'!$A:$A,"&lt;"&amp;$J1570+7))</f>
        <v/>
      </c>
      <c r="C1570">
        <f>IF($J1570="","",IFERROR(COUNTIFS('Weekly Log'!$G:$G,"Y",'Weekly Log'!$A:$A,"&gt;="&amp;$J1570,'Weekly Log'!$A:$A,"&lt;"&amp;$J1570+7)/COUNTIFS('Weekly Log'!$G:$G,"&lt;&gt;",'Weekly Log'!$A:$A,"&gt;="&amp;$J1570,'Weekly Log'!$A:$A,"&lt;"&amp;$J1570+7),0))</f>
        <v/>
      </c>
      <c r="D1570">
        <f>IF($J1570="","",IFERROR(COUNTIFS('Weekly Log'!$H:$H,"Y",'Weekly Log'!$A:$A,"&gt;="&amp;$J1570,'Weekly Log'!$A:$A,"&lt;"&amp;$J1570+7)/COUNTIFS('Weekly Log'!$H:$H,"&lt;&gt;",'Weekly Log'!$A:$A,"&gt;="&amp;$J1570,'Weekly Log'!$A:$A,"&lt;"&amp;$J1570+7),0))</f>
        <v/>
      </c>
      <c r="E1570">
        <f>IF($J1570="","",IFERROR(AVERAGEIFS('Weekly Log'!$F:$F,'Weekly Log'!$A:$A,"&gt;="&amp;$J1570,'Weekly Log'!$A:$A,"&lt;"&amp;$J1570+7),0))</f>
        <v/>
      </c>
      <c r="F1570">
        <f>IF($J1570="","",IFERROR(SUMIFS('Weekly Log'!$F:$F,'Weekly Log'!$A:$A,"&gt;="&amp;$J1570,'Weekly Log'!$A:$A,"&lt;"&amp;$J1570+7)/SUMIFS('Weekly Log'!$E:$E,'Weekly Log'!$A:$A,"&gt;="&amp;$J1570,'Weekly Log'!$A:$A,"&lt;"&amp;$J1570+7),0))</f>
        <v/>
      </c>
      <c r="G1570">
        <f>IF($J1570="","",IFERROR(LOOKUP(2,1/(('Weekly Log'!$A$5:$A$5000&gt;=$J1570)*('Weekly Log'!$A$5:$A$5000&lt;$J1570+7)*('Weekly Log'!$M$5:$M$5000&lt;&gt;"")),'Weekly Log'!$M$5:$M$5000),0))</f>
        <v/>
      </c>
      <c r="J1570">
        <f>IF(COUNT('Weekly Log'!$A$5:$A$5000)=0,"",IF(MIN('Weekly Log'!$A$5:$A$5000)+7*(ROW()-10)&gt;MAX('Weekly Log'!$A$5:$A$5000),"",MIN('Weekly Log'!$A$5:$A$5000)+7*(ROW()-10)))</f>
        <v/>
      </c>
    </row>
    <row r="1571">
      <c r="A1571">
        <f>IF($J1571="","",YEAR($J1571-WEEKDAY($J1571,2)+4)&amp;"-W"&amp;TEXT(WEEKNUM($J1571,21),"00"))</f>
        <v/>
      </c>
      <c r="B1571">
        <f>IF($J1571="","",SUMIFS('Weekly Log'!$C:$C,'Weekly Log'!$A:$A,"&gt;="&amp;$J1571,'Weekly Log'!$A:$A,"&lt;"&amp;$J1571+7))</f>
        <v/>
      </c>
      <c r="C1571">
        <f>IF($J1571="","",IFERROR(COUNTIFS('Weekly Log'!$G:$G,"Y",'Weekly Log'!$A:$A,"&gt;="&amp;$J1571,'Weekly Log'!$A:$A,"&lt;"&amp;$J1571+7)/COUNTIFS('Weekly Log'!$G:$G,"&lt;&gt;",'Weekly Log'!$A:$A,"&gt;="&amp;$J1571,'Weekly Log'!$A:$A,"&lt;"&amp;$J1571+7),0))</f>
        <v/>
      </c>
      <c r="D1571">
        <f>IF($J1571="","",IFERROR(COUNTIFS('Weekly Log'!$H:$H,"Y",'Weekly Log'!$A:$A,"&gt;="&amp;$J1571,'Weekly Log'!$A:$A,"&lt;"&amp;$J1571+7)/COUNTIFS('Weekly Log'!$H:$H,"&lt;&gt;",'Weekly Log'!$A:$A,"&gt;="&amp;$J1571,'Weekly Log'!$A:$A,"&lt;"&amp;$J1571+7),0))</f>
        <v/>
      </c>
      <c r="E1571">
        <f>IF($J1571="","",IFERROR(AVERAGEIFS('Weekly Log'!$F:$F,'Weekly Log'!$A:$A,"&gt;="&amp;$J1571,'Weekly Log'!$A:$A,"&lt;"&amp;$J1571+7),0))</f>
        <v/>
      </c>
      <c r="F1571">
        <f>IF($J1571="","",IFERROR(SUMIFS('Weekly Log'!$F:$F,'Weekly Log'!$A:$A,"&gt;="&amp;$J1571,'Weekly Log'!$A:$A,"&lt;"&amp;$J1571+7)/SUMIFS('Weekly Log'!$E:$E,'Weekly Log'!$A:$A,"&gt;="&amp;$J1571,'Weekly Log'!$A:$A,"&lt;"&amp;$J1571+7),0))</f>
        <v/>
      </c>
      <c r="G1571">
        <f>IF($J1571="","",IFERROR(LOOKUP(2,1/(('Weekly Log'!$A$5:$A$5000&gt;=$J1571)*('Weekly Log'!$A$5:$A$5000&lt;$J1571+7)*('Weekly Log'!$M$5:$M$5000&lt;&gt;"")),'Weekly Log'!$M$5:$M$5000),0))</f>
        <v/>
      </c>
      <c r="J1571">
        <f>IF(COUNT('Weekly Log'!$A$5:$A$5000)=0,"",IF(MIN('Weekly Log'!$A$5:$A$5000)+7*(ROW()-10)&gt;MAX('Weekly Log'!$A$5:$A$5000),"",MIN('Weekly Log'!$A$5:$A$5000)+7*(ROW()-10)))</f>
        <v/>
      </c>
    </row>
    <row r="1572">
      <c r="A1572">
        <f>IF($J1572="","",YEAR($J1572-WEEKDAY($J1572,2)+4)&amp;"-W"&amp;TEXT(WEEKNUM($J1572,21),"00"))</f>
        <v/>
      </c>
      <c r="B1572">
        <f>IF($J1572="","",SUMIFS('Weekly Log'!$C:$C,'Weekly Log'!$A:$A,"&gt;="&amp;$J1572,'Weekly Log'!$A:$A,"&lt;"&amp;$J1572+7))</f>
        <v/>
      </c>
      <c r="C1572">
        <f>IF($J1572="","",IFERROR(COUNTIFS('Weekly Log'!$G:$G,"Y",'Weekly Log'!$A:$A,"&gt;="&amp;$J1572,'Weekly Log'!$A:$A,"&lt;"&amp;$J1572+7)/COUNTIFS('Weekly Log'!$G:$G,"&lt;&gt;",'Weekly Log'!$A:$A,"&gt;="&amp;$J1572,'Weekly Log'!$A:$A,"&lt;"&amp;$J1572+7),0))</f>
        <v/>
      </c>
      <c r="D1572">
        <f>IF($J1572="","",IFERROR(COUNTIFS('Weekly Log'!$H:$H,"Y",'Weekly Log'!$A:$A,"&gt;="&amp;$J1572,'Weekly Log'!$A:$A,"&lt;"&amp;$J1572+7)/COUNTIFS('Weekly Log'!$H:$H,"&lt;&gt;",'Weekly Log'!$A:$A,"&gt;="&amp;$J1572,'Weekly Log'!$A:$A,"&lt;"&amp;$J1572+7),0))</f>
        <v/>
      </c>
      <c r="E1572">
        <f>IF($J1572="","",IFERROR(AVERAGEIFS('Weekly Log'!$F:$F,'Weekly Log'!$A:$A,"&gt;="&amp;$J1572,'Weekly Log'!$A:$A,"&lt;"&amp;$J1572+7),0))</f>
        <v/>
      </c>
      <c r="F1572">
        <f>IF($J1572="","",IFERROR(SUMIFS('Weekly Log'!$F:$F,'Weekly Log'!$A:$A,"&gt;="&amp;$J1572,'Weekly Log'!$A:$A,"&lt;"&amp;$J1572+7)/SUMIFS('Weekly Log'!$E:$E,'Weekly Log'!$A:$A,"&gt;="&amp;$J1572,'Weekly Log'!$A:$A,"&lt;"&amp;$J1572+7),0))</f>
        <v/>
      </c>
      <c r="G1572">
        <f>IF($J1572="","",IFERROR(LOOKUP(2,1/(('Weekly Log'!$A$5:$A$5000&gt;=$J1572)*('Weekly Log'!$A$5:$A$5000&lt;$J1572+7)*('Weekly Log'!$M$5:$M$5000&lt;&gt;"")),'Weekly Log'!$M$5:$M$5000),0))</f>
        <v/>
      </c>
      <c r="J1572">
        <f>IF(COUNT('Weekly Log'!$A$5:$A$5000)=0,"",IF(MIN('Weekly Log'!$A$5:$A$5000)+7*(ROW()-10)&gt;MAX('Weekly Log'!$A$5:$A$5000),"",MIN('Weekly Log'!$A$5:$A$5000)+7*(ROW()-10)))</f>
        <v/>
      </c>
    </row>
    <row r="1573">
      <c r="A1573">
        <f>IF($J1573="","",YEAR($J1573-WEEKDAY($J1573,2)+4)&amp;"-W"&amp;TEXT(WEEKNUM($J1573,21),"00"))</f>
        <v/>
      </c>
      <c r="B1573">
        <f>IF($J1573="","",SUMIFS('Weekly Log'!$C:$C,'Weekly Log'!$A:$A,"&gt;="&amp;$J1573,'Weekly Log'!$A:$A,"&lt;"&amp;$J1573+7))</f>
        <v/>
      </c>
      <c r="C1573">
        <f>IF($J1573="","",IFERROR(COUNTIFS('Weekly Log'!$G:$G,"Y",'Weekly Log'!$A:$A,"&gt;="&amp;$J1573,'Weekly Log'!$A:$A,"&lt;"&amp;$J1573+7)/COUNTIFS('Weekly Log'!$G:$G,"&lt;&gt;",'Weekly Log'!$A:$A,"&gt;="&amp;$J1573,'Weekly Log'!$A:$A,"&lt;"&amp;$J1573+7),0))</f>
        <v/>
      </c>
      <c r="D1573">
        <f>IF($J1573="","",IFERROR(COUNTIFS('Weekly Log'!$H:$H,"Y",'Weekly Log'!$A:$A,"&gt;="&amp;$J1573,'Weekly Log'!$A:$A,"&lt;"&amp;$J1573+7)/COUNTIFS('Weekly Log'!$H:$H,"&lt;&gt;",'Weekly Log'!$A:$A,"&gt;="&amp;$J1573,'Weekly Log'!$A:$A,"&lt;"&amp;$J1573+7),0))</f>
        <v/>
      </c>
      <c r="E1573">
        <f>IF($J1573="","",IFERROR(AVERAGEIFS('Weekly Log'!$F:$F,'Weekly Log'!$A:$A,"&gt;="&amp;$J1573,'Weekly Log'!$A:$A,"&lt;"&amp;$J1573+7),0))</f>
        <v/>
      </c>
      <c r="F1573">
        <f>IF($J1573="","",IFERROR(SUMIFS('Weekly Log'!$F:$F,'Weekly Log'!$A:$A,"&gt;="&amp;$J1573,'Weekly Log'!$A:$A,"&lt;"&amp;$J1573+7)/SUMIFS('Weekly Log'!$E:$E,'Weekly Log'!$A:$A,"&gt;="&amp;$J1573,'Weekly Log'!$A:$A,"&lt;"&amp;$J1573+7),0))</f>
        <v/>
      </c>
      <c r="G1573">
        <f>IF($J1573="","",IFERROR(LOOKUP(2,1/(('Weekly Log'!$A$5:$A$5000&gt;=$J1573)*('Weekly Log'!$A$5:$A$5000&lt;$J1573+7)*('Weekly Log'!$M$5:$M$5000&lt;&gt;"")),'Weekly Log'!$M$5:$M$5000),0))</f>
        <v/>
      </c>
      <c r="J1573">
        <f>IF(COUNT('Weekly Log'!$A$5:$A$5000)=0,"",IF(MIN('Weekly Log'!$A$5:$A$5000)+7*(ROW()-10)&gt;MAX('Weekly Log'!$A$5:$A$5000),"",MIN('Weekly Log'!$A$5:$A$5000)+7*(ROW()-10)))</f>
        <v/>
      </c>
    </row>
    <row r="1574">
      <c r="A1574">
        <f>IF($J1574="","",YEAR($J1574-WEEKDAY($J1574,2)+4)&amp;"-W"&amp;TEXT(WEEKNUM($J1574,21),"00"))</f>
        <v/>
      </c>
      <c r="B1574">
        <f>IF($J1574="","",SUMIFS('Weekly Log'!$C:$C,'Weekly Log'!$A:$A,"&gt;="&amp;$J1574,'Weekly Log'!$A:$A,"&lt;"&amp;$J1574+7))</f>
        <v/>
      </c>
      <c r="C1574">
        <f>IF($J1574="","",IFERROR(COUNTIFS('Weekly Log'!$G:$G,"Y",'Weekly Log'!$A:$A,"&gt;="&amp;$J1574,'Weekly Log'!$A:$A,"&lt;"&amp;$J1574+7)/COUNTIFS('Weekly Log'!$G:$G,"&lt;&gt;",'Weekly Log'!$A:$A,"&gt;="&amp;$J1574,'Weekly Log'!$A:$A,"&lt;"&amp;$J1574+7),0))</f>
        <v/>
      </c>
      <c r="D1574">
        <f>IF($J1574="","",IFERROR(COUNTIFS('Weekly Log'!$H:$H,"Y",'Weekly Log'!$A:$A,"&gt;="&amp;$J1574,'Weekly Log'!$A:$A,"&lt;"&amp;$J1574+7)/COUNTIFS('Weekly Log'!$H:$H,"&lt;&gt;",'Weekly Log'!$A:$A,"&gt;="&amp;$J1574,'Weekly Log'!$A:$A,"&lt;"&amp;$J1574+7),0))</f>
        <v/>
      </c>
      <c r="E1574">
        <f>IF($J1574="","",IFERROR(AVERAGEIFS('Weekly Log'!$F:$F,'Weekly Log'!$A:$A,"&gt;="&amp;$J1574,'Weekly Log'!$A:$A,"&lt;"&amp;$J1574+7),0))</f>
        <v/>
      </c>
      <c r="F1574">
        <f>IF($J1574="","",IFERROR(SUMIFS('Weekly Log'!$F:$F,'Weekly Log'!$A:$A,"&gt;="&amp;$J1574,'Weekly Log'!$A:$A,"&lt;"&amp;$J1574+7)/SUMIFS('Weekly Log'!$E:$E,'Weekly Log'!$A:$A,"&gt;="&amp;$J1574,'Weekly Log'!$A:$A,"&lt;"&amp;$J1574+7),0))</f>
        <v/>
      </c>
      <c r="G1574">
        <f>IF($J1574="","",IFERROR(LOOKUP(2,1/(('Weekly Log'!$A$5:$A$5000&gt;=$J1574)*('Weekly Log'!$A$5:$A$5000&lt;$J1574+7)*('Weekly Log'!$M$5:$M$5000&lt;&gt;"")),'Weekly Log'!$M$5:$M$5000),0))</f>
        <v/>
      </c>
      <c r="J1574">
        <f>IF(COUNT('Weekly Log'!$A$5:$A$5000)=0,"",IF(MIN('Weekly Log'!$A$5:$A$5000)+7*(ROW()-10)&gt;MAX('Weekly Log'!$A$5:$A$5000),"",MIN('Weekly Log'!$A$5:$A$5000)+7*(ROW()-10)))</f>
        <v/>
      </c>
    </row>
    <row r="1575">
      <c r="A1575">
        <f>IF($J1575="","",YEAR($J1575-WEEKDAY($J1575,2)+4)&amp;"-W"&amp;TEXT(WEEKNUM($J1575,21),"00"))</f>
        <v/>
      </c>
      <c r="B1575">
        <f>IF($J1575="","",SUMIFS('Weekly Log'!$C:$C,'Weekly Log'!$A:$A,"&gt;="&amp;$J1575,'Weekly Log'!$A:$A,"&lt;"&amp;$J1575+7))</f>
        <v/>
      </c>
      <c r="C1575">
        <f>IF($J1575="","",IFERROR(COUNTIFS('Weekly Log'!$G:$G,"Y",'Weekly Log'!$A:$A,"&gt;="&amp;$J1575,'Weekly Log'!$A:$A,"&lt;"&amp;$J1575+7)/COUNTIFS('Weekly Log'!$G:$G,"&lt;&gt;",'Weekly Log'!$A:$A,"&gt;="&amp;$J1575,'Weekly Log'!$A:$A,"&lt;"&amp;$J1575+7),0))</f>
        <v/>
      </c>
      <c r="D1575">
        <f>IF($J1575="","",IFERROR(COUNTIFS('Weekly Log'!$H:$H,"Y",'Weekly Log'!$A:$A,"&gt;="&amp;$J1575,'Weekly Log'!$A:$A,"&lt;"&amp;$J1575+7)/COUNTIFS('Weekly Log'!$H:$H,"&lt;&gt;",'Weekly Log'!$A:$A,"&gt;="&amp;$J1575,'Weekly Log'!$A:$A,"&lt;"&amp;$J1575+7),0))</f>
        <v/>
      </c>
      <c r="E1575">
        <f>IF($J1575="","",IFERROR(AVERAGEIFS('Weekly Log'!$F:$F,'Weekly Log'!$A:$A,"&gt;="&amp;$J1575,'Weekly Log'!$A:$A,"&lt;"&amp;$J1575+7),0))</f>
        <v/>
      </c>
      <c r="F1575">
        <f>IF($J1575="","",IFERROR(SUMIFS('Weekly Log'!$F:$F,'Weekly Log'!$A:$A,"&gt;="&amp;$J1575,'Weekly Log'!$A:$A,"&lt;"&amp;$J1575+7)/SUMIFS('Weekly Log'!$E:$E,'Weekly Log'!$A:$A,"&gt;="&amp;$J1575,'Weekly Log'!$A:$A,"&lt;"&amp;$J1575+7),0))</f>
        <v/>
      </c>
      <c r="G1575">
        <f>IF($J1575="","",IFERROR(LOOKUP(2,1/(('Weekly Log'!$A$5:$A$5000&gt;=$J1575)*('Weekly Log'!$A$5:$A$5000&lt;$J1575+7)*('Weekly Log'!$M$5:$M$5000&lt;&gt;"")),'Weekly Log'!$M$5:$M$5000),0))</f>
        <v/>
      </c>
      <c r="J1575">
        <f>IF(COUNT('Weekly Log'!$A$5:$A$5000)=0,"",IF(MIN('Weekly Log'!$A$5:$A$5000)+7*(ROW()-10)&gt;MAX('Weekly Log'!$A$5:$A$5000),"",MIN('Weekly Log'!$A$5:$A$5000)+7*(ROW()-10)))</f>
        <v/>
      </c>
    </row>
    <row r="1576">
      <c r="A1576">
        <f>IF($J1576="","",YEAR($J1576-WEEKDAY($J1576,2)+4)&amp;"-W"&amp;TEXT(WEEKNUM($J1576,21),"00"))</f>
        <v/>
      </c>
      <c r="B1576">
        <f>IF($J1576="","",SUMIFS('Weekly Log'!$C:$C,'Weekly Log'!$A:$A,"&gt;="&amp;$J1576,'Weekly Log'!$A:$A,"&lt;"&amp;$J1576+7))</f>
        <v/>
      </c>
      <c r="C1576">
        <f>IF($J1576="","",IFERROR(COUNTIFS('Weekly Log'!$G:$G,"Y",'Weekly Log'!$A:$A,"&gt;="&amp;$J1576,'Weekly Log'!$A:$A,"&lt;"&amp;$J1576+7)/COUNTIFS('Weekly Log'!$G:$G,"&lt;&gt;",'Weekly Log'!$A:$A,"&gt;="&amp;$J1576,'Weekly Log'!$A:$A,"&lt;"&amp;$J1576+7),0))</f>
        <v/>
      </c>
      <c r="D1576">
        <f>IF($J1576="","",IFERROR(COUNTIFS('Weekly Log'!$H:$H,"Y",'Weekly Log'!$A:$A,"&gt;="&amp;$J1576,'Weekly Log'!$A:$A,"&lt;"&amp;$J1576+7)/COUNTIFS('Weekly Log'!$H:$H,"&lt;&gt;",'Weekly Log'!$A:$A,"&gt;="&amp;$J1576,'Weekly Log'!$A:$A,"&lt;"&amp;$J1576+7),0))</f>
        <v/>
      </c>
      <c r="E1576">
        <f>IF($J1576="","",IFERROR(AVERAGEIFS('Weekly Log'!$F:$F,'Weekly Log'!$A:$A,"&gt;="&amp;$J1576,'Weekly Log'!$A:$A,"&lt;"&amp;$J1576+7),0))</f>
        <v/>
      </c>
      <c r="F1576">
        <f>IF($J1576="","",IFERROR(SUMIFS('Weekly Log'!$F:$F,'Weekly Log'!$A:$A,"&gt;="&amp;$J1576,'Weekly Log'!$A:$A,"&lt;"&amp;$J1576+7)/SUMIFS('Weekly Log'!$E:$E,'Weekly Log'!$A:$A,"&gt;="&amp;$J1576,'Weekly Log'!$A:$A,"&lt;"&amp;$J1576+7),0))</f>
        <v/>
      </c>
      <c r="G1576">
        <f>IF($J1576="","",IFERROR(LOOKUP(2,1/(('Weekly Log'!$A$5:$A$5000&gt;=$J1576)*('Weekly Log'!$A$5:$A$5000&lt;$J1576+7)*('Weekly Log'!$M$5:$M$5000&lt;&gt;"")),'Weekly Log'!$M$5:$M$5000),0))</f>
        <v/>
      </c>
      <c r="J1576">
        <f>IF(COUNT('Weekly Log'!$A$5:$A$5000)=0,"",IF(MIN('Weekly Log'!$A$5:$A$5000)+7*(ROW()-10)&gt;MAX('Weekly Log'!$A$5:$A$5000),"",MIN('Weekly Log'!$A$5:$A$5000)+7*(ROW()-10)))</f>
        <v/>
      </c>
    </row>
    <row r="1577">
      <c r="A1577">
        <f>IF($J1577="","",YEAR($J1577-WEEKDAY($J1577,2)+4)&amp;"-W"&amp;TEXT(WEEKNUM($J1577,21),"00"))</f>
        <v/>
      </c>
      <c r="B1577">
        <f>IF($J1577="","",SUMIFS('Weekly Log'!$C:$C,'Weekly Log'!$A:$A,"&gt;="&amp;$J1577,'Weekly Log'!$A:$A,"&lt;"&amp;$J1577+7))</f>
        <v/>
      </c>
      <c r="C1577">
        <f>IF($J1577="","",IFERROR(COUNTIFS('Weekly Log'!$G:$G,"Y",'Weekly Log'!$A:$A,"&gt;="&amp;$J1577,'Weekly Log'!$A:$A,"&lt;"&amp;$J1577+7)/COUNTIFS('Weekly Log'!$G:$G,"&lt;&gt;",'Weekly Log'!$A:$A,"&gt;="&amp;$J1577,'Weekly Log'!$A:$A,"&lt;"&amp;$J1577+7),0))</f>
        <v/>
      </c>
      <c r="D1577">
        <f>IF($J1577="","",IFERROR(COUNTIFS('Weekly Log'!$H:$H,"Y",'Weekly Log'!$A:$A,"&gt;="&amp;$J1577,'Weekly Log'!$A:$A,"&lt;"&amp;$J1577+7)/COUNTIFS('Weekly Log'!$H:$H,"&lt;&gt;",'Weekly Log'!$A:$A,"&gt;="&amp;$J1577,'Weekly Log'!$A:$A,"&lt;"&amp;$J1577+7),0))</f>
        <v/>
      </c>
      <c r="E1577">
        <f>IF($J1577="","",IFERROR(AVERAGEIFS('Weekly Log'!$F:$F,'Weekly Log'!$A:$A,"&gt;="&amp;$J1577,'Weekly Log'!$A:$A,"&lt;"&amp;$J1577+7),0))</f>
        <v/>
      </c>
      <c r="F1577">
        <f>IF($J1577="","",IFERROR(SUMIFS('Weekly Log'!$F:$F,'Weekly Log'!$A:$A,"&gt;="&amp;$J1577,'Weekly Log'!$A:$A,"&lt;"&amp;$J1577+7)/SUMIFS('Weekly Log'!$E:$E,'Weekly Log'!$A:$A,"&gt;="&amp;$J1577,'Weekly Log'!$A:$A,"&lt;"&amp;$J1577+7),0))</f>
        <v/>
      </c>
      <c r="G1577">
        <f>IF($J1577="","",IFERROR(LOOKUP(2,1/(('Weekly Log'!$A$5:$A$5000&gt;=$J1577)*('Weekly Log'!$A$5:$A$5000&lt;$J1577+7)*('Weekly Log'!$M$5:$M$5000&lt;&gt;"")),'Weekly Log'!$M$5:$M$5000),0))</f>
        <v/>
      </c>
      <c r="J1577">
        <f>IF(COUNT('Weekly Log'!$A$5:$A$5000)=0,"",IF(MIN('Weekly Log'!$A$5:$A$5000)+7*(ROW()-10)&gt;MAX('Weekly Log'!$A$5:$A$5000),"",MIN('Weekly Log'!$A$5:$A$5000)+7*(ROW()-10)))</f>
        <v/>
      </c>
    </row>
    <row r="1578">
      <c r="A1578">
        <f>IF($J1578="","",YEAR($J1578-WEEKDAY($J1578,2)+4)&amp;"-W"&amp;TEXT(WEEKNUM($J1578,21),"00"))</f>
        <v/>
      </c>
      <c r="B1578">
        <f>IF($J1578="","",SUMIFS('Weekly Log'!$C:$C,'Weekly Log'!$A:$A,"&gt;="&amp;$J1578,'Weekly Log'!$A:$A,"&lt;"&amp;$J1578+7))</f>
        <v/>
      </c>
      <c r="C1578">
        <f>IF($J1578="","",IFERROR(COUNTIFS('Weekly Log'!$G:$G,"Y",'Weekly Log'!$A:$A,"&gt;="&amp;$J1578,'Weekly Log'!$A:$A,"&lt;"&amp;$J1578+7)/COUNTIFS('Weekly Log'!$G:$G,"&lt;&gt;",'Weekly Log'!$A:$A,"&gt;="&amp;$J1578,'Weekly Log'!$A:$A,"&lt;"&amp;$J1578+7),0))</f>
        <v/>
      </c>
      <c r="D1578">
        <f>IF($J1578="","",IFERROR(COUNTIFS('Weekly Log'!$H:$H,"Y",'Weekly Log'!$A:$A,"&gt;="&amp;$J1578,'Weekly Log'!$A:$A,"&lt;"&amp;$J1578+7)/COUNTIFS('Weekly Log'!$H:$H,"&lt;&gt;",'Weekly Log'!$A:$A,"&gt;="&amp;$J1578,'Weekly Log'!$A:$A,"&lt;"&amp;$J1578+7),0))</f>
        <v/>
      </c>
      <c r="E1578">
        <f>IF($J1578="","",IFERROR(AVERAGEIFS('Weekly Log'!$F:$F,'Weekly Log'!$A:$A,"&gt;="&amp;$J1578,'Weekly Log'!$A:$A,"&lt;"&amp;$J1578+7),0))</f>
        <v/>
      </c>
      <c r="F1578">
        <f>IF($J1578="","",IFERROR(SUMIFS('Weekly Log'!$F:$F,'Weekly Log'!$A:$A,"&gt;="&amp;$J1578,'Weekly Log'!$A:$A,"&lt;"&amp;$J1578+7)/SUMIFS('Weekly Log'!$E:$E,'Weekly Log'!$A:$A,"&gt;="&amp;$J1578,'Weekly Log'!$A:$A,"&lt;"&amp;$J1578+7),0))</f>
        <v/>
      </c>
      <c r="G1578">
        <f>IF($J1578="","",IFERROR(LOOKUP(2,1/(('Weekly Log'!$A$5:$A$5000&gt;=$J1578)*('Weekly Log'!$A$5:$A$5000&lt;$J1578+7)*('Weekly Log'!$M$5:$M$5000&lt;&gt;"")),'Weekly Log'!$M$5:$M$5000),0))</f>
        <v/>
      </c>
      <c r="J1578">
        <f>IF(COUNT('Weekly Log'!$A$5:$A$5000)=0,"",IF(MIN('Weekly Log'!$A$5:$A$5000)+7*(ROW()-10)&gt;MAX('Weekly Log'!$A$5:$A$5000),"",MIN('Weekly Log'!$A$5:$A$5000)+7*(ROW()-10)))</f>
        <v/>
      </c>
    </row>
    <row r="1579">
      <c r="A1579">
        <f>IF($J1579="","",YEAR($J1579-WEEKDAY($J1579,2)+4)&amp;"-W"&amp;TEXT(WEEKNUM($J1579,21),"00"))</f>
        <v/>
      </c>
      <c r="B1579">
        <f>IF($J1579="","",SUMIFS('Weekly Log'!$C:$C,'Weekly Log'!$A:$A,"&gt;="&amp;$J1579,'Weekly Log'!$A:$A,"&lt;"&amp;$J1579+7))</f>
        <v/>
      </c>
      <c r="C1579">
        <f>IF($J1579="","",IFERROR(COUNTIFS('Weekly Log'!$G:$G,"Y",'Weekly Log'!$A:$A,"&gt;="&amp;$J1579,'Weekly Log'!$A:$A,"&lt;"&amp;$J1579+7)/COUNTIFS('Weekly Log'!$G:$G,"&lt;&gt;",'Weekly Log'!$A:$A,"&gt;="&amp;$J1579,'Weekly Log'!$A:$A,"&lt;"&amp;$J1579+7),0))</f>
        <v/>
      </c>
      <c r="D1579">
        <f>IF($J1579="","",IFERROR(COUNTIFS('Weekly Log'!$H:$H,"Y",'Weekly Log'!$A:$A,"&gt;="&amp;$J1579,'Weekly Log'!$A:$A,"&lt;"&amp;$J1579+7)/COUNTIFS('Weekly Log'!$H:$H,"&lt;&gt;",'Weekly Log'!$A:$A,"&gt;="&amp;$J1579,'Weekly Log'!$A:$A,"&lt;"&amp;$J1579+7),0))</f>
        <v/>
      </c>
      <c r="E1579">
        <f>IF($J1579="","",IFERROR(AVERAGEIFS('Weekly Log'!$F:$F,'Weekly Log'!$A:$A,"&gt;="&amp;$J1579,'Weekly Log'!$A:$A,"&lt;"&amp;$J1579+7),0))</f>
        <v/>
      </c>
      <c r="F1579">
        <f>IF($J1579="","",IFERROR(SUMIFS('Weekly Log'!$F:$F,'Weekly Log'!$A:$A,"&gt;="&amp;$J1579,'Weekly Log'!$A:$A,"&lt;"&amp;$J1579+7)/SUMIFS('Weekly Log'!$E:$E,'Weekly Log'!$A:$A,"&gt;="&amp;$J1579,'Weekly Log'!$A:$A,"&lt;"&amp;$J1579+7),0))</f>
        <v/>
      </c>
      <c r="G1579">
        <f>IF($J1579="","",IFERROR(LOOKUP(2,1/(('Weekly Log'!$A$5:$A$5000&gt;=$J1579)*('Weekly Log'!$A$5:$A$5000&lt;$J1579+7)*('Weekly Log'!$M$5:$M$5000&lt;&gt;"")),'Weekly Log'!$M$5:$M$5000),0))</f>
        <v/>
      </c>
      <c r="J1579">
        <f>IF(COUNT('Weekly Log'!$A$5:$A$5000)=0,"",IF(MIN('Weekly Log'!$A$5:$A$5000)+7*(ROW()-10)&gt;MAX('Weekly Log'!$A$5:$A$5000),"",MIN('Weekly Log'!$A$5:$A$5000)+7*(ROW()-10)))</f>
        <v/>
      </c>
    </row>
    <row r="1580">
      <c r="A1580">
        <f>IF($J1580="","",YEAR($J1580-WEEKDAY($J1580,2)+4)&amp;"-W"&amp;TEXT(WEEKNUM($J1580,21),"00"))</f>
        <v/>
      </c>
      <c r="B1580">
        <f>IF($J1580="","",SUMIFS('Weekly Log'!$C:$C,'Weekly Log'!$A:$A,"&gt;="&amp;$J1580,'Weekly Log'!$A:$A,"&lt;"&amp;$J1580+7))</f>
        <v/>
      </c>
      <c r="C1580">
        <f>IF($J1580="","",IFERROR(COUNTIFS('Weekly Log'!$G:$G,"Y",'Weekly Log'!$A:$A,"&gt;="&amp;$J1580,'Weekly Log'!$A:$A,"&lt;"&amp;$J1580+7)/COUNTIFS('Weekly Log'!$G:$G,"&lt;&gt;",'Weekly Log'!$A:$A,"&gt;="&amp;$J1580,'Weekly Log'!$A:$A,"&lt;"&amp;$J1580+7),0))</f>
        <v/>
      </c>
      <c r="D1580">
        <f>IF($J1580="","",IFERROR(COUNTIFS('Weekly Log'!$H:$H,"Y",'Weekly Log'!$A:$A,"&gt;="&amp;$J1580,'Weekly Log'!$A:$A,"&lt;"&amp;$J1580+7)/COUNTIFS('Weekly Log'!$H:$H,"&lt;&gt;",'Weekly Log'!$A:$A,"&gt;="&amp;$J1580,'Weekly Log'!$A:$A,"&lt;"&amp;$J1580+7),0))</f>
        <v/>
      </c>
      <c r="E1580">
        <f>IF($J1580="","",IFERROR(AVERAGEIFS('Weekly Log'!$F:$F,'Weekly Log'!$A:$A,"&gt;="&amp;$J1580,'Weekly Log'!$A:$A,"&lt;"&amp;$J1580+7),0))</f>
        <v/>
      </c>
      <c r="F1580">
        <f>IF($J1580="","",IFERROR(SUMIFS('Weekly Log'!$F:$F,'Weekly Log'!$A:$A,"&gt;="&amp;$J1580,'Weekly Log'!$A:$A,"&lt;"&amp;$J1580+7)/SUMIFS('Weekly Log'!$E:$E,'Weekly Log'!$A:$A,"&gt;="&amp;$J1580,'Weekly Log'!$A:$A,"&lt;"&amp;$J1580+7),0))</f>
        <v/>
      </c>
      <c r="G1580">
        <f>IF($J1580="","",IFERROR(LOOKUP(2,1/(('Weekly Log'!$A$5:$A$5000&gt;=$J1580)*('Weekly Log'!$A$5:$A$5000&lt;$J1580+7)*('Weekly Log'!$M$5:$M$5000&lt;&gt;"")),'Weekly Log'!$M$5:$M$5000),0))</f>
        <v/>
      </c>
      <c r="J1580">
        <f>IF(COUNT('Weekly Log'!$A$5:$A$5000)=0,"",IF(MIN('Weekly Log'!$A$5:$A$5000)+7*(ROW()-10)&gt;MAX('Weekly Log'!$A$5:$A$5000),"",MIN('Weekly Log'!$A$5:$A$5000)+7*(ROW()-10)))</f>
        <v/>
      </c>
    </row>
    <row r="1581">
      <c r="A1581">
        <f>IF($J1581="","",YEAR($J1581-WEEKDAY($J1581,2)+4)&amp;"-W"&amp;TEXT(WEEKNUM($J1581,21),"00"))</f>
        <v/>
      </c>
      <c r="B1581">
        <f>IF($J1581="","",SUMIFS('Weekly Log'!$C:$C,'Weekly Log'!$A:$A,"&gt;="&amp;$J1581,'Weekly Log'!$A:$A,"&lt;"&amp;$J1581+7))</f>
        <v/>
      </c>
      <c r="C1581">
        <f>IF($J1581="","",IFERROR(COUNTIFS('Weekly Log'!$G:$G,"Y",'Weekly Log'!$A:$A,"&gt;="&amp;$J1581,'Weekly Log'!$A:$A,"&lt;"&amp;$J1581+7)/COUNTIFS('Weekly Log'!$G:$G,"&lt;&gt;",'Weekly Log'!$A:$A,"&gt;="&amp;$J1581,'Weekly Log'!$A:$A,"&lt;"&amp;$J1581+7),0))</f>
        <v/>
      </c>
      <c r="D1581">
        <f>IF($J1581="","",IFERROR(COUNTIFS('Weekly Log'!$H:$H,"Y",'Weekly Log'!$A:$A,"&gt;="&amp;$J1581,'Weekly Log'!$A:$A,"&lt;"&amp;$J1581+7)/COUNTIFS('Weekly Log'!$H:$H,"&lt;&gt;",'Weekly Log'!$A:$A,"&gt;="&amp;$J1581,'Weekly Log'!$A:$A,"&lt;"&amp;$J1581+7),0))</f>
        <v/>
      </c>
      <c r="E1581">
        <f>IF($J1581="","",IFERROR(AVERAGEIFS('Weekly Log'!$F:$F,'Weekly Log'!$A:$A,"&gt;="&amp;$J1581,'Weekly Log'!$A:$A,"&lt;"&amp;$J1581+7),0))</f>
        <v/>
      </c>
      <c r="F1581">
        <f>IF($J1581="","",IFERROR(SUMIFS('Weekly Log'!$F:$F,'Weekly Log'!$A:$A,"&gt;="&amp;$J1581,'Weekly Log'!$A:$A,"&lt;"&amp;$J1581+7)/SUMIFS('Weekly Log'!$E:$E,'Weekly Log'!$A:$A,"&gt;="&amp;$J1581,'Weekly Log'!$A:$A,"&lt;"&amp;$J1581+7),0))</f>
        <v/>
      </c>
      <c r="G1581">
        <f>IF($J1581="","",IFERROR(LOOKUP(2,1/(('Weekly Log'!$A$5:$A$5000&gt;=$J1581)*('Weekly Log'!$A$5:$A$5000&lt;$J1581+7)*('Weekly Log'!$M$5:$M$5000&lt;&gt;"")),'Weekly Log'!$M$5:$M$5000),0))</f>
        <v/>
      </c>
      <c r="J1581">
        <f>IF(COUNT('Weekly Log'!$A$5:$A$5000)=0,"",IF(MIN('Weekly Log'!$A$5:$A$5000)+7*(ROW()-10)&gt;MAX('Weekly Log'!$A$5:$A$5000),"",MIN('Weekly Log'!$A$5:$A$5000)+7*(ROW()-10)))</f>
        <v/>
      </c>
    </row>
    <row r="1582">
      <c r="A1582">
        <f>IF($J1582="","",YEAR($J1582-WEEKDAY($J1582,2)+4)&amp;"-W"&amp;TEXT(WEEKNUM($J1582,21),"00"))</f>
        <v/>
      </c>
      <c r="B1582">
        <f>IF($J1582="","",SUMIFS('Weekly Log'!$C:$C,'Weekly Log'!$A:$A,"&gt;="&amp;$J1582,'Weekly Log'!$A:$A,"&lt;"&amp;$J1582+7))</f>
        <v/>
      </c>
      <c r="C1582">
        <f>IF($J1582="","",IFERROR(COUNTIFS('Weekly Log'!$G:$G,"Y",'Weekly Log'!$A:$A,"&gt;="&amp;$J1582,'Weekly Log'!$A:$A,"&lt;"&amp;$J1582+7)/COUNTIFS('Weekly Log'!$G:$G,"&lt;&gt;",'Weekly Log'!$A:$A,"&gt;="&amp;$J1582,'Weekly Log'!$A:$A,"&lt;"&amp;$J1582+7),0))</f>
        <v/>
      </c>
      <c r="D1582">
        <f>IF($J1582="","",IFERROR(COUNTIFS('Weekly Log'!$H:$H,"Y",'Weekly Log'!$A:$A,"&gt;="&amp;$J1582,'Weekly Log'!$A:$A,"&lt;"&amp;$J1582+7)/COUNTIFS('Weekly Log'!$H:$H,"&lt;&gt;",'Weekly Log'!$A:$A,"&gt;="&amp;$J1582,'Weekly Log'!$A:$A,"&lt;"&amp;$J1582+7),0))</f>
        <v/>
      </c>
      <c r="E1582">
        <f>IF($J1582="","",IFERROR(AVERAGEIFS('Weekly Log'!$F:$F,'Weekly Log'!$A:$A,"&gt;="&amp;$J1582,'Weekly Log'!$A:$A,"&lt;"&amp;$J1582+7),0))</f>
        <v/>
      </c>
      <c r="F1582">
        <f>IF($J1582="","",IFERROR(SUMIFS('Weekly Log'!$F:$F,'Weekly Log'!$A:$A,"&gt;="&amp;$J1582,'Weekly Log'!$A:$A,"&lt;"&amp;$J1582+7)/SUMIFS('Weekly Log'!$E:$E,'Weekly Log'!$A:$A,"&gt;="&amp;$J1582,'Weekly Log'!$A:$A,"&lt;"&amp;$J1582+7),0))</f>
        <v/>
      </c>
      <c r="G1582">
        <f>IF($J1582="","",IFERROR(LOOKUP(2,1/(('Weekly Log'!$A$5:$A$5000&gt;=$J1582)*('Weekly Log'!$A$5:$A$5000&lt;$J1582+7)*('Weekly Log'!$M$5:$M$5000&lt;&gt;"")),'Weekly Log'!$M$5:$M$5000),0))</f>
        <v/>
      </c>
      <c r="J1582">
        <f>IF(COUNT('Weekly Log'!$A$5:$A$5000)=0,"",IF(MIN('Weekly Log'!$A$5:$A$5000)+7*(ROW()-10)&gt;MAX('Weekly Log'!$A$5:$A$5000),"",MIN('Weekly Log'!$A$5:$A$5000)+7*(ROW()-10)))</f>
        <v/>
      </c>
    </row>
    <row r="1583">
      <c r="A1583">
        <f>IF($J1583="","",YEAR($J1583-WEEKDAY($J1583,2)+4)&amp;"-W"&amp;TEXT(WEEKNUM($J1583,21),"00"))</f>
        <v/>
      </c>
      <c r="B1583">
        <f>IF($J1583="","",SUMIFS('Weekly Log'!$C:$C,'Weekly Log'!$A:$A,"&gt;="&amp;$J1583,'Weekly Log'!$A:$A,"&lt;"&amp;$J1583+7))</f>
        <v/>
      </c>
      <c r="C1583">
        <f>IF($J1583="","",IFERROR(COUNTIFS('Weekly Log'!$G:$G,"Y",'Weekly Log'!$A:$A,"&gt;="&amp;$J1583,'Weekly Log'!$A:$A,"&lt;"&amp;$J1583+7)/COUNTIFS('Weekly Log'!$G:$G,"&lt;&gt;",'Weekly Log'!$A:$A,"&gt;="&amp;$J1583,'Weekly Log'!$A:$A,"&lt;"&amp;$J1583+7),0))</f>
        <v/>
      </c>
      <c r="D1583">
        <f>IF($J1583="","",IFERROR(COUNTIFS('Weekly Log'!$H:$H,"Y",'Weekly Log'!$A:$A,"&gt;="&amp;$J1583,'Weekly Log'!$A:$A,"&lt;"&amp;$J1583+7)/COUNTIFS('Weekly Log'!$H:$H,"&lt;&gt;",'Weekly Log'!$A:$A,"&gt;="&amp;$J1583,'Weekly Log'!$A:$A,"&lt;"&amp;$J1583+7),0))</f>
        <v/>
      </c>
      <c r="E1583">
        <f>IF($J1583="","",IFERROR(AVERAGEIFS('Weekly Log'!$F:$F,'Weekly Log'!$A:$A,"&gt;="&amp;$J1583,'Weekly Log'!$A:$A,"&lt;"&amp;$J1583+7),0))</f>
        <v/>
      </c>
      <c r="F1583">
        <f>IF($J1583="","",IFERROR(SUMIFS('Weekly Log'!$F:$F,'Weekly Log'!$A:$A,"&gt;="&amp;$J1583,'Weekly Log'!$A:$A,"&lt;"&amp;$J1583+7)/SUMIFS('Weekly Log'!$E:$E,'Weekly Log'!$A:$A,"&gt;="&amp;$J1583,'Weekly Log'!$A:$A,"&lt;"&amp;$J1583+7),0))</f>
        <v/>
      </c>
      <c r="G1583">
        <f>IF($J1583="","",IFERROR(LOOKUP(2,1/(('Weekly Log'!$A$5:$A$5000&gt;=$J1583)*('Weekly Log'!$A$5:$A$5000&lt;$J1583+7)*('Weekly Log'!$M$5:$M$5000&lt;&gt;"")),'Weekly Log'!$M$5:$M$5000),0))</f>
        <v/>
      </c>
      <c r="J1583">
        <f>IF(COUNT('Weekly Log'!$A$5:$A$5000)=0,"",IF(MIN('Weekly Log'!$A$5:$A$5000)+7*(ROW()-10)&gt;MAX('Weekly Log'!$A$5:$A$5000),"",MIN('Weekly Log'!$A$5:$A$5000)+7*(ROW()-10)))</f>
        <v/>
      </c>
    </row>
    <row r="1584">
      <c r="A1584">
        <f>IF($J1584="","",YEAR($J1584-WEEKDAY($J1584,2)+4)&amp;"-W"&amp;TEXT(WEEKNUM($J1584,21),"00"))</f>
        <v/>
      </c>
      <c r="B1584">
        <f>IF($J1584="","",SUMIFS('Weekly Log'!$C:$C,'Weekly Log'!$A:$A,"&gt;="&amp;$J1584,'Weekly Log'!$A:$A,"&lt;"&amp;$J1584+7))</f>
        <v/>
      </c>
      <c r="C1584">
        <f>IF($J1584="","",IFERROR(COUNTIFS('Weekly Log'!$G:$G,"Y",'Weekly Log'!$A:$A,"&gt;="&amp;$J1584,'Weekly Log'!$A:$A,"&lt;"&amp;$J1584+7)/COUNTIFS('Weekly Log'!$G:$G,"&lt;&gt;",'Weekly Log'!$A:$A,"&gt;="&amp;$J1584,'Weekly Log'!$A:$A,"&lt;"&amp;$J1584+7),0))</f>
        <v/>
      </c>
      <c r="D1584">
        <f>IF($J1584="","",IFERROR(COUNTIFS('Weekly Log'!$H:$H,"Y",'Weekly Log'!$A:$A,"&gt;="&amp;$J1584,'Weekly Log'!$A:$A,"&lt;"&amp;$J1584+7)/COUNTIFS('Weekly Log'!$H:$H,"&lt;&gt;",'Weekly Log'!$A:$A,"&gt;="&amp;$J1584,'Weekly Log'!$A:$A,"&lt;"&amp;$J1584+7),0))</f>
        <v/>
      </c>
      <c r="E1584">
        <f>IF($J1584="","",IFERROR(AVERAGEIFS('Weekly Log'!$F:$F,'Weekly Log'!$A:$A,"&gt;="&amp;$J1584,'Weekly Log'!$A:$A,"&lt;"&amp;$J1584+7),0))</f>
        <v/>
      </c>
      <c r="F1584">
        <f>IF($J1584="","",IFERROR(SUMIFS('Weekly Log'!$F:$F,'Weekly Log'!$A:$A,"&gt;="&amp;$J1584,'Weekly Log'!$A:$A,"&lt;"&amp;$J1584+7)/SUMIFS('Weekly Log'!$E:$E,'Weekly Log'!$A:$A,"&gt;="&amp;$J1584,'Weekly Log'!$A:$A,"&lt;"&amp;$J1584+7),0))</f>
        <v/>
      </c>
      <c r="G1584">
        <f>IF($J1584="","",IFERROR(LOOKUP(2,1/(('Weekly Log'!$A$5:$A$5000&gt;=$J1584)*('Weekly Log'!$A$5:$A$5000&lt;$J1584+7)*('Weekly Log'!$M$5:$M$5000&lt;&gt;"")),'Weekly Log'!$M$5:$M$5000),0))</f>
        <v/>
      </c>
      <c r="J1584">
        <f>IF(COUNT('Weekly Log'!$A$5:$A$5000)=0,"",IF(MIN('Weekly Log'!$A$5:$A$5000)+7*(ROW()-10)&gt;MAX('Weekly Log'!$A$5:$A$5000),"",MIN('Weekly Log'!$A$5:$A$5000)+7*(ROW()-10)))</f>
        <v/>
      </c>
    </row>
    <row r="1585">
      <c r="A1585">
        <f>IF($J1585="","",YEAR($J1585-WEEKDAY($J1585,2)+4)&amp;"-W"&amp;TEXT(WEEKNUM($J1585,21),"00"))</f>
        <v/>
      </c>
      <c r="B1585">
        <f>IF($J1585="","",SUMIFS('Weekly Log'!$C:$C,'Weekly Log'!$A:$A,"&gt;="&amp;$J1585,'Weekly Log'!$A:$A,"&lt;"&amp;$J1585+7))</f>
        <v/>
      </c>
      <c r="C1585">
        <f>IF($J1585="","",IFERROR(COUNTIFS('Weekly Log'!$G:$G,"Y",'Weekly Log'!$A:$A,"&gt;="&amp;$J1585,'Weekly Log'!$A:$A,"&lt;"&amp;$J1585+7)/COUNTIFS('Weekly Log'!$G:$G,"&lt;&gt;",'Weekly Log'!$A:$A,"&gt;="&amp;$J1585,'Weekly Log'!$A:$A,"&lt;"&amp;$J1585+7),0))</f>
        <v/>
      </c>
      <c r="D1585">
        <f>IF($J1585="","",IFERROR(COUNTIFS('Weekly Log'!$H:$H,"Y",'Weekly Log'!$A:$A,"&gt;="&amp;$J1585,'Weekly Log'!$A:$A,"&lt;"&amp;$J1585+7)/COUNTIFS('Weekly Log'!$H:$H,"&lt;&gt;",'Weekly Log'!$A:$A,"&gt;="&amp;$J1585,'Weekly Log'!$A:$A,"&lt;"&amp;$J1585+7),0))</f>
        <v/>
      </c>
      <c r="E1585">
        <f>IF($J1585="","",IFERROR(AVERAGEIFS('Weekly Log'!$F:$F,'Weekly Log'!$A:$A,"&gt;="&amp;$J1585,'Weekly Log'!$A:$A,"&lt;"&amp;$J1585+7),0))</f>
        <v/>
      </c>
      <c r="F1585">
        <f>IF($J1585="","",IFERROR(SUMIFS('Weekly Log'!$F:$F,'Weekly Log'!$A:$A,"&gt;="&amp;$J1585,'Weekly Log'!$A:$A,"&lt;"&amp;$J1585+7)/SUMIFS('Weekly Log'!$E:$E,'Weekly Log'!$A:$A,"&gt;="&amp;$J1585,'Weekly Log'!$A:$A,"&lt;"&amp;$J1585+7),0))</f>
        <v/>
      </c>
      <c r="G1585">
        <f>IF($J1585="","",IFERROR(LOOKUP(2,1/(('Weekly Log'!$A$5:$A$5000&gt;=$J1585)*('Weekly Log'!$A$5:$A$5000&lt;$J1585+7)*('Weekly Log'!$M$5:$M$5000&lt;&gt;"")),'Weekly Log'!$M$5:$M$5000),0))</f>
        <v/>
      </c>
      <c r="J1585">
        <f>IF(COUNT('Weekly Log'!$A$5:$A$5000)=0,"",IF(MIN('Weekly Log'!$A$5:$A$5000)+7*(ROW()-10)&gt;MAX('Weekly Log'!$A$5:$A$5000),"",MIN('Weekly Log'!$A$5:$A$5000)+7*(ROW()-10)))</f>
        <v/>
      </c>
    </row>
    <row r="1586">
      <c r="A1586">
        <f>IF($J1586="","",YEAR($J1586-WEEKDAY($J1586,2)+4)&amp;"-W"&amp;TEXT(WEEKNUM($J1586,21),"00"))</f>
        <v/>
      </c>
      <c r="B1586">
        <f>IF($J1586="","",SUMIFS('Weekly Log'!$C:$C,'Weekly Log'!$A:$A,"&gt;="&amp;$J1586,'Weekly Log'!$A:$A,"&lt;"&amp;$J1586+7))</f>
        <v/>
      </c>
      <c r="C1586">
        <f>IF($J1586="","",IFERROR(COUNTIFS('Weekly Log'!$G:$G,"Y",'Weekly Log'!$A:$A,"&gt;="&amp;$J1586,'Weekly Log'!$A:$A,"&lt;"&amp;$J1586+7)/COUNTIFS('Weekly Log'!$G:$G,"&lt;&gt;",'Weekly Log'!$A:$A,"&gt;="&amp;$J1586,'Weekly Log'!$A:$A,"&lt;"&amp;$J1586+7),0))</f>
        <v/>
      </c>
      <c r="D1586">
        <f>IF($J1586="","",IFERROR(COUNTIFS('Weekly Log'!$H:$H,"Y",'Weekly Log'!$A:$A,"&gt;="&amp;$J1586,'Weekly Log'!$A:$A,"&lt;"&amp;$J1586+7)/COUNTIFS('Weekly Log'!$H:$H,"&lt;&gt;",'Weekly Log'!$A:$A,"&gt;="&amp;$J1586,'Weekly Log'!$A:$A,"&lt;"&amp;$J1586+7),0))</f>
        <v/>
      </c>
      <c r="E1586">
        <f>IF($J1586="","",IFERROR(AVERAGEIFS('Weekly Log'!$F:$F,'Weekly Log'!$A:$A,"&gt;="&amp;$J1586,'Weekly Log'!$A:$A,"&lt;"&amp;$J1586+7),0))</f>
        <v/>
      </c>
      <c r="F1586">
        <f>IF($J1586="","",IFERROR(SUMIFS('Weekly Log'!$F:$F,'Weekly Log'!$A:$A,"&gt;="&amp;$J1586,'Weekly Log'!$A:$A,"&lt;"&amp;$J1586+7)/SUMIFS('Weekly Log'!$E:$E,'Weekly Log'!$A:$A,"&gt;="&amp;$J1586,'Weekly Log'!$A:$A,"&lt;"&amp;$J1586+7),0))</f>
        <v/>
      </c>
      <c r="G1586">
        <f>IF($J1586="","",IFERROR(LOOKUP(2,1/(('Weekly Log'!$A$5:$A$5000&gt;=$J1586)*('Weekly Log'!$A$5:$A$5000&lt;$J1586+7)*('Weekly Log'!$M$5:$M$5000&lt;&gt;"")),'Weekly Log'!$M$5:$M$5000),0))</f>
        <v/>
      </c>
      <c r="J1586">
        <f>IF(COUNT('Weekly Log'!$A$5:$A$5000)=0,"",IF(MIN('Weekly Log'!$A$5:$A$5000)+7*(ROW()-10)&gt;MAX('Weekly Log'!$A$5:$A$5000),"",MIN('Weekly Log'!$A$5:$A$5000)+7*(ROW()-10)))</f>
        <v/>
      </c>
    </row>
    <row r="1587">
      <c r="A1587">
        <f>IF($J1587="","",YEAR($J1587-WEEKDAY($J1587,2)+4)&amp;"-W"&amp;TEXT(WEEKNUM($J1587,21),"00"))</f>
        <v/>
      </c>
      <c r="B1587">
        <f>IF($J1587="","",SUMIFS('Weekly Log'!$C:$C,'Weekly Log'!$A:$A,"&gt;="&amp;$J1587,'Weekly Log'!$A:$A,"&lt;"&amp;$J1587+7))</f>
        <v/>
      </c>
      <c r="C1587">
        <f>IF($J1587="","",IFERROR(COUNTIFS('Weekly Log'!$G:$G,"Y",'Weekly Log'!$A:$A,"&gt;="&amp;$J1587,'Weekly Log'!$A:$A,"&lt;"&amp;$J1587+7)/COUNTIFS('Weekly Log'!$G:$G,"&lt;&gt;",'Weekly Log'!$A:$A,"&gt;="&amp;$J1587,'Weekly Log'!$A:$A,"&lt;"&amp;$J1587+7),0))</f>
        <v/>
      </c>
      <c r="D1587">
        <f>IF($J1587="","",IFERROR(COUNTIFS('Weekly Log'!$H:$H,"Y",'Weekly Log'!$A:$A,"&gt;="&amp;$J1587,'Weekly Log'!$A:$A,"&lt;"&amp;$J1587+7)/COUNTIFS('Weekly Log'!$H:$H,"&lt;&gt;",'Weekly Log'!$A:$A,"&gt;="&amp;$J1587,'Weekly Log'!$A:$A,"&lt;"&amp;$J1587+7),0))</f>
        <v/>
      </c>
      <c r="E1587">
        <f>IF($J1587="","",IFERROR(AVERAGEIFS('Weekly Log'!$F:$F,'Weekly Log'!$A:$A,"&gt;="&amp;$J1587,'Weekly Log'!$A:$A,"&lt;"&amp;$J1587+7),0))</f>
        <v/>
      </c>
      <c r="F1587">
        <f>IF($J1587="","",IFERROR(SUMIFS('Weekly Log'!$F:$F,'Weekly Log'!$A:$A,"&gt;="&amp;$J1587,'Weekly Log'!$A:$A,"&lt;"&amp;$J1587+7)/SUMIFS('Weekly Log'!$E:$E,'Weekly Log'!$A:$A,"&gt;="&amp;$J1587,'Weekly Log'!$A:$A,"&lt;"&amp;$J1587+7),0))</f>
        <v/>
      </c>
      <c r="G1587">
        <f>IF($J1587="","",IFERROR(LOOKUP(2,1/(('Weekly Log'!$A$5:$A$5000&gt;=$J1587)*('Weekly Log'!$A$5:$A$5000&lt;$J1587+7)*('Weekly Log'!$M$5:$M$5000&lt;&gt;"")),'Weekly Log'!$M$5:$M$5000),0))</f>
        <v/>
      </c>
      <c r="J1587">
        <f>IF(COUNT('Weekly Log'!$A$5:$A$5000)=0,"",IF(MIN('Weekly Log'!$A$5:$A$5000)+7*(ROW()-10)&gt;MAX('Weekly Log'!$A$5:$A$5000),"",MIN('Weekly Log'!$A$5:$A$5000)+7*(ROW()-10)))</f>
        <v/>
      </c>
    </row>
    <row r="1588">
      <c r="A1588">
        <f>IF($J1588="","",YEAR($J1588-WEEKDAY($J1588,2)+4)&amp;"-W"&amp;TEXT(WEEKNUM($J1588,21),"00"))</f>
        <v/>
      </c>
      <c r="B1588">
        <f>IF($J1588="","",SUMIFS('Weekly Log'!$C:$C,'Weekly Log'!$A:$A,"&gt;="&amp;$J1588,'Weekly Log'!$A:$A,"&lt;"&amp;$J1588+7))</f>
        <v/>
      </c>
      <c r="C1588">
        <f>IF($J1588="","",IFERROR(COUNTIFS('Weekly Log'!$G:$G,"Y",'Weekly Log'!$A:$A,"&gt;="&amp;$J1588,'Weekly Log'!$A:$A,"&lt;"&amp;$J1588+7)/COUNTIFS('Weekly Log'!$G:$G,"&lt;&gt;",'Weekly Log'!$A:$A,"&gt;="&amp;$J1588,'Weekly Log'!$A:$A,"&lt;"&amp;$J1588+7),0))</f>
        <v/>
      </c>
      <c r="D1588">
        <f>IF($J1588="","",IFERROR(COUNTIFS('Weekly Log'!$H:$H,"Y",'Weekly Log'!$A:$A,"&gt;="&amp;$J1588,'Weekly Log'!$A:$A,"&lt;"&amp;$J1588+7)/COUNTIFS('Weekly Log'!$H:$H,"&lt;&gt;",'Weekly Log'!$A:$A,"&gt;="&amp;$J1588,'Weekly Log'!$A:$A,"&lt;"&amp;$J1588+7),0))</f>
        <v/>
      </c>
      <c r="E1588">
        <f>IF($J1588="","",IFERROR(AVERAGEIFS('Weekly Log'!$F:$F,'Weekly Log'!$A:$A,"&gt;="&amp;$J1588,'Weekly Log'!$A:$A,"&lt;"&amp;$J1588+7),0))</f>
        <v/>
      </c>
      <c r="F1588">
        <f>IF($J1588="","",IFERROR(SUMIFS('Weekly Log'!$F:$F,'Weekly Log'!$A:$A,"&gt;="&amp;$J1588,'Weekly Log'!$A:$A,"&lt;"&amp;$J1588+7)/SUMIFS('Weekly Log'!$E:$E,'Weekly Log'!$A:$A,"&gt;="&amp;$J1588,'Weekly Log'!$A:$A,"&lt;"&amp;$J1588+7),0))</f>
        <v/>
      </c>
      <c r="G1588">
        <f>IF($J1588="","",IFERROR(LOOKUP(2,1/(('Weekly Log'!$A$5:$A$5000&gt;=$J1588)*('Weekly Log'!$A$5:$A$5000&lt;$J1588+7)*('Weekly Log'!$M$5:$M$5000&lt;&gt;"")),'Weekly Log'!$M$5:$M$5000),0))</f>
        <v/>
      </c>
      <c r="J1588">
        <f>IF(COUNT('Weekly Log'!$A$5:$A$5000)=0,"",IF(MIN('Weekly Log'!$A$5:$A$5000)+7*(ROW()-10)&gt;MAX('Weekly Log'!$A$5:$A$5000),"",MIN('Weekly Log'!$A$5:$A$5000)+7*(ROW()-10)))</f>
        <v/>
      </c>
    </row>
    <row r="1589">
      <c r="A1589">
        <f>IF($J1589="","",YEAR($J1589-WEEKDAY($J1589,2)+4)&amp;"-W"&amp;TEXT(WEEKNUM($J1589,21),"00"))</f>
        <v/>
      </c>
      <c r="B1589">
        <f>IF($J1589="","",SUMIFS('Weekly Log'!$C:$C,'Weekly Log'!$A:$A,"&gt;="&amp;$J1589,'Weekly Log'!$A:$A,"&lt;"&amp;$J1589+7))</f>
        <v/>
      </c>
      <c r="C1589">
        <f>IF($J1589="","",IFERROR(COUNTIFS('Weekly Log'!$G:$G,"Y",'Weekly Log'!$A:$A,"&gt;="&amp;$J1589,'Weekly Log'!$A:$A,"&lt;"&amp;$J1589+7)/COUNTIFS('Weekly Log'!$G:$G,"&lt;&gt;",'Weekly Log'!$A:$A,"&gt;="&amp;$J1589,'Weekly Log'!$A:$A,"&lt;"&amp;$J1589+7),0))</f>
        <v/>
      </c>
      <c r="D1589">
        <f>IF($J1589="","",IFERROR(COUNTIFS('Weekly Log'!$H:$H,"Y",'Weekly Log'!$A:$A,"&gt;="&amp;$J1589,'Weekly Log'!$A:$A,"&lt;"&amp;$J1589+7)/COUNTIFS('Weekly Log'!$H:$H,"&lt;&gt;",'Weekly Log'!$A:$A,"&gt;="&amp;$J1589,'Weekly Log'!$A:$A,"&lt;"&amp;$J1589+7),0))</f>
        <v/>
      </c>
      <c r="E1589">
        <f>IF($J1589="","",IFERROR(AVERAGEIFS('Weekly Log'!$F:$F,'Weekly Log'!$A:$A,"&gt;="&amp;$J1589,'Weekly Log'!$A:$A,"&lt;"&amp;$J1589+7),0))</f>
        <v/>
      </c>
      <c r="F1589">
        <f>IF($J1589="","",IFERROR(SUMIFS('Weekly Log'!$F:$F,'Weekly Log'!$A:$A,"&gt;="&amp;$J1589,'Weekly Log'!$A:$A,"&lt;"&amp;$J1589+7)/SUMIFS('Weekly Log'!$E:$E,'Weekly Log'!$A:$A,"&gt;="&amp;$J1589,'Weekly Log'!$A:$A,"&lt;"&amp;$J1589+7),0))</f>
        <v/>
      </c>
      <c r="G1589">
        <f>IF($J1589="","",IFERROR(LOOKUP(2,1/(('Weekly Log'!$A$5:$A$5000&gt;=$J1589)*('Weekly Log'!$A$5:$A$5000&lt;$J1589+7)*('Weekly Log'!$M$5:$M$5000&lt;&gt;"")),'Weekly Log'!$M$5:$M$5000),0))</f>
        <v/>
      </c>
      <c r="J1589">
        <f>IF(COUNT('Weekly Log'!$A$5:$A$5000)=0,"",IF(MIN('Weekly Log'!$A$5:$A$5000)+7*(ROW()-10)&gt;MAX('Weekly Log'!$A$5:$A$5000),"",MIN('Weekly Log'!$A$5:$A$5000)+7*(ROW()-10)))</f>
        <v/>
      </c>
    </row>
    <row r="1590">
      <c r="A1590">
        <f>IF($J1590="","",YEAR($J1590-WEEKDAY($J1590,2)+4)&amp;"-W"&amp;TEXT(WEEKNUM($J1590,21),"00"))</f>
        <v/>
      </c>
      <c r="B1590">
        <f>IF($J1590="","",SUMIFS('Weekly Log'!$C:$C,'Weekly Log'!$A:$A,"&gt;="&amp;$J1590,'Weekly Log'!$A:$A,"&lt;"&amp;$J1590+7))</f>
        <v/>
      </c>
      <c r="C1590">
        <f>IF($J1590="","",IFERROR(COUNTIFS('Weekly Log'!$G:$G,"Y",'Weekly Log'!$A:$A,"&gt;="&amp;$J1590,'Weekly Log'!$A:$A,"&lt;"&amp;$J1590+7)/COUNTIFS('Weekly Log'!$G:$G,"&lt;&gt;",'Weekly Log'!$A:$A,"&gt;="&amp;$J1590,'Weekly Log'!$A:$A,"&lt;"&amp;$J1590+7),0))</f>
        <v/>
      </c>
      <c r="D1590">
        <f>IF($J1590="","",IFERROR(COUNTIFS('Weekly Log'!$H:$H,"Y",'Weekly Log'!$A:$A,"&gt;="&amp;$J1590,'Weekly Log'!$A:$A,"&lt;"&amp;$J1590+7)/COUNTIFS('Weekly Log'!$H:$H,"&lt;&gt;",'Weekly Log'!$A:$A,"&gt;="&amp;$J1590,'Weekly Log'!$A:$A,"&lt;"&amp;$J1590+7),0))</f>
        <v/>
      </c>
      <c r="E1590">
        <f>IF($J1590="","",IFERROR(AVERAGEIFS('Weekly Log'!$F:$F,'Weekly Log'!$A:$A,"&gt;="&amp;$J1590,'Weekly Log'!$A:$A,"&lt;"&amp;$J1590+7),0))</f>
        <v/>
      </c>
      <c r="F1590">
        <f>IF($J1590="","",IFERROR(SUMIFS('Weekly Log'!$F:$F,'Weekly Log'!$A:$A,"&gt;="&amp;$J1590,'Weekly Log'!$A:$A,"&lt;"&amp;$J1590+7)/SUMIFS('Weekly Log'!$E:$E,'Weekly Log'!$A:$A,"&gt;="&amp;$J1590,'Weekly Log'!$A:$A,"&lt;"&amp;$J1590+7),0))</f>
        <v/>
      </c>
      <c r="G1590">
        <f>IF($J1590="","",IFERROR(LOOKUP(2,1/(('Weekly Log'!$A$5:$A$5000&gt;=$J1590)*('Weekly Log'!$A$5:$A$5000&lt;$J1590+7)*('Weekly Log'!$M$5:$M$5000&lt;&gt;"")),'Weekly Log'!$M$5:$M$5000),0))</f>
        <v/>
      </c>
      <c r="J1590">
        <f>IF(COUNT('Weekly Log'!$A$5:$A$5000)=0,"",IF(MIN('Weekly Log'!$A$5:$A$5000)+7*(ROW()-10)&gt;MAX('Weekly Log'!$A$5:$A$5000),"",MIN('Weekly Log'!$A$5:$A$5000)+7*(ROW()-10)))</f>
        <v/>
      </c>
    </row>
    <row r="1591">
      <c r="A1591">
        <f>IF($J1591="","",YEAR($J1591-WEEKDAY($J1591,2)+4)&amp;"-W"&amp;TEXT(WEEKNUM($J1591,21),"00"))</f>
        <v/>
      </c>
      <c r="B1591">
        <f>IF($J1591="","",SUMIFS('Weekly Log'!$C:$C,'Weekly Log'!$A:$A,"&gt;="&amp;$J1591,'Weekly Log'!$A:$A,"&lt;"&amp;$J1591+7))</f>
        <v/>
      </c>
      <c r="C1591">
        <f>IF($J1591="","",IFERROR(COUNTIFS('Weekly Log'!$G:$G,"Y",'Weekly Log'!$A:$A,"&gt;="&amp;$J1591,'Weekly Log'!$A:$A,"&lt;"&amp;$J1591+7)/COUNTIFS('Weekly Log'!$G:$G,"&lt;&gt;",'Weekly Log'!$A:$A,"&gt;="&amp;$J1591,'Weekly Log'!$A:$A,"&lt;"&amp;$J1591+7),0))</f>
        <v/>
      </c>
      <c r="D1591">
        <f>IF($J1591="","",IFERROR(COUNTIFS('Weekly Log'!$H:$H,"Y",'Weekly Log'!$A:$A,"&gt;="&amp;$J1591,'Weekly Log'!$A:$A,"&lt;"&amp;$J1591+7)/COUNTIFS('Weekly Log'!$H:$H,"&lt;&gt;",'Weekly Log'!$A:$A,"&gt;="&amp;$J1591,'Weekly Log'!$A:$A,"&lt;"&amp;$J1591+7),0))</f>
        <v/>
      </c>
      <c r="E1591">
        <f>IF($J1591="","",IFERROR(AVERAGEIFS('Weekly Log'!$F:$F,'Weekly Log'!$A:$A,"&gt;="&amp;$J1591,'Weekly Log'!$A:$A,"&lt;"&amp;$J1591+7),0))</f>
        <v/>
      </c>
      <c r="F1591">
        <f>IF($J1591="","",IFERROR(SUMIFS('Weekly Log'!$F:$F,'Weekly Log'!$A:$A,"&gt;="&amp;$J1591,'Weekly Log'!$A:$A,"&lt;"&amp;$J1591+7)/SUMIFS('Weekly Log'!$E:$E,'Weekly Log'!$A:$A,"&gt;="&amp;$J1591,'Weekly Log'!$A:$A,"&lt;"&amp;$J1591+7),0))</f>
        <v/>
      </c>
      <c r="G1591">
        <f>IF($J1591="","",IFERROR(LOOKUP(2,1/(('Weekly Log'!$A$5:$A$5000&gt;=$J1591)*('Weekly Log'!$A$5:$A$5000&lt;$J1591+7)*('Weekly Log'!$M$5:$M$5000&lt;&gt;"")),'Weekly Log'!$M$5:$M$5000),0))</f>
        <v/>
      </c>
      <c r="J1591">
        <f>IF(COUNT('Weekly Log'!$A$5:$A$5000)=0,"",IF(MIN('Weekly Log'!$A$5:$A$5000)+7*(ROW()-10)&gt;MAX('Weekly Log'!$A$5:$A$5000),"",MIN('Weekly Log'!$A$5:$A$5000)+7*(ROW()-10)))</f>
        <v/>
      </c>
    </row>
    <row r="1592">
      <c r="A1592">
        <f>IF($J1592="","",YEAR($J1592-WEEKDAY($J1592,2)+4)&amp;"-W"&amp;TEXT(WEEKNUM($J1592,21),"00"))</f>
        <v/>
      </c>
      <c r="B1592">
        <f>IF($J1592="","",SUMIFS('Weekly Log'!$C:$C,'Weekly Log'!$A:$A,"&gt;="&amp;$J1592,'Weekly Log'!$A:$A,"&lt;"&amp;$J1592+7))</f>
        <v/>
      </c>
      <c r="C1592">
        <f>IF($J1592="","",IFERROR(COUNTIFS('Weekly Log'!$G:$G,"Y",'Weekly Log'!$A:$A,"&gt;="&amp;$J1592,'Weekly Log'!$A:$A,"&lt;"&amp;$J1592+7)/COUNTIFS('Weekly Log'!$G:$G,"&lt;&gt;",'Weekly Log'!$A:$A,"&gt;="&amp;$J1592,'Weekly Log'!$A:$A,"&lt;"&amp;$J1592+7),0))</f>
        <v/>
      </c>
      <c r="D1592">
        <f>IF($J1592="","",IFERROR(COUNTIFS('Weekly Log'!$H:$H,"Y",'Weekly Log'!$A:$A,"&gt;="&amp;$J1592,'Weekly Log'!$A:$A,"&lt;"&amp;$J1592+7)/COUNTIFS('Weekly Log'!$H:$H,"&lt;&gt;",'Weekly Log'!$A:$A,"&gt;="&amp;$J1592,'Weekly Log'!$A:$A,"&lt;"&amp;$J1592+7),0))</f>
        <v/>
      </c>
      <c r="E1592">
        <f>IF($J1592="","",IFERROR(AVERAGEIFS('Weekly Log'!$F:$F,'Weekly Log'!$A:$A,"&gt;="&amp;$J1592,'Weekly Log'!$A:$A,"&lt;"&amp;$J1592+7),0))</f>
        <v/>
      </c>
      <c r="F1592">
        <f>IF($J1592="","",IFERROR(SUMIFS('Weekly Log'!$F:$F,'Weekly Log'!$A:$A,"&gt;="&amp;$J1592,'Weekly Log'!$A:$A,"&lt;"&amp;$J1592+7)/SUMIFS('Weekly Log'!$E:$E,'Weekly Log'!$A:$A,"&gt;="&amp;$J1592,'Weekly Log'!$A:$A,"&lt;"&amp;$J1592+7),0))</f>
        <v/>
      </c>
      <c r="G1592">
        <f>IF($J1592="","",IFERROR(LOOKUP(2,1/(('Weekly Log'!$A$5:$A$5000&gt;=$J1592)*('Weekly Log'!$A$5:$A$5000&lt;$J1592+7)*('Weekly Log'!$M$5:$M$5000&lt;&gt;"")),'Weekly Log'!$M$5:$M$5000),0))</f>
        <v/>
      </c>
      <c r="J1592">
        <f>IF(COUNT('Weekly Log'!$A$5:$A$5000)=0,"",IF(MIN('Weekly Log'!$A$5:$A$5000)+7*(ROW()-10)&gt;MAX('Weekly Log'!$A$5:$A$5000),"",MIN('Weekly Log'!$A$5:$A$5000)+7*(ROW()-10)))</f>
        <v/>
      </c>
    </row>
    <row r="1593">
      <c r="A1593">
        <f>IF($J1593="","",YEAR($J1593-WEEKDAY($J1593,2)+4)&amp;"-W"&amp;TEXT(WEEKNUM($J1593,21),"00"))</f>
        <v/>
      </c>
      <c r="B1593">
        <f>IF($J1593="","",SUMIFS('Weekly Log'!$C:$C,'Weekly Log'!$A:$A,"&gt;="&amp;$J1593,'Weekly Log'!$A:$A,"&lt;"&amp;$J1593+7))</f>
        <v/>
      </c>
      <c r="C1593">
        <f>IF($J1593="","",IFERROR(COUNTIFS('Weekly Log'!$G:$G,"Y",'Weekly Log'!$A:$A,"&gt;="&amp;$J1593,'Weekly Log'!$A:$A,"&lt;"&amp;$J1593+7)/COUNTIFS('Weekly Log'!$G:$G,"&lt;&gt;",'Weekly Log'!$A:$A,"&gt;="&amp;$J1593,'Weekly Log'!$A:$A,"&lt;"&amp;$J1593+7),0))</f>
        <v/>
      </c>
      <c r="D1593">
        <f>IF($J1593="","",IFERROR(COUNTIFS('Weekly Log'!$H:$H,"Y",'Weekly Log'!$A:$A,"&gt;="&amp;$J1593,'Weekly Log'!$A:$A,"&lt;"&amp;$J1593+7)/COUNTIFS('Weekly Log'!$H:$H,"&lt;&gt;",'Weekly Log'!$A:$A,"&gt;="&amp;$J1593,'Weekly Log'!$A:$A,"&lt;"&amp;$J1593+7),0))</f>
        <v/>
      </c>
      <c r="E1593">
        <f>IF($J1593="","",IFERROR(AVERAGEIFS('Weekly Log'!$F:$F,'Weekly Log'!$A:$A,"&gt;="&amp;$J1593,'Weekly Log'!$A:$A,"&lt;"&amp;$J1593+7),0))</f>
        <v/>
      </c>
      <c r="F1593">
        <f>IF($J1593="","",IFERROR(SUMIFS('Weekly Log'!$F:$F,'Weekly Log'!$A:$A,"&gt;="&amp;$J1593,'Weekly Log'!$A:$A,"&lt;"&amp;$J1593+7)/SUMIFS('Weekly Log'!$E:$E,'Weekly Log'!$A:$A,"&gt;="&amp;$J1593,'Weekly Log'!$A:$A,"&lt;"&amp;$J1593+7),0))</f>
        <v/>
      </c>
      <c r="G1593">
        <f>IF($J1593="","",IFERROR(LOOKUP(2,1/(('Weekly Log'!$A$5:$A$5000&gt;=$J1593)*('Weekly Log'!$A$5:$A$5000&lt;$J1593+7)*('Weekly Log'!$M$5:$M$5000&lt;&gt;"")),'Weekly Log'!$M$5:$M$5000),0))</f>
        <v/>
      </c>
      <c r="J1593">
        <f>IF(COUNT('Weekly Log'!$A$5:$A$5000)=0,"",IF(MIN('Weekly Log'!$A$5:$A$5000)+7*(ROW()-10)&gt;MAX('Weekly Log'!$A$5:$A$5000),"",MIN('Weekly Log'!$A$5:$A$5000)+7*(ROW()-10)))</f>
        <v/>
      </c>
    </row>
    <row r="1594">
      <c r="A1594">
        <f>IF($J1594="","",YEAR($J1594-WEEKDAY($J1594,2)+4)&amp;"-W"&amp;TEXT(WEEKNUM($J1594,21),"00"))</f>
        <v/>
      </c>
      <c r="B1594">
        <f>IF($J1594="","",SUMIFS('Weekly Log'!$C:$C,'Weekly Log'!$A:$A,"&gt;="&amp;$J1594,'Weekly Log'!$A:$A,"&lt;"&amp;$J1594+7))</f>
        <v/>
      </c>
      <c r="C1594">
        <f>IF($J1594="","",IFERROR(COUNTIFS('Weekly Log'!$G:$G,"Y",'Weekly Log'!$A:$A,"&gt;="&amp;$J1594,'Weekly Log'!$A:$A,"&lt;"&amp;$J1594+7)/COUNTIFS('Weekly Log'!$G:$G,"&lt;&gt;",'Weekly Log'!$A:$A,"&gt;="&amp;$J1594,'Weekly Log'!$A:$A,"&lt;"&amp;$J1594+7),0))</f>
        <v/>
      </c>
      <c r="D1594">
        <f>IF($J1594="","",IFERROR(COUNTIFS('Weekly Log'!$H:$H,"Y",'Weekly Log'!$A:$A,"&gt;="&amp;$J1594,'Weekly Log'!$A:$A,"&lt;"&amp;$J1594+7)/COUNTIFS('Weekly Log'!$H:$H,"&lt;&gt;",'Weekly Log'!$A:$A,"&gt;="&amp;$J1594,'Weekly Log'!$A:$A,"&lt;"&amp;$J1594+7),0))</f>
        <v/>
      </c>
      <c r="E1594">
        <f>IF($J1594="","",IFERROR(AVERAGEIFS('Weekly Log'!$F:$F,'Weekly Log'!$A:$A,"&gt;="&amp;$J1594,'Weekly Log'!$A:$A,"&lt;"&amp;$J1594+7),0))</f>
        <v/>
      </c>
      <c r="F1594">
        <f>IF($J1594="","",IFERROR(SUMIFS('Weekly Log'!$F:$F,'Weekly Log'!$A:$A,"&gt;="&amp;$J1594,'Weekly Log'!$A:$A,"&lt;"&amp;$J1594+7)/SUMIFS('Weekly Log'!$E:$E,'Weekly Log'!$A:$A,"&gt;="&amp;$J1594,'Weekly Log'!$A:$A,"&lt;"&amp;$J1594+7),0))</f>
        <v/>
      </c>
      <c r="G1594">
        <f>IF($J1594="","",IFERROR(LOOKUP(2,1/(('Weekly Log'!$A$5:$A$5000&gt;=$J1594)*('Weekly Log'!$A$5:$A$5000&lt;$J1594+7)*('Weekly Log'!$M$5:$M$5000&lt;&gt;"")),'Weekly Log'!$M$5:$M$5000),0))</f>
        <v/>
      </c>
      <c r="J1594">
        <f>IF(COUNT('Weekly Log'!$A$5:$A$5000)=0,"",IF(MIN('Weekly Log'!$A$5:$A$5000)+7*(ROW()-10)&gt;MAX('Weekly Log'!$A$5:$A$5000),"",MIN('Weekly Log'!$A$5:$A$5000)+7*(ROW()-10)))</f>
        <v/>
      </c>
    </row>
    <row r="1595">
      <c r="A1595">
        <f>IF($J1595="","",YEAR($J1595-WEEKDAY($J1595,2)+4)&amp;"-W"&amp;TEXT(WEEKNUM($J1595,21),"00"))</f>
        <v/>
      </c>
      <c r="B1595">
        <f>IF($J1595="","",SUMIFS('Weekly Log'!$C:$C,'Weekly Log'!$A:$A,"&gt;="&amp;$J1595,'Weekly Log'!$A:$A,"&lt;"&amp;$J1595+7))</f>
        <v/>
      </c>
      <c r="C1595">
        <f>IF($J1595="","",IFERROR(COUNTIFS('Weekly Log'!$G:$G,"Y",'Weekly Log'!$A:$A,"&gt;="&amp;$J1595,'Weekly Log'!$A:$A,"&lt;"&amp;$J1595+7)/COUNTIFS('Weekly Log'!$G:$G,"&lt;&gt;",'Weekly Log'!$A:$A,"&gt;="&amp;$J1595,'Weekly Log'!$A:$A,"&lt;"&amp;$J1595+7),0))</f>
        <v/>
      </c>
      <c r="D1595">
        <f>IF($J1595="","",IFERROR(COUNTIFS('Weekly Log'!$H:$H,"Y",'Weekly Log'!$A:$A,"&gt;="&amp;$J1595,'Weekly Log'!$A:$A,"&lt;"&amp;$J1595+7)/COUNTIFS('Weekly Log'!$H:$H,"&lt;&gt;",'Weekly Log'!$A:$A,"&gt;="&amp;$J1595,'Weekly Log'!$A:$A,"&lt;"&amp;$J1595+7),0))</f>
        <v/>
      </c>
      <c r="E1595">
        <f>IF($J1595="","",IFERROR(AVERAGEIFS('Weekly Log'!$F:$F,'Weekly Log'!$A:$A,"&gt;="&amp;$J1595,'Weekly Log'!$A:$A,"&lt;"&amp;$J1595+7),0))</f>
        <v/>
      </c>
      <c r="F1595">
        <f>IF($J1595="","",IFERROR(SUMIFS('Weekly Log'!$F:$F,'Weekly Log'!$A:$A,"&gt;="&amp;$J1595,'Weekly Log'!$A:$A,"&lt;"&amp;$J1595+7)/SUMIFS('Weekly Log'!$E:$E,'Weekly Log'!$A:$A,"&gt;="&amp;$J1595,'Weekly Log'!$A:$A,"&lt;"&amp;$J1595+7),0))</f>
        <v/>
      </c>
      <c r="G1595">
        <f>IF($J1595="","",IFERROR(LOOKUP(2,1/(('Weekly Log'!$A$5:$A$5000&gt;=$J1595)*('Weekly Log'!$A$5:$A$5000&lt;$J1595+7)*('Weekly Log'!$M$5:$M$5000&lt;&gt;"")),'Weekly Log'!$M$5:$M$5000),0))</f>
        <v/>
      </c>
      <c r="J1595">
        <f>IF(COUNT('Weekly Log'!$A$5:$A$5000)=0,"",IF(MIN('Weekly Log'!$A$5:$A$5000)+7*(ROW()-10)&gt;MAX('Weekly Log'!$A$5:$A$5000),"",MIN('Weekly Log'!$A$5:$A$5000)+7*(ROW()-10)))</f>
        <v/>
      </c>
    </row>
    <row r="1596">
      <c r="A1596">
        <f>IF($J1596="","",YEAR($J1596-WEEKDAY($J1596,2)+4)&amp;"-W"&amp;TEXT(WEEKNUM($J1596,21),"00"))</f>
        <v/>
      </c>
      <c r="B1596">
        <f>IF($J1596="","",SUMIFS('Weekly Log'!$C:$C,'Weekly Log'!$A:$A,"&gt;="&amp;$J1596,'Weekly Log'!$A:$A,"&lt;"&amp;$J1596+7))</f>
        <v/>
      </c>
      <c r="C1596">
        <f>IF($J1596="","",IFERROR(COUNTIFS('Weekly Log'!$G:$G,"Y",'Weekly Log'!$A:$A,"&gt;="&amp;$J1596,'Weekly Log'!$A:$A,"&lt;"&amp;$J1596+7)/COUNTIFS('Weekly Log'!$G:$G,"&lt;&gt;",'Weekly Log'!$A:$A,"&gt;="&amp;$J1596,'Weekly Log'!$A:$A,"&lt;"&amp;$J1596+7),0))</f>
        <v/>
      </c>
      <c r="D1596">
        <f>IF($J1596="","",IFERROR(COUNTIFS('Weekly Log'!$H:$H,"Y",'Weekly Log'!$A:$A,"&gt;="&amp;$J1596,'Weekly Log'!$A:$A,"&lt;"&amp;$J1596+7)/COUNTIFS('Weekly Log'!$H:$H,"&lt;&gt;",'Weekly Log'!$A:$A,"&gt;="&amp;$J1596,'Weekly Log'!$A:$A,"&lt;"&amp;$J1596+7),0))</f>
        <v/>
      </c>
      <c r="E1596">
        <f>IF($J1596="","",IFERROR(AVERAGEIFS('Weekly Log'!$F:$F,'Weekly Log'!$A:$A,"&gt;="&amp;$J1596,'Weekly Log'!$A:$A,"&lt;"&amp;$J1596+7),0))</f>
        <v/>
      </c>
      <c r="F1596">
        <f>IF($J1596="","",IFERROR(SUMIFS('Weekly Log'!$F:$F,'Weekly Log'!$A:$A,"&gt;="&amp;$J1596,'Weekly Log'!$A:$A,"&lt;"&amp;$J1596+7)/SUMIFS('Weekly Log'!$E:$E,'Weekly Log'!$A:$A,"&gt;="&amp;$J1596,'Weekly Log'!$A:$A,"&lt;"&amp;$J1596+7),0))</f>
        <v/>
      </c>
      <c r="G1596">
        <f>IF($J1596="","",IFERROR(LOOKUP(2,1/(('Weekly Log'!$A$5:$A$5000&gt;=$J1596)*('Weekly Log'!$A$5:$A$5000&lt;$J1596+7)*('Weekly Log'!$M$5:$M$5000&lt;&gt;"")),'Weekly Log'!$M$5:$M$5000),0))</f>
        <v/>
      </c>
      <c r="J1596">
        <f>IF(COUNT('Weekly Log'!$A$5:$A$5000)=0,"",IF(MIN('Weekly Log'!$A$5:$A$5000)+7*(ROW()-10)&gt;MAX('Weekly Log'!$A$5:$A$5000),"",MIN('Weekly Log'!$A$5:$A$5000)+7*(ROW()-10)))</f>
        <v/>
      </c>
    </row>
    <row r="1597">
      <c r="A1597">
        <f>IF($J1597="","",YEAR($J1597-WEEKDAY($J1597,2)+4)&amp;"-W"&amp;TEXT(WEEKNUM($J1597,21),"00"))</f>
        <v/>
      </c>
      <c r="B1597">
        <f>IF($J1597="","",SUMIFS('Weekly Log'!$C:$C,'Weekly Log'!$A:$A,"&gt;="&amp;$J1597,'Weekly Log'!$A:$A,"&lt;"&amp;$J1597+7))</f>
        <v/>
      </c>
      <c r="C1597">
        <f>IF($J1597="","",IFERROR(COUNTIFS('Weekly Log'!$G:$G,"Y",'Weekly Log'!$A:$A,"&gt;="&amp;$J1597,'Weekly Log'!$A:$A,"&lt;"&amp;$J1597+7)/COUNTIFS('Weekly Log'!$G:$G,"&lt;&gt;",'Weekly Log'!$A:$A,"&gt;="&amp;$J1597,'Weekly Log'!$A:$A,"&lt;"&amp;$J1597+7),0))</f>
        <v/>
      </c>
      <c r="D1597">
        <f>IF($J1597="","",IFERROR(COUNTIFS('Weekly Log'!$H:$H,"Y",'Weekly Log'!$A:$A,"&gt;="&amp;$J1597,'Weekly Log'!$A:$A,"&lt;"&amp;$J1597+7)/COUNTIFS('Weekly Log'!$H:$H,"&lt;&gt;",'Weekly Log'!$A:$A,"&gt;="&amp;$J1597,'Weekly Log'!$A:$A,"&lt;"&amp;$J1597+7),0))</f>
        <v/>
      </c>
      <c r="E1597">
        <f>IF($J1597="","",IFERROR(AVERAGEIFS('Weekly Log'!$F:$F,'Weekly Log'!$A:$A,"&gt;="&amp;$J1597,'Weekly Log'!$A:$A,"&lt;"&amp;$J1597+7),0))</f>
        <v/>
      </c>
      <c r="F1597">
        <f>IF($J1597="","",IFERROR(SUMIFS('Weekly Log'!$F:$F,'Weekly Log'!$A:$A,"&gt;="&amp;$J1597,'Weekly Log'!$A:$A,"&lt;"&amp;$J1597+7)/SUMIFS('Weekly Log'!$E:$E,'Weekly Log'!$A:$A,"&gt;="&amp;$J1597,'Weekly Log'!$A:$A,"&lt;"&amp;$J1597+7),0))</f>
        <v/>
      </c>
      <c r="G1597">
        <f>IF($J1597="","",IFERROR(LOOKUP(2,1/(('Weekly Log'!$A$5:$A$5000&gt;=$J1597)*('Weekly Log'!$A$5:$A$5000&lt;$J1597+7)*('Weekly Log'!$M$5:$M$5000&lt;&gt;"")),'Weekly Log'!$M$5:$M$5000),0))</f>
        <v/>
      </c>
      <c r="J1597">
        <f>IF(COUNT('Weekly Log'!$A$5:$A$5000)=0,"",IF(MIN('Weekly Log'!$A$5:$A$5000)+7*(ROW()-10)&gt;MAX('Weekly Log'!$A$5:$A$5000),"",MIN('Weekly Log'!$A$5:$A$5000)+7*(ROW()-10)))</f>
        <v/>
      </c>
    </row>
    <row r="1598">
      <c r="A1598">
        <f>IF($J1598="","",YEAR($J1598-WEEKDAY($J1598,2)+4)&amp;"-W"&amp;TEXT(WEEKNUM($J1598,21),"00"))</f>
        <v/>
      </c>
      <c r="B1598">
        <f>IF($J1598="","",SUMIFS('Weekly Log'!$C:$C,'Weekly Log'!$A:$A,"&gt;="&amp;$J1598,'Weekly Log'!$A:$A,"&lt;"&amp;$J1598+7))</f>
        <v/>
      </c>
      <c r="C1598">
        <f>IF($J1598="","",IFERROR(COUNTIFS('Weekly Log'!$G:$G,"Y",'Weekly Log'!$A:$A,"&gt;="&amp;$J1598,'Weekly Log'!$A:$A,"&lt;"&amp;$J1598+7)/COUNTIFS('Weekly Log'!$G:$G,"&lt;&gt;",'Weekly Log'!$A:$A,"&gt;="&amp;$J1598,'Weekly Log'!$A:$A,"&lt;"&amp;$J1598+7),0))</f>
        <v/>
      </c>
      <c r="D1598">
        <f>IF($J1598="","",IFERROR(COUNTIFS('Weekly Log'!$H:$H,"Y",'Weekly Log'!$A:$A,"&gt;="&amp;$J1598,'Weekly Log'!$A:$A,"&lt;"&amp;$J1598+7)/COUNTIFS('Weekly Log'!$H:$H,"&lt;&gt;",'Weekly Log'!$A:$A,"&gt;="&amp;$J1598,'Weekly Log'!$A:$A,"&lt;"&amp;$J1598+7),0))</f>
        <v/>
      </c>
      <c r="E1598">
        <f>IF($J1598="","",IFERROR(AVERAGEIFS('Weekly Log'!$F:$F,'Weekly Log'!$A:$A,"&gt;="&amp;$J1598,'Weekly Log'!$A:$A,"&lt;"&amp;$J1598+7),0))</f>
        <v/>
      </c>
      <c r="F1598">
        <f>IF($J1598="","",IFERROR(SUMIFS('Weekly Log'!$F:$F,'Weekly Log'!$A:$A,"&gt;="&amp;$J1598,'Weekly Log'!$A:$A,"&lt;"&amp;$J1598+7)/SUMIFS('Weekly Log'!$E:$E,'Weekly Log'!$A:$A,"&gt;="&amp;$J1598,'Weekly Log'!$A:$A,"&lt;"&amp;$J1598+7),0))</f>
        <v/>
      </c>
      <c r="G1598">
        <f>IF($J1598="","",IFERROR(LOOKUP(2,1/(('Weekly Log'!$A$5:$A$5000&gt;=$J1598)*('Weekly Log'!$A$5:$A$5000&lt;$J1598+7)*('Weekly Log'!$M$5:$M$5000&lt;&gt;"")),'Weekly Log'!$M$5:$M$5000),0))</f>
        <v/>
      </c>
      <c r="J1598">
        <f>IF(COUNT('Weekly Log'!$A$5:$A$5000)=0,"",IF(MIN('Weekly Log'!$A$5:$A$5000)+7*(ROW()-10)&gt;MAX('Weekly Log'!$A$5:$A$5000),"",MIN('Weekly Log'!$A$5:$A$5000)+7*(ROW()-10)))</f>
        <v/>
      </c>
    </row>
    <row r="1599">
      <c r="A1599">
        <f>IF($J1599="","",YEAR($J1599-WEEKDAY($J1599,2)+4)&amp;"-W"&amp;TEXT(WEEKNUM($J1599,21),"00"))</f>
        <v/>
      </c>
      <c r="B1599">
        <f>IF($J1599="","",SUMIFS('Weekly Log'!$C:$C,'Weekly Log'!$A:$A,"&gt;="&amp;$J1599,'Weekly Log'!$A:$A,"&lt;"&amp;$J1599+7))</f>
        <v/>
      </c>
      <c r="C1599">
        <f>IF($J1599="","",IFERROR(COUNTIFS('Weekly Log'!$G:$G,"Y",'Weekly Log'!$A:$A,"&gt;="&amp;$J1599,'Weekly Log'!$A:$A,"&lt;"&amp;$J1599+7)/COUNTIFS('Weekly Log'!$G:$G,"&lt;&gt;",'Weekly Log'!$A:$A,"&gt;="&amp;$J1599,'Weekly Log'!$A:$A,"&lt;"&amp;$J1599+7),0))</f>
        <v/>
      </c>
      <c r="D1599">
        <f>IF($J1599="","",IFERROR(COUNTIFS('Weekly Log'!$H:$H,"Y",'Weekly Log'!$A:$A,"&gt;="&amp;$J1599,'Weekly Log'!$A:$A,"&lt;"&amp;$J1599+7)/COUNTIFS('Weekly Log'!$H:$H,"&lt;&gt;",'Weekly Log'!$A:$A,"&gt;="&amp;$J1599,'Weekly Log'!$A:$A,"&lt;"&amp;$J1599+7),0))</f>
        <v/>
      </c>
      <c r="E1599">
        <f>IF($J1599="","",IFERROR(AVERAGEIFS('Weekly Log'!$F:$F,'Weekly Log'!$A:$A,"&gt;="&amp;$J1599,'Weekly Log'!$A:$A,"&lt;"&amp;$J1599+7),0))</f>
        <v/>
      </c>
      <c r="F1599">
        <f>IF($J1599="","",IFERROR(SUMIFS('Weekly Log'!$F:$F,'Weekly Log'!$A:$A,"&gt;="&amp;$J1599,'Weekly Log'!$A:$A,"&lt;"&amp;$J1599+7)/SUMIFS('Weekly Log'!$E:$E,'Weekly Log'!$A:$A,"&gt;="&amp;$J1599,'Weekly Log'!$A:$A,"&lt;"&amp;$J1599+7),0))</f>
        <v/>
      </c>
      <c r="G1599">
        <f>IF($J1599="","",IFERROR(LOOKUP(2,1/(('Weekly Log'!$A$5:$A$5000&gt;=$J1599)*('Weekly Log'!$A$5:$A$5000&lt;$J1599+7)*('Weekly Log'!$M$5:$M$5000&lt;&gt;"")),'Weekly Log'!$M$5:$M$5000),0))</f>
        <v/>
      </c>
      <c r="J1599">
        <f>IF(COUNT('Weekly Log'!$A$5:$A$5000)=0,"",IF(MIN('Weekly Log'!$A$5:$A$5000)+7*(ROW()-10)&gt;MAX('Weekly Log'!$A$5:$A$5000),"",MIN('Weekly Log'!$A$5:$A$5000)+7*(ROW()-10)))</f>
        <v/>
      </c>
    </row>
    <row r="1600">
      <c r="A1600">
        <f>IF($J1600="","",YEAR($J1600-WEEKDAY($J1600,2)+4)&amp;"-W"&amp;TEXT(WEEKNUM($J1600,21),"00"))</f>
        <v/>
      </c>
      <c r="B1600">
        <f>IF($J1600="","",SUMIFS('Weekly Log'!$C:$C,'Weekly Log'!$A:$A,"&gt;="&amp;$J1600,'Weekly Log'!$A:$A,"&lt;"&amp;$J1600+7))</f>
        <v/>
      </c>
      <c r="C1600">
        <f>IF($J1600="","",IFERROR(COUNTIFS('Weekly Log'!$G:$G,"Y",'Weekly Log'!$A:$A,"&gt;="&amp;$J1600,'Weekly Log'!$A:$A,"&lt;"&amp;$J1600+7)/COUNTIFS('Weekly Log'!$G:$G,"&lt;&gt;",'Weekly Log'!$A:$A,"&gt;="&amp;$J1600,'Weekly Log'!$A:$A,"&lt;"&amp;$J1600+7),0))</f>
        <v/>
      </c>
      <c r="D1600">
        <f>IF($J1600="","",IFERROR(COUNTIFS('Weekly Log'!$H:$H,"Y",'Weekly Log'!$A:$A,"&gt;="&amp;$J1600,'Weekly Log'!$A:$A,"&lt;"&amp;$J1600+7)/COUNTIFS('Weekly Log'!$H:$H,"&lt;&gt;",'Weekly Log'!$A:$A,"&gt;="&amp;$J1600,'Weekly Log'!$A:$A,"&lt;"&amp;$J1600+7),0))</f>
        <v/>
      </c>
      <c r="E1600">
        <f>IF($J1600="","",IFERROR(AVERAGEIFS('Weekly Log'!$F:$F,'Weekly Log'!$A:$A,"&gt;="&amp;$J1600,'Weekly Log'!$A:$A,"&lt;"&amp;$J1600+7),0))</f>
        <v/>
      </c>
      <c r="F1600">
        <f>IF($J1600="","",IFERROR(SUMIFS('Weekly Log'!$F:$F,'Weekly Log'!$A:$A,"&gt;="&amp;$J1600,'Weekly Log'!$A:$A,"&lt;"&amp;$J1600+7)/SUMIFS('Weekly Log'!$E:$E,'Weekly Log'!$A:$A,"&gt;="&amp;$J1600,'Weekly Log'!$A:$A,"&lt;"&amp;$J1600+7),0))</f>
        <v/>
      </c>
      <c r="G1600">
        <f>IF($J1600="","",IFERROR(LOOKUP(2,1/(('Weekly Log'!$A$5:$A$5000&gt;=$J1600)*('Weekly Log'!$A$5:$A$5000&lt;$J1600+7)*('Weekly Log'!$M$5:$M$5000&lt;&gt;"")),'Weekly Log'!$M$5:$M$5000),0))</f>
        <v/>
      </c>
      <c r="J1600">
        <f>IF(COUNT('Weekly Log'!$A$5:$A$5000)=0,"",IF(MIN('Weekly Log'!$A$5:$A$5000)+7*(ROW()-10)&gt;MAX('Weekly Log'!$A$5:$A$5000),"",MIN('Weekly Log'!$A$5:$A$5000)+7*(ROW()-10)))</f>
        <v/>
      </c>
    </row>
    <row r="1601">
      <c r="A1601">
        <f>IF($J1601="","",YEAR($J1601-WEEKDAY($J1601,2)+4)&amp;"-W"&amp;TEXT(WEEKNUM($J1601,21),"00"))</f>
        <v/>
      </c>
      <c r="B1601">
        <f>IF($J1601="","",SUMIFS('Weekly Log'!$C:$C,'Weekly Log'!$A:$A,"&gt;="&amp;$J1601,'Weekly Log'!$A:$A,"&lt;"&amp;$J1601+7))</f>
        <v/>
      </c>
      <c r="C1601">
        <f>IF($J1601="","",IFERROR(COUNTIFS('Weekly Log'!$G:$G,"Y",'Weekly Log'!$A:$A,"&gt;="&amp;$J1601,'Weekly Log'!$A:$A,"&lt;"&amp;$J1601+7)/COUNTIFS('Weekly Log'!$G:$G,"&lt;&gt;",'Weekly Log'!$A:$A,"&gt;="&amp;$J1601,'Weekly Log'!$A:$A,"&lt;"&amp;$J1601+7),0))</f>
        <v/>
      </c>
      <c r="D1601">
        <f>IF($J1601="","",IFERROR(COUNTIFS('Weekly Log'!$H:$H,"Y",'Weekly Log'!$A:$A,"&gt;="&amp;$J1601,'Weekly Log'!$A:$A,"&lt;"&amp;$J1601+7)/COUNTIFS('Weekly Log'!$H:$H,"&lt;&gt;",'Weekly Log'!$A:$A,"&gt;="&amp;$J1601,'Weekly Log'!$A:$A,"&lt;"&amp;$J1601+7),0))</f>
        <v/>
      </c>
      <c r="E1601">
        <f>IF($J1601="","",IFERROR(AVERAGEIFS('Weekly Log'!$F:$F,'Weekly Log'!$A:$A,"&gt;="&amp;$J1601,'Weekly Log'!$A:$A,"&lt;"&amp;$J1601+7),0))</f>
        <v/>
      </c>
      <c r="F1601">
        <f>IF($J1601="","",IFERROR(SUMIFS('Weekly Log'!$F:$F,'Weekly Log'!$A:$A,"&gt;="&amp;$J1601,'Weekly Log'!$A:$A,"&lt;"&amp;$J1601+7)/SUMIFS('Weekly Log'!$E:$E,'Weekly Log'!$A:$A,"&gt;="&amp;$J1601,'Weekly Log'!$A:$A,"&lt;"&amp;$J1601+7),0))</f>
        <v/>
      </c>
      <c r="G1601">
        <f>IF($J1601="","",IFERROR(LOOKUP(2,1/(('Weekly Log'!$A$5:$A$5000&gt;=$J1601)*('Weekly Log'!$A$5:$A$5000&lt;$J1601+7)*('Weekly Log'!$M$5:$M$5000&lt;&gt;"")),'Weekly Log'!$M$5:$M$5000),0))</f>
        <v/>
      </c>
      <c r="J1601">
        <f>IF(COUNT('Weekly Log'!$A$5:$A$5000)=0,"",IF(MIN('Weekly Log'!$A$5:$A$5000)+7*(ROW()-10)&gt;MAX('Weekly Log'!$A$5:$A$5000),"",MIN('Weekly Log'!$A$5:$A$5000)+7*(ROW()-10)))</f>
        <v/>
      </c>
    </row>
    <row r="1602">
      <c r="A1602">
        <f>IF($J1602="","",YEAR($J1602-WEEKDAY($J1602,2)+4)&amp;"-W"&amp;TEXT(WEEKNUM($J1602,21),"00"))</f>
        <v/>
      </c>
      <c r="B1602">
        <f>IF($J1602="","",SUMIFS('Weekly Log'!$C:$C,'Weekly Log'!$A:$A,"&gt;="&amp;$J1602,'Weekly Log'!$A:$A,"&lt;"&amp;$J1602+7))</f>
        <v/>
      </c>
      <c r="C1602">
        <f>IF($J1602="","",IFERROR(COUNTIFS('Weekly Log'!$G:$G,"Y",'Weekly Log'!$A:$A,"&gt;="&amp;$J1602,'Weekly Log'!$A:$A,"&lt;"&amp;$J1602+7)/COUNTIFS('Weekly Log'!$G:$G,"&lt;&gt;",'Weekly Log'!$A:$A,"&gt;="&amp;$J1602,'Weekly Log'!$A:$A,"&lt;"&amp;$J1602+7),0))</f>
        <v/>
      </c>
      <c r="D1602">
        <f>IF($J1602="","",IFERROR(COUNTIFS('Weekly Log'!$H:$H,"Y",'Weekly Log'!$A:$A,"&gt;="&amp;$J1602,'Weekly Log'!$A:$A,"&lt;"&amp;$J1602+7)/COUNTIFS('Weekly Log'!$H:$H,"&lt;&gt;",'Weekly Log'!$A:$A,"&gt;="&amp;$J1602,'Weekly Log'!$A:$A,"&lt;"&amp;$J1602+7),0))</f>
        <v/>
      </c>
      <c r="E1602">
        <f>IF($J1602="","",IFERROR(AVERAGEIFS('Weekly Log'!$F:$F,'Weekly Log'!$A:$A,"&gt;="&amp;$J1602,'Weekly Log'!$A:$A,"&lt;"&amp;$J1602+7),0))</f>
        <v/>
      </c>
      <c r="F1602">
        <f>IF($J1602="","",IFERROR(SUMIFS('Weekly Log'!$F:$F,'Weekly Log'!$A:$A,"&gt;="&amp;$J1602,'Weekly Log'!$A:$A,"&lt;"&amp;$J1602+7)/SUMIFS('Weekly Log'!$E:$E,'Weekly Log'!$A:$A,"&gt;="&amp;$J1602,'Weekly Log'!$A:$A,"&lt;"&amp;$J1602+7),0))</f>
        <v/>
      </c>
      <c r="G1602">
        <f>IF($J1602="","",IFERROR(LOOKUP(2,1/(('Weekly Log'!$A$5:$A$5000&gt;=$J1602)*('Weekly Log'!$A$5:$A$5000&lt;$J1602+7)*('Weekly Log'!$M$5:$M$5000&lt;&gt;"")),'Weekly Log'!$M$5:$M$5000),0))</f>
        <v/>
      </c>
      <c r="J1602">
        <f>IF(COUNT('Weekly Log'!$A$5:$A$5000)=0,"",IF(MIN('Weekly Log'!$A$5:$A$5000)+7*(ROW()-10)&gt;MAX('Weekly Log'!$A$5:$A$5000),"",MIN('Weekly Log'!$A$5:$A$5000)+7*(ROW()-10)))</f>
        <v/>
      </c>
    </row>
    <row r="1603">
      <c r="A1603">
        <f>IF($J1603="","",YEAR($J1603-WEEKDAY($J1603,2)+4)&amp;"-W"&amp;TEXT(WEEKNUM($J1603,21),"00"))</f>
        <v/>
      </c>
      <c r="B1603">
        <f>IF($J1603="","",SUMIFS('Weekly Log'!$C:$C,'Weekly Log'!$A:$A,"&gt;="&amp;$J1603,'Weekly Log'!$A:$A,"&lt;"&amp;$J1603+7))</f>
        <v/>
      </c>
      <c r="C1603">
        <f>IF($J1603="","",IFERROR(COUNTIFS('Weekly Log'!$G:$G,"Y",'Weekly Log'!$A:$A,"&gt;="&amp;$J1603,'Weekly Log'!$A:$A,"&lt;"&amp;$J1603+7)/COUNTIFS('Weekly Log'!$G:$G,"&lt;&gt;",'Weekly Log'!$A:$A,"&gt;="&amp;$J1603,'Weekly Log'!$A:$A,"&lt;"&amp;$J1603+7),0))</f>
        <v/>
      </c>
      <c r="D1603">
        <f>IF($J1603="","",IFERROR(COUNTIFS('Weekly Log'!$H:$H,"Y",'Weekly Log'!$A:$A,"&gt;="&amp;$J1603,'Weekly Log'!$A:$A,"&lt;"&amp;$J1603+7)/COUNTIFS('Weekly Log'!$H:$H,"&lt;&gt;",'Weekly Log'!$A:$A,"&gt;="&amp;$J1603,'Weekly Log'!$A:$A,"&lt;"&amp;$J1603+7),0))</f>
        <v/>
      </c>
      <c r="E1603">
        <f>IF($J1603="","",IFERROR(AVERAGEIFS('Weekly Log'!$F:$F,'Weekly Log'!$A:$A,"&gt;="&amp;$J1603,'Weekly Log'!$A:$A,"&lt;"&amp;$J1603+7),0))</f>
        <v/>
      </c>
      <c r="F1603">
        <f>IF($J1603="","",IFERROR(SUMIFS('Weekly Log'!$F:$F,'Weekly Log'!$A:$A,"&gt;="&amp;$J1603,'Weekly Log'!$A:$A,"&lt;"&amp;$J1603+7)/SUMIFS('Weekly Log'!$E:$E,'Weekly Log'!$A:$A,"&gt;="&amp;$J1603,'Weekly Log'!$A:$A,"&lt;"&amp;$J1603+7),0))</f>
        <v/>
      </c>
      <c r="G1603">
        <f>IF($J1603="","",IFERROR(LOOKUP(2,1/(('Weekly Log'!$A$5:$A$5000&gt;=$J1603)*('Weekly Log'!$A$5:$A$5000&lt;$J1603+7)*('Weekly Log'!$M$5:$M$5000&lt;&gt;"")),'Weekly Log'!$M$5:$M$5000),0))</f>
        <v/>
      </c>
      <c r="J1603">
        <f>IF(COUNT('Weekly Log'!$A$5:$A$5000)=0,"",IF(MIN('Weekly Log'!$A$5:$A$5000)+7*(ROW()-10)&gt;MAX('Weekly Log'!$A$5:$A$5000),"",MIN('Weekly Log'!$A$5:$A$5000)+7*(ROW()-10)))</f>
        <v/>
      </c>
    </row>
    <row r="1604">
      <c r="A1604">
        <f>IF($J1604="","",YEAR($J1604-WEEKDAY($J1604,2)+4)&amp;"-W"&amp;TEXT(WEEKNUM($J1604,21),"00"))</f>
        <v/>
      </c>
      <c r="B1604">
        <f>IF($J1604="","",SUMIFS('Weekly Log'!$C:$C,'Weekly Log'!$A:$A,"&gt;="&amp;$J1604,'Weekly Log'!$A:$A,"&lt;"&amp;$J1604+7))</f>
        <v/>
      </c>
      <c r="C1604">
        <f>IF($J1604="","",IFERROR(COUNTIFS('Weekly Log'!$G:$G,"Y",'Weekly Log'!$A:$A,"&gt;="&amp;$J1604,'Weekly Log'!$A:$A,"&lt;"&amp;$J1604+7)/COUNTIFS('Weekly Log'!$G:$G,"&lt;&gt;",'Weekly Log'!$A:$A,"&gt;="&amp;$J1604,'Weekly Log'!$A:$A,"&lt;"&amp;$J1604+7),0))</f>
        <v/>
      </c>
      <c r="D1604">
        <f>IF($J1604="","",IFERROR(COUNTIFS('Weekly Log'!$H:$H,"Y",'Weekly Log'!$A:$A,"&gt;="&amp;$J1604,'Weekly Log'!$A:$A,"&lt;"&amp;$J1604+7)/COUNTIFS('Weekly Log'!$H:$H,"&lt;&gt;",'Weekly Log'!$A:$A,"&gt;="&amp;$J1604,'Weekly Log'!$A:$A,"&lt;"&amp;$J1604+7),0))</f>
        <v/>
      </c>
      <c r="E1604">
        <f>IF($J1604="","",IFERROR(AVERAGEIFS('Weekly Log'!$F:$F,'Weekly Log'!$A:$A,"&gt;="&amp;$J1604,'Weekly Log'!$A:$A,"&lt;"&amp;$J1604+7),0))</f>
        <v/>
      </c>
      <c r="F1604">
        <f>IF($J1604="","",IFERROR(SUMIFS('Weekly Log'!$F:$F,'Weekly Log'!$A:$A,"&gt;="&amp;$J1604,'Weekly Log'!$A:$A,"&lt;"&amp;$J1604+7)/SUMIFS('Weekly Log'!$E:$E,'Weekly Log'!$A:$A,"&gt;="&amp;$J1604,'Weekly Log'!$A:$A,"&lt;"&amp;$J1604+7),0))</f>
        <v/>
      </c>
      <c r="G1604">
        <f>IF($J1604="","",IFERROR(LOOKUP(2,1/(('Weekly Log'!$A$5:$A$5000&gt;=$J1604)*('Weekly Log'!$A$5:$A$5000&lt;$J1604+7)*('Weekly Log'!$M$5:$M$5000&lt;&gt;"")),'Weekly Log'!$M$5:$M$5000),0))</f>
        <v/>
      </c>
      <c r="J1604">
        <f>IF(COUNT('Weekly Log'!$A$5:$A$5000)=0,"",IF(MIN('Weekly Log'!$A$5:$A$5000)+7*(ROW()-10)&gt;MAX('Weekly Log'!$A$5:$A$5000),"",MIN('Weekly Log'!$A$5:$A$5000)+7*(ROW()-10)))</f>
        <v/>
      </c>
    </row>
    <row r="1605">
      <c r="A1605">
        <f>IF($J1605="","",YEAR($J1605-WEEKDAY($J1605,2)+4)&amp;"-W"&amp;TEXT(WEEKNUM($J1605,21),"00"))</f>
        <v/>
      </c>
      <c r="B1605">
        <f>IF($J1605="","",SUMIFS('Weekly Log'!$C:$C,'Weekly Log'!$A:$A,"&gt;="&amp;$J1605,'Weekly Log'!$A:$A,"&lt;"&amp;$J1605+7))</f>
        <v/>
      </c>
      <c r="C1605">
        <f>IF($J1605="","",IFERROR(COUNTIFS('Weekly Log'!$G:$G,"Y",'Weekly Log'!$A:$A,"&gt;="&amp;$J1605,'Weekly Log'!$A:$A,"&lt;"&amp;$J1605+7)/COUNTIFS('Weekly Log'!$G:$G,"&lt;&gt;",'Weekly Log'!$A:$A,"&gt;="&amp;$J1605,'Weekly Log'!$A:$A,"&lt;"&amp;$J1605+7),0))</f>
        <v/>
      </c>
      <c r="D1605">
        <f>IF($J1605="","",IFERROR(COUNTIFS('Weekly Log'!$H:$H,"Y",'Weekly Log'!$A:$A,"&gt;="&amp;$J1605,'Weekly Log'!$A:$A,"&lt;"&amp;$J1605+7)/COUNTIFS('Weekly Log'!$H:$H,"&lt;&gt;",'Weekly Log'!$A:$A,"&gt;="&amp;$J1605,'Weekly Log'!$A:$A,"&lt;"&amp;$J1605+7),0))</f>
        <v/>
      </c>
      <c r="E1605">
        <f>IF($J1605="","",IFERROR(AVERAGEIFS('Weekly Log'!$F:$F,'Weekly Log'!$A:$A,"&gt;="&amp;$J1605,'Weekly Log'!$A:$A,"&lt;"&amp;$J1605+7),0))</f>
        <v/>
      </c>
      <c r="F1605">
        <f>IF($J1605="","",IFERROR(SUMIFS('Weekly Log'!$F:$F,'Weekly Log'!$A:$A,"&gt;="&amp;$J1605,'Weekly Log'!$A:$A,"&lt;"&amp;$J1605+7)/SUMIFS('Weekly Log'!$E:$E,'Weekly Log'!$A:$A,"&gt;="&amp;$J1605,'Weekly Log'!$A:$A,"&lt;"&amp;$J1605+7),0))</f>
        <v/>
      </c>
      <c r="G1605">
        <f>IF($J1605="","",IFERROR(LOOKUP(2,1/(('Weekly Log'!$A$5:$A$5000&gt;=$J1605)*('Weekly Log'!$A$5:$A$5000&lt;$J1605+7)*('Weekly Log'!$M$5:$M$5000&lt;&gt;"")),'Weekly Log'!$M$5:$M$5000),0))</f>
        <v/>
      </c>
      <c r="J1605">
        <f>IF(COUNT('Weekly Log'!$A$5:$A$5000)=0,"",IF(MIN('Weekly Log'!$A$5:$A$5000)+7*(ROW()-10)&gt;MAX('Weekly Log'!$A$5:$A$5000),"",MIN('Weekly Log'!$A$5:$A$5000)+7*(ROW()-10)))</f>
        <v/>
      </c>
    </row>
    <row r="1606">
      <c r="A1606">
        <f>IF($J1606="","",YEAR($J1606-WEEKDAY($J1606,2)+4)&amp;"-W"&amp;TEXT(WEEKNUM($J1606,21),"00"))</f>
        <v/>
      </c>
      <c r="B1606">
        <f>IF($J1606="","",SUMIFS('Weekly Log'!$C:$C,'Weekly Log'!$A:$A,"&gt;="&amp;$J1606,'Weekly Log'!$A:$A,"&lt;"&amp;$J1606+7))</f>
        <v/>
      </c>
      <c r="C1606">
        <f>IF($J1606="","",IFERROR(COUNTIFS('Weekly Log'!$G:$G,"Y",'Weekly Log'!$A:$A,"&gt;="&amp;$J1606,'Weekly Log'!$A:$A,"&lt;"&amp;$J1606+7)/COUNTIFS('Weekly Log'!$G:$G,"&lt;&gt;",'Weekly Log'!$A:$A,"&gt;="&amp;$J1606,'Weekly Log'!$A:$A,"&lt;"&amp;$J1606+7),0))</f>
        <v/>
      </c>
      <c r="D1606">
        <f>IF($J1606="","",IFERROR(COUNTIFS('Weekly Log'!$H:$H,"Y",'Weekly Log'!$A:$A,"&gt;="&amp;$J1606,'Weekly Log'!$A:$A,"&lt;"&amp;$J1606+7)/COUNTIFS('Weekly Log'!$H:$H,"&lt;&gt;",'Weekly Log'!$A:$A,"&gt;="&amp;$J1606,'Weekly Log'!$A:$A,"&lt;"&amp;$J1606+7),0))</f>
        <v/>
      </c>
      <c r="E1606">
        <f>IF($J1606="","",IFERROR(AVERAGEIFS('Weekly Log'!$F:$F,'Weekly Log'!$A:$A,"&gt;="&amp;$J1606,'Weekly Log'!$A:$A,"&lt;"&amp;$J1606+7),0))</f>
        <v/>
      </c>
      <c r="F1606">
        <f>IF($J1606="","",IFERROR(SUMIFS('Weekly Log'!$F:$F,'Weekly Log'!$A:$A,"&gt;="&amp;$J1606,'Weekly Log'!$A:$A,"&lt;"&amp;$J1606+7)/SUMIFS('Weekly Log'!$E:$E,'Weekly Log'!$A:$A,"&gt;="&amp;$J1606,'Weekly Log'!$A:$A,"&lt;"&amp;$J1606+7),0))</f>
        <v/>
      </c>
      <c r="G1606">
        <f>IF($J1606="","",IFERROR(LOOKUP(2,1/(('Weekly Log'!$A$5:$A$5000&gt;=$J1606)*('Weekly Log'!$A$5:$A$5000&lt;$J1606+7)*('Weekly Log'!$M$5:$M$5000&lt;&gt;"")),'Weekly Log'!$M$5:$M$5000),0))</f>
        <v/>
      </c>
      <c r="J1606">
        <f>IF(COUNT('Weekly Log'!$A$5:$A$5000)=0,"",IF(MIN('Weekly Log'!$A$5:$A$5000)+7*(ROW()-10)&gt;MAX('Weekly Log'!$A$5:$A$5000),"",MIN('Weekly Log'!$A$5:$A$5000)+7*(ROW()-10)))</f>
        <v/>
      </c>
    </row>
    <row r="1607">
      <c r="A1607">
        <f>IF($J1607="","",YEAR($J1607-WEEKDAY($J1607,2)+4)&amp;"-W"&amp;TEXT(WEEKNUM($J1607,21),"00"))</f>
        <v/>
      </c>
      <c r="B1607">
        <f>IF($J1607="","",SUMIFS('Weekly Log'!$C:$C,'Weekly Log'!$A:$A,"&gt;="&amp;$J1607,'Weekly Log'!$A:$A,"&lt;"&amp;$J1607+7))</f>
        <v/>
      </c>
      <c r="C1607">
        <f>IF($J1607="","",IFERROR(COUNTIFS('Weekly Log'!$G:$G,"Y",'Weekly Log'!$A:$A,"&gt;="&amp;$J1607,'Weekly Log'!$A:$A,"&lt;"&amp;$J1607+7)/COUNTIFS('Weekly Log'!$G:$G,"&lt;&gt;",'Weekly Log'!$A:$A,"&gt;="&amp;$J1607,'Weekly Log'!$A:$A,"&lt;"&amp;$J1607+7),0))</f>
        <v/>
      </c>
      <c r="D1607">
        <f>IF($J1607="","",IFERROR(COUNTIFS('Weekly Log'!$H:$H,"Y",'Weekly Log'!$A:$A,"&gt;="&amp;$J1607,'Weekly Log'!$A:$A,"&lt;"&amp;$J1607+7)/COUNTIFS('Weekly Log'!$H:$H,"&lt;&gt;",'Weekly Log'!$A:$A,"&gt;="&amp;$J1607,'Weekly Log'!$A:$A,"&lt;"&amp;$J1607+7),0))</f>
        <v/>
      </c>
      <c r="E1607">
        <f>IF($J1607="","",IFERROR(AVERAGEIFS('Weekly Log'!$F:$F,'Weekly Log'!$A:$A,"&gt;="&amp;$J1607,'Weekly Log'!$A:$A,"&lt;"&amp;$J1607+7),0))</f>
        <v/>
      </c>
      <c r="F1607">
        <f>IF($J1607="","",IFERROR(SUMIFS('Weekly Log'!$F:$F,'Weekly Log'!$A:$A,"&gt;="&amp;$J1607,'Weekly Log'!$A:$A,"&lt;"&amp;$J1607+7)/SUMIFS('Weekly Log'!$E:$E,'Weekly Log'!$A:$A,"&gt;="&amp;$J1607,'Weekly Log'!$A:$A,"&lt;"&amp;$J1607+7),0))</f>
        <v/>
      </c>
      <c r="G1607">
        <f>IF($J1607="","",IFERROR(LOOKUP(2,1/(('Weekly Log'!$A$5:$A$5000&gt;=$J1607)*('Weekly Log'!$A$5:$A$5000&lt;$J1607+7)*('Weekly Log'!$M$5:$M$5000&lt;&gt;"")),'Weekly Log'!$M$5:$M$5000),0))</f>
        <v/>
      </c>
      <c r="J1607">
        <f>IF(COUNT('Weekly Log'!$A$5:$A$5000)=0,"",IF(MIN('Weekly Log'!$A$5:$A$5000)+7*(ROW()-10)&gt;MAX('Weekly Log'!$A$5:$A$5000),"",MIN('Weekly Log'!$A$5:$A$5000)+7*(ROW()-10)))</f>
        <v/>
      </c>
    </row>
    <row r="1608">
      <c r="A1608">
        <f>IF($J1608="","",YEAR($J1608-WEEKDAY($J1608,2)+4)&amp;"-W"&amp;TEXT(WEEKNUM($J1608,21),"00"))</f>
        <v/>
      </c>
      <c r="B1608">
        <f>IF($J1608="","",SUMIFS('Weekly Log'!$C:$C,'Weekly Log'!$A:$A,"&gt;="&amp;$J1608,'Weekly Log'!$A:$A,"&lt;"&amp;$J1608+7))</f>
        <v/>
      </c>
      <c r="C1608">
        <f>IF($J1608="","",IFERROR(COUNTIFS('Weekly Log'!$G:$G,"Y",'Weekly Log'!$A:$A,"&gt;="&amp;$J1608,'Weekly Log'!$A:$A,"&lt;"&amp;$J1608+7)/COUNTIFS('Weekly Log'!$G:$G,"&lt;&gt;",'Weekly Log'!$A:$A,"&gt;="&amp;$J1608,'Weekly Log'!$A:$A,"&lt;"&amp;$J1608+7),0))</f>
        <v/>
      </c>
      <c r="D1608">
        <f>IF($J1608="","",IFERROR(COUNTIFS('Weekly Log'!$H:$H,"Y",'Weekly Log'!$A:$A,"&gt;="&amp;$J1608,'Weekly Log'!$A:$A,"&lt;"&amp;$J1608+7)/COUNTIFS('Weekly Log'!$H:$H,"&lt;&gt;",'Weekly Log'!$A:$A,"&gt;="&amp;$J1608,'Weekly Log'!$A:$A,"&lt;"&amp;$J1608+7),0))</f>
        <v/>
      </c>
      <c r="E1608">
        <f>IF($J1608="","",IFERROR(AVERAGEIFS('Weekly Log'!$F:$F,'Weekly Log'!$A:$A,"&gt;="&amp;$J1608,'Weekly Log'!$A:$A,"&lt;"&amp;$J1608+7),0))</f>
        <v/>
      </c>
      <c r="F1608">
        <f>IF($J1608="","",IFERROR(SUMIFS('Weekly Log'!$F:$F,'Weekly Log'!$A:$A,"&gt;="&amp;$J1608,'Weekly Log'!$A:$A,"&lt;"&amp;$J1608+7)/SUMIFS('Weekly Log'!$E:$E,'Weekly Log'!$A:$A,"&gt;="&amp;$J1608,'Weekly Log'!$A:$A,"&lt;"&amp;$J1608+7),0))</f>
        <v/>
      </c>
      <c r="G1608">
        <f>IF($J1608="","",IFERROR(LOOKUP(2,1/(('Weekly Log'!$A$5:$A$5000&gt;=$J1608)*('Weekly Log'!$A$5:$A$5000&lt;$J1608+7)*('Weekly Log'!$M$5:$M$5000&lt;&gt;"")),'Weekly Log'!$M$5:$M$5000),0))</f>
        <v/>
      </c>
      <c r="J1608">
        <f>IF(COUNT('Weekly Log'!$A$5:$A$5000)=0,"",IF(MIN('Weekly Log'!$A$5:$A$5000)+7*(ROW()-10)&gt;MAX('Weekly Log'!$A$5:$A$5000),"",MIN('Weekly Log'!$A$5:$A$5000)+7*(ROW()-10)))</f>
        <v/>
      </c>
    </row>
    <row r="1609">
      <c r="A1609">
        <f>IF($J1609="","",YEAR($J1609-WEEKDAY($J1609,2)+4)&amp;"-W"&amp;TEXT(WEEKNUM($J1609,21),"00"))</f>
        <v/>
      </c>
      <c r="B1609">
        <f>IF($J1609="","",SUMIFS('Weekly Log'!$C:$C,'Weekly Log'!$A:$A,"&gt;="&amp;$J1609,'Weekly Log'!$A:$A,"&lt;"&amp;$J1609+7))</f>
        <v/>
      </c>
      <c r="C1609">
        <f>IF($J1609="","",IFERROR(COUNTIFS('Weekly Log'!$G:$G,"Y",'Weekly Log'!$A:$A,"&gt;="&amp;$J1609,'Weekly Log'!$A:$A,"&lt;"&amp;$J1609+7)/COUNTIFS('Weekly Log'!$G:$G,"&lt;&gt;",'Weekly Log'!$A:$A,"&gt;="&amp;$J1609,'Weekly Log'!$A:$A,"&lt;"&amp;$J1609+7),0))</f>
        <v/>
      </c>
      <c r="D1609">
        <f>IF($J1609="","",IFERROR(COUNTIFS('Weekly Log'!$H:$H,"Y",'Weekly Log'!$A:$A,"&gt;="&amp;$J1609,'Weekly Log'!$A:$A,"&lt;"&amp;$J1609+7)/COUNTIFS('Weekly Log'!$H:$H,"&lt;&gt;",'Weekly Log'!$A:$A,"&gt;="&amp;$J1609,'Weekly Log'!$A:$A,"&lt;"&amp;$J1609+7),0))</f>
        <v/>
      </c>
      <c r="E1609">
        <f>IF($J1609="","",IFERROR(AVERAGEIFS('Weekly Log'!$F:$F,'Weekly Log'!$A:$A,"&gt;="&amp;$J1609,'Weekly Log'!$A:$A,"&lt;"&amp;$J1609+7),0))</f>
        <v/>
      </c>
      <c r="F1609">
        <f>IF($J1609="","",IFERROR(SUMIFS('Weekly Log'!$F:$F,'Weekly Log'!$A:$A,"&gt;="&amp;$J1609,'Weekly Log'!$A:$A,"&lt;"&amp;$J1609+7)/SUMIFS('Weekly Log'!$E:$E,'Weekly Log'!$A:$A,"&gt;="&amp;$J1609,'Weekly Log'!$A:$A,"&lt;"&amp;$J1609+7),0))</f>
        <v/>
      </c>
      <c r="G1609">
        <f>IF($J1609="","",IFERROR(LOOKUP(2,1/(('Weekly Log'!$A$5:$A$5000&gt;=$J1609)*('Weekly Log'!$A$5:$A$5000&lt;$J1609+7)*('Weekly Log'!$M$5:$M$5000&lt;&gt;"")),'Weekly Log'!$M$5:$M$5000),0))</f>
        <v/>
      </c>
      <c r="J1609">
        <f>IF(COUNT('Weekly Log'!$A$5:$A$5000)=0,"",IF(MIN('Weekly Log'!$A$5:$A$5000)+7*(ROW()-10)&gt;MAX('Weekly Log'!$A$5:$A$5000),"",MIN('Weekly Log'!$A$5:$A$5000)+7*(ROW()-10)))</f>
        <v/>
      </c>
    </row>
    <row r="1610">
      <c r="A1610">
        <f>IF($J1610="","",YEAR($J1610-WEEKDAY($J1610,2)+4)&amp;"-W"&amp;TEXT(WEEKNUM($J1610,21),"00"))</f>
        <v/>
      </c>
      <c r="B1610">
        <f>IF($J1610="","",SUMIFS('Weekly Log'!$C:$C,'Weekly Log'!$A:$A,"&gt;="&amp;$J1610,'Weekly Log'!$A:$A,"&lt;"&amp;$J1610+7))</f>
        <v/>
      </c>
      <c r="C1610">
        <f>IF($J1610="","",IFERROR(COUNTIFS('Weekly Log'!$G:$G,"Y",'Weekly Log'!$A:$A,"&gt;="&amp;$J1610,'Weekly Log'!$A:$A,"&lt;"&amp;$J1610+7)/COUNTIFS('Weekly Log'!$G:$G,"&lt;&gt;",'Weekly Log'!$A:$A,"&gt;="&amp;$J1610,'Weekly Log'!$A:$A,"&lt;"&amp;$J1610+7),0))</f>
        <v/>
      </c>
      <c r="D1610">
        <f>IF($J1610="","",IFERROR(COUNTIFS('Weekly Log'!$H:$H,"Y",'Weekly Log'!$A:$A,"&gt;="&amp;$J1610,'Weekly Log'!$A:$A,"&lt;"&amp;$J1610+7)/COUNTIFS('Weekly Log'!$H:$H,"&lt;&gt;",'Weekly Log'!$A:$A,"&gt;="&amp;$J1610,'Weekly Log'!$A:$A,"&lt;"&amp;$J1610+7),0))</f>
        <v/>
      </c>
      <c r="E1610">
        <f>IF($J1610="","",IFERROR(AVERAGEIFS('Weekly Log'!$F:$F,'Weekly Log'!$A:$A,"&gt;="&amp;$J1610,'Weekly Log'!$A:$A,"&lt;"&amp;$J1610+7),0))</f>
        <v/>
      </c>
      <c r="F1610">
        <f>IF($J1610="","",IFERROR(SUMIFS('Weekly Log'!$F:$F,'Weekly Log'!$A:$A,"&gt;="&amp;$J1610,'Weekly Log'!$A:$A,"&lt;"&amp;$J1610+7)/SUMIFS('Weekly Log'!$E:$E,'Weekly Log'!$A:$A,"&gt;="&amp;$J1610,'Weekly Log'!$A:$A,"&lt;"&amp;$J1610+7),0))</f>
        <v/>
      </c>
      <c r="G1610">
        <f>IF($J1610="","",IFERROR(LOOKUP(2,1/(('Weekly Log'!$A$5:$A$5000&gt;=$J1610)*('Weekly Log'!$A$5:$A$5000&lt;$J1610+7)*('Weekly Log'!$M$5:$M$5000&lt;&gt;"")),'Weekly Log'!$M$5:$M$5000),0))</f>
        <v/>
      </c>
      <c r="J1610">
        <f>IF(COUNT('Weekly Log'!$A$5:$A$5000)=0,"",IF(MIN('Weekly Log'!$A$5:$A$5000)+7*(ROW()-10)&gt;MAX('Weekly Log'!$A$5:$A$5000),"",MIN('Weekly Log'!$A$5:$A$5000)+7*(ROW()-10)))</f>
        <v/>
      </c>
    </row>
    <row r="1611">
      <c r="A1611">
        <f>IF($J1611="","",YEAR($J1611-WEEKDAY($J1611,2)+4)&amp;"-W"&amp;TEXT(WEEKNUM($J1611,21),"00"))</f>
        <v/>
      </c>
      <c r="B1611">
        <f>IF($J1611="","",SUMIFS('Weekly Log'!$C:$C,'Weekly Log'!$A:$A,"&gt;="&amp;$J1611,'Weekly Log'!$A:$A,"&lt;"&amp;$J1611+7))</f>
        <v/>
      </c>
      <c r="C1611">
        <f>IF($J1611="","",IFERROR(COUNTIFS('Weekly Log'!$G:$G,"Y",'Weekly Log'!$A:$A,"&gt;="&amp;$J1611,'Weekly Log'!$A:$A,"&lt;"&amp;$J1611+7)/COUNTIFS('Weekly Log'!$G:$G,"&lt;&gt;",'Weekly Log'!$A:$A,"&gt;="&amp;$J1611,'Weekly Log'!$A:$A,"&lt;"&amp;$J1611+7),0))</f>
        <v/>
      </c>
      <c r="D1611">
        <f>IF($J1611="","",IFERROR(COUNTIFS('Weekly Log'!$H:$H,"Y",'Weekly Log'!$A:$A,"&gt;="&amp;$J1611,'Weekly Log'!$A:$A,"&lt;"&amp;$J1611+7)/COUNTIFS('Weekly Log'!$H:$H,"&lt;&gt;",'Weekly Log'!$A:$A,"&gt;="&amp;$J1611,'Weekly Log'!$A:$A,"&lt;"&amp;$J1611+7),0))</f>
        <v/>
      </c>
      <c r="E1611">
        <f>IF($J1611="","",IFERROR(AVERAGEIFS('Weekly Log'!$F:$F,'Weekly Log'!$A:$A,"&gt;="&amp;$J1611,'Weekly Log'!$A:$A,"&lt;"&amp;$J1611+7),0))</f>
        <v/>
      </c>
      <c r="F1611">
        <f>IF($J1611="","",IFERROR(SUMIFS('Weekly Log'!$F:$F,'Weekly Log'!$A:$A,"&gt;="&amp;$J1611,'Weekly Log'!$A:$A,"&lt;"&amp;$J1611+7)/SUMIFS('Weekly Log'!$E:$E,'Weekly Log'!$A:$A,"&gt;="&amp;$J1611,'Weekly Log'!$A:$A,"&lt;"&amp;$J1611+7),0))</f>
        <v/>
      </c>
      <c r="G1611">
        <f>IF($J1611="","",IFERROR(LOOKUP(2,1/(('Weekly Log'!$A$5:$A$5000&gt;=$J1611)*('Weekly Log'!$A$5:$A$5000&lt;$J1611+7)*('Weekly Log'!$M$5:$M$5000&lt;&gt;"")),'Weekly Log'!$M$5:$M$5000),0))</f>
        <v/>
      </c>
      <c r="J1611">
        <f>IF(COUNT('Weekly Log'!$A$5:$A$5000)=0,"",IF(MIN('Weekly Log'!$A$5:$A$5000)+7*(ROW()-10)&gt;MAX('Weekly Log'!$A$5:$A$5000),"",MIN('Weekly Log'!$A$5:$A$5000)+7*(ROW()-10)))</f>
        <v/>
      </c>
    </row>
    <row r="1612">
      <c r="A1612">
        <f>IF($J1612="","",YEAR($J1612-WEEKDAY($J1612,2)+4)&amp;"-W"&amp;TEXT(WEEKNUM($J1612,21),"00"))</f>
        <v/>
      </c>
      <c r="B1612">
        <f>IF($J1612="","",SUMIFS('Weekly Log'!$C:$C,'Weekly Log'!$A:$A,"&gt;="&amp;$J1612,'Weekly Log'!$A:$A,"&lt;"&amp;$J1612+7))</f>
        <v/>
      </c>
      <c r="C1612">
        <f>IF($J1612="","",IFERROR(COUNTIFS('Weekly Log'!$G:$G,"Y",'Weekly Log'!$A:$A,"&gt;="&amp;$J1612,'Weekly Log'!$A:$A,"&lt;"&amp;$J1612+7)/COUNTIFS('Weekly Log'!$G:$G,"&lt;&gt;",'Weekly Log'!$A:$A,"&gt;="&amp;$J1612,'Weekly Log'!$A:$A,"&lt;"&amp;$J1612+7),0))</f>
        <v/>
      </c>
      <c r="D1612">
        <f>IF($J1612="","",IFERROR(COUNTIFS('Weekly Log'!$H:$H,"Y",'Weekly Log'!$A:$A,"&gt;="&amp;$J1612,'Weekly Log'!$A:$A,"&lt;"&amp;$J1612+7)/COUNTIFS('Weekly Log'!$H:$H,"&lt;&gt;",'Weekly Log'!$A:$A,"&gt;="&amp;$J1612,'Weekly Log'!$A:$A,"&lt;"&amp;$J1612+7),0))</f>
        <v/>
      </c>
      <c r="E1612">
        <f>IF($J1612="","",IFERROR(AVERAGEIFS('Weekly Log'!$F:$F,'Weekly Log'!$A:$A,"&gt;="&amp;$J1612,'Weekly Log'!$A:$A,"&lt;"&amp;$J1612+7),0))</f>
        <v/>
      </c>
      <c r="F1612">
        <f>IF($J1612="","",IFERROR(SUMIFS('Weekly Log'!$F:$F,'Weekly Log'!$A:$A,"&gt;="&amp;$J1612,'Weekly Log'!$A:$A,"&lt;"&amp;$J1612+7)/SUMIFS('Weekly Log'!$E:$E,'Weekly Log'!$A:$A,"&gt;="&amp;$J1612,'Weekly Log'!$A:$A,"&lt;"&amp;$J1612+7),0))</f>
        <v/>
      </c>
      <c r="G1612">
        <f>IF($J1612="","",IFERROR(LOOKUP(2,1/(('Weekly Log'!$A$5:$A$5000&gt;=$J1612)*('Weekly Log'!$A$5:$A$5000&lt;$J1612+7)*('Weekly Log'!$M$5:$M$5000&lt;&gt;"")),'Weekly Log'!$M$5:$M$5000),0))</f>
        <v/>
      </c>
      <c r="J1612">
        <f>IF(COUNT('Weekly Log'!$A$5:$A$5000)=0,"",IF(MIN('Weekly Log'!$A$5:$A$5000)+7*(ROW()-10)&gt;MAX('Weekly Log'!$A$5:$A$5000),"",MIN('Weekly Log'!$A$5:$A$5000)+7*(ROW()-10)))</f>
        <v/>
      </c>
    </row>
    <row r="1613">
      <c r="A1613">
        <f>IF($J1613="","",YEAR($J1613-WEEKDAY($J1613,2)+4)&amp;"-W"&amp;TEXT(WEEKNUM($J1613,21),"00"))</f>
        <v/>
      </c>
      <c r="B1613">
        <f>IF($J1613="","",SUMIFS('Weekly Log'!$C:$C,'Weekly Log'!$A:$A,"&gt;="&amp;$J1613,'Weekly Log'!$A:$A,"&lt;"&amp;$J1613+7))</f>
        <v/>
      </c>
      <c r="C1613">
        <f>IF($J1613="","",IFERROR(COUNTIFS('Weekly Log'!$G:$G,"Y",'Weekly Log'!$A:$A,"&gt;="&amp;$J1613,'Weekly Log'!$A:$A,"&lt;"&amp;$J1613+7)/COUNTIFS('Weekly Log'!$G:$G,"&lt;&gt;",'Weekly Log'!$A:$A,"&gt;="&amp;$J1613,'Weekly Log'!$A:$A,"&lt;"&amp;$J1613+7),0))</f>
        <v/>
      </c>
      <c r="D1613">
        <f>IF($J1613="","",IFERROR(COUNTIFS('Weekly Log'!$H:$H,"Y",'Weekly Log'!$A:$A,"&gt;="&amp;$J1613,'Weekly Log'!$A:$A,"&lt;"&amp;$J1613+7)/COUNTIFS('Weekly Log'!$H:$H,"&lt;&gt;",'Weekly Log'!$A:$A,"&gt;="&amp;$J1613,'Weekly Log'!$A:$A,"&lt;"&amp;$J1613+7),0))</f>
        <v/>
      </c>
      <c r="E1613">
        <f>IF($J1613="","",IFERROR(AVERAGEIFS('Weekly Log'!$F:$F,'Weekly Log'!$A:$A,"&gt;="&amp;$J1613,'Weekly Log'!$A:$A,"&lt;"&amp;$J1613+7),0))</f>
        <v/>
      </c>
      <c r="F1613">
        <f>IF($J1613="","",IFERROR(SUMIFS('Weekly Log'!$F:$F,'Weekly Log'!$A:$A,"&gt;="&amp;$J1613,'Weekly Log'!$A:$A,"&lt;"&amp;$J1613+7)/SUMIFS('Weekly Log'!$E:$E,'Weekly Log'!$A:$A,"&gt;="&amp;$J1613,'Weekly Log'!$A:$A,"&lt;"&amp;$J1613+7),0))</f>
        <v/>
      </c>
      <c r="G1613">
        <f>IF($J1613="","",IFERROR(LOOKUP(2,1/(('Weekly Log'!$A$5:$A$5000&gt;=$J1613)*('Weekly Log'!$A$5:$A$5000&lt;$J1613+7)*('Weekly Log'!$M$5:$M$5000&lt;&gt;"")),'Weekly Log'!$M$5:$M$5000),0))</f>
        <v/>
      </c>
      <c r="J1613">
        <f>IF(COUNT('Weekly Log'!$A$5:$A$5000)=0,"",IF(MIN('Weekly Log'!$A$5:$A$5000)+7*(ROW()-10)&gt;MAX('Weekly Log'!$A$5:$A$5000),"",MIN('Weekly Log'!$A$5:$A$5000)+7*(ROW()-10)))</f>
        <v/>
      </c>
    </row>
    <row r="1614">
      <c r="A1614">
        <f>IF($J1614="","",YEAR($J1614-WEEKDAY($J1614,2)+4)&amp;"-W"&amp;TEXT(WEEKNUM($J1614,21),"00"))</f>
        <v/>
      </c>
      <c r="B1614">
        <f>IF($J1614="","",SUMIFS('Weekly Log'!$C:$C,'Weekly Log'!$A:$A,"&gt;="&amp;$J1614,'Weekly Log'!$A:$A,"&lt;"&amp;$J1614+7))</f>
        <v/>
      </c>
      <c r="C1614">
        <f>IF($J1614="","",IFERROR(COUNTIFS('Weekly Log'!$G:$G,"Y",'Weekly Log'!$A:$A,"&gt;="&amp;$J1614,'Weekly Log'!$A:$A,"&lt;"&amp;$J1614+7)/COUNTIFS('Weekly Log'!$G:$G,"&lt;&gt;",'Weekly Log'!$A:$A,"&gt;="&amp;$J1614,'Weekly Log'!$A:$A,"&lt;"&amp;$J1614+7),0))</f>
        <v/>
      </c>
      <c r="D1614">
        <f>IF($J1614="","",IFERROR(COUNTIFS('Weekly Log'!$H:$H,"Y",'Weekly Log'!$A:$A,"&gt;="&amp;$J1614,'Weekly Log'!$A:$A,"&lt;"&amp;$J1614+7)/COUNTIFS('Weekly Log'!$H:$H,"&lt;&gt;",'Weekly Log'!$A:$A,"&gt;="&amp;$J1614,'Weekly Log'!$A:$A,"&lt;"&amp;$J1614+7),0))</f>
        <v/>
      </c>
      <c r="E1614">
        <f>IF($J1614="","",IFERROR(AVERAGEIFS('Weekly Log'!$F:$F,'Weekly Log'!$A:$A,"&gt;="&amp;$J1614,'Weekly Log'!$A:$A,"&lt;"&amp;$J1614+7),0))</f>
        <v/>
      </c>
      <c r="F1614">
        <f>IF($J1614="","",IFERROR(SUMIFS('Weekly Log'!$F:$F,'Weekly Log'!$A:$A,"&gt;="&amp;$J1614,'Weekly Log'!$A:$A,"&lt;"&amp;$J1614+7)/SUMIFS('Weekly Log'!$E:$E,'Weekly Log'!$A:$A,"&gt;="&amp;$J1614,'Weekly Log'!$A:$A,"&lt;"&amp;$J1614+7),0))</f>
        <v/>
      </c>
      <c r="G1614">
        <f>IF($J1614="","",IFERROR(LOOKUP(2,1/(('Weekly Log'!$A$5:$A$5000&gt;=$J1614)*('Weekly Log'!$A$5:$A$5000&lt;$J1614+7)*('Weekly Log'!$M$5:$M$5000&lt;&gt;"")),'Weekly Log'!$M$5:$M$5000),0))</f>
        <v/>
      </c>
      <c r="J1614">
        <f>IF(COUNT('Weekly Log'!$A$5:$A$5000)=0,"",IF(MIN('Weekly Log'!$A$5:$A$5000)+7*(ROW()-10)&gt;MAX('Weekly Log'!$A$5:$A$5000),"",MIN('Weekly Log'!$A$5:$A$5000)+7*(ROW()-10)))</f>
        <v/>
      </c>
    </row>
    <row r="1615">
      <c r="A1615">
        <f>IF($J1615="","",YEAR($J1615-WEEKDAY($J1615,2)+4)&amp;"-W"&amp;TEXT(WEEKNUM($J1615,21),"00"))</f>
        <v/>
      </c>
      <c r="B1615">
        <f>IF($J1615="","",SUMIFS('Weekly Log'!$C:$C,'Weekly Log'!$A:$A,"&gt;="&amp;$J1615,'Weekly Log'!$A:$A,"&lt;"&amp;$J1615+7))</f>
        <v/>
      </c>
      <c r="C1615">
        <f>IF($J1615="","",IFERROR(COUNTIFS('Weekly Log'!$G:$G,"Y",'Weekly Log'!$A:$A,"&gt;="&amp;$J1615,'Weekly Log'!$A:$A,"&lt;"&amp;$J1615+7)/COUNTIFS('Weekly Log'!$G:$G,"&lt;&gt;",'Weekly Log'!$A:$A,"&gt;="&amp;$J1615,'Weekly Log'!$A:$A,"&lt;"&amp;$J1615+7),0))</f>
        <v/>
      </c>
      <c r="D1615">
        <f>IF($J1615="","",IFERROR(COUNTIFS('Weekly Log'!$H:$H,"Y",'Weekly Log'!$A:$A,"&gt;="&amp;$J1615,'Weekly Log'!$A:$A,"&lt;"&amp;$J1615+7)/COUNTIFS('Weekly Log'!$H:$H,"&lt;&gt;",'Weekly Log'!$A:$A,"&gt;="&amp;$J1615,'Weekly Log'!$A:$A,"&lt;"&amp;$J1615+7),0))</f>
        <v/>
      </c>
      <c r="E1615">
        <f>IF($J1615="","",IFERROR(AVERAGEIFS('Weekly Log'!$F:$F,'Weekly Log'!$A:$A,"&gt;="&amp;$J1615,'Weekly Log'!$A:$A,"&lt;"&amp;$J1615+7),0))</f>
        <v/>
      </c>
      <c r="F1615">
        <f>IF($J1615="","",IFERROR(SUMIFS('Weekly Log'!$F:$F,'Weekly Log'!$A:$A,"&gt;="&amp;$J1615,'Weekly Log'!$A:$A,"&lt;"&amp;$J1615+7)/SUMIFS('Weekly Log'!$E:$E,'Weekly Log'!$A:$A,"&gt;="&amp;$J1615,'Weekly Log'!$A:$A,"&lt;"&amp;$J1615+7),0))</f>
        <v/>
      </c>
      <c r="G1615">
        <f>IF($J1615="","",IFERROR(LOOKUP(2,1/(('Weekly Log'!$A$5:$A$5000&gt;=$J1615)*('Weekly Log'!$A$5:$A$5000&lt;$J1615+7)*('Weekly Log'!$M$5:$M$5000&lt;&gt;"")),'Weekly Log'!$M$5:$M$5000),0))</f>
        <v/>
      </c>
      <c r="J1615">
        <f>IF(COUNT('Weekly Log'!$A$5:$A$5000)=0,"",IF(MIN('Weekly Log'!$A$5:$A$5000)+7*(ROW()-10)&gt;MAX('Weekly Log'!$A$5:$A$5000),"",MIN('Weekly Log'!$A$5:$A$5000)+7*(ROW()-10)))</f>
        <v/>
      </c>
    </row>
    <row r="1616">
      <c r="A1616">
        <f>IF($J1616="","",YEAR($J1616-WEEKDAY($J1616,2)+4)&amp;"-W"&amp;TEXT(WEEKNUM($J1616,21),"00"))</f>
        <v/>
      </c>
      <c r="B1616">
        <f>IF($J1616="","",SUMIFS('Weekly Log'!$C:$C,'Weekly Log'!$A:$A,"&gt;="&amp;$J1616,'Weekly Log'!$A:$A,"&lt;"&amp;$J1616+7))</f>
        <v/>
      </c>
      <c r="C1616">
        <f>IF($J1616="","",IFERROR(COUNTIFS('Weekly Log'!$G:$G,"Y",'Weekly Log'!$A:$A,"&gt;="&amp;$J1616,'Weekly Log'!$A:$A,"&lt;"&amp;$J1616+7)/COUNTIFS('Weekly Log'!$G:$G,"&lt;&gt;",'Weekly Log'!$A:$A,"&gt;="&amp;$J1616,'Weekly Log'!$A:$A,"&lt;"&amp;$J1616+7),0))</f>
        <v/>
      </c>
      <c r="D1616">
        <f>IF($J1616="","",IFERROR(COUNTIFS('Weekly Log'!$H:$H,"Y",'Weekly Log'!$A:$A,"&gt;="&amp;$J1616,'Weekly Log'!$A:$A,"&lt;"&amp;$J1616+7)/COUNTIFS('Weekly Log'!$H:$H,"&lt;&gt;",'Weekly Log'!$A:$A,"&gt;="&amp;$J1616,'Weekly Log'!$A:$A,"&lt;"&amp;$J1616+7),0))</f>
        <v/>
      </c>
      <c r="E1616">
        <f>IF($J1616="","",IFERROR(AVERAGEIFS('Weekly Log'!$F:$F,'Weekly Log'!$A:$A,"&gt;="&amp;$J1616,'Weekly Log'!$A:$A,"&lt;"&amp;$J1616+7),0))</f>
        <v/>
      </c>
      <c r="F1616">
        <f>IF($J1616="","",IFERROR(SUMIFS('Weekly Log'!$F:$F,'Weekly Log'!$A:$A,"&gt;="&amp;$J1616,'Weekly Log'!$A:$A,"&lt;"&amp;$J1616+7)/SUMIFS('Weekly Log'!$E:$E,'Weekly Log'!$A:$A,"&gt;="&amp;$J1616,'Weekly Log'!$A:$A,"&lt;"&amp;$J1616+7),0))</f>
        <v/>
      </c>
      <c r="G1616">
        <f>IF($J1616="","",IFERROR(LOOKUP(2,1/(('Weekly Log'!$A$5:$A$5000&gt;=$J1616)*('Weekly Log'!$A$5:$A$5000&lt;$J1616+7)*('Weekly Log'!$M$5:$M$5000&lt;&gt;"")),'Weekly Log'!$M$5:$M$5000),0))</f>
        <v/>
      </c>
      <c r="J1616">
        <f>IF(COUNT('Weekly Log'!$A$5:$A$5000)=0,"",IF(MIN('Weekly Log'!$A$5:$A$5000)+7*(ROW()-10)&gt;MAX('Weekly Log'!$A$5:$A$5000),"",MIN('Weekly Log'!$A$5:$A$5000)+7*(ROW()-10)))</f>
        <v/>
      </c>
    </row>
    <row r="1617">
      <c r="A1617">
        <f>IF($J1617="","",YEAR($J1617-WEEKDAY($J1617,2)+4)&amp;"-W"&amp;TEXT(WEEKNUM($J1617,21),"00"))</f>
        <v/>
      </c>
      <c r="B1617">
        <f>IF($J1617="","",SUMIFS('Weekly Log'!$C:$C,'Weekly Log'!$A:$A,"&gt;="&amp;$J1617,'Weekly Log'!$A:$A,"&lt;"&amp;$J1617+7))</f>
        <v/>
      </c>
      <c r="C1617">
        <f>IF($J1617="","",IFERROR(COUNTIFS('Weekly Log'!$G:$G,"Y",'Weekly Log'!$A:$A,"&gt;="&amp;$J1617,'Weekly Log'!$A:$A,"&lt;"&amp;$J1617+7)/COUNTIFS('Weekly Log'!$G:$G,"&lt;&gt;",'Weekly Log'!$A:$A,"&gt;="&amp;$J1617,'Weekly Log'!$A:$A,"&lt;"&amp;$J1617+7),0))</f>
        <v/>
      </c>
      <c r="D1617">
        <f>IF($J1617="","",IFERROR(COUNTIFS('Weekly Log'!$H:$H,"Y",'Weekly Log'!$A:$A,"&gt;="&amp;$J1617,'Weekly Log'!$A:$A,"&lt;"&amp;$J1617+7)/COUNTIFS('Weekly Log'!$H:$H,"&lt;&gt;",'Weekly Log'!$A:$A,"&gt;="&amp;$J1617,'Weekly Log'!$A:$A,"&lt;"&amp;$J1617+7),0))</f>
        <v/>
      </c>
      <c r="E1617">
        <f>IF($J1617="","",IFERROR(AVERAGEIFS('Weekly Log'!$F:$F,'Weekly Log'!$A:$A,"&gt;="&amp;$J1617,'Weekly Log'!$A:$A,"&lt;"&amp;$J1617+7),0))</f>
        <v/>
      </c>
      <c r="F1617">
        <f>IF($J1617="","",IFERROR(SUMIFS('Weekly Log'!$F:$F,'Weekly Log'!$A:$A,"&gt;="&amp;$J1617,'Weekly Log'!$A:$A,"&lt;"&amp;$J1617+7)/SUMIFS('Weekly Log'!$E:$E,'Weekly Log'!$A:$A,"&gt;="&amp;$J1617,'Weekly Log'!$A:$A,"&lt;"&amp;$J1617+7),0))</f>
        <v/>
      </c>
      <c r="G1617">
        <f>IF($J1617="","",IFERROR(LOOKUP(2,1/(('Weekly Log'!$A$5:$A$5000&gt;=$J1617)*('Weekly Log'!$A$5:$A$5000&lt;$J1617+7)*('Weekly Log'!$M$5:$M$5000&lt;&gt;"")),'Weekly Log'!$M$5:$M$5000),0))</f>
        <v/>
      </c>
      <c r="J1617">
        <f>IF(COUNT('Weekly Log'!$A$5:$A$5000)=0,"",IF(MIN('Weekly Log'!$A$5:$A$5000)+7*(ROW()-10)&gt;MAX('Weekly Log'!$A$5:$A$5000),"",MIN('Weekly Log'!$A$5:$A$5000)+7*(ROW()-10)))</f>
        <v/>
      </c>
    </row>
    <row r="1618">
      <c r="A1618">
        <f>IF($J1618="","",YEAR($J1618-WEEKDAY($J1618,2)+4)&amp;"-W"&amp;TEXT(WEEKNUM($J1618,21),"00"))</f>
        <v/>
      </c>
      <c r="B1618">
        <f>IF($J1618="","",SUMIFS('Weekly Log'!$C:$C,'Weekly Log'!$A:$A,"&gt;="&amp;$J1618,'Weekly Log'!$A:$A,"&lt;"&amp;$J1618+7))</f>
        <v/>
      </c>
      <c r="C1618">
        <f>IF($J1618="","",IFERROR(COUNTIFS('Weekly Log'!$G:$G,"Y",'Weekly Log'!$A:$A,"&gt;="&amp;$J1618,'Weekly Log'!$A:$A,"&lt;"&amp;$J1618+7)/COUNTIFS('Weekly Log'!$G:$G,"&lt;&gt;",'Weekly Log'!$A:$A,"&gt;="&amp;$J1618,'Weekly Log'!$A:$A,"&lt;"&amp;$J1618+7),0))</f>
        <v/>
      </c>
      <c r="D1618">
        <f>IF($J1618="","",IFERROR(COUNTIFS('Weekly Log'!$H:$H,"Y",'Weekly Log'!$A:$A,"&gt;="&amp;$J1618,'Weekly Log'!$A:$A,"&lt;"&amp;$J1618+7)/COUNTIFS('Weekly Log'!$H:$H,"&lt;&gt;",'Weekly Log'!$A:$A,"&gt;="&amp;$J1618,'Weekly Log'!$A:$A,"&lt;"&amp;$J1618+7),0))</f>
        <v/>
      </c>
      <c r="E1618">
        <f>IF($J1618="","",IFERROR(AVERAGEIFS('Weekly Log'!$F:$F,'Weekly Log'!$A:$A,"&gt;="&amp;$J1618,'Weekly Log'!$A:$A,"&lt;"&amp;$J1618+7),0))</f>
        <v/>
      </c>
      <c r="F1618">
        <f>IF($J1618="","",IFERROR(SUMIFS('Weekly Log'!$F:$F,'Weekly Log'!$A:$A,"&gt;="&amp;$J1618,'Weekly Log'!$A:$A,"&lt;"&amp;$J1618+7)/SUMIFS('Weekly Log'!$E:$E,'Weekly Log'!$A:$A,"&gt;="&amp;$J1618,'Weekly Log'!$A:$A,"&lt;"&amp;$J1618+7),0))</f>
        <v/>
      </c>
      <c r="G1618">
        <f>IF($J1618="","",IFERROR(LOOKUP(2,1/(('Weekly Log'!$A$5:$A$5000&gt;=$J1618)*('Weekly Log'!$A$5:$A$5000&lt;$J1618+7)*('Weekly Log'!$M$5:$M$5000&lt;&gt;"")),'Weekly Log'!$M$5:$M$5000),0))</f>
        <v/>
      </c>
      <c r="J1618">
        <f>IF(COUNT('Weekly Log'!$A$5:$A$5000)=0,"",IF(MIN('Weekly Log'!$A$5:$A$5000)+7*(ROW()-10)&gt;MAX('Weekly Log'!$A$5:$A$5000),"",MIN('Weekly Log'!$A$5:$A$5000)+7*(ROW()-10)))</f>
        <v/>
      </c>
    </row>
    <row r="1619">
      <c r="A1619">
        <f>IF($J1619="","",YEAR($J1619-WEEKDAY($J1619,2)+4)&amp;"-W"&amp;TEXT(WEEKNUM($J1619,21),"00"))</f>
        <v/>
      </c>
      <c r="B1619">
        <f>IF($J1619="","",SUMIFS('Weekly Log'!$C:$C,'Weekly Log'!$A:$A,"&gt;="&amp;$J1619,'Weekly Log'!$A:$A,"&lt;"&amp;$J1619+7))</f>
        <v/>
      </c>
      <c r="C1619">
        <f>IF($J1619="","",IFERROR(COUNTIFS('Weekly Log'!$G:$G,"Y",'Weekly Log'!$A:$A,"&gt;="&amp;$J1619,'Weekly Log'!$A:$A,"&lt;"&amp;$J1619+7)/COUNTIFS('Weekly Log'!$G:$G,"&lt;&gt;",'Weekly Log'!$A:$A,"&gt;="&amp;$J1619,'Weekly Log'!$A:$A,"&lt;"&amp;$J1619+7),0))</f>
        <v/>
      </c>
      <c r="D1619">
        <f>IF($J1619="","",IFERROR(COUNTIFS('Weekly Log'!$H:$H,"Y",'Weekly Log'!$A:$A,"&gt;="&amp;$J1619,'Weekly Log'!$A:$A,"&lt;"&amp;$J1619+7)/COUNTIFS('Weekly Log'!$H:$H,"&lt;&gt;",'Weekly Log'!$A:$A,"&gt;="&amp;$J1619,'Weekly Log'!$A:$A,"&lt;"&amp;$J1619+7),0))</f>
        <v/>
      </c>
      <c r="E1619">
        <f>IF($J1619="","",IFERROR(AVERAGEIFS('Weekly Log'!$F:$F,'Weekly Log'!$A:$A,"&gt;="&amp;$J1619,'Weekly Log'!$A:$A,"&lt;"&amp;$J1619+7),0))</f>
        <v/>
      </c>
      <c r="F1619">
        <f>IF($J1619="","",IFERROR(SUMIFS('Weekly Log'!$F:$F,'Weekly Log'!$A:$A,"&gt;="&amp;$J1619,'Weekly Log'!$A:$A,"&lt;"&amp;$J1619+7)/SUMIFS('Weekly Log'!$E:$E,'Weekly Log'!$A:$A,"&gt;="&amp;$J1619,'Weekly Log'!$A:$A,"&lt;"&amp;$J1619+7),0))</f>
        <v/>
      </c>
      <c r="G1619">
        <f>IF($J1619="","",IFERROR(LOOKUP(2,1/(('Weekly Log'!$A$5:$A$5000&gt;=$J1619)*('Weekly Log'!$A$5:$A$5000&lt;$J1619+7)*('Weekly Log'!$M$5:$M$5000&lt;&gt;"")),'Weekly Log'!$M$5:$M$5000),0))</f>
        <v/>
      </c>
      <c r="J1619">
        <f>IF(COUNT('Weekly Log'!$A$5:$A$5000)=0,"",IF(MIN('Weekly Log'!$A$5:$A$5000)+7*(ROW()-10)&gt;MAX('Weekly Log'!$A$5:$A$5000),"",MIN('Weekly Log'!$A$5:$A$5000)+7*(ROW()-10)))</f>
        <v/>
      </c>
    </row>
    <row r="1620">
      <c r="A1620">
        <f>IF($J1620="","",YEAR($J1620-WEEKDAY($J1620,2)+4)&amp;"-W"&amp;TEXT(WEEKNUM($J1620,21),"00"))</f>
        <v/>
      </c>
      <c r="B1620">
        <f>IF($J1620="","",SUMIFS('Weekly Log'!$C:$C,'Weekly Log'!$A:$A,"&gt;="&amp;$J1620,'Weekly Log'!$A:$A,"&lt;"&amp;$J1620+7))</f>
        <v/>
      </c>
      <c r="C1620">
        <f>IF($J1620="","",IFERROR(COUNTIFS('Weekly Log'!$G:$G,"Y",'Weekly Log'!$A:$A,"&gt;="&amp;$J1620,'Weekly Log'!$A:$A,"&lt;"&amp;$J1620+7)/COUNTIFS('Weekly Log'!$G:$G,"&lt;&gt;",'Weekly Log'!$A:$A,"&gt;="&amp;$J1620,'Weekly Log'!$A:$A,"&lt;"&amp;$J1620+7),0))</f>
        <v/>
      </c>
      <c r="D1620">
        <f>IF($J1620="","",IFERROR(COUNTIFS('Weekly Log'!$H:$H,"Y",'Weekly Log'!$A:$A,"&gt;="&amp;$J1620,'Weekly Log'!$A:$A,"&lt;"&amp;$J1620+7)/COUNTIFS('Weekly Log'!$H:$H,"&lt;&gt;",'Weekly Log'!$A:$A,"&gt;="&amp;$J1620,'Weekly Log'!$A:$A,"&lt;"&amp;$J1620+7),0))</f>
        <v/>
      </c>
      <c r="E1620">
        <f>IF($J1620="","",IFERROR(AVERAGEIFS('Weekly Log'!$F:$F,'Weekly Log'!$A:$A,"&gt;="&amp;$J1620,'Weekly Log'!$A:$A,"&lt;"&amp;$J1620+7),0))</f>
        <v/>
      </c>
      <c r="F1620">
        <f>IF($J1620="","",IFERROR(SUMIFS('Weekly Log'!$F:$F,'Weekly Log'!$A:$A,"&gt;="&amp;$J1620,'Weekly Log'!$A:$A,"&lt;"&amp;$J1620+7)/SUMIFS('Weekly Log'!$E:$E,'Weekly Log'!$A:$A,"&gt;="&amp;$J1620,'Weekly Log'!$A:$A,"&lt;"&amp;$J1620+7),0))</f>
        <v/>
      </c>
      <c r="G1620">
        <f>IF($J1620="","",IFERROR(LOOKUP(2,1/(('Weekly Log'!$A$5:$A$5000&gt;=$J1620)*('Weekly Log'!$A$5:$A$5000&lt;$J1620+7)*('Weekly Log'!$M$5:$M$5000&lt;&gt;"")),'Weekly Log'!$M$5:$M$5000),0))</f>
        <v/>
      </c>
      <c r="J1620">
        <f>IF(COUNT('Weekly Log'!$A$5:$A$5000)=0,"",IF(MIN('Weekly Log'!$A$5:$A$5000)+7*(ROW()-10)&gt;MAX('Weekly Log'!$A$5:$A$5000),"",MIN('Weekly Log'!$A$5:$A$5000)+7*(ROW()-10)))</f>
        <v/>
      </c>
    </row>
    <row r="1621">
      <c r="A1621">
        <f>IF($J1621="","",YEAR($J1621-WEEKDAY($J1621,2)+4)&amp;"-W"&amp;TEXT(WEEKNUM($J1621,21),"00"))</f>
        <v/>
      </c>
      <c r="B1621">
        <f>IF($J1621="","",SUMIFS('Weekly Log'!$C:$C,'Weekly Log'!$A:$A,"&gt;="&amp;$J1621,'Weekly Log'!$A:$A,"&lt;"&amp;$J1621+7))</f>
        <v/>
      </c>
      <c r="C1621">
        <f>IF($J1621="","",IFERROR(COUNTIFS('Weekly Log'!$G:$G,"Y",'Weekly Log'!$A:$A,"&gt;="&amp;$J1621,'Weekly Log'!$A:$A,"&lt;"&amp;$J1621+7)/COUNTIFS('Weekly Log'!$G:$G,"&lt;&gt;",'Weekly Log'!$A:$A,"&gt;="&amp;$J1621,'Weekly Log'!$A:$A,"&lt;"&amp;$J1621+7),0))</f>
        <v/>
      </c>
      <c r="D1621">
        <f>IF($J1621="","",IFERROR(COUNTIFS('Weekly Log'!$H:$H,"Y",'Weekly Log'!$A:$A,"&gt;="&amp;$J1621,'Weekly Log'!$A:$A,"&lt;"&amp;$J1621+7)/COUNTIFS('Weekly Log'!$H:$H,"&lt;&gt;",'Weekly Log'!$A:$A,"&gt;="&amp;$J1621,'Weekly Log'!$A:$A,"&lt;"&amp;$J1621+7),0))</f>
        <v/>
      </c>
      <c r="E1621">
        <f>IF($J1621="","",IFERROR(AVERAGEIFS('Weekly Log'!$F:$F,'Weekly Log'!$A:$A,"&gt;="&amp;$J1621,'Weekly Log'!$A:$A,"&lt;"&amp;$J1621+7),0))</f>
        <v/>
      </c>
      <c r="F1621">
        <f>IF($J1621="","",IFERROR(SUMIFS('Weekly Log'!$F:$F,'Weekly Log'!$A:$A,"&gt;="&amp;$J1621,'Weekly Log'!$A:$A,"&lt;"&amp;$J1621+7)/SUMIFS('Weekly Log'!$E:$E,'Weekly Log'!$A:$A,"&gt;="&amp;$J1621,'Weekly Log'!$A:$A,"&lt;"&amp;$J1621+7),0))</f>
        <v/>
      </c>
      <c r="G1621">
        <f>IF($J1621="","",IFERROR(LOOKUP(2,1/(('Weekly Log'!$A$5:$A$5000&gt;=$J1621)*('Weekly Log'!$A$5:$A$5000&lt;$J1621+7)*('Weekly Log'!$M$5:$M$5000&lt;&gt;"")),'Weekly Log'!$M$5:$M$5000),0))</f>
        <v/>
      </c>
      <c r="J1621">
        <f>IF(COUNT('Weekly Log'!$A$5:$A$5000)=0,"",IF(MIN('Weekly Log'!$A$5:$A$5000)+7*(ROW()-10)&gt;MAX('Weekly Log'!$A$5:$A$5000),"",MIN('Weekly Log'!$A$5:$A$5000)+7*(ROW()-10)))</f>
        <v/>
      </c>
    </row>
    <row r="1622">
      <c r="A1622">
        <f>IF($J1622="","",YEAR($J1622-WEEKDAY($J1622,2)+4)&amp;"-W"&amp;TEXT(WEEKNUM($J1622,21),"00"))</f>
        <v/>
      </c>
      <c r="B1622">
        <f>IF($J1622="","",SUMIFS('Weekly Log'!$C:$C,'Weekly Log'!$A:$A,"&gt;="&amp;$J1622,'Weekly Log'!$A:$A,"&lt;"&amp;$J1622+7))</f>
        <v/>
      </c>
      <c r="C1622">
        <f>IF($J1622="","",IFERROR(COUNTIFS('Weekly Log'!$G:$G,"Y",'Weekly Log'!$A:$A,"&gt;="&amp;$J1622,'Weekly Log'!$A:$A,"&lt;"&amp;$J1622+7)/COUNTIFS('Weekly Log'!$G:$G,"&lt;&gt;",'Weekly Log'!$A:$A,"&gt;="&amp;$J1622,'Weekly Log'!$A:$A,"&lt;"&amp;$J1622+7),0))</f>
        <v/>
      </c>
      <c r="D1622">
        <f>IF($J1622="","",IFERROR(COUNTIFS('Weekly Log'!$H:$H,"Y",'Weekly Log'!$A:$A,"&gt;="&amp;$J1622,'Weekly Log'!$A:$A,"&lt;"&amp;$J1622+7)/COUNTIFS('Weekly Log'!$H:$H,"&lt;&gt;",'Weekly Log'!$A:$A,"&gt;="&amp;$J1622,'Weekly Log'!$A:$A,"&lt;"&amp;$J1622+7),0))</f>
        <v/>
      </c>
      <c r="E1622">
        <f>IF($J1622="","",IFERROR(AVERAGEIFS('Weekly Log'!$F:$F,'Weekly Log'!$A:$A,"&gt;="&amp;$J1622,'Weekly Log'!$A:$A,"&lt;"&amp;$J1622+7),0))</f>
        <v/>
      </c>
      <c r="F1622">
        <f>IF($J1622="","",IFERROR(SUMIFS('Weekly Log'!$F:$F,'Weekly Log'!$A:$A,"&gt;="&amp;$J1622,'Weekly Log'!$A:$A,"&lt;"&amp;$J1622+7)/SUMIFS('Weekly Log'!$E:$E,'Weekly Log'!$A:$A,"&gt;="&amp;$J1622,'Weekly Log'!$A:$A,"&lt;"&amp;$J1622+7),0))</f>
        <v/>
      </c>
      <c r="G1622">
        <f>IF($J1622="","",IFERROR(LOOKUP(2,1/(('Weekly Log'!$A$5:$A$5000&gt;=$J1622)*('Weekly Log'!$A$5:$A$5000&lt;$J1622+7)*('Weekly Log'!$M$5:$M$5000&lt;&gt;"")),'Weekly Log'!$M$5:$M$5000),0))</f>
        <v/>
      </c>
      <c r="J1622">
        <f>IF(COUNT('Weekly Log'!$A$5:$A$5000)=0,"",IF(MIN('Weekly Log'!$A$5:$A$5000)+7*(ROW()-10)&gt;MAX('Weekly Log'!$A$5:$A$5000),"",MIN('Weekly Log'!$A$5:$A$5000)+7*(ROW()-10)))</f>
        <v/>
      </c>
    </row>
    <row r="1623">
      <c r="A1623">
        <f>IF($J1623="","",YEAR($J1623-WEEKDAY($J1623,2)+4)&amp;"-W"&amp;TEXT(WEEKNUM($J1623,21),"00"))</f>
        <v/>
      </c>
      <c r="B1623">
        <f>IF($J1623="","",SUMIFS('Weekly Log'!$C:$C,'Weekly Log'!$A:$A,"&gt;="&amp;$J1623,'Weekly Log'!$A:$A,"&lt;"&amp;$J1623+7))</f>
        <v/>
      </c>
      <c r="C1623">
        <f>IF($J1623="","",IFERROR(COUNTIFS('Weekly Log'!$G:$G,"Y",'Weekly Log'!$A:$A,"&gt;="&amp;$J1623,'Weekly Log'!$A:$A,"&lt;"&amp;$J1623+7)/COUNTIFS('Weekly Log'!$G:$G,"&lt;&gt;",'Weekly Log'!$A:$A,"&gt;="&amp;$J1623,'Weekly Log'!$A:$A,"&lt;"&amp;$J1623+7),0))</f>
        <v/>
      </c>
      <c r="D1623">
        <f>IF($J1623="","",IFERROR(COUNTIFS('Weekly Log'!$H:$H,"Y",'Weekly Log'!$A:$A,"&gt;="&amp;$J1623,'Weekly Log'!$A:$A,"&lt;"&amp;$J1623+7)/COUNTIFS('Weekly Log'!$H:$H,"&lt;&gt;",'Weekly Log'!$A:$A,"&gt;="&amp;$J1623,'Weekly Log'!$A:$A,"&lt;"&amp;$J1623+7),0))</f>
        <v/>
      </c>
      <c r="E1623">
        <f>IF($J1623="","",IFERROR(AVERAGEIFS('Weekly Log'!$F:$F,'Weekly Log'!$A:$A,"&gt;="&amp;$J1623,'Weekly Log'!$A:$A,"&lt;"&amp;$J1623+7),0))</f>
        <v/>
      </c>
      <c r="F1623">
        <f>IF($J1623="","",IFERROR(SUMIFS('Weekly Log'!$F:$F,'Weekly Log'!$A:$A,"&gt;="&amp;$J1623,'Weekly Log'!$A:$A,"&lt;"&amp;$J1623+7)/SUMIFS('Weekly Log'!$E:$E,'Weekly Log'!$A:$A,"&gt;="&amp;$J1623,'Weekly Log'!$A:$A,"&lt;"&amp;$J1623+7),0))</f>
        <v/>
      </c>
      <c r="G1623">
        <f>IF($J1623="","",IFERROR(LOOKUP(2,1/(('Weekly Log'!$A$5:$A$5000&gt;=$J1623)*('Weekly Log'!$A$5:$A$5000&lt;$J1623+7)*('Weekly Log'!$M$5:$M$5000&lt;&gt;"")),'Weekly Log'!$M$5:$M$5000),0))</f>
        <v/>
      </c>
      <c r="J1623">
        <f>IF(COUNT('Weekly Log'!$A$5:$A$5000)=0,"",IF(MIN('Weekly Log'!$A$5:$A$5000)+7*(ROW()-10)&gt;MAX('Weekly Log'!$A$5:$A$5000),"",MIN('Weekly Log'!$A$5:$A$5000)+7*(ROW()-10)))</f>
        <v/>
      </c>
    </row>
    <row r="1624">
      <c r="A1624">
        <f>IF($J1624="","",YEAR($J1624-WEEKDAY($J1624,2)+4)&amp;"-W"&amp;TEXT(WEEKNUM($J1624,21),"00"))</f>
        <v/>
      </c>
      <c r="B1624">
        <f>IF($J1624="","",SUMIFS('Weekly Log'!$C:$C,'Weekly Log'!$A:$A,"&gt;="&amp;$J1624,'Weekly Log'!$A:$A,"&lt;"&amp;$J1624+7))</f>
        <v/>
      </c>
      <c r="C1624">
        <f>IF($J1624="","",IFERROR(COUNTIFS('Weekly Log'!$G:$G,"Y",'Weekly Log'!$A:$A,"&gt;="&amp;$J1624,'Weekly Log'!$A:$A,"&lt;"&amp;$J1624+7)/COUNTIFS('Weekly Log'!$G:$G,"&lt;&gt;",'Weekly Log'!$A:$A,"&gt;="&amp;$J1624,'Weekly Log'!$A:$A,"&lt;"&amp;$J1624+7),0))</f>
        <v/>
      </c>
      <c r="D1624">
        <f>IF($J1624="","",IFERROR(COUNTIFS('Weekly Log'!$H:$H,"Y",'Weekly Log'!$A:$A,"&gt;="&amp;$J1624,'Weekly Log'!$A:$A,"&lt;"&amp;$J1624+7)/COUNTIFS('Weekly Log'!$H:$H,"&lt;&gt;",'Weekly Log'!$A:$A,"&gt;="&amp;$J1624,'Weekly Log'!$A:$A,"&lt;"&amp;$J1624+7),0))</f>
        <v/>
      </c>
      <c r="E1624">
        <f>IF($J1624="","",IFERROR(AVERAGEIFS('Weekly Log'!$F:$F,'Weekly Log'!$A:$A,"&gt;="&amp;$J1624,'Weekly Log'!$A:$A,"&lt;"&amp;$J1624+7),0))</f>
        <v/>
      </c>
      <c r="F1624">
        <f>IF($J1624="","",IFERROR(SUMIFS('Weekly Log'!$F:$F,'Weekly Log'!$A:$A,"&gt;="&amp;$J1624,'Weekly Log'!$A:$A,"&lt;"&amp;$J1624+7)/SUMIFS('Weekly Log'!$E:$E,'Weekly Log'!$A:$A,"&gt;="&amp;$J1624,'Weekly Log'!$A:$A,"&lt;"&amp;$J1624+7),0))</f>
        <v/>
      </c>
      <c r="G1624">
        <f>IF($J1624="","",IFERROR(LOOKUP(2,1/(('Weekly Log'!$A$5:$A$5000&gt;=$J1624)*('Weekly Log'!$A$5:$A$5000&lt;$J1624+7)*('Weekly Log'!$M$5:$M$5000&lt;&gt;"")),'Weekly Log'!$M$5:$M$5000),0))</f>
        <v/>
      </c>
      <c r="J1624">
        <f>IF(COUNT('Weekly Log'!$A$5:$A$5000)=0,"",IF(MIN('Weekly Log'!$A$5:$A$5000)+7*(ROW()-10)&gt;MAX('Weekly Log'!$A$5:$A$5000),"",MIN('Weekly Log'!$A$5:$A$5000)+7*(ROW()-10)))</f>
        <v/>
      </c>
    </row>
    <row r="1625">
      <c r="A1625">
        <f>IF($J1625="","",YEAR($J1625-WEEKDAY($J1625,2)+4)&amp;"-W"&amp;TEXT(WEEKNUM($J1625,21),"00"))</f>
        <v/>
      </c>
      <c r="B1625">
        <f>IF($J1625="","",SUMIFS('Weekly Log'!$C:$C,'Weekly Log'!$A:$A,"&gt;="&amp;$J1625,'Weekly Log'!$A:$A,"&lt;"&amp;$J1625+7))</f>
        <v/>
      </c>
      <c r="C1625">
        <f>IF($J1625="","",IFERROR(COUNTIFS('Weekly Log'!$G:$G,"Y",'Weekly Log'!$A:$A,"&gt;="&amp;$J1625,'Weekly Log'!$A:$A,"&lt;"&amp;$J1625+7)/COUNTIFS('Weekly Log'!$G:$G,"&lt;&gt;",'Weekly Log'!$A:$A,"&gt;="&amp;$J1625,'Weekly Log'!$A:$A,"&lt;"&amp;$J1625+7),0))</f>
        <v/>
      </c>
      <c r="D1625">
        <f>IF($J1625="","",IFERROR(COUNTIFS('Weekly Log'!$H:$H,"Y",'Weekly Log'!$A:$A,"&gt;="&amp;$J1625,'Weekly Log'!$A:$A,"&lt;"&amp;$J1625+7)/COUNTIFS('Weekly Log'!$H:$H,"&lt;&gt;",'Weekly Log'!$A:$A,"&gt;="&amp;$J1625,'Weekly Log'!$A:$A,"&lt;"&amp;$J1625+7),0))</f>
        <v/>
      </c>
      <c r="E1625">
        <f>IF($J1625="","",IFERROR(AVERAGEIFS('Weekly Log'!$F:$F,'Weekly Log'!$A:$A,"&gt;="&amp;$J1625,'Weekly Log'!$A:$A,"&lt;"&amp;$J1625+7),0))</f>
        <v/>
      </c>
      <c r="F1625">
        <f>IF($J1625="","",IFERROR(SUMIFS('Weekly Log'!$F:$F,'Weekly Log'!$A:$A,"&gt;="&amp;$J1625,'Weekly Log'!$A:$A,"&lt;"&amp;$J1625+7)/SUMIFS('Weekly Log'!$E:$E,'Weekly Log'!$A:$A,"&gt;="&amp;$J1625,'Weekly Log'!$A:$A,"&lt;"&amp;$J1625+7),0))</f>
        <v/>
      </c>
      <c r="G1625">
        <f>IF($J1625="","",IFERROR(LOOKUP(2,1/(('Weekly Log'!$A$5:$A$5000&gt;=$J1625)*('Weekly Log'!$A$5:$A$5000&lt;$J1625+7)*('Weekly Log'!$M$5:$M$5000&lt;&gt;"")),'Weekly Log'!$M$5:$M$5000),0))</f>
        <v/>
      </c>
      <c r="J1625">
        <f>IF(COUNT('Weekly Log'!$A$5:$A$5000)=0,"",IF(MIN('Weekly Log'!$A$5:$A$5000)+7*(ROW()-10)&gt;MAX('Weekly Log'!$A$5:$A$5000),"",MIN('Weekly Log'!$A$5:$A$5000)+7*(ROW()-10)))</f>
        <v/>
      </c>
    </row>
    <row r="1626">
      <c r="A1626">
        <f>IF($J1626="","",YEAR($J1626-WEEKDAY($J1626,2)+4)&amp;"-W"&amp;TEXT(WEEKNUM($J1626,21),"00"))</f>
        <v/>
      </c>
      <c r="B1626">
        <f>IF($J1626="","",SUMIFS('Weekly Log'!$C:$C,'Weekly Log'!$A:$A,"&gt;="&amp;$J1626,'Weekly Log'!$A:$A,"&lt;"&amp;$J1626+7))</f>
        <v/>
      </c>
      <c r="C1626">
        <f>IF($J1626="","",IFERROR(COUNTIFS('Weekly Log'!$G:$G,"Y",'Weekly Log'!$A:$A,"&gt;="&amp;$J1626,'Weekly Log'!$A:$A,"&lt;"&amp;$J1626+7)/COUNTIFS('Weekly Log'!$G:$G,"&lt;&gt;",'Weekly Log'!$A:$A,"&gt;="&amp;$J1626,'Weekly Log'!$A:$A,"&lt;"&amp;$J1626+7),0))</f>
        <v/>
      </c>
      <c r="D1626">
        <f>IF($J1626="","",IFERROR(COUNTIFS('Weekly Log'!$H:$H,"Y",'Weekly Log'!$A:$A,"&gt;="&amp;$J1626,'Weekly Log'!$A:$A,"&lt;"&amp;$J1626+7)/COUNTIFS('Weekly Log'!$H:$H,"&lt;&gt;",'Weekly Log'!$A:$A,"&gt;="&amp;$J1626,'Weekly Log'!$A:$A,"&lt;"&amp;$J1626+7),0))</f>
        <v/>
      </c>
      <c r="E1626">
        <f>IF($J1626="","",IFERROR(AVERAGEIFS('Weekly Log'!$F:$F,'Weekly Log'!$A:$A,"&gt;="&amp;$J1626,'Weekly Log'!$A:$A,"&lt;"&amp;$J1626+7),0))</f>
        <v/>
      </c>
      <c r="F1626">
        <f>IF($J1626="","",IFERROR(SUMIFS('Weekly Log'!$F:$F,'Weekly Log'!$A:$A,"&gt;="&amp;$J1626,'Weekly Log'!$A:$A,"&lt;"&amp;$J1626+7)/SUMIFS('Weekly Log'!$E:$E,'Weekly Log'!$A:$A,"&gt;="&amp;$J1626,'Weekly Log'!$A:$A,"&lt;"&amp;$J1626+7),0))</f>
        <v/>
      </c>
      <c r="G1626">
        <f>IF($J1626="","",IFERROR(LOOKUP(2,1/(('Weekly Log'!$A$5:$A$5000&gt;=$J1626)*('Weekly Log'!$A$5:$A$5000&lt;$J1626+7)*('Weekly Log'!$M$5:$M$5000&lt;&gt;"")),'Weekly Log'!$M$5:$M$5000),0))</f>
        <v/>
      </c>
      <c r="J1626">
        <f>IF(COUNT('Weekly Log'!$A$5:$A$5000)=0,"",IF(MIN('Weekly Log'!$A$5:$A$5000)+7*(ROW()-10)&gt;MAX('Weekly Log'!$A$5:$A$5000),"",MIN('Weekly Log'!$A$5:$A$5000)+7*(ROW()-10)))</f>
        <v/>
      </c>
    </row>
    <row r="1627">
      <c r="A1627">
        <f>IF($J1627="","",YEAR($J1627-WEEKDAY($J1627,2)+4)&amp;"-W"&amp;TEXT(WEEKNUM($J1627,21),"00"))</f>
        <v/>
      </c>
      <c r="B1627">
        <f>IF($J1627="","",SUMIFS('Weekly Log'!$C:$C,'Weekly Log'!$A:$A,"&gt;="&amp;$J1627,'Weekly Log'!$A:$A,"&lt;"&amp;$J1627+7))</f>
        <v/>
      </c>
      <c r="C1627">
        <f>IF($J1627="","",IFERROR(COUNTIFS('Weekly Log'!$G:$G,"Y",'Weekly Log'!$A:$A,"&gt;="&amp;$J1627,'Weekly Log'!$A:$A,"&lt;"&amp;$J1627+7)/COUNTIFS('Weekly Log'!$G:$G,"&lt;&gt;",'Weekly Log'!$A:$A,"&gt;="&amp;$J1627,'Weekly Log'!$A:$A,"&lt;"&amp;$J1627+7),0))</f>
        <v/>
      </c>
      <c r="D1627">
        <f>IF($J1627="","",IFERROR(COUNTIFS('Weekly Log'!$H:$H,"Y",'Weekly Log'!$A:$A,"&gt;="&amp;$J1627,'Weekly Log'!$A:$A,"&lt;"&amp;$J1627+7)/COUNTIFS('Weekly Log'!$H:$H,"&lt;&gt;",'Weekly Log'!$A:$A,"&gt;="&amp;$J1627,'Weekly Log'!$A:$A,"&lt;"&amp;$J1627+7),0))</f>
        <v/>
      </c>
      <c r="E1627">
        <f>IF($J1627="","",IFERROR(AVERAGEIFS('Weekly Log'!$F:$F,'Weekly Log'!$A:$A,"&gt;="&amp;$J1627,'Weekly Log'!$A:$A,"&lt;"&amp;$J1627+7),0))</f>
        <v/>
      </c>
      <c r="F1627">
        <f>IF($J1627="","",IFERROR(SUMIFS('Weekly Log'!$F:$F,'Weekly Log'!$A:$A,"&gt;="&amp;$J1627,'Weekly Log'!$A:$A,"&lt;"&amp;$J1627+7)/SUMIFS('Weekly Log'!$E:$E,'Weekly Log'!$A:$A,"&gt;="&amp;$J1627,'Weekly Log'!$A:$A,"&lt;"&amp;$J1627+7),0))</f>
        <v/>
      </c>
      <c r="G1627">
        <f>IF($J1627="","",IFERROR(LOOKUP(2,1/(('Weekly Log'!$A$5:$A$5000&gt;=$J1627)*('Weekly Log'!$A$5:$A$5000&lt;$J1627+7)*('Weekly Log'!$M$5:$M$5000&lt;&gt;"")),'Weekly Log'!$M$5:$M$5000),0))</f>
        <v/>
      </c>
      <c r="J1627">
        <f>IF(COUNT('Weekly Log'!$A$5:$A$5000)=0,"",IF(MIN('Weekly Log'!$A$5:$A$5000)+7*(ROW()-10)&gt;MAX('Weekly Log'!$A$5:$A$5000),"",MIN('Weekly Log'!$A$5:$A$5000)+7*(ROW()-10)))</f>
        <v/>
      </c>
    </row>
    <row r="1628">
      <c r="A1628">
        <f>IF($J1628="","",YEAR($J1628-WEEKDAY($J1628,2)+4)&amp;"-W"&amp;TEXT(WEEKNUM($J1628,21),"00"))</f>
        <v/>
      </c>
      <c r="B1628">
        <f>IF($J1628="","",SUMIFS('Weekly Log'!$C:$C,'Weekly Log'!$A:$A,"&gt;="&amp;$J1628,'Weekly Log'!$A:$A,"&lt;"&amp;$J1628+7))</f>
        <v/>
      </c>
      <c r="C1628">
        <f>IF($J1628="","",IFERROR(COUNTIFS('Weekly Log'!$G:$G,"Y",'Weekly Log'!$A:$A,"&gt;="&amp;$J1628,'Weekly Log'!$A:$A,"&lt;"&amp;$J1628+7)/COUNTIFS('Weekly Log'!$G:$G,"&lt;&gt;",'Weekly Log'!$A:$A,"&gt;="&amp;$J1628,'Weekly Log'!$A:$A,"&lt;"&amp;$J1628+7),0))</f>
        <v/>
      </c>
      <c r="D1628">
        <f>IF($J1628="","",IFERROR(COUNTIFS('Weekly Log'!$H:$H,"Y",'Weekly Log'!$A:$A,"&gt;="&amp;$J1628,'Weekly Log'!$A:$A,"&lt;"&amp;$J1628+7)/COUNTIFS('Weekly Log'!$H:$H,"&lt;&gt;",'Weekly Log'!$A:$A,"&gt;="&amp;$J1628,'Weekly Log'!$A:$A,"&lt;"&amp;$J1628+7),0))</f>
        <v/>
      </c>
      <c r="E1628">
        <f>IF($J1628="","",IFERROR(AVERAGEIFS('Weekly Log'!$F:$F,'Weekly Log'!$A:$A,"&gt;="&amp;$J1628,'Weekly Log'!$A:$A,"&lt;"&amp;$J1628+7),0))</f>
        <v/>
      </c>
      <c r="F1628">
        <f>IF($J1628="","",IFERROR(SUMIFS('Weekly Log'!$F:$F,'Weekly Log'!$A:$A,"&gt;="&amp;$J1628,'Weekly Log'!$A:$A,"&lt;"&amp;$J1628+7)/SUMIFS('Weekly Log'!$E:$E,'Weekly Log'!$A:$A,"&gt;="&amp;$J1628,'Weekly Log'!$A:$A,"&lt;"&amp;$J1628+7),0))</f>
        <v/>
      </c>
      <c r="G1628">
        <f>IF($J1628="","",IFERROR(LOOKUP(2,1/(('Weekly Log'!$A$5:$A$5000&gt;=$J1628)*('Weekly Log'!$A$5:$A$5000&lt;$J1628+7)*('Weekly Log'!$M$5:$M$5000&lt;&gt;"")),'Weekly Log'!$M$5:$M$5000),0))</f>
        <v/>
      </c>
      <c r="J1628">
        <f>IF(COUNT('Weekly Log'!$A$5:$A$5000)=0,"",IF(MIN('Weekly Log'!$A$5:$A$5000)+7*(ROW()-10)&gt;MAX('Weekly Log'!$A$5:$A$5000),"",MIN('Weekly Log'!$A$5:$A$5000)+7*(ROW()-10)))</f>
        <v/>
      </c>
    </row>
    <row r="1629">
      <c r="A1629">
        <f>IF($J1629="","",YEAR($J1629-WEEKDAY($J1629,2)+4)&amp;"-W"&amp;TEXT(WEEKNUM($J1629,21),"00"))</f>
        <v/>
      </c>
      <c r="B1629">
        <f>IF($J1629="","",SUMIFS('Weekly Log'!$C:$C,'Weekly Log'!$A:$A,"&gt;="&amp;$J1629,'Weekly Log'!$A:$A,"&lt;"&amp;$J1629+7))</f>
        <v/>
      </c>
      <c r="C1629">
        <f>IF($J1629="","",IFERROR(COUNTIFS('Weekly Log'!$G:$G,"Y",'Weekly Log'!$A:$A,"&gt;="&amp;$J1629,'Weekly Log'!$A:$A,"&lt;"&amp;$J1629+7)/COUNTIFS('Weekly Log'!$G:$G,"&lt;&gt;",'Weekly Log'!$A:$A,"&gt;="&amp;$J1629,'Weekly Log'!$A:$A,"&lt;"&amp;$J1629+7),0))</f>
        <v/>
      </c>
      <c r="D1629">
        <f>IF($J1629="","",IFERROR(COUNTIFS('Weekly Log'!$H:$H,"Y",'Weekly Log'!$A:$A,"&gt;="&amp;$J1629,'Weekly Log'!$A:$A,"&lt;"&amp;$J1629+7)/COUNTIFS('Weekly Log'!$H:$H,"&lt;&gt;",'Weekly Log'!$A:$A,"&gt;="&amp;$J1629,'Weekly Log'!$A:$A,"&lt;"&amp;$J1629+7),0))</f>
        <v/>
      </c>
      <c r="E1629">
        <f>IF($J1629="","",IFERROR(AVERAGEIFS('Weekly Log'!$F:$F,'Weekly Log'!$A:$A,"&gt;="&amp;$J1629,'Weekly Log'!$A:$A,"&lt;"&amp;$J1629+7),0))</f>
        <v/>
      </c>
      <c r="F1629">
        <f>IF($J1629="","",IFERROR(SUMIFS('Weekly Log'!$F:$F,'Weekly Log'!$A:$A,"&gt;="&amp;$J1629,'Weekly Log'!$A:$A,"&lt;"&amp;$J1629+7)/SUMIFS('Weekly Log'!$E:$E,'Weekly Log'!$A:$A,"&gt;="&amp;$J1629,'Weekly Log'!$A:$A,"&lt;"&amp;$J1629+7),0))</f>
        <v/>
      </c>
      <c r="G1629">
        <f>IF($J1629="","",IFERROR(LOOKUP(2,1/(('Weekly Log'!$A$5:$A$5000&gt;=$J1629)*('Weekly Log'!$A$5:$A$5000&lt;$J1629+7)*('Weekly Log'!$M$5:$M$5000&lt;&gt;"")),'Weekly Log'!$M$5:$M$5000),0))</f>
        <v/>
      </c>
      <c r="J1629">
        <f>IF(COUNT('Weekly Log'!$A$5:$A$5000)=0,"",IF(MIN('Weekly Log'!$A$5:$A$5000)+7*(ROW()-10)&gt;MAX('Weekly Log'!$A$5:$A$5000),"",MIN('Weekly Log'!$A$5:$A$5000)+7*(ROW()-10)))</f>
        <v/>
      </c>
    </row>
    <row r="1630">
      <c r="A1630">
        <f>IF($J1630="","",YEAR($J1630-WEEKDAY($J1630,2)+4)&amp;"-W"&amp;TEXT(WEEKNUM($J1630,21),"00"))</f>
        <v/>
      </c>
      <c r="B1630">
        <f>IF($J1630="","",SUMIFS('Weekly Log'!$C:$C,'Weekly Log'!$A:$A,"&gt;="&amp;$J1630,'Weekly Log'!$A:$A,"&lt;"&amp;$J1630+7))</f>
        <v/>
      </c>
      <c r="C1630">
        <f>IF($J1630="","",IFERROR(COUNTIFS('Weekly Log'!$G:$G,"Y",'Weekly Log'!$A:$A,"&gt;="&amp;$J1630,'Weekly Log'!$A:$A,"&lt;"&amp;$J1630+7)/COUNTIFS('Weekly Log'!$G:$G,"&lt;&gt;",'Weekly Log'!$A:$A,"&gt;="&amp;$J1630,'Weekly Log'!$A:$A,"&lt;"&amp;$J1630+7),0))</f>
        <v/>
      </c>
      <c r="D1630">
        <f>IF($J1630="","",IFERROR(COUNTIFS('Weekly Log'!$H:$H,"Y",'Weekly Log'!$A:$A,"&gt;="&amp;$J1630,'Weekly Log'!$A:$A,"&lt;"&amp;$J1630+7)/COUNTIFS('Weekly Log'!$H:$H,"&lt;&gt;",'Weekly Log'!$A:$A,"&gt;="&amp;$J1630,'Weekly Log'!$A:$A,"&lt;"&amp;$J1630+7),0))</f>
        <v/>
      </c>
      <c r="E1630">
        <f>IF($J1630="","",IFERROR(AVERAGEIFS('Weekly Log'!$F:$F,'Weekly Log'!$A:$A,"&gt;="&amp;$J1630,'Weekly Log'!$A:$A,"&lt;"&amp;$J1630+7),0))</f>
        <v/>
      </c>
      <c r="F1630">
        <f>IF($J1630="","",IFERROR(SUMIFS('Weekly Log'!$F:$F,'Weekly Log'!$A:$A,"&gt;="&amp;$J1630,'Weekly Log'!$A:$A,"&lt;"&amp;$J1630+7)/SUMIFS('Weekly Log'!$E:$E,'Weekly Log'!$A:$A,"&gt;="&amp;$J1630,'Weekly Log'!$A:$A,"&lt;"&amp;$J1630+7),0))</f>
        <v/>
      </c>
      <c r="G1630">
        <f>IF($J1630="","",IFERROR(LOOKUP(2,1/(('Weekly Log'!$A$5:$A$5000&gt;=$J1630)*('Weekly Log'!$A$5:$A$5000&lt;$J1630+7)*('Weekly Log'!$M$5:$M$5000&lt;&gt;"")),'Weekly Log'!$M$5:$M$5000),0))</f>
        <v/>
      </c>
      <c r="J1630">
        <f>IF(COUNT('Weekly Log'!$A$5:$A$5000)=0,"",IF(MIN('Weekly Log'!$A$5:$A$5000)+7*(ROW()-10)&gt;MAX('Weekly Log'!$A$5:$A$5000),"",MIN('Weekly Log'!$A$5:$A$5000)+7*(ROW()-10)))</f>
        <v/>
      </c>
    </row>
    <row r="1631">
      <c r="A1631">
        <f>IF($J1631="","",YEAR($J1631-WEEKDAY($J1631,2)+4)&amp;"-W"&amp;TEXT(WEEKNUM($J1631,21),"00"))</f>
        <v/>
      </c>
      <c r="B1631">
        <f>IF($J1631="","",SUMIFS('Weekly Log'!$C:$C,'Weekly Log'!$A:$A,"&gt;="&amp;$J1631,'Weekly Log'!$A:$A,"&lt;"&amp;$J1631+7))</f>
        <v/>
      </c>
      <c r="C1631">
        <f>IF($J1631="","",IFERROR(COUNTIFS('Weekly Log'!$G:$G,"Y",'Weekly Log'!$A:$A,"&gt;="&amp;$J1631,'Weekly Log'!$A:$A,"&lt;"&amp;$J1631+7)/COUNTIFS('Weekly Log'!$G:$G,"&lt;&gt;",'Weekly Log'!$A:$A,"&gt;="&amp;$J1631,'Weekly Log'!$A:$A,"&lt;"&amp;$J1631+7),0))</f>
        <v/>
      </c>
      <c r="D1631">
        <f>IF($J1631="","",IFERROR(COUNTIFS('Weekly Log'!$H:$H,"Y",'Weekly Log'!$A:$A,"&gt;="&amp;$J1631,'Weekly Log'!$A:$A,"&lt;"&amp;$J1631+7)/COUNTIFS('Weekly Log'!$H:$H,"&lt;&gt;",'Weekly Log'!$A:$A,"&gt;="&amp;$J1631,'Weekly Log'!$A:$A,"&lt;"&amp;$J1631+7),0))</f>
        <v/>
      </c>
      <c r="E1631">
        <f>IF($J1631="","",IFERROR(AVERAGEIFS('Weekly Log'!$F:$F,'Weekly Log'!$A:$A,"&gt;="&amp;$J1631,'Weekly Log'!$A:$A,"&lt;"&amp;$J1631+7),0))</f>
        <v/>
      </c>
      <c r="F1631">
        <f>IF($J1631="","",IFERROR(SUMIFS('Weekly Log'!$F:$F,'Weekly Log'!$A:$A,"&gt;="&amp;$J1631,'Weekly Log'!$A:$A,"&lt;"&amp;$J1631+7)/SUMIFS('Weekly Log'!$E:$E,'Weekly Log'!$A:$A,"&gt;="&amp;$J1631,'Weekly Log'!$A:$A,"&lt;"&amp;$J1631+7),0))</f>
        <v/>
      </c>
      <c r="G1631">
        <f>IF($J1631="","",IFERROR(LOOKUP(2,1/(('Weekly Log'!$A$5:$A$5000&gt;=$J1631)*('Weekly Log'!$A$5:$A$5000&lt;$J1631+7)*('Weekly Log'!$M$5:$M$5000&lt;&gt;"")),'Weekly Log'!$M$5:$M$5000),0))</f>
        <v/>
      </c>
      <c r="J1631">
        <f>IF(COUNT('Weekly Log'!$A$5:$A$5000)=0,"",IF(MIN('Weekly Log'!$A$5:$A$5000)+7*(ROW()-10)&gt;MAX('Weekly Log'!$A$5:$A$5000),"",MIN('Weekly Log'!$A$5:$A$5000)+7*(ROW()-10)))</f>
        <v/>
      </c>
    </row>
    <row r="1632">
      <c r="A1632">
        <f>IF($J1632="","",YEAR($J1632-WEEKDAY($J1632,2)+4)&amp;"-W"&amp;TEXT(WEEKNUM($J1632,21),"00"))</f>
        <v/>
      </c>
      <c r="B1632">
        <f>IF($J1632="","",SUMIFS('Weekly Log'!$C:$C,'Weekly Log'!$A:$A,"&gt;="&amp;$J1632,'Weekly Log'!$A:$A,"&lt;"&amp;$J1632+7))</f>
        <v/>
      </c>
      <c r="C1632">
        <f>IF($J1632="","",IFERROR(COUNTIFS('Weekly Log'!$G:$G,"Y",'Weekly Log'!$A:$A,"&gt;="&amp;$J1632,'Weekly Log'!$A:$A,"&lt;"&amp;$J1632+7)/COUNTIFS('Weekly Log'!$G:$G,"&lt;&gt;",'Weekly Log'!$A:$A,"&gt;="&amp;$J1632,'Weekly Log'!$A:$A,"&lt;"&amp;$J1632+7),0))</f>
        <v/>
      </c>
      <c r="D1632">
        <f>IF($J1632="","",IFERROR(COUNTIFS('Weekly Log'!$H:$H,"Y",'Weekly Log'!$A:$A,"&gt;="&amp;$J1632,'Weekly Log'!$A:$A,"&lt;"&amp;$J1632+7)/COUNTIFS('Weekly Log'!$H:$H,"&lt;&gt;",'Weekly Log'!$A:$A,"&gt;="&amp;$J1632,'Weekly Log'!$A:$A,"&lt;"&amp;$J1632+7),0))</f>
        <v/>
      </c>
      <c r="E1632">
        <f>IF($J1632="","",IFERROR(AVERAGEIFS('Weekly Log'!$F:$F,'Weekly Log'!$A:$A,"&gt;="&amp;$J1632,'Weekly Log'!$A:$A,"&lt;"&amp;$J1632+7),0))</f>
        <v/>
      </c>
      <c r="F1632">
        <f>IF($J1632="","",IFERROR(SUMIFS('Weekly Log'!$F:$F,'Weekly Log'!$A:$A,"&gt;="&amp;$J1632,'Weekly Log'!$A:$A,"&lt;"&amp;$J1632+7)/SUMIFS('Weekly Log'!$E:$E,'Weekly Log'!$A:$A,"&gt;="&amp;$J1632,'Weekly Log'!$A:$A,"&lt;"&amp;$J1632+7),0))</f>
        <v/>
      </c>
      <c r="G1632">
        <f>IF($J1632="","",IFERROR(LOOKUP(2,1/(('Weekly Log'!$A$5:$A$5000&gt;=$J1632)*('Weekly Log'!$A$5:$A$5000&lt;$J1632+7)*('Weekly Log'!$M$5:$M$5000&lt;&gt;"")),'Weekly Log'!$M$5:$M$5000),0))</f>
        <v/>
      </c>
      <c r="J1632">
        <f>IF(COUNT('Weekly Log'!$A$5:$A$5000)=0,"",IF(MIN('Weekly Log'!$A$5:$A$5000)+7*(ROW()-10)&gt;MAX('Weekly Log'!$A$5:$A$5000),"",MIN('Weekly Log'!$A$5:$A$5000)+7*(ROW()-10)))</f>
        <v/>
      </c>
    </row>
    <row r="1633">
      <c r="A1633">
        <f>IF($J1633="","",YEAR($J1633-WEEKDAY($J1633,2)+4)&amp;"-W"&amp;TEXT(WEEKNUM($J1633,21),"00"))</f>
        <v/>
      </c>
      <c r="B1633">
        <f>IF($J1633="","",SUMIFS('Weekly Log'!$C:$C,'Weekly Log'!$A:$A,"&gt;="&amp;$J1633,'Weekly Log'!$A:$A,"&lt;"&amp;$J1633+7))</f>
        <v/>
      </c>
      <c r="C1633">
        <f>IF($J1633="","",IFERROR(COUNTIFS('Weekly Log'!$G:$G,"Y",'Weekly Log'!$A:$A,"&gt;="&amp;$J1633,'Weekly Log'!$A:$A,"&lt;"&amp;$J1633+7)/COUNTIFS('Weekly Log'!$G:$G,"&lt;&gt;",'Weekly Log'!$A:$A,"&gt;="&amp;$J1633,'Weekly Log'!$A:$A,"&lt;"&amp;$J1633+7),0))</f>
        <v/>
      </c>
      <c r="D1633">
        <f>IF($J1633="","",IFERROR(COUNTIFS('Weekly Log'!$H:$H,"Y",'Weekly Log'!$A:$A,"&gt;="&amp;$J1633,'Weekly Log'!$A:$A,"&lt;"&amp;$J1633+7)/COUNTIFS('Weekly Log'!$H:$H,"&lt;&gt;",'Weekly Log'!$A:$A,"&gt;="&amp;$J1633,'Weekly Log'!$A:$A,"&lt;"&amp;$J1633+7),0))</f>
        <v/>
      </c>
      <c r="E1633">
        <f>IF($J1633="","",IFERROR(AVERAGEIFS('Weekly Log'!$F:$F,'Weekly Log'!$A:$A,"&gt;="&amp;$J1633,'Weekly Log'!$A:$A,"&lt;"&amp;$J1633+7),0))</f>
        <v/>
      </c>
      <c r="F1633">
        <f>IF($J1633="","",IFERROR(SUMIFS('Weekly Log'!$F:$F,'Weekly Log'!$A:$A,"&gt;="&amp;$J1633,'Weekly Log'!$A:$A,"&lt;"&amp;$J1633+7)/SUMIFS('Weekly Log'!$E:$E,'Weekly Log'!$A:$A,"&gt;="&amp;$J1633,'Weekly Log'!$A:$A,"&lt;"&amp;$J1633+7),0))</f>
        <v/>
      </c>
      <c r="G1633">
        <f>IF($J1633="","",IFERROR(LOOKUP(2,1/(('Weekly Log'!$A$5:$A$5000&gt;=$J1633)*('Weekly Log'!$A$5:$A$5000&lt;$J1633+7)*('Weekly Log'!$M$5:$M$5000&lt;&gt;"")),'Weekly Log'!$M$5:$M$5000),0))</f>
        <v/>
      </c>
      <c r="J1633">
        <f>IF(COUNT('Weekly Log'!$A$5:$A$5000)=0,"",IF(MIN('Weekly Log'!$A$5:$A$5000)+7*(ROW()-10)&gt;MAX('Weekly Log'!$A$5:$A$5000),"",MIN('Weekly Log'!$A$5:$A$5000)+7*(ROW()-10)))</f>
        <v/>
      </c>
    </row>
    <row r="1634">
      <c r="A1634">
        <f>IF($J1634="","",YEAR($J1634-WEEKDAY($J1634,2)+4)&amp;"-W"&amp;TEXT(WEEKNUM($J1634,21),"00"))</f>
        <v/>
      </c>
      <c r="B1634">
        <f>IF($J1634="","",SUMIFS('Weekly Log'!$C:$C,'Weekly Log'!$A:$A,"&gt;="&amp;$J1634,'Weekly Log'!$A:$A,"&lt;"&amp;$J1634+7))</f>
        <v/>
      </c>
      <c r="C1634">
        <f>IF($J1634="","",IFERROR(COUNTIFS('Weekly Log'!$G:$G,"Y",'Weekly Log'!$A:$A,"&gt;="&amp;$J1634,'Weekly Log'!$A:$A,"&lt;"&amp;$J1634+7)/COUNTIFS('Weekly Log'!$G:$G,"&lt;&gt;",'Weekly Log'!$A:$A,"&gt;="&amp;$J1634,'Weekly Log'!$A:$A,"&lt;"&amp;$J1634+7),0))</f>
        <v/>
      </c>
      <c r="D1634">
        <f>IF($J1634="","",IFERROR(COUNTIFS('Weekly Log'!$H:$H,"Y",'Weekly Log'!$A:$A,"&gt;="&amp;$J1634,'Weekly Log'!$A:$A,"&lt;"&amp;$J1634+7)/COUNTIFS('Weekly Log'!$H:$H,"&lt;&gt;",'Weekly Log'!$A:$A,"&gt;="&amp;$J1634,'Weekly Log'!$A:$A,"&lt;"&amp;$J1634+7),0))</f>
        <v/>
      </c>
      <c r="E1634">
        <f>IF($J1634="","",IFERROR(AVERAGEIFS('Weekly Log'!$F:$F,'Weekly Log'!$A:$A,"&gt;="&amp;$J1634,'Weekly Log'!$A:$A,"&lt;"&amp;$J1634+7),0))</f>
        <v/>
      </c>
      <c r="F1634">
        <f>IF($J1634="","",IFERROR(SUMIFS('Weekly Log'!$F:$F,'Weekly Log'!$A:$A,"&gt;="&amp;$J1634,'Weekly Log'!$A:$A,"&lt;"&amp;$J1634+7)/SUMIFS('Weekly Log'!$E:$E,'Weekly Log'!$A:$A,"&gt;="&amp;$J1634,'Weekly Log'!$A:$A,"&lt;"&amp;$J1634+7),0))</f>
        <v/>
      </c>
      <c r="G1634">
        <f>IF($J1634="","",IFERROR(LOOKUP(2,1/(('Weekly Log'!$A$5:$A$5000&gt;=$J1634)*('Weekly Log'!$A$5:$A$5000&lt;$J1634+7)*('Weekly Log'!$M$5:$M$5000&lt;&gt;"")),'Weekly Log'!$M$5:$M$5000),0))</f>
        <v/>
      </c>
      <c r="J1634">
        <f>IF(COUNT('Weekly Log'!$A$5:$A$5000)=0,"",IF(MIN('Weekly Log'!$A$5:$A$5000)+7*(ROW()-10)&gt;MAX('Weekly Log'!$A$5:$A$5000),"",MIN('Weekly Log'!$A$5:$A$5000)+7*(ROW()-10)))</f>
        <v/>
      </c>
    </row>
    <row r="1635">
      <c r="A1635">
        <f>IF($J1635="","",YEAR($J1635-WEEKDAY($J1635,2)+4)&amp;"-W"&amp;TEXT(WEEKNUM($J1635,21),"00"))</f>
        <v/>
      </c>
      <c r="B1635">
        <f>IF($J1635="","",SUMIFS('Weekly Log'!$C:$C,'Weekly Log'!$A:$A,"&gt;="&amp;$J1635,'Weekly Log'!$A:$A,"&lt;"&amp;$J1635+7))</f>
        <v/>
      </c>
      <c r="C1635">
        <f>IF($J1635="","",IFERROR(COUNTIFS('Weekly Log'!$G:$G,"Y",'Weekly Log'!$A:$A,"&gt;="&amp;$J1635,'Weekly Log'!$A:$A,"&lt;"&amp;$J1635+7)/COUNTIFS('Weekly Log'!$G:$G,"&lt;&gt;",'Weekly Log'!$A:$A,"&gt;="&amp;$J1635,'Weekly Log'!$A:$A,"&lt;"&amp;$J1635+7),0))</f>
        <v/>
      </c>
      <c r="D1635">
        <f>IF($J1635="","",IFERROR(COUNTIFS('Weekly Log'!$H:$H,"Y",'Weekly Log'!$A:$A,"&gt;="&amp;$J1635,'Weekly Log'!$A:$A,"&lt;"&amp;$J1635+7)/COUNTIFS('Weekly Log'!$H:$H,"&lt;&gt;",'Weekly Log'!$A:$A,"&gt;="&amp;$J1635,'Weekly Log'!$A:$A,"&lt;"&amp;$J1635+7),0))</f>
        <v/>
      </c>
      <c r="E1635">
        <f>IF($J1635="","",IFERROR(AVERAGEIFS('Weekly Log'!$F:$F,'Weekly Log'!$A:$A,"&gt;="&amp;$J1635,'Weekly Log'!$A:$A,"&lt;"&amp;$J1635+7),0))</f>
        <v/>
      </c>
      <c r="F1635">
        <f>IF($J1635="","",IFERROR(SUMIFS('Weekly Log'!$F:$F,'Weekly Log'!$A:$A,"&gt;="&amp;$J1635,'Weekly Log'!$A:$A,"&lt;"&amp;$J1635+7)/SUMIFS('Weekly Log'!$E:$E,'Weekly Log'!$A:$A,"&gt;="&amp;$J1635,'Weekly Log'!$A:$A,"&lt;"&amp;$J1635+7),0))</f>
        <v/>
      </c>
      <c r="G1635">
        <f>IF($J1635="","",IFERROR(LOOKUP(2,1/(('Weekly Log'!$A$5:$A$5000&gt;=$J1635)*('Weekly Log'!$A$5:$A$5000&lt;$J1635+7)*('Weekly Log'!$M$5:$M$5000&lt;&gt;"")),'Weekly Log'!$M$5:$M$5000),0))</f>
        <v/>
      </c>
      <c r="J1635">
        <f>IF(COUNT('Weekly Log'!$A$5:$A$5000)=0,"",IF(MIN('Weekly Log'!$A$5:$A$5000)+7*(ROW()-10)&gt;MAX('Weekly Log'!$A$5:$A$5000),"",MIN('Weekly Log'!$A$5:$A$5000)+7*(ROW()-10)))</f>
        <v/>
      </c>
    </row>
    <row r="1636">
      <c r="A1636">
        <f>IF($J1636="","",YEAR($J1636-WEEKDAY($J1636,2)+4)&amp;"-W"&amp;TEXT(WEEKNUM($J1636,21),"00"))</f>
        <v/>
      </c>
      <c r="B1636">
        <f>IF($J1636="","",SUMIFS('Weekly Log'!$C:$C,'Weekly Log'!$A:$A,"&gt;="&amp;$J1636,'Weekly Log'!$A:$A,"&lt;"&amp;$J1636+7))</f>
        <v/>
      </c>
      <c r="C1636">
        <f>IF($J1636="","",IFERROR(COUNTIFS('Weekly Log'!$G:$G,"Y",'Weekly Log'!$A:$A,"&gt;="&amp;$J1636,'Weekly Log'!$A:$A,"&lt;"&amp;$J1636+7)/COUNTIFS('Weekly Log'!$G:$G,"&lt;&gt;",'Weekly Log'!$A:$A,"&gt;="&amp;$J1636,'Weekly Log'!$A:$A,"&lt;"&amp;$J1636+7),0))</f>
        <v/>
      </c>
      <c r="D1636">
        <f>IF($J1636="","",IFERROR(COUNTIFS('Weekly Log'!$H:$H,"Y",'Weekly Log'!$A:$A,"&gt;="&amp;$J1636,'Weekly Log'!$A:$A,"&lt;"&amp;$J1636+7)/COUNTIFS('Weekly Log'!$H:$H,"&lt;&gt;",'Weekly Log'!$A:$A,"&gt;="&amp;$J1636,'Weekly Log'!$A:$A,"&lt;"&amp;$J1636+7),0))</f>
        <v/>
      </c>
      <c r="E1636">
        <f>IF($J1636="","",IFERROR(AVERAGEIFS('Weekly Log'!$F:$F,'Weekly Log'!$A:$A,"&gt;="&amp;$J1636,'Weekly Log'!$A:$A,"&lt;"&amp;$J1636+7),0))</f>
        <v/>
      </c>
      <c r="F1636">
        <f>IF($J1636="","",IFERROR(SUMIFS('Weekly Log'!$F:$F,'Weekly Log'!$A:$A,"&gt;="&amp;$J1636,'Weekly Log'!$A:$A,"&lt;"&amp;$J1636+7)/SUMIFS('Weekly Log'!$E:$E,'Weekly Log'!$A:$A,"&gt;="&amp;$J1636,'Weekly Log'!$A:$A,"&lt;"&amp;$J1636+7),0))</f>
        <v/>
      </c>
      <c r="G1636">
        <f>IF($J1636="","",IFERROR(LOOKUP(2,1/(('Weekly Log'!$A$5:$A$5000&gt;=$J1636)*('Weekly Log'!$A$5:$A$5000&lt;$J1636+7)*('Weekly Log'!$M$5:$M$5000&lt;&gt;"")),'Weekly Log'!$M$5:$M$5000),0))</f>
        <v/>
      </c>
      <c r="J1636">
        <f>IF(COUNT('Weekly Log'!$A$5:$A$5000)=0,"",IF(MIN('Weekly Log'!$A$5:$A$5000)+7*(ROW()-10)&gt;MAX('Weekly Log'!$A$5:$A$5000),"",MIN('Weekly Log'!$A$5:$A$5000)+7*(ROW()-10)))</f>
        <v/>
      </c>
    </row>
    <row r="1637">
      <c r="A1637">
        <f>IF($J1637="","",YEAR($J1637-WEEKDAY($J1637,2)+4)&amp;"-W"&amp;TEXT(WEEKNUM($J1637,21),"00"))</f>
        <v/>
      </c>
      <c r="B1637">
        <f>IF($J1637="","",SUMIFS('Weekly Log'!$C:$C,'Weekly Log'!$A:$A,"&gt;="&amp;$J1637,'Weekly Log'!$A:$A,"&lt;"&amp;$J1637+7))</f>
        <v/>
      </c>
      <c r="C1637">
        <f>IF($J1637="","",IFERROR(COUNTIFS('Weekly Log'!$G:$G,"Y",'Weekly Log'!$A:$A,"&gt;="&amp;$J1637,'Weekly Log'!$A:$A,"&lt;"&amp;$J1637+7)/COUNTIFS('Weekly Log'!$G:$G,"&lt;&gt;",'Weekly Log'!$A:$A,"&gt;="&amp;$J1637,'Weekly Log'!$A:$A,"&lt;"&amp;$J1637+7),0))</f>
        <v/>
      </c>
      <c r="D1637">
        <f>IF($J1637="","",IFERROR(COUNTIFS('Weekly Log'!$H:$H,"Y",'Weekly Log'!$A:$A,"&gt;="&amp;$J1637,'Weekly Log'!$A:$A,"&lt;"&amp;$J1637+7)/COUNTIFS('Weekly Log'!$H:$H,"&lt;&gt;",'Weekly Log'!$A:$A,"&gt;="&amp;$J1637,'Weekly Log'!$A:$A,"&lt;"&amp;$J1637+7),0))</f>
        <v/>
      </c>
      <c r="E1637">
        <f>IF($J1637="","",IFERROR(AVERAGEIFS('Weekly Log'!$F:$F,'Weekly Log'!$A:$A,"&gt;="&amp;$J1637,'Weekly Log'!$A:$A,"&lt;"&amp;$J1637+7),0))</f>
        <v/>
      </c>
      <c r="F1637">
        <f>IF($J1637="","",IFERROR(SUMIFS('Weekly Log'!$F:$F,'Weekly Log'!$A:$A,"&gt;="&amp;$J1637,'Weekly Log'!$A:$A,"&lt;"&amp;$J1637+7)/SUMIFS('Weekly Log'!$E:$E,'Weekly Log'!$A:$A,"&gt;="&amp;$J1637,'Weekly Log'!$A:$A,"&lt;"&amp;$J1637+7),0))</f>
        <v/>
      </c>
      <c r="G1637">
        <f>IF($J1637="","",IFERROR(LOOKUP(2,1/(('Weekly Log'!$A$5:$A$5000&gt;=$J1637)*('Weekly Log'!$A$5:$A$5000&lt;$J1637+7)*('Weekly Log'!$M$5:$M$5000&lt;&gt;"")),'Weekly Log'!$M$5:$M$5000),0))</f>
        <v/>
      </c>
      <c r="J1637">
        <f>IF(COUNT('Weekly Log'!$A$5:$A$5000)=0,"",IF(MIN('Weekly Log'!$A$5:$A$5000)+7*(ROW()-10)&gt;MAX('Weekly Log'!$A$5:$A$5000),"",MIN('Weekly Log'!$A$5:$A$5000)+7*(ROW()-10)))</f>
        <v/>
      </c>
    </row>
    <row r="1638">
      <c r="A1638">
        <f>IF($J1638="","",YEAR($J1638-WEEKDAY($J1638,2)+4)&amp;"-W"&amp;TEXT(WEEKNUM($J1638,21),"00"))</f>
        <v/>
      </c>
      <c r="B1638">
        <f>IF($J1638="","",SUMIFS('Weekly Log'!$C:$C,'Weekly Log'!$A:$A,"&gt;="&amp;$J1638,'Weekly Log'!$A:$A,"&lt;"&amp;$J1638+7))</f>
        <v/>
      </c>
      <c r="C1638">
        <f>IF($J1638="","",IFERROR(COUNTIFS('Weekly Log'!$G:$G,"Y",'Weekly Log'!$A:$A,"&gt;="&amp;$J1638,'Weekly Log'!$A:$A,"&lt;"&amp;$J1638+7)/COUNTIFS('Weekly Log'!$G:$G,"&lt;&gt;",'Weekly Log'!$A:$A,"&gt;="&amp;$J1638,'Weekly Log'!$A:$A,"&lt;"&amp;$J1638+7),0))</f>
        <v/>
      </c>
      <c r="D1638">
        <f>IF($J1638="","",IFERROR(COUNTIFS('Weekly Log'!$H:$H,"Y",'Weekly Log'!$A:$A,"&gt;="&amp;$J1638,'Weekly Log'!$A:$A,"&lt;"&amp;$J1638+7)/COUNTIFS('Weekly Log'!$H:$H,"&lt;&gt;",'Weekly Log'!$A:$A,"&gt;="&amp;$J1638,'Weekly Log'!$A:$A,"&lt;"&amp;$J1638+7),0))</f>
        <v/>
      </c>
      <c r="E1638">
        <f>IF($J1638="","",IFERROR(AVERAGEIFS('Weekly Log'!$F:$F,'Weekly Log'!$A:$A,"&gt;="&amp;$J1638,'Weekly Log'!$A:$A,"&lt;"&amp;$J1638+7),0))</f>
        <v/>
      </c>
      <c r="F1638">
        <f>IF($J1638="","",IFERROR(SUMIFS('Weekly Log'!$F:$F,'Weekly Log'!$A:$A,"&gt;="&amp;$J1638,'Weekly Log'!$A:$A,"&lt;"&amp;$J1638+7)/SUMIFS('Weekly Log'!$E:$E,'Weekly Log'!$A:$A,"&gt;="&amp;$J1638,'Weekly Log'!$A:$A,"&lt;"&amp;$J1638+7),0))</f>
        <v/>
      </c>
      <c r="G1638">
        <f>IF($J1638="","",IFERROR(LOOKUP(2,1/(('Weekly Log'!$A$5:$A$5000&gt;=$J1638)*('Weekly Log'!$A$5:$A$5000&lt;$J1638+7)*('Weekly Log'!$M$5:$M$5000&lt;&gt;"")),'Weekly Log'!$M$5:$M$5000),0))</f>
        <v/>
      </c>
      <c r="J1638">
        <f>IF(COUNT('Weekly Log'!$A$5:$A$5000)=0,"",IF(MIN('Weekly Log'!$A$5:$A$5000)+7*(ROW()-10)&gt;MAX('Weekly Log'!$A$5:$A$5000),"",MIN('Weekly Log'!$A$5:$A$5000)+7*(ROW()-10)))</f>
        <v/>
      </c>
    </row>
    <row r="1639">
      <c r="A1639">
        <f>IF($J1639="","",YEAR($J1639-WEEKDAY($J1639,2)+4)&amp;"-W"&amp;TEXT(WEEKNUM($J1639,21),"00"))</f>
        <v/>
      </c>
      <c r="B1639">
        <f>IF($J1639="","",SUMIFS('Weekly Log'!$C:$C,'Weekly Log'!$A:$A,"&gt;="&amp;$J1639,'Weekly Log'!$A:$A,"&lt;"&amp;$J1639+7))</f>
        <v/>
      </c>
      <c r="C1639">
        <f>IF($J1639="","",IFERROR(COUNTIFS('Weekly Log'!$G:$G,"Y",'Weekly Log'!$A:$A,"&gt;="&amp;$J1639,'Weekly Log'!$A:$A,"&lt;"&amp;$J1639+7)/COUNTIFS('Weekly Log'!$G:$G,"&lt;&gt;",'Weekly Log'!$A:$A,"&gt;="&amp;$J1639,'Weekly Log'!$A:$A,"&lt;"&amp;$J1639+7),0))</f>
        <v/>
      </c>
      <c r="D1639">
        <f>IF($J1639="","",IFERROR(COUNTIFS('Weekly Log'!$H:$H,"Y",'Weekly Log'!$A:$A,"&gt;="&amp;$J1639,'Weekly Log'!$A:$A,"&lt;"&amp;$J1639+7)/COUNTIFS('Weekly Log'!$H:$H,"&lt;&gt;",'Weekly Log'!$A:$A,"&gt;="&amp;$J1639,'Weekly Log'!$A:$A,"&lt;"&amp;$J1639+7),0))</f>
        <v/>
      </c>
      <c r="E1639">
        <f>IF($J1639="","",IFERROR(AVERAGEIFS('Weekly Log'!$F:$F,'Weekly Log'!$A:$A,"&gt;="&amp;$J1639,'Weekly Log'!$A:$A,"&lt;"&amp;$J1639+7),0))</f>
        <v/>
      </c>
      <c r="F1639">
        <f>IF($J1639="","",IFERROR(SUMIFS('Weekly Log'!$F:$F,'Weekly Log'!$A:$A,"&gt;="&amp;$J1639,'Weekly Log'!$A:$A,"&lt;"&amp;$J1639+7)/SUMIFS('Weekly Log'!$E:$E,'Weekly Log'!$A:$A,"&gt;="&amp;$J1639,'Weekly Log'!$A:$A,"&lt;"&amp;$J1639+7),0))</f>
        <v/>
      </c>
      <c r="G1639">
        <f>IF($J1639="","",IFERROR(LOOKUP(2,1/(('Weekly Log'!$A$5:$A$5000&gt;=$J1639)*('Weekly Log'!$A$5:$A$5000&lt;$J1639+7)*('Weekly Log'!$M$5:$M$5000&lt;&gt;"")),'Weekly Log'!$M$5:$M$5000),0))</f>
        <v/>
      </c>
      <c r="J1639">
        <f>IF(COUNT('Weekly Log'!$A$5:$A$5000)=0,"",IF(MIN('Weekly Log'!$A$5:$A$5000)+7*(ROW()-10)&gt;MAX('Weekly Log'!$A$5:$A$5000),"",MIN('Weekly Log'!$A$5:$A$5000)+7*(ROW()-10)))</f>
        <v/>
      </c>
    </row>
    <row r="1640">
      <c r="A1640">
        <f>IF($J1640="","",YEAR($J1640-WEEKDAY($J1640,2)+4)&amp;"-W"&amp;TEXT(WEEKNUM($J1640,21),"00"))</f>
        <v/>
      </c>
      <c r="B1640">
        <f>IF($J1640="","",SUMIFS('Weekly Log'!$C:$C,'Weekly Log'!$A:$A,"&gt;="&amp;$J1640,'Weekly Log'!$A:$A,"&lt;"&amp;$J1640+7))</f>
        <v/>
      </c>
      <c r="C1640">
        <f>IF($J1640="","",IFERROR(COUNTIFS('Weekly Log'!$G:$G,"Y",'Weekly Log'!$A:$A,"&gt;="&amp;$J1640,'Weekly Log'!$A:$A,"&lt;"&amp;$J1640+7)/COUNTIFS('Weekly Log'!$G:$G,"&lt;&gt;",'Weekly Log'!$A:$A,"&gt;="&amp;$J1640,'Weekly Log'!$A:$A,"&lt;"&amp;$J1640+7),0))</f>
        <v/>
      </c>
      <c r="D1640">
        <f>IF($J1640="","",IFERROR(COUNTIFS('Weekly Log'!$H:$H,"Y",'Weekly Log'!$A:$A,"&gt;="&amp;$J1640,'Weekly Log'!$A:$A,"&lt;"&amp;$J1640+7)/COUNTIFS('Weekly Log'!$H:$H,"&lt;&gt;",'Weekly Log'!$A:$A,"&gt;="&amp;$J1640,'Weekly Log'!$A:$A,"&lt;"&amp;$J1640+7),0))</f>
        <v/>
      </c>
      <c r="E1640">
        <f>IF($J1640="","",IFERROR(AVERAGEIFS('Weekly Log'!$F:$F,'Weekly Log'!$A:$A,"&gt;="&amp;$J1640,'Weekly Log'!$A:$A,"&lt;"&amp;$J1640+7),0))</f>
        <v/>
      </c>
      <c r="F1640">
        <f>IF($J1640="","",IFERROR(SUMIFS('Weekly Log'!$F:$F,'Weekly Log'!$A:$A,"&gt;="&amp;$J1640,'Weekly Log'!$A:$A,"&lt;"&amp;$J1640+7)/SUMIFS('Weekly Log'!$E:$E,'Weekly Log'!$A:$A,"&gt;="&amp;$J1640,'Weekly Log'!$A:$A,"&lt;"&amp;$J1640+7),0))</f>
        <v/>
      </c>
      <c r="G1640">
        <f>IF($J1640="","",IFERROR(LOOKUP(2,1/(('Weekly Log'!$A$5:$A$5000&gt;=$J1640)*('Weekly Log'!$A$5:$A$5000&lt;$J1640+7)*('Weekly Log'!$M$5:$M$5000&lt;&gt;"")),'Weekly Log'!$M$5:$M$5000),0))</f>
        <v/>
      </c>
      <c r="J1640">
        <f>IF(COUNT('Weekly Log'!$A$5:$A$5000)=0,"",IF(MIN('Weekly Log'!$A$5:$A$5000)+7*(ROW()-10)&gt;MAX('Weekly Log'!$A$5:$A$5000),"",MIN('Weekly Log'!$A$5:$A$5000)+7*(ROW()-10)))</f>
        <v/>
      </c>
    </row>
    <row r="1641">
      <c r="A1641">
        <f>IF($J1641="","",YEAR($J1641-WEEKDAY($J1641,2)+4)&amp;"-W"&amp;TEXT(WEEKNUM($J1641,21),"00"))</f>
        <v/>
      </c>
      <c r="B1641">
        <f>IF($J1641="","",SUMIFS('Weekly Log'!$C:$C,'Weekly Log'!$A:$A,"&gt;="&amp;$J1641,'Weekly Log'!$A:$A,"&lt;"&amp;$J1641+7))</f>
        <v/>
      </c>
      <c r="C1641">
        <f>IF($J1641="","",IFERROR(COUNTIFS('Weekly Log'!$G:$G,"Y",'Weekly Log'!$A:$A,"&gt;="&amp;$J1641,'Weekly Log'!$A:$A,"&lt;"&amp;$J1641+7)/COUNTIFS('Weekly Log'!$G:$G,"&lt;&gt;",'Weekly Log'!$A:$A,"&gt;="&amp;$J1641,'Weekly Log'!$A:$A,"&lt;"&amp;$J1641+7),0))</f>
        <v/>
      </c>
      <c r="D1641">
        <f>IF($J1641="","",IFERROR(COUNTIFS('Weekly Log'!$H:$H,"Y",'Weekly Log'!$A:$A,"&gt;="&amp;$J1641,'Weekly Log'!$A:$A,"&lt;"&amp;$J1641+7)/COUNTIFS('Weekly Log'!$H:$H,"&lt;&gt;",'Weekly Log'!$A:$A,"&gt;="&amp;$J1641,'Weekly Log'!$A:$A,"&lt;"&amp;$J1641+7),0))</f>
        <v/>
      </c>
      <c r="E1641">
        <f>IF($J1641="","",IFERROR(AVERAGEIFS('Weekly Log'!$F:$F,'Weekly Log'!$A:$A,"&gt;="&amp;$J1641,'Weekly Log'!$A:$A,"&lt;"&amp;$J1641+7),0))</f>
        <v/>
      </c>
      <c r="F1641">
        <f>IF($J1641="","",IFERROR(SUMIFS('Weekly Log'!$F:$F,'Weekly Log'!$A:$A,"&gt;="&amp;$J1641,'Weekly Log'!$A:$A,"&lt;"&amp;$J1641+7)/SUMIFS('Weekly Log'!$E:$E,'Weekly Log'!$A:$A,"&gt;="&amp;$J1641,'Weekly Log'!$A:$A,"&lt;"&amp;$J1641+7),0))</f>
        <v/>
      </c>
      <c r="G1641">
        <f>IF($J1641="","",IFERROR(LOOKUP(2,1/(('Weekly Log'!$A$5:$A$5000&gt;=$J1641)*('Weekly Log'!$A$5:$A$5000&lt;$J1641+7)*('Weekly Log'!$M$5:$M$5000&lt;&gt;"")),'Weekly Log'!$M$5:$M$5000),0))</f>
        <v/>
      </c>
      <c r="J1641">
        <f>IF(COUNT('Weekly Log'!$A$5:$A$5000)=0,"",IF(MIN('Weekly Log'!$A$5:$A$5000)+7*(ROW()-10)&gt;MAX('Weekly Log'!$A$5:$A$5000),"",MIN('Weekly Log'!$A$5:$A$5000)+7*(ROW()-10)))</f>
        <v/>
      </c>
    </row>
    <row r="1642">
      <c r="A1642">
        <f>IF($J1642="","",YEAR($J1642-WEEKDAY($J1642,2)+4)&amp;"-W"&amp;TEXT(WEEKNUM($J1642,21),"00"))</f>
        <v/>
      </c>
      <c r="B1642">
        <f>IF($J1642="","",SUMIFS('Weekly Log'!$C:$C,'Weekly Log'!$A:$A,"&gt;="&amp;$J1642,'Weekly Log'!$A:$A,"&lt;"&amp;$J1642+7))</f>
        <v/>
      </c>
      <c r="C1642">
        <f>IF($J1642="","",IFERROR(COUNTIFS('Weekly Log'!$G:$G,"Y",'Weekly Log'!$A:$A,"&gt;="&amp;$J1642,'Weekly Log'!$A:$A,"&lt;"&amp;$J1642+7)/COUNTIFS('Weekly Log'!$G:$G,"&lt;&gt;",'Weekly Log'!$A:$A,"&gt;="&amp;$J1642,'Weekly Log'!$A:$A,"&lt;"&amp;$J1642+7),0))</f>
        <v/>
      </c>
      <c r="D1642">
        <f>IF($J1642="","",IFERROR(COUNTIFS('Weekly Log'!$H:$H,"Y",'Weekly Log'!$A:$A,"&gt;="&amp;$J1642,'Weekly Log'!$A:$A,"&lt;"&amp;$J1642+7)/COUNTIFS('Weekly Log'!$H:$H,"&lt;&gt;",'Weekly Log'!$A:$A,"&gt;="&amp;$J1642,'Weekly Log'!$A:$A,"&lt;"&amp;$J1642+7),0))</f>
        <v/>
      </c>
      <c r="E1642">
        <f>IF($J1642="","",IFERROR(AVERAGEIFS('Weekly Log'!$F:$F,'Weekly Log'!$A:$A,"&gt;="&amp;$J1642,'Weekly Log'!$A:$A,"&lt;"&amp;$J1642+7),0))</f>
        <v/>
      </c>
      <c r="F1642">
        <f>IF($J1642="","",IFERROR(SUMIFS('Weekly Log'!$F:$F,'Weekly Log'!$A:$A,"&gt;="&amp;$J1642,'Weekly Log'!$A:$A,"&lt;"&amp;$J1642+7)/SUMIFS('Weekly Log'!$E:$E,'Weekly Log'!$A:$A,"&gt;="&amp;$J1642,'Weekly Log'!$A:$A,"&lt;"&amp;$J1642+7),0))</f>
        <v/>
      </c>
      <c r="G1642">
        <f>IF($J1642="","",IFERROR(LOOKUP(2,1/(('Weekly Log'!$A$5:$A$5000&gt;=$J1642)*('Weekly Log'!$A$5:$A$5000&lt;$J1642+7)*('Weekly Log'!$M$5:$M$5000&lt;&gt;"")),'Weekly Log'!$M$5:$M$5000),0))</f>
        <v/>
      </c>
      <c r="J1642">
        <f>IF(COUNT('Weekly Log'!$A$5:$A$5000)=0,"",IF(MIN('Weekly Log'!$A$5:$A$5000)+7*(ROW()-10)&gt;MAX('Weekly Log'!$A$5:$A$5000),"",MIN('Weekly Log'!$A$5:$A$5000)+7*(ROW()-10)))</f>
        <v/>
      </c>
    </row>
    <row r="1643">
      <c r="A1643">
        <f>IF($J1643="","",YEAR($J1643-WEEKDAY($J1643,2)+4)&amp;"-W"&amp;TEXT(WEEKNUM($J1643,21),"00"))</f>
        <v/>
      </c>
      <c r="B1643">
        <f>IF($J1643="","",SUMIFS('Weekly Log'!$C:$C,'Weekly Log'!$A:$A,"&gt;="&amp;$J1643,'Weekly Log'!$A:$A,"&lt;"&amp;$J1643+7))</f>
        <v/>
      </c>
      <c r="C1643">
        <f>IF($J1643="","",IFERROR(COUNTIFS('Weekly Log'!$G:$G,"Y",'Weekly Log'!$A:$A,"&gt;="&amp;$J1643,'Weekly Log'!$A:$A,"&lt;"&amp;$J1643+7)/COUNTIFS('Weekly Log'!$G:$G,"&lt;&gt;",'Weekly Log'!$A:$A,"&gt;="&amp;$J1643,'Weekly Log'!$A:$A,"&lt;"&amp;$J1643+7),0))</f>
        <v/>
      </c>
      <c r="D1643">
        <f>IF($J1643="","",IFERROR(COUNTIFS('Weekly Log'!$H:$H,"Y",'Weekly Log'!$A:$A,"&gt;="&amp;$J1643,'Weekly Log'!$A:$A,"&lt;"&amp;$J1643+7)/COUNTIFS('Weekly Log'!$H:$H,"&lt;&gt;",'Weekly Log'!$A:$A,"&gt;="&amp;$J1643,'Weekly Log'!$A:$A,"&lt;"&amp;$J1643+7),0))</f>
        <v/>
      </c>
      <c r="E1643">
        <f>IF($J1643="","",IFERROR(AVERAGEIFS('Weekly Log'!$F:$F,'Weekly Log'!$A:$A,"&gt;="&amp;$J1643,'Weekly Log'!$A:$A,"&lt;"&amp;$J1643+7),0))</f>
        <v/>
      </c>
      <c r="F1643">
        <f>IF($J1643="","",IFERROR(SUMIFS('Weekly Log'!$F:$F,'Weekly Log'!$A:$A,"&gt;="&amp;$J1643,'Weekly Log'!$A:$A,"&lt;"&amp;$J1643+7)/SUMIFS('Weekly Log'!$E:$E,'Weekly Log'!$A:$A,"&gt;="&amp;$J1643,'Weekly Log'!$A:$A,"&lt;"&amp;$J1643+7),0))</f>
        <v/>
      </c>
      <c r="G1643">
        <f>IF($J1643="","",IFERROR(LOOKUP(2,1/(('Weekly Log'!$A$5:$A$5000&gt;=$J1643)*('Weekly Log'!$A$5:$A$5000&lt;$J1643+7)*('Weekly Log'!$M$5:$M$5000&lt;&gt;"")),'Weekly Log'!$M$5:$M$5000),0))</f>
        <v/>
      </c>
      <c r="J1643">
        <f>IF(COUNT('Weekly Log'!$A$5:$A$5000)=0,"",IF(MIN('Weekly Log'!$A$5:$A$5000)+7*(ROW()-10)&gt;MAX('Weekly Log'!$A$5:$A$5000),"",MIN('Weekly Log'!$A$5:$A$5000)+7*(ROW()-10)))</f>
        <v/>
      </c>
    </row>
    <row r="1644">
      <c r="A1644">
        <f>IF($J1644="","",YEAR($J1644-WEEKDAY($J1644,2)+4)&amp;"-W"&amp;TEXT(WEEKNUM($J1644,21),"00"))</f>
        <v/>
      </c>
      <c r="B1644">
        <f>IF($J1644="","",SUMIFS('Weekly Log'!$C:$C,'Weekly Log'!$A:$A,"&gt;="&amp;$J1644,'Weekly Log'!$A:$A,"&lt;"&amp;$J1644+7))</f>
        <v/>
      </c>
      <c r="C1644">
        <f>IF($J1644="","",IFERROR(COUNTIFS('Weekly Log'!$G:$G,"Y",'Weekly Log'!$A:$A,"&gt;="&amp;$J1644,'Weekly Log'!$A:$A,"&lt;"&amp;$J1644+7)/COUNTIFS('Weekly Log'!$G:$G,"&lt;&gt;",'Weekly Log'!$A:$A,"&gt;="&amp;$J1644,'Weekly Log'!$A:$A,"&lt;"&amp;$J1644+7),0))</f>
        <v/>
      </c>
      <c r="D1644">
        <f>IF($J1644="","",IFERROR(COUNTIFS('Weekly Log'!$H:$H,"Y",'Weekly Log'!$A:$A,"&gt;="&amp;$J1644,'Weekly Log'!$A:$A,"&lt;"&amp;$J1644+7)/COUNTIFS('Weekly Log'!$H:$H,"&lt;&gt;",'Weekly Log'!$A:$A,"&gt;="&amp;$J1644,'Weekly Log'!$A:$A,"&lt;"&amp;$J1644+7),0))</f>
        <v/>
      </c>
      <c r="E1644">
        <f>IF($J1644="","",IFERROR(AVERAGEIFS('Weekly Log'!$F:$F,'Weekly Log'!$A:$A,"&gt;="&amp;$J1644,'Weekly Log'!$A:$A,"&lt;"&amp;$J1644+7),0))</f>
        <v/>
      </c>
      <c r="F1644">
        <f>IF($J1644="","",IFERROR(SUMIFS('Weekly Log'!$F:$F,'Weekly Log'!$A:$A,"&gt;="&amp;$J1644,'Weekly Log'!$A:$A,"&lt;"&amp;$J1644+7)/SUMIFS('Weekly Log'!$E:$E,'Weekly Log'!$A:$A,"&gt;="&amp;$J1644,'Weekly Log'!$A:$A,"&lt;"&amp;$J1644+7),0))</f>
        <v/>
      </c>
      <c r="G1644">
        <f>IF($J1644="","",IFERROR(LOOKUP(2,1/(('Weekly Log'!$A$5:$A$5000&gt;=$J1644)*('Weekly Log'!$A$5:$A$5000&lt;$J1644+7)*('Weekly Log'!$M$5:$M$5000&lt;&gt;"")),'Weekly Log'!$M$5:$M$5000),0))</f>
        <v/>
      </c>
      <c r="J1644">
        <f>IF(COUNT('Weekly Log'!$A$5:$A$5000)=0,"",IF(MIN('Weekly Log'!$A$5:$A$5000)+7*(ROW()-10)&gt;MAX('Weekly Log'!$A$5:$A$5000),"",MIN('Weekly Log'!$A$5:$A$5000)+7*(ROW()-10)))</f>
        <v/>
      </c>
    </row>
    <row r="1645">
      <c r="A1645">
        <f>IF($J1645="","",YEAR($J1645-WEEKDAY($J1645,2)+4)&amp;"-W"&amp;TEXT(WEEKNUM($J1645,21),"00"))</f>
        <v/>
      </c>
      <c r="B1645">
        <f>IF($J1645="","",SUMIFS('Weekly Log'!$C:$C,'Weekly Log'!$A:$A,"&gt;="&amp;$J1645,'Weekly Log'!$A:$A,"&lt;"&amp;$J1645+7))</f>
        <v/>
      </c>
      <c r="C1645">
        <f>IF($J1645="","",IFERROR(COUNTIFS('Weekly Log'!$G:$G,"Y",'Weekly Log'!$A:$A,"&gt;="&amp;$J1645,'Weekly Log'!$A:$A,"&lt;"&amp;$J1645+7)/COUNTIFS('Weekly Log'!$G:$G,"&lt;&gt;",'Weekly Log'!$A:$A,"&gt;="&amp;$J1645,'Weekly Log'!$A:$A,"&lt;"&amp;$J1645+7),0))</f>
        <v/>
      </c>
      <c r="D1645">
        <f>IF($J1645="","",IFERROR(COUNTIFS('Weekly Log'!$H:$H,"Y",'Weekly Log'!$A:$A,"&gt;="&amp;$J1645,'Weekly Log'!$A:$A,"&lt;"&amp;$J1645+7)/COUNTIFS('Weekly Log'!$H:$H,"&lt;&gt;",'Weekly Log'!$A:$A,"&gt;="&amp;$J1645,'Weekly Log'!$A:$A,"&lt;"&amp;$J1645+7),0))</f>
        <v/>
      </c>
      <c r="E1645">
        <f>IF($J1645="","",IFERROR(AVERAGEIFS('Weekly Log'!$F:$F,'Weekly Log'!$A:$A,"&gt;="&amp;$J1645,'Weekly Log'!$A:$A,"&lt;"&amp;$J1645+7),0))</f>
        <v/>
      </c>
      <c r="F1645">
        <f>IF($J1645="","",IFERROR(SUMIFS('Weekly Log'!$F:$F,'Weekly Log'!$A:$A,"&gt;="&amp;$J1645,'Weekly Log'!$A:$A,"&lt;"&amp;$J1645+7)/SUMIFS('Weekly Log'!$E:$E,'Weekly Log'!$A:$A,"&gt;="&amp;$J1645,'Weekly Log'!$A:$A,"&lt;"&amp;$J1645+7),0))</f>
        <v/>
      </c>
      <c r="G1645">
        <f>IF($J1645="","",IFERROR(LOOKUP(2,1/(('Weekly Log'!$A$5:$A$5000&gt;=$J1645)*('Weekly Log'!$A$5:$A$5000&lt;$J1645+7)*('Weekly Log'!$M$5:$M$5000&lt;&gt;"")),'Weekly Log'!$M$5:$M$5000),0))</f>
        <v/>
      </c>
      <c r="J1645">
        <f>IF(COUNT('Weekly Log'!$A$5:$A$5000)=0,"",IF(MIN('Weekly Log'!$A$5:$A$5000)+7*(ROW()-10)&gt;MAX('Weekly Log'!$A$5:$A$5000),"",MIN('Weekly Log'!$A$5:$A$5000)+7*(ROW()-10)))</f>
        <v/>
      </c>
    </row>
    <row r="1646">
      <c r="A1646">
        <f>IF($J1646="","",YEAR($J1646-WEEKDAY($J1646,2)+4)&amp;"-W"&amp;TEXT(WEEKNUM($J1646,21),"00"))</f>
        <v/>
      </c>
      <c r="B1646">
        <f>IF($J1646="","",SUMIFS('Weekly Log'!$C:$C,'Weekly Log'!$A:$A,"&gt;="&amp;$J1646,'Weekly Log'!$A:$A,"&lt;"&amp;$J1646+7))</f>
        <v/>
      </c>
      <c r="C1646">
        <f>IF($J1646="","",IFERROR(COUNTIFS('Weekly Log'!$G:$G,"Y",'Weekly Log'!$A:$A,"&gt;="&amp;$J1646,'Weekly Log'!$A:$A,"&lt;"&amp;$J1646+7)/COUNTIFS('Weekly Log'!$G:$G,"&lt;&gt;",'Weekly Log'!$A:$A,"&gt;="&amp;$J1646,'Weekly Log'!$A:$A,"&lt;"&amp;$J1646+7),0))</f>
        <v/>
      </c>
      <c r="D1646">
        <f>IF($J1646="","",IFERROR(COUNTIFS('Weekly Log'!$H:$H,"Y",'Weekly Log'!$A:$A,"&gt;="&amp;$J1646,'Weekly Log'!$A:$A,"&lt;"&amp;$J1646+7)/COUNTIFS('Weekly Log'!$H:$H,"&lt;&gt;",'Weekly Log'!$A:$A,"&gt;="&amp;$J1646,'Weekly Log'!$A:$A,"&lt;"&amp;$J1646+7),0))</f>
        <v/>
      </c>
      <c r="E1646">
        <f>IF($J1646="","",IFERROR(AVERAGEIFS('Weekly Log'!$F:$F,'Weekly Log'!$A:$A,"&gt;="&amp;$J1646,'Weekly Log'!$A:$A,"&lt;"&amp;$J1646+7),0))</f>
        <v/>
      </c>
      <c r="F1646">
        <f>IF($J1646="","",IFERROR(SUMIFS('Weekly Log'!$F:$F,'Weekly Log'!$A:$A,"&gt;="&amp;$J1646,'Weekly Log'!$A:$A,"&lt;"&amp;$J1646+7)/SUMIFS('Weekly Log'!$E:$E,'Weekly Log'!$A:$A,"&gt;="&amp;$J1646,'Weekly Log'!$A:$A,"&lt;"&amp;$J1646+7),0))</f>
        <v/>
      </c>
      <c r="G1646">
        <f>IF($J1646="","",IFERROR(LOOKUP(2,1/(('Weekly Log'!$A$5:$A$5000&gt;=$J1646)*('Weekly Log'!$A$5:$A$5000&lt;$J1646+7)*('Weekly Log'!$M$5:$M$5000&lt;&gt;"")),'Weekly Log'!$M$5:$M$5000),0))</f>
        <v/>
      </c>
      <c r="J1646">
        <f>IF(COUNT('Weekly Log'!$A$5:$A$5000)=0,"",IF(MIN('Weekly Log'!$A$5:$A$5000)+7*(ROW()-10)&gt;MAX('Weekly Log'!$A$5:$A$5000),"",MIN('Weekly Log'!$A$5:$A$5000)+7*(ROW()-10)))</f>
        <v/>
      </c>
    </row>
    <row r="1647">
      <c r="A1647">
        <f>IF($J1647="","",YEAR($J1647-WEEKDAY($J1647,2)+4)&amp;"-W"&amp;TEXT(WEEKNUM($J1647,21),"00"))</f>
        <v/>
      </c>
      <c r="B1647">
        <f>IF($J1647="","",SUMIFS('Weekly Log'!$C:$C,'Weekly Log'!$A:$A,"&gt;="&amp;$J1647,'Weekly Log'!$A:$A,"&lt;"&amp;$J1647+7))</f>
        <v/>
      </c>
      <c r="C1647">
        <f>IF($J1647="","",IFERROR(COUNTIFS('Weekly Log'!$G:$G,"Y",'Weekly Log'!$A:$A,"&gt;="&amp;$J1647,'Weekly Log'!$A:$A,"&lt;"&amp;$J1647+7)/COUNTIFS('Weekly Log'!$G:$G,"&lt;&gt;",'Weekly Log'!$A:$A,"&gt;="&amp;$J1647,'Weekly Log'!$A:$A,"&lt;"&amp;$J1647+7),0))</f>
        <v/>
      </c>
      <c r="D1647">
        <f>IF($J1647="","",IFERROR(COUNTIFS('Weekly Log'!$H:$H,"Y",'Weekly Log'!$A:$A,"&gt;="&amp;$J1647,'Weekly Log'!$A:$A,"&lt;"&amp;$J1647+7)/COUNTIFS('Weekly Log'!$H:$H,"&lt;&gt;",'Weekly Log'!$A:$A,"&gt;="&amp;$J1647,'Weekly Log'!$A:$A,"&lt;"&amp;$J1647+7),0))</f>
        <v/>
      </c>
      <c r="E1647">
        <f>IF($J1647="","",IFERROR(AVERAGEIFS('Weekly Log'!$F:$F,'Weekly Log'!$A:$A,"&gt;="&amp;$J1647,'Weekly Log'!$A:$A,"&lt;"&amp;$J1647+7),0))</f>
        <v/>
      </c>
      <c r="F1647">
        <f>IF($J1647="","",IFERROR(SUMIFS('Weekly Log'!$F:$F,'Weekly Log'!$A:$A,"&gt;="&amp;$J1647,'Weekly Log'!$A:$A,"&lt;"&amp;$J1647+7)/SUMIFS('Weekly Log'!$E:$E,'Weekly Log'!$A:$A,"&gt;="&amp;$J1647,'Weekly Log'!$A:$A,"&lt;"&amp;$J1647+7),0))</f>
        <v/>
      </c>
      <c r="G1647">
        <f>IF($J1647="","",IFERROR(LOOKUP(2,1/(('Weekly Log'!$A$5:$A$5000&gt;=$J1647)*('Weekly Log'!$A$5:$A$5000&lt;$J1647+7)*('Weekly Log'!$M$5:$M$5000&lt;&gt;"")),'Weekly Log'!$M$5:$M$5000),0))</f>
        <v/>
      </c>
      <c r="J1647">
        <f>IF(COUNT('Weekly Log'!$A$5:$A$5000)=0,"",IF(MIN('Weekly Log'!$A$5:$A$5000)+7*(ROW()-10)&gt;MAX('Weekly Log'!$A$5:$A$5000),"",MIN('Weekly Log'!$A$5:$A$5000)+7*(ROW()-10)))</f>
        <v/>
      </c>
    </row>
    <row r="1648">
      <c r="A1648">
        <f>IF($J1648="","",YEAR($J1648-WEEKDAY($J1648,2)+4)&amp;"-W"&amp;TEXT(WEEKNUM($J1648,21),"00"))</f>
        <v/>
      </c>
      <c r="B1648">
        <f>IF($J1648="","",SUMIFS('Weekly Log'!$C:$C,'Weekly Log'!$A:$A,"&gt;="&amp;$J1648,'Weekly Log'!$A:$A,"&lt;"&amp;$J1648+7))</f>
        <v/>
      </c>
      <c r="C1648">
        <f>IF($J1648="","",IFERROR(COUNTIFS('Weekly Log'!$G:$G,"Y",'Weekly Log'!$A:$A,"&gt;="&amp;$J1648,'Weekly Log'!$A:$A,"&lt;"&amp;$J1648+7)/COUNTIFS('Weekly Log'!$G:$G,"&lt;&gt;",'Weekly Log'!$A:$A,"&gt;="&amp;$J1648,'Weekly Log'!$A:$A,"&lt;"&amp;$J1648+7),0))</f>
        <v/>
      </c>
      <c r="D1648">
        <f>IF($J1648="","",IFERROR(COUNTIFS('Weekly Log'!$H:$H,"Y",'Weekly Log'!$A:$A,"&gt;="&amp;$J1648,'Weekly Log'!$A:$A,"&lt;"&amp;$J1648+7)/COUNTIFS('Weekly Log'!$H:$H,"&lt;&gt;",'Weekly Log'!$A:$A,"&gt;="&amp;$J1648,'Weekly Log'!$A:$A,"&lt;"&amp;$J1648+7),0))</f>
        <v/>
      </c>
      <c r="E1648">
        <f>IF($J1648="","",IFERROR(AVERAGEIFS('Weekly Log'!$F:$F,'Weekly Log'!$A:$A,"&gt;="&amp;$J1648,'Weekly Log'!$A:$A,"&lt;"&amp;$J1648+7),0))</f>
        <v/>
      </c>
      <c r="F1648">
        <f>IF($J1648="","",IFERROR(SUMIFS('Weekly Log'!$F:$F,'Weekly Log'!$A:$A,"&gt;="&amp;$J1648,'Weekly Log'!$A:$A,"&lt;"&amp;$J1648+7)/SUMIFS('Weekly Log'!$E:$E,'Weekly Log'!$A:$A,"&gt;="&amp;$J1648,'Weekly Log'!$A:$A,"&lt;"&amp;$J1648+7),0))</f>
        <v/>
      </c>
      <c r="G1648">
        <f>IF($J1648="","",IFERROR(LOOKUP(2,1/(('Weekly Log'!$A$5:$A$5000&gt;=$J1648)*('Weekly Log'!$A$5:$A$5000&lt;$J1648+7)*('Weekly Log'!$M$5:$M$5000&lt;&gt;"")),'Weekly Log'!$M$5:$M$5000),0))</f>
        <v/>
      </c>
      <c r="J1648">
        <f>IF(COUNT('Weekly Log'!$A$5:$A$5000)=0,"",IF(MIN('Weekly Log'!$A$5:$A$5000)+7*(ROW()-10)&gt;MAX('Weekly Log'!$A$5:$A$5000),"",MIN('Weekly Log'!$A$5:$A$5000)+7*(ROW()-10)))</f>
        <v/>
      </c>
    </row>
    <row r="1649">
      <c r="A1649">
        <f>IF($J1649="","",YEAR($J1649-WEEKDAY($J1649,2)+4)&amp;"-W"&amp;TEXT(WEEKNUM($J1649,21),"00"))</f>
        <v/>
      </c>
      <c r="B1649">
        <f>IF($J1649="","",SUMIFS('Weekly Log'!$C:$C,'Weekly Log'!$A:$A,"&gt;="&amp;$J1649,'Weekly Log'!$A:$A,"&lt;"&amp;$J1649+7))</f>
        <v/>
      </c>
      <c r="C1649">
        <f>IF($J1649="","",IFERROR(COUNTIFS('Weekly Log'!$G:$G,"Y",'Weekly Log'!$A:$A,"&gt;="&amp;$J1649,'Weekly Log'!$A:$A,"&lt;"&amp;$J1649+7)/COUNTIFS('Weekly Log'!$G:$G,"&lt;&gt;",'Weekly Log'!$A:$A,"&gt;="&amp;$J1649,'Weekly Log'!$A:$A,"&lt;"&amp;$J1649+7),0))</f>
        <v/>
      </c>
      <c r="D1649">
        <f>IF($J1649="","",IFERROR(COUNTIFS('Weekly Log'!$H:$H,"Y",'Weekly Log'!$A:$A,"&gt;="&amp;$J1649,'Weekly Log'!$A:$A,"&lt;"&amp;$J1649+7)/COUNTIFS('Weekly Log'!$H:$H,"&lt;&gt;",'Weekly Log'!$A:$A,"&gt;="&amp;$J1649,'Weekly Log'!$A:$A,"&lt;"&amp;$J1649+7),0))</f>
        <v/>
      </c>
      <c r="E1649">
        <f>IF($J1649="","",IFERROR(AVERAGEIFS('Weekly Log'!$F:$F,'Weekly Log'!$A:$A,"&gt;="&amp;$J1649,'Weekly Log'!$A:$A,"&lt;"&amp;$J1649+7),0))</f>
        <v/>
      </c>
      <c r="F1649">
        <f>IF($J1649="","",IFERROR(SUMIFS('Weekly Log'!$F:$F,'Weekly Log'!$A:$A,"&gt;="&amp;$J1649,'Weekly Log'!$A:$A,"&lt;"&amp;$J1649+7)/SUMIFS('Weekly Log'!$E:$E,'Weekly Log'!$A:$A,"&gt;="&amp;$J1649,'Weekly Log'!$A:$A,"&lt;"&amp;$J1649+7),0))</f>
        <v/>
      </c>
      <c r="G1649">
        <f>IF($J1649="","",IFERROR(LOOKUP(2,1/(('Weekly Log'!$A$5:$A$5000&gt;=$J1649)*('Weekly Log'!$A$5:$A$5000&lt;$J1649+7)*('Weekly Log'!$M$5:$M$5000&lt;&gt;"")),'Weekly Log'!$M$5:$M$5000),0))</f>
        <v/>
      </c>
      <c r="J1649">
        <f>IF(COUNT('Weekly Log'!$A$5:$A$5000)=0,"",IF(MIN('Weekly Log'!$A$5:$A$5000)+7*(ROW()-10)&gt;MAX('Weekly Log'!$A$5:$A$5000),"",MIN('Weekly Log'!$A$5:$A$5000)+7*(ROW()-10)))</f>
        <v/>
      </c>
    </row>
    <row r="1650">
      <c r="A1650">
        <f>IF($J1650="","",YEAR($J1650-WEEKDAY($J1650,2)+4)&amp;"-W"&amp;TEXT(WEEKNUM($J1650,21),"00"))</f>
        <v/>
      </c>
      <c r="B1650">
        <f>IF($J1650="","",SUMIFS('Weekly Log'!$C:$C,'Weekly Log'!$A:$A,"&gt;="&amp;$J1650,'Weekly Log'!$A:$A,"&lt;"&amp;$J1650+7))</f>
        <v/>
      </c>
      <c r="C1650">
        <f>IF($J1650="","",IFERROR(COUNTIFS('Weekly Log'!$G:$G,"Y",'Weekly Log'!$A:$A,"&gt;="&amp;$J1650,'Weekly Log'!$A:$A,"&lt;"&amp;$J1650+7)/COUNTIFS('Weekly Log'!$G:$G,"&lt;&gt;",'Weekly Log'!$A:$A,"&gt;="&amp;$J1650,'Weekly Log'!$A:$A,"&lt;"&amp;$J1650+7),0))</f>
        <v/>
      </c>
      <c r="D1650">
        <f>IF($J1650="","",IFERROR(COUNTIFS('Weekly Log'!$H:$H,"Y",'Weekly Log'!$A:$A,"&gt;="&amp;$J1650,'Weekly Log'!$A:$A,"&lt;"&amp;$J1650+7)/COUNTIFS('Weekly Log'!$H:$H,"&lt;&gt;",'Weekly Log'!$A:$A,"&gt;="&amp;$J1650,'Weekly Log'!$A:$A,"&lt;"&amp;$J1650+7),0))</f>
        <v/>
      </c>
      <c r="E1650">
        <f>IF($J1650="","",IFERROR(AVERAGEIFS('Weekly Log'!$F:$F,'Weekly Log'!$A:$A,"&gt;="&amp;$J1650,'Weekly Log'!$A:$A,"&lt;"&amp;$J1650+7),0))</f>
        <v/>
      </c>
      <c r="F1650">
        <f>IF($J1650="","",IFERROR(SUMIFS('Weekly Log'!$F:$F,'Weekly Log'!$A:$A,"&gt;="&amp;$J1650,'Weekly Log'!$A:$A,"&lt;"&amp;$J1650+7)/SUMIFS('Weekly Log'!$E:$E,'Weekly Log'!$A:$A,"&gt;="&amp;$J1650,'Weekly Log'!$A:$A,"&lt;"&amp;$J1650+7),0))</f>
        <v/>
      </c>
      <c r="G1650">
        <f>IF($J1650="","",IFERROR(LOOKUP(2,1/(('Weekly Log'!$A$5:$A$5000&gt;=$J1650)*('Weekly Log'!$A$5:$A$5000&lt;$J1650+7)*('Weekly Log'!$M$5:$M$5000&lt;&gt;"")),'Weekly Log'!$M$5:$M$5000),0))</f>
        <v/>
      </c>
      <c r="J1650">
        <f>IF(COUNT('Weekly Log'!$A$5:$A$5000)=0,"",IF(MIN('Weekly Log'!$A$5:$A$5000)+7*(ROW()-10)&gt;MAX('Weekly Log'!$A$5:$A$5000),"",MIN('Weekly Log'!$A$5:$A$5000)+7*(ROW()-10)))</f>
        <v/>
      </c>
    </row>
    <row r="1651">
      <c r="A1651">
        <f>IF($J1651="","",YEAR($J1651-WEEKDAY($J1651,2)+4)&amp;"-W"&amp;TEXT(WEEKNUM($J1651,21),"00"))</f>
        <v/>
      </c>
      <c r="B1651">
        <f>IF($J1651="","",SUMIFS('Weekly Log'!$C:$C,'Weekly Log'!$A:$A,"&gt;="&amp;$J1651,'Weekly Log'!$A:$A,"&lt;"&amp;$J1651+7))</f>
        <v/>
      </c>
      <c r="C1651">
        <f>IF($J1651="","",IFERROR(COUNTIFS('Weekly Log'!$G:$G,"Y",'Weekly Log'!$A:$A,"&gt;="&amp;$J1651,'Weekly Log'!$A:$A,"&lt;"&amp;$J1651+7)/COUNTIFS('Weekly Log'!$G:$G,"&lt;&gt;",'Weekly Log'!$A:$A,"&gt;="&amp;$J1651,'Weekly Log'!$A:$A,"&lt;"&amp;$J1651+7),0))</f>
        <v/>
      </c>
      <c r="D1651">
        <f>IF($J1651="","",IFERROR(COUNTIFS('Weekly Log'!$H:$H,"Y",'Weekly Log'!$A:$A,"&gt;="&amp;$J1651,'Weekly Log'!$A:$A,"&lt;"&amp;$J1651+7)/COUNTIFS('Weekly Log'!$H:$H,"&lt;&gt;",'Weekly Log'!$A:$A,"&gt;="&amp;$J1651,'Weekly Log'!$A:$A,"&lt;"&amp;$J1651+7),0))</f>
        <v/>
      </c>
      <c r="E1651">
        <f>IF($J1651="","",IFERROR(AVERAGEIFS('Weekly Log'!$F:$F,'Weekly Log'!$A:$A,"&gt;="&amp;$J1651,'Weekly Log'!$A:$A,"&lt;"&amp;$J1651+7),0))</f>
        <v/>
      </c>
      <c r="F1651">
        <f>IF($J1651="","",IFERROR(SUMIFS('Weekly Log'!$F:$F,'Weekly Log'!$A:$A,"&gt;="&amp;$J1651,'Weekly Log'!$A:$A,"&lt;"&amp;$J1651+7)/SUMIFS('Weekly Log'!$E:$E,'Weekly Log'!$A:$A,"&gt;="&amp;$J1651,'Weekly Log'!$A:$A,"&lt;"&amp;$J1651+7),0))</f>
        <v/>
      </c>
      <c r="G1651">
        <f>IF($J1651="","",IFERROR(LOOKUP(2,1/(('Weekly Log'!$A$5:$A$5000&gt;=$J1651)*('Weekly Log'!$A$5:$A$5000&lt;$J1651+7)*('Weekly Log'!$M$5:$M$5000&lt;&gt;"")),'Weekly Log'!$M$5:$M$5000),0))</f>
        <v/>
      </c>
      <c r="J1651">
        <f>IF(COUNT('Weekly Log'!$A$5:$A$5000)=0,"",IF(MIN('Weekly Log'!$A$5:$A$5000)+7*(ROW()-10)&gt;MAX('Weekly Log'!$A$5:$A$5000),"",MIN('Weekly Log'!$A$5:$A$5000)+7*(ROW()-10)))</f>
        <v/>
      </c>
    </row>
    <row r="1652">
      <c r="A1652">
        <f>IF($J1652="","",YEAR($J1652-WEEKDAY($J1652,2)+4)&amp;"-W"&amp;TEXT(WEEKNUM($J1652,21),"00"))</f>
        <v/>
      </c>
      <c r="B1652">
        <f>IF($J1652="","",SUMIFS('Weekly Log'!$C:$C,'Weekly Log'!$A:$A,"&gt;="&amp;$J1652,'Weekly Log'!$A:$A,"&lt;"&amp;$J1652+7))</f>
        <v/>
      </c>
      <c r="C1652">
        <f>IF($J1652="","",IFERROR(COUNTIFS('Weekly Log'!$G:$G,"Y",'Weekly Log'!$A:$A,"&gt;="&amp;$J1652,'Weekly Log'!$A:$A,"&lt;"&amp;$J1652+7)/COUNTIFS('Weekly Log'!$G:$G,"&lt;&gt;",'Weekly Log'!$A:$A,"&gt;="&amp;$J1652,'Weekly Log'!$A:$A,"&lt;"&amp;$J1652+7),0))</f>
        <v/>
      </c>
      <c r="D1652">
        <f>IF($J1652="","",IFERROR(COUNTIFS('Weekly Log'!$H:$H,"Y",'Weekly Log'!$A:$A,"&gt;="&amp;$J1652,'Weekly Log'!$A:$A,"&lt;"&amp;$J1652+7)/COUNTIFS('Weekly Log'!$H:$H,"&lt;&gt;",'Weekly Log'!$A:$A,"&gt;="&amp;$J1652,'Weekly Log'!$A:$A,"&lt;"&amp;$J1652+7),0))</f>
        <v/>
      </c>
      <c r="E1652">
        <f>IF($J1652="","",IFERROR(AVERAGEIFS('Weekly Log'!$F:$F,'Weekly Log'!$A:$A,"&gt;="&amp;$J1652,'Weekly Log'!$A:$A,"&lt;"&amp;$J1652+7),0))</f>
        <v/>
      </c>
      <c r="F1652">
        <f>IF($J1652="","",IFERROR(SUMIFS('Weekly Log'!$F:$F,'Weekly Log'!$A:$A,"&gt;="&amp;$J1652,'Weekly Log'!$A:$A,"&lt;"&amp;$J1652+7)/SUMIFS('Weekly Log'!$E:$E,'Weekly Log'!$A:$A,"&gt;="&amp;$J1652,'Weekly Log'!$A:$A,"&lt;"&amp;$J1652+7),0))</f>
        <v/>
      </c>
      <c r="G1652">
        <f>IF($J1652="","",IFERROR(LOOKUP(2,1/(('Weekly Log'!$A$5:$A$5000&gt;=$J1652)*('Weekly Log'!$A$5:$A$5000&lt;$J1652+7)*('Weekly Log'!$M$5:$M$5000&lt;&gt;"")),'Weekly Log'!$M$5:$M$5000),0))</f>
        <v/>
      </c>
      <c r="J1652">
        <f>IF(COUNT('Weekly Log'!$A$5:$A$5000)=0,"",IF(MIN('Weekly Log'!$A$5:$A$5000)+7*(ROW()-10)&gt;MAX('Weekly Log'!$A$5:$A$5000),"",MIN('Weekly Log'!$A$5:$A$5000)+7*(ROW()-10)))</f>
        <v/>
      </c>
    </row>
    <row r="1653">
      <c r="A1653">
        <f>IF($J1653="","",YEAR($J1653-WEEKDAY($J1653,2)+4)&amp;"-W"&amp;TEXT(WEEKNUM($J1653,21),"00"))</f>
        <v/>
      </c>
      <c r="B1653">
        <f>IF($J1653="","",SUMIFS('Weekly Log'!$C:$C,'Weekly Log'!$A:$A,"&gt;="&amp;$J1653,'Weekly Log'!$A:$A,"&lt;"&amp;$J1653+7))</f>
        <v/>
      </c>
      <c r="C1653">
        <f>IF($J1653="","",IFERROR(COUNTIFS('Weekly Log'!$G:$G,"Y",'Weekly Log'!$A:$A,"&gt;="&amp;$J1653,'Weekly Log'!$A:$A,"&lt;"&amp;$J1653+7)/COUNTIFS('Weekly Log'!$G:$G,"&lt;&gt;",'Weekly Log'!$A:$A,"&gt;="&amp;$J1653,'Weekly Log'!$A:$A,"&lt;"&amp;$J1653+7),0))</f>
        <v/>
      </c>
      <c r="D1653">
        <f>IF($J1653="","",IFERROR(COUNTIFS('Weekly Log'!$H:$H,"Y",'Weekly Log'!$A:$A,"&gt;="&amp;$J1653,'Weekly Log'!$A:$A,"&lt;"&amp;$J1653+7)/COUNTIFS('Weekly Log'!$H:$H,"&lt;&gt;",'Weekly Log'!$A:$A,"&gt;="&amp;$J1653,'Weekly Log'!$A:$A,"&lt;"&amp;$J1653+7),0))</f>
        <v/>
      </c>
      <c r="E1653">
        <f>IF($J1653="","",IFERROR(AVERAGEIFS('Weekly Log'!$F:$F,'Weekly Log'!$A:$A,"&gt;="&amp;$J1653,'Weekly Log'!$A:$A,"&lt;"&amp;$J1653+7),0))</f>
        <v/>
      </c>
      <c r="F1653">
        <f>IF($J1653="","",IFERROR(SUMIFS('Weekly Log'!$F:$F,'Weekly Log'!$A:$A,"&gt;="&amp;$J1653,'Weekly Log'!$A:$A,"&lt;"&amp;$J1653+7)/SUMIFS('Weekly Log'!$E:$E,'Weekly Log'!$A:$A,"&gt;="&amp;$J1653,'Weekly Log'!$A:$A,"&lt;"&amp;$J1653+7),0))</f>
        <v/>
      </c>
      <c r="G1653">
        <f>IF($J1653="","",IFERROR(LOOKUP(2,1/(('Weekly Log'!$A$5:$A$5000&gt;=$J1653)*('Weekly Log'!$A$5:$A$5000&lt;$J1653+7)*('Weekly Log'!$M$5:$M$5000&lt;&gt;"")),'Weekly Log'!$M$5:$M$5000),0))</f>
        <v/>
      </c>
      <c r="J1653">
        <f>IF(COUNT('Weekly Log'!$A$5:$A$5000)=0,"",IF(MIN('Weekly Log'!$A$5:$A$5000)+7*(ROW()-10)&gt;MAX('Weekly Log'!$A$5:$A$5000),"",MIN('Weekly Log'!$A$5:$A$5000)+7*(ROW()-10)))</f>
        <v/>
      </c>
    </row>
    <row r="1654">
      <c r="A1654">
        <f>IF($J1654="","",YEAR($J1654-WEEKDAY($J1654,2)+4)&amp;"-W"&amp;TEXT(WEEKNUM($J1654,21),"00"))</f>
        <v/>
      </c>
      <c r="B1654">
        <f>IF($J1654="","",SUMIFS('Weekly Log'!$C:$C,'Weekly Log'!$A:$A,"&gt;="&amp;$J1654,'Weekly Log'!$A:$A,"&lt;"&amp;$J1654+7))</f>
        <v/>
      </c>
      <c r="C1654">
        <f>IF($J1654="","",IFERROR(COUNTIFS('Weekly Log'!$G:$G,"Y",'Weekly Log'!$A:$A,"&gt;="&amp;$J1654,'Weekly Log'!$A:$A,"&lt;"&amp;$J1654+7)/COUNTIFS('Weekly Log'!$G:$G,"&lt;&gt;",'Weekly Log'!$A:$A,"&gt;="&amp;$J1654,'Weekly Log'!$A:$A,"&lt;"&amp;$J1654+7),0))</f>
        <v/>
      </c>
      <c r="D1654">
        <f>IF($J1654="","",IFERROR(COUNTIFS('Weekly Log'!$H:$H,"Y",'Weekly Log'!$A:$A,"&gt;="&amp;$J1654,'Weekly Log'!$A:$A,"&lt;"&amp;$J1654+7)/COUNTIFS('Weekly Log'!$H:$H,"&lt;&gt;",'Weekly Log'!$A:$A,"&gt;="&amp;$J1654,'Weekly Log'!$A:$A,"&lt;"&amp;$J1654+7),0))</f>
        <v/>
      </c>
      <c r="E1654">
        <f>IF($J1654="","",IFERROR(AVERAGEIFS('Weekly Log'!$F:$F,'Weekly Log'!$A:$A,"&gt;="&amp;$J1654,'Weekly Log'!$A:$A,"&lt;"&amp;$J1654+7),0))</f>
        <v/>
      </c>
      <c r="F1654">
        <f>IF($J1654="","",IFERROR(SUMIFS('Weekly Log'!$F:$F,'Weekly Log'!$A:$A,"&gt;="&amp;$J1654,'Weekly Log'!$A:$A,"&lt;"&amp;$J1654+7)/SUMIFS('Weekly Log'!$E:$E,'Weekly Log'!$A:$A,"&gt;="&amp;$J1654,'Weekly Log'!$A:$A,"&lt;"&amp;$J1654+7),0))</f>
        <v/>
      </c>
      <c r="G1654">
        <f>IF($J1654="","",IFERROR(LOOKUP(2,1/(('Weekly Log'!$A$5:$A$5000&gt;=$J1654)*('Weekly Log'!$A$5:$A$5000&lt;$J1654+7)*('Weekly Log'!$M$5:$M$5000&lt;&gt;"")),'Weekly Log'!$M$5:$M$5000),0))</f>
        <v/>
      </c>
      <c r="J1654">
        <f>IF(COUNT('Weekly Log'!$A$5:$A$5000)=0,"",IF(MIN('Weekly Log'!$A$5:$A$5000)+7*(ROW()-10)&gt;MAX('Weekly Log'!$A$5:$A$5000),"",MIN('Weekly Log'!$A$5:$A$5000)+7*(ROW()-10)))</f>
        <v/>
      </c>
    </row>
    <row r="1655">
      <c r="A1655">
        <f>IF($J1655="","",YEAR($J1655-WEEKDAY($J1655,2)+4)&amp;"-W"&amp;TEXT(WEEKNUM($J1655,21),"00"))</f>
        <v/>
      </c>
      <c r="B1655">
        <f>IF($J1655="","",SUMIFS('Weekly Log'!$C:$C,'Weekly Log'!$A:$A,"&gt;="&amp;$J1655,'Weekly Log'!$A:$A,"&lt;"&amp;$J1655+7))</f>
        <v/>
      </c>
      <c r="C1655">
        <f>IF($J1655="","",IFERROR(COUNTIFS('Weekly Log'!$G:$G,"Y",'Weekly Log'!$A:$A,"&gt;="&amp;$J1655,'Weekly Log'!$A:$A,"&lt;"&amp;$J1655+7)/COUNTIFS('Weekly Log'!$G:$G,"&lt;&gt;",'Weekly Log'!$A:$A,"&gt;="&amp;$J1655,'Weekly Log'!$A:$A,"&lt;"&amp;$J1655+7),0))</f>
        <v/>
      </c>
      <c r="D1655">
        <f>IF($J1655="","",IFERROR(COUNTIFS('Weekly Log'!$H:$H,"Y",'Weekly Log'!$A:$A,"&gt;="&amp;$J1655,'Weekly Log'!$A:$A,"&lt;"&amp;$J1655+7)/COUNTIFS('Weekly Log'!$H:$H,"&lt;&gt;",'Weekly Log'!$A:$A,"&gt;="&amp;$J1655,'Weekly Log'!$A:$A,"&lt;"&amp;$J1655+7),0))</f>
        <v/>
      </c>
      <c r="E1655">
        <f>IF($J1655="","",IFERROR(AVERAGEIFS('Weekly Log'!$F:$F,'Weekly Log'!$A:$A,"&gt;="&amp;$J1655,'Weekly Log'!$A:$A,"&lt;"&amp;$J1655+7),0))</f>
        <v/>
      </c>
      <c r="F1655">
        <f>IF($J1655="","",IFERROR(SUMIFS('Weekly Log'!$F:$F,'Weekly Log'!$A:$A,"&gt;="&amp;$J1655,'Weekly Log'!$A:$A,"&lt;"&amp;$J1655+7)/SUMIFS('Weekly Log'!$E:$E,'Weekly Log'!$A:$A,"&gt;="&amp;$J1655,'Weekly Log'!$A:$A,"&lt;"&amp;$J1655+7),0))</f>
        <v/>
      </c>
      <c r="G1655">
        <f>IF($J1655="","",IFERROR(LOOKUP(2,1/(('Weekly Log'!$A$5:$A$5000&gt;=$J1655)*('Weekly Log'!$A$5:$A$5000&lt;$J1655+7)*('Weekly Log'!$M$5:$M$5000&lt;&gt;"")),'Weekly Log'!$M$5:$M$5000),0))</f>
        <v/>
      </c>
      <c r="J1655">
        <f>IF(COUNT('Weekly Log'!$A$5:$A$5000)=0,"",IF(MIN('Weekly Log'!$A$5:$A$5000)+7*(ROW()-10)&gt;MAX('Weekly Log'!$A$5:$A$5000),"",MIN('Weekly Log'!$A$5:$A$5000)+7*(ROW()-10)))</f>
        <v/>
      </c>
    </row>
    <row r="1656">
      <c r="A1656">
        <f>IF($J1656="","",YEAR($J1656-WEEKDAY($J1656,2)+4)&amp;"-W"&amp;TEXT(WEEKNUM($J1656,21),"00"))</f>
        <v/>
      </c>
      <c r="B1656">
        <f>IF($J1656="","",SUMIFS('Weekly Log'!$C:$C,'Weekly Log'!$A:$A,"&gt;="&amp;$J1656,'Weekly Log'!$A:$A,"&lt;"&amp;$J1656+7))</f>
        <v/>
      </c>
      <c r="C1656">
        <f>IF($J1656="","",IFERROR(COUNTIFS('Weekly Log'!$G:$G,"Y",'Weekly Log'!$A:$A,"&gt;="&amp;$J1656,'Weekly Log'!$A:$A,"&lt;"&amp;$J1656+7)/COUNTIFS('Weekly Log'!$G:$G,"&lt;&gt;",'Weekly Log'!$A:$A,"&gt;="&amp;$J1656,'Weekly Log'!$A:$A,"&lt;"&amp;$J1656+7),0))</f>
        <v/>
      </c>
      <c r="D1656">
        <f>IF($J1656="","",IFERROR(COUNTIFS('Weekly Log'!$H:$H,"Y",'Weekly Log'!$A:$A,"&gt;="&amp;$J1656,'Weekly Log'!$A:$A,"&lt;"&amp;$J1656+7)/COUNTIFS('Weekly Log'!$H:$H,"&lt;&gt;",'Weekly Log'!$A:$A,"&gt;="&amp;$J1656,'Weekly Log'!$A:$A,"&lt;"&amp;$J1656+7),0))</f>
        <v/>
      </c>
      <c r="E1656">
        <f>IF($J1656="","",IFERROR(AVERAGEIFS('Weekly Log'!$F:$F,'Weekly Log'!$A:$A,"&gt;="&amp;$J1656,'Weekly Log'!$A:$A,"&lt;"&amp;$J1656+7),0))</f>
        <v/>
      </c>
      <c r="F1656">
        <f>IF($J1656="","",IFERROR(SUMIFS('Weekly Log'!$F:$F,'Weekly Log'!$A:$A,"&gt;="&amp;$J1656,'Weekly Log'!$A:$A,"&lt;"&amp;$J1656+7)/SUMIFS('Weekly Log'!$E:$E,'Weekly Log'!$A:$A,"&gt;="&amp;$J1656,'Weekly Log'!$A:$A,"&lt;"&amp;$J1656+7),0))</f>
        <v/>
      </c>
      <c r="G1656">
        <f>IF($J1656="","",IFERROR(LOOKUP(2,1/(('Weekly Log'!$A$5:$A$5000&gt;=$J1656)*('Weekly Log'!$A$5:$A$5000&lt;$J1656+7)*('Weekly Log'!$M$5:$M$5000&lt;&gt;"")),'Weekly Log'!$M$5:$M$5000),0))</f>
        <v/>
      </c>
      <c r="J1656">
        <f>IF(COUNT('Weekly Log'!$A$5:$A$5000)=0,"",IF(MIN('Weekly Log'!$A$5:$A$5000)+7*(ROW()-10)&gt;MAX('Weekly Log'!$A$5:$A$5000),"",MIN('Weekly Log'!$A$5:$A$5000)+7*(ROW()-10)))</f>
        <v/>
      </c>
    </row>
    <row r="1657">
      <c r="A1657">
        <f>IF($J1657="","",YEAR($J1657-WEEKDAY($J1657,2)+4)&amp;"-W"&amp;TEXT(WEEKNUM($J1657,21),"00"))</f>
        <v/>
      </c>
      <c r="B1657">
        <f>IF($J1657="","",SUMIFS('Weekly Log'!$C:$C,'Weekly Log'!$A:$A,"&gt;="&amp;$J1657,'Weekly Log'!$A:$A,"&lt;"&amp;$J1657+7))</f>
        <v/>
      </c>
      <c r="C1657">
        <f>IF($J1657="","",IFERROR(COUNTIFS('Weekly Log'!$G:$G,"Y",'Weekly Log'!$A:$A,"&gt;="&amp;$J1657,'Weekly Log'!$A:$A,"&lt;"&amp;$J1657+7)/COUNTIFS('Weekly Log'!$G:$G,"&lt;&gt;",'Weekly Log'!$A:$A,"&gt;="&amp;$J1657,'Weekly Log'!$A:$A,"&lt;"&amp;$J1657+7),0))</f>
        <v/>
      </c>
      <c r="D1657">
        <f>IF($J1657="","",IFERROR(COUNTIFS('Weekly Log'!$H:$H,"Y",'Weekly Log'!$A:$A,"&gt;="&amp;$J1657,'Weekly Log'!$A:$A,"&lt;"&amp;$J1657+7)/COUNTIFS('Weekly Log'!$H:$H,"&lt;&gt;",'Weekly Log'!$A:$A,"&gt;="&amp;$J1657,'Weekly Log'!$A:$A,"&lt;"&amp;$J1657+7),0))</f>
        <v/>
      </c>
      <c r="E1657">
        <f>IF($J1657="","",IFERROR(AVERAGEIFS('Weekly Log'!$F:$F,'Weekly Log'!$A:$A,"&gt;="&amp;$J1657,'Weekly Log'!$A:$A,"&lt;"&amp;$J1657+7),0))</f>
        <v/>
      </c>
      <c r="F1657">
        <f>IF($J1657="","",IFERROR(SUMIFS('Weekly Log'!$F:$F,'Weekly Log'!$A:$A,"&gt;="&amp;$J1657,'Weekly Log'!$A:$A,"&lt;"&amp;$J1657+7)/SUMIFS('Weekly Log'!$E:$E,'Weekly Log'!$A:$A,"&gt;="&amp;$J1657,'Weekly Log'!$A:$A,"&lt;"&amp;$J1657+7),0))</f>
        <v/>
      </c>
      <c r="G1657">
        <f>IF($J1657="","",IFERROR(LOOKUP(2,1/(('Weekly Log'!$A$5:$A$5000&gt;=$J1657)*('Weekly Log'!$A$5:$A$5000&lt;$J1657+7)*('Weekly Log'!$M$5:$M$5000&lt;&gt;"")),'Weekly Log'!$M$5:$M$5000),0))</f>
        <v/>
      </c>
      <c r="J1657">
        <f>IF(COUNT('Weekly Log'!$A$5:$A$5000)=0,"",IF(MIN('Weekly Log'!$A$5:$A$5000)+7*(ROW()-10)&gt;MAX('Weekly Log'!$A$5:$A$5000),"",MIN('Weekly Log'!$A$5:$A$5000)+7*(ROW()-10)))</f>
        <v/>
      </c>
    </row>
    <row r="1658">
      <c r="A1658">
        <f>IF($J1658="","",YEAR($J1658-WEEKDAY($J1658,2)+4)&amp;"-W"&amp;TEXT(WEEKNUM($J1658,21),"00"))</f>
        <v/>
      </c>
      <c r="B1658">
        <f>IF($J1658="","",SUMIFS('Weekly Log'!$C:$C,'Weekly Log'!$A:$A,"&gt;="&amp;$J1658,'Weekly Log'!$A:$A,"&lt;"&amp;$J1658+7))</f>
        <v/>
      </c>
      <c r="C1658">
        <f>IF($J1658="","",IFERROR(COUNTIFS('Weekly Log'!$G:$G,"Y",'Weekly Log'!$A:$A,"&gt;="&amp;$J1658,'Weekly Log'!$A:$A,"&lt;"&amp;$J1658+7)/COUNTIFS('Weekly Log'!$G:$G,"&lt;&gt;",'Weekly Log'!$A:$A,"&gt;="&amp;$J1658,'Weekly Log'!$A:$A,"&lt;"&amp;$J1658+7),0))</f>
        <v/>
      </c>
      <c r="D1658">
        <f>IF($J1658="","",IFERROR(COUNTIFS('Weekly Log'!$H:$H,"Y",'Weekly Log'!$A:$A,"&gt;="&amp;$J1658,'Weekly Log'!$A:$A,"&lt;"&amp;$J1658+7)/COUNTIFS('Weekly Log'!$H:$H,"&lt;&gt;",'Weekly Log'!$A:$A,"&gt;="&amp;$J1658,'Weekly Log'!$A:$A,"&lt;"&amp;$J1658+7),0))</f>
        <v/>
      </c>
      <c r="E1658">
        <f>IF($J1658="","",IFERROR(AVERAGEIFS('Weekly Log'!$F:$F,'Weekly Log'!$A:$A,"&gt;="&amp;$J1658,'Weekly Log'!$A:$A,"&lt;"&amp;$J1658+7),0))</f>
        <v/>
      </c>
      <c r="F1658">
        <f>IF($J1658="","",IFERROR(SUMIFS('Weekly Log'!$F:$F,'Weekly Log'!$A:$A,"&gt;="&amp;$J1658,'Weekly Log'!$A:$A,"&lt;"&amp;$J1658+7)/SUMIFS('Weekly Log'!$E:$E,'Weekly Log'!$A:$A,"&gt;="&amp;$J1658,'Weekly Log'!$A:$A,"&lt;"&amp;$J1658+7),0))</f>
        <v/>
      </c>
      <c r="G1658">
        <f>IF($J1658="","",IFERROR(LOOKUP(2,1/(('Weekly Log'!$A$5:$A$5000&gt;=$J1658)*('Weekly Log'!$A$5:$A$5000&lt;$J1658+7)*('Weekly Log'!$M$5:$M$5000&lt;&gt;"")),'Weekly Log'!$M$5:$M$5000),0))</f>
        <v/>
      </c>
      <c r="J1658">
        <f>IF(COUNT('Weekly Log'!$A$5:$A$5000)=0,"",IF(MIN('Weekly Log'!$A$5:$A$5000)+7*(ROW()-10)&gt;MAX('Weekly Log'!$A$5:$A$5000),"",MIN('Weekly Log'!$A$5:$A$5000)+7*(ROW()-10)))</f>
        <v/>
      </c>
    </row>
    <row r="1659">
      <c r="A1659">
        <f>IF($J1659="","",YEAR($J1659-WEEKDAY($J1659,2)+4)&amp;"-W"&amp;TEXT(WEEKNUM($J1659,21),"00"))</f>
        <v/>
      </c>
      <c r="B1659">
        <f>IF($J1659="","",SUMIFS('Weekly Log'!$C:$C,'Weekly Log'!$A:$A,"&gt;="&amp;$J1659,'Weekly Log'!$A:$A,"&lt;"&amp;$J1659+7))</f>
        <v/>
      </c>
      <c r="C1659">
        <f>IF($J1659="","",IFERROR(COUNTIFS('Weekly Log'!$G:$G,"Y",'Weekly Log'!$A:$A,"&gt;="&amp;$J1659,'Weekly Log'!$A:$A,"&lt;"&amp;$J1659+7)/COUNTIFS('Weekly Log'!$G:$G,"&lt;&gt;",'Weekly Log'!$A:$A,"&gt;="&amp;$J1659,'Weekly Log'!$A:$A,"&lt;"&amp;$J1659+7),0))</f>
        <v/>
      </c>
      <c r="D1659">
        <f>IF($J1659="","",IFERROR(COUNTIFS('Weekly Log'!$H:$H,"Y",'Weekly Log'!$A:$A,"&gt;="&amp;$J1659,'Weekly Log'!$A:$A,"&lt;"&amp;$J1659+7)/COUNTIFS('Weekly Log'!$H:$H,"&lt;&gt;",'Weekly Log'!$A:$A,"&gt;="&amp;$J1659,'Weekly Log'!$A:$A,"&lt;"&amp;$J1659+7),0))</f>
        <v/>
      </c>
      <c r="E1659">
        <f>IF($J1659="","",IFERROR(AVERAGEIFS('Weekly Log'!$F:$F,'Weekly Log'!$A:$A,"&gt;="&amp;$J1659,'Weekly Log'!$A:$A,"&lt;"&amp;$J1659+7),0))</f>
        <v/>
      </c>
      <c r="F1659">
        <f>IF($J1659="","",IFERROR(SUMIFS('Weekly Log'!$F:$F,'Weekly Log'!$A:$A,"&gt;="&amp;$J1659,'Weekly Log'!$A:$A,"&lt;"&amp;$J1659+7)/SUMIFS('Weekly Log'!$E:$E,'Weekly Log'!$A:$A,"&gt;="&amp;$J1659,'Weekly Log'!$A:$A,"&lt;"&amp;$J1659+7),0))</f>
        <v/>
      </c>
      <c r="G1659">
        <f>IF($J1659="","",IFERROR(LOOKUP(2,1/(('Weekly Log'!$A$5:$A$5000&gt;=$J1659)*('Weekly Log'!$A$5:$A$5000&lt;$J1659+7)*('Weekly Log'!$M$5:$M$5000&lt;&gt;"")),'Weekly Log'!$M$5:$M$5000),0))</f>
        <v/>
      </c>
      <c r="J1659">
        <f>IF(COUNT('Weekly Log'!$A$5:$A$5000)=0,"",IF(MIN('Weekly Log'!$A$5:$A$5000)+7*(ROW()-10)&gt;MAX('Weekly Log'!$A$5:$A$5000),"",MIN('Weekly Log'!$A$5:$A$5000)+7*(ROW()-10)))</f>
        <v/>
      </c>
    </row>
    <row r="1660">
      <c r="A1660">
        <f>IF($J1660="","",YEAR($J1660-WEEKDAY($J1660,2)+4)&amp;"-W"&amp;TEXT(WEEKNUM($J1660,21),"00"))</f>
        <v/>
      </c>
      <c r="B1660">
        <f>IF($J1660="","",SUMIFS('Weekly Log'!$C:$C,'Weekly Log'!$A:$A,"&gt;="&amp;$J1660,'Weekly Log'!$A:$A,"&lt;"&amp;$J1660+7))</f>
        <v/>
      </c>
      <c r="C1660">
        <f>IF($J1660="","",IFERROR(COUNTIFS('Weekly Log'!$G:$G,"Y",'Weekly Log'!$A:$A,"&gt;="&amp;$J1660,'Weekly Log'!$A:$A,"&lt;"&amp;$J1660+7)/COUNTIFS('Weekly Log'!$G:$G,"&lt;&gt;",'Weekly Log'!$A:$A,"&gt;="&amp;$J1660,'Weekly Log'!$A:$A,"&lt;"&amp;$J1660+7),0))</f>
        <v/>
      </c>
      <c r="D1660">
        <f>IF($J1660="","",IFERROR(COUNTIFS('Weekly Log'!$H:$H,"Y",'Weekly Log'!$A:$A,"&gt;="&amp;$J1660,'Weekly Log'!$A:$A,"&lt;"&amp;$J1660+7)/COUNTIFS('Weekly Log'!$H:$H,"&lt;&gt;",'Weekly Log'!$A:$A,"&gt;="&amp;$J1660,'Weekly Log'!$A:$A,"&lt;"&amp;$J1660+7),0))</f>
        <v/>
      </c>
      <c r="E1660">
        <f>IF($J1660="","",IFERROR(AVERAGEIFS('Weekly Log'!$F:$F,'Weekly Log'!$A:$A,"&gt;="&amp;$J1660,'Weekly Log'!$A:$A,"&lt;"&amp;$J1660+7),0))</f>
        <v/>
      </c>
      <c r="F1660">
        <f>IF($J1660="","",IFERROR(SUMIFS('Weekly Log'!$F:$F,'Weekly Log'!$A:$A,"&gt;="&amp;$J1660,'Weekly Log'!$A:$A,"&lt;"&amp;$J1660+7)/SUMIFS('Weekly Log'!$E:$E,'Weekly Log'!$A:$A,"&gt;="&amp;$J1660,'Weekly Log'!$A:$A,"&lt;"&amp;$J1660+7),0))</f>
        <v/>
      </c>
      <c r="G1660">
        <f>IF($J1660="","",IFERROR(LOOKUP(2,1/(('Weekly Log'!$A$5:$A$5000&gt;=$J1660)*('Weekly Log'!$A$5:$A$5000&lt;$J1660+7)*('Weekly Log'!$M$5:$M$5000&lt;&gt;"")),'Weekly Log'!$M$5:$M$5000),0))</f>
        <v/>
      </c>
      <c r="J1660">
        <f>IF(COUNT('Weekly Log'!$A$5:$A$5000)=0,"",IF(MIN('Weekly Log'!$A$5:$A$5000)+7*(ROW()-10)&gt;MAX('Weekly Log'!$A$5:$A$5000),"",MIN('Weekly Log'!$A$5:$A$5000)+7*(ROW()-10)))</f>
        <v/>
      </c>
    </row>
    <row r="1661">
      <c r="A1661">
        <f>IF($J1661="","",YEAR($J1661-WEEKDAY($J1661,2)+4)&amp;"-W"&amp;TEXT(WEEKNUM($J1661,21),"00"))</f>
        <v/>
      </c>
      <c r="B1661">
        <f>IF($J1661="","",SUMIFS('Weekly Log'!$C:$C,'Weekly Log'!$A:$A,"&gt;="&amp;$J1661,'Weekly Log'!$A:$A,"&lt;"&amp;$J1661+7))</f>
        <v/>
      </c>
      <c r="C1661">
        <f>IF($J1661="","",IFERROR(COUNTIFS('Weekly Log'!$G:$G,"Y",'Weekly Log'!$A:$A,"&gt;="&amp;$J1661,'Weekly Log'!$A:$A,"&lt;"&amp;$J1661+7)/COUNTIFS('Weekly Log'!$G:$G,"&lt;&gt;",'Weekly Log'!$A:$A,"&gt;="&amp;$J1661,'Weekly Log'!$A:$A,"&lt;"&amp;$J1661+7),0))</f>
        <v/>
      </c>
      <c r="D1661">
        <f>IF($J1661="","",IFERROR(COUNTIFS('Weekly Log'!$H:$H,"Y",'Weekly Log'!$A:$A,"&gt;="&amp;$J1661,'Weekly Log'!$A:$A,"&lt;"&amp;$J1661+7)/COUNTIFS('Weekly Log'!$H:$H,"&lt;&gt;",'Weekly Log'!$A:$A,"&gt;="&amp;$J1661,'Weekly Log'!$A:$A,"&lt;"&amp;$J1661+7),0))</f>
        <v/>
      </c>
      <c r="E1661">
        <f>IF($J1661="","",IFERROR(AVERAGEIFS('Weekly Log'!$F:$F,'Weekly Log'!$A:$A,"&gt;="&amp;$J1661,'Weekly Log'!$A:$A,"&lt;"&amp;$J1661+7),0))</f>
        <v/>
      </c>
      <c r="F1661">
        <f>IF($J1661="","",IFERROR(SUMIFS('Weekly Log'!$F:$F,'Weekly Log'!$A:$A,"&gt;="&amp;$J1661,'Weekly Log'!$A:$A,"&lt;"&amp;$J1661+7)/SUMIFS('Weekly Log'!$E:$E,'Weekly Log'!$A:$A,"&gt;="&amp;$J1661,'Weekly Log'!$A:$A,"&lt;"&amp;$J1661+7),0))</f>
        <v/>
      </c>
      <c r="G1661">
        <f>IF($J1661="","",IFERROR(LOOKUP(2,1/(('Weekly Log'!$A$5:$A$5000&gt;=$J1661)*('Weekly Log'!$A$5:$A$5000&lt;$J1661+7)*('Weekly Log'!$M$5:$M$5000&lt;&gt;"")),'Weekly Log'!$M$5:$M$5000),0))</f>
        <v/>
      </c>
      <c r="J1661">
        <f>IF(COUNT('Weekly Log'!$A$5:$A$5000)=0,"",IF(MIN('Weekly Log'!$A$5:$A$5000)+7*(ROW()-10)&gt;MAX('Weekly Log'!$A$5:$A$5000),"",MIN('Weekly Log'!$A$5:$A$5000)+7*(ROW()-10)))</f>
        <v/>
      </c>
    </row>
    <row r="1662">
      <c r="A1662">
        <f>IF($J1662="","",YEAR($J1662-WEEKDAY($J1662,2)+4)&amp;"-W"&amp;TEXT(WEEKNUM($J1662,21),"00"))</f>
        <v/>
      </c>
      <c r="B1662">
        <f>IF($J1662="","",SUMIFS('Weekly Log'!$C:$C,'Weekly Log'!$A:$A,"&gt;="&amp;$J1662,'Weekly Log'!$A:$A,"&lt;"&amp;$J1662+7))</f>
        <v/>
      </c>
      <c r="C1662">
        <f>IF($J1662="","",IFERROR(COUNTIFS('Weekly Log'!$G:$G,"Y",'Weekly Log'!$A:$A,"&gt;="&amp;$J1662,'Weekly Log'!$A:$A,"&lt;"&amp;$J1662+7)/COUNTIFS('Weekly Log'!$G:$G,"&lt;&gt;",'Weekly Log'!$A:$A,"&gt;="&amp;$J1662,'Weekly Log'!$A:$A,"&lt;"&amp;$J1662+7),0))</f>
        <v/>
      </c>
      <c r="D1662">
        <f>IF($J1662="","",IFERROR(COUNTIFS('Weekly Log'!$H:$H,"Y",'Weekly Log'!$A:$A,"&gt;="&amp;$J1662,'Weekly Log'!$A:$A,"&lt;"&amp;$J1662+7)/COUNTIFS('Weekly Log'!$H:$H,"&lt;&gt;",'Weekly Log'!$A:$A,"&gt;="&amp;$J1662,'Weekly Log'!$A:$A,"&lt;"&amp;$J1662+7),0))</f>
        <v/>
      </c>
      <c r="E1662">
        <f>IF($J1662="","",IFERROR(AVERAGEIFS('Weekly Log'!$F:$F,'Weekly Log'!$A:$A,"&gt;="&amp;$J1662,'Weekly Log'!$A:$A,"&lt;"&amp;$J1662+7),0))</f>
        <v/>
      </c>
      <c r="F1662">
        <f>IF($J1662="","",IFERROR(SUMIFS('Weekly Log'!$F:$F,'Weekly Log'!$A:$A,"&gt;="&amp;$J1662,'Weekly Log'!$A:$A,"&lt;"&amp;$J1662+7)/SUMIFS('Weekly Log'!$E:$E,'Weekly Log'!$A:$A,"&gt;="&amp;$J1662,'Weekly Log'!$A:$A,"&lt;"&amp;$J1662+7),0))</f>
        <v/>
      </c>
      <c r="G1662">
        <f>IF($J1662="","",IFERROR(LOOKUP(2,1/(('Weekly Log'!$A$5:$A$5000&gt;=$J1662)*('Weekly Log'!$A$5:$A$5000&lt;$J1662+7)*('Weekly Log'!$M$5:$M$5000&lt;&gt;"")),'Weekly Log'!$M$5:$M$5000),0))</f>
        <v/>
      </c>
      <c r="J1662">
        <f>IF(COUNT('Weekly Log'!$A$5:$A$5000)=0,"",IF(MIN('Weekly Log'!$A$5:$A$5000)+7*(ROW()-10)&gt;MAX('Weekly Log'!$A$5:$A$5000),"",MIN('Weekly Log'!$A$5:$A$5000)+7*(ROW()-10)))</f>
        <v/>
      </c>
    </row>
    <row r="1663">
      <c r="A1663">
        <f>IF($J1663="","",YEAR($J1663-WEEKDAY($J1663,2)+4)&amp;"-W"&amp;TEXT(WEEKNUM($J1663,21),"00"))</f>
        <v/>
      </c>
      <c r="B1663">
        <f>IF($J1663="","",SUMIFS('Weekly Log'!$C:$C,'Weekly Log'!$A:$A,"&gt;="&amp;$J1663,'Weekly Log'!$A:$A,"&lt;"&amp;$J1663+7))</f>
        <v/>
      </c>
      <c r="C1663">
        <f>IF($J1663="","",IFERROR(COUNTIFS('Weekly Log'!$G:$G,"Y",'Weekly Log'!$A:$A,"&gt;="&amp;$J1663,'Weekly Log'!$A:$A,"&lt;"&amp;$J1663+7)/COUNTIFS('Weekly Log'!$G:$G,"&lt;&gt;",'Weekly Log'!$A:$A,"&gt;="&amp;$J1663,'Weekly Log'!$A:$A,"&lt;"&amp;$J1663+7),0))</f>
        <v/>
      </c>
      <c r="D1663">
        <f>IF($J1663="","",IFERROR(COUNTIFS('Weekly Log'!$H:$H,"Y",'Weekly Log'!$A:$A,"&gt;="&amp;$J1663,'Weekly Log'!$A:$A,"&lt;"&amp;$J1663+7)/COUNTIFS('Weekly Log'!$H:$H,"&lt;&gt;",'Weekly Log'!$A:$A,"&gt;="&amp;$J1663,'Weekly Log'!$A:$A,"&lt;"&amp;$J1663+7),0))</f>
        <v/>
      </c>
      <c r="E1663">
        <f>IF($J1663="","",IFERROR(AVERAGEIFS('Weekly Log'!$F:$F,'Weekly Log'!$A:$A,"&gt;="&amp;$J1663,'Weekly Log'!$A:$A,"&lt;"&amp;$J1663+7),0))</f>
        <v/>
      </c>
      <c r="F1663">
        <f>IF($J1663="","",IFERROR(SUMIFS('Weekly Log'!$F:$F,'Weekly Log'!$A:$A,"&gt;="&amp;$J1663,'Weekly Log'!$A:$A,"&lt;"&amp;$J1663+7)/SUMIFS('Weekly Log'!$E:$E,'Weekly Log'!$A:$A,"&gt;="&amp;$J1663,'Weekly Log'!$A:$A,"&lt;"&amp;$J1663+7),0))</f>
        <v/>
      </c>
      <c r="G1663">
        <f>IF($J1663="","",IFERROR(LOOKUP(2,1/(('Weekly Log'!$A$5:$A$5000&gt;=$J1663)*('Weekly Log'!$A$5:$A$5000&lt;$J1663+7)*('Weekly Log'!$M$5:$M$5000&lt;&gt;"")),'Weekly Log'!$M$5:$M$5000),0))</f>
        <v/>
      </c>
      <c r="J1663">
        <f>IF(COUNT('Weekly Log'!$A$5:$A$5000)=0,"",IF(MIN('Weekly Log'!$A$5:$A$5000)+7*(ROW()-10)&gt;MAX('Weekly Log'!$A$5:$A$5000),"",MIN('Weekly Log'!$A$5:$A$5000)+7*(ROW()-10)))</f>
        <v/>
      </c>
    </row>
    <row r="1664">
      <c r="A1664">
        <f>IF($J1664="","",YEAR($J1664-WEEKDAY($J1664,2)+4)&amp;"-W"&amp;TEXT(WEEKNUM($J1664,21),"00"))</f>
        <v/>
      </c>
      <c r="B1664">
        <f>IF($J1664="","",SUMIFS('Weekly Log'!$C:$C,'Weekly Log'!$A:$A,"&gt;="&amp;$J1664,'Weekly Log'!$A:$A,"&lt;"&amp;$J1664+7))</f>
        <v/>
      </c>
      <c r="C1664">
        <f>IF($J1664="","",IFERROR(COUNTIFS('Weekly Log'!$G:$G,"Y",'Weekly Log'!$A:$A,"&gt;="&amp;$J1664,'Weekly Log'!$A:$A,"&lt;"&amp;$J1664+7)/COUNTIFS('Weekly Log'!$G:$G,"&lt;&gt;",'Weekly Log'!$A:$A,"&gt;="&amp;$J1664,'Weekly Log'!$A:$A,"&lt;"&amp;$J1664+7),0))</f>
        <v/>
      </c>
      <c r="D1664">
        <f>IF($J1664="","",IFERROR(COUNTIFS('Weekly Log'!$H:$H,"Y",'Weekly Log'!$A:$A,"&gt;="&amp;$J1664,'Weekly Log'!$A:$A,"&lt;"&amp;$J1664+7)/COUNTIFS('Weekly Log'!$H:$H,"&lt;&gt;",'Weekly Log'!$A:$A,"&gt;="&amp;$J1664,'Weekly Log'!$A:$A,"&lt;"&amp;$J1664+7),0))</f>
        <v/>
      </c>
      <c r="E1664">
        <f>IF($J1664="","",IFERROR(AVERAGEIFS('Weekly Log'!$F:$F,'Weekly Log'!$A:$A,"&gt;="&amp;$J1664,'Weekly Log'!$A:$A,"&lt;"&amp;$J1664+7),0))</f>
        <v/>
      </c>
      <c r="F1664">
        <f>IF($J1664="","",IFERROR(SUMIFS('Weekly Log'!$F:$F,'Weekly Log'!$A:$A,"&gt;="&amp;$J1664,'Weekly Log'!$A:$A,"&lt;"&amp;$J1664+7)/SUMIFS('Weekly Log'!$E:$E,'Weekly Log'!$A:$A,"&gt;="&amp;$J1664,'Weekly Log'!$A:$A,"&lt;"&amp;$J1664+7),0))</f>
        <v/>
      </c>
      <c r="G1664">
        <f>IF($J1664="","",IFERROR(LOOKUP(2,1/(('Weekly Log'!$A$5:$A$5000&gt;=$J1664)*('Weekly Log'!$A$5:$A$5000&lt;$J1664+7)*('Weekly Log'!$M$5:$M$5000&lt;&gt;"")),'Weekly Log'!$M$5:$M$5000),0))</f>
        <v/>
      </c>
      <c r="J1664">
        <f>IF(COUNT('Weekly Log'!$A$5:$A$5000)=0,"",IF(MIN('Weekly Log'!$A$5:$A$5000)+7*(ROW()-10)&gt;MAX('Weekly Log'!$A$5:$A$5000),"",MIN('Weekly Log'!$A$5:$A$5000)+7*(ROW()-10)))</f>
        <v/>
      </c>
    </row>
    <row r="1665">
      <c r="A1665">
        <f>IF($J1665="","",YEAR($J1665-WEEKDAY($J1665,2)+4)&amp;"-W"&amp;TEXT(WEEKNUM($J1665,21),"00"))</f>
        <v/>
      </c>
      <c r="B1665">
        <f>IF($J1665="","",SUMIFS('Weekly Log'!$C:$C,'Weekly Log'!$A:$A,"&gt;="&amp;$J1665,'Weekly Log'!$A:$A,"&lt;"&amp;$J1665+7))</f>
        <v/>
      </c>
      <c r="C1665">
        <f>IF($J1665="","",IFERROR(COUNTIFS('Weekly Log'!$G:$G,"Y",'Weekly Log'!$A:$A,"&gt;="&amp;$J1665,'Weekly Log'!$A:$A,"&lt;"&amp;$J1665+7)/COUNTIFS('Weekly Log'!$G:$G,"&lt;&gt;",'Weekly Log'!$A:$A,"&gt;="&amp;$J1665,'Weekly Log'!$A:$A,"&lt;"&amp;$J1665+7),0))</f>
        <v/>
      </c>
      <c r="D1665">
        <f>IF($J1665="","",IFERROR(COUNTIFS('Weekly Log'!$H:$H,"Y",'Weekly Log'!$A:$A,"&gt;="&amp;$J1665,'Weekly Log'!$A:$A,"&lt;"&amp;$J1665+7)/COUNTIFS('Weekly Log'!$H:$H,"&lt;&gt;",'Weekly Log'!$A:$A,"&gt;="&amp;$J1665,'Weekly Log'!$A:$A,"&lt;"&amp;$J1665+7),0))</f>
        <v/>
      </c>
      <c r="E1665">
        <f>IF($J1665="","",IFERROR(AVERAGEIFS('Weekly Log'!$F:$F,'Weekly Log'!$A:$A,"&gt;="&amp;$J1665,'Weekly Log'!$A:$A,"&lt;"&amp;$J1665+7),0))</f>
        <v/>
      </c>
      <c r="F1665">
        <f>IF($J1665="","",IFERROR(SUMIFS('Weekly Log'!$F:$F,'Weekly Log'!$A:$A,"&gt;="&amp;$J1665,'Weekly Log'!$A:$A,"&lt;"&amp;$J1665+7)/SUMIFS('Weekly Log'!$E:$E,'Weekly Log'!$A:$A,"&gt;="&amp;$J1665,'Weekly Log'!$A:$A,"&lt;"&amp;$J1665+7),0))</f>
        <v/>
      </c>
      <c r="G1665">
        <f>IF($J1665="","",IFERROR(LOOKUP(2,1/(('Weekly Log'!$A$5:$A$5000&gt;=$J1665)*('Weekly Log'!$A$5:$A$5000&lt;$J1665+7)*('Weekly Log'!$M$5:$M$5000&lt;&gt;"")),'Weekly Log'!$M$5:$M$5000),0))</f>
        <v/>
      </c>
      <c r="J1665">
        <f>IF(COUNT('Weekly Log'!$A$5:$A$5000)=0,"",IF(MIN('Weekly Log'!$A$5:$A$5000)+7*(ROW()-10)&gt;MAX('Weekly Log'!$A$5:$A$5000),"",MIN('Weekly Log'!$A$5:$A$5000)+7*(ROW()-10)))</f>
        <v/>
      </c>
    </row>
    <row r="1666">
      <c r="A1666">
        <f>IF($J1666="","",YEAR($J1666-WEEKDAY($J1666,2)+4)&amp;"-W"&amp;TEXT(WEEKNUM($J1666,21),"00"))</f>
        <v/>
      </c>
      <c r="B1666">
        <f>IF($J1666="","",SUMIFS('Weekly Log'!$C:$C,'Weekly Log'!$A:$A,"&gt;="&amp;$J1666,'Weekly Log'!$A:$A,"&lt;"&amp;$J1666+7))</f>
        <v/>
      </c>
      <c r="C1666">
        <f>IF($J1666="","",IFERROR(COUNTIFS('Weekly Log'!$G:$G,"Y",'Weekly Log'!$A:$A,"&gt;="&amp;$J1666,'Weekly Log'!$A:$A,"&lt;"&amp;$J1666+7)/COUNTIFS('Weekly Log'!$G:$G,"&lt;&gt;",'Weekly Log'!$A:$A,"&gt;="&amp;$J1666,'Weekly Log'!$A:$A,"&lt;"&amp;$J1666+7),0))</f>
        <v/>
      </c>
      <c r="D1666">
        <f>IF($J1666="","",IFERROR(COUNTIFS('Weekly Log'!$H:$H,"Y",'Weekly Log'!$A:$A,"&gt;="&amp;$J1666,'Weekly Log'!$A:$A,"&lt;"&amp;$J1666+7)/COUNTIFS('Weekly Log'!$H:$H,"&lt;&gt;",'Weekly Log'!$A:$A,"&gt;="&amp;$J1666,'Weekly Log'!$A:$A,"&lt;"&amp;$J1666+7),0))</f>
        <v/>
      </c>
      <c r="E1666">
        <f>IF($J1666="","",IFERROR(AVERAGEIFS('Weekly Log'!$F:$F,'Weekly Log'!$A:$A,"&gt;="&amp;$J1666,'Weekly Log'!$A:$A,"&lt;"&amp;$J1666+7),0))</f>
        <v/>
      </c>
      <c r="F1666">
        <f>IF($J1666="","",IFERROR(SUMIFS('Weekly Log'!$F:$F,'Weekly Log'!$A:$A,"&gt;="&amp;$J1666,'Weekly Log'!$A:$A,"&lt;"&amp;$J1666+7)/SUMIFS('Weekly Log'!$E:$E,'Weekly Log'!$A:$A,"&gt;="&amp;$J1666,'Weekly Log'!$A:$A,"&lt;"&amp;$J1666+7),0))</f>
        <v/>
      </c>
      <c r="G1666">
        <f>IF($J1666="","",IFERROR(LOOKUP(2,1/(('Weekly Log'!$A$5:$A$5000&gt;=$J1666)*('Weekly Log'!$A$5:$A$5000&lt;$J1666+7)*('Weekly Log'!$M$5:$M$5000&lt;&gt;"")),'Weekly Log'!$M$5:$M$5000),0))</f>
        <v/>
      </c>
      <c r="J1666">
        <f>IF(COUNT('Weekly Log'!$A$5:$A$5000)=0,"",IF(MIN('Weekly Log'!$A$5:$A$5000)+7*(ROW()-10)&gt;MAX('Weekly Log'!$A$5:$A$5000),"",MIN('Weekly Log'!$A$5:$A$5000)+7*(ROW()-10)))</f>
        <v/>
      </c>
    </row>
    <row r="1667">
      <c r="A1667">
        <f>IF($J1667="","",YEAR($J1667-WEEKDAY($J1667,2)+4)&amp;"-W"&amp;TEXT(WEEKNUM($J1667,21),"00"))</f>
        <v/>
      </c>
      <c r="B1667">
        <f>IF($J1667="","",SUMIFS('Weekly Log'!$C:$C,'Weekly Log'!$A:$A,"&gt;="&amp;$J1667,'Weekly Log'!$A:$A,"&lt;"&amp;$J1667+7))</f>
        <v/>
      </c>
      <c r="C1667">
        <f>IF($J1667="","",IFERROR(COUNTIFS('Weekly Log'!$G:$G,"Y",'Weekly Log'!$A:$A,"&gt;="&amp;$J1667,'Weekly Log'!$A:$A,"&lt;"&amp;$J1667+7)/COUNTIFS('Weekly Log'!$G:$G,"&lt;&gt;",'Weekly Log'!$A:$A,"&gt;="&amp;$J1667,'Weekly Log'!$A:$A,"&lt;"&amp;$J1667+7),0))</f>
        <v/>
      </c>
      <c r="D1667">
        <f>IF($J1667="","",IFERROR(COUNTIFS('Weekly Log'!$H:$H,"Y",'Weekly Log'!$A:$A,"&gt;="&amp;$J1667,'Weekly Log'!$A:$A,"&lt;"&amp;$J1667+7)/COUNTIFS('Weekly Log'!$H:$H,"&lt;&gt;",'Weekly Log'!$A:$A,"&gt;="&amp;$J1667,'Weekly Log'!$A:$A,"&lt;"&amp;$J1667+7),0))</f>
        <v/>
      </c>
      <c r="E1667">
        <f>IF($J1667="","",IFERROR(AVERAGEIFS('Weekly Log'!$F:$F,'Weekly Log'!$A:$A,"&gt;="&amp;$J1667,'Weekly Log'!$A:$A,"&lt;"&amp;$J1667+7),0))</f>
        <v/>
      </c>
      <c r="F1667">
        <f>IF($J1667="","",IFERROR(SUMIFS('Weekly Log'!$F:$F,'Weekly Log'!$A:$A,"&gt;="&amp;$J1667,'Weekly Log'!$A:$A,"&lt;"&amp;$J1667+7)/SUMIFS('Weekly Log'!$E:$E,'Weekly Log'!$A:$A,"&gt;="&amp;$J1667,'Weekly Log'!$A:$A,"&lt;"&amp;$J1667+7),0))</f>
        <v/>
      </c>
      <c r="G1667">
        <f>IF($J1667="","",IFERROR(LOOKUP(2,1/(('Weekly Log'!$A$5:$A$5000&gt;=$J1667)*('Weekly Log'!$A$5:$A$5000&lt;$J1667+7)*('Weekly Log'!$M$5:$M$5000&lt;&gt;"")),'Weekly Log'!$M$5:$M$5000),0))</f>
        <v/>
      </c>
      <c r="J1667">
        <f>IF(COUNT('Weekly Log'!$A$5:$A$5000)=0,"",IF(MIN('Weekly Log'!$A$5:$A$5000)+7*(ROW()-10)&gt;MAX('Weekly Log'!$A$5:$A$5000),"",MIN('Weekly Log'!$A$5:$A$5000)+7*(ROW()-10)))</f>
        <v/>
      </c>
    </row>
    <row r="1668">
      <c r="A1668">
        <f>IF($J1668="","",YEAR($J1668-WEEKDAY($J1668,2)+4)&amp;"-W"&amp;TEXT(WEEKNUM($J1668,21),"00"))</f>
        <v/>
      </c>
      <c r="B1668">
        <f>IF($J1668="","",SUMIFS('Weekly Log'!$C:$C,'Weekly Log'!$A:$A,"&gt;="&amp;$J1668,'Weekly Log'!$A:$A,"&lt;"&amp;$J1668+7))</f>
        <v/>
      </c>
      <c r="C1668">
        <f>IF($J1668="","",IFERROR(COUNTIFS('Weekly Log'!$G:$G,"Y",'Weekly Log'!$A:$A,"&gt;="&amp;$J1668,'Weekly Log'!$A:$A,"&lt;"&amp;$J1668+7)/COUNTIFS('Weekly Log'!$G:$G,"&lt;&gt;",'Weekly Log'!$A:$A,"&gt;="&amp;$J1668,'Weekly Log'!$A:$A,"&lt;"&amp;$J1668+7),0))</f>
        <v/>
      </c>
      <c r="D1668">
        <f>IF($J1668="","",IFERROR(COUNTIFS('Weekly Log'!$H:$H,"Y",'Weekly Log'!$A:$A,"&gt;="&amp;$J1668,'Weekly Log'!$A:$A,"&lt;"&amp;$J1668+7)/COUNTIFS('Weekly Log'!$H:$H,"&lt;&gt;",'Weekly Log'!$A:$A,"&gt;="&amp;$J1668,'Weekly Log'!$A:$A,"&lt;"&amp;$J1668+7),0))</f>
        <v/>
      </c>
      <c r="E1668">
        <f>IF($J1668="","",IFERROR(AVERAGEIFS('Weekly Log'!$F:$F,'Weekly Log'!$A:$A,"&gt;="&amp;$J1668,'Weekly Log'!$A:$A,"&lt;"&amp;$J1668+7),0))</f>
        <v/>
      </c>
      <c r="F1668">
        <f>IF($J1668="","",IFERROR(SUMIFS('Weekly Log'!$F:$F,'Weekly Log'!$A:$A,"&gt;="&amp;$J1668,'Weekly Log'!$A:$A,"&lt;"&amp;$J1668+7)/SUMIFS('Weekly Log'!$E:$E,'Weekly Log'!$A:$A,"&gt;="&amp;$J1668,'Weekly Log'!$A:$A,"&lt;"&amp;$J1668+7),0))</f>
        <v/>
      </c>
      <c r="G1668">
        <f>IF($J1668="","",IFERROR(LOOKUP(2,1/(('Weekly Log'!$A$5:$A$5000&gt;=$J1668)*('Weekly Log'!$A$5:$A$5000&lt;$J1668+7)*('Weekly Log'!$M$5:$M$5000&lt;&gt;"")),'Weekly Log'!$M$5:$M$5000),0))</f>
        <v/>
      </c>
      <c r="J1668">
        <f>IF(COUNT('Weekly Log'!$A$5:$A$5000)=0,"",IF(MIN('Weekly Log'!$A$5:$A$5000)+7*(ROW()-10)&gt;MAX('Weekly Log'!$A$5:$A$5000),"",MIN('Weekly Log'!$A$5:$A$5000)+7*(ROW()-10)))</f>
        <v/>
      </c>
    </row>
    <row r="1669">
      <c r="A1669">
        <f>IF($J1669="","",YEAR($J1669-WEEKDAY($J1669,2)+4)&amp;"-W"&amp;TEXT(WEEKNUM($J1669,21),"00"))</f>
        <v/>
      </c>
      <c r="B1669">
        <f>IF($J1669="","",SUMIFS('Weekly Log'!$C:$C,'Weekly Log'!$A:$A,"&gt;="&amp;$J1669,'Weekly Log'!$A:$A,"&lt;"&amp;$J1669+7))</f>
        <v/>
      </c>
      <c r="C1669">
        <f>IF($J1669="","",IFERROR(COUNTIFS('Weekly Log'!$G:$G,"Y",'Weekly Log'!$A:$A,"&gt;="&amp;$J1669,'Weekly Log'!$A:$A,"&lt;"&amp;$J1669+7)/COUNTIFS('Weekly Log'!$G:$G,"&lt;&gt;",'Weekly Log'!$A:$A,"&gt;="&amp;$J1669,'Weekly Log'!$A:$A,"&lt;"&amp;$J1669+7),0))</f>
        <v/>
      </c>
      <c r="D1669">
        <f>IF($J1669="","",IFERROR(COUNTIFS('Weekly Log'!$H:$H,"Y",'Weekly Log'!$A:$A,"&gt;="&amp;$J1669,'Weekly Log'!$A:$A,"&lt;"&amp;$J1669+7)/COUNTIFS('Weekly Log'!$H:$H,"&lt;&gt;",'Weekly Log'!$A:$A,"&gt;="&amp;$J1669,'Weekly Log'!$A:$A,"&lt;"&amp;$J1669+7),0))</f>
        <v/>
      </c>
      <c r="E1669">
        <f>IF($J1669="","",IFERROR(AVERAGEIFS('Weekly Log'!$F:$F,'Weekly Log'!$A:$A,"&gt;="&amp;$J1669,'Weekly Log'!$A:$A,"&lt;"&amp;$J1669+7),0))</f>
        <v/>
      </c>
      <c r="F1669">
        <f>IF($J1669="","",IFERROR(SUMIFS('Weekly Log'!$F:$F,'Weekly Log'!$A:$A,"&gt;="&amp;$J1669,'Weekly Log'!$A:$A,"&lt;"&amp;$J1669+7)/SUMIFS('Weekly Log'!$E:$E,'Weekly Log'!$A:$A,"&gt;="&amp;$J1669,'Weekly Log'!$A:$A,"&lt;"&amp;$J1669+7),0))</f>
        <v/>
      </c>
      <c r="G1669">
        <f>IF($J1669="","",IFERROR(LOOKUP(2,1/(('Weekly Log'!$A$5:$A$5000&gt;=$J1669)*('Weekly Log'!$A$5:$A$5000&lt;$J1669+7)*('Weekly Log'!$M$5:$M$5000&lt;&gt;"")),'Weekly Log'!$M$5:$M$5000),0))</f>
        <v/>
      </c>
      <c r="J1669">
        <f>IF(COUNT('Weekly Log'!$A$5:$A$5000)=0,"",IF(MIN('Weekly Log'!$A$5:$A$5000)+7*(ROW()-10)&gt;MAX('Weekly Log'!$A$5:$A$5000),"",MIN('Weekly Log'!$A$5:$A$5000)+7*(ROW()-10)))</f>
        <v/>
      </c>
    </row>
    <row r="1670">
      <c r="A1670">
        <f>IF($J1670="","",YEAR($J1670-WEEKDAY($J1670,2)+4)&amp;"-W"&amp;TEXT(WEEKNUM($J1670,21),"00"))</f>
        <v/>
      </c>
      <c r="B1670">
        <f>IF($J1670="","",SUMIFS('Weekly Log'!$C:$C,'Weekly Log'!$A:$A,"&gt;="&amp;$J1670,'Weekly Log'!$A:$A,"&lt;"&amp;$J1670+7))</f>
        <v/>
      </c>
      <c r="C1670">
        <f>IF($J1670="","",IFERROR(COUNTIFS('Weekly Log'!$G:$G,"Y",'Weekly Log'!$A:$A,"&gt;="&amp;$J1670,'Weekly Log'!$A:$A,"&lt;"&amp;$J1670+7)/COUNTIFS('Weekly Log'!$G:$G,"&lt;&gt;",'Weekly Log'!$A:$A,"&gt;="&amp;$J1670,'Weekly Log'!$A:$A,"&lt;"&amp;$J1670+7),0))</f>
        <v/>
      </c>
      <c r="D1670">
        <f>IF($J1670="","",IFERROR(COUNTIFS('Weekly Log'!$H:$H,"Y",'Weekly Log'!$A:$A,"&gt;="&amp;$J1670,'Weekly Log'!$A:$A,"&lt;"&amp;$J1670+7)/COUNTIFS('Weekly Log'!$H:$H,"&lt;&gt;",'Weekly Log'!$A:$A,"&gt;="&amp;$J1670,'Weekly Log'!$A:$A,"&lt;"&amp;$J1670+7),0))</f>
        <v/>
      </c>
      <c r="E1670">
        <f>IF($J1670="","",IFERROR(AVERAGEIFS('Weekly Log'!$F:$F,'Weekly Log'!$A:$A,"&gt;="&amp;$J1670,'Weekly Log'!$A:$A,"&lt;"&amp;$J1670+7),0))</f>
        <v/>
      </c>
      <c r="F1670">
        <f>IF($J1670="","",IFERROR(SUMIFS('Weekly Log'!$F:$F,'Weekly Log'!$A:$A,"&gt;="&amp;$J1670,'Weekly Log'!$A:$A,"&lt;"&amp;$J1670+7)/SUMIFS('Weekly Log'!$E:$E,'Weekly Log'!$A:$A,"&gt;="&amp;$J1670,'Weekly Log'!$A:$A,"&lt;"&amp;$J1670+7),0))</f>
        <v/>
      </c>
      <c r="G1670">
        <f>IF($J1670="","",IFERROR(LOOKUP(2,1/(('Weekly Log'!$A$5:$A$5000&gt;=$J1670)*('Weekly Log'!$A$5:$A$5000&lt;$J1670+7)*('Weekly Log'!$M$5:$M$5000&lt;&gt;"")),'Weekly Log'!$M$5:$M$5000),0))</f>
        <v/>
      </c>
      <c r="J1670">
        <f>IF(COUNT('Weekly Log'!$A$5:$A$5000)=0,"",IF(MIN('Weekly Log'!$A$5:$A$5000)+7*(ROW()-10)&gt;MAX('Weekly Log'!$A$5:$A$5000),"",MIN('Weekly Log'!$A$5:$A$5000)+7*(ROW()-10)))</f>
        <v/>
      </c>
    </row>
    <row r="1671">
      <c r="A1671">
        <f>IF($J1671="","",YEAR($J1671-WEEKDAY($J1671,2)+4)&amp;"-W"&amp;TEXT(WEEKNUM($J1671,21),"00"))</f>
        <v/>
      </c>
      <c r="B1671">
        <f>IF($J1671="","",SUMIFS('Weekly Log'!$C:$C,'Weekly Log'!$A:$A,"&gt;="&amp;$J1671,'Weekly Log'!$A:$A,"&lt;"&amp;$J1671+7))</f>
        <v/>
      </c>
      <c r="C1671">
        <f>IF($J1671="","",IFERROR(COUNTIFS('Weekly Log'!$G:$G,"Y",'Weekly Log'!$A:$A,"&gt;="&amp;$J1671,'Weekly Log'!$A:$A,"&lt;"&amp;$J1671+7)/COUNTIFS('Weekly Log'!$G:$G,"&lt;&gt;",'Weekly Log'!$A:$A,"&gt;="&amp;$J1671,'Weekly Log'!$A:$A,"&lt;"&amp;$J1671+7),0))</f>
        <v/>
      </c>
      <c r="D1671">
        <f>IF($J1671="","",IFERROR(COUNTIFS('Weekly Log'!$H:$H,"Y",'Weekly Log'!$A:$A,"&gt;="&amp;$J1671,'Weekly Log'!$A:$A,"&lt;"&amp;$J1671+7)/COUNTIFS('Weekly Log'!$H:$H,"&lt;&gt;",'Weekly Log'!$A:$A,"&gt;="&amp;$J1671,'Weekly Log'!$A:$A,"&lt;"&amp;$J1671+7),0))</f>
        <v/>
      </c>
      <c r="E1671">
        <f>IF($J1671="","",IFERROR(AVERAGEIFS('Weekly Log'!$F:$F,'Weekly Log'!$A:$A,"&gt;="&amp;$J1671,'Weekly Log'!$A:$A,"&lt;"&amp;$J1671+7),0))</f>
        <v/>
      </c>
      <c r="F1671">
        <f>IF($J1671="","",IFERROR(SUMIFS('Weekly Log'!$F:$F,'Weekly Log'!$A:$A,"&gt;="&amp;$J1671,'Weekly Log'!$A:$A,"&lt;"&amp;$J1671+7)/SUMIFS('Weekly Log'!$E:$E,'Weekly Log'!$A:$A,"&gt;="&amp;$J1671,'Weekly Log'!$A:$A,"&lt;"&amp;$J1671+7),0))</f>
        <v/>
      </c>
      <c r="G1671">
        <f>IF($J1671="","",IFERROR(LOOKUP(2,1/(('Weekly Log'!$A$5:$A$5000&gt;=$J1671)*('Weekly Log'!$A$5:$A$5000&lt;$J1671+7)*('Weekly Log'!$M$5:$M$5000&lt;&gt;"")),'Weekly Log'!$M$5:$M$5000),0))</f>
        <v/>
      </c>
      <c r="J1671">
        <f>IF(COUNT('Weekly Log'!$A$5:$A$5000)=0,"",IF(MIN('Weekly Log'!$A$5:$A$5000)+7*(ROW()-10)&gt;MAX('Weekly Log'!$A$5:$A$5000),"",MIN('Weekly Log'!$A$5:$A$5000)+7*(ROW()-10)))</f>
        <v/>
      </c>
    </row>
    <row r="1672">
      <c r="A1672">
        <f>IF($J1672="","",YEAR($J1672-WEEKDAY($J1672,2)+4)&amp;"-W"&amp;TEXT(WEEKNUM($J1672,21),"00"))</f>
        <v/>
      </c>
      <c r="B1672">
        <f>IF($J1672="","",SUMIFS('Weekly Log'!$C:$C,'Weekly Log'!$A:$A,"&gt;="&amp;$J1672,'Weekly Log'!$A:$A,"&lt;"&amp;$J1672+7))</f>
        <v/>
      </c>
      <c r="C1672">
        <f>IF($J1672="","",IFERROR(COUNTIFS('Weekly Log'!$G:$G,"Y",'Weekly Log'!$A:$A,"&gt;="&amp;$J1672,'Weekly Log'!$A:$A,"&lt;"&amp;$J1672+7)/COUNTIFS('Weekly Log'!$G:$G,"&lt;&gt;",'Weekly Log'!$A:$A,"&gt;="&amp;$J1672,'Weekly Log'!$A:$A,"&lt;"&amp;$J1672+7),0))</f>
        <v/>
      </c>
      <c r="D1672">
        <f>IF($J1672="","",IFERROR(COUNTIFS('Weekly Log'!$H:$H,"Y",'Weekly Log'!$A:$A,"&gt;="&amp;$J1672,'Weekly Log'!$A:$A,"&lt;"&amp;$J1672+7)/COUNTIFS('Weekly Log'!$H:$H,"&lt;&gt;",'Weekly Log'!$A:$A,"&gt;="&amp;$J1672,'Weekly Log'!$A:$A,"&lt;"&amp;$J1672+7),0))</f>
        <v/>
      </c>
      <c r="E1672">
        <f>IF($J1672="","",IFERROR(AVERAGEIFS('Weekly Log'!$F:$F,'Weekly Log'!$A:$A,"&gt;="&amp;$J1672,'Weekly Log'!$A:$A,"&lt;"&amp;$J1672+7),0))</f>
        <v/>
      </c>
      <c r="F1672">
        <f>IF($J1672="","",IFERROR(SUMIFS('Weekly Log'!$F:$F,'Weekly Log'!$A:$A,"&gt;="&amp;$J1672,'Weekly Log'!$A:$A,"&lt;"&amp;$J1672+7)/SUMIFS('Weekly Log'!$E:$E,'Weekly Log'!$A:$A,"&gt;="&amp;$J1672,'Weekly Log'!$A:$A,"&lt;"&amp;$J1672+7),0))</f>
        <v/>
      </c>
      <c r="G1672">
        <f>IF($J1672="","",IFERROR(LOOKUP(2,1/(('Weekly Log'!$A$5:$A$5000&gt;=$J1672)*('Weekly Log'!$A$5:$A$5000&lt;$J1672+7)*('Weekly Log'!$M$5:$M$5000&lt;&gt;"")),'Weekly Log'!$M$5:$M$5000),0))</f>
        <v/>
      </c>
      <c r="J1672">
        <f>IF(COUNT('Weekly Log'!$A$5:$A$5000)=0,"",IF(MIN('Weekly Log'!$A$5:$A$5000)+7*(ROW()-10)&gt;MAX('Weekly Log'!$A$5:$A$5000),"",MIN('Weekly Log'!$A$5:$A$5000)+7*(ROW()-10)))</f>
        <v/>
      </c>
    </row>
    <row r="1673">
      <c r="A1673">
        <f>IF($J1673="","",YEAR($J1673-WEEKDAY($J1673,2)+4)&amp;"-W"&amp;TEXT(WEEKNUM($J1673,21),"00"))</f>
        <v/>
      </c>
      <c r="B1673">
        <f>IF($J1673="","",SUMIFS('Weekly Log'!$C:$C,'Weekly Log'!$A:$A,"&gt;="&amp;$J1673,'Weekly Log'!$A:$A,"&lt;"&amp;$J1673+7))</f>
        <v/>
      </c>
      <c r="C1673">
        <f>IF($J1673="","",IFERROR(COUNTIFS('Weekly Log'!$G:$G,"Y",'Weekly Log'!$A:$A,"&gt;="&amp;$J1673,'Weekly Log'!$A:$A,"&lt;"&amp;$J1673+7)/COUNTIFS('Weekly Log'!$G:$G,"&lt;&gt;",'Weekly Log'!$A:$A,"&gt;="&amp;$J1673,'Weekly Log'!$A:$A,"&lt;"&amp;$J1673+7),0))</f>
        <v/>
      </c>
      <c r="D1673">
        <f>IF($J1673="","",IFERROR(COUNTIFS('Weekly Log'!$H:$H,"Y",'Weekly Log'!$A:$A,"&gt;="&amp;$J1673,'Weekly Log'!$A:$A,"&lt;"&amp;$J1673+7)/COUNTIFS('Weekly Log'!$H:$H,"&lt;&gt;",'Weekly Log'!$A:$A,"&gt;="&amp;$J1673,'Weekly Log'!$A:$A,"&lt;"&amp;$J1673+7),0))</f>
        <v/>
      </c>
      <c r="E1673">
        <f>IF($J1673="","",IFERROR(AVERAGEIFS('Weekly Log'!$F:$F,'Weekly Log'!$A:$A,"&gt;="&amp;$J1673,'Weekly Log'!$A:$A,"&lt;"&amp;$J1673+7),0))</f>
        <v/>
      </c>
      <c r="F1673">
        <f>IF($J1673="","",IFERROR(SUMIFS('Weekly Log'!$F:$F,'Weekly Log'!$A:$A,"&gt;="&amp;$J1673,'Weekly Log'!$A:$A,"&lt;"&amp;$J1673+7)/SUMIFS('Weekly Log'!$E:$E,'Weekly Log'!$A:$A,"&gt;="&amp;$J1673,'Weekly Log'!$A:$A,"&lt;"&amp;$J1673+7),0))</f>
        <v/>
      </c>
      <c r="G1673">
        <f>IF($J1673="","",IFERROR(LOOKUP(2,1/(('Weekly Log'!$A$5:$A$5000&gt;=$J1673)*('Weekly Log'!$A$5:$A$5000&lt;$J1673+7)*('Weekly Log'!$M$5:$M$5000&lt;&gt;"")),'Weekly Log'!$M$5:$M$5000),0))</f>
        <v/>
      </c>
      <c r="J1673">
        <f>IF(COUNT('Weekly Log'!$A$5:$A$5000)=0,"",IF(MIN('Weekly Log'!$A$5:$A$5000)+7*(ROW()-10)&gt;MAX('Weekly Log'!$A$5:$A$5000),"",MIN('Weekly Log'!$A$5:$A$5000)+7*(ROW()-10)))</f>
        <v/>
      </c>
    </row>
    <row r="1674">
      <c r="A1674">
        <f>IF($J1674="","",YEAR($J1674-WEEKDAY($J1674,2)+4)&amp;"-W"&amp;TEXT(WEEKNUM($J1674,21),"00"))</f>
        <v/>
      </c>
      <c r="B1674">
        <f>IF($J1674="","",SUMIFS('Weekly Log'!$C:$C,'Weekly Log'!$A:$A,"&gt;="&amp;$J1674,'Weekly Log'!$A:$A,"&lt;"&amp;$J1674+7))</f>
        <v/>
      </c>
      <c r="C1674">
        <f>IF($J1674="","",IFERROR(COUNTIFS('Weekly Log'!$G:$G,"Y",'Weekly Log'!$A:$A,"&gt;="&amp;$J1674,'Weekly Log'!$A:$A,"&lt;"&amp;$J1674+7)/COUNTIFS('Weekly Log'!$G:$G,"&lt;&gt;",'Weekly Log'!$A:$A,"&gt;="&amp;$J1674,'Weekly Log'!$A:$A,"&lt;"&amp;$J1674+7),0))</f>
        <v/>
      </c>
      <c r="D1674">
        <f>IF($J1674="","",IFERROR(COUNTIFS('Weekly Log'!$H:$H,"Y",'Weekly Log'!$A:$A,"&gt;="&amp;$J1674,'Weekly Log'!$A:$A,"&lt;"&amp;$J1674+7)/COUNTIFS('Weekly Log'!$H:$H,"&lt;&gt;",'Weekly Log'!$A:$A,"&gt;="&amp;$J1674,'Weekly Log'!$A:$A,"&lt;"&amp;$J1674+7),0))</f>
        <v/>
      </c>
      <c r="E1674">
        <f>IF($J1674="","",IFERROR(AVERAGEIFS('Weekly Log'!$F:$F,'Weekly Log'!$A:$A,"&gt;="&amp;$J1674,'Weekly Log'!$A:$A,"&lt;"&amp;$J1674+7),0))</f>
        <v/>
      </c>
      <c r="F1674">
        <f>IF($J1674="","",IFERROR(SUMIFS('Weekly Log'!$F:$F,'Weekly Log'!$A:$A,"&gt;="&amp;$J1674,'Weekly Log'!$A:$A,"&lt;"&amp;$J1674+7)/SUMIFS('Weekly Log'!$E:$E,'Weekly Log'!$A:$A,"&gt;="&amp;$J1674,'Weekly Log'!$A:$A,"&lt;"&amp;$J1674+7),0))</f>
        <v/>
      </c>
      <c r="G1674">
        <f>IF($J1674="","",IFERROR(LOOKUP(2,1/(('Weekly Log'!$A$5:$A$5000&gt;=$J1674)*('Weekly Log'!$A$5:$A$5000&lt;$J1674+7)*('Weekly Log'!$M$5:$M$5000&lt;&gt;"")),'Weekly Log'!$M$5:$M$5000),0))</f>
        <v/>
      </c>
      <c r="J1674">
        <f>IF(COUNT('Weekly Log'!$A$5:$A$5000)=0,"",IF(MIN('Weekly Log'!$A$5:$A$5000)+7*(ROW()-10)&gt;MAX('Weekly Log'!$A$5:$A$5000),"",MIN('Weekly Log'!$A$5:$A$5000)+7*(ROW()-10)))</f>
        <v/>
      </c>
    </row>
    <row r="1675">
      <c r="A1675">
        <f>IF($J1675="","",YEAR($J1675-WEEKDAY($J1675,2)+4)&amp;"-W"&amp;TEXT(WEEKNUM($J1675,21),"00"))</f>
        <v/>
      </c>
      <c r="B1675">
        <f>IF($J1675="","",SUMIFS('Weekly Log'!$C:$C,'Weekly Log'!$A:$A,"&gt;="&amp;$J1675,'Weekly Log'!$A:$A,"&lt;"&amp;$J1675+7))</f>
        <v/>
      </c>
      <c r="C1675">
        <f>IF($J1675="","",IFERROR(COUNTIFS('Weekly Log'!$G:$G,"Y",'Weekly Log'!$A:$A,"&gt;="&amp;$J1675,'Weekly Log'!$A:$A,"&lt;"&amp;$J1675+7)/COUNTIFS('Weekly Log'!$G:$G,"&lt;&gt;",'Weekly Log'!$A:$A,"&gt;="&amp;$J1675,'Weekly Log'!$A:$A,"&lt;"&amp;$J1675+7),0))</f>
        <v/>
      </c>
      <c r="D1675">
        <f>IF($J1675="","",IFERROR(COUNTIFS('Weekly Log'!$H:$H,"Y",'Weekly Log'!$A:$A,"&gt;="&amp;$J1675,'Weekly Log'!$A:$A,"&lt;"&amp;$J1675+7)/COUNTIFS('Weekly Log'!$H:$H,"&lt;&gt;",'Weekly Log'!$A:$A,"&gt;="&amp;$J1675,'Weekly Log'!$A:$A,"&lt;"&amp;$J1675+7),0))</f>
        <v/>
      </c>
      <c r="E1675">
        <f>IF($J1675="","",IFERROR(AVERAGEIFS('Weekly Log'!$F:$F,'Weekly Log'!$A:$A,"&gt;="&amp;$J1675,'Weekly Log'!$A:$A,"&lt;"&amp;$J1675+7),0))</f>
        <v/>
      </c>
      <c r="F1675">
        <f>IF($J1675="","",IFERROR(SUMIFS('Weekly Log'!$F:$F,'Weekly Log'!$A:$A,"&gt;="&amp;$J1675,'Weekly Log'!$A:$A,"&lt;"&amp;$J1675+7)/SUMIFS('Weekly Log'!$E:$E,'Weekly Log'!$A:$A,"&gt;="&amp;$J1675,'Weekly Log'!$A:$A,"&lt;"&amp;$J1675+7),0))</f>
        <v/>
      </c>
      <c r="G1675">
        <f>IF($J1675="","",IFERROR(LOOKUP(2,1/(('Weekly Log'!$A$5:$A$5000&gt;=$J1675)*('Weekly Log'!$A$5:$A$5000&lt;$J1675+7)*('Weekly Log'!$M$5:$M$5000&lt;&gt;"")),'Weekly Log'!$M$5:$M$5000),0))</f>
        <v/>
      </c>
      <c r="J1675">
        <f>IF(COUNT('Weekly Log'!$A$5:$A$5000)=0,"",IF(MIN('Weekly Log'!$A$5:$A$5000)+7*(ROW()-10)&gt;MAX('Weekly Log'!$A$5:$A$5000),"",MIN('Weekly Log'!$A$5:$A$5000)+7*(ROW()-10)))</f>
        <v/>
      </c>
    </row>
    <row r="1676">
      <c r="A1676">
        <f>IF($J1676="","",YEAR($J1676-WEEKDAY($J1676,2)+4)&amp;"-W"&amp;TEXT(WEEKNUM($J1676,21),"00"))</f>
        <v/>
      </c>
      <c r="B1676">
        <f>IF($J1676="","",SUMIFS('Weekly Log'!$C:$C,'Weekly Log'!$A:$A,"&gt;="&amp;$J1676,'Weekly Log'!$A:$A,"&lt;"&amp;$J1676+7))</f>
        <v/>
      </c>
      <c r="C1676">
        <f>IF($J1676="","",IFERROR(COUNTIFS('Weekly Log'!$G:$G,"Y",'Weekly Log'!$A:$A,"&gt;="&amp;$J1676,'Weekly Log'!$A:$A,"&lt;"&amp;$J1676+7)/COUNTIFS('Weekly Log'!$G:$G,"&lt;&gt;",'Weekly Log'!$A:$A,"&gt;="&amp;$J1676,'Weekly Log'!$A:$A,"&lt;"&amp;$J1676+7),0))</f>
        <v/>
      </c>
      <c r="D1676">
        <f>IF($J1676="","",IFERROR(COUNTIFS('Weekly Log'!$H:$H,"Y",'Weekly Log'!$A:$A,"&gt;="&amp;$J1676,'Weekly Log'!$A:$A,"&lt;"&amp;$J1676+7)/COUNTIFS('Weekly Log'!$H:$H,"&lt;&gt;",'Weekly Log'!$A:$A,"&gt;="&amp;$J1676,'Weekly Log'!$A:$A,"&lt;"&amp;$J1676+7),0))</f>
        <v/>
      </c>
      <c r="E1676">
        <f>IF($J1676="","",IFERROR(AVERAGEIFS('Weekly Log'!$F:$F,'Weekly Log'!$A:$A,"&gt;="&amp;$J1676,'Weekly Log'!$A:$A,"&lt;"&amp;$J1676+7),0))</f>
        <v/>
      </c>
      <c r="F1676">
        <f>IF($J1676="","",IFERROR(SUMIFS('Weekly Log'!$F:$F,'Weekly Log'!$A:$A,"&gt;="&amp;$J1676,'Weekly Log'!$A:$A,"&lt;"&amp;$J1676+7)/SUMIFS('Weekly Log'!$E:$E,'Weekly Log'!$A:$A,"&gt;="&amp;$J1676,'Weekly Log'!$A:$A,"&lt;"&amp;$J1676+7),0))</f>
        <v/>
      </c>
      <c r="G1676">
        <f>IF($J1676="","",IFERROR(LOOKUP(2,1/(('Weekly Log'!$A$5:$A$5000&gt;=$J1676)*('Weekly Log'!$A$5:$A$5000&lt;$J1676+7)*('Weekly Log'!$M$5:$M$5000&lt;&gt;"")),'Weekly Log'!$M$5:$M$5000),0))</f>
        <v/>
      </c>
      <c r="J1676">
        <f>IF(COUNT('Weekly Log'!$A$5:$A$5000)=0,"",IF(MIN('Weekly Log'!$A$5:$A$5000)+7*(ROW()-10)&gt;MAX('Weekly Log'!$A$5:$A$5000),"",MIN('Weekly Log'!$A$5:$A$5000)+7*(ROW()-10)))</f>
        <v/>
      </c>
    </row>
    <row r="1677">
      <c r="A1677">
        <f>IF($J1677="","",YEAR($J1677-WEEKDAY($J1677,2)+4)&amp;"-W"&amp;TEXT(WEEKNUM($J1677,21),"00"))</f>
        <v/>
      </c>
      <c r="B1677">
        <f>IF($J1677="","",SUMIFS('Weekly Log'!$C:$C,'Weekly Log'!$A:$A,"&gt;="&amp;$J1677,'Weekly Log'!$A:$A,"&lt;"&amp;$J1677+7))</f>
        <v/>
      </c>
      <c r="C1677">
        <f>IF($J1677="","",IFERROR(COUNTIFS('Weekly Log'!$G:$G,"Y",'Weekly Log'!$A:$A,"&gt;="&amp;$J1677,'Weekly Log'!$A:$A,"&lt;"&amp;$J1677+7)/COUNTIFS('Weekly Log'!$G:$G,"&lt;&gt;",'Weekly Log'!$A:$A,"&gt;="&amp;$J1677,'Weekly Log'!$A:$A,"&lt;"&amp;$J1677+7),0))</f>
        <v/>
      </c>
      <c r="D1677">
        <f>IF($J1677="","",IFERROR(COUNTIFS('Weekly Log'!$H:$H,"Y",'Weekly Log'!$A:$A,"&gt;="&amp;$J1677,'Weekly Log'!$A:$A,"&lt;"&amp;$J1677+7)/COUNTIFS('Weekly Log'!$H:$H,"&lt;&gt;",'Weekly Log'!$A:$A,"&gt;="&amp;$J1677,'Weekly Log'!$A:$A,"&lt;"&amp;$J1677+7),0))</f>
        <v/>
      </c>
      <c r="E1677">
        <f>IF($J1677="","",IFERROR(AVERAGEIFS('Weekly Log'!$F:$F,'Weekly Log'!$A:$A,"&gt;="&amp;$J1677,'Weekly Log'!$A:$A,"&lt;"&amp;$J1677+7),0))</f>
        <v/>
      </c>
      <c r="F1677">
        <f>IF($J1677="","",IFERROR(SUMIFS('Weekly Log'!$F:$F,'Weekly Log'!$A:$A,"&gt;="&amp;$J1677,'Weekly Log'!$A:$A,"&lt;"&amp;$J1677+7)/SUMIFS('Weekly Log'!$E:$E,'Weekly Log'!$A:$A,"&gt;="&amp;$J1677,'Weekly Log'!$A:$A,"&lt;"&amp;$J1677+7),0))</f>
        <v/>
      </c>
      <c r="G1677">
        <f>IF($J1677="","",IFERROR(LOOKUP(2,1/(('Weekly Log'!$A$5:$A$5000&gt;=$J1677)*('Weekly Log'!$A$5:$A$5000&lt;$J1677+7)*('Weekly Log'!$M$5:$M$5000&lt;&gt;"")),'Weekly Log'!$M$5:$M$5000),0))</f>
        <v/>
      </c>
      <c r="J1677">
        <f>IF(COUNT('Weekly Log'!$A$5:$A$5000)=0,"",IF(MIN('Weekly Log'!$A$5:$A$5000)+7*(ROW()-10)&gt;MAX('Weekly Log'!$A$5:$A$5000),"",MIN('Weekly Log'!$A$5:$A$5000)+7*(ROW()-10)))</f>
        <v/>
      </c>
    </row>
    <row r="1678">
      <c r="A1678">
        <f>IF($J1678="","",YEAR($J1678-WEEKDAY($J1678,2)+4)&amp;"-W"&amp;TEXT(WEEKNUM($J1678,21),"00"))</f>
        <v/>
      </c>
      <c r="B1678">
        <f>IF($J1678="","",SUMIFS('Weekly Log'!$C:$C,'Weekly Log'!$A:$A,"&gt;="&amp;$J1678,'Weekly Log'!$A:$A,"&lt;"&amp;$J1678+7))</f>
        <v/>
      </c>
      <c r="C1678">
        <f>IF($J1678="","",IFERROR(COUNTIFS('Weekly Log'!$G:$G,"Y",'Weekly Log'!$A:$A,"&gt;="&amp;$J1678,'Weekly Log'!$A:$A,"&lt;"&amp;$J1678+7)/COUNTIFS('Weekly Log'!$G:$G,"&lt;&gt;",'Weekly Log'!$A:$A,"&gt;="&amp;$J1678,'Weekly Log'!$A:$A,"&lt;"&amp;$J1678+7),0))</f>
        <v/>
      </c>
      <c r="D1678">
        <f>IF($J1678="","",IFERROR(COUNTIFS('Weekly Log'!$H:$H,"Y",'Weekly Log'!$A:$A,"&gt;="&amp;$J1678,'Weekly Log'!$A:$A,"&lt;"&amp;$J1678+7)/COUNTIFS('Weekly Log'!$H:$H,"&lt;&gt;",'Weekly Log'!$A:$A,"&gt;="&amp;$J1678,'Weekly Log'!$A:$A,"&lt;"&amp;$J1678+7),0))</f>
        <v/>
      </c>
      <c r="E1678">
        <f>IF($J1678="","",IFERROR(AVERAGEIFS('Weekly Log'!$F:$F,'Weekly Log'!$A:$A,"&gt;="&amp;$J1678,'Weekly Log'!$A:$A,"&lt;"&amp;$J1678+7),0))</f>
        <v/>
      </c>
      <c r="F1678">
        <f>IF($J1678="","",IFERROR(SUMIFS('Weekly Log'!$F:$F,'Weekly Log'!$A:$A,"&gt;="&amp;$J1678,'Weekly Log'!$A:$A,"&lt;"&amp;$J1678+7)/SUMIFS('Weekly Log'!$E:$E,'Weekly Log'!$A:$A,"&gt;="&amp;$J1678,'Weekly Log'!$A:$A,"&lt;"&amp;$J1678+7),0))</f>
        <v/>
      </c>
      <c r="G1678">
        <f>IF($J1678="","",IFERROR(LOOKUP(2,1/(('Weekly Log'!$A$5:$A$5000&gt;=$J1678)*('Weekly Log'!$A$5:$A$5000&lt;$J1678+7)*('Weekly Log'!$M$5:$M$5000&lt;&gt;"")),'Weekly Log'!$M$5:$M$5000),0))</f>
        <v/>
      </c>
      <c r="J1678">
        <f>IF(COUNT('Weekly Log'!$A$5:$A$5000)=0,"",IF(MIN('Weekly Log'!$A$5:$A$5000)+7*(ROW()-10)&gt;MAX('Weekly Log'!$A$5:$A$5000),"",MIN('Weekly Log'!$A$5:$A$5000)+7*(ROW()-10)))</f>
        <v/>
      </c>
    </row>
    <row r="1679">
      <c r="A1679">
        <f>IF($J1679="","",YEAR($J1679-WEEKDAY($J1679,2)+4)&amp;"-W"&amp;TEXT(WEEKNUM($J1679,21),"00"))</f>
        <v/>
      </c>
      <c r="B1679">
        <f>IF($J1679="","",SUMIFS('Weekly Log'!$C:$C,'Weekly Log'!$A:$A,"&gt;="&amp;$J1679,'Weekly Log'!$A:$A,"&lt;"&amp;$J1679+7))</f>
        <v/>
      </c>
      <c r="C1679">
        <f>IF($J1679="","",IFERROR(COUNTIFS('Weekly Log'!$G:$G,"Y",'Weekly Log'!$A:$A,"&gt;="&amp;$J1679,'Weekly Log'!$A:$A,"&lt;"&amp;$J1679+7)/COUNTIFS('Weekly Log'!$G:$G,"&lt;&gt;",'Weekly Log'!$A:$A,"&gt;="&amp;$J1679,'Weekly Log'!$A:$A,"&lt;"&amp;$J1679+7),0))</f>
        <v/>
      </c>
      <c r="D1679">
        <f>IF($J1679="","",IFERROR(COUNTIFS('Weekly Log'!$H:$H,"Y",'Weekly Log'!$A:$A,"&gt;="&amp;$J1679,'Weekly Log'!$A:$A,"&lt;"&amp;$J1679+7)/COUNTIFS('Weekly Log'!$H:$H,"&lt;&gt;",'Weekly Log'!$A:$A,"&gt;="&amp;$J1679,'Weekly Log'!$A:$A,"&lt;"&amp;$J1679+7),0))</f>
        <v/>
      </c>
      <c r="E1679">
        <f>IF($J1679="","",IFERROR(AVERAGEIFS('Weekly Log'!$F:$F,'Weekly Log'!$A:$A,"&gt;="&amp;$J1679,'Weekly Log'!$A:$A,"&lt;"&amp;$J1679+7),0))</f>
        <v/>
      </c>
      <c r="F1679">
        <f>IF($J1679="","",IFERROR(SUMIFS('Weekly Log'!$F:$F,'Weekly Log'!$A:$A,"&gt;="&amp;$J1679,'Weekly Log'!$A:$A,"&lt;"&amp;$J1679+7)/SUMIFS('Weekly Log'!$E:$E,'Weekly Log'!$A:$A,"&gt;="&amp;$J1679,'Weekly Log'!$A:$A,"&lt;"&amp;$J1679+7),0))</f>
        <v/>
      </c>
      <c r="G1679">
        <f>IF($J1679="","",IFERROR(LOOKUP(2,1/(('Weekly Log'!$A$5:$A$5000&gt;=$J1679)*('Weekly Log'!$A$5:$A$5000&lt;$J1679+7)*('Weekly Log'!$M$5:$M$5000&lt;&gt;"")),'Weekly Log'!$M$5:$M$5000),0))</f>
        <v/>
      </c>
      <c r="J1679">
        <f>IF(COUNT('Weekly Log'!$A$5:$A$5000)=0,"",IF(MIN('Weekly Log'!$A$5:$A$5000)+7*(ROW()-10)&gt;MAX('Weekly Log'!$A$5:$A$5000),"",MIN('Weekly Log'!$A$5:$A$5000)+7*(ROW()-10)))</f>
        <v/>
      </c>
    </row>
    <row r="1680">
      <c r="A1680">
        <f>IF($J1680="","",YEAR($J1680-WEEKDAY($J1680,2)+4)&amp;"-W"&amp;TEXT(WEEKNUM($J1680,21),"00"))</f>
        <v/>
      </c>
      <c r="B1680">
        <f>IF($J1680="","",SUMIFS('Weekly Log'!$C:$C,'Weekly Log'!$A:$A,"&gt;="&amp;$J1680,'Weekly Log'!$A:$A,"&lt;"&amp;$J1680+7))</f>
        <v/>
      </c>
      <c r="C1680">
        <f>IF($J1680="","",IFERROR(COUNTIFS('Weekly Log'!$G:$G,"Y",'Weekly Log'!$A:$A,"&gt;="&amp;$J1680,'Weekly Log'!$A:$A,"&lt;"&amp;$J1680+7)/COUNTIFS('Weekly Log'!$G:$G,"&lt;&gt;",'Weekly Log'!$A:$A,"&gt;="&amp;$J1680,'Weekly Log'!$A:$A,"&lt;"&amp;$J1680+7),0))</f>
        <v/>
      </c>
      <c r="D1680">
        <f>IF($J1680="","",IFERROR(COUNTIFS('Weekly Log'!$H:$H,"Y",'Weekly Log'!$A:$A,"&gt;="&amp;$J1680,'Weekly Log'!$A:$A,"&lt;"&amp;$J1680+7)/COUNTIFS('Weekly Log'!$H:$H,"&lt;&gt;",'Weekly Log'!$A:$A,"&gt;="&amp;$J1680,'Weekly Log'!$A:$A,"&lt;"&amp;$J1680+7),0))</f>
        <v/>
      </c>
      <c r="E1680">
        <f>IF($J1680="","",IFERROR(AVERAGEIFS('Weekly Log'!$F:$F,'Weekly Log'!$A:$A,"&gt;="&amp;$J1680,'Weekly Log'!$A:$A,"&lt;"&amp;$J1680+7),0))</f>
        <v/>
      </c>
      <c r="F1680">
        <f>IF($J1680="","",IFERROR(SUMIFS('Weekly Log'!$F:$F,'Weekly Log'!$A:$A,"&gt;="&amp;$J1680,'Weekly Log'!$A:$A,"&lt;"&amp;$J1680+7)/SUMIFS('Weekly Log'!$E:$E,'Weekly Log'!$A:$A,"&gt;="&amp;$J1680,'Weekly Log'!$A:$A,"&lt;"&amp;$J1680+7),0))</f>
        <v/>
      </c>
      <c r="G1680">
        <f>IF($J1680="","",IFERROR(LOOKUP(2,1/(('Weekly Log'!$A$5:$A$5000&gt;=$J1680)*('Weekly Log'!$A$5:$A$5000&lt;$J1680+7)*('Weekly Log'!$M$5:$M$5000&lt;&gt;"")),'Weekly Log'!$M$5:$M$5000),0))</f>
        <v/>
      </c>
      <c r="J1680">
        <f>IF(COUNT('Weekly Log'!$A$5:$A$5000)=0,"",IF(MIN('Weekly Log'!$A$5:$A$5000)+7*(ROW()-10)&gt;MAX('Weekly Log'!$A$5:$A$5000),"",MIN('Weekly Log'!$A$5:$A$5000)+7*(ROW()-10)))</f>
        <v/>
      </c>
    </row>
    <row r="1681">
      <c r="A1681">
        <f>IF($J1681="","",YEAR($J1681-WEEKDAY($J1681,2)+4)&amp;"-W"&amp;TEXT(WEEKNUM($J1681,21),"00"))</f>
        <v/>
      </c>
      <c r="B1681">
        <f>IF($J1681="","",SUMIFS('Weekly Log'!$C:$C,'Weekly Log'!$A:$A,"&gt;="&amp;$J1681,'Weekly Log'!$A:$A,"&lt;"&amp;$J1681+7))</f>
        <v/>
      </c>
      <c r="C1681">
        <f>IF($J1681="","",IFERROR(COUNTIFS('Weekly Log'!$G:$G,"Y",'Weekly Log'!$A:$A,"&gt;="&amp;$J1681,'Weekly Log'!$A:$A,"&lt;"&amp;$J1681+7)/COUNTIFS('Weekly Log'!$G:$G,"&lt;&gt;",'Weekly Log'!$A:$A,"&gt;="&amp;$J1681,'Weekly Log'!$A:$A,"&lt;"&amp;$J1681+7),0))</f>
        <v/>
      </c>
      <c r="D1681">
        <f>IF($J1681="","",IFERROR(COUNTIFS('Weekly Log'!$H:$H,"Y",'Weekly Log'!$A:$A,"&gt;="&amp;$J1681,'Weekly Log'!$A:$A,"&lt;"&amp;$J1681+7)/COUNTIFS('Weekly Log'!$H:$H,"&lt;&gt;",'Weekly Log'!$A:$A,"&gt;="&amp;$J1681,'Weekly Log'!$A:$A,"&lt;"&amp;$J1681+7),0))</f>
        <v/>
      </c>
      <c r="E1681">
        <f>IF($J1681="","",IFERROR(AVERAGEIFS('Weekly Log'!$F:$F,'Weekly Log'!$A:$A,"&gt;="&amp;$J1681,'Weekly Log'!$A:$A,"&lt;"&amp;$J1681+7),0))</f>
        <v/>
      </c>
      <c r="F1681">
        <f>IF($J1681="","",IFERROR(SUMIFS('Weekly Log'!$F:$F,'Weekly Log'!$A:$A,"&gt;="&amp;$J1681,'Weekly Log'!$A:$A,"&lt;"&amp;$J1681+7)/SUMIFS('Weekly Log'!$E:$E,'Weekly Log'!$A:$A,"&gt;="&amp;$J1681,'Weekly Log'!$A:$A,"&lt;"&amp;$J1681+7),0))</f>
        <v/>
      </c>
      <c r="G1681">
        <f>IF($J1681="","",IFERROR(LOOKUP(2,1/(('Weekly Log'!$A$5:$A$5000&gt;=$J1681)*('Weekly Log'!$A$5:$A$5000&lt;$J1681+7)*('Weekly Log'!$M$5:$M$5000&lt;&gt;"")),'Weekly Log'!$M$5:$M$5000),0))</f>
        <v/>
      </c>
      <c r="J1681">
        <f>IF(COUNT('Weekly Log'!$A$5:$A$5000)=0,"",IF(MIN('Weekly Log'!$A$5:$A$5000)+7*(ROW()-10)&gt;MAX('Weekly Log'!$A$5:$A$5000),"",MIN('Weekly Log'!$A$5:$A$5000)+7*(ROW()-10)))</f>
        <v/>
      </c>
    </row>
    <row r="1682">
      <c r="A1682">
        <f>IF($J1682="","",YEAR($J1682-WEEKDAY($J1682,2)+4)&amp;"-W"&amp;TEXT(WEEKNUM($J1682,21),"00"))</f>
        <v/>
      </c>
      <c r="B1682">
        <f>IF($J1682="","",SUMIFS('Weekly Log'!$C:$C,'Weekly Log'!$A:$A,"&gt;="&amp;$J1682,'Weekly Log'!$A:$A,"&lt;"&amp;$J1682+7))</f>
        <v/>
      </c>
      <c r="C1682">
        <f>IF($J1682="","",IFERROR(COUNTIFS('Weekly Log'!$G:$G,"Y",'Weekly Log'!$A:$A,"&gt;="&amp;$J1682,'Weekly Log'!$A:$A,"&lt;"&amp;$J1682+7)/COUNTIFS('Weekly Log'!$G:$G,"&lt;&gt;",'Weekly Log'!$A:$A,"&gt;="&amp;$J1682,'Weekly Log'!$A:$A,"&lt;"&amp;$J1682+7),0))</f>
        <v/>
      </c>
      <c r="D1682">
        <f>IF($J1682="","",IFERROR(COUNTIFS('Weekly Log'!$H:$H,"Y",'Weekly Log'!$A:$A,"&gt;="&amp;$J1682,'Weekly Log'!$A:$A,"&lt;"&amp;$J1682+7)/COUNTIFS('Weekly Log'!$H:$H,"&lt;&gt;",'Weekly Log'!$A:$A,"&gt;="&amp;$J1682,'Weekly Log'!$A:$A,"&lt;"&amp;$J1682+7),0))</f>
        <v/>
      </c>
      <c r="E1682">
        <f>IF($J1682="","",IFERROR(AVERAGEIFS('Weekly Log'!$F:$F,'Weekly Log'!$A:$A,"&gt;="&amp;$J1682,'Weekly Log'!$A:$A,"&lt;"&amp;$J1682+7),0))</f>
        <v/>
      </c>
      <c r="F1682">
        <f>IF($J1682="","",IFERROR(SUMIFS('Weekly Log'!$F:$F,'Weekly Log'!$A:$A,"&gt;="&amp;$J1682,'Weekly Log'!$A:$A,"&lt;"&amp;$J1682+7)/SUMIFS('Weekly Log'!$E:$E,'Weekly Log'!$A:$A,"&gt;="&amp;$J1682,'Weekly Log'!$A:$A,"&lt;"&amp;$J1682+7),0))</f>
        <v/>
      </c>
      <c r="G1682">
        <f>IF($J1682="","",IFERROR(LOOKUP(2,1/(('Weekly Log'!$A$5:$A$5000&gt;=$J1682)*('Weekly Log'!$A$5:$A$5000&lt;$J1682+7)*('Weekly Log'!$M$5:$M$5000&lt;&gt;"")),'Weekly Log'!$M$5:$M$5000),0))</f>
        <v/>
      </c>
      <c r="J1682">
        <f>IF(COUNT('Weekly Log'!$A$5:$A$5000)=0,"",IF(MIN('Weekly Log'!$A$5:$A$5000)+7*(ROW()-10)&gt;MAX('Weekly Log'!$A$5:$A$5000),"",MIN('Weekly Log'!$A$5:$A$5000)+7*(ROW()-10)))</f>
        <v/>
      </c>
    </row>
    <row r="1683">
      <c r="A1683">
        <f>IF($J1683="","",YEAR($J1683-WEEKDAY($J1683,2)+4)&amp;"-W"&amp;TEXT(WEEKNUM($J1683,21),"00"))</f>
        <v/>
      </c>
      <c r="B1683">
        <f>IF($J1683="","",SUMIFS('Weekly Log'!$C:$C,'Weekly Log'!$A:$A,"&gt;="&amp;$J1683,'Weekly Log'!$A:$A,"&lt;"&amp;$J1683+7))</f>
        <v/>
      </c>
      <c r="C1683">
        <f>IF($J1683="","",IFERROR(COUNTIFS('Weekly Log'!$G:$G,"Y",'Weekly Log'!$A:$A,"&gt;="&amp;$J1683,'Weekly Log'!$A:$A,"&lt;"&amp;$J1683+7)/COUNTIFS('Weekly Log'!$G:$G,"&lt;&gt;",'Weekly Log'!$A:$A,"&gt;="&amp;$J1683,'Weekly Log'!$A:$A,"&lt;"&amp;$J1683+7),0))</f>
        <v/>
      </c>
      <c r="D1683">
        <f>IF($J1683="","",IFERROR(COUNTIFS('Weekly Log'!$H:$H,"Y",'Weekly Log'!$A:$A,"&gt;="&amp;$J1683,'Weekly Log'!$A:$A,"&lt;"&amp;$J1683+7)/COUNTIFS('Weekly Log'!$H:$H,"&lt;&gt;",'Weekly Log'!$A:$A,"&gt;="&amp;$J1683,'Weekly Log'!$A:$A,"&lt;"&amp;$J1683+7),0))</f>
        <v/>
      </c>
      <c r="E1683">
        <f>IF($J1683="","",IFERROR(AVERAGEIFS('Weekly Log'!$F:$F,'Weekly Log'!$A:$A,"&gt;="&amp;$J1683,'Weekly Log'!$A:$A,"&lt;"&amp;$J1683+7),0))</f>
        <v/>
      </c>
      <c r="F1683">
        <f>IF($J1683="","",IFERROR(SUMIFS('Weekly Log'!$F:$F,'Weekly Log'!$A:$A,"&gt;="&amp;$J1683,'Weekly Log'!$A:$A,"&lt;"&amp;$J1683+7)/SUMIFS('Weekly Log'!$E:$E,'Weekly Log'!$A:$A,"&gt;="&amp;$J1683,'Weekly Log'!$A:$A,"&lt;"&amp;$J1683+7),0))</f>
        <v/>
      </c>
      <c r="G1683">
        <f>IF($J1683="","",IFERROR(LOOKUP(2,1/(('Weekly Log'!$A$5:$A$5000&gt;=$J1683)*('Weekly Log'!$A$5:$A$5000&lt;$J1683+7)*('Weekly Log'!$M$5:$M$5000&lt;&gt;"")),'Weekly Log'!$M$5:$M$5000),0))</f>
        <v/>
      </c>
      <c r="J1683">
        <f>IF(COUNT('Weekly Log'!$A$5:$A$5000)=0,"",IF(MIN('Weekly Log'!$A$5:$A$5000)+7*(ROW()-10)&gt;MAX('Weekly Log'!$A$5:$A$5000),"",MIN('Weekly Log'!$A$5:$A$5000)+7*(ROW()-10)))</f>
        <v/>
      </c>
    </row>
    <row r="1684">
      <c r="A1684">
        <f>IF($J1684="","",YEAR($J1684-WEEKDAY($J1684,2)+4)&amp;"-W"&amp;TEXT(WEEKNUM($J1684,21),"00"))</f>
        <v/>
      </c>
      <c r="B1684">
        <f>IF($J1684="","",SUMIFS('Weekly Log'!$C:$C,'Weekly Log'!$A:$A,"&gt;="&amp;$J1684,'Weekly Log'!$A:$A,"&lt;"&amp;$J1684+7))</f>
        <v/>
      </c>
      <c r="C1684">
        <f>IF($J1684="","",IFERROR(COUNTIFS('Weekly Log'!$G:$G,"Y",'Weekly Log'!$A:$A,"&gt;="&amp;$J1684,'Weekly Log'!$A:$A,"&lt;"&amp;$J1684+7)/COUNTIFS('Weekly Log'!$G:$G,"&lt;&gt;",'Weekly Log'!$A:$A,"&gt;="&amp;$J1684,'Weekly Log'!$A:$A,"&lt;"&amp;$J1684+7),0))</f>
        <v/>
      </c>
      <c r="D1684">
        <f>IF($J1684="","",IFERROR(COUNTIFS('Weekly Log'!$H:$H,"Y",'Weekly Log'!$A:$A,"&gt;="&amp;$J1684,'Weekly Log'!$A:$A,"&lt;"&amp;$J1684+7)/COUNTIFS('Weekly Log'!$H:$H,"&lt;&gt;",'Weekly Log'!$A:$A,"&gt;="&amp;$J1684,'Weekly Log'!$A:$A,"&lt;"&amp;$J1684+7),0))</f>
        <v/>
      </c>
      <c r="E1684">
        <f>IF($J1684="","",IFERROR(AVERAGEIFS('Weekly Log'!$F:$F,'Weekly Log'!$A:$A,"&gt;="&amp;$J1684,'Weekly Log'!$A:$A,"&lt;"&amp;$J1684+7),0))</f>
        <v/>
      </c>
      <c r="F1684">
        <f>IF($J1684="","",IFERROR(SUMIFS('Weekly Log'!$F:$F,'Weekly Log'!$A:$A,"&gt;="&amp;$J1684,'Weekly Log'!$A:$A,"&lt;"&amp;$J1684+7)/SUMIFS('Weekly Log'!$E:$E,'Weekly Log'!$A:$A,"&gt;="&amp;$J1684,'Weekly Log'!$A:$A,"&lt;"&amp;$J1684+7),0))</f>
        <v/>
      </c>
      <c r="G1684">
        <f>IF($J1684="","",IFERROR(LOOKUP(2,1/(('Weekly Log'!$A$5:$A$5000&gt;=$J1684)*('Weekly Log'!$A$5:$A$5000&lt;$J1684+7)*('Weekly Log'!$M$5:$M$5000&lt;&gt;"")),'Weekly Log'!$M$5:$M$5000),0))</f>
        <v/>
      </c>
      <c r="J1684">
        <f>IF(COUNT('Weekly Log'!$A$5:$A$5000)=0,"",IF(MIN('Weekly Log'!$A$5:$A$5000)+7*(ROW()-10)&gt;MAX('Weekly Log'!$A$5:$A$5000),"",MIN('Weekly Log'!$A$5:$A$5000)+7*(ROW()-10)))</f>
        <v/>
      </c>
    </row>
    <row r="1685">
      <c r="A1685">
        <f>IF($J1685="","",YEAR($J1685-WEEKDAY($J1685,2)+4)&amp;"-W"&amp;TEXT(WEEKNUM($J1685,21),"00"))</f>
        <v/>
      </c>
      <c r="B1685">
        <f>IF($J1685="","",SUMIFS('Weekly Log'!$C:$C,'Weekly Log'!$A:$A,"&gt;="&amp;$J1685,'Weekly Log'!$A:$A,"&lt;"&amp;$J1685+7))</f>
        <v/>
      </c>
      <c r="C1685">
        <f>IF($J1685="","",IFERROR(COUNTIFS('Weekly Log'!$G:$G,"Y",'Weekly Log'!$A:$A,"&gt;="&amp;$J1685,'Weekly Log'!$A:$A,"&lt;"&amp;$J1685+7)/COUNTIFS('Weekly Log'!$G:$G,"&lt;&gt;",'Weekly Log'!$A:$A,"&gt;="&amp;$J1685,'Weekly Log'!$A:$A,"&lt;"&amp;$J1685+7),0))</f>
        <v/>
      </c>
      <c r="D1685">
        <f>IF($J1685="","",IFERROR(COUNTIFS('Weekly Log'!$H:$H,"Y",'Weekly Log'!$A:$A,"&gt;="&amp;$J1685,'Weekly Log'!$A:$A,"&lt;"&amp;$J1685+7)/COUNTIFS('Weekly Log'!$H:$H,"&lt;&gt;",'Weekly Log'!$A:$A,"&gt;="&amp;$J1685,'Weekly Log'!$A:$A,"&lt;"&amp;$J1685+7),0))</f>
        <v/>
      </c>
      <c r="E1685">
        <f>IF($J1685="","",IFERROR(AVERAGEIFS('Weekly Log'!$F:$F,'Weekly Log'!$A:$A,"&gt;="&amp;$J1685,'Weekly Log'!$A:$A,"&lt;"&amp;$J1685+7),0))</f>
        <v/>
      </c>
      <c r="F1685">
        <f>IF($J1685="","",IFERROR(SUMIFS('Weekly Log'!$F:$F,'Weekly Log'!$A:$A,"&gt;="&amp;$J1685,'Weekly Log'!$A:$A,"&lt;"&amp;$J1685+7)/SUMIFS('Weekly Log'!$E:$E,'Weekly Log'!$A:$A,"&gt;="&amp;$J1685,'Weekly Log'!$A:$A,"&lt;"&amp;$J1685+7),0))</f>
        <v/>
      </c>
      <c r="G1685">
        <f>IF($J1685="","",IFERROR(LOOKUP(2,1/(('Weekly Log'!$A$5:$A$5000&gt;=$J1685)*('Weekly Log'!$A$5:$A$5000&lt;$J1685+7)*('Weekly Log'!$M$5:$M$5000&lt;&gt;"")),'Weekly Log'!$M$5:$M$5000),0))</f>
        <v/>
      </c>
      <c r="J1685">
        <f>IF(COUNT('Weekly Log'!$A$5:$A$5000)=0,"",IF(MIN('Weekly Log'!$A$5:$A$5000)+7*(ROW()-10)&gt;MAX('Weekly Log'!$A$5:$A$5000),"",MIN('Weekly Log'!$A$5:$A$5000)+7*(ROW()-10)))</f>
        <v/>
      </c>
    </row>
    <row r="1686">
      <c r="A1686">
        <f>IF($J1686="","",YEAR($J1686-WEEKDAY($J1686,2)+4)&amp;"-W"&amp;TEXT(WEEKNUM($J1686,21),"00"))</f>
        <v/>
      </c>
      <c r="B1686">
        <f>IF($J1686="","",SUMIFS('Weekly Log'!$C:$C,'Weekly Log'!$A:$A,"&gt;="&amp;$J1686,'Weekly Log'!$A:$A,"&lt;"&amp;$J1686+7))</f>
        <v/>
      </c>
      <c r="C1686">
        <f>IF($J1686="","",IFERROR(COUNTIFS('Weekly Log'!$G:$G,"Y",'Weekly Log'!$A:$A,"&gt;="&amp;$J1686,'Weekly Log'!$A:$A,"&lt;"&amp;$J1686+7)/COUNTIFS('Weekly Log'!$G:$G,"&lt;&gt;",'Weekly Log'!$A:$A,"&gt;="&amp;$J1686,'Weekly Log'!$A:$A,"&lt;"&amp;$J1686+7),0))</f>
        <v/>
      </c>
      <c r="D1686">
        <f>IF($J1686="","",IFERROR(COUNTIFS('Weekly Log'!$H:$H,"Y",'Weekly Log'!$A:$A,"&gt;="&amp;$J1686,'Weekly Log'!$A:$A,"&lt;"&amp;$J1686+7)/COUNTIFS('Weekly Log'!$H:$H,"&lt;&gt;",'Weekly Log'!$A:$A,"&gt;="&amp;$J1686,'Weekly Log'!$A:$A,"&lt;"&amp;$J1686+7),0))</f>
        <v/>
      </c>
      <c r="E1686">
        <f>IF($J1686="","",IFERROR(AVERAGEIFS('Weekly Log'!$F:$F,'Weekly Log'!$A:$A,"&gt;="&amp;$J1686,'Weekly Log'!$A:$A,"&lt;"&amp;$J1686+7),0))</f>
        <v/>
      </c>
      <c r="F1686">
        <f>IF($J1686="","",IFERROR(SUMIFS('Weekly Log'!$F:$F,'Weekly Log'!$A:$A,"&gt;="&amp;$J1686,'Weekly Log'!$A:$A,"&lt;"&amp;$J1686+7)/SUMIFS('Weekly Log'!$E:$E,'Weekly Log'!$A:$A,"&gt;="&amp;$J1686,'Weekly Log'!$A:$A,"&lt;"&amp;$J1686+7),0))</f>
        <v/>
      </c>
      <c r="G1686">
        <f>IF($J1686="","",IFERROR(LOOKUP(2,1/(('Weekly Log'!$A$5:$A$5000&gt;=$J1686)*('Weekly Log'!$A$5:$A$5000&lt;$J1686+7)*('Weekly Log'!$M$5:$M$5000&lt;&gt;"")),'Weekly Log'!$M$5:$M$5000),0))</f>
        <v/>
      </c>
      <c r="J1686">
        <f>IF(COUNT('Weekly Log'!$A$5:$A$5000)=0,"",IF(MIN('Weekly Log'!$A$5:$A$5000)+7*(ROW()-10)&gt;MAX('Weekly Log'!$A$5:$A$5000),"",MIN('Weekly Log'!$A$5:$A$5000)+7*(ROW()-10)))</f>
        <v/>
      </c>
    </row>
    <row r="1687">
      <c r="A1687">
        <f>IF($J1687="","",YEAR($J1687-WEEKDAY($J1687,2)+4)&amp;"-W"&amp;TEXT(WEEKNUM($J1687,21),"00"))</f>
        <v/>
      </c>
      <c r="B1687">
        <f>IF($J1687="","",SUMIFS('Weekly Log'!$C:$C,'Weekly Log'!$A:$A,"&gt;="&amp;$J1687,'Weekly Log'!$A:$A,"&lt;"&amp;$J1687+7))</f>
        <v/>
      </c>
      <c r="C1687">
        <f>IF($J1687="","",IFERROR(COUNTIFS('Weekly Log'!$G:$G,"Y",'Weekly Log'!$A:$A,"&gt;="&amp;$J1687,'Weekly Log'!$A:$A,"&lt;"&amp;$J1687+7)/COUNTIFS('Weekly Log'!$G:$G,"&lt;&gt;",'Weekly Log'!$A:$A,"&gt;="&amp;$J1687,'Weekly Log'!$A:$A,"&lt;"&amp;$J1687+7),0))</f>
        <v/>
      </c>
      <c r="D1687">
        <f>IF($J1687="","",IFERROR(COUNTIFS('Weekly Log'!$H:$H,"Y",'Weekly Log'!$A:$A,"&gt;="&amp;$J1687,'Weekly Log'!$A:$A,"&lt;"&amp;$J1687+7)/COUNTIFS('Weekly Log'!$H:$H,"&lt;&gt;",'Weekly Log'!$A:$A,"&gt;="&amp;$J1687,'Weekly Log'!$A:$A,"&lt;"&amp;$J1687+7),0))</f>
        <v/>
      </c>
      <c r="E1687">
        <f>IF($J1687="","",IFERROR(AVERAGEIFS('Weekly Log'!$F:$F,'Weekly Log'!$A:$A,"&gt;="&amp;$J1687,'Weekly Log'!$A:$A,"&lt;"&amp;$J1687+7),0))</f>
        <v/>
      </c>
      <c r="F1687">
        <f>IF($J1687="","",IFERROR(SUMIFS('Weekly Log'!$F:$F,'Weekly Log'!$A:$A,"&gt;="&amp;$J1687,'Weekly Log'!$A:$A,"&lt;"&amp;$J1687+7)/SUMIFS('Weekly Log'!$E:$E,'Weekly Log'!$A:$A,"&gt;="&amp;$J1687,'Weekly Log'!$A:$A,"&lt;"&amp;$J1687+7),0))</f>
        <v/>
      </c>
      <c r="G1687">
        <f>IF($J1687="","",IFERROR(LOOKUP(2,1/(('Weekly Log'!$A$5:$A$5000&gt;=$J1687)*('Weekly Log'!$A$5:$A$5000&lt;$J1687+7)*('Weekly Log'!$M$5:$M$5000&lt;&gt;"")),'Weekly Log'!$M$5:$M$5000),0))</f>
        <v/>
      </c>
      <c r="J1687">
        <f>IF(COUNT('Weekly Log'!$A$5:$A$5000)=0,"",IF(MIN('Weekly Log'!$A$5:$A$5000)+7*(ROW()-10)&gt;MAX('Weekly Log'!$A$5:$A$5000),"",MIN('Weekly Log'!$A$5:$A$5000)+7*(ROW()-10)))</f>
        <v/>
      </c>
    </row>
    <row r="1688">
      <c r="A1688">
        <f>IF($J1688="","",YEAR($J1688-WEEKDAY($J1688,2)+4)&amp;"-W"&amp;TEXT(WEEKNUM($J1688,21),"00"))</f>
        <v/>
      </c>
      <c r="B1688">
        <f>IF($J1688="","",SUMIFS('Weekly Log'!$C:$C,'Weekly Log'!$A:$A,"&gt;="&amp;$J1688,'Weekly Log'!$A:$A,"&lt;"&amp;$J1688+7))</f>
        <v/>
      </c>
      <c r="C1688">
        <f>IF($J1688="","",IFERROR(COUNTIFS('Weekly Log'!$G:$G,"Y",'Weekly Log'!$A:$A,"&gt;="&amp;$J1688,'Weekly Log'!$A:$A,"&lt;"&amp;$J1688+7)/COUNTIFS('Weekly Log'!$G:$G,"&lt;&gt;",'Weekly Log'!$A:$A,"&gt;="&amp;$J1688,'Weekly Log'!$A:$A,"&lt;"&amp;$J1688+7),0))</f>
        <v/>
      </c>
      <c r="D1688">
        <f>IF($J1688="","",IFERROR(COUNTIFS('Weekly Log'!$H:$H,"Y",'Weekly Log'!$A:$A,"&gt;="&amp;$J1688,'Weekly Log'!$A:$A,"&lt;"&amp;$J1688+7)/COUNTIFS('Weekly Log'!$H:$H,"&lt;&gt;",'Weekly Log'!$A:$A,"&gt;="&amp;$J1688,'Weekly Log'!$A:$A,"&lt;"&amp;$J1688+7),0))</f>
        <v/>
      </c>
      <c r="E1688">
        <f>IF($J1688="","",IFERROR(AVERAGEIFS('Weekly Log'!$F:$F,'Weekly Log'!$A:$A,"&gt;="&amp;$J1688,'Weekly Log'!$A:$A,"&lt;"&amp;$J1688+7),0))</f>
        <v/>
      </c>
      <c r="F1688">
        <f>IF($J1688="","",IFERROR(SUMIFS('Weekly Log'!$F:$F,'Weekly Log'!$A:$A,"&gt;="&amp;$J1688,'Weekly Log'!$A:$A,"&lt;"&amp;$J1688+7)/SUMIFS('Weekly Log'!$E:$E,'Weekly Log'!$A:$A,"&gt;="&amp;$J1688,'Weekly Log'!$A:$A,"&lt;"&amp;$J1688+7),0))</f>
        <v/>
      </c>
      <c r="G1688">
        <f>IF($J1688="","",IFERROR(LOOKUP(2,1/(('Weekly Log'!$A$5:$A$5000&gt;=$J1688)*('Weekly Log'!$A$5:$A$5000&lt;$J1688+7)*('Weekly Log'!$M$5:$M$5000&lt;&gt;"")),'Weekly Log'!$M$5:$M$5000),0))</f>
        <v/>
      </c>
      <c r="J1688">
        <f>IF(COUNT('Weekly Log'!$A$5:$A$5000)=0,"",IF(MIN('Weekly Log'!$A$5:$A$5000)+7*(ROW()-10)&gt;MAX('Weekly Log'!$A$5:$A$5000),"",MIN('Weekly Log'!$A$5:$A$5000)+7*(ROW()-10)))</f>
        <v/>
      </c>
    </row>
    <row r="1689">
      <c r="A1689">
        <f>IF($J1689="","",YEAR($J1689-WEEKDAY($J1689,2)+4)&amp;"-W"&amp;TEXT(WEEKNUM($J1689,21),"00"))</f>
        <v/>
      </c>
      <c r="B1689">
        <f>IF($J1689="","",SUMIFS('Weekly Log'!$C:$C,'Weekly Log'!$A:$A,"&gt;="&amp;$J1689,'Weekly Log'!$A:$A,"&lt;"&amp;$J1689+7))</f>
        <v/>
      </c>
      <c r="C1689">
        <f>IF($J1689="","",IFERROR(COUNTIFS('Weekly Log'!$G:$G,"Y",'Weekly Log'!$A:$A,"&gt;="&amp;$J1689,'Weekly Log'!$A:$A,"&lt;"&amp;$J1689+7)/COUNTIFS('Weekly Log'!$G:$G,"&lt;&gt;",'Weekly Log'!$A:$A,"&gt;="&amp;$J1689,'Weekly Log'!$A:$A,"&lt;"&amp;$J1689+7),0))</f>
        <v/>
      </c>
      <c r="D1689">
        <f>IF($J1689="","",IFERROR(COUNTIFS('Weekly Log'!$H:$H,"Y",'Weekly Log'!$A:$A,"&gt;="&amp;$J1689,'Weekly Log'!$A:$A,"&lt;"&amp;$J1689+7)/COUNTIFS('Weekly Log'!$H:$H,"&lt;&gt;",'Weekly Log'!$A:$A,"&gt;="&amp;$J1689,'Weekly Log'!$A:$A,"&lt;"&amp;$J1689+7),0))</f>
        <v/>
      </c>
      <c r="E1689">
        <f>IF($J1689="","",IFERROR(AVERAGEIFS('Weekly Log'!$F:$F,'Weekly Log'!$A:$A,"&gt;="&amp;$J1689,'Weekly Log'!$A:$A,"&lt;"&amp;$J1689+7),0))</f>
        <v/>
      </c>
      <c r="F1689">
        <f>IF($J1689="","",IFERROR(SUMIFS('Weekly Log'!$F:$F,'Weekly Log'!$A:$A,"&gt;="&amp;$J1689,'Weekly Log'!$A:$A,"&lt;"&amp;$J1689+7)/SUMIFS('Weekly Log'!$E:$E,'Weekly Log'!$A:$A,"&gt;="&amp;$J1689,'Weekly Log'!$A:$A,"&lt;"&amp;$J1689+7),0))</f>
        <v/>
      </c>
      <c r="G1689">
        <f>IF($J1689="","",IFERROR(LOOKUP(2,1/(('Weekly Log'!$A$5:$A$5000&gt;=$J1689)*('Weekly Log'!$A$5:$A$5000&lt;$J1689+7)*('Weekly Log'!$M$5:$M$5000&lt;&gt;"")),'Weekly Log'!$M$5:$M$5000),0))</f>
        <v/>
      </c>
      <c r="J1689">
        <f>IF(COUNT('Weekly Log'!$A$5:$A$5000)=0,"",IF(MIN('Weekly Log'!$A$5:$A$5000)+7*(ROW()-10)&gt;MAX('Weekly Log'!$A$5:$A$5000),"",MIN('Weekly Log'!$A$5:$A$5000)+7*(ROW()-10)))</f>
        <v/>
      </c>
    </row>
    <row r="1690">
      <c r="A1690">
        <f>IF($J1690="","",YEAR($J1690-WEEKDAY($J1690,2)+4)&amp;"-W"&amp;TEXT(WEEKNUM($J1690,21),"00"))</f>
        <v/>
      </c>
      <c r="B1690">
        <f>IF($J1690="","",SUMIFS('Weekly Log'!$C:$C,'Weekly Log'!$A:$A,"&gt;="&amp;$J1690,'Weekly Log'!$A:$A,"&lt;"&amp;$J1690+7))</f>
        <v/>
      </c>
      <c r="C1690">
        <f>IF($J1690="","",IFERROR(COUNTIFS('Weekly Log'!$G:$G,"Y",'Weekly Log'!$A:$A,"&gt;="&amp;$J1690,'Weekly Log'!$A:$A,"&lt;"&amp;$J1690+7)/COUNTIFS('Weekly Log'!$G:$G,"&lt;&gt;",'Weekly Log'!$A:$A,"&gt;="&amp;$J1690,'Weekly Log'!$A:$A,"&lt;"&amp;$J1690+7),0))</f>
        <v/>
      </c>
      <c r="D1690">
        <f>IF($J1690="","",IFERROR(COUNTIFS('Weekly Log'!$H:$H,"Y",'Weekly Log'!$A:$A,"&gt;="&amp;$J1690,'Weekly Log'!$A:$A,"&lt;"&amp;$J1690+7)/COUNTIFS('Weekly Log'!$H:$H,"&lt;&gt;",'Weekly Log'!$A:$A,"&gt;="&amp;$J1690,'Weekly Log'!$A:$A,"&lt;"&amp;$J1690+7),0))</f>
        <v/>
      </c>
      <c r="E1690">
        <f>IF($J1690="","",IFERROR(AVERAGEIFS('Weekly Log'!$F:$F,'Weekly Log'!$A:$A,"&gt;="&amp;$J1690,'Weekly Log'!$A:$A,"&lt;"&amp;$J1690+7),0))</f>
        <v/>
      </c>
      <c r="F1690">
        <f>IF($J1690="","",IFERROR(SUMIFS('Weekly Log'!$F:$F,'Weekly Log'!$A:$A,"&gt;="&amp;$J1690,'Weekly Log'!$A:$A,"&lt;"&amp;$J1690+7)/SUMIFS('Weekly Log'!$E:$E,'Weekly Log'!$A:$A,"&gt;="&amp;$J1690,'Weekly Log'!$A:$A,"&lt;"&amp;$J1690+7),0))</f>
        <v/>
      </c>
      <c r="G1690">
        <f>IF($J1690="","",IFERROR(LOOKUP(2,1/(('Weekly Log'!$A$5:$A$5000&gt;=$J1690)*('Weekly Log'!$A$5:$A$5000&lt;$J1690+7)*('Weekly Log'!$M$5:$M$5000&lt;&gt;"")),'Weekly Log'!$M$5:$M$5000),0))</f>
        <v/>
      </c>
      <c r="J1690">
        <f>IF(COUNT('Weekly Log'!$A$5:$A$5000)=0,"",IF(MIN('Weekly Log'!$A$5:$A$5000)+7*(ROW()-10)&gt;MAX('Weekly Log'!$A$5:$A$5000),"",MIN('Weekly Log'!$A$5:$A$5000)+7*(ROW()-10)))</f>
        <v/>
      </c>
    </row>
    <row r="1691">
      <c r="A1691">
        <f>IF($J1691="","",YEAR($J1691-WEEKDAY($J1691,2)+4)&amp;"-W"&amp;TEXT(WEEKNUM($J1691,21),"00"))</f>
        <v/>
      </c>
      <c r="B1691">
        <f>IF($J1691="","",SUMIFS('Weekly Log'!$C:$C,'Weekly Log'!$A:$A,"&gt;="&amp;$J1691,'Weekly Log'!$A:$A,"&lt;"&amp;$J1691+7))</f>
        <v/>
      </c>
      <c r="C1691">
        <f>IF($J1691="","",IFERROR(COUNTIFS('Weekly Log'!$G:$G,"Y",'Weekly Log'!$A:$A,"&gt;="&amp;$J1691,'Weekly Log'!$A:$A,"&lt;"&amp;$J1691+7)/COUNTIFS('Weekly Log'!$G:$G,"&lt;&gt;",'Weekly Log'!$A:$A,"&gt;="&amp;$J1691,'Weekly Log'!$A:$A,"&lt;"&amp;$J1691+7),0))</f>
        <v/>
      </c>
      <c r="D1691">
        <f>IF($J1691="","",IFERROR(COUNTIFS('Weekly Log'!$H:$H,"Y",'Weekly Log'!$A:$A,"&gt;="&amp;$J1691,'Weekly Log'!$A:$A,"&lt;"&amp;$J1691+7)/COUNTIFS('Weekly Log'!$H:$H,"&lt;&gt;",'Weekly Log'!$A:$A,"&gt;="&amp;$J1691,'Weekly Log'!$A:$A,"&lt;"&amp;$J1691+7),0))</f>
        <v/>
      </c>
      <c r="E1691">
        <f>IF($J1691="","",IFERROR(AVERAGEIFS('Weekly Log'!$F:$F,'Weekly Log'!$A:$A,"&gt;="&amp;$J1691,'Weekly Log'!$A:$A,"&lt;"&amp;$J1691+7),0))</f>
        <v/>
      </c>
      <c r="F1691">
        <f>IF($J1691="","",IFERROR(SUMIFS('Weekly Log'!$F:$F,'Weekly Log'!$A:$A,"&gt;="&amp;$J1691,'Weekly Log'!$A:$A,"&lt;"&amp;$J1691+7)/SUMIFS('Weekly Log'!$E:$E,'Weekly Log'!$A:$A,"&gt;="&amp;$J1691,'Weekly Log'!$A:$A,"&lt;"&amp;$J1691+7),0))</f>
        <v/>
      </c>
      <c r="G1691">
        <f>IF($J1691="","",IFERROR(LOOKUP(2,1/(('Weekly Log'!$A$5:$A$5000&gt;=$J1691)*('Weekly Log'!$A$5:$A$5000&lt;$J1691+7)*('Weekly Log'!$M$5:$M$5000&lt;&gt;"")),'Weekly Log'!$M$5:$M$5000),0))</f>
        <v/>
      </c>
      <c r="J1691">
        <f>IF(COUNT('Weekly Log'!$A$5:$A$5000)=0,"",IF(MIN('Weekly Log'!$A$5:$A$5000)+7*(ROW()-10)&gt;MAX('Weekly Log'!$A$5:$A$5000),"",MIN('Weekly Log'!$A$5:$A$5000)+7*(ROW()-10)))</f>
        <v/>
      </c>
    </row>
    <row r="1692">
      <c r="A1692">
        <f>IF($J1692="","",YEAR($J1692-WEEKDAY($J1692,2)+4)&amp;"-W"&amp;TEXT(WEEKNUM($J1692,21),"00"))</f>
        <v/>
      </c>
      <c r="B1692">
        <f>IF($J1692="","",SUMIFS('Weekly Log'!$C:$C,'Weekly Log'!$A:$A,"&gt;="&amp;$J1692,'Weekly Log'!$A:$A,"&lt;"&amp;$J1692+7))</f>
        <v/>
      </c>
      <c r="C1692">
        <f>IF($J1692="","",IFERROR(COUNTIFS('Weekly Log'!$G:$G,"Y",'Weekly Log'!$A:$A,"&gt;="&amp;$J1692,'Weekly Log'!$A:$A,"&lt;"&amp;$J1692+7)/COUNTIFS('Weekly Log'!$G:$G,"&lt;&gt;",'Weekly Log'!$A:$A,"&gt;="&amp;$J1692,'Weekly Log'!$A:$A,"&lt;"&amp;$J1692+7),0))</f>
        <v/>
      </c>
      <c r="D1692">
        <f>IF($J1692="","",IFERROR(COUNTIFS('Weekly Log'!$H:$H,"Y",'Weekly Log'!$A:$A,"&gt;="&amp;$J1692,'Weekly Log'!$A:$A,"&lt;"&amp;$J1692+7)/COUNTIFS('Weekly Log'!$H:$H,"&lt;&gt;",'Weekly Log'!$A:$A,"&gt;="&amp;$J1692,'Weekly Log'!$A:$A,"&lt;"&amp;$J1692+7),0))</f>
        <v/>
      </c>
      <c r="E1692">
        <f>IF($J1692="","",IFERROR(AVERAGEIFS('Weekly Log'!$F:$F,'Weekly Log'!$A:$A,"&gt;="&amp;$J1692,'Weekly Log'!$A:$A,"&lt;"&amp;$J1692+7),0))</f>
        <v/>
      </c>
      <c r="F1692">
        <f>IF($J1692="","",IFERROR(SUMIFS('Weekly Log'!$F:$F,'Weekly Log'!$A:$A,"&gt;="&amp;$J1692,'Weekly Log'!$A:$A,"&lt;"&amp;$J1692+7)/SUMIFS('Weekly Log'!$E:$E,'Weekly Log'!$A:$A,"&gt;="&amp;$J1692,'Weekly Log'!$A:$A,"&lt;"&amp;$J1692+7),0))</f>
        <v/>
      </c>
      <c r="G1692">
        <f>IF($J1692="","",IFERROR(LOOKUP(2,1/(('Weekly Log'!$A$5:$A$5000&gt;=$J1692)*('Weekly Log'!$A$5:$A$5000&lt;$J1692+7)*('Weekly Log'!$M$5:$M$5000&lt;&gt;"")),'Weekly Log'!$M$5:$M$5000),0))</f>
        <v/>
      </c>
      <c r="J1692">
        <f>IF(COUNT('Weekly Log'!$A$5:$A$5000)=0,"",IF(MIN('Weekly Log'!$A$5:$A$5000)+7*(ROW()-10)&gt;MAX('Weekly Log'!$A$5:$A$5000),"",MIN('Weekly Log'!$A$5:$A$5000)+7*(ROW()-10)))</f>
        <v/>
      </c>
    </row>
    <row r="1693">
      <c r="A1693">
        <f>IF($J1693="","",YEAR($J1693-WEEKDAY($J1693,2)+4)&amp;"-W"&amp;TEXT(WEEKNUM($J1693,21),"00"))</f>
        <v/>
      </c>
      <c r="B1693">
        <f>IF($J1693="","",SUMIFS('Weekly Log'!$C:$C,'Weekly Log'!$A:$A,"&gt;="&amp;$J1693,'Weekly Log'!$A:$A,"&lt;"&amp;$J1693+7))</f>
        <v/>
      </c>
      <c r="C1693">
        <f>IF($J1693="","",IFERROR(COUNTIFS('Weekly Log'!$G:$G,"Y",'Weekly Log'!$A:$A,"&gt;="&amp;$J1693,'Weekly Log'!$A:$A,"&lt;"&amp;$J1693+7)/COUNTIFS('Weekly Log'!$G:$G,"&lt;&gt;",'Weekly Log'!$A:$A,"&gt;="&amp;$J1693,'Weekly Log'!$A:$A,"&lt;"&amp;$J1693+7),0))</f>
        <v/>
      </c>
      <c r="D1693">
        <f>IF($J1693="","",IFERROR(COUNTIFS('Weekly Log'!$H:$H,"Y",'Weekly Log'!$A:$A,"&gt;="&amp;$J1693,'Weekly Log'!$A:$A,"&lt;"&amp;$J1693+7)/COUNTIFS('Weekly Log'!$H:$H,"&lt;&gt;",'Weekly Log'!$A:$A,"&gt;="&amp;$J1693,'Weekly Log'!$A:$A,"&lt;"&amp;$J1693+7),0))</f>
        <v/>
      </c>
      <c r="E1693">
        <f>IF($J1693="","",IFERROR(AVERAGEIFS('Weekly Log'!$F:$F,'Weekly Log'!$A:$A,"&gt;="&amp;$J1693,'Weekly Log'!$A:$A,"&lt;"&amp;$J1693+7),0))</f>
        <v/>
      </c>
      <c r="F1693">
        <f>IF($J1693="","",IFERROR(SUMIFS('Weekly Log'!$F:$F,'Weekly Log'!$A:$A,"&gt;="&amp;$J1693,'Weekly Log'!$A:$A,"&lt;"&amp;$J1693+7)/SUMIFS('Weekly Log'!$E:$E,'Weekly Log'!$A:$A,"&gt;="&amp;$J1693,'Weekly Log'!$A:$A,"&lt;"&amp;$J1693+7),0))</f>
        <v/>
      </c>
      <c r="G1693">
        <f>IF($J1693="","",IFERROR(LOOKUP(2,1/(('Weekly Log'!$A$5:$A$5000&gt;=$J1693)*('Weekly Log'!$A$5:$A$5000&lt;$J1693+7)*('Weekly Log'!$M$5:$M$5000&lt;&gt;"")),'Weekly Log'!$M$5:$M$5000),0))</f>
        <v/>
      </c>
      <c r="J1693">
        <f>IF(COUNT('Weekly Log'!$A$5:$A$5000)=0,"",IF(MIN('Weekly Log'!$A$5:$A$5000)+7*(ROW()-10)&gt;MAX('Weekly Log'!$A$5:$A$5000),"",MIN('Weekly Log'!$A$5:$A$5000)+7*(ROW()-10)))</f>
        <v/>
      </c>
    </row>
    <row r="1694">
      <c r="A1694">
        <f>IF($J1694="","",YEAR($J1694-WEEKDAY($J1694,2)+4)&amp;"-W"&amp;TEXT(WEEKNUM($J1694,21),"00"))</f>
        <v/>
      </c>
      <c r="B1694">
        <f>IF($J1694="","",SUMIFS('Weekly Log'!$C:$C,'Weekly Log'!$A:$A,"&gt;="&amp;$J1694,'Weekly Log'!$A:$A,"&lt;"&amp;$J1694+7))</f>
        <v/>
      </c>
      <c r="C1694">
        <f>IF($J1694="","",IFERROR(COUNTIFS('Weekly Log'!$G:$G,"Y",'Weekly Log'!$A:$A,"&gt;="&amp;$J1694,'Weekly Log'!$A:$A,"&lt;"&amp;$J1694+7)/COUNTIFS('Weekly Log'!$G:$G,"&lt;&gt;",'Weekly Log'!$A:$A,"&gt;="&amp;$J1694,'Weekly Log'!$A:$A,"&lt;"&amp;$J1694+7),0))</f>
        <v/>
      </c>
      <c r="D1694">
        <f>IF($J1694="","",IFERROR(COUNTIFS('Weekly Log'!$H:$H,"Y",'Weekly Log'!$A:$A,"&gt;="&amp;$J1694,'Weekly Log'!$A:$A,"&lt;"&amp;$J1694+7)/COUNTIFS('Weekly Log'!$H:$H,"&lt;&gt;",'Weekly Log'!$A:$A,"&gt;="&amp;$J1694,'Weekly Log'!$A:$A,"&lt;"&amp;$J1694+7),0))</f>
        <v/>
      </c>
      <c r="E1694">
        <f>IF($J1694="","",IFERROR(AVERAGEIFS('Weekly Log'!$F:$F,'Weekly Log'!$A:$A,"&gt;="&amp;$J1694,'Weekly Log'!$A:$A,"&lt;"&amp;$J1694+7),0))</f>
        <v/>
      </c>
      <c r="F1694">
        <f>IF($J1694="","",IFERROR(SUMIFS('Weekly Log'!$F:$F,'Weekly Log'!$A:$A,"&gt;="&amp;$J1694,'Weekly Log'!$A:$A,"&lt;"&amp;$J1694+7)/SUMIFS('Weekly Log'!$E:$E,'Weekly Log'!$A:$A,"&gt;="&amp;$J1694,'Weekly Log'!$A:$A,"&lt;"&amp;$J1694+7),0))</f>
        <v/>
      </c>
      <c r="G1694">
        <f>IF($J1694="","",IFERROR(LOOKUP(2,1/(('Weekly Log'!$A$5:$A$5000&gt;=$J1694)*('Weekly Log'!$A$5:$A$5000&lt;$J1694+7)*('Weekly Log'!$M$5:$M$5000&lt;&gt;"")),'Weekly Log'!$M$5:$M$5000),0))</f>
        <v/>
      </c>
      <c r="J1694">
        <f>IF(COUNT('Weekly Log'!$A$5:$A$5000)=0,"",IF(MIN('Weekly Log'!$A$5:$A$5000)+7*(ROW()-10)&gt;MAX('Weekly Log'!$A$5:$A$5000),"",MIN('Weekly Log'!$A$5:$A$5000)+7*(ROW()-10)))</f>
        <v/>
      </c>
    </row>
    <row r="1695">
      <c r="A1695">
        <f>IF($J1695="","",YEAR($J1695-WEEKDAY($J1695,2)+4)&amp;"-W"&amp;TEXT(WEEKNUM($J1695,21),"00"))</f>
        <v/>
      </c>
      <c r="B1695">
        <f>IF($J1695="","",SUMIFS('Weekly Log'!$C:$C,'Weekly Log'!$A:$A,"&gt;="&amp;$J1695,'Weekly Log'!$A:$A,"&lt;"&amp;$J1695+7))</f>
        <v/>
      </c>
      <c r="C1695">
        <f>IF($J1695="","",IFERROR(COUNTIFS('Weekly Log'!$G:$G,"Y",'Weekly Log'!$A:$A,"&gt;="&amp;$J1695,'Weekly Log'!$A:$A,"&lt;"&amp;$J1695+7)/COUNTIFS('Weekly Log'!$G:$G,"&lt;&gt;",'Weekly Log'!$A:$A,"&gt;="&amp;$J1695,'Weekly Log'!$A:$A,"&lt;"&amp;$J1695+7),0))</f>
        <v/>
      </c>
      <c r="D1695">
        <f>IF($J1695="","",IFERROR(COUNTIFS('Weekly Log'!$H:$H,"Y",'Weekly Log'!$A:$A,"&gt;="&amp;$J1695,'Weekly Log'!$A:$A,"&lt;"&amp;$J1695+7)/COUNTIFS('Weekly Log'!$H:$H,"&lt;&gt;",'Weekly Log'!$A:$A,"&gt;="&amp;$J1695,'Weekly Log'!$A:$A,"&lt;"&amp;$J1695+7),0))</f>
        <v/>
      </c>
      <c r="E1695">
        <f>IF($J1695="","",IFERROR(AVERAGEIFS('Weekly Log'!$F:$F,'Weekly Log'!$A:$A,"&gt;="&amp;$J1695,'Weekly Log'!$A:$A,"&lt;"&amp;$J1695+7),0))</f>
        <v/>
      </c>
      <c r="F1695">
        <f>IF($J1695="","",IFERROR(SUMIFS('Weekly Log'!$F:$F,'Weekly Log'!$A:$A,"&gt;="&amp;$J1695,'Weekly Log'!$A:$A,"&lt;"&amp;$J1695+7)/SUMIFS('Weekly Log'!$E:$E,'Weekly Log'!$A:$A,"&gt;="&amp;$J1695,'Weekly Log'!$A:$A,"&lt;"&amp;$J1695+7),0))</f>
        <v/>
      </c>
      <c r="G1695">
        <f>IF($J1695="","",IFERROR(LOOKUP(2,1/(('Weekly Log'!$A$5:$A$5000&gt;=$J1695)*('Weekly Log'!$A$5:$A$5000&lt;$J1695+7)*('Weekly Log'!$M$5:$M$5000&lt;&gt;"")),'Weekly Log'!$M$5:$M$5000),0))</f>
        <v/>
      </c>
      <c r="J1695">
        <f>IF(COUNT('Weekly Log'!$A$5:$A$5000)=0,"",IF(MIN('Weekly Log'!$A$5:$A$5000)+7*(ROW()-10)&gt;MAX('Weekly Log'!$A$5:$A$5000),"",MIN('Weekly Log'!$A$5:$A$5000)+7*(ROW()-10)))</f>
        <v/>
      </c>
    </row>
    <row r="1696">
      <c r="A1696">
        <f>IF($J1696="","",YEAR($J1696-WEEKDAY($J1696,2)+4)&amp;"-W"&amp;TEXT(WEEKNUM($J1696,21),"00"))</f>
        <v/>
      </c>
      <c r="B1696">
        <f>IF($J1696="","",SUMIFS('Weekly Log'!$C:$C,'Weekly Log'!$A:$A,"&gt;="&amp;$J1696,'Weekly Log'!$A:$A,"&lt;"&amp;$J1696+7))</f>
        <v/>
      </c>
      <c r="C1696">
        <f>IF($J1696="","",IFERROR(COUNTIFS('Weekly Log'!$G:$G,"Y",'Weekly Log'!$A:$A,"&gt;="&amp;$J1696,'Weekly Log'!$A:$A,"&lt;"&amp;$J1696+7)/COUNTIFS('Weekly Log'!$G:$G,"&lt;&gt;",'Weekly Log'!$A:$A,"&gt;="&amp;$J1696,'Weekly Log'!$A:$A,"&lt;"&amp;$J1696+7),0))</f>
        <v/>
      </c>
      <c r="D1696">
        <f>IF($J1696="","",IFERROR(COUNTIFS('Weekly Log'!$H:$H,"Y",'Weekly Log'!$A:$A,"&gt;="&amp;$J1696,'Weekly Log'!$A:$A,"&lt;"&amp;$J1696+7)/COUNTIFS('Weekly Log'!$H:$H,"&lt;&gt;",'Weekly Log'!$A:$A,"&gt;="&amp;$J1696,'Weekly Log'!$A:$A,"&lt;"&amp;$J1696+7),0))</f>
        <v/>
      </c>
      <c r="E1696">
        <f>IF($J1696="","",IFERROR(AVERAGEIFS('Weekly Log'!$F:$F,'Weekly Log'!$A:$A,"&gt;="&amp;$J1696,'Weekly Log'!$A:$A,"&lt;"&amp;$J1696+7),0))</f>
        <v/>
      </c>
      <c r="F1696">
        <f>IF($J1696="","",IFERROR(SUMIFS('Weekly Log'!$F:$F,'Weekly Log'!$A:$A,"&gt;="&amp;$J1696,'Weekly Log'!$A:$A,"&lt;"&amp;$J1696+7)/SUMIFS('Weekly Log'!$E:$E,'Weekly Log'!$A:$A,"&gt;="&amp;$J1696,'Weekly Log'!$A:$A,"&lt;"&amp;$J1696+7),0))</f>
        <v/>
      </c>
      <c r="G1696">
        <f>IF($J1696="","",IFERROR(LOOKUP(2,1/(('Weekly Log'!$A$5:$A$5000&gt;=$J1696)*('Weekly Log'!$A$5:$A$5000&lt;$J1696+7)*('Weekly Log'!$M$5:$M$5000&lt;&gt;"")),'Weekly Log'!$M$5:$M$5000),0))</f>
        <v/>
      </c>
      <c r="J1696">
        <f>IF(COUNT('Weekly Log'!$A$5:$A$5000)=0,"",IF(MIN('Weekly Log'!$A$5:$A$5000)+7*(ROW()-10)&gt;MAX('Weekly Log'!$A$5:$A$5000),"",MIN('Weekly Log'!$A$5:$A$5000)+7*(ROW()-10)))</f>
        <v/>
      </c>
    </row>
    <row r="1697">
      <c r="A1697">
        <f>IF($J1697="","",YEAR($J1697-WEEKDAY($J1697,2)+4)&amp;"-W"&amp;TEXT(WEEKNUM($J1697,21),"00"))</f>
        <v/>
      </c>
      <c r="B1697">
        <f>IF($J1697="","",SUMIFS('Weekly Log'!$C:$C,'Weekly Log'!$A:$A,"&gt;="&amp;$J1697,'Weekly Log'!$A:$A,"&lt;"&amp;$J1697+7))</f>
        <v/>
      </c>
      <c r="C1697">
        <f>IF($J1697="","",IFERROR(COUNTIFS('Weekly Log'!$G:$G,"Y",'Weekly Log'!$A:$A,"&gt;="&amp;$J1697,'Weekly Log'!$A:$A,"&lt;"&amp;$J1697+7)/COUNTIFS('Weekly Log'!$G:$G,"&lt;&gt;",'Weekly Log'!$A:$A,"&gt;="&amp;$J1697,'Weekly Log'!$A:$A,"&lt;"&amp;$J1697+7),0))</f>
        <v/>
      </c>
      <c r="D1697">
        <f>IF($J1697="","",IFERROR(COUNTIFS('Weekly Log'!$H:$H,"Y",'Weekly Log'!$A:$A,"&gt;="&amp;$J1697,'Weekly Log'!$A:$A,"&lt;"&amp;$J1697+7)/COUNTIFS('Weekly Log'!$H:$H,"&lt;&gt;",'Weekly Log'!$A:$A,"&gt;="&amp;$J1697,'Weekly Log'!$A:$A,"&lt;"&amp;$J1697+7),0))</f>
        <v/>
      </c>
      <c r="E1697">
        <f>IF($J1697="","",IFERROR(AVERAGEIFS('Weekly Log'!$F:$F,'Weekly Log'!$A:$A,"&gt;="&amp;$J1697,'Weekly Log'!$A:$A,"&lt;"&amp;$J1697+7),0))</f>
        <v/>
      </c>
      <c r="F1697">
        <f>IF($J1697="","",IFERROR(SUMIFS('Weekly Log'!$F:$F,'Weekly Log'!$A:$A,"&gt;="&amp;$J1697,'Weekly Log'!$A:$A,"&lt;"&amp;$J1697+7)/SUMIFS('Weekly Log'!$E:$E,'Weekly Log'!$A:$A,"&gt;="&amp;$J1697,'Weekly Log'!$A:$A,"&lt;"&amp;$J1697+7),0))</f>
        <v/>
      </c>
      <c r="G1697">
        <f>IF($J1697="","",IFERROR(LOOKUP(2,1/(('Weekly Log'!$A$5:$A$5000&gt;=$J1697)*('Weekly Log'!$A$5:$A$5000&lt;$J1697+7)*('Weekly Log'!$M$5:$M$5000&lt;&gt;"")),'Weekly Log'!$M$5:$M$5000),0))</f>
        <v/>
      </c>
      <c r="J1697">
        <f>IF(COUNT('Weekly Log'!$A$5:$A$5000)=0,"",IF(MIN('Weekly Log'!$A$5:$A$5000)+7*(ROW()-10)&gt;MAX('Weekly Log'!$A$5:$A$5000),"",MIN('Weekly Log'!$A$5:$A$5000)+7*(ROW()-10)))</f>
        <v/>
      </c>
    </row>
    <row r="1698">
      <c r="A1698">
        <f>IF($J1698="","",YEAR($J1698-WEEKDAY($J1698,2)+4)&amp;"-W"&amp;TEXT(WEEKNUM($J1698,21),"00"))</f>
        <v/>
      </c>
      <c r="B1698">
        <f>IF($J1698="","",SUMIFS('Weekly Log'!$C:$C,'Weekly Log'!$A:$A,"&gt;="&amp;$J1698,'Weekly Log'!$A:$A,"&lt;"&amp;$J1698+7))</f>
        <v/>
      </c>
      <c r="C1698">
        <f>IF($J1698="","",IFERROR(COUNTIFS('Weekly Log'!$G:$G,"Y",'Weekly Log'!$A:$A,"&gt;="&amp;$J1698,'Weekly Log'!$A:$A,"&lt;"&amp;$J1698+7)/COUNTIFS('Weekly Log'!$G:$G,"&lt;&gt;",'Weekly Log'!$A:$A,"&gt;="&amp;$J1698,'Weekly Log'!$A:$A,"&lt;"&amp;$J1698+7),0))</f>
        <v/>
      </c>
      <c r="D1698">
        <f>IF($J1698="","",IFERROR(COUNTIFS('Weekly Log'!$H:$H,"Y",'Weekly Log'!$A:$A,"&gt;="&amp;$J1698,'Weekly Log'!$A:$A,"&lt;"&amp;$J1698+7)/COUNTIFS('Weekly Log'!$H:$H,"&lt;&gt;",'Weekly Log'!$A:$A,"&gt;="&amp;$J1698,'Weekly Log'!$A:$A,"&lt;"&amp;$J1698+7),0))</f>
        <v/>
      </c>
      <c r="E1698">
        <f>IF($J1698="","",IFERROR(AVERAGEIFS('Weekly Log'!$F:$F,'Weekly Log'!$A:$A,"&gt;="&amp;$J1698,'Weekly Log'!$A:$A,"&lt;"&amp;$J1698+7),0))</f>
        <v/>
      </c>
      <c r="F1698">
        <f>IF($J1698="","",IFERROR(SUMIFS('Weekly Log'!$F:$F,'Weekly Log'!$A:$A,"&gt;="&amp;$J1698,'Weekly Log'!$A:$A,"&lt;"&amp;$J1698+7)/SUMIFS('Weekly Log'!$E:$E,'Weekly Log'!$A:$A,"&gt;="&amp;$J1698,'Weekly Log'!$A:$A,"&lt;"&amp;$J1698+7),0))</f>
        <v/>
      </c>
      <c r="G1698">
        <f>IF($J1698="","",IFERROR(LOOKUP(2,1/(('Weekly Log'!$A$5:$A$5000&gt;=$J1698)*('Weekly Log'!$A$5:$A$5000&lt;$J1698+7)*('Weekly Log'!$M$5:$M$5000&lt;&gt;"")),'Weekly Log'!$M$5:$M$5000),0))</f>
        <v/>
      </c>
      <c r="J1698">
        <f>IF(COUNT('Weekly Log'!$A$5:$A$5000)=0,"",IF(MIN('Weekly Log'!$A$5:$A$5000)+7*(ROW()-10)&gt;MAX('Weekly Log'!$A$5:$A$5000),"",MIN('Weekly Log'!$A$5:$A$5000)+7*(ROW()-10)))</f>
        <v/>
      </c>
    </row>
    <row r="1699">
      <c r="A1699">
        <f>IF($J1699="","",YEAR($J1699-WEEKDAY($J1699,2)+4)&amp;"-W"&amp;TEXT(WEEKNUM($J1699,21),"00"))</f>
        <v/>
      </c>
      <c r="B1699">
        <f>IF($J1699="","",SUMIFS('Weekly Log'!$C:$C,'Weekly Log'!$A:$A,"&gt;="&amp;$J1699,'Weekly Log'!$A:$A,"&lt;"&amp;$J1699+7))</f>
        <v/>
      </c>
      <c r="C1699">
        <f>IF($J1699="","",IFERROR(COUNTIFS('Weekly Log'!$G:$G,"Y",'Weekly Log'!$A:$A,"&gt;="&amp;$J1699,'Weekly Log'!$A:$A,"&lt;"&amp;$J1699+7)/COUNTIFS('Weekly Log'!$G:$G,"&lt;&gt;",'Weekly Log'!$A:$A,"&gt;="&amp;$J1699,'Weekly Log'!$A:$A,"&lt;"&amp;$J1699+7),0))</f>
        <v/>
      </c>
      <c r="D1699">
        <f>IF($J1699="","",IFERROR(COUNTIFS('Weekly Log'!$H:$H,"Y",'Weekly Log'!$A:$A,"&gt;="&amp;$J1699,'Weekly Log'!$A:$A,"&lt;"&amp;$J1699+7)/COUNTIFS('Weekly Log'!$H:$H,"&lt;&gt;",'Weekly Log'!$A:$A,"&gt;="&amp;$J1699,'Weekly Log'!$A:$A,"&lt;"&amp;$J1699+7),0))</f>
        <v/>
      </c>
      <c r="E1699">
        <f>IF($J1699="","",IFERROR(AVERAGEIFS('Weekly Log'!$F:$F,'Weekly Log'!$A:$A,"&gt;="&amp;$J1699,'Weekly Log'!$A:$A,"&lt;"&amp;$J1699+7),0))</f>
        <v/>
      </c>
      <c r="F1699">
        <f>IF($J1699="","",IFERROR(SUMIFS('Weekly Log'!$F:$F,'Weekly Log'!$A:$A,"&gt;="&amp;$J1699,'Weekly Log'!$A:$A,"&lt;"&amp;$J1699+7)/SUMIFS('Weekly Log'!$E:$E,'Weekly Log'!$A:$A,"&gt;="&amp;$J1699,'Weekly Log'!$A:$A,"&lt;"&amp;$J1699+7),0))</f>
        <v/>
      </c>
      <c r="G1699">
        <f>IF($J1699="","",IFERROR(LOOKUP(2,1/(('Weekly Log'!$A$5:$A$5000&gt;=$J1699)*('Weekly Log'!$A$5:$A$5000&lt;$J1699+7)*('Weekly Log'!$M$5:$M$5000&lt;&gt;"")),'Weekly Log'!$M$5:$M$5000),0))</f>
        <v/>
      </c>
      <c r="J1699">
        <f>IF(COUNT('Weekly Log'!$A$5:$A$5000)=0,"",IF(MIN('Weekly Log'!$A$5:$A$5000)+7*(ROW()-10)&gt;MAX('Weekly Log'!$A$5:$A$5000),"",MIN('Weekly Log'!$A$5:$A$5000)+7*(ROW()-10)))</f>
        <v/>
      </c>
    </row>
    <row r="1700">
      <c r="A1700">
        <f>IF($J1700="","",YEAR($J1700-WEEKDAY($J1700,2)+4)&amp;"-W"&amp;TEXT(WEEKNUM($J1700,21),"00"))</f>
        <v/>
      </c>
      <c r="B1700">
        <f>IF($J1700="","",SUMIFS('Weekly Log'!$C:$C,'Weekly Log'!$A:$A,"&gt;="&amp;$J1700,'Weekly Log'!$A:$A,"&lt;"&amp;$J1700+7))</f>
        <v/>
      </c>
      <c r="C1700">
        <f>IF($J1700="","",IFERROR(COUNTIFS('Weekly Log'!$G:$G,"Y",'Weekly Log'!$A:$A,"&gt;="&amp;$J1700,'Weekly Log'!$A:$A,"&lt;"&amp;$J1700+7)/COUNTIFS('Weekly Log'!$G:$G,"&lt;&gt;",'Weekly Log'!$A:$A,"&gt;="&amp;$J1700,'Weekly Log'!$A:$A,"&lt;"&amp;$J1700+7),0))</f>
        <v/>
      </c>
      <c r="D1700">
        <f>IF($J1700="","",IFERROR(COUNTIFS('Weekly Log'!$H:$H,"Y",'Weekly Log'!$A:$A,"&gt;="&amp;$J1700,'Weekly Log'!$A:$A,"&lt;"&amp;$J1700+7)/COUNTIFS('Weekly Log'!$H:$H,"&lt;&gt;",'Weekly Log'!$A:$A,"&gt;="&amp;$J1700,'Weekly Log'!$A:$A,"&lt;"&amp;$J1700+7),0))</f>
        <v/>
      </c>
      <c r="E1700">
        <f>IF($J1700="","",IFERROR(AVERAGEIFS('Weekly Log'!$F:$F,'Weekly Log'!$A:$A,"&gt;="&amp;$J1700,'Weekly Log'!$A:$A,"&lt;"&amp;$J1700+7),0))</f>
        <v/>
      </c>
      <c r="F1700">
        <f>IF($J1700="","",IFERROR(SUMIFS('Weekly Log'!$F:$F,'Weekly Log'!$A:$A,"&gt;="&amp;$J1700,'Weekly Log'!$A:$A,"&lt;"&amp;$J1700+7)/SUMIFS('Weekly Log'!$E:$E,'Weekly Log'!$A:$A,"&gt;="&amp;$J1700,'Weekly Log'!$A:$A,"&lt;"&amp;$J1700+7),0))</f>
        <v/>
      </c>
      <c r="G1700">
        <f>IF($J1700="","",IFERROR(LOOKUP(2,1/(('Weekly Log'!$A$5:$A$5000&gt;=$J1700)*('Weekly Log'!$A$5:$A$5000&lt;$J1700+7)*('Weekly Log'!$M$5:$M$5000&lt;&gt;"")),'Weekly Log'!$M$5:$M$5000),0))</f>
        <v/>
      </c>
      <c r="J1700">
        <f>IF(COUNT('Weekly Log'!$A$5:$A$5000)=0,"",IF(MIN('Weekly Log'!$A$5:$A$5000)+7*(ROW()-10)&gt;MAX('Weekly Log'!$A$5:$A$5000),"",MIN('Weekly Log'!$A$5:$A$5000)+7*(ROW()-10)))</f>
        <v/>
      </c>
    </row>
    <row r="1701">
      <c r="A1701">
        <f>IF($J1701="","",YEAR($J1701-WEEKDAY($J1701,2)+4)&amp;"-W"&amp;TEXT(WEEKNUM($J1701,21),"00"))</f>
        <v/>
      </c>
      <c r="B1701">
        <f>IF($J1701="","",SUMIFS('Weekly Log'!$C:$C,'Weekly Log'!$A:$A,"&gt;="&amp;$J1701,'Weekly Log'!$A:$A,"&lt;"&amp;$J1701+7))</f>
        <v/>
      </c>
      <c r="C1701">
        <f>IF($J1701="","",IFERROR(COUNTIFS('Weekly Log'!$G:$G,"Y",'Weekly Log'!$A:$A,"&gt;="&amp;$J1701,'Weekly Log'!$A:$A,"&lt;"&amp;$J1701+7)/COUNTIFS('Weekly Log'!$G:$G,"&lt;&gt;",'Weekly Log'!$A:$A,"&gt;="&amp;$J1701,'Weekly Log'!$A:$A,"&lt;"&amp;$J1701+7),0))</f>
        <v/>
      </c>
      <c r="D1701">
        <f>IF($J1701="","",IFERROR(COUNTIFS('Weekly Log'!$H:$H,"Y",'Weekly Log'!$A:$A,"&gt;="&amp;$J1701,'Weekly Log'!$A:$A,"&lt;"&amp;$J1701+7)/COUNTIFS('Weekly Log'!$H:$H,"&lt;&gt;",'Weekly Log'!$A:$A,"&gt;="&amp;$J1701,'Weekly Log'!$A:$A,"&lt;"&amp;$J1701+7),0))</f>
        <v/>
      </c>
      <c r="E1701">
        <f>IF($J1701="","",IFERROR(AVERAGEIFS('Weekly Log'!$F:$F,'Weekly Log'!$A:$A,"&gt;="&amp;$J1701,'Weekly Log'!$A:$A,"&lt;"&amp;$J1701+7),0))</f>
        <v/>
      </c>
      <c r="F1701">
        <f>IF($J1701="","",IFERROR(SUMIFS('Weekly Log'!$F:$F,'Weekly Log'!$A:$A,"&gt;="&amp;$J1701,'Weekly Log'!$A:$A,"&lt;"&amp;$J1701+7)/SUMIFS('Weekly Log'!$E:$E,'Weekly Log'!$A:$A,"&gt;="&amp;$J1701,'Weekly Log'!$A:$A,"&lt;"&amp;$J1701+7),0))</f>
        <v/>
      </c>
      <c r="G1701">
        <f>IF($J1701="","",IFERROR(LOOKUP(2,1/(('Weekly Log'!$A$5:$A$5000&gt;=$J1701)*('Weekly Log'!$A$5:$A$5000&lt;$J1701+7)*('Weekly Log'!$M$5:$M$5000&lt;&gt;"")),'Weekly Log'!$M$5:$M$5000),0))</f>
        <v/>
      </c>
      <c r="J1701">
        <f>IF(COUNT('Weekly Log'!$A$5:$A$5000)=0,"",IF(MIN('Weekly Log'!$A$5:$A$5000)+7*(ROW()-10)&gt;MAX('Weekly Log'!$A$5:$A$5000),"",MIN('Weekly Log'!$A$5:$A$5000)+7*(ROW()-10)))</f>
        <v/>
      </c>
    </row>
    <row r="1702">
      <c r="A1702">
        <f>IF($J1702="","",YEAR($J1702-WEEKDAY($J1702,2)+4)&amp;"-W"&amp;TEXT(WEEKNUM($J1702,21),"00"))</f>
        <v/>
      </c>
      <c r="B1702">
        <f>IF($J1702="","",SUMIFS('Weekly Log'!$C:$C,'Weekly Log'!$A:$A,"&gt;="&amp;$J1702,'Weekly Log'!$A:$A,"&lt;"&amp;$J1702+7))</f>
        <v/>
      </c>
      <c r="C1702">
        <f>IF($J1702="","",IFERROR(COUNTIFS('Weekly Log'!$G:$G,"Y",'Weekly Log'!$A:$A,"&gt;="&amp;$J1702,'Weekly Log'!$A:$A,"&lt;"&amp;$J1702+7)/COUNTIFS('Weekly Log'!$G:$G,"&lt;&gt;",'Weekly Log'!$A:$A,"&gt;="&amp;$J1702,'Weekly Log'!$A:$A,"&lt;"&amp;$J1702+7),0))</f>
        <v/>
      </c>
      <c r="D1702">
        <f>IF($J1702="","",IFERROR(COUNTIFS('Weekly Log'!$H:$H,"Y",'Weekly Log'!$A:$A,"&gt;="&amp;$J1702,'Weekly Log'!$A:$A,"&lt;"&amp;$J1702+7)/COUNTIFS('Weekly Log'!$H:$H,"&lt;&gt;",'Weekly Log'!$A:$A,"&gt;="&amp;$J1702,'Weekly Log'!$A:$A,"&lt;"&amp;$J1702+7),0))</f>
        <v/>
      </c>
      <c r="E1702">
        <f>IF($J1702="","",IFERROR(AVERAGEIFS('Weekly Log'!$F:$F,'Weekly Log'!$A:$A,"&gt;="&amp;$J1702,'Weekly Log'!$A:$A,"&lt;"&amp;$J1702+7),0))</f>
        <v/>
      </c>
      <c r="F1702">
        <f>IF($J1702="","",IFERROR(SUMIFS('Weekly Log'!$F:$F,'Weekly Log'!$A:$A,"&gt;="&amp;$J1702,'Weekly Log'!$A:$A,"&lt;"&amp;$J1702+7)/SUMIFS('Weekly Log'!$E:$E,'Weekly Log'!$A:$A,"&gt;="&amp;$J1702,'Weekly Log'!$A:$A,"&lt;"&amp;$J1702+7),0))</f>
        <v/>
      </c>
      <c r="G1702">
        <f>IF($J1702="","",IFERROR(LOOKUP(2,1/(('Weekly Log'!$A$5:$A$5000&gt;=$J1702)*('Weekly Log'!$A$5:$A$5000&lt;$J1702+7)*('Weekly Log'!$M$5:$M$5000&lt;&gt;"")),'Weekly Log'!$M$5:$M$5000),0))</f>
        <v/>
      </c>
      <c r="J1702">
        <f>IF(COUNT('Weekly Log'!$A$5:$A$5000)=0,"",IF(MIN('Weekly Log'!$A$5:$A$5000)+7*(ROW()-10)&gt;MAX('Weekly Log'!$A$5:$A$5000),"",MIN('Weekly Log'!$A$5:$A$5000)+7*(ROW()-10)))</f>
        <v/>
      </c>
    </row>
    <row r="1703">
      <c r="A1703">
        <f>IF($J1703="","",YEAR($J1703-WEEKDAY($J1703,2)+4)&amp;"-W"&amp;TEXT(WEEKNUM($J1703,21),"00"))</f>
        <v/>
      </c>
      <c r="B1703">
        <f>IF($J1703="","",SUMIFS('Weekly Log'!$C:$C,'Weekly Log'!$A:$A,"&gt;="&amp;$J1703,'Weekly Log'!$A:$A,"&lt;"&amp;$J1703+7))</f>
        <v/>
      </c>
      <c r="C1703">
        <f>IF($J1703="","",IFERROR(COUNTIFS('Weekly Log'!$G:$G,"Y",'Weekly Log'!$A:$A,"&gt;="&amp;$J1703,'Weekly Log'!$A:$A,"&lt;"&amp;$J1703+7)/COUNTIFS('Weekly Log'!$G:$G,"&lt;&gt;",'Weekly Log'!$A:$A,"&gt;="&amp;$J1703,'Weekly Log'!$A:$A,"&lt;"&amp;$J1703+7),0))</f>
        <v/>
      </c>
      <c r="D1703">
        <f>IF($J1703="","",IFERROR(COUNTIFS('Weekly Log'!$H:$H,"Y",'Weekly Log'!$A:$A,"&gt;="&amp;$J1703,'Weekly Log'!$A:$A,"&lt;"&amp;$J1703+7)/COUNTIFS('Weekly Log'!$H:$H,"&lt;&gt;",'Weekly Log'!$A:$A,"&gt;="&amp;$J1703,'Weekly Log'!$A:$A,"&lt;"&amp;$J1703+7),0))</f>
        <v/>
      </c>
      <c r="E1703">
        <f>IF($J1703="","",IFERROR(AVERAGEIFS('Weekly Log'!$F:$F,'Weekly Log'!$A:$A,"&gt;="&amp;$J1703,'Weekly Log'!$A:$A,"&lt;"&amp;$J1703+7),0))</f>
        <v/>
      </c>
      <c r="F1703">
        <f>IF($J1703="","",IFERROR(SUMIFS('Weekly Log'!$F:$F,'Weekly Log'!$A:$A,"&gt;="&amp;$J1703,'Weekly Log'!$A:$A,"&lt;"&amp;$J1703+7)/SUMIFS('Weekly Log'!$E:$E,'Weekly Log'!$A:$A,"&gt;="&amp;$J1703,'Weekly Log'!$A:$A,"&lt;"&amp;$J1703+7),0))</f>
        <v/>
      </c>
      <c r="G1703">
        <f>IF($J1703="","",IFERROR(LOOKUP(2,1/(('Weekly Log'!$A$5:$A$5000&gt;=$J1703)*('Weekly Log'!$A$5:$A$5000&lt;$J1703+7)*('Weekly Log'!$M$5:$M$5000&lt;&gt;"")),'Weekly Log'!$M$5:$M$5000),0))</f>
        <v/>
      </c>
      <c r="J1703">
        <f>IF(COUNT('Weekly Log'!$A$5:$A$5000)=0,"",IF(MIN('Weekly Log'!$A$5:$A$5000)+7*(ROW()-10)&gt;MAX('Weekly Log'!$A$5:$A$5000),"",MIN('Weekly Log'!$A$5:$A$5000)+7*(ROW()-10)))</f>
        <v/>
      </c>
    </row>
    <row r="1704">
      <c r="A1704">
        <f>IF($J1704="","",YEAR($J1704-WEEKDAY($J1704,2)+4)&amp;"-W"&amp;TEXT(WEEKNUM($J1704,21),"00"))</f>
        <v/>
      </c>
      <c r="B1704">
        <f>IF($J1704="","",SUMIFS('Weekly Log'!$C:$C,'Weekly Log'!$A:$A,"&gt;="&amp;$J1704,'Weekly Log'!$A:$A,"&lt;"&amp;$J1704+7))</f>
        <v/>
      </c>
      <c r="C1704">
        <f>IF($J1704="","",IFERROR(COUNTIFS('Weekly Log'!$G:$G,"Y",'Weekly Log'!$A:$A,"&gt;="&amp;$J1704,'Weekly Log'!$A:$A,"&lt;"&amp;$J1704+7)/COUNTIFS('Weekly Log'!$G:$G,"&lt;&gt;",'Weekly Log'!$A:$A,"&gt;="&amp;$J1704,'Weekly Log'!$A:$A,"&lt;"&amp;$J1704+7),0))</f>
        <v/>
      </c>
      <c r="D1704">
        <f>IF($J1704="","",IFERROR(COUNTIFS('Weekly Log'!$H:$H,"Y",'Weekly Log'!$A:$A,"&gt;="&amp;$J1704,'Weekly Log'!$A:$A,"&lt;"&amp;$J1704+7)/COUNTIFS('Weekly Log'!$H:$H,"&lt;&gt;",'Weekly Log'!$A:$A,"&gt;="&amp;$J1704,'Weekly Log'!$A:$A,"&lt;"&amp;$J1704+7),0))</f>
        <v/>
      </c>
      <c r="E1704">
        <f>IF($J1704="","",IFERROR(AVERAGEIFS('Weekly Log'!$F:$F,'Weekly Log'!$A:$A,"&gt;="&amp;$J1704,'Weekly Log'!$A:$A,"&lt;"&amp;$J1704+7),0))</f>
        <v/>
      </c>
      <c r="F1704">
        <f>IF($J1704="","",IFERROR(SUMIFS('Weekly Log'!$F:$F,'Weekly Log'!$A:$A,"&gt;="&amp;$J1704,'Weekly Log'!$A:$A,"&lt;"&amp;$J1704+7)/SUMIFS('Weekly Log'!$E:$E,'Weekly Log'!$A:$A,"&gt;="&amp;$J1704,'Weekly Log'!$A:$A,"&lt;"&amp;$J1704+7),0))</f>
        <v/>
      </c>
      <c r="G1704">
        <f>IF($J1704="","",IFERROR(LOOKUP(2,1/(('Weekly Log'!$A$5:$A$5000&gt;=$J1704)*('Weekly Log'!$A$5:$A$5000&lt;$J1704+7)*('Weekly Log'!$M$5:$M$5000&lt;&gt;"")),'Weekly Log'!$M$5:$M$5000),0))</f>
        <v/>
      </c>
      <c r="J1704">
        <f>IF(COUNT('Weekly Log'!$A$5:$A$5000)=0,"",IF(MIN('Weekly Log'!$A$5:$A$5000)+7*(ROW()-10)&gt;MAX('Weekly Log'!$A$5:$A$5000),"",MIN('Weekly Log'!$A$5:$A$5000)+7*(ROW()-10)))</f>
        <v/>
      </c>
    </row>
    <row r="1705">
      <c r="A1705">
        <f>IF($J1705="","",YEAR($J1705-WEEKDAY($J1705,2)+4)&amp;"-W"&amp;TEXT(WEEKNUM($J1705,21),"00"))</f>
        <v/>
      </c>
      <c r="B1705">
        <f>IF($J1705="","",SUMIFS('Weekly Log'!$C:$C,'Weekly Log'!$A:$A,"&gt;="&amp;$J1705,'Weekly Log'!$A:$A,"&lt;"&amp;$J1705+7))</f>
        <v/>
      </c>
      <c r="C1705">
        <f>IF($J1705="","",IFERROR(COUNTIFS('Weekly Log'!$G:$G,"Y",'Weekly Log'!$A:$A,"&gt;="&amp;$J1705,'Weekly Log'!$A:$A,"&lt;"&amp;$J1705+7)/COUNTIFS('Weekly Log'!$G:$G,"&lt;&gt;",'Weekly Log'!$A:$A,"&gt;="&amp;$J1705,'Weekly Log'!$A:$A,"&lt;"&amp;$J1705+7),0))</f>
        <v/>
      </c>
      <c r="D1705">
        <f>IF($J1705="","",IFERROR(COUNTIFS('Weekly Log'!$H:$H,"Y",'Weekly Log'!$A:$A,"&gt;="&amp;$J1705,'Weekly Log'!$A:$A,"&lt;"&amp;$J1705+7)/COUNTIFS('Weekly Log'!$H:$H,"&lt;&gt;",'Weekly Log'!$A:$A,"&gt;="&amp;$J1705,'Weekly Log'!$A:$A,"&lt;"&amp;$J1705+7),0))</f>
        <v/>
      </c>
      <c r="E1705">
        <f>IF($J1705="","",IFERROR(AVERAGEIFS('Weekly Log'!$F:$F,'Weekly Log'!$A:$A,"&gt;="&amp;$J1705,'Weekly Log'!$A:$A,"&lt;"&amp;$J1705+7),0))</f>
        <v/>
      </c>
      <c r="F1705">
        <f>IF($J1705="","",IFERROR(SUMIFS('Weekly Log'!$F:$F,'Weekly Log'!$A:$A,"&gt;="&amp;$J1705,'Weekly Log'!$A:$A,"&lt;"&amp;$J1705+7)/SUMIFS('Weekly Log'!$E:$E,'Weekly Log'!$A:$A,"&gt;="&amp;$J1705,'Weekly Log'!$A:$A,"&lt;"&amp;$J1705+7),0))</f>
        <v/>
      </c>
      <c r="G1705">
        <f>IF($J1705="","",IFERROR(LOOKUP(2,1/(('Weekly Log'!$A$5:$A$5000&gt;=$J1705)*('Weekly Log'!$A$5:$A$5000&lt;$J1705+7)*('Weekly Log'!$M$5:$M$5000&lt;&gt;"")),'Weekly Log'!$M$5:$M$5000),0))</f>
        <v/>
      </c>
      <c r="J1705">
        <f>IF(COUNT('Weekly Log'!$A$5:$A$5000)=0,"",IF(MIN('Weekly Log'!$A$5:$A$5000)+7*(ROW()-10)&gt;MAX('Weekly Log'!$A$5:$A$5000),"",MIN('Weekly Log'!$A$5:$A$5000)+7*(ROW()-10)))</f>
        <v/>
      </c>
    </row>
    <row r="1706">
      <c r="A1706">
        <f>IF($J1706="","",YEAR($J1706-WEEKDAY($J1706,2)+4)&amp;"-W"&amp;TEXT(WEEKNUM($J1706,21),"00"))</f>
        <v/>
      </c>
      <c r="B1706">
        <f>IF($J1706="","",SUMIFS('Weekly Log'!$C:$C,'Weekly Log'!$A:$A,"&gt;="&amp;$J1706,'Weekly Log'!$A:$A,"&lt;"&amp;$J1706+7))</f>
        <v/>
      </c>
      <c r="C1706">
        <f>IF($J1706="","",IFERROR(COUNTIFS('Weekly Log'!$G:$G,"Y",'Weekly Log'!$A:$A,"&gt;="&amp;$J1706,'Weekly Log'!$A:$A,"&lt;"&amp;$J1706+7)/COUNTIFS('Weekly Log'!$G:$G,"&lt;&gt;",'Weekly Log'!$A:$A,"&gt;="&amp;$J1706,'Weekly Log'!$A:$A,"&lt;"&amp;$J1706+7),0))</f>
        <v/>
      </c>
      <c r="D1706">
        <f>IF($J1706="","",IFERROR(COUNTIFS('Weekly Log'!$H:$H,"Y",'Weekly Log'!$A:$A,"&gt;="&amp;$J1706,'Weekly Log'!$A:$A,"&lt;"&amp;$J1706+7)/COUNTIFS('Weekly Log'!$H:$H,"&lt;&gt;",'Weekly Log'!$A:$A,"&gt;="&amp;$J1706,'Weekly Log'!$A:$A,"&lt;"&amp;$J1706+7),0))</f>
        <v/>
      </c>
      <c r="E1706">
        <f>IF($J1706="","",IFERROR(AVERAGEIFS('Weekly Log'!$F:$F,'Weekly Log'!$A:$A,"&gt;="&amp;$J1706,'Weekly Log'!$A:$A,"&lt;"&amp;$J1706+7),0))</f>
        <v/>
      </c>
      <c r="F1706">
        <f>IF($J1706="","",IFERROR(SUMIFS('Weekly Log'!$F:$F,'Weekly Log'!$A:$A,"&gt;="&amp;$J1706,'Weekly Log'!$A:$A,"&lt;"&amp;$J1706+7)/SUMIFS('Weekly Log'!$E:$E,'Weekly Log'!$A:$A,"&gt;="&amp;$J1706,'Weekly Log'!$A:$A,"&lt;"&amp;$J1706+7),0))</f>
        <v/>
      </c>
      <c r="G1706">
        <f>IF($J1706="","",IFERROR(LOOKUP(2,1/(('Weekly Log'!$A$5:$A$5000&gt;=$J1706)*('Weekly Log'!$A$5:$A$5000&lt;$J1706+7)*('Weekly Log'!$M$5:$M$5000&lt;&gt;"")),'Weekly Log'!$M$5:$M$5000),0))</f>
        <v/>
      </c>
      <c r="J1706">
        <f>IF(COUNT('Weekly Log'!$A$5:$A$5000)=0,"",IF(MIN('Weekly Log'!$A$5:$A$5000)+7*(ROW()-10)&gt;MAX('Weekly Log'!$A$5:$A$5000),"",MIN('Weekly Log'!$A$5:$A$5000)+7*(ROW()-10)))</f>
        <v/>
      </c>
    </row>
    <row r="1707">
      <c r="A1707">
        <f>IF($J1707="","",YEAR($J1707-WEEKDAY($J1707,2)+4)&amp;"-W"&amp;TEXT(WEEKNUM($J1707,21),"00"))</f>
        <v/>
      </c>
      <c r="B1707">
        <f>IF($J1707="","",SUMIFS('Weekly Log'!$C:$C,'Weekly Log'!$A:$A,"&gt;="&amp;$J1707,'Weekly Log'!$A:$A,"&lt;"&amp;$J1707+7))</f>
        <v/>
      </c>
      <c r="C1707">
        <f>IF($J1707="","",IFERROR(COUNTIFS('Weekly Log'!$G:$G,"Y",'Weekly Log'!$A:$A,"&gt;="&amp;$J1707,'Weekly Log'!$A:$A,"&lt;"&amp;$J1707+7)/COUNTIFS('Weekly Log'!$G:$G,"&lt;&gt;",'Weekly Log'!$A:$A,"&gt;="&amp;$J1707,'Weekly Log'!$A:$A,"&lt;"&amp;$J1707+7),0))</f>
        <v/>
      </c>
      <c r="D1707">
        <f>IF($J1707="","",IFERROR(COUNTIFS('Weekly Log'!$H:$H,"Y",'Weekly Log'!$A:$A,"&gt;="&amp;$J1707,'Weekly Log'!$A:$A,"&lt;"&amp;$J1707+7)/COUNTIFS('Weekly Log'!$H:$H,"&lt;&gt;",'Weekly Log'!$A:$A,"&gt;="&amp;$J1707,'Weekly Log'!$A:$A,"&lt;"&amp;$J1707+7),0))</f>
        <v/>
      </c>
      <c r="E1707">
        <f>IF($J1707="","",IFERROR(AVERAGEIFS('Weekly Log'!$F:$F,'Weekly Log'!$A:$A,"&gt;="&amp;$J1707,'Weekly Log'!$A:$A,"&lt;"&amp;$J1707+7),0))</f>
        <v/>
      </c>
      <c r="F1707">
        <f>IF($J1707="","",IFERROR(SUMIFS('Weekly Log'!$F:$F,'Weekly Log'!$A:$A,"&gt;="&amp;$J1707,'Weekly Log'!$A:$A,"&lt;"&amp;$J1707+7)/SUMIFS('Weekly Log'!$E:$E,'Weekly Log'!$A:$A,"&gt;="&amp;$J1707,'Weekly Log'!$A:$A,"&lt;"&amp;$J1707+7),0))</f>
        <v/>
      </c>
      <c r="G1707">
        <f>IF($J1707="","",IFERROR(LOOKUP(2,1/(('Weekly Log'!$A$5:$A$5000&gt;=$J1707)*('Weekly Log'!$A$5:$A$5000&lt;$J1707+7)*('Weekly Log'!$M$5:$M$5000&lt;&gt;"")),'Weekly Log'!$M$5:$M$5000),0))</f>
        <v/>
      </c>
      <c r="J1707">
        <f>IF(COUNT('Weekly Log'!$A$5:$A$5000)=0,"",IF(MIN('Weekly Log'!$A$5:$A$5000)+7*(ROW()-10)&gt;MAX('Weekly Log'!$A$5:$A$5000),"",MIN('Weekly Log'!$A$5:$A$5000)+7*(ROW()-10)))</f>
        <v/>
      </c>
    </row>
    <row r="1708">
      <c r="A1708">
        <f>IF($J1708="","",YEAR($J1708-WEEKDAY($J1708,2)+4)&amp;"-W"&amp;TEXT(WEEKNUM($J1708,21),"00"))</f>
        <v/>
      </c>
      <c r="B1708">
        <f>IF($J1708="","",SUMIFS('Weekly Log'!$C:$C,'Weekly Log'!$A:$A,"&gt;="&amp;$J1708,'Weekly Log'!$A:$A,"&lt;"&amp;$J1708+7))</f>
        <v/>
      </c>
      <c r="C1708">
        <f>IF($J1708="","",IFERROR(COUNTIFS('Weekly Log'!$G:$G,"Y",'Weekly Log'!$A:$A,"&gt;="&amp;$J1708,'Weekly Log'!$A:$A,"&lt;"&amp;$J1708+7)/COUNTIFS('Weekly Log'!$G:$G,"&lt;&gt;",'Weekly Log'!$A:$A,"&gt;="&amp;$J1708,'Weekly Log'!$A:$A,"&lt;"&amp;$J1708+7),0))</f>
        <v/>
      </c>
      <c r="D1708">
        <f>IF($J1708="","",IFERROR(COUNTIFS('Weekly Log'!$H:$H,"Y",'Weekly Log'!$A:$A,"&gt;="&amp;$J1708,'Weekly Log'!$A:$A,"&lt;"&amp;$J1708+7)/COUNTIFS('Weekly Log'!$H:$H,"&lt;&gt;",'Weekly Log'!$A:$A,"&gt;="&amp;$J1708,'Weekly Log'!$A:$A,"&lt;"&amp;$J1708+7),0))</f>
        <v/>
      </c>
      <c r="E1708">
        <f>IF($J1708="","",IFERROR(AVERAGEIFS('Weekly Log'!$F:$F,'Weekly Log'!$A:$A,"&gt;="&amp;$J1708,'Weekly Log'!$A:$A,"&lt;"&amp;$J1708+7),0))</f>
        <v/>
      </c>
      <c r="F1708">
        <f>IF($J1708="","",IFERROR(SUMIFS('Weekly Log'!$F:$F,'Weekly Log'!$A:$A,"&gt;="&amp;$J1708,'Weekly Log'!$A:$A,"&lt;"&amp;$J1708+7)/SUMIFS('Weekly Log'!$E:$E,'Weekly Log'!$A:$A,"&gt;="&amp;$J1708,'Weekly Log'!$A:$A,"&lt;"&amp;$J1708+7),0))</f>
        <v/>
      </c>
      <c r="G1708">
        <f>IF($J1708="","",IFERROR(LOOKUP(2,1/(('Weekly Log'!$A$5:$A$5000&gt;=$J1708)*('Weekly Log'!$A$5:$A$5000&lt;$J1708+7)*('Weekly Log'!$M$5:$M$5000&lt;&gt;"")),'Weekly Log'!$M$5:$M$5000),0))</f>
        <v/>
      </c>
      <c r="J1708">
        <f>IF(COUNT('Weekly Log'!$A$5:$A$5000)=0,"",IF(MIN('Weekly Log'!$A$5:$A$5000)+7*(ROW()-10)&gt;MAX('Weekly Log'!$A$5:$A$5000),"",MIN('Weekly Log'!$A$5:$A$5000)+7*(ROW()-10)))</f>
        <v/>
      </c>
    </row>
    <row r="1709">
      <c r="A1709">
        <f>IF($J1709="","",YEAR($J1709-WEEKDAY($J1709,2)+4)&amp;"-W"&amp;TEXT(WEEKNUM($J1709,21),"00"))</f>
        <v/>
      </c>
      <c r="B1709">
        <f>IF($J1709="","",SUMIFS('Weekly Log'!$C:$C,'Weekly Log'!$A:$A,"&gt;="&amp;$J1709,'Weekly Log'!$A:$A,"&lt;"&amp;$J1709+7))</f>
        <v/>
      </c>
      <c r="C1709">
        <f>IF($J1709="","",IFERROR(COUNTIFS('Weekly Log'!$G:$G,"Y",'Weekly Log'!$A:$A,"&gt;="&amp;$J1709,'Weekly Log'!$A:$A,"&lt;"&amp;$J1709+7)/COUNTIFS('Weekly Log'!$G:$G,"&lt;&gt;",'Weekly Log'!$A:$A,"&gt;="&amp;$J1709,'Weekly Log'!$A:$A,"&lt;"&amp;$J1709+7),0))</f>
        <v/>
      </c>
      <c r="D1709">
        <f>IF($J1709="","",IFERROR(COUNTIFS('Weekly Log'!$H:$H,"Y",'Weekly Log'!$A:$A,"&gt;="&amp;$J1709,'Weekly Log'!$A:$A,"&lt;"&amp;$J1709+7)/COUNTIFS('Weekly Log'!$H:$H,"&lt;&gt;",'Weekly Log'!$A:$A,"&gt;="&amp;$J1709,'Weekly Log'!$A:$A,"&lt;"&amp;$J1709+7),0))</f>
        <v/>
      </c>
      <c r="E1709">
        <f>IF($J1709="","",IFERROR(AVERAGEIFS('Weekly Log'!$F:$F,'Weekly Log'!$A:$A,"&gt;="&amp;$J1709,'Weekly Log'!$A:$A,"&lt;"&amp;$J1709+7),0))</f>
        <v/>
      </c>
      <c r="F1709">
        <f>IF($J1709="","",IFERROR(SUMIFS('Weekly Log'!$F:$F,'Weekly Log'!$A:$A,"&gt;="&amp;$J1709,'Weekly Log'!$A:$A,"&lt;"&amp;$J1709+7)/SUMIFS('Weekly Log'!$E:$E,'Weekly Log'!$A:$A,"&gt;="&amp;$J1709,'Weekly Log'!$A:$A,"&lt;"&amp;$J1709+7),0))</f>
        <v/>
      </c>
      <c r="G1709">
        <f>IF($J1709="","",IFERROR(LOOKUP(2,1/(('Weekly Log'!$A$5:$A$5000&gt;=$J1709)*('Weekly Log'!$A$5:$A$5000&lt;$J1709+7)*('Weekly Log'!$M$5:$M$5000&lt;&gt;"")),'Weekly Log'!$M$5:$M$5000),0))</f>
        <v/>
      </c>
      <c r="J1709">
        <f>IF(COUNT('Weekly Log'!$A$5:$A$5000)=0,"",IF(MIN('Weekly Log'!$A$5:$A$5000)+7*(ROW()-10)&gt;MAX('Weekly Log'!$A$5:$A$5000),"",MIN('Weekly Log'!$A$5:$A$5000)+7*(ROW()-10)))</f>
        <v/>
      </c>
    </row>
    <row r="1710">
      <c r="A1710">
        <f>IF($J1710="","",YEAR($J1710-WEEKDAY($J1710,2)+4)&amp;"-W"&amp;TEXT(WEEKNUM($J1710,21),"00"))</f>
        <v/>
      </c>
      <c r="B1710">
        <f>IF($J1710="","",SUMIFS('Weekly Log'!$C:$C,'Weekly Log'!$A:$A,"&gt;="&amp;$J1710,'Weekly Log'!$A:$A,"&lt;"&amp;$J1710+7))</f>
        <v/>
      </c>
      <c r="C1710">
        <f>IF($J1710="","",IFERROR(COUNTIFS('Weekly Log'!$G:$G,"Y",'Weekly Log'!$A:$A,"&gt;="&amp;$J1710,'Weekly Log'!$A:$A,"&lt;"&amp;$J1710+7)/COUNTIFS('Weekly Log'!$G:$G,"&lt;&gt;",'Weekly Log'!$A:$A,"&gt;="&amp;$J1710,'Weekly Log'!$A:$A,"&lt;"&amp;$J1710+7),0))</f>
        <v/>
      </c>
      <c r="D1710">
        <f>IF($J1710="","",IFERROR(COUNTIFS('Weekly Log'!$H:$H,"Y",'Weekly Log'!$A:$A,"&gt;="&amp;$J1710,'Weekly Log'!$A:$A,"&lt;"&amp;$J1710+7)/COUNTIFS('Weekly Log'!$H:$H,"&lt;&gt;",'Weekly Log'!$A:$A,"&gt;="&amp;$J1710,'Weekly Log'!$A:$A,"&lt;"&amp;$J1710+7),0))</f>
        <v/>
      </c>
      <c r="E1710">
        <f>IF($J1710="","",IFERROR(AVERAGEIFS('Weekly Log'!$F:$F,'Weekly Log'!$A:$A,"&gt;="&amp;$J1710,'Weekly Log'!$A:$A,"&lt;"&amp;$J1710+7),0))</f>
        <v/>
      </c>
      <c r="F1710">
        <f>IF($J1710="","",IFERROR(SUMIFS('Weekly Log'!$F:$F,'Weekly Log'!$A:$A,"&gt;="&amp;$J1710,'Weekly Log'!$A:$A,"&lt;"&amp;$J1710+7)/SUMIFS('Weekly Log'!$E:$E,'Weekly Log'!$A:$A,"&gt;="&amp;$J1710,'Weekly Log'!$A:$A,"&lt;"&amp;$J1710+7),0))</f>
        <v/>
      </c>
      <c r="G1710">
        <f>IF($J1710="","",IFERROR(LOOKUP(2,1/(('Weekly Log'!$A$5:$A$5000&gt;=$J1710)*('Weekly Log'!$A$5:$A$5000&lt;$J1710+7)*('Weekly Log'!$M$5:$M$5000&lt;&gt;"")),'Weekly Log'!$M$5:$M$5000),0))</f>
        <v/>
      </c>
      <c r="J1710">
        <f>IF(COUNT('Weekly Log'!$A$5:$A$5000)=0,"",IF(MIN('Weekly Log'!$A$5:$A$5000)+7*(ROW()-10)&gt;MAX('Weekly Log'!$A$5:$A$5000),"",MIN('Weekly Log'!$A$5:$A$5000)+7*(ROW()-10)))</f>
        <v/>
      </c>
    </row>
    <row r="1711">
      <c r="A1711">
        <f>IF($J1711="","",YEAR($J1711-WEEKDAY($J1711,2)+4)&amp;"-W"&amp;TEXT(WEEKNUM($J1711,21),"00"))</f>
        <v/>
      </c>
      <c r="B1711">
        <f>IF($J1711="","",SUMIFS('Weekly Log'!$C:$C,'Weekly Log'!$A:$A,"&gt;="&amp;$J1711,'Weekly Log'!$A:$A,"&lt;"&amp;$J1711+7))</f>
        <v/>
      </c>
      <c r="C1711">
        <f>IF($J1711="","",IFERROR(COUNTIFS('Weekly Log'!$G:$G,"Y",'Weekly Log'!$A:$A,"&gt;="&amp;$J1711,'Weekly Log'!$A:$A,"&lt;"&amp;$J1711+7)/COUNTIFS('Weekly Log'!$G:$G,"&lt;&gt;",'Weekly Log'!$A:$A,"&gt;="&amp;$J1711,'Weekly Log'!$A:$A,"&lt;"&amp;$J1711+7),0))</f>
        <v/>
      </c>
      <c r="D1711">
        <f>IF($J1711="","",IFERROR(COUNTIFS('Weekly Log'!$H:$H,"Y",'Weekly Log'!$A:$A,"&gt;="&amp;$J1711,'Weekly Log'!$A:$A,"&lt;"&amp;$J1711+7)/COUNTIFS('Weekly Log'!$H:$H,"&lt;&gt;",'Weekly Log'!$A:$A,"&gt;="&amp;$J1711,'Weekly Log'!$A:$A,"&lt;"&amp;$J1711+7),0))</f>
        <v/>
      </c>
      <c r="E1711">
        <f>IF($J1711="","",IFERROR(AVERAGEIFS('Weekly Log'!$F:$F,'Weekly Log'!$A:$A,"&gt;="&amp;$J1711,'Weekly Log'!$A:$A,"&lt;"&amp;$J1711+7),0))</f>
        <v/>
      </c>
      <c r="F1711">
        <f>IF($J1711="","",IFERROR(SUMIFS('Weekly Log'!$F:$F,'Weekly Log'!$A:$A,"&gt;="&amp;$J1711,'Weekly Log'!$A:$A,"&lt;"&amp;$J1711+7)/SUMIFS('Weekly Log'!$E:$E,'Weekly Log'!$A:$A,"&gt;="&amp;$J1711,'Weekly Log'!$A:$A,"&lt;"&amp;$J1711+7),0))</f>
        <v/>
      </c>
      <c r="G1711">
        <f>IF($J1711="","",IFERROR(LOOKUP(2,1/(('Weekly Log'!$A$5:$A$5000&gt;=$J1711)*('Weekly Log'!$A$5:$A$5000&lt;$J1711+7)*('Weekly Log'!$M$5:$M$5000&lt;&gt;"")),'Weekly Log'!$M$5:$M$5000),0))</f>
        <v/>
      </c>
      <c r="J1711">
        <f>IF(COUNT('Weekly Log'!$A$5:$A$5000)=0,"",IF(MIN('Weekly Log'!$A$5:$A$5000)+7*(ROW()-10)&gt;MAX('Weekly Log'!$A$5:$A$5000),"",MIN('Weekly Log'!$A$5:$A$5000)+7*(ROW()-10)))</f>
        <v/>
      </c>
    </row>
    <row r="1712">
      <c r="A1712">
        <f>IF($J1712="","",YEAR($J1712-WEEKDAY($J1712,2)+4)&amp;"-W"&amp;TEXT(WEEKNUM($J1712,21),"00"))</f>
        <v/>
      </c>
      <c r="B1712">
        <f>IF($J1712="","",SUMIFS('Weekly Log'!$C:$C,'Weekly Log'!$A:$A,"&gt;="&amp;$J1712,'Weekly Log'!$A:$A,"&lt;"&amp;$J1712+7))</f>
        <v/>
      </c>
      <c r="C1712">
        <f>IF($J1712="","",IFERROR(COUNTIFS('Weekly Log'!$G:$G,"Y",'Weekly Log'!$A:$A,"&gt;="&amp;$J1712,'Weekly Log'!$A:$A,"&lt;"&amp;$J1712+7)/COUNTIFS('Weekly Log'!$G:$G,"&lt;&gt;",'Weekly Log'!$A:$A,"&gt;="&amp;$J1712,'Weekly Log'!$A:$A,"&lt;"&amp;$J1712+7),0))</f>
        <v/>
      </c>
      <c r="D1712">
        <f>IF($J1712="","",IFERROR(COUNTIFS('Weekly Log'!$H:$H,"Y",'Weekly Log'!$A:$A,"&gt;="&amp;$J1712,'Weekly Log'!$A:$A,"&lt;"&amp;$J1712+7)/COUNTIFS('Weekly Log'!$H:$H,"&lt;&gt;",'Weekly Log'!$A:$A,"&gt;="&amp;$J1712,'Weekly Log'!$A:$A,"&lt;"&amp;$J1712+7),0))</f>
        <v/>
      </c>
      <c r="E1712">
        <f>IF($J1712="","",IFERROR(AVERAGEIFS('Weekly Log'!$F:$F,'Weekly Log'!$A:$A,"&gt;="&amp;$J1712,'Weekly Log'!$A:$A,"&lt;"&amp;$J1712+7),0))</f>
        <v/>
      </c>
      <c r="F1712">
        <f>IF($J1712="","",IFERROR(SUMIFS('Weekly Log'!$F:$F,'Weekly Log'!$A:$A,"&gt;="&amp;$J1712,'Weekly Log'!$A:$A,"&lt;"&amp;$J1712+7)/SUMIFS('Weekly Log'!$E:$E,'Weekly Log'!$A:$A,"&gt;="&amp;$J1712,'Weekly Log'!$A:$A,"&lt;"&amp;$J1712+7),0))</f>
        <v/>
      </c>
      <c r="G1712">
        <f>IF($J1712="","",IFERROR(LOOKUP(2,1/(('Weekly Log'!$A$5:$A$5000&gt;=$J1712)*('Weekly Log'!$A$5:$A$5000&lt;$J1712+7)*('Weekly Log'!$M$5:$M$5000&lt;&gt;"")),'Weekly Log'!$M$5:$M$5000),0))</f>
        <v/>
      </c>
      <c r="J1712">
        <f>IF(COUNT('Weekly Log'!$A$5:$A$5000)=0,"",IF(MIN('Weekly Log'!$A$5:$A$5000)+7*(ROW()-10)&gt;MAX('Weekly Log'!$A$5:$A$5000),"",MIN('Weekly Log'!$A$5:$A$5000)+7*(ROW()-10)))</f>
        <v/>
      </c>
    </row>
    <row r="1713">
      <c r="A1713">
        <f>IF($J1713="","",YEAR($J1713-WEEKDAY($J1713,2)+4)&amp;"-W"&amp;TEXT(WEEKNUM($J1713,21),"00"))</f>
        <v/>
      </c>
      <c r="B1713">
        <f>IF($J1713="","",SUMIFS('Weekly Log'!$C:$C,'Weekly Log'!$A:$A,"&gt;="&amp;$J1713,'Weekly Log'!$A:$A,"&lt;"&amp;$J1713+7))</f>
        <v/>
      </c>
      <c r="C1713">
        <f>IF($J1713="","",IFERROR(COUNTIFS('Weekly Log'!$G:$G,"Y",'Weekly Log'!$A:$A,"&gt;="&amp;$J1713,'Weekly Log'!$A:$A,"&lt;"&amp;$J1713+7)/COUNTIFS('Weekly Log'!$G:$G,"&lt;&gt;",'Weekly Log'!$A:$A,"&gt;="&amp;$J1713,'Weekly Log'!$A:$A,"&lt;"&amp;$J1713+7),0))</f>
        <v/>
      </c>
      <c r="D1713">
        <f>IF($J1713="","",IFERROR(COUNTIFS('Weekly Log'!$H:$H,"Y",'Weekly Log'!$A:$A,"&gt;="&amp;$J1713,'Weekly Log'!$A:$A,"&lt;"&amp;$J1713+7)/COUNTIFS('Weekly Log'!$H:$H,"&lt;&gt;",'Weekly Log'!$A:$A,"&gt;="&amp;$J1713,'Weekly Log'!$A:$A,"&lt;"&amp;$J1713+7),0))</f>
        <v/>
      </c>
      <c r="E1713">
        <f>IF($J1713="","",IFERROR(AVERAGEIFS('Weekly Log'!$F:$F,'Weekly Log'!$A:$A,"&gt;="&amp;$J1713,'Weekly Log'!$A:$A,"&lt;"&amp;$J1713+7),0))</f>
        <v/>
      </c>
      <c r="F1713">
        <f>IF($J1713="","",IFERROR(SUMIFS('Weekly Log'!$F:$F,'Weekly Log'!$A:$A,"&gt;="&amp;$J1713,'Weekly Log'!$A:$A,"&lt;"&amp;$J1713+7)/SUMIFS('Weekly Log'!$E:$E,'Weekly Log'!$A:$A,"&gt;="&amp;$J1713,'Weekly Log'!$A:$A,"&lt;"&amp;$J1713+7),0))</f>
        <v/>
      </c>
      <c r="G1713">
        <f>IF($J1713="","",IFERROR(LOOKUP(2,1/(('Weekly Log'!$A$5:$A$5000&gt;=$J1713)*('Weekly Log'!$A$5:$A$5000&lt;$J1713+7)*('Weekly Log'!$M$5:$M$5000&lt;&gt;"")),'Weekly Log'!$M$5:$M$5000),0))</f>
        <v/>
      </c>
      <c r="J1713">
        <f>IF(COUNT('Weekly Log'!$A$5:$A$5000)=0,"",IF(MIN('Weekly Log'!$A$5:$A$5000)+7*(ROW()-10)&gt;MAX('Weekly Log'!$A$5:$A$5000),"",MIN('Weekly Log'!$A$5:$A$5000)+7*(ROW()-10)))</f>
        <v/>
      </c>
    </row>
    <row r="1714">
      <c r="A1714">
        <f>IF($J1714="","",YEAR($J1714-WEEKDAY($J1714,2)+4)&amp;"-W"&amp;TEXT(WEEKNUM($J1714,21),"00"))</f>
        <v/>
      </c>
      <c r="B1714">
        <f>IF($J1714="","",SUMIFS('Weekly Log'!$C:$C,'Weekly Log'!$A:$A,"&gt;="&amp;$J1714,'Weekly Log'!$A:$A,"&lt;"&amp;$J1714+7))</f>
        <v/>
      </c>
      <c r="C1714">
        <f>IF($J1714="","",IFERROR(COUNTIFS('Weekly Log'!$G:$G,"Y",'Weekly Log'!$A:$A,"&gt;="&amp;$J1714,'Weekly Log'!$A:$A,"&lt;"&amp;$J1714+7)/COUNTIFS('Weekly Log'!$G:$G,"&lt;&gt;",'Weekly Log'!$A:$A,"&gt;="&amp;$J1714,'Weekly Log'!$A:$A,"&lt;"&amp;$J1714+7),0))</f>
        <v/>
      </c>
      <c r="D1714">
        <f>IF($J1714="","",IFERROR(COUNTIFS('Weekly Log'!$H:$H,"Y",'Weekly Log'!$A:$A,"&gt;="&amp;$J1714,'Weekly Log'!$A:$A,"&lt;"&amp;$J1714+7)/COUNTIFS('Weekly Log'!$H:$H,"&lt;&gt;",'Weekly Log'!$A:$A,"&gt;="&amp;$J1714,'Weekly Log'!$A:$A,"&lt;"&amp;$J1714+7),0))</f>
        <v/>
      </c>
      <c r="E1714">
        <f>IF($J1714="","",IFERROR(AVERAGEIFS('Weekly Log'!$F:$F,'Weekly Log'!$A:$A,"&gt;="&amp;$J1714,'Weekly Log'!$A:$A,"&lt;"&amp;$J1714+7),0))</f>
        <v/>
      </c>
      <c r="F1714">
        <f>IF($J1714="","",IFERROR(SUMIFS('Weekly Log'!$F:$F,'Weekly Log'!$A:$A,"&gt;="&amp;$J1714,'Weekly Log'!$A:$A,"&lt;"&amp;$J1714+7)/SUMIFS('Weekly Log'!$E:$E,'Weekly Log'!$A:$A,"&gt;="&amp;$J1714,'Weekly Log'!$A:$A,"&lt;"&amp;$J1714+7),0))</f>
        <v/>
      </c>
      <c r="G1714">
        <f>IF($J1714="","",IFERROR(LOOKUP(2,1/(('Weekly Log'!$A$5:$A$5000&gt;=$J1714)*('Weekly Log'!$A$5:$A$5000&lt;$J1714+7)*('Weekly Log'!$M$5:$M$5000&lt;&gt;"")),'Weekly Log'!$M$5:$M$5000),0))</f>
        <v/>
      </c>
      <c r="J1714">
        <f>IF(COUNT('Weekly Log'!$A$5:$A$5000)=0,"",IF(MIN('Weekly Log'!$A$5:$A$5000)+7*(ROW()-10)&gt;MAX('Weekly Log'!$A$5:$A$5000),"",MIN('Weekly Log'!$A$5:$A$5000)+7*(ROW()-10)))</f>
        <v/>
      </c>
    </row>
    <row r="1715">
      <c r="A1715">
        <f>IF($J1715="","",YEAR($J1715-WEEKDAY($J1715,2)+4)&amp;"-W"&amp;TEXT(WEEKNUM($J1715,21),"00"))</f>
        <v/>
      </c>
      <c r="B1715">
        <f>IF($J1715="","",SUMIFS('Weekly Log'!$C:$C,'Weekly Log'!$A:$A,"&gt;="&amp;$J1715,'Weekly Log'!$A:$A,"&lt;"&amp;$J1715+7))</f>
        <v/>
      </c>
      <c r="C1715">
        <f>IF($J1715="","",IFERROR(COUNTIFS('Weekly Log'!$G:$G,"Y",'Weekly Log'!$A:$A,"&gt;="&amp;$J1715,'Weekly Log'!$A:$A,"&lt;"&amp;$J1715+7)/COUNTIFS('Weekly Log'!$G:$G,"&lt;&gt;",'Weekly Log'!$A:$A,"&gt;="&amp;$J1715,'Weekly Log'!$A:$A,"&lt;"&amp;$J1715+7),0))</f>
        <v/>
      </c>
      <c r="D1715">
        <f>IF($J1715="","",IFERROR(COUNTIFS('Weekly Log'!$H:$H,"Y",'Weekly Log'!$A:$A,"&gt;="&amp;$J1715,'Weekly Log'!$A:$A,"&lt;"&amp;$J1715+7)/COUNTIFS('Weekly Log'!$H:$H,"&lt;&gt;",'Weekly Log'!$A:$A,"&gt;="&amp;$J1715,'Weekly Log'!$A:$A,"&lt;"&amp;$J1715+7),0))</f>
        <v/>
      </c>
      <c r="E1715">
        <f>IF($J1715="","",IFERROR(AVERAGEIFS('Weekly Log'!$F:$F,'Weekly Log'!$A:$A,"&gt;="&amp;$J1715,'Weekly Log'!$A:$A,"&lt;"&amp;$J1715+7),0))</f>
        <v/>
      </c>
      <c r="F1715">
        <f>IF($J1715="","",IFERROR(SUMIFS('Weekly Log'!$F:$F,'Weekly Log'!$A:$A,"&gt;="&amp;$J1715,'Weekly Log'!$A:$A,"&lt;"&amp;$J1715+7)/SUMIFS('Weekly Log'!$E:$E,'Weekly Log'!$A:$A,"&gt;="&amp;$J1715,'Weekly Log'!$A:$A,"&lt;"&amp;$J1715+7),0))</f>
        <v/>
      </c>
      <c r="G1715">
        <f>IF($J1715="","",IFERROR(LOOKUP(2,1/(('Weekly Log'!$A$5:$A$5000&gt;=$J1715)*('Weekly Log'!$A$5:$A$5000&lt;$J1715+7)*('Weekly Log'!$M$5:$M$5000&lt;&gt;"")),'Weekly Log'!$M$5:$M$5000),0))</f>
        <v/>
      </c>
      <c r="J1715">
        <f>IF(COUNT('Weekly Log'!$A$5:$A$5000)=0,"",IF(MIN('Weekly Log'!$A$5:$A$5000)+7*(ROW()-10)&gt;MAX('Weekly Log'!$A$5:$A$5000),"",MIN('Weekly Log'!$A$5:$A$5000)+7*(ROW()-10)))</f>
        <v/>
      </c>
    </row>
    <row r="1716">
      <c r="A1716">
        <f>IF($J1716="","",YEAR($J1716-WEEKDAY($J1716,2)+4)&amp;"-W"&amp;TEXT(WEEKNUM($J1716,21),"00"))</f>
        <v/>
      </c>
      <c r="B1716">
        <f>IF($J1716="","",SUMIFS('Weekly Log'!$C:$C,'Weekly Log'!$A:$A,"&gt;="&amp;$J1716,'Weekly Log'!$A:$A,"&lt;"&amp;$J1716+7))</f>
        <v/>
      </c>
      <c r="C1716">
        <f>IF($J1716="","",IFERROR(COUNTIFS('Weekly Log'!$G:$G,"Y",'Weekly Log'!$A:$A,"&gt;="&amp;$J1716,'Weekly Log'!$A:$A,"&lt;"&amp;$J1716+7)/COUNTIFS('Weekly Log'!$G:$G,"&lt;&gt;",'Weekly Log'!$A:$A,"&gt;="&amp;$J1716,'Weekly Log'!$A:$A,"&lt;"&amp;$J1716+7),0))</f>
        <v/>
      </c>
      <c r="D1716">
        <f>IF($J1716="","",IFERROR(COUNTIFS('Weekly Log'!$H:$H,"Y",'Weekly Log'!$A:$A,"&gt;="&amp;$J1716,'Weekly Log'!$A:$A,"&lt;"&amp;$J1716+7)/COUNTIFS('Weekly Log'!$H:$H,"&lt;&gt;",'Weekly Log'!$A:$A,"&gt;="&amp;$J1716,'Weekly Log'!$A:$A,"&lt;"&amp;$J1716+7),0))</f>
        <v/>
      </c>
      <c r="E1716">
        <f>IF($J1716="","",IFERROR(AVERAGEIFS('Weekly Log'!$F:$F,'Weekly Log'!$A:$A,"&gt;="&amp;$J1716,'Weekly Log'!$A:$A,"&lt;"&amp;$J1716+7),0))</f>
        <v/>
      </c>
      <c r="F1716">
        <f>IF($J1716="","",IFERROR(SUMIFS('Weekly Log'!$F:$F,'Weekly Log'!$A:$A,"&gt;="&amp;$J1716,'Weekly Log'!$A:$A,"&lt;"&amp;$J1716+7)/SUMIFS('Weekly Log'!$E:$E,'Weekly Log'!$A:$A,"&gt;="&amp;$J1716,'Weekly Log'!$A:$A,"&lt;"&amp;$J1716+7),0))</f>
        <v/>
      </c>
      <c r="G1716">
        <f>IF($J1716="","",IFERROR(LOOKUP(2,1/(('Weekly Log'!$A$5:$A$5000&gt;=$J1716)*('Weekly Log'!$A$5:$A$5000&lt;$J1716+7)*('Weekly Log'!$M$5:$M$5000&lt;&gt;"")),'Weekly Log'!$M$5:$M$5000),0))</f>
        <v/>
      </c>
      <c r="J1716">
        <f>IF(COUNT('Weekly Log'!$A$5:$A$5000)=0,"",IF(MIN('Weekly Log'!$A$5:$A$5000)+7*(ROW()-10)&gt;MAX('Weekly Log'!$A$5:$A$5000),"",MIN('Weekly Log'!$A$5:$A$5000)+7*(ROW()-10)))</f>
        <v/>
      </c>
    </row>
    <row r="1717">
      <c r="A1717">
        <f>IF($J1717="","",YEAR($J1717-WEEKDAY($J1717,2)+4)&amp;"-W"&amp;TEXT(WEEKNUM($J1717,21),"00"))</f>
        <v/>
      </c>
      <c r="B1717">
        <f>IF($J1717="","",SUMIFS('Weekly Log'!$C:$C,'Weekly Log'!$A:$A,"&gt;="&amp;$J1717,'Weekly Log'!$A:$A,"&lt;"&amp;$J1717+7))</f>
        <v/>
      </c>
      <c r="C1717">
        <f>IF($J1717="","",IFERROR(COUNTIFS('Weekly Log'!$G:$G,"Y",'Weekly Log'!$A:$A,"&gt;="&amp;$J1717,'Weekly Log'!$A:$A,"&lt;"&amp;$J1717+7)/COUNTIFS('Weekly Log'!$G:$G,"&lt;&gt;",'Weekly Log'!$A:$A,"&gt;="&amp;$J1717,'Weekly Log'!$A:$A,"&lt;"&amp;$J1717+7),0))</f>
        <v/>
      </c>
      <c r="D1717">
        <f>IF($J1717="","",IFERROR(COUNTIFS('Weekly Log'!$H:$H,"Y",'Weekly Log'!$A:$A,"&gt;="&amp;$J1717,'Weekly Log'!$A:$A,"&lt;"&amp;$J1717+7)/COUNTIFS('Weekly Log'!$H:$H,"&lt;&gt;",'Weekly Log'!$A:$A,"&gt;="&amp;$J1717,'Weekly Log'!$A:$A,"&lt;"&amp;$J1717+7),0))</f>
        <v/>
      </c>
      <c r="E1717">
        <f>IF($J1717="","",IFERROR(AVERAGEIFS('Weekly Log'!$F:$F,'Weekly Log'!$A:$A,"&gt;="&amp;$J1717,'Weekly Log'!$A:$A,"&lt;"&amp;$J1717+7),0))</f>
        <v/>
      </c>
      <c r="F1717">
        <f>IF($J1717="","",IFERROR(SUMIFS('Weekly Log'!$F:$F,'Weekly Log'!$A:$A,"&gt;="&amp;$J1717,'Weekly Log'!$A:$A,"&lt;"&amp;$J1717+7)/SUMIFS('Weekly Log'!$E:$E,'Weekly Log'!$A:$A,"&gt;="&amp;$J1717,'Weekly Log'!$A:$A,"&lt;"&amp;$J1717+7),0))</f>
        <v/>
      </c>
      <c r="G1717">
        <f>IF($J1717="","",IFERROR(LOOKUP(2,1/(('Weekly Log'!$A$5:$A$5000&gt;=$J1717)*('Weekly Log'!$A$5:$A$5000&lt;$J1717+7)*('Weekly Log'!$M$5:$M$5000&lt;&gt;"")),'Weekly Log'!$M$5:$M$5000),0))</f>
        <v/>
      </c>
      <c r="J1717">
        <f>IF(COUNT('Weekly Log'!$A$5:$A$5000)=0,"",IF(MIN('Weekly Log'!$A$5:$A$5000)+7*(ROW()-10)&gt;MAX('Weekly Log'!$A$5:$A$5000),"",MIN('Weekly Log'!$A$5:$A$5000)+7*(ROW()-10)))</f>
        <v/>
      </c>
    </row>
    <row r="1718">
      <c r="A1718">
        <f>IF($J1718="","",YEAR($J1718-WEEKDAY($J1718,2)+4)&amp;"-W"&amp;TEXT(WEEKNUM($J1718,21),"00"))</f>
        <v/>
      </c>
      <c r="B1718">
        <f>IF($J1718="","",SUMIFS('Weekly Log'!$C:$C,'Weekly Log'!$A:$A,"&gt;="&amp;$J1718,'Weekly Log'!$A:$A,"&lt;"&amp;$J1718+7))</f>
        <v/>
      </c>
      <c r="C1718">
        <f>IF($J1718="","",IFERROR(COUNTIFS('Weekly Log'!$G:$G,"Y",'Weekly Log'!$A:$A,"&gt;="&amp;$J1718,'Weekly Log'!$A:$A,"&lt;"&amp;$J1718+7)/COUNTIFS('Weekly Log'!$G:$G,"&lt;&gt;",'Weekly Log'!$A:$A,"&gt;="&amp;$J1718,'Weekly Log'!$A:$A,"&lt;"&amp;$J1718+7),0))</f>
        <v/>
      </c>
      <c r="D1718">
        <f>IF($J1718="","",IFERROR(COUNTIFS('Weekly Log'!$H:$H,"Y",'Weekly Log'!$A:$A,"&gt;="&amp;$J1718,'Weekly Log'!$A:$A,"&lt;"&amp;$J1718+7)/COUNTIFS('Weekly Log'!$H:$H,"&lt;&gt;",'Weekly Log'!$A:$A,"&gt;="&amp;$J1718,'Weekly Log'!$A:$A,"&lt;"&amp;$J1718+7),0))</f>
        <v/>
      </c>
      <c r="E1718">
        <f>IF($J1718="","",IFERROR(AVERAGEIFS('Weekly Log'!$F:$F,'Weekly Log'!$A:$A,"&gt;="&amp;$J1718,'Weekly Log'!$A:$A,"&lt;"&amp;$J1718+7),0))</f>
        <v/>
      </c>
      <c r="F1718">
        <f>IF($J1718="","",IFERROR(SUMIFS('Weekly Log'!$F:$F,'Weekly Log'!$A:$A,"&gt;="&amp;$J1718,'Weekly Log'!$A:$A,"&lt;"&amp;$J1718+7)/SUMIFS('Weekly Log'!$E:$E,'Weekly Log'!$A:$A,"&gt;="&amp;$J1718,'Weekly Log'!$A:$A,"&lt;"&amp;$J1718+7),0))</f>
        <v/>
      </c>
      <c r="G1718">
        <f>IF($J1718="","",IFERROR(LOOKUP(2,1/(('Weekly Log'!$A$5:$A$5000&gt;=$J1718)*('Weekly Log'!$A$5:$A$5000&lt;$J1718+7)*('Weekly Log'!$M$5:$M$5000&lt;&gt;"")),'Weekly Log'!$M$5:$M$5000),0))</f>
        <v/>
      </c>
      <c r="J1718">
        <f>IF(COUNT('Weekly Log'!$A$5:$A$5000)=0,"",IF(MIN('Weekly Log'!$A$5:$A$5000)+7*(ROW()-10)&gt;MAX('Weekly Log'!$A$5:$A$5000),"",MIN('Weekly Log'!$A$5:$A$5000)+7*(ROW()-10)))</f>
        <v/>
      </c>
    </row>
    <row r="1719">
      <c r="A1719">
        <f>IF($J1719="","",YEAR($J1719-WEEKDAY($J1719,2)+4)&amp;"-W"&amp;TEXT(WEEKNUM($J1719,21),"00"))</f>
        <v/>
      </c>
      <c r="B1719">
        <f>IF($J1719="","",SUMIFS('Weekly Log'!$C:$C,'Weekly Log'!$A:$A,"&gt;="&amp;$J1719,'Weekly Log'!$A:$A,"&lt;"&amp;$J1719+7))</f>
        <v/>
      </c>
      <c r="C1719">
        <f>IF($J1719="","",IFERROR(COUNTIFS('Weekly Log'!$G:$G,"Y",'Weekly Log'!$A:$A,"&gt;="&amp;$J1719,'Weekly Log'!$A:$A,"&lt;"&amp;$J1719+7)/COUNTIFS('Weekly Log'!$G:$G,"&lt;&gt;",'Weekly Log'!$A:$A,"&gt;="&amp;$J1719,'Weekly Log'!$A:$A,"&lt;"&amp;$J1719+7),0))</f>
        <v/>
      </c>
      <c r="D1719">
        <f>IF($J1719="","",IFERROR(COUNTIFS('Weekly Log'!$H:$H,"Y",'Weekly Log'!$A:$A,"&gt;="&amp;$J1719,'Weekly Log'!$A:$A,"&lt;"&amp;$J1719+7)/COUNTIFS('Weekly Log'!$H:$H,"&lt;&gt;",'Weekly Log'!$A:$A,"&gt;="&amp;$J1719,'Weekly Log'!$A:$A,"&lt;"&amp;$J1719+7),0))</f>
        <v/>
      </c>
      <c r="E1719">
        <f>IF($J1719="","",IFERROR(AVERAGEIFS('Weekly Log'!$F:$F,'Weekly Log'!$A:$A,"&gt;="&amp;$J1719,'Weekly Log'!$A:$A,"&lt;"&amp;$J1719+7),0))</f>
        <v/>
      </c>
      <c r="F1719">
        <f>IF($J1719="","",IFERROR(SUMIFS('Weekly Log'!$F:$F,'Weekly Log'!$A:$A,"&gt;="&amp;$J1719,'Weekly Log'!$A:$A,"&lt;"&amp;$J1719+7)/SUMIFS('Weekly Log'!$E:$E,'Weekly Log'!$A:$A,"&gt;="&amp;$J1719,'Weekly Log'!$A:$A,"&lt;"&amp;$J1719+7),0))</f>
        <v/>
      </c>
      <c r="G1719">
        <f>IF($J1719="","",IFERROR(LOOKUP(2,1/(('Weekly Log'!$A$5:$A$5000&gt;=$J1719)*('Weekly Log'!$A$5:$A$5000&lt;$J1719+7)*('Weekly Log'!$M$5:$M$5000&lt;&gt;"")),'Weekly Log'!$M$5:$M$5000),0))</f>
        <v/>
      </c>
      <c r="J1719">
        <f>IF(COUNT('Weekly Log'!$A$5:$A$5000)=0,"",IF(MIN('Weekly Log'!$A$5:$A$5000)+7*(ROW()-10)&gt;MAX('Weekly Log'!$A$5:$A$5000),"",MIN('Weekly Log'!$A$5:$A$5000)+7*(ROW()-10)))</f>
        <v/>
      </c>
    </row>
    <row r="1720">
      <c r="A1720">
        <f>IF($J1720="","",YEAR($J1720-WEEKDAY($J1720,2)+4)&amp;"-W"&amp;TEXT(WEEKNUM($J1720,21),"00"))</f>
        <v/>
      </c>
      <c r="B1720">
        <f>IF($J1720="","",SUMIFS('Weekly Log'!$C:$C,'Weekly Log'!$A:$A,"&gt;="&amp;$J1720,'Weekly Log'!$A:$A,"&lt;"&amp;$J1720+7))</f>
        <v/>
      </c>
      <c r="C1720">
        <f>IF($J1720="","",IFERROR(COUNTIFS('Weekly Log'!$G:$G,"Y",'Weekly Log'!$A:$A,"&gt;="&amp;$J1720,'Weekly Log'!$A:$A,"&lt;"&amp;$J1720+7)/COUNTIFS('Weekly Log'!$G:$G,"&lt;&gt;",'Weekly Log'!$A:$A,"&gt;="&amp;$J1720,'Weekly Log'!$A:$A,"&lt;"&amp;$J1720+7),0))</f>
        <v/>
      </c>
      <c r="D1720">
        <f>IF($J1720="","",IFERROR(COUNTIFS('Weekly Log'!$H:$H,"Y",'Weekly Log'!$A:$A,"&gt;="&amp;$J1720,'Weekly Log'!$A:$A,"&lt;"&amp;$J1720+7)/COUNTIFS('Weekly Log'!$H:$H,"&lt;&gt;",'Weekly Log'!$A:$A,"&gt;="&amp;$J1720,'Weekly Log'!$A:$A,"&lt;"&amp;$J1720+7),0))</f>
        <v/>
      </c>
      <c r="E1720">
        <f>IF($J1720="","",IFERROR(AVERAGEIFS('Weekly Log'!$F:$F,'Weekly Log'!$A:$A,"&gt;="&amp;$J1720,'Weekly Log'!$A:$A,"&lt;"&amp;$J1720+7),0))</f>
        <v/>
      </c>
      <c r="F1720">
        <f>IF($J1720="","",IFERROR(SUMIFS('Weekly Log'!$F:$F,'Weekly Log'!$A:$A,"&gt;="&amp;$J1720,'Weekly Log'!$A:$A,"&lt;"&amp;$J1720+7)/SUMIFS('Weekly Log'!$E:$E,'Weekly Log'!$A:$A,"&gt;="&amp;$J1720,'Weekly Log'!$A:$A,"&lt;"&amp;$J1720+7),0))</f>
        <v/>
      </c>
      <c r="G1720">
        <f>IF($J1720="","",IFERROR(LOOKUP(2,1/(('Weekly Log'!$A$5:$A$5000&gt;=$J1720)*('Weekly Log'!$A$5:$A$5000&lt;$J1720+7)*('Weekly Log'!$M$5:$M$5000&lt;&gt;"")),'Weekly Log'!$M$5:$M$5000),0))</f>
        <v/>
      </c>
      <c r="J1720">
        <f>IF(COUNT('Weekly Log'!$A$5:$A$5000)=0,"",IF(MIN('Weekly Log'!$A$5:$A$5000)+7*(ROW()-10)&gt;MAX('Weekly Log'!$A$5:$A$5000),"",MIN('Weekly Log'!$A$5:$A$5000)+7*(ROW()-10)))</f>
        <v/>
      </c>
    </row>
    <row r="1721">
      <c r="A1721">
        <f>IF($J1721="","",YEAR($J1721-WEEKDAY($J1721,2)+4)&amp;"-W"&amp;TEXT(WEEKNUM($J1721,21),"00"))</f>
        <v/>
      </c>
      <c r="B1721">
        <f>IF($J1721="","",SUMIFS('Weekly Log'!$C:$C,'Weekly Log'!$A:$A,"&gt;="&amp;$J1721,'Weekly Log'!$A:$A,"&lt;"&amp;$J1721+7))</f>
        <v/>
      </c>
      <c r="C1721">
        <f>IF($J1721="","",IFERROR(COUNTIFS('Weekly Log'!$G:$G,"Y",'Weekly Log'!$A:$A,"&gt;="&amp;$J1721,'Weekly Log'!$A:$A,"&lt;"&amp;$J1721+7)/COUNTIFS('Weekly Log'!$G:$G,"&lt;&gt;",'Weekly Log'!$A:$A,"&gt;="&amp;$J1721,'Weekly Log'!$A:$A,"&lt;"&amp;$J1721+7),0))</f>
        <v/>
      </c>
      <c r="D1721">
        <f>IF($J1721="","",IFERROR(COUNTIFS('Weekly Log'!$H:$H,"Y",'Weekly Log'!$A:$A,"&gt;="&amp;$J1721,'Weekly Log'!$A:$A,"&lt;"&amp;$J1721+7)/COUNTIFS('Weekly Log'!$H:$H,"&lt;&gt;",'Weekly Log'!$A:$A,"&gt;="&amp;$J1721,'Weekly Log'!$A:$A,"&lt;"&amp;$J1721+7),0))</f>
        <v/>
      </c>
      <c r="E1721">
        <f>IF($J1721="","",IFERROR(AVERAGEIFS('Weekly Log'!$F:$F,'Weekly Log'!$A:$A,"&gt;="&amp;$J1721,'Weekly Log'!$A:$A,"&lt;"&amp;$J1721+7),0))</f>
        <v/>
      </c>
      <c r="F1721">
        <f>IF($J1721="","",IFERROR(SUMIFS('Weekly Log'!$F:$F,'Weekly Log'!$A:$A,"&gt;="&amp;$J1721,'Weekly Log'!$A:$A,"&lt;"&amp;$J1721+7)/SUMIFS('Weekly Log'!$E:$E,'Weekly Log'!$A:$A,"&gt;="&amp;$J1721,'Weekly Log'!$A:$A,"&lt;"&amp;$J1721+7),0))</f>
        <v/>
      </c>
      <c r="G1721">
        <f>IF($J1721="","",IFERROR(LOOKUP(2,1/(('Weekly Log'!$A$5:$A$5000&gt;=$J1721)*('Weekly Log'!$A$5:$A$5000&lt;$J1721+7)*('Weekly Log'!$M$5:$M$5000&lt;&gt;"")),'Weekly Log'!$M$5:$M$5000),0))</f>
        <v/>
      </c>
      <c r="J1721">
        <f>IF(COUNT('Weekly Log'!$A$5:$A$5000)=0,"",IF(MIN('Weekly Log'!$A$5:$A$5000)+7*(ROW()-10)&gt;MAX('Weekly Log'!$A$5:$A$5000),"",MIN('Weekly Log'!$A$5:$A$5000)+7*(ROW()-10)))</f>
        <v/>
      </c>
    </row>
    <row r="1722">
      <c r="A1722">
        <f>IF($J1722="","",YEAR($J1722-WEEKDAY($J1722,2)+4)&amp;"-W"&amp;TEXT(WEEKNUM($J1722,21),"00"))</f>
        <v/>
      </c>
      <c r="B1722">
        <f>IF($J1722="","",SUMIFS('Weekly Log'!$C:$C,'Weekly Log'!$A:$A,"&gt;="&amp;$J1722,'Weekly Log'!$A:$A,"&lt;"&amp;$J1722+7))</f>
        <v/>
      </c>
      <c r="C1722">
        <f>IF($J1722="","",IFERROR(COUNTIFS('Weekly Log'!$G:$G,"Y",'Weekly Log'!$A:$A,"&gt;="&amp;$J1722,'Weekly Log'!$A:$A,"&lt;"&amp;$J1722+7)/COUNTIFS('Weekly Log'!$G:$G,"&lt;&gt;",'Weekly Log'!$A:$A,"&gt;="&amp;$J1722,'Weekly Log'!$A:$A,"&lt;"&amp;$J1722+7),0))</f>
        <v/>
      </c>
      <c r="D1722">
        <f>IF($J1722="","",IFERROR(COUNTIFS('Weekly Log'!$H:$H,"Y",'Weekly Log'!$A:$A,"&gt;="&amp;$J1722,'Weekly Log'!$A:$A,"&lt;"&amp;$J1722+7)/COUNTIFS('Weekly Log'!$H:$H,"&lt;&gt;",'Weekly Log'!$A:$A,"&gt;="&amp;$J1722,'Weekly Log'!$A:$A,"&lt;"&amp;$J1722+7),0))</f>
        <v/>
      </c>
      <c r="E1722">
        <f>IF($J1722="","",IFERROR(AVERAGEIFS('Weekly Log'!$F:$F,'Weekly Log'!$A:$A,"&gt;="&amp;$J1722,'Weekly Log'!$A:$A,"&lt;"&amp;$J1722+7),0))</f>
        <v/>
      </c>
      <c r="F1722">
        <f>IF($J1722="","",IFERROR(SUMIFS('Weekly Log'!$F:$F,'Weekly Log'!$A:$A,"&gt;="&amp;$J1722,'Weekly Log'!$A:$A,"&lt;"&amp;$J1722+7)/SUMIFS('Weekly Log'!$E:$E,'Weekly Log'!$A:$A,"&gt;="&amp;$J1722,'Weekly Log'!$A:$A,"&lt;"&amp;$J1722+7),0))</f>
        <v/>
      </c>
      <c r="G1722">
        <f>IF($J1722="","",IFERROR(LOOKUP(2,1/(('Weekly Log'!$A$5:$A$5000&gt;=$J1722)*('Weekly Log'!$A$5:$A$5000&lt;$J1722+7)*('Weekly Log'!$M$5:$M$5000&lt;&gt;"")),'Weekly Log'!$M$5:$M$5000),0))</f>
        <v/>
      </c>
      <c r="J1722">
        <f>IF(COUNT('Weekly Log'!$A$5:$A$5000)=0,"",IF(MIN('Weekly Log'!$A$5:$A$5000)+7*(ROW()-10)&gt;MAX('Weekly Log'!$A$5:$A$5000),"",MIN('Weekly Log'!$A$5:$A$5000)+7*(ROW()-10)))</f>
        <v/>
      </c>
    </row>
    <row r="1723">
      <c r="A1723">
        <f>IF($J1723="","",YEAR($J1723-WEEKDAY($J1723,2)+4)&amp;"-W"&amp;TEXT(WEEKNUM($J1723,21),"00"))</f>
        <v/>
      </c>
      <c r="B1723">
        <f>IF($J1723="","",SUMIFS('Weekly Log'!$C:$C,'Weekly Log'!$A:$A,"&gt;="&amp;$J1723,'Weekly Log'!$A:$A,"&lt;"&amp;$J1723+7))</f>
        <v/>
      </c>
      <c r="C1723">
        <f>IF($J1723="","",IFERROR(COUNTIFS('Weekly Log'!$G:$G,"Y",'Weekly Log'!$A:$A,"&gt;="&amp;$J1723,'Weekly Log'!$A:$A,"&lt;"&amp;$J1723+7)/COUNTIFS('Weekly Log'!$G:$G,"&lt;&gt;",'Weekly Log'!$A:$A,"&gt;="&amp;$J1723,'Weekly Log'!$A:$A,"&lt;"&amp;$J1723+7),0))</f>
        <v/>
      </c>
      <c r="D1723">
        <f>IF($J1723="","",IFERROR(COUNTIFS('Weekly Log'!$H:$H,"Y",'Weekly Log'!$A:$A,"&gt;="&amp;$J1723,'Weekly Log'!$A:$A,"&lt;"&amp;$J1723+7)/COUNTIFS('Weekly Log'!$H:$H,"&lt;&gt;",'Weekly Log'!$A:$A,"&gt;="&amp;$J1723,'Weekly Log'!$A:$A,"&lt;"&amp;$J1723+7),0))</f>
        <v/>
      </c>
      <c r="E1723">
        <f>IF($J1723="","",IFERROR(AVERAGEIFS('Weekly Log'!$F:$F,'Weekly Log'!$A:$A,"&gt;="&amp;$J1723,'Weekly Log'!$A:$A,"&lt;"&amp;$J1723+7),0))</f>
        <v/>
      </c>
      <c r="F1723">
        <f>IF($J1723="","",IFERROR(SUMIFS('Weekly Log'!$F:$F,'Weekly Log'!$A:$A,"&gt;="&amp;$J1723,'Weekly Log'!$A:$A,"&lt;"&amp;$J1723+7)/SUMIFS('Weekly Log'!$E:$E,'Weekly Log'!$A:$A,"&gt;="&amp;$J1723,'Weekly Log'!$A:$A,"&lt;"&amp;$J1723+7),0))</f>
        <v/>
      </c>
      <c r="G1723">
        <f>IF($J1723="","",IFERROR(LOOKUP(2,1/(('Weekly Log'!$A$5:$A$5000&gt;=$J1723)*('Weekly Log'!$A$5:$A$5000&lt;$J1723+7)*('Weekly Log'!$M$5:$M$5000&lt;&gt;"")),'Weekly Log'!$M$5:$M$5000),0))</f>
        <v/>
      </c>
      <c r="J1723">
        <f>IF(COUNT('Weekly Log'!$A$5:$A$5000)=0,"",IF(MIN('Weekly Log'!$A$5:$A$5000)+7*(ROW()-10)&gt;MAX('Weekly Log'!$A$5:$A$5000),"",MIN('Weekly Log'!$A$5:$A$5000)+7*(ROW()-10)))</f>
        <v/>
      </c>
    </row>
    <row r="1724">
      <c r="A1724">
        <f>IF($J1724="","",YEAR($J1724-WEEKDAY($J1724,2)+4)&amp;"-W"&amp;TEXT(WEEKNUM($J1724,21),"00"))</f>
        <v/>
      </c>
      <c r="B1724">
        <f>IF($J1724="","",SUMIFS('Weekly Log'!$C:$C,'Weekly Log'!$A:$A,"&gt;="&amp;$J1724,'Weekly Log'!$A:$A,"&lt;"&amp;$J1724+7))</f>
        <v/>
      </c>
      <c r="C1724">
        <f>IF($J1724="","",IFERROR(COUNTIFS('Weekly Log'!$G:$G,"Y",'Weekly Log'!$A:$A,"&gt;="&amp;$J1724,'Weekly Log'!$A:$A,"&lt;"&amp;$J1724+7)/COUNTIFS('Weekly Log'!$G:$G,"&lt;&gt;",'Weekly Log'!$A:$A,"&gt;="&amp;$J1724,'Weekly Log'!$A:$A,"&lt;"&amp;$J1724+7),0))</f>
        <v/>
      </c>
      <c r="D1724">
        <f>IF($J1724="","",IFERROR(COUNTIFS('Weekly Log'!$H:$H,"Y",'Weekly Log'!$A:$A,"&gt;="&amp;$J1724,'Weekly Log'!$A:$A,"&lt;"&amp;$J1724+7)/COUNTIFS('Weekly Log'!$H:$H,"&lt;&gt;",'Weekly Log'!$A:$A,"&gt;="&amp;$J1724,'Weekly Log'!$A:$A,"&lt;"&amp;$J1724+7),0))</f>
        <v/>
      </c>
      <c r="E1724">
        <f>IF($J1724="","",IFERROR(AVERAGEIFS('Weekly Log'!$F:$F,'Weekly Log'!$A:$A,"&gt;="&amp;$J1724,'Weekly Log'!$A:$A,"&lt;"&amp;$J1724+7),0))</f>
        <v/>
      </c>
      <c r="F1724">
        <f>IF($J1724="","",IFERROR(SUMIFS('Weekly Log'!$F:$F,'Weekly Log'!$A:$A,"&gt;="&amp;$J1724,'Weekly Log'!$A:$A,"&lt;"&amp;$J1724+7)/SUMIFS('Weekly Log'!$E:$E,'Weekly Log'!$A:$A,"&gt;="&amp;$J1724,'Weekly Log'!$A:$A,"&lt;"&amp;$J1724+7),0))</f>
        <v/>
      </c>
      <c r="G1724">
        <f>IF($J1724="","",IFERROR(LOOKUP(2,1/(('Weekly Log'!$A$5:$A$5000&gt;=$J1724)*('Weekly Log'!$A$5:$A$5000&lt;$J1724+7)*('Weekly Log'!$M$5:$M$5000&lt;&gt;"")),'Weekly Log'!$M$5:$M$5000),0))</f>
        <v/>
      </c>
      <c r="J1724">
        <f>IF(COUNT('Weekly Log'!$A$5:$A$5000)=0,"",IF(MIN('Weekly Log'!$A$5:$A$5000)+7*(ROW()-10)&gt;MAX('Weekly Log'!$A$5:$A$5000),"",MIN('Weekly Log'!$A$5:$A$5000)+7*(ROW()-10)))</f>
        <v/>
      </c>
    </row>
    <row r="1725">
      <c r="A1725">
        <f>IF($J1725="","",YEAR($J1725-WEEKDAY($J1725,2)+4)&amp;"-W"&amp;TEXT(WEEKNUM($J1725,21),"00"))</f>
        <v/>
      </c>
      <c r="B1725">
        <f>IF($J1725="","",SUMIFS('Weekly Log'!$C:$C,'Weekly Log'!$A:$A,"&gt;="&amp;$J1725,'Weekly Log'!$A:$A,"&lt;"&amp;$J1725+7))</f>
        <v/>
      </c>
      <c r="C1725">
        <f>IF($J1725="","",IFERROR(COUNTIFS('Weekly Log'!$G:$G,"Y",'Weekly Log'!$A:$A,"&gt;="&amp;$J1725,'Weekly Log'!$A:$A,"&lt;"&amp;$J1725+7)/COUNTIFS('Weekly Log'!$G:$G,"&lt;&gt;",'Weekly Log'!$A:$A,"&gt;="&amp;$J1725,'Weekly Log'!$A:$A,"&lt;"&amp;$J1725+7),0))</f>
        <v/>
      </c>
      <c r="D1725">
        <f>IF($J1725="","",IFERROR(COUNTIFS('Weekly Log'!$H:$H,"Y",'Weekly Log'!$A:$A,"&gt;="&amp;$J1725,'Weekly Log'!$A:$A,"&lt;"&amp;$J1725+7)/COUNTIFS('Weekly Log'!$H:$H,"&lt;&gt;",'Weekly Log'!$A:$A,"&gt;="&amp;$J1725,'Weekly Log'!$A:$A,"&lt;"&amp;$J1725+7),0))</f>
        <v/>
      </c>
      <c r="E1725">
        <f>IF($J1725="","",IFERROR(AVERAGEIFS('Weekly Log'!$F:$F,'Weekly Log'!$A:$A,"&gt;="&amp;$J1725,'Weekly Log'!$A:$A,"&lt;"&amp;$J1725+7),0))</f>
        <v/>
      </c>
      <c r="F1725">
        <f>IF($J1725="","",IFERROR(SUMIFS('Weekly Log'!$F:$F,'Weekly Log'!$A:$A,"&gt;="&amp;$J1725,'Weekly Log'!$A:$A,"&lt;"&amp;$J1725+7)/SUMIFS('Weekly Log'!$E:$E,'Weekly Log'!$A:$A,"&gt;="&amp;$J1725,'Weekly Log'!$A:$A,"&lt;"&amp;$J1725+7),0))</f>
        <v/>
      </c>
      <c r="G1725">
        <f>IF($J1725="","",IFERROR(LOOKUP(2,1/(('Weekly Log'!$A$5:$A$5000&gt;=$J1725)*('Weekly Log'!$A$5:$A$5000&lt;$J1725+7)*('Weekly Log'!$M$5:$M$5000&lt;&gt;"")),'Weekly Log'!$M$5:$M$5000),0))</f>
        <v/>
      </c>
      <c r="J1725">
        <f>IF(COUNT('Weekly Log'!$A$5:$A$5000)=0,"",IF(MIN('Weekly Log'!$A$5:$A$5000)+7*(ROW()-10)&gt;MAX('Weekly Log'!$A$5:$A$5000),"",MIN('Weekly Log'!$A$5:$A$5000)+7*(ROW()-10)))</f>
        <v/>
      </c>
    </row>
    <row r="1726">
      <c r="A1726">
        <f>IF($J1726="","",YEAR($J1726-WEEKDAY($J1726,2)+4)&amp;"-W"&amp;TEXT(WEEKNUM($J1726,21),"00"))</f>
        <v/>
      </c>
      <c r="B1726">
        <f>IF($J1726="","",SUMIFS('Weekly Log'!$C:$C,'Weekly Log'!$A:$A,"&gt;="&amp;$J1726,'Weekly Log'!$A:$A,"&lt;"&amp;$J1726+7))</f>
        <v/>
      </c>
      <c r="C1726">
        <f>IF($J1726="","",IFERROR(COUNTIFS('Weekly Log'!$G:$G,"Y",'Weekly Log'!$A:$A,"&gt;="&amp;$J1726,'Weekly Log'!$A:$A,"&lt;"&amp;$J1726+7)/COUNTIFS('Weekly Log'!$G:$G,"&lt;&gt;",'Weekly Log'!$A:$A,"&gt;="&amp;$J1726,'Weekly Log'!$A:$A,"&lt;"&amp;$J1726+7),0))</f>
        <v/>
      </c>
      <c r="D1726">
        <f>IF($J1726="","",IFERROR(COUNTIFS('Weekly Log'!$H:$H,"Y",'Weekly Log'!$A:$A,"&gt;="&amp;$J1726,'Weekly Log'!$A:$A,"&lt;"&amp;$J1726+7)/COUNTIFS('Weekly Log'!$H:$H,"&lt;&gt;",'Weekly Log'!$A:$A,"&gt;="&amp;$J1726,'Weekly Log'!$A:$A,"&lt;"&amp;$J1726+7),0))</f>
        <v/>
      </c>
      <c r="E1726">
        <f>IF($J1726="","",IFERROR(AVERAGEIFS('Weekly Log'!$F:$F,'Weekly Log'!$A:$A,"&gt;="&amp;$J1726,'Weekly Log'!$A:$A,"&lt;"&amp;$J1726+7),0))</f>
        <v/>
      </c>
      <c r="F1726">
        <f>IF($J1726="","",IFERROR(SUMIFS('Weekly Log'!$F:$F,'Weekly Log'!$A:$A,"&gt;="&amp;$J1726,'Weekly Log'!$A:$A,"&lt;"&amp;$J1726+7)/SUMIFS('Weekly Log'!$E:$E,'Weekly Log'!$A:$A,"&gt;="&amp;$J1726,'Weekly Log'!$A:$A,"&lt;"&amp;$J1726+7),0))</f>
        <v/>
      </c>
      <c r="G1726">
        <f>IF($J1726="","",IFERROR(LOOKUP(2,1/(('Weekly Log'!$A$5:$A$5000&gt;=$J1726)*('Weekly Log'!$A$5:$A$5000&lt;$J1726+7)*('Weekly Log'!$M$5:$M$5000&lt;&gt;"")),'Weekly Log'!$M$5:$M$5000),0))</f>
        <v/>
      </c>
      <c r="J1726">
        <f>IF(COUNT('Weekly Log'!$A$5:$A$5000)=0,"",IF(MIN('Weekly Log'!$A$5:$A$5000)+7*(ROW()-10)&gt;MAX('Weekly Log'!$A$5:$A$5000),"",MIN('Weekly Log'!$A$5:$A$5000)+7*(ROW()-10)))</f>
        <v/>
      </c>
    </row>
    <row r="1727">
      <c r="A1727">
        <f>IF($J1727="","",YEAR($J1727-WEEKDAY($J1727,2)+4)&amp;"-W"&amp;TEXT(WEEKNUM($J1727,21),"00"))</f>
        <v/>
      </c>
      <c r="B1727">
        <f>IF($J1727="","",SUMIFS('Weekly Log'!$C:$C,'Weekly Log'!$A:$A,"&gt;="&amp;$J1727,'Weekly Log'!$A:$A,"&lt;"&amp;$J1727+7))</f>
        <v/>
      </c>
      <c r="C1727">
        <f>IF($J1727="","",IFERROR(COUNTIFS('Weekly Log'!$G:$G,"Y",'Weekly Log'!$A:$A,"&gt;="&amp;$J1727,'Weekly Log'!$A:$A,"&lt;"&amp;$J1727+7)/COUNTIFS('Weekly Log'!$G:$G,"&lt;&gt;",'Weekly Log'!$A:$A,"&gt;="&amp;$J1727,'Weekly Log'!$A:$A,"&lt;"&amp;$J1727+7),0))</f>
        <v/>
      </c>
      <c r="D1727">
        <f>IF($J1727="","",IFERROR(COUNTIFS('Weekly Log'!$H:$H,"Y",'Weekly Log'!$A:$A,"&gt;="&amp;$J1727,'Weekly Log'!$A:$A,"&lt;"&amp;$J1727+7)/COUNTIFS('Weekly Log'!$H:$H,"&lt;&gt;",'Weekly Log'!$A:$A,"&gt;="&amp;$J1727,'Weekly Log'!$A:$A,"&lt;"&amp;$J1727+7),0))</f>
        <v/>
      </c>
      <c r="E1727">
        <f>IF($J1727="","",IFERROR(AVERAGEIFS('Weekly Log'!$F:$F,'Weekly Log'!$A:$A,"&gt;="&amp;$J1727,'Weekly Log'!$A:$A,"&lt;"&amp;$J1727+7),0))</f>
        <v/>
      </c>
      <c r="F1727">
        <f>IF($J1727="","",IFERROR(SUMIFS('Weekly Log'!$F:$F,'Weekly Log'!$A:$A,"&gt;="&amp;$J1727,'Weekly Log'!$A:$A,"&lt;"&amp;$J1727+7)/SUMIFS('Weekly Log'!$E:$E,'Weekly Log'!$A:$A,"&gt;="&amp;$J1727,'Weekly Log'!$A:$A,"&lt;"&amp;$J1727+7),0))</f>
        <v/>
      </c>
      <c r="G1727">
        <f>IF($J1727="","",IFERROR(LOOKUP(2,1/(('Weekly Log'!$A$5:$A$5000&gt;=$J1727)*('Weekly Log'!$A$5:$A$5000&lt;$J1727+7)*('Weekly Log'!$M$5:$M$5000&lt;&gt;"")),'Weekly Log'!$M$5:$M$5000),0))</f>
        <v/>
      </c>
      <c r="J1727">
        <f>IF(COUNT('Weekly Log'!$A$5:$A$5000)=0,"",IF(MIN('Weekly Log'!$A$5:$A$5000)+7*(ROW()-10)&gt;MAX('Weekly Log'!$A$5:$A$5000),"",MIN('Weekly Log'!$A$5:$A$5000)+7*(ROW()-10)))</f>
        <v/>
      </c>
    </row>
    <row r="1728">
      <c r="A1728">
        <f>IF($J1728="","",YEAR($J1728-WEEKDAY($J1728,2)+4)&amp;"-W"&amp;TEXT(WEEKNUM($J1728,21),"00"))</f>
        <v/>
      </c>
      <c r="B1728">
        <f>IF($J1728="","",SUMIFS('Weekly Log'!$C:$C,'Weekly Log'!$A:$A,"&gt;="&amp;$J1728,'Weekly Log'!$A:$A,"&lt;"&amp;$J1728+7))</f>
        <v/>
      </c>
      <c r="C1728">
        <f>IF($J1728="","",IFERROR(COUNTIFS('Weekly Log'!$G:$G,"Y",'Weekly Log'!$A:$A,"&gt;="&amp;$J1728,'Weekly Log'!$A:$A,"&lt;"&amp;$J1728+7)/COUNTIFS('Weekly Log'!$G:$G,"&lt;&gt;",'Weekly Log'!$A:$A,"&gt;="&amp;$J1728,'Weekly Log'!$A:$A,"&lt;"&amp;$J1728+7),0))</f>
        <v/>
      </c>
      <c r="D1728">
        <f>IF($J1728="","",IFERROR(COUNTIFS('Weekly Log'!$H:$H,"Y",'Weekly Log'!$A:$A,"&gt;="&amp;$J1728,'Weekly Log'!$A:$A,"&lt;"&amp;$J1728+7)/COUNTIFS('Weekly Log'!$H:$H,"&lt;&gt;",'Weekly Log'!$A:$A,"&gt;="&amp;$J1728,'Weekly Log'!$A:$A,"&lt;"&amp;$J1728+7),0))</f>
        <v/>
      </c>
      <c r="E1728">
        <f>IF($J1728="","",IFERROR(AVERAGEIFS('Weekly Log'!$F:$F,'Weekly Log'!$A:$A,"&gt;="&amp;$J1728,'Weekly Log'!$A:$A,"&lt;"&amp;$J1728+7),0))</f>
        <v/>
      </c>
      <c r="F1728">
        <f>IF($J1728="","",IFERROR(SUMIFS('Weekly Log'!$F:$F,'Weekly Log'!$A:$A,"&gt;="&amp;$J1728,'Weekly Log'!$A:$A,"&lt;"&amp;$J1728+7)/SUMIFS('Weekly Log'!$E:$E,'Weekly Log'!$A:$A,"&gt;="&amp;$J1728,'Weekly Log'!$A:$A,"&lt;"&amp;$J1728+7),0))</f>
        <v/>
      </c>
      <c r="G1728">
        <f>IF($J1728="","",IFERROR(LOOKUP(2,1/(('Weekly Log'!$A$5:$A$5000&gt;=$J1728)*('Weekly Log'!$A$5:$A$5000&lt;$J1728+7)*('Weekly Log'!$M$5:$M$5000&lt;&gt;"")),'Weekly Log'!$M$5:$M$5000),0))</f>
        <v/>
      </c>
      <c r="J1728">
        <f>IF(COUNT('Weekly Log'!$A$5:$A$5000)=0,"",IF(MIN('Weekly Log'!$A$5:$A$5000)+7*(ROW()-10)&gt;MAX('Weekly Log'!$A$5:$A$5000),"",MIN('Weekly Log'!$A$5:$A$5000)+7*(ROW()-10)))</f>
        <v/>
      </c>
    </row>
    <row r="1729">
      <c r="A1729">
        <f>IF($J1729="","",YEAR($J1729-WEEKDAY($J1729,2)+4)&amp;"-W"&amp;TEXT(WEEKNUM($J1729,21),"00"))</f>
        <v/>
      </c>
      <c r="B1729">
        <f>IF($J1729="","",SUMIFS('Weekly Log'!$C:$C,'Weekly Log'!$A:$A,"&gt;="&amp;$J1729,'Weekly Log'!$A:$A,"&lt;"&amp;$J1729+7))</f>
        <v/>
      </c>
      <c r="C1729">
        <f>IF($J1729="","",IFERROR(COUNTIFS('Weekly Log'!$G:$G,"Y",'Weekly Log'!$A:$A,"&gt;="&amp;$J1729,'Weekly Log'!$A:$A,"&lt;"&amp;$J1729+7)/COUNTIFS('Weekly Log'!$G:$G,"&lt;&gt;",'Weekly Log'!$A:$A,"&gt;="&amp;$J1729,'Weekly Log'!$A:$A,"&lt;"&amp;$J1729+7),0))</f>
        <v/>
      </c>
      <c r="D1729">
        <f>IF($J1729="","",IFERROR(COUNTIFS('Weekly Log'!$H:$H,"Y",'Weekly Log'!$A:$A,"&gt;="&amp;$J1729,'Weekly Log'!$A:$A,"&lt;"&amp;$J1729+7)/COUNTIFS('Weekly Log'!$H:$H,"&lt;&gt;",'Weekly Log'!$A:$A,"&gt;="&amp;$J1729,'Weekly Log'!$A:$A,"&lt;"&amp;$J1729+7),0))</f>
        <v/>
      </c>
      <c r="E1729">
        <f>IF($J1729="","",IFERROR(AVERAGEIFS('Weekly Log'!$F:$F,'Weekly Log'!$A:$A,"&gt;="&amp;$J1729,'Weekly Log'!$A:$A,"&lt;"&amp;$J1729+7),0))</f>
        <v/>
      </c>
      <c r="F1729">
        <f>IF($J1729="","",IFERROR(SUMIFS('Weekly Log'!$F:$F,'Weekly Log'!$A:$A,"&gt;="&amp;$J1729,'Weekly Log'!$A:$A,"&lt;"&amp;$J1729+7)/SUMIFS('Weekly Log'!$E:$E,'Weekly Log'!$A:$A,"&gt;="&amp;$J1729,'Weekly Log'!$A:$A,"&lt;"&amp;$J1729+7),0))</f>
        <v/>
      </c>
      <c r="G1729">
        <f>IF($J1729="","",IFERROR(LOOKUP(2,1/(('Weekly Log'!$A$5:$A$5000&gt;=$J1729)*('Weekly Log'!$A$5:$A$5000&lt;$J1729+7)*('Weekly Log'!$M$5:$M$5000&lt;&gt;"")),'Weekly Log'!$M$5:$M$5000),0))</f>
        <v/>
      </c>
      <c r="J1729">
        <f>IF(COUNT('Weekly Log'!$A$5:$A$5000)=0,"",IF(MIN('Weekly Log'!$A$5:$A$5000)+7*(ROW()-10)&gt;MAX('Weekly Log'!$A$5:$A$5000),"",MIN('Weekly Log'!$A$5:$A$5000)+7*(ROW()-10)))</f>
        <v/>
      </c>
    </row>
    <row r="1730">
      <c r="A1730">
        <f>IF($J1730="","",YEAR($J1730-WEEKDAY($J1730,2)+4)&amp;"-W"&amp;TEXT(WEEKNUM($J1730,21),"00"))</f>
        <v/>
      </c>
      <c r="B1730">
        <f>IF($J1730="","",SUMIFS('Weekly Log'!$C:$C,'Weekly Log'!$A:$A,"&gt;="&amp;$J1730,'Weekly Log'!$A:$A,"&lt;"&amp;$J1730+7))</f>
        <v/>
      </c>
      <c r="C1730">
        <f>IF($J1730="","",IFERROR(COUNTIFS('Weekly Log'!$G:$G,"Y",'Weekly Log'!$A:$A,"&gt;="&amp;$J1730,'Weekly Log'!$A:$A,"&lt;"&amp;$J1730+7)/COUNTIFS('Weekly Log'!$G:$G,"&lt;&gt;",'Weekly Log'!$A:$A,"&gt;="&amp;$J1730,'Weekly Log'!$A:$A,"&lt;"&amp;$J1730+7),0))</f>
        <v/>
      </c>
      <c r="D1730">
        <f>IF($J1730="","",IFERROR(COUNTIFS('Weekly Log'!$H:$H,"Y",'Weekly Log'!$A:$A,"&gt;="&amp;$J1730,'Weekly Log'!$A:$A,"&lt;"&amp;$J1730+7)/COUNTIFS('Weekly Log'!$H:$H,"&lt;&gt;",'Weekly Log'!$A:$A,"&gt;="&amp;$J1730,'Weekly Log'!$A:$A,"&lt;"&amp;$J1730+7),0))</f>
        <v/>
      </c>
      <c r="E1730">
        <f>IF($J1730="","",IFERROR(AVERAGEIFS('Weekly Log'!$F:$F,'Weekly Log'!$A:$A,"&gt;="&amp;$J1730,'Weekly Log'!$A:$A,"&lt;"&amp;$J1730+7),0))</f>
        <v/>
      </c>
      <c r="F1730">
        <f>IF($J1730="","",IFERROR(SUMIFS('Weekly Log'!$F:$F,'Weekly Log'!$A:$A,"&gt;="&amp;$J1730,'Weekly Log'!$A:$A,"&lt;"&amp;$J1730+7)/SUMIFS('Weekly Log'!$E:$E,'Weekly Log'!$A:$A,"&gt;="&amp;$J1730,'Weekly Log'!$A:$A,"&lt;"&amp;$J1730+7),0))</f>
        <v/>
      </c>
      <c r="G1730">
        <f>IF($J1730="","",IFERROR(LOOKUP(2,1/(('Weekly Log'!$A$5:$A$5000&gt;=$J1730)*('Weekly Log'!$A$5:$A$5000&lt;$J1730+7)*('Weekly Log'!$M$5:$M$5000&lt;&gt;"")),'Weekly Log'!$M$5:$M$5000),0))</f>
        <v/>
      </c>
      <c r="J1730">
        <f>IF(COUNT('Weekly Log'!$A$5:$A$5000)=0,"",IF(MIN('Weekly Log'!$A$5:$A$5000)+7*(ROW()-10)&gt;MAX('Weekly Log'!$A$5:$A$5000),"",MIN('Weekly Log'!$A$5:$A$5000)+7*(ROW()-10)))</f>
        <v/>
      </c>
    </row>
    <row r="1731">
      <c r="A1731">
        <f>IF($J1731="","",YEAR($J1731-WEEKDAY($J1731,2)+4)&amp;"-W"&amp;TEXT(WEEKNUM($J1731,21),"00"))</f>
        <v/>
      </c>
      <c r="B1731">
        <f>IF($J1731="","",SUMIFS('Weekly Log'!$C:$C,'Weekly Log'!$A:$A,"&gt;="&amp;$J1731,'Weekly Log'!$A:$A,"&lt;"&amp;$J1731+7))</f>
        <v/>
      </c>
      <c r="C1731">
        <f>IF($J1731="","",IFERROR(COUNTIFS('Weekly Log'!$G:$G,"Y",'Weekly Log'!$A:$A,"&gt;="&amp;$J1731,'Weekly Log'!$A:$A,"&lt;"&amp;$J1731+7)/COUNTIFS('Weekly Log'!$G:$G,"&lt;&gt;",'Weekly Log'!$A:$A,"&gt;="&amp;$J1731,'Weekly Log'!$A:$A,"&lt;"&amp;$J1731+7),0))</f>
        <v/>
      </c>
      <c r="D1731">
        <f>IF($J1731="","",IFERROR(COUNTIFS('Weekly Log'!$H:$H,"Y",'Weekly Log'!$A:$A,"&gt;="&amp;$J1731,'Weekly Log'!$A:$A,"&lt;"&amp;$J1731+7)/COUNTIFS('Weekly Log'!$H:$H,"&lt;&gt;",'Weekly Log'!$A:$A,"&gt;="&amp;$J1731,'Weekly Log'!$A:$A,"&lt;"&amp;$J1731+7),0))</f>
        <v/>
      </c>
      <c r="E1731">
        <f>IF($J1731="","",IFERROR(AVERAGEIFS('Weekly Log'!$F:$F,'Weekly Log'!$A:$A,"&gt;="&amp;$J1731,'Weekly Log'!$A:$A,"&lt;"&amp;$J1731+7),0))</f>
        <v/>
      </c>
      <c r="F1731">
        <f>IF($J1731="","",IFERROR(SUMIFS('Weekly Log'!$F:$F,'Weekly Log'!$A:$A,"&gt;="&amp;$J1731,'Weekly Log'!$A:$A,"&lt;"&amp;$J1731+7)/SUMIFS('Weekly Log'!$E:$E,'Weekly Log'!$A:$A,"&gt;="&amp;$J1731,'Weekly Log'!$A:$A,"&lt;"&amp;$J1731+7),0))</f>
        <v/>
      </c>
      <c r="G1731">
        <f>IF($J1731="","",IFERROR(LOOKUP(2,1/(('Weekly Log'!$A$5:$A$5000&gt;=$J1731)*('Weekly Log'!$A$5:$A$5000&lt;$J1731+7)*('Weekly Log'!$M$5:$M$5000&lt;&gt;"")),'Weekly Log'!$M$5:$M$5000),0))</f>
        <v/>
      </c>
      <c r="J1731">
        <f>IF(COUNT('Weekly Log'!$A$5:$A$5000)=0,"",IF(MIN('Weekly Log'!$A$5:$A$5000)+7*(ROW()-10)&gt;MAX('Weekly Log'!$A$5:$A$5000),"",MIN('Weekly Log'!$A$5:$A$5000)+7*(ROW()-10)))</f>
        <v/>
      </c>
    </row>
    <row r="1732">
      <c r="A1732">
        <f>IF($J1732="","",YEAR($J1732-WEEKDAY($J1732,2)+4)&amp;"-W"&amp;TEXT(WEEKNUM($J1732,21),"00"))</f>
        <v/>
      </c>
      <c r="B1732">
        <f>IF($J1732="","",SUMIFS('Weekly Log'!$C:$C,'Weekly Log'!$A:$A,"&gt;="&amp;$J1732,'Weekly Log'!$A:$A,"&lt;"&amp;$J1732+7))</f>
        <v/>
      </c>
      <c r="C1732">
        <f>IF($J1732="","",IFERROR(COUNTIFS('Weekly Log'!$G:$G,"Y",'Weekly Log'!$A:$A,"&gt;="&amp;$J1732,'Weekly Log'!$A:$A,"&lt;"&amp;$J1732+7)/COUNTIFS('Weekly Log'!$G:$G,"&lt;&gt;",'Weekly Log'!$A:$A,"&gt;="&amp;$J1732,'Weekly Log'!$A:$A,"&lt;"&amp;$J1732+7),0))</f>
        <v/>
      </c>
      <c r="D1732">
        <f>IF($J1732="","",IFERROR(COUNTIFS('Weekly Log'!$H:$H,"Y",'Weekly Log'!$A:$A,"&gt;="&amp;$J1732,'Weekly Log'!$A:$A,"&lt;"&amp;$J1732+7)/COUNTIFS('Weekly Log'!$H:$H,"&lt;&gt;",'Weekly Log'!$A:$A,"&gt;="&amp;$J1732,'Weekly Log'!$A:$A,"&lt;"&amp;$J1732+7),0))</f>
        <v/>
      </c>
      <c r="E1732">
        <f>IF($J1732="","",IFERROR(AVERAGEIFS('Weekly Log'!$F:$F,'Weekly Log'!$A:$A,"&gt;="&amp;$J1732,'Weekly Log'!$A:$A,"&lt;"&amp;$J1732+7),0))</f>
        <v/>
      </c>
      <c r="F1732">
        <f>IF($J1732="","",IFERROR(SUMIFS('Weekly Log'!$F:$F,'Weekly Log'!$A:$A,"&gt;="&amp;$J1732,'Weekly Log'!$A:$A,"&lt;"&amp;$J1732+7)/SUMIFS('Weekly Log'!$E:$E,'Weekly Log'!$A:$A,"&gt;="&amp;$J1732,'Weekly Log'!$A:$A,"&lt;"&amp;$J1732+7),0))</f>
        <v/>
      </c>
      <c r="G1732">
        <f>IF($J1732="","",IFERROR(LOOKUP(2,1/(('Weekly Log'!$A$5:$A$5000&gt;=$J1732)*('Weekly Log'!$A$5:$A$5000&lt;$J1732+7)*('Weekly Log'!$M$5:$M$5000&lt;&gt;"")),'Weekly Log'!$M$5:$M$5000),0))</f>
        <v/>
      </c>
      <c r="J1732">
        <f>IF(COUNT('Weekly Log'!$A$5:$A$5000)=0,"",IF(MIN('Weekly Log'!$A$5:$A$5000)+7*(ROW()-10)&gt;MAX('Weekly Log'!$A$5:$A$5000),"",MIN('Weekly Log'!$A$5:$A$5000)+7*(ROW()-10)))</f>
        <v/>
      </c>
    </row>
    <row r="1733">
      <c r="A1733">
        <f>IF($J1733="","",YEAR($J1733-WEEKDAY($J1733,2)+4)&amp;"-W"&amp;TEXT(WEEKNUM($J1733,21),"00"))</f>
        <v/>
      </c>
      <c r="B1733">
        <f>IF($J1733="","",SUMIFS('Weekly Log'!$C:$C,'Weekly Log'!$A:$A,"&gt;="&amp;$J1733,'Weekly Log'!$A:$A,"&lt;"&amp;$J1733+7))</f>
        <v/>
      </c>
      <c r="C1733">
        <f>IF($J1733="","",IFERROR(COUNTIFS('Weekly Log'!$G:$G,"Y",'Weekly Log'!$A:$A,"&gt;="&amp;$J1733,'Weekly Log'!$A:$A,"&lt;"&amp;$J1733+7)/COUNTIFS('Weekly Log'!$G:$G,"&lt;&gt;",'Weekly Log'!$A:$A,"&gt;="&amp;$J1733,'Weekly Log'!$A:$A,"&lt;"&amp;$J1733+7),0))</f>
        <v/>
      </c>
      <c r="D1733">
        <f>IF($J1733="","",IFERROR(COUNTIFS('Weekly Log'!$H:$H,"Y",'Weekly Log'!$A:$A,"&gt;="&amp;$J1733,'Weekly Log'!$A:$A,"&lt;"&amp;$J1733+7)/COUNTIFS('Weekly Log'!$H:$H,"&lt;&gt;",'Weekly Log'!$A:$A,"&gt;="&amp;$J1733,'Weekly Log'!$A:$A,"&lt;"&amp;$J1733+7),0))</f>
        <v/>
      </c>
      <c r="E1733">
        <f>IF($J1733="","",IFERROR(AVERAGEIFS('Weekly Log'!$F:$F,'Weekly Log'!$A:$A,"&gt;="&amp;$J1733,'Weekly Log'!$A:$A,"&lt;"&amp;$J1733+7),0))</f>
        <v/>
      </c>
      <c r="F1733">
        <f>IF($J1733="","",IFERROR(SUMIFS('Weekly Log'!$F:$F,'Weekly Log'!$A:$A,"&gt;="&amp;$J1733,'Weekly Log'!$A:$A,"&lt;"&amp;$J1733+7)/SUMIFS('Weekly Log'!$E:$E,'Weekly Log'!$A:$A,"&gt;="&amp;$J1733,'Weekly Log'!$A:$A,"&lt;"&amp;$J1733+7),0))</f>
        <v/>
      </c>
      <c r="G1733">
        <f>IF($J1733="","",IFERROR(LOOKUP(2,1/(('Weekly Log'!$A$5:$A$5000&gt;=$J1733)*('Weekly Log'!$A$5:$A$5000&lt;$J1733+7)*('Weekly Log'!$M$5:$M$5000&lt;&gt;"")),'Weekly Log'!$M$5:$M$5000),0))</f>
        <v/>
      </c>
      <c r="J1733">
        <f>IF(COUNT('Weekly Log'!$A$5:$A$5000)=0,"",IF(MIN('Weekly Log'!$A$5:$A$5000)+7*(ROW()-10)&gt;MAX('Weekly Log'!$A$5:$A$5000),"",MIN('Weekly Log'!$A$5:$A$5000)+7*(ROW()-10)))</f>
        <v/>
      </c>
    </row>
    <row r="1734">
      <c r="A1734">
        <f>IF($J1734="","",YEAR($J1734-WEEKDAY($J1734,2)+4)&amp;"-W"&amp;TEXT(WEEKNUM($J1734,21),"00"))</f>
        <v/>
      </c>
      <c r="B1734">
        <f>IF($J1734="","",SUMIFS('Weekly Log'!$C:$C,'Weekly Log'!$A:$A,"&gt;="&amp;$J1734,'Weekly Log'!$A:$A,"&lt;"&amp;$J1734+7))</f>
        <v/>
      </c>
      <c r="C1734">
        <f>IF($J1734="","",IFERROR(COUNTIFS('Weekly Log'!$G:$G,"Y",'Weekly Log'!$A:$A,"&gt;="&amp;$J1734,'Weekly Log'!$A:$A,"&lt;"&amp;$J1734+7)/COUNTIFS('Weekly Log'!$G:$G,"&lt;&gt;",'Weekly Log'!$A:$A,"&gt;="&amp;$J1734,'Weekly Log'!$A:$A,"&lt;"&amp;$J1734+7),0))</f>
        <v/>
      </c>
      <c r="D1734">
        <f>IF($J1734="","",IFERROR(COUNTIFS('Weekly Log'!$H:$H,"Y",'Weekly Log'!$A:$A,"&gt;="&amp;$J1734,'Weekly Log'!$A:$A,"&lt;"&amp;$J1734+7)/COUNTIFS('Weekly Log'!$H:$H,"&lt;&gt;",'Weekly Log'!$A:$A,"&gt;="&amp;$J1734,'Weekly Log'!$A:$A,"&lt;"&amp;$J1734+7),0))</f>
        <v/>
      </c>
      <c r="E1734">
        <f>IF($J1734="","",IFERROR(AVERAGEIFS('Weekly Log'!$F:$F,'Weekly Log'!$A:$A,"&gt;="&amp;$J1734,'Weekly Log'!$A:$A,"&lt;"&amp;$J1734+7),0))</f>
        <v/>
      </c>
      <c r="F1734">
        <f>IF($J1734="","",IFERROR(SUMIFS('Weekly Log'!$F:$F,'Weekly Log'!$A:$A,"&gt;="&amp;$J1734,'Weekly Log'!$A:$A,"&lt;"&amp;$J1734+7)/SUMIFS('Weekly Log'!$E:$E,'Weekly Log'!$A:$A,"&gt;="&amp;$J1734,'Weekly Log'!$A:$A,"&lt;"&amp;$J1734+7),0))</f>
        <v/>
      </c>
      <c r="G1734">
        <f>IF($J1734="","",IFERROR(LOOKUP(2,1/(('Weekly Log'!$A$5:$A$5000&gt;=$J1734)*('Weekly Log'!$A$5:$A$5000&lt;$J1734+7)*('Weekly Log'!$M$5:$M$5000&lt;&gt;"")),'Weekly Log'!$M$5:$M$5000),0))</f>
        <v/>
      </c>
      <c r="J1734">
        <f>IF(COUNT('Weekly Log'!$A$5:$A$5000)=0,"",IF(MIN('Weekly Log'!$A$5:$A$5000)+7*(ROW()-10)&gt;MAX('Weekly Log'!$A$5:$A$5000),"",MIN('Weekly Log'!$A$5:$A$5000)+7*(ROW()-10)))</f>
        <v/>
      </c>
    </row>
    <row r="1735">
      <c r="A1735">
        <f>IF($J1735="","",YEAR($J1735-WEEKDAY($J1735,2)+4)&amp;"-W"&amp;TEXT(WEEKNUM($J1735,21),"00"))</f>
        <v/>
      </c>
      <c r="B1735">
        <f>IF($J1735="","",SUMIFS('Weekly Log'!$C:$C,'Weekly Log'!$A:$A,"&gt;="&amp;$J1735,'Weekly Log'!$A:$A,"&lt;"&amp;$J1735+7))</f>
        <v/>
      </c>
      <c r="C1735">
        <f>IF($J1735="","",IFERROR(COUNTIFS('Weekly Log'!$G:$G,"Y",'Weekly Log'!$A:$A,"&gt;="&amp;$J1735,'Weekly Log'!$A:$A,"&lt;"&amp;$J1735+7)/COUNTIFS('Weekly Log'!$G:$G,"&lt;&gt;",'Weekly Log'!$A:$A,"&gt;="&amp;$J1735,'Weekly Log'!$A:$A,"&lt;"&amp;$J1735+7),0))</f>
        <v/>
      </c>
      <c r="D1735">
        <f>IF($J1735="","",IFERROR(COUNTIFS('Weekly Log'!$H:$H,"Y",'Weekly Log'!$A:$A,"&gt;="&amp;$J1735,'Weekly Log'!$A:$A,"&lt;"&amp;$J1735+7)/COUNTIFS('Weekly Log'!$H:$H,"&lt;&gt;",'Weekly Log'!$A:$A,"&gt;="&amp;$J1735,'Weekly Log'!$A:$A,"&lt;"&amp;$J1735+7),0))</f>
        <v/>
      </c>
      <c r="E1735">
        <f>IF($J1735="","",IFERROR(AVERAGEIFS('Weekly Log'!$F:$F,'Weekly Log'!$A:$A,"&gt;="&amp;$J1735,'Weekly Log'!$A:$A,"&lt;"&amp;$J1735+7),0))</f>
        <v/>
      </c>
      <c r="F1735">
        <f>IF($J1735="","",IFERROR(SUMIFS('Weekly Log'!$F:$F,'Weekly Log'!$A:$A,"&gt;="&amp;$J1735,'Weekly Log'!$A:$A,"&lt;"&amp;$J1735+7)/SUMIFS('Weekly Log'!$E:$E,'Weekly Log'!$A:$A,"&gt;="&amp;$J1735,'Weekly Log'!$A:$A,"&lt;"&amp;$J1735+7),0))</f>
        <v/>
      </c>
      <c r="G1735">
        <f>IF($J1735="","",IFERROR(LOOKUP(2,1/(('Weekly Log'!$A$5:$A$5000&gt;=$J1735)*('Weekly Log'!$A$5:$A$5000&lt;$J1735+7)*('Weekly Log'!$M$5:$M$5000&lt;&gt;"")),'Weekly Log'!$M$5:$M$5000),0))</f>
        <v/>
      </c>
      <c r="J1735">
        <f>IF(COUNT('Weekly Log'!$A$5:$A$5000)=0,"",IF(MIN('Weekly Log'!$A$5:$A$5000)+7*(ROW()-10)&gt;MAX('Weekly Log'!$A$5:$A$5000),"",MIN('Weekly Log'!$A$5:$A$5000)+7*(ROW()-10)))</f>
        <v/>
      </c>
    </row>
    <row r="1736">
      <c r="A1736">
        <f>IF($J1736="","",YEAR($J1736-WEEKDAY($J1736,2)+4)&amp;"-W"&amp;TEXT(WEEKNUM($J1736,21),"00"))</f>
        <v/>
      </c>
      <c r="B1736">
        <f>IF($J1736="","",SUMIFS('Weekly Log'!$C:$C,'Weekly Log'!$A:$A,"&gt;="&amp;$J1736,'Weekly Log'!$A:$A,"&lt;"&amp;$J1736+7))</f>
        <v/>
      </c>
      <c r="C1736">
        <f>IF($J1736="","",IFERROR(COUNTIFS('Weekly Log'!$G:$G,"Y",'Weekly Log'!$A:$A,"&gt;="&amp;$J1736,'Weekly Log'!$A:$A,"&lt;"&amp;$J1736+7)/COUNTIFS('Weekly Log'!$G:$G,"&lt;&gt;",'Weekly Log'!$A:$A,"&gt;="&amp;$J1736,'Weekly Log'!$A:$A,"&lt;"&amp;$J1736+7),0))</f>
        <v/>
      </c>
      <c r="D1736">
        <f>IF($J1736="","",IFERROR(COUNTIFS('Weekly Log'!$H:$H,"Y",'Weekly Log'!$A:$A,"&gt;="&amp;$J1736,'Weekly Log'!$A:$A,"&lt;"&amp;$J1736+7)/COUNTIFS('Weekly Log'!$H:$H,"&lt;&gt;",'Weekly Log'!$A:$A,"&gt;="&amp;$J1736,'Weekly Log'!$A:$A,"&lt;"&amp;$J1736+7),0))</f>
        <v/>
      </c>
      <c r="E1736">
        <f>IF($J1736="","",IFERROR(AVERAGEIFS('Weekly Log'!$F:$F,'Weekly Log'!$A:$A,"&gt;="&amp;$J1736,'Weekly Log'!$A:$A,"&lt;"&amp;$J1736+7),0))</f>
        <v/>
      </c>
      <c r="F1736">
        <f>IF($J1736="","",IFERROR(SUMIFS('Weekly Log'!$F:$F,'Weekly Log'!$A:$A,"&gt;="&amp;$J1736,'Weekly Log'!$A:$A,"&lt;"&amp;$J1736+7)/SUMIFS('Weekly Log'!$E:$E,'Weekly Log'!$A:$A,"&gt;="&amp;$J1736,'Weekly Log'!$A:$A,"&lt;"&amp;$J1736+7),0))</f>
        <v/>
      </c>
      <c r="G1736">
        <f>IF($J1736="","",IFERROR(LOOKUP(2,1/(('Weekly Log'!$A$5:$A$5000&gt;=$J1736)*('Weekly Log'!$A$5:$A$5000&lt;$J1736+7)*('Weekly Log'!$M$5:$M$5000&lt;&gt;"")),'Weekly Log'!$M$5:$M$5000),0))</f>
        <v/>
      </c>
      <c r="J1736">
        <f>IF(COUNT('Weekly Log'!$A$5:$A$5000)=0,"",IF(MIN('Weekly Log'!$A$5:$A$5000)+7*(ROW()-10)&gt;MAX('Weekly Log'!$A$5:$A$5000),"",MIN('Weekly Log'!$A$5:$A$5000)+7*(ROW()-10)))</f>
        <v/>
      </c>
    </row>
    <row r="1737">
      <c r="A1737">
        <f>IF($J1737="","",YEAR($J1737-WEEKDAY($J1737,2)+4)&amp;"-W"&amp;TEXT(WEEKNUM($J1737,21),"00"))</f>
        <v/>
      </c>
      <c r="B1737">
        <f>IF($J1737="","",SUMIFS('Weekly Log'!$C:$C,'Weekly Log'!$A:$A,"&gt;="&amp;$J1737,'Weekly Log'!$A:$A,"&lt;"&amp;$J1737+7))</f>
        <v/>
      </c>
      <c r="C1737">
        <f>IF($J1737="","",IFERROR(COUNTIFS('Weekly Log'!$G:$G,"Y",'Weekly Log'!$A:$A,"&gt;="&amp;$J1737,'Weekly Log'!$A:$A,"&lt;"&amp;$J1737+7)/COUNTIFS('Weekly Log'!$G:$G,"&lt;&gt;",'Weekly Log'!$A:$A,"&gt;="&amp;$J1737,'Weekly Log'!$A:$A,"&lt;"&amp;$J1737+7),0))</f>
        <v/>
      </c>
      <c r="D1737">
        <f>IF($J1737="","",IFERROR(COUNTIFS('Weekly Log'!$H:$H,"Y",'Weekly Log'!$A:$A,"&gt;="&amp;$J1737,'Weekly Log'!$A:$A,"&lt;"&amp;$J1737+7)/COUNTIFS('Weekly Log'!$H:$H,"&lt;&gt;",'Weekly Log'!$A:$A,"&gt;="&amp;$J1737,'Weekly Log'!$A:$A,"&lt;"&amp;$J1737+7),0))</f>
        <v/>
      </c>
      <c r="E1737">
        <f>IF($J1737="","",IFERROR(AVERAGEIFS('Weekly Log'!$F:$F,'Weekly Log'!$A:$A,"&gt;="&amp;$J1737,'Weekly Log'!$A:$A,"&lt;"&amp;$J1737+7),0))</f>
        <v/>
      </c>
      <c r="F1737">
        <f>IF($J1737="","",IFERROR(SUMIFS('Weekly Log'!$F:$F,'Weekly Log'!$A:$A,"&gt;="&amp;$J1737,'Weekly Log'!$A:$A,"&lt;"&amp;$J1737+7)/SUMIFS('Weekly Log'!$E:$E,'Weekly Log'!$A:$A,"&gt;="&amp;$J1737,'Weekly Log'!$A:$A,"&lt;"&amp;$J1737+7),0))</f>
        <v/>
      </c>
      <c r="G1737">
        <f>IF($J1737="","",IFERROR(LOOKUP(2,1/(('Weekly Log'!$A$5:$A$5000&gt;=$J1737)*('Weekly Log'!$A$5:$A$5000&lt;$J1737+7)*('Weekly Log'!$M$5:$M$5000&lt;&gt;"")),'Weekly Log'!$M$5:$M$5000),0))</f>
        <v/>
      </c>
      <c r="J1737">
        <f>IF(COUNT('Weekly Log'!$A$5:$A$5000)=0,"",IF(MIN('Weekly Log'!$A$5:$A$5000)+7*(ROW()-10)&gt;MAX('Weekly Log'!$A$5:$A$5000),"",MIN('Weekly Log'!$A$5:$A$5000)+7*(ROW()-10)))</f>
        <v/>
      </c>
    </row>
    <row r="1738">
      <c r="A1738">
        <f>IF($J1738="","",YEAR($J1738-WEEKDAY($J1738,2)+4)&amp;"-W"&amp;TEXT(WEEKNUM($J1738,21),"00"))</f>
        <v/>
      </c>
      <c r="B1738">
        <f>IF($J1738="","",SUMIFS('Weekly Log'!$C:$C,'Weekly Log'!$A:$A,"&gt;="&amp;$J1738,'Weekly Log'!$A:$A,"&lt;"&amp;$J1738+7))</f>
        <v/>
      </c>
      <c r="C1738">
        <f>IF($J1738="","",IFERROR(COUNTIFS('Weekly Log'!$G:$G,"Y",'Weekly Log'!$A:$A,"&gt;="&amp;$J1738,'Weekly Log'!$A:$A,"&lt;"&amp;$J1738+7)/COUNTIFS('Weekly Log'!$G:$G,"&lt;&gt;",'Weekly Log'!$A:$A,"&gt;="&amp;$J1738,'Weekly Log'!$A:$A,"&lt;"&amp;$J1738+7),0))</f>
        <v/>
      </c>
      <c r="D1738">
        <f>IF($J1738="","",IFERROR(COUNTIFS('Weekly Log'!$H:$H,"Y",'Weekly Log'!$A:$A,"&gt;="&amp;$J1738,'Weekly Log'!$A:$A,"&lt;"&amp;$J1738+7)/COUNTIFS('Weekly Log'!$H:$H,"&lt;&gt;",'Weekly Log'!$A:$A,"&gt;="&amp;$J1738,'Weekly Log'!$A:$A,"&lt;"&amp;$J1738+7),0))</f>
        <v/>
      </c>
      <c r="E1738">
        <f>IF($J1738="","",IFERROR(AVERAGEIFS('Weekly Log'!$F:$F,'Weekly Log'!$A:$A,"&gt;="&amp;$J1738,'Weekly Log'!$A:$A,"&lt;"&amp;$J1738+7),0))</f>
        <v/>
      </c>
      <c r="F1738">
        <f>IF($J1738="","",IFERROR(SUMIFS('Weekly Log'!$F:$F,'Weekly Log'!$A:$A,"&gt;="&amp;$J1738,'Weekly Log'!$A:$A,"&lt;"&amp;$J1738+7)/SUMIFS('Weekly Log'!$E:$E,'Weekly Log'!$A:$A,"&gt;="&amp;$J1738,'Weekly Log'!$A:$A,"&lt;"&amp;$J1738+7),0))</f>
        <v/>
      </c>
      <c r="G1738">
        <f>IF($J1738="","",IFERROR(LOOKUP(2,1/(('Weekly Log'!$A$5:$A$5000&gt;=$J1738)*('Weekly Log'!$A$5:$A$5000&lt;$J1738+7)*('Weekly Log'!$M$5:$M$5000&lt;&gt;"")),'Weekly Log'!$M$5:$M$5000),0))</f>
        <v/>
      </c>
      <c r="J1738">
        <f>IF(COUNT('Weekly Log'!$A$5:$A$5000)=0,"",IF(MIN('Weekly Log'!$A$5:$A$5000)+7*(ROW()-10)&gt;MAX('Weekly Log'!$A$5:$A$5000),"",MIN('Weekly Log'!$A$5:$A$5000)+7*(ROW()-10)))</f>
        <v/>
      </c>
    </row>
    <row r="1739">
      <c r="A1739">
        <f>IF($J1739="","",YEAR($J1739-WEEKDAY($J1739,2)+4)&amp;"-W"&amp;TEXT(WEEKNUM($J1739,21),"00"))</f>
        <v/>
      </c>
      <c r="B1739">
        <f>IF($J1739="","",SUMIFS('Weekly Log'!$C:$C,'Weekly Log'!$A:$A,"&gt;="&amp;$J1739,'Weekly Log'!$A:$A,"&lt;"&amp;$J1739+7))</f>
        <v/>
      </c>
      <c r="C1739">
        <f>IF($J1739="","",IFERROR(COUNTIFS('Weekly Log'!$G:$G,"Y",'Weekly Log'!$A:$A,"&gt;="&amp;$J1739,'Weekly Log'!$A:$A,"&lt;"&amp;$J1739+7)/COUNTIFS('Weekly Log'!$G:$G,"&lt;&gt;",'Weekly Log'!$A:$A,"&gt;="&amp;$J1739,'Weekly Log'!$A:$A,"&lt;"&amp;$J1739+7),0))</f>
        <v/>
      </c>
      <c r="D1739">
        <f>IF($J1739="","",IFERROR(COUNTIFS('Weekly Log'!$H:$H,"Y",'Weekly Log'!$A:$A,"&gt;="&amp;$J1739,'Weekly Log'!$A:$A,"&lt;"&amp;$J1739+7)/COUNTIFS('Weekly Log'!$H:$H,"&lt;&gt;",'Weekly Log'!$A:$A,"&gt;="&amp;$J1739,'Weekly Log'!$A:$A,"&lt;"&amp;$J1739+7),0))</f>
        <v/>
      </c>
      <c r="E1739">
        <f>IF($J1739="","",IFERROR(AVERAGEIFS('Weekly Log'!$F:$F,'Weekly Log'!$A:$A,"&gt;="&amp;$J1739,'Weekly Log'!$A:$A,"&lt;"&amp;$J1739+7),0))</f>
        <v/>
      </c>
      <c r="F1739">
        <f>IF($J1739="","",IFERROR(SUMIFS('Weekly Log'!$F:$F,'Weekly Log'!$A:$A,"&gt;="&amp;$J1739,'Weekly Log'!$A:$A,"&lt;"&amp;$J1739+7)/SUMIFS('Weekly Log'!$E:$E,'Weekly Log'!$A:$A,"&gt;="&amp;$J1739,'Weekly Log'!$A:$A,"&lt;"&amp;$J1739+7),0))</f>
        <v/>
      </c>
      <c r="G1739">
        <f>IF($J1739="","",IFERROR(LOOKUP(2,1/(('Weekly Log'!$A$5:$A$5000&gt;=$J1739)*('Weekly Log'!$A$5:$A$5000&lt;$J1739+7)*('Weekly Log'!$M$5:$M$5000&lt;&gt;"")),'Weekly Log'!$M$5:$M$5000),0))</f>
        <v/>
      </c>
      <c r="J1739">
        <f>IF(COUNT('Weekly Log'!$A$5:$A$5000)=0,"",IF(MIN('Weekly Log'!$A$5:$A$5000)+7*(ROW()-10)&gt;MAX('Weekly Log'!$A$5:$A$5000),"",MIN('Weekly Log'!$A$5:$A$5000)+7*(ROW()-10)))</f>
        <v/>
      </c>
    </row>
    <row r="1740">
      <c r="A1740">
        <f>IF($J1740="","",YEAR($J1740-WEEKDAY($J1740,2)+4)&amp;"-W"&amp;TEXT(WEEKNUM($J1740,21),"00"))</f>
        <v/>
      </c>
      <c r="B1740">
        <f>IF($J1740="","",SUMIFS('Weekly Log'!$C:$C,'Weekly Log'!$A:$A,"&gt;="&amp;$J1740,'Weekly Log'!$A:$A,"&lt;"&amp;$J1740+7))</f>
        <v/>
      </c>
      <c r="C1740">
        <f>IF($J1740="","",IFERROR(COUNTIFS('Weekly Log'!$G:$G,"Y",'Weekly Log'!$A:$A,"&gt;="&amp;$J1740,'Weekly Log'!$A:$A,"&lt;"&amp;$J1740+7)/COUNTIFS('Weekly Log'!$G:$G,"&lt;&gt;",'Weekly Log'!$A:$A,"&gt;="&amp;$J1740,'Weekly Log'!$A:$A,"&lt;"&amp;$J1740+7),0))</f>
        <v/>
      </c>
      <c r="D1740">
        <f>IF($J1740="","",IFERROR(COUNTIFS('Weekly Log'!$H:$H,"Y",'Weekly Log'!$A:$A,"&gt;="&amp;$J1740,'Weekly Log'!$A:$A,"&lt;"&amp;$J1740+7)/COUNTIFS('Weekly Log'!$H:$H,"&lt;&gt;",'Weekly Log'!$A:$A,"&gt;="&amp;$J1740,'Weekly Log'!$A:$A,"&lt;"&amp;$J1740+7),0))</f>
        <v/>
      </c>
      <c r="E1740">
        <f>IF($J1740="","",IFERROR(AVERAGEIFS('Weekly Log'!$F:$F,'Weekly Log'!$A:$A,"&gt;="&amp;$J1740,'Weekly Log'!$A:$A,"&lt;"&amp;$J1740+7),0))</f>
        <v/>
      </c>
      <c r="F1740">
        <f>IF($J1740="","",IFERROR(SUMIFS('Weekly Log'!$F:$F,'Weekly Log'!$A:$A,"&gt;="&amp;$J1740,'Weekly Log'!$A:$A,"&lt;"&amp;$J1740+7)/SUMIFS('Weekly Log'!$E:$E,'Weekly Log'!$A:$A,"&gt;="&amp;$J1740,'Weekly Log'!$A:$A,"&lt;"&amp;$J1740+7),0))</f>
        <v/>
      </c>
      <c r="G1740">
        <f>IF($J1740="","",IFERROR(LOOKUP(2,1/(('Weekly Log'!$A$5:$A$5000&gt;=$J1740)*('Weekly Log'!$A$5:$A$5000&lt;$J1740+7)*('Weekly Log'!$M$5:$M$5000&lt;&gt;"")),'Weekly Log'!$M$5:$M$5000),0))</f>
        <v/>
      </c>
      <c r="J1740">
        <f>IF(COUNT('Weekly Log'!$A$5:$A$5000)=0,"",IF(MIN('Weekly Log'!$A$5:$A$5000)+7*(ROW()-10)&gt;MAX('Weekly Log'!$A$5:$A$5000),"",MIN('Weekly Log'!$A$5:$A$5000)+7*(ROW()-10)))</f>
        <v/>
      </c>
    </row>
    <row r="1741">
      <c r="A1741">
        <f>IF($J1741="","",YEAR($J1741-WEEKDAY($J1741,2)+4)&amp;"-W"&amp;TEXT(WEEKNUM($J1741,21),"00"))</f>
        <v/>
      </c>
      <c r="B1741">
        <f>IF($J1741="","",SUMIFS('Weekly Log'!$C:$C,'Weekly Log'!$A:$A,"&gt;="&amp;$J1741,'Weekly Log'!$A:$A,"&lt;"&amp;$J1741+7))</f>
        <v/>
      </c>
      <c r="C1741">
        <f>IF($J1741="","",IFERROR(COUNTIFS('Weekly Log'!$G:$G,"Y",'Weekly Log'!$A:$A,"&gt;="&amp;$J1741,'Weekly Log'!$A:$A,"&lt;"&amp;$J1741+7)/COUNTIFS('Weekly Log'!$G:$G,"&lt;&gt;",'Weekly Log'!$A:$A,"&gt;="&amp;$J1741,'Weekly Log'!$A:$A,"&lt;"&amp;$J1741+7),0))</f>
        <v/>
      </c>
      <c r="D1741">
        <f>IF($J1741="","",IFERROR(COUNTIFS('Weekly Log'!$H:$H,"Y",'Weekly Log'!$A:$A,"&gt;="&amp;$J1741,'Weekly Log'!$A:$A,"&lt;"&amp;$J1741+7)/COUNTIFS('Weekly Log'!$H:$H,"&lt;&gt;",'Weekly Log'!$A:$A,"&gt;="&amp;$J1741,'Weekly Log'!$A:$A,"&lt;"&amp;$J1741+7),0))</f>
        <v/>
      </c>
      <c r="E1741">
        <f>IF($J1741="","",IFERROR(AVERAGEIFS('Weekly Log'!$F:$F,'Weekly Log'!$A:$A,"&gt;="&amp;$J1741,'Weekly Log'!$A:$A,"&lt;"&amp;$J1741+7),0))</f>
        <v/>
      </c>
      <c r="F1741">
        <f>IF($J1741="","",IFERROR(SUMIFS('Weekly Log'!$F:$F,'Weekly Log'!$A:$A,"&gt;="&amp;$J1741,'Weekly Log'!$A:$A,"&lt;"&amp;$J1741+7)/SUMIFS('Weekly Log'!$E:$E,'Weekly Log'!$A:$A,"&gt;="&amp;$J1741,'Weekly Log'!$A:$A,"&lt;"&amp;$J1741+7),0))</f>
        <v/>
      </c>
      <c r="G1741">
        <f>IF($J1741="","",IFERROR(LOOKUP(2,1/(('Weekly Log'!$A$5:$A$5000&gt;=$J1741)*('Weekly Log'!$A$5:$A$5000&lt;$J1741+7)*('Weekly Log'!$M$5:$M$5000&lt;&gt;"")),'Weekly Log'!$M$5:$M$5000),0))</f>
        <v/>
      </c>
      <c r="J1741">
        <f>IF(COUNT('Weekly Log'!$A$5:$A$5000)=0,"",IF(MIN('Weekly Log'!$A$5:$A$5000)+7*(ROW()-10)&gt;MAX('Weekly Log'!$A$5:$A$5000),"",MIN('Weekly Log'!$A$5:$A$5000)+7*(ROW()-10)))</f>
        <v/>
      </c>
    </row>
    <row r="1742">
      <c r="A1742">
        <f>IF($J1742="","",YEAR($J1742-WEEKDAY($J1742,2)+4)&amp;"-W"&amp;TEXT(WEEKNUM($J1742,21),"00"))</f>
        <v/>
      </c>
      <c r="B1742">
        <f>IF($J1742="","",SUMIFS('Weekly Log'!$C:$C,'Weekly Log'!$A:$A,"&gt;="&amp;$J1742,'Weekly Log'!$A:$A,"&lt;"&amp;$J1742+7))</f>
        <v/>
      </c>
      <c r="C1742">
        <f>IF($J1742="","",IFERROR(COUNTIFS('Weekly Log'!$G:$G,"Y",'Weekly Log'!$A:$A,"&gt;="&amp;$J1742,'Weekly Log'!$A:$A,"&lt;"&amp;$J1742+7)/COUNTIFS('Weekly Log'!$G:$G,"&lt;&gt;",'Weekly Log'!$A:$A,"&gt;="&amp;$J1742,'Weekly Log'!$A:$A,"&lt;"&amp;$J1742+7),0))</f>
        <v/>
      </c>
      <c r="D1742">
        <f>IF($J1742="","",IFERROR(COUNTIFS('Weekly Log'!$H:$H,"Y",'Weekly Log'!$A:$A,"&gt;="&amp;$J1742,'Weekly Log'!$A:$A,"&lt;"&amp;$J1742+7)/COUNTIFS('Weekly Log'!$H:$H,"&lt;&gt;",'Weekly Log'!$A:$A,"&gt;="&amp;$J1742,'Weekly Log'!$A:$A,"&lt;"&amp;$J1742+7),0))</f>
        <v/>
      </c>
      <c r="E1742">
        <f>IF($J1742="","",IFERROR(AVERAGEIFS('Weekly Log'!$F:$F,'Weekly Log'!$A:$A,"&gt;="&amp;$J1742,'Weekly Log'!$A:$A,"&lt;"&amp;$J1742+7),0))</f>
        <v/>
      </c>
      <c r="F1742">
        <f>IF($J1742="","",IFERROR(SUMIFS('Weekly Log'!$F:$F,'Weekly Log'!$A:$A,"&gt;="&amp;$J1742,'Weekly Log'!$A:$A,"&lt;"&amp;$J1742+7)/SUMIFS('Weekly Log'!$E:$E,'Weekly Log'!$A:$A,"&gt;="&amp;$J1742,'Weekly Log'!$A:$A,"&lt;"&amp;$J1742+7),0))</f>
        <v/>
      </c>
      <c r="G1742">
        <f>IF($J1742="","",IFERROR(LOOKUP(2,1/(('Weekly Log'!$A$5:$A$5000&gt;=$J1742)*('Weekly Log'!$A$5:$A$5000&lt;$J1742+7)*('Weekly Log'!$M$5:$M$5000&lt;&gt;"")),'Weekly Log'!$M$5:$M$5000),0))</f>
        <v/>
      </c>
      <c r="J1742">
        <f>IF(COUNT('Weekly Log'!$A$5:$A$5000)=0,"",IF(MIN('Weekly Log'!$A$5:$A$5000)+7*(ROW()-10)&gt;MAX('Weekly Log'!$A$5:$A$5000),"",MIN('Weekly Log'!$A$5:$A$5000)+7*(ROW()-10)))</f>
        <v/>
      </c>
    </row>
    <row r="1743">
      <c r="A1743">
        <f>IF($J1743="","",YEAR($J1743-WEEKDAY($J1743,2)+4)&amp;"-W"&amp;TEXT(WEEKNUM($J1743,21),"00"))</f>
        <v/>
      </c>
      <c r="B1743">
        <f>IF($J1743="","",SUMIFS('Weekly Log'!$C:$C,'Weekly Log'!$A:$A,"&gt;="&amp;$J1743,'Weekly Log'!$A:$A,"&lt;"&amp;$J1743+7))</f>
        <v/>
      </c>
      <c r="C1743">
        <f>IF($J1743="","",IFERROR(COUNTIFS('Weekly Log'!$G:$G,"Y",'Weekly Log'!$A:$A,"&gt;="&amp;$J1743,'Weekly Log'!$A:$A,"&lt;"&amp;$J1743+7)/COUNTIFS('Weekly Log'!$G:$G,"&lt;&gt;",'Weekly Log'!$A:$A,"&gt;="&amp;$J1743,'Weekly Log'!$A:$A,"&lt;"&amp;$J1743+7),0))</f>
        <v/>
      </c>
      <c r="D1743">
        <f>IF($J1743="","",IFERROR(COUNTIFS('Weekly Log'!$H:$H,"Y",'Weekly Log'!$A:$A,"&gt;="&amp;$J1743,'Weekly Log'!$A:$A,"&lt;"&amp;$J1743+7)/COUNTIFS('Weekly Log'!$H:$H,"&lt;&gt;",'Weekly Log'!$A:$A,"&gt;="&amp;$J1743,'Weekly Log'!$A:$A,"&lt;"&amp;$J1743+7),0))</f>
        <v/>
      </c>
      <c r="E1743">
        <f>IF($J1743="","",IFERROR(AVERAGEIFS('Weekly Log'!$F:$F,'Weekly Log'!$A:$A,"&gt;="&amp;$J1743,'Weekly Log'!$A:$A,"&lt;"&amp;$J1743+7),0))</f>
        <v/>
      </c>
      <c r="F1743">
        <f>IF($J1743="","",IFERROR(SUMIFS('Weekly Log'!$F:$F,'Weekly Log'!$A:$A,"&gt;="&amp;$J1743,'Weekly Log'!$A:$A,"&lt;"&amp;$J1743+7)/SUMIFS('Weekly Log'!$E:$E,'Weekly Log'!$A:$A,"&gt;="&amp;$J1743,'Weekly Log'!$A:$A,"&lt;"&amp;$J1743+7),0))</f>
        <v/>
      </c>
      <c r="G1743">
        <f>IF($J1743="","",IFERROR(LOOKUP(2,1/(('Weekly Log'!$A$5:$A$5000&gt;=$J1743)*('Weekly Log'!$A$5:$A$5000&lt;$J1743+7)*('Weekly Log'!$M$5:$M$5000&lt;&gt;"")),'Weekly Log'!$M$5:$M$5000),0))</f>
        <v/>
      </c>
      <c r="J1743">
        <f>IF(COUNT('Weekly Log'!$A$5:$A$5000)=0,"",IF(MIN('Weekly Log'!$A$5:$A$5000)+7*(ROW()-10)&gt;MAX('Weekly Log'!$A$5:$A$5000),"",MIN('Weekly Log'!$A$5:$A$5000)+7*(ROW()-10)))</f>
        <v/>
      </c>
    </row>
    <row r="1744">
      <c r="A1744">
        <f>IF($J1744="","",YEAR($J1744-WEEKDAY($J1744,2)+4)&amp;"-W"&amp;TEXT(WEEKNUM($J1744,21),"00"))</f>
        <v/>
      </c>
      <c r="B1744">
        <f>IF($J1744="","",SUMIFS('Weekly Log'!$C:$C,'Weekly Log'!$A:$A,"&gt;="&amp;$J1744,'Weekly Log'!$A:$A,"&lt;"&amp;$J1744+7))</f>
        <v/>
      </c>
      <c r="C1744">
        <f>IF($J1744="","",IFERROR(COUNTIFS('Weekly Log'!$G:$G,"Y",'Weekly Log'!$A:$A,"&gt;="&amp;$J1744,'Weekly Log'!$A:$A,"&lt;"&amp;$J1744+7)/COUNTIFS('Weekly Log'!$G:$G,"&lt;&gt;",'Weekly Log'!$A:$A,"&gt;="&amp;$J1744,'Weekly Log'!$A:$A,"&lt;"&amp;$J1744+7),0))</f>
        <v/>
      </c>
      <c r="D1744">
        <f>IF($J1744="","",IFERROR(COUNTIFS('Weekly Log'!$H:$H,"Y",'Weekly Log'!$A:$A,"&gt;="&amp;$J1744,'Weekly Log'!$A:$A,"&lt;"&amp;$J1744+7)/COUNTIFS('Weekly Log'!$H:$H,"&lt;&gt;",'Weekly Log'!$A:$A,"&gt;="&amp;$J1744,'Weekly Log'!$A:$A,"&lt;"&amp;$J1744+7),0))</f>
        <v/>
      </c>
      <c r="E1744">
        <f>IF($J1744="","",IFERROR(AVERAGEIFS('Weekly Log'!$F:$F,'Weekly Log'!$A:$A,"&gt;="&amp;$J1744,'Weekly Log'!$A:$A,"&lt;"&amp;$J1744+7),0))</f>
        <v/>
      </c>
      <c r="F1744">
        <f>IF($J1744="","",IFERROR(SUMIFS('Weekly Log'!$F:$F,'Weekly Log'!$A:$A,"&gt;="&amp;$J1744,'Weekly Log'!$A:$A,"&lt;"&amp;$J1744+7)/SUMIFS('Weekly Log'!$E:$E,'Weekly Log'!$A:$A,"&gt;="&amp;$J1744,'Weekly Log'!$A:$A,"&lt;"&amp;$J1744+7),0))</f>
        <v/>
      </c>
      <c r="G1744">
        <f>IF($J1744="","",IFERROR(LOOKUP(2,1/(('Weekly Log'!$A$5:$A$5000&gt;=$J1744)*('Weekly Log'!$A$5:$A$5000&lt;$J1744+7)*('Weekly Log'!$M$5:$M$5000&lt;&gt;"")),'Weekly Log'!$M$5:$M$5000),0))</f>
        <v/>
      </c>
      <c r="J1744">
        <f>IF(COUNT('Weekly Log'!$A$5:$A$5000)=0,"",IF(MIN('Weekly Log'!$A$5:$A$5000)+7*(ROW()-10)&gt;MAX('Weekly Log'!$A$5:$A$5000),"",MIN('Weekly Log'!$A$5:$A$5000)+7*(ROW()-10)))</f>
        <v/>
      </c>
    </row>
    <row r="1745">
      <c r="A1745">
        <f>IF($J1745="","",YEAR($J1745-WEEKDAY($J1745,2)+4)&amp;"-W"&amp;TEXT(WEEKNUM($J1745,21),"00"))</f>
        <v/>
      </c>
      <c r="B1745">
        <f>IF($J1745="","",SUMIFS('Weekly Log'!$C:$C,'Weekly Log'!$A:$A,"&gt;="&amp;$J1745,'Weekly Log'!$A:$A,"&lt;"&amp;$J1745+7))</f>
        <v/>
      </c>
      <c r="C1745">
        <f>IF($J1745="","",IFERROR(COUNTIFS('Weekly Log'!$G:$G,"Y",'Weekly Log'!$A:$A,"&gt;="&amp;$J1745,'Weekly Log'!$A:$A,"&lt;"&amp;$J1745+7)/COUNTIFS('Weekly Log'!$G:$G,"&lt;&gt;",'Weekly Log'!$A:$A,"&gt;="&amp;$J1745,'Weekly Log'!$A:$A,"&lt;"&amp;$J1745+7),0))</f>
        <v/>
      </c>
      <c r="D1745">
        <f>IF($J1745="","",IFERROR(COUNTIFS('Weekly Log'!$H:$H,"Y",'Weekly Log'!$A:$A,"&gt;="&amp;$J1745,'Weekly Log'!$A:$A,"&lt;"&amp;$J1745+7)/COUNTIFS('Weekly Log'!$H:$H,"&lt;&gt;",'Weekly Log'!$A:$A,"&gt;="&amp;$J1745,'Weekly Log'!$A:$A,"&lt;"&amp;$J1745+7),0))</f>
        <v/>
      </c>
      <c r="E1745">
        <f>IF($J1745="","",IFERROR(AVERAGEIFS('Weekly Log'!$F:$F,'Weekly Log'!$A:$A,"&gt;="&amp;$J1745,'Weekly Log'!$A:$A,"&lt;"&amp;$J1745+7),0))</f>
        <v/>
      </c>
      <c r="F1745">
        <f>IF($J1745="","",IFERROR(SUMIFS('Weekly Log'!$F:$F,'Weekly Log'!$A:$A,"&gt;="&amp;$J1745,'Weekly Log'!$A:$A,"&lt;"&amp;$J1745+7)/SUMIFS('Weekly Log'!$E:$E,'Weekly Log'!$A:$A,"&gt;="&amp;$J1745,'Weekly Log'!$A:$A,"&lt;"&amp;$J1745+7),0))</f>
        <v/>
      </c>
      <c r="G1745">
        <f>IF($J1745="","",IFERROR(LOOKUP(2,1/(('Weekly Log'!$A$5:$A$5000&gt;=$J1745)*('Weekly Log'!$A$5:$A$5000&lt;$J1745+7)*('Weekly Log'!$M$5:$M$5000&lt;&gt;"")),'Weekly Log'!$M$5:$M$5000),0))</f>
        <v/>
      </c>
      <c r="J1745">
        <f>IF(COUNT('Weekly Log'!$A$5:$A$5000)=0,"",IF(MIN('Weekly Log'!$A$5:$A$5000)+7*(ROW()-10)&gt;MAX('Weekly Log'!$A$5:$A$5000),"",MIN('Weekly Log'!$A$5:$A$5000)+7*(ROW()-10)))</f>
        <v/>
      </c>
    </row>
    <row r="1746">
      <c r="A1746">
        <f>IF($J1746="","",YEAR($J1746-WEEKDAY($J1746,2)+4)&amp;"-W"&amp;TEXT(WEEKNUM($J1746,21),"00"))</f>
        <v/>
      </c>
      <c r="B1746">
        <f>IF($J1746="","",SUMIFS('Weekly Log'!$C:$C,'Weekly Log'!$A:$A,"&gt;="&amp;$J1746,'Weekly Log'!$A:$A,"&lt;"&amp;$J1746+7))</f>
        <v/>
      </c>
      <c r="C1746">
        <f>IF($J1746="","",IFERROR(COUNTIFS('Weekly Log'!$G:$G,"Y",'Weekly Log'!$A:$A,"&gt;="&amp;$J1746,'Weekly Log'!$A:$A,"&lt;"&amp;$J1746+7)/COUNTIFS('Weekly Log'!$G:$G,"&lt;&gt;",'Weekly Log'!$A:$A,"&gt;="&amp;$J1746,'Weekly Log'!$A:$A,"&lt;"&amp;$J1746+7),0))</f>
        <v/>
      </c>
      <c r="D1746">
        <f>IF($J1746="","",IFERROR(COUNTIFS('Weekly Log'!$H:$H,"Y",'Weekly Log'!$A:$A,"&gt;="&amp;$J1746,'Weekly Log'!$A:$A,"&lt;"&amp;$J1746+7)/COUNTIFS('Weekly Log'!$H:$H,"&lt;&gt;",'Weekly Log'!$A:$A,"&gt;="&amp;$J1746,'Weekly Log'!$A:$A,"&lt;"&amp;$J1746+7),0))</f>
        <v/>
      </c>
      <c r="E1746">
        <f>IF($J1746="","",IFERROR(AVERAGEIFS('Weekly Log'!$F:$F,'Weekly Log'!$A:$A,"&gt;="&amp;$J1746,'Weekly Log'!$A:$A,"&lt;"&amp;$J1746+7),0))</f>
        <v/>
      </c>
      <c r="F1746">
        <f>IF($J1746="","",IFERROR(SUMIFS('Weekly Log'!$F:$F,'Weekly Log'!$A:$A,"&gt;="&amp;$J1746,'Weekly Log'!$A:$A,"&lt;"&amp;$J1746+7)/SUMIFS('Weekly Log'!$E:$E,'Weekly Log'!$A:$A,"&gt;="&amp;$J1746,'Weekly Log'!$A:$A,"&lt;"&amp;$J1746+7),0))</f>
        <v/>
      </c>
      <c r="G1746">
        <f>IF($J1746="","",IFERROR(LOOKUP(2,1/(('Weekly Log'!$A$5:$A$5000&gt;=$J1746)*('Weekly Log'!$A$5:$A$5000&lt;$J1746+7)*('Weekly Log'!$M$5:$M$5000&lt;&gt;"")),'Weekly Log'!$M$5:$M$5000),0))</f>
        <v/>
      </c>
      <c r="J1746">
        <f>IF(COUNT('Weekly Log'!$A$5:$A$5000)=0,"",IF(MIN('Weekly Log'!$A$5:$A$5000)+7*(ROW()-10)&gt;MAX('Weekly Log'!$A$5:$A$5000),"",MIN('Weekly Log'!$A$5:$A$5000)+7*(ROW()-10)))</f>
        <v/>
      </c>
    </row>
    <row r="1747">
      <c r="A1747">
        <f>IF($J1747="","",YEAR($J1747-WEEKDAY($J1747,2)+4)&amp;"-W"&amp;TEXT(WEEKNUM($J1747,21),"00"))</f>
        <v/>
      </c>
      <c r="B1747">
        <f>IF($J1747="","",SUMIFS('Weekly Log'!$C:$C,'Weekly Log'!$A:$A,"&gt;="&amp;$J1747,'Weekly Log'!$A:$A,"&lt;"&amp;$J1747+7))</f>
        <v/>
      </c>
      <c r="C1747">
        <f>IF($J1747="","",IFERROR(COUNTIFS('Weekly Log'!$G:$G,"Y",'Weekly Log'!$A:$A,"&gt;="&amp;$J1747,'Weekly Log'!$A:$A,"&lt;"&amp;$J1747+7)/COUNTIFS('Weekly Log'!$G:$G,"&lt;&gt;",'Weekly Log'!$A:$A,"&gt;="&amp;$J1747,'Weekly Log'!$A:$A,"&lt;"&amp;$J1747+7),0))</f>
        <v/>
      </c>
      <c r="D1747">
        <f>IF($J1747="","",IFERROR(COUNTIFS('Weekly Log'!$H:$H,"Y",'Weekly Log'!$A:$A,"&gt;="&amp;$J1747,'Weekly Log'!$A:$A,"&lt;"&amp;$J1747+7)/COUNTIFS('Weekly Log'!$H:$H,"&lt;&gt;",'Weekly Log'!$A:$A,"&gt;="&amp;$J1747,'Weekly Log'!$A:$A,"&lt;"&amp;$J1747+7),0))</f>
        <v/>
      </c>
      <c r="E1747">
        <f>IF($J1747="","",IFERROR(AVERAGEIFS('Weekly Log'!$F:$F,'Weekly Log'!$A:$A,"&gt;="&amp;$J1747,'Weekly Log'!$A:$A,"&lt;"&amp;$J1747+7),0))</f>
        <v/>
      </c>
      <c r="F1747">
        <f>IF($J1747="","",IFERROR(SUMIFS('Weekly Log'!$F:$F,'Weekly Log'!$A:$A,"&gt;="&amp;$J1747,'Weekly Log'!$A:$A,"&lt;"&amp;$J1747+7)/SUMIFS('Weekly Log'!$E:$E,'Weekly Log'!$A:$A,"&gt;="&amp;$J1747,'Weekly Log'!$A:$A,"&lt;"&amp;$J1747+7),0))</f>
        <v/>
      </c>
      <c r="G1747">
        <f>IF($J1747="","",IFERROR(LOOKUP(2,1/(('Weekly Log'!$A$5:$A$5000&gt;=$J1747)*('Weekly Log'!$A$5:$A$5000&lt;$J1747+7)*('Weekly Log'!$M$5:$M$5000&lt;&gt;"")),'Weekly Log'!$M$5:$M$5000),0))</f>
        <v/>
      </c>
      <c r="J1747">
        <f>IF(COUNT('Weekly Log'!$A$5:$A$5000)=0,"",IF(MIN('Weekly Log'!$A$5:$A$5000)+7*(ROW()-10)&gt;MAX('Weekly Log'!$A$5:$A$5000),"",MIN('Weekly Log'!$A$5:$A$5000)+7*(ROW()-10)))</f>
        <v/>
      </c>
    </row>
    <row r="1748">
      <c r="A1748">
        <f>IF($J1748="","",YEAR($J1748-WEEKDAY($J1748,2)+4)&amp;"-W"&amp;TEXT(WEEKNUM($J1748,21),"00"))</f>
        <v/>
      </c>
      <c r="B1748">
        <f>IF($J1748="","",SUMIFS('Weekly Log'!$C:$C,'Weekly Log'!$A:$A,"&gt;="&amp;$J1748,'Weekly Log'!$A:$A,"&lt;"&amp;$J1748+7))</f>
        <v/>
      </c>
      <c r="C1748">
        <f>IF($J1748="","",IFERROR(COUNTIFS('Weekly Log'!$G:$G,"Y",'Weekly Log'!$A:$A,"&gt;="&amp;$J1748,'Weekly Log'!$A:$A,"&lt;"&amp;$J1748+7)/COUNTIFS('Weekly Log'!$G:$G,"&lt;&gt;",'Weekly Log'!$A:$A,"&gt;="&amp;$J1748,'Weekly Log'!$A:$A,"&lt;"&amp;$J1748+7),0))</f>
        <v/>
      </c>
      <c r="D1748">
        <f>IF($J1748="","",IFERROR(COUNTIFS('Weekly Log'!$H:$H,"Y",'Weekly Log'!$A:$A,"&gt;="&amp;$J1748,'Weekly Log'!$A:$A,"&lt;"&amp;$J1748+7)/COUNTIFS('Weekly Log'!$H:$H,"&lt;&gt;",'Weekly Log'!$A:$A,"&gt;="&amp;$J1748,'Weekly Log'!$A:$A,"&lt;"&amp;$J1748+7),0))</f>
        <v/>
      </c>
      <c r="E1748">
        <f>IF($J1748="","",IFERROR(AVERAGEIFS('Weekly Log'!$F:$F,'Weekly Log'!$A:$A,"&gt;="&amp;$J1748,'Weekly Log'!$A:$A,"&lt;"&amp;$J1748+7),0))</f>
        <v/>
      </c>
      <c r="F1748">
        <f>IF($J1748="","",IFERROR(SUMIFS('Weekly Log'!$F:$F,'Weekly Log'!$A:$A,"&gt;="&amp;$J1748,'Weekly Log'!$A:$A,"&lt;"&amp;$J1748+7)/SUMIFS('Weekly Log'!$E:$E,'Weekly Log'!$A:$A,"&gt;="&amp;$J1748,'Weekly Log'!$A:$A,"&lt;"&amp;$J1748+7),0))</f>
        <v/>
      </c>
      <c r="G1748">
        <f>IF($J1748="","",IFERROR(LOOKUP(2,1/(('Weekly Log'!$A$5:$A$5000&gt;=$J1748)*('Weekly Log'!$A$5:$A$5000&lt;$J1748+7)*('Weekly Log'!$M$5:$M$5000&lt;&gt;"")),'Weekly Log'!$M$5:$M$5000),0))</f>
        <v/>
      </c>
      <c r="J1748">
        <f>IF(COUNT('Weekly Log'!$A$5:$A$5000)=0,"",IF(MIN('Weekly Log'!$A$5:$A$5000)+7*(ROW()-10)&gt;MAX('Weekly Log'!$A$5:$A$5000),"",MIN('Weekly Log'!$A$5:$A$5000)+7*(ROW()-10)))</f>
        <v/>
      </c>
    </row>
    <row r="1749">
      <c r="A1749">
        <f>IF($J1749="","",YEAR($J1749-WEEKDAY($J1749,2)+4)&amp;"-W"&amp;TEXT(WEEKNUM($J1749,21),"00"))</f>
        <v/>
      </c>
      <c r="B1749">
        <f>IF($J1749="","",SUMIFS('Weekly Log'!$C:$C,'Weekly Log'!$A:$A,"&gt;="&amp;$J1749,'Weekly Log'!$A:$A,"&lt;"&amp;$J1749+7))</f>
        <v/>
      </c>
      <c r="C1749">
        <f>IF($J1749="","",IFERROR(COUNTIFS('Weekly Log'!$G:$G,"Y",'Weekly Log'!$A:$A,"&gt;="&amp;$J1749,'Weekly Log'!$A:$A,"&lt;"&amp;$J1749+7)/COUNTIFS('Weekly Log'!$G:$G,"&lt;&gt;",'Weekly Log'!$A:$A,"&gt;="&amp;$J1749,'Weekly Log'!$A:$A,"&lt;"&amp;$J1749+7),0))</f>
        <v/>
      </c>
      <c r="D1749">
        <f>IF($J1749="","",IFERROR(COUNTIFS('Weekly Log'!$H:$H,"Y",'Weekly Log'!$A:$A,"&gt;="&amp;$J1749,'Weekly Log'!$A:$A,"&lt;"&amp;$J1749+7)/COUNTIFS('Weekly Log'!$H:$H,"&lt;&gt;",'Weekly Log'!$A:$A,"&gt;="&amp;$J1749,'Weekly Log'!$A:$A,"&lt;"&amp;$J1749+7),0))</f>
        <v/>
      </c>
      <c r="E1749">
        <f>IF($J1749="","",IFERROR(AVERAGEIFS('Weekly Log'!$F:$F,'Weekly Log'!$A:$A,"&gt;="&amp;$J1749,'Weekly Log'!$A:$A,"&lt;"&amp;$J1749+7),0))</f>
        <v/>
      </c>
      <c r="F1749">
        <f>IF($J1749="","",IFERROR(SUMIFS('Weekly Log'!$F:$F,'Weekly Log'!$A:$A,"&gt;="&amp;$J1749,'Weekly Log'!$A:$A,"&lt;"&amp;$J1749+7)/SUMIFS('Weekly Log'!$E:$E,'Weekly Log'!$A:$A,"&gt;="&amp;$J1749,'Weekly Log'!$A:$A,"&lt;"&amp;$J1749+7),0))</f>
        <v/>
      </c>
      <c r="G1749">
        <f>IF($J1749="","",IFERROR(LOOKUP(2,1/(('Weekly Log'!$A$5:$A$5000&gt;=$J1749)*('Weekly Log'!$A$5:$A$5000&lt;$J1749+7)*('Weekly Log'!$M$5:$M$5000&lt;&gt;"")),'Weekly Log'!$M$5:$M$5000),0))</f>
        <v/>
      </c>
      <c r="J1749">
        <f>IF(COUNT('Weekly Log'!$A$5:$A$5000)=0,"",IF(MIN('Weekly Log'!$A$5:$A$5000)+7*(ROW()-10)&gt;MAX('Weekly Log'!$A$5:$A$5000),"",MIN('Weekly Log'!$A$5:$A$5000)+7*(ROW()-10)))</f>
        <v/>
      </c>
    </row>
    <row r="1750">
      <c r="A1750">
        <f>IF($J1750="","",YEAR($J1750-WEEKDAY($J1750,2)+4)&amp;"-W"&amp;TEXT(WEEKNUM($J1750,21),"00"))</f>
        <v/>
      </c>
      <c r="B1750">
        <f>IF($J1750="","",SUMIFS('Weekly Log'!$C:$C,'Weekly Log'!$A:$A,"&gt;="&amp;$J1750,'Weekly Log'!$A:$A,"&lt;"&amp;$J1750+7))</f>
        <v/>
      </c>
      <c r="C1750">
        <f>IF($J1750="","",IFERROR(COUNTIFS('Weekly Log'!$G:$G,"Y",'Weekly Log'!$A:$A,"&gt;="&amp;$J1750,'Weekly Log'!$A:$A,"&lt;"&amp;$J1750+7)/COUNTIFS('Weekly Log'!$G:$G,"&lt;&gt;",'Weekly Log'!$A:$A,"&gt;="&amp;$J1750,'Weekly Log'!$A:$A,"&lt;"&amp;$J1750+7),0))</f>
        <v/>
      </c>
      <c r="D1750">
        <f>IF($J1750="","",IFERROR(COUNTIFS('Weekly Log'!$H:$H,"Y",'Weekly Log'!$A:$A,"&gt;="&amp;$J1750,'Weekly Log'!$A:$A,"&lt;"&amp;$J1750+7)/COUNTIFS('Weekly Log'!$H:$H,"&lt;&gt;",'Weekly Log'!$A:$A,"&gt;="&amp;$J1750,'Weekly Log'!$A:$A,"&lt;"&amp;$J1750+7),0))</f>
        <v/>
      </c>
      <c r="E1750">
        <f>IF($J1750="","",IFERROR(AVERAGEIFS('Weekly Log'!$F:$F,'Weekly Log'!$A:$A,"&gt;="&amp;$J1750,'Weekly Log'!$A:$A,"&lt;"&amp;$J1750+7),0))</f>
        <v/>
      </c>
      <c r="F1750">
        <f>IF($J1750="","",IFERROR(SUMIFS('Weekly Log'!$F:$F,'Weekly Log'!$A:$A,"&gt;="&amp;$J1750,'Weekly Log'!$A:$A,"&lt;"&amp;$J1750+7)/SUMIFS('Weekly Log'!$E:$E,'Weekly Log'!$A:$A,"&gt;="&amp;$J1750,'Weekly Log'!$A:$A,"&lt;"&amp;$J1750+7),0))</f>
        <v/>
      </c>
      <c r="G1750">
        <f>IF($J1750="","",IFERROR(LOOKUP(2,1/(('Weekly Log'!$A$5:$A$5000&gt;=$J1750)*('Weekly Log'!$A$5:$A$5000&lt;$J1750+7)*('Weekly Log'!$M$5:$M$5000&lt;&gt;"")),'Weekly Log'!$M$5:$M$5000),0))</f>
        <v/>
      </c>
      <c r="J1750">
        <f>IF(COUNT('Weekly Log'!$A$5:$A$5000)=0,"",IF(MIN('Weekly Log'!$A$5:$A$5000)+7*(ROW()-10)&gt;MAX('Weekly Log'!$A$5:$A$5000),"",MIN('Weekly Log'!$A$5:$A$5000)+7*(ROW()-10)))</f>
        <v/>
      </c>
    </row>
    <row r="1751">
      <c r="A1751">
        <f>IF($J1751="","",YEAR($J1751-WEEKDAY($J1751,2)+4)&amp;"-W"&amp;TEXT(WEEKNUM($J1751,21),"00"))</f>
        <v/>
      </c>
      <c r="B1751">
        <f>IF($J1751="","",SUMIFS('Weekly Log'!$C:$C,'Weekly Log'!$A:$A,"&gt;="&amp;$J1751,'Weekly Log'!$A:$A,"&lt;"&amp;$J1751+7))</f>
        <v/>
      </c>
      <c r="C1751">
        <f>IF($J1751="","",IFERROR(COUNTIFS('Weekly Log'!$G:$G,"Y",'Weekly Log'!$A:$A,"&gt;="&amp;$J1751,'Weekly Log'!$A:$A,"&lt;"&amp;$J1751+7)/COUNTIFS('Weekly Log'!$G:$G,"&lt;&gt;",'Weekly Log'!$A:$A,"&gt;="&amp;$J1751,'Weekly Log'!$A:$A,"&lt;"&amp;$J1751+7),0))</f>
        <v/>
      </c>
      <c r="D1751">
        <f>IF($J1751="","",IFERROR(COUNTIFS('Weekly Log'!$H:$H,"Y",'Weekly Log'!$A:$A,"&gt;="&amp;$J1751,'Weekly Log'!$A:$A,"&lt;"&amp;$J1751+7)/COUNTIFS('Weekly Log'!$H:$H,"&lt;&gt;",'Weekly Log'!$A:$A,"&gt;="&amp;$J1751,'Weekly Log'!$A:$A,"&lt;"&amp;$J1751+7),0))</f>
        <v/>
      </c>
      <c r="E1751">
        <f>IF($J1751="","",IFERROR(AVERAGEIFS('Weekly Log'!$F:$F,'Weekly Log'!$A:$A,"&gt;="&amp;$J1751,'Weekly Log'!$A:$A,"&lt;"&amp;$J1751+7),0))</f>
        <v/>
      </c>
      <c r="F1751">
        <f>IF($J1751="","",IFERROR(SUMIFS('Weekly Log'!$F:$F,'Weekly Log'!$A:$A,"&gt;="&amp;$J1751,'Weekly Log'!$A:$A,"&lt;"&amp;$J1751+7)/SUMIFS('Weekly Log'!$E:$E,'Weekly Log'!$A:$A,"&gt;="&amp;$J1751,'Weekly Log'!$A:$A,"&lt;"&amp;$J1751+7),0))</f>
        <v/>
      </c>
      <c r="G1751">
        <f>IF($J1751="","",IFERROR(LOOKUP(2,1/(('Weekly Log'!$A$5:$A$5000&gt;=$J1751)*('Weekly Log'!$A$5:$A$5000&lt;$J1751+7)*('Weekly Log'!$M$5:$M$5000&lt;&gt;"")),'Weekly Log'!$M$5:$M$5000),0))</f>
        <v/>
      </c>
      <c r="J1751">
        <f>IF(COUNT('Weekly Log'!$A$5:$A$5000)=0,"",IF(MIN('Weekly Log'!$A$5:$A$5000)+7*(ROW()-10)&gt;MAX('Weekly Log'!$A$5:$A$5000),"",MIN('Weekly Log'!$A$5:$A$5000)+7*(ROW()-10)))</f>
        <v/>
      </c>
    </row>
    <row r="1752">
      <c r="A1752">
        <f>IF($J1752="","",YEAR($J1752-WEEKDAY($J1752,2)+4)&amp;"-W"&amp;TEXT(WEEKNUM($J1752,21),"00"))</f>
        <v/>
      </c>
      <c r="B1752">
        <f>IF($J1752="","",SUMIFS('Weekly Log'!$C:$C,'Weekly Log'!$A:$A,"&gt;="&amp;$J1752,'Weekly Log'!$A:$A,"&lt;"&amp;$J1752+7))</f>
        <v/>
      </c>
      <c r="C1752">
        <f>IF($J1752="","",IFERROR(COUNTIFS('Weekly Log'!$G:$G,"Y",'Weekly Log'!$A:$A,"&gt;="&amp;$J1752,'Weekly Log'!$A:$A,"&lt;"&amp;$J1752+7)/COUNTIFS('Weekly Log'!$G:$G,"&lt;&gt;",'Weekly Log'!$A:$A,"&gt;="&amp;$J1752,'Weekly Log'!$A:$A,"&lt;"&amp;$J1752+7),0))</f>
        <v/>
      </c>
      <c r="D1752">
        <f>IF($J1752="","",IFERROR(COUNTIFS('Weekly Log'!$H:$H,"Y",'Weekly Log'!$A:$A,"&gt;="&amp;$J1752,'Weekly Log'!$A:$A,"&lt;"&amp;$J1752+7)/COUNTIFS('Weekly Log'!$H:$H,"&lt;&gt;",'Weekly Log'!$A:$A,"&gt;="&amp;$J1752,'Weekly Log'!$A:$A,"&lt;"&amp;$J1752+7),0))</f>
        <v/>
      </c>
      <c r="E1752">
        <f>IF($J1752="","",IFERROR(AVERAGEIFS('Weekly Log'!$F:$F,'Weekly Log'!$A:$A,"&gt;="&amp;$J1752,'Weekly Log'!$A:$A,"&lt;"&amp;$J1752+7),0))</f>
        <v/>
      </c>
      <c r="F1752">
        <f>IF($J1752="","",IFERROR(SUMIFS('Weekly Log'!$F:$F,'Weekly Log'!$A:$A,"&gt;="&amp;$J1752,'Weekly Log'!$A:$A,"&lt;"&amp;$J1752+7)/SUMIFS('Weekly Log'!$E:$E,'Weekly Log'!$A:$A,"&gt;="&amp;$J1752,'Weekly Log'!$A:$A,"&lt;"&amp;$J1752+7),0))</f>
        <v/>
      </c>
      <c r="G1752">
        <f>IF($J1752="","",IFERROR(LOOKUP(2,1/(('Weekly Log'!$A$5:$A$5000&gt;=$J1752)*('Weekly Log'!$A$5:$A$5000&lt;$J1752+7)*('Weekly Log'!$M$5:$M$5000&lt;&gt;"")),'Weekly Log'!$M$5:$M$5000),0))</f>
        <v/>
      </c>
      <c r="J1752">
        <f>IF(COUNT('Weekly Log'!$A$5:$A$5000)=0,"",IF(MIN('Weekly Log'!$A$5:$A$5000)+7*(ROW()-10)&gt;MAX('Weekly Log'!$A$5:$A$5000),"",MIN('Weekly Log'!$A$5:$A$5000)+7*(ROW()-10)))</f>
        <v/>
      </c>
    </row>
    <row r="1753">
      <c r="A1753">
        <f>IF($J1753="","",YEAR($J1753-WEEKDAY($J1753,2)+4)&amp;"-W"&amp;TEXT(WEEKNUM($J1753,21),"00"))</f>
        <v/>
      </c>
      <c r="B1753">
        <f>IF($J1753="","",SUMIFS('Weekly Log'!$C:$C,'Weekly Log'!$A:$A,"&gt;="&amp;$J1753,'Weekly Log'!$A:$A,"&lt;"&amp;$J1753+7))</f>
        <v/>
      </c>
      <c r="C1753">
        <f>IF($J1753="","",IFERROR(COUNTIFS('Weekly Log'!$G:$G,"Y",'Weekly Log'!$A:$A,"&gt;="&amp;$J1753,'Weekly Log'!$A:$A,"&lt;"&amp;$J1753+7)/COUNTIFS('Weekly Log'!$G:$G,"&lt;&gt;",'Weekly Log'!$A:$A,"&gt;="&amp;$J1753,'Weekly Log'!$A:$A,"&lt;"&amp;$J1753+7),0))</f>
        <v/>
      </c>
      <c r="D1753">
        <f>IF($J1753="","",IFERROR(COUNTIFS('Weekly Log'!$H:$H,"Y",'Weekly Log'!$A:$A,"&gt;="&amp;$J1753,'Weekly Log'!$A:$A,"&lt;"&amp;$J1753+7)/COUNTIFS('Weekly Log'!$H:$H,"&lt;&gt;",'Weekly Log'!$A:$A,"&gt;="&amp;$J1753,'Weekly Log'!$A:$A,"&lt;"&amp;$J1753+7),0))</f>
        <v/>
      </c>
      <c r="E1753">
        <f>IF($J1753="","",IFERROR(AVERAGEIFS('Weekly Log'!$F:$F,'Weekly Log'!$A:$A,"&gt;="&amp;$J1753,'Weekly Log'!$A:$A,"&lt;"&amp;$J1753+7),0))</f>
        <v/>
      </c>
      <c r="F1753">
        <f>IF($J1753="","",IFERROR(SUMIFS('Weekly Log'!$F:$F,'Weekly Log'!$A:$A,"&gt;="&amp;$J1753,'Weekly Log'!$A:$A,"&lt;"&amp;$J1753+7)/SUMIFS('Weekly Log'!$E:$E,'Weekly Log'!$A:$A,"&gt;="&amp;$J1753,'Weekly Log'!$A:$A,"&lt;"&amp;$J1753+7),0))</f>
        <v/>
      </c>
      <c r="G1753">
        <f>IF($J1753="","",IFERROR(LOOKUP(2,1/(('Weekly Log'!$A$5:$A$5000&gt;=$J1753)*('Weekly Log'!$A$5:$A$5000&lt;$J1753+7)*('Weekly Log'!$M$5:$M$5000&lt;&gt;"")),'Weekly Log'!$M$5:$M$5000),0))</f>
        <v/>
      </c>
      <c r="J1753">
        <f>IF(COUNT('Weekly Log'!$A$5:$A$5000)=0,"",IF(MIN('Weekly Log'!$A$5:$A$5000)+7*(ROW()-10)&gt;MAX('Weekly Log'!$A$5:$A$5000),"",MIN('Weekly Log'!$A$5:$A$5000)+7*(ROW()-10)))</f>
        <v/>
      </c>
    </row>
    <row r="1754">
      <c r="A1754">
        <f>IF($J1754="","",YEAR($J1754-WEEKDAY($J1754,2)+4)&amp;"-W"&amp;TEXT(WEEKNUM($J1754,21),"00"))</f>
        <v/>
      </c>
      <c r="B1754">
        <f>IF($J1754="","",SUMIFS('Weekly Log'!$C:$C,'Weekly Log'!$A:$A,"&gt;="&amp;$J1754,'Weekly Log'!$A:$A,"&lt;"&amp;$J1754+7))</f>
        <v/>
      </c>
      <c r="C1754">
        <f>IF($J1754="","",IFERROR(COUNTIFS('Weekly Log'!$G:$G,"Y",'Weekly Log'!$A:$A,"&gt;="&amp;$J1754,'Weekly Log'!$A:$A,"&lt;"&amp;$J1754+7)/COUNTIFS('Weekly Log'!$G:$G,"&lt;&gt;",'Weekly Log'!$A:$A,"&gt;="&amp;$J1754,'Weekly Log'!$A:$A,"&lt;"&amp;$J1754+7),0))</f>
        <v/>
      </c>
      <c r="D1754">
        <f>IF($J1754="","",IFERROR(COUNTIFS('Weekly Log'!$H:$H,"Y",'Weekly Log'!$A:$A,"&gt;="&amp;$J1754,'Weekly Log'!$A:$A,"&lt;"&amp;$J1754+7)/COUNTIFS('Weekly Log'!$H:$H,"&lt;&gt;",'Weekly Log'!$A:$A,"&gt;="&amp;$J1754,'Weekly Log'!$A:$A,"&lt;"&amp;$J1754+7),0))</f>
        <v/>
      </c>
      <c r="E1754">
        <f>IF($J1754="","",IFERROR(AVERAGEIFS('Weekly Log'!$F:$F,'Weekly Log'!$A:$A,"&gt;="&amp;$J1754,'Weekly Log'!$A:$A,"&lt;"&amp;$J1754+7),0))</f>
        <v/>
      </c>
      <c r="F1754">
        <f>IF($J1754="","",IFERROR(SUMIFS('Weekly Log'!$F:$F,'Weekly Log'!$A:$A,"&gt;="&amp;$J1754,'Weekly Log'!$A:$A,"&lt;"&amp;$J1754+7)/SUMIFS('Weekly Log'!$E:$E,'Weekly Log'!$A:$A,"&gt;="&amp;$J1754,'Weekly Log'!$A:$A,"&lt;"&amp;$J1754+7),0))</f>
        <v/>
      </c>
      <c r="G1754">
        <f>IF($J1754="","",IFERROR(LOOKUP(2,1/(('Weekly Log'!$A$5:$A$5000&gt;=$J1754)*('Weekly Log'!$A$5:$A$5000&lt;$J1754+7)*('Weekly Log'!$M$5:$M$5000&lt;&gt;"")),'Weekly Log'!$M$5:$M$5000),0))</f>
        <v/>
      </c>
      <c r="J1754">
        <f>IF(COUNT('Weekly Log'!$A$5:$A$5000)=0,"",IF(MIN('Weekly Log'!$A$5:$A$5000)+7*(ROW()-10)&gt;MAX('Weekly Log'!$A$5:$A$5000),"",MIN('Weekly Log'!$A$5:$A$5000)+7*(ROW()-10)))</f>
        <v/>
      </c>
    </row>
    <row r="1755">
      <c r="A1755">
        <f>IF($J1755="","",YEAR($J1755-WEEKDAY($J1755,2)+4)&amp;"-W"&amp;TEXT(WEEKNUM($J1755,21),"00"))</f>
        <v/>
      </c>
      <c r="B1755">
        <f>IF($J1755="","",SUMIFS('Weekly Log'!$C:$C,'Weekly Log'!$A:$A,"&gt;="&amp;$J1755,'Weekly Log'!$A:$A,"&lt;"&amp;$J1755+7))</f>
        <v/>
      </c>
      <c r="C1755">
        <f>IF($J1755="","",IFERROR(COUNTIFS('Weekly Log'!$G:$G,"Y",'Weekly Log'!$A:$A,"&gt;="&amp;$J1755,'Weekly Log'!$A:$A,"&lt;"&amp;$J1755+7)/COUNTIFS('Weekly Log'!$G:$G,"&lt;&gt;",'Weekly Log'!$A:$A,"&gt;="&amp;$J1755,'Weekly Log'!$A:$A,"&lt;"&amp;$J1755+7),0))</f>
        <v/>
      </c>
      <c r="D1755">
        <f>IF($J1755="","",IFERROR(COUNTIFS('Weekly Log'!$H:$H,"Y",'Weekly Log'!$A:$A,"&gt;="&amp;$J1755,'Weekly Log'!$A:$A,"&lt;"&amp;$J1755+7)/COUNTIFS('Weekly Log'!$H:$H,"&lt;&gt;",'Weekly Log'!$A:$A,"&gt;="&amp;$J1755,'Weekly Log'!$A:$A,"&lt;"&amp;$J1755+7),0))</f>
        <v/>
      </c>
      <c r="E1755">
        <f>IF($J1755="","",IFERROR(AVERAGEIFS('Weekly Log'!$F:$F,'Weekly Log'!$A:$A,"&gt;="&amp;$J1755,'Weekly Log'!$A:$A,"&lt;"&amp;$J1755+7),0))</f>
        <v/>
      </c>
      <c r="F1755">
        <f>IF($J1755="","",IFERROR(SUMIFS('Weekly Log'!$F:$F,'Weekly Log'!$A:$A,"&gt;="&amp;$J1755,'Weekly Log'!$A:$A,"&lt;"&amp;$J1755+7)/SUMIFS('Weekly Log'!$E:$E,'Weekly Log'!$A:$A,"&gt;="&amp;$J1755,'Weekly Log'!$A:$A,"&lt;"&amp;$J1755+7),0))</f>
        <v/>
      </c>
      <c r="G1755">
        <f>IF($J1755="","",IFERROR(LOOKUP(2,1/(('Weekly Log'!$A$5:$A$5000&gt;=$J1755)*('Weekly Log'!$A$5:$A$5000&lt;$J1755+7)*('Weekly Log'!$M$5:$M$5000&lt;&gt;"")),'Weekly Log'!$M$5:$M$5000),0))</f>
        <v/>
      </c>
      <c r="J1755">
        <f>IF(COUNT('Weekly Log'!$A$5:$A$5000)=0,"",IF(MIN('Weekly Log'!$A$5:$A$5000)+7*(ROW()-10)&gt;MAX('Weekly Log'!$A$5:$A$5000),"",MIN('Weekly Log'!$A$5:$A$5000)+7*(ROW()-10)))</f>
        <v/>
      </c>
    </row>
    <row r="1756">
      <c r="A1756">
        <f>IF($J1756="","",YEAR($J1756-WEEKDAY($J1756,2)+4)&amp;"-W"&amp;TEXT(WEEKNUM($J1756,21),"00"))</f>
        <v/>
      </c>
      <c r="B1756">
        <f>IF($J1756="","",SUMIFS('Weekly Log'!$C:$C,'Weekly Log'!$A:$A,"&gt;="&amp;$J1756,'Weekly Log'!$A:$A,"&lt;"&amp;$J1756+7))</f>
        <v/>
      </c>
      <c r="C1756">
        <f>IF($J1756="","",IFERROR(COUNTIFS('Weekly Log'!$G:$G,"Y",'Weekly Log'!$A:$A,"&gt;="&amp;$J1756,'Weekly Log'!$A:$A,"&lt;"&amp;$J1756+7)/COUNTIFS('Weekly Log'!$G:$G,"&lt;&gt;",'Weekly Log'!$A:$A,"&gt;="&amp;$J1756,'Weekly Log'!$A:$A,"&lt;"&amp;$J1756+7),0))</f>
        <v/>
      </c>
      <c r="D1756">
        <f>IF($J1756="","",IFERROR(COUNTIFS('Weekly Log'!$H:$H,"Y",'Weekly Log'!$A:$A,"&gt;="&amp;$J1756,'Weekly Log'!$A:$A,"&lt;"&amp;$J1756+7)/COUNTIFS('Weekly Log'!$H:$H,"&lt;&gt;",'Weekly Log'!$A:$A,"&gt;="&amp;$J1756,'Weekly Log'!$A:$A,"&lt;"&amp;$J1756+7),0))</f>
        <v/>
      </c>
      <c r="E1756">
        <f>IF($J1756="","",IFERROR(AVERAGEIFS('Weekly Log'!$F:$F,'Weekly Log'!$A:$A,"&gt;="&amp;$J1756,'Weekly Log'!$A:$A,"&lt;"&amp;$J1756+7),0))</f>
        <v/>
      </c>
      <c r="F1756">
        <f>IF($J1756="","",IFERROR(SUMIFS('Weekly Log'!$F:$F,'Weekly Log'!$A:$A,"&gt;="&amp;$J1756,'Weekly Log'!$A:$A,"&lt;"&amp;$J1756+7)/SUMIFS('Weekly Log'!$E:$E,'Weekly Log'!$A:$A,"&gt;="&amp;$J1756,'Weekly Log'!$A:$A,"&lt;"&amp;$J1756+7),0))</f>
        <v/>
      </c>
      <c r="G1756">
        <f>IF($J1756="","",IFERROR(LOOKUP(2,1/(('Weekly Log'!$A$5:$A$5000&gt;=$J1756)*('Weekly Log'!$A$5:$A$5000&lt;$J1756+7)*('Weekly Log'!$M$5:$M$5000&lt;&gt;"")),'Weekly Log'!$M$5:$M$5000),0))</f>
        <v/>
      </c>
      <c r="J1756">
        <f>IF(COUNT('Weekly Log'!$A$5:$A$5000)=0,"",IF(MIN('Weekly Log'!$A$5:$A$5000)+7*(ROW()-10)&gt;MAX('Weekly Log'!$A$5:$A$5000),"",MIN('Weekly Log'!$A$5:$A$5000)+7*(ROW()-10)))</f>
        <v/>
      </c>
    </row>
    <row r="1757">
      <c r="A1757">
        <f>IF($J1757="","",YEAR($J1757-WEEKDAY($J1757,2)+4)&amp;"-W"&amp;TEXT(WEEKNUM($J1757,21),"00"))</f>
        <v/>
      </c>
      <c r="B1757">
        <f>IF($J1757="","",SUMIFS('Weekly Log'!$C:$C,'Weekly Log'!$A:$A,"&gt;="&amp;$J1757,'Weekly Log'!$A:$A,"&lt;"&amp;$J1757+7))</f>
        <v/>
      </c>
      <c r="C1757">
        <f>IF($J1757="","",IFERROR(COUNTIFS('Weekly Log'!$G:$G,"Y",'Weekly Log'!$A:$A,"&gt;="&amp;$J1757,'Weekly Log'!$A:$A,"&lt;"&amp;$J1757+7)/COUNTIFS('Weekly Log'!$G:$G,"&lt;&gt;",'Weekly Log'!$A:$A,"&gt;="&amp;$J1757,'Weekly Log'!$A:$A,"&lt;"&amp;$J1757+7),0))</f>
        <v/>
      </c>
      <c r="D1757">
        <f>IF($J1757="","",IFERROR(COUNTIFS('Weekly Log'!$H:$H,"Y",'Weekly Log'!$A:$A,"&gt;="&amp;$J1757,'Weekly Log'!$A:$A,"&lt;"&amp;$J1757+7)/COUNTIFS('Weekly Log'!$H:$H,"&lt;&gt;",'Weekly Log'!$A:$A,"&gt;="&amp;$J1757,'Weekly Log'!$A:$A,"&lt;"&amp;$J1757+7),0))</f>
        <v/>
      </c>
      <c r="E1757">
        <f>IF($J1757="","",IFERROR(AVERAGEIFS('Weekly Log'!$F:$F,'Weekly Log'!$A:$A,"&gt;="&amp;$J1757,'Weekly Log'!$A:$A,"&lt;"&amp;$J1757+7),0))</f>
        <v/>
      </c>
      <c r="F1757">
        <f>IF($J1757="","",IFERROR(SUMIFS('Weekly Log'!$F:$F,'Weekly Log'!$A:$A,"&gt;="&amp;$J1757,'Weekly Log'!$A:$A,"&lt;"&amp;$J1757+7)/SUMIFS('Weekly Log'!$E:$E,'Weekly Log'!$A:$A,"&gt;="&amp;$J1757,'Weekly Log'!$A:$A,"&lt;"&amp;$J1757+7),0))</f>
        <v/>
      </c>
      <c r="G1757">
        <f>IF($J1757="","",IFERROR(LOOKUP(2,1/(('Weekly Log'!$A$5:$A$5000&gt;=$J1757)*('Weekly Log'!$A$5:$A$5000&lt;$J1757+7)*('Weekly Log'!$M$5:$M$5000&lt;&gt;"")),'Weekly Log'!$M$5:$M$5000),0))</f>
        <v/>
      </c>
      <c r="J1757">
        <f>IF(COUNT('Weekly Log'!$A$5:$A$5000)=0,"",IF(MIN('Weekly Log'!$A$5:$A$5000)+7*(ROW()-10)&gt;MAX('Weekly Log'!$A$5:$A$5000),"",MIN('Weekly Log'!$A$5:$A$5000)+7*(ROW()-10)))</f>
        <v/>
      </c>
    </row>
    <row r="1758">
      <c r="A1758">
        <f>IF($J1758="","",YEAR($J1758-WEEKDAY($J1758,2)+4)&amp;"-W"&amp;TEXT(WEEKNUM($J1758,21),"00"))</f>
        <v/>
      </c>
      <c r="B1758">
        <f>IF($J1758="","",SUMIFS('Weekly Log'!$C:$C,'Weekly Log'!$A:$A,"&gt;="&amp;$J1758,'Weekly Log'!$A:$A,"&lt;"&amp;$J1758+7))</f>
        <v/>
      </c>
      <c r="C1758">
        <f>IF($J1758="","",IFERROR(COUNTIFS('Weekly Log'!$G:$G,"Y",'Weekly Log'!$A:$A,"&gt;="&amp;$J1758,'Weekly Log'!$A:$A,"&lt;"&amp;$J1758+7)/COUNTIFS('Weekly Log'!$G:$G,"&lt;&gt;",'Weekly Log'!$A:$A,"&gt;="&amp;$J1758,'Weekly Log'!$A:$A,"&lt;"&amp;$J1758+7),0))</f>
        <v/>
      </c>
      <c r="D1758">
        <f>IF($J1758="","",IFERROR(COUNTIFS('Weekly Log'!$H:$H,"Y",'Weekly Log'!$A:$A,"&gt;="&amp;$J1758,'Weekly Log'!$A:$A,"&lt;"&amp;$J1758+7)/COUNTIFS('Weekly Log'!$H:$H,"&lt;&gt;",'Weekly Log'!$A:$A,"&gt;="&amp;$J1758,'Weekly Log'!$A:$A,"&lt;"&amp;$J1758+7),0))</f>
        <v/>
      </c>
      <c r="E1758">
        <f>IF($J1758="","",IFERROR(AVERAGEIFS('Weekly Log'!$F:$F,'Weekly Log'!$A:$A,"&gt;="&amp;$J1758,'Weekly Log'!$A:$A,"&lt;"&amp;$J1758+7),0))</f>
        <v/>
      </c>
      <c r="F1758">
        <f>IF($J1758="","",IFERROR(SUMIFS('Weekly Log'!$F:$F,'Weekly Log'!$A:$A,"&gt;="&amp;$J1758,'Weekly Log'!$A:$A,"&lt;"&amp;$J1758+7)/SUMIFS('Weekly Log'!$E:$E,'Weekly Log'!$A:$A,"&gt;="&amp;$J1758,'Weekly Log'!$A:$A,"&lt;"&amp;$J1758+7),0))</f>
        <v/>
      </c>
      <c r="G1758">
        <f>IF($J1758="","",IFERROR(LOOKUP(2,1/(('Weekly Log'!$A$5:$A$5000&gt;=$J1758)*('Weekly Log'!$A$5:$A$5000&lt;$J1758+7)*('Weekly Log'!$M$5:$M$5000&lt;&gt;"")),'Weekly Log'!$M$5:$M$5000),0))</f>
        <v/>
      </c>
      <c r="J1758">
        <f>IF(COUNT('Weekly Log'!$A$5:$A$5000)=0,"",IF(MIN('Weekly Log'!$A$5:$A$5000)+7*(ROW()-10)&gt;MAX('Weekly Log'!$A$5:$A$5000),"",MIN('Weekly Log'!$A$5:$A$5000)+7*(ROW()-10)))</f>
        <v/>
      </c>
    </row>
    <row r="1759">
      <c r="A1759">
        <f>IF($J1759="","",YEAR($J1759-WEEKDAY($J1759,2)+4)&amp;"-W"&amp;TEXT(WEEKNUM($J1759,21),"00"))</f>
        <v/>
      </c>
      <c r="B1759">
        <f>IF($J1759="","",SUMIFS('Weekly Log'!$C:$C,'Weekly Log'!$A:$A,"&gt;="&amp;$J1759,'Weekly Log'!$A:$A,"&lt;"&amp;$J1759+7))</f>
        <v/>
      </c>
      <c r="C1759">
        <f>IF($J1759="","",IFERROR(COUNTIFS('Weekly Log'!$G:$G,"Y",'Weekly Log'!$A:$A,"&gt;="&amp;$J1759,'Weekly Log'!$A:$A,"&lt;"&amp;$J1759+7)/COUNTIFS('Weekly Log'!$G:$G,"&lt;&gt;",'Weekly Log'!$A:$A,"&gt;="&amp;$J1759,'Weekly Log'!$A:$A,"&lt;"&amp;$J1759+7),0))</f>
        <v/>
      </c>
      <c r="D1759">
        <f>IF($J1759="","",IFERROR(COUNTIFS('Weekly Log'!$H:$H,"Y",'Weekly Log'!$A:$A,"&gt;="&amp;$J1759,'Weekly Log'!$A:$A,"&lt;"&amp;$J1759+7)/COUNTIFS('Weekly Log'!$H:$H,"&lt;&gt;",'Weekly Log'!$A:$A,"&gt;="&amp;$J1759,'Weekly Log'!$A:$A,"&lt;"&amp;$J1759+7),0))</f>
        <v/>
      </c>
      <c r="E1759">
        <f>IF($J1759="","",IFERROR(AVERAGEIFS('Weekly Log'!$F:$F,'Weekly Log'!$A:$A,"&gt;="&amp;$J1759,'Weekly Log'!$A:$A,"&lt;"&amp;$J1759+7),0))</f>
        <v/>
      </c>
      <c r="F1759">
        <f>IF($J1759="","",IFERROR(SUMIFS('Weekly Log'!$F:$F,'Weekly Log'!$A:$A,"&gt;="&amp;$J1759,'Weekly Log'!$A:$A,"&lt;"&amp;$J1759+7)/SUMIFS('Weekly Log'!$E:$E,'Weekly Log'!$A:$A,"&gt;="&amp;$J1759,'Weekly Log'!$A:$A,"&lt;"&amp;$J1759+7),0))</f>
        <v/>
      </c>
      <c r="G1759">
        <f>IF($J1759="","",IFERROR(LOOKUP(2,1/(('Weekly Log'!$A$5:$A$5000&gt;=$J1759)*('Weekly Log'!$A$5:$A$5000&lt;$J1759+7)*('Weekly Log'!$M$5:$M$5000&lt;&gt;"")),'Weekly Log'!$M$5:$M$5000),0))</f>
        <v/>
      </c>
      <c r="J1759">
        <f>IF(COUNT('Weekly Log'!$A$5:$A$5000)=0,"",IF(MIN('Weekly Log'!$A$5:$A$5000)+7*(ROW()-10)&gt;MAX('Weekly Log'!$A$5:$A$5000),"",MIN('Weekly Log'!$A$5:$A$5000)+7*(ROW()-10)))</f>
        <v/>
      </c>
    </row>
    <row r="1760">
      <c r="A1760">
        <f>IF($J1760="","",YEAR($J1760-WEEKDAY($J1760,2)+4)&amp;"-W"&amp;TEXT(WEEKNUM($J1760,21),"00"))</f>
        <v/>
      </c>
      <c r="B1760">
        <f>IF($J1760="","",SUMIFS('Weekly Log'!$C:$C,'Weekly Log'!$A:$A,"&gt;="&amp;$J1760,'Weekly Log'!$A:$A,"&lt;"&amp;$J1760+7))</f>
        <v/>
      </c>
      <c r="C1760">
        <f>IF($J1760="","",IFERROR(COUNTIFS('Weekly Log'!$G:$G,"Y",'Weekly Log'!$A:$A,"&gt;="&amp;$J1760,'Weekly Log'!$A:$A,"&lt;"&amp;$J1760+7)/COUNTIFS('Weekly Log'!$G:$G,"&lt;&gt;",'Weekly Log'!$A:$A,"&gt;="&amp;$J1760,'Weekly Log'!$A:$A,"&lt;"&amp;$J1760+7),0))</f>
        <v/>
      </c>
      <c r="D1760">
        <f>IF($J1760="","",IFERROR(COUNTIFS('Weekly Log'!$H:$H,"Y",'Weekly Log'!$A:$A,"&gt;="&amp;$J1760,'Weekly Log'!$A:$A,"&lt;"&amp;$J1760+7)/COUNTIFS('Weekly Log'!$H:$H,"&lt;&gt;",'Weekly Log'!$A:$A,"&gt;="&amp;$J1760,'Weekly Log'!$A:$A,"&lt;"&amp;$J1760+7),0))</f>
        <v/>
      </c>
      <c r="E1760">
        <f>IF($J1760="","",IFERROR(AVERAGEIFS('Weekly Log'!$F:$F,'Weekly Log'!$A:$A,"&gt;="&amp;$J1760,'Weekly Log'!$A:$A,"&lt;"&amp;$J1760+7),0))</f>
        <v/>
      </c>
      <c r="F1760">
        <f>IF($J1760="","",IFERROR(SUMIFS('Weekly Log'!$F:$F,'Weekly Log'!$A:$A,"&gt;="&amp;$J1760,'Weekly Log'!$A:$A,"&lt;"&amp;$J1760+7)/SUMIFS('Weekly Log'!$E:$E,'Weekly Log'!$A:$A,"&gt;="&amp;$J1760,'Weekly Log'!$A:$A,"&lt;"&amp;$J1760+7),0))</f>
        <v/>
      </c>
      <c r="G1760">
        <f>IF($J1760="","",IFERROR(LOOKUP(2,1/(('Weekly Log'!$A$5:$A$5000&gt;=$J1760)*('Weekly Log'!$A$5:$A$5000&lt;$J1760+7)*('Weekly Log'!$M$5:$M$5000&lt;&gt;"")),'Weekly Log'!$M$5:$M$5000),0))</f>
        <v/>
      </c>
      <c r="J1760">
        <f>IF(COUNT('Weekly Log'!$A$5:$A$5000)=0,"",IF(MIN('Weekly Log'!$A$5:$A$5000)+7*(ROW()-10)&gt;MAX('Weekly Log'!$A$5:$A$5000),"",MIN('Weekly Log'!$A$5:$A$5000)+7*(ROW()-10)))</f>
        <v/>
      </c>
    </row>
    <row r="1761">
      <c r="A1761">
        <f>IF($J1761="","",YEAR($J1761-WEEKDAY($J1761,2)+4)&amp;"-W"&amp;TEXT(WEEKNUM($J1761,21),"00"))</f>
        <v/>
      </c>
      <c r="B1761">
        <f>IF($J1761="","",SUMIFS('Weekly Log'!$C:$C,'Weekly Log'!$A:$A,"&gt;="&amp;$J1761,'Weekly Log'!$A:$A,"&lt;"&amp;$J1761+7))</f>
        <v/>
      </c>
      <c r="C1761">
        <f>IF($J1761="","",IFERROR(COUNTIFS('Weekly Log'!$G:$G,"Y",'Weekly Log'!$A:$A,"&gt;="&amp;$J1761,'Weekly Log'!$A:$A,"&lt;"&amp;$J1761+7)/COUNTIFS('Weekly Log'!$G:$G,"&lt;&gt;",'Weekly Log'!$A:$A,"&gt;="&amp;$J1761,'Weekly Log'!$A:$A,"&lt;"&amp;$J1761+7),0))</f>
        <v/>
      </c>
      <c r="D1761">
        <f>IF($J1761="","",IFERROR(COUNTIFS('Weekly Log'!$H:$H,"Y",'Weekly Log'!$A:$A,"&gt;="&amp;$J1761,'Weekly Log'!$A:$A,"&lt;"&amp;$J1761+7)/COUNTIFS('Weekly Log'!$H:$H,"&lt;&gt;",'Weekly Log'!$A:$A,"&gt;="&amp;$J1761,'Weekly Log'!$A:$A,"&lt;"&amp;$J1761+7),0))</f>
        <v/>
      </c>
      <c r="E1761">
        <f>IF($J1761="","",IFERROR(AVERAGEIFS('Weekly Log'!$F:$F,'Weekly Log'!$A:$A,"&gt;="&amp;$J1761,'Weekly Log'!$A:$A,"&lt;"&amp;$J1761+7),0))</f>
        <v/>
      </c>
      <c r="F1761">
        <f>IF($J1761="","",IFERROR(SUMIFS('Weekly Log'!$F:$F,'Weekly Log'!$A:$A,"&gt;="&amp;$J1761,'Weekly Log'!$A:$A,"&lt;"&amp;$J1761+7)/SUMIFS('Weekly Log'!$E:$E,'Weekly Log'!$A:$A,"&gt;="&amp;$J1761,'Weekly Log'!$A:$A,"&lt;"&amp;$J1761+7),0))</f>
        <v/>
      </c>
      <c r="G1761">
        <f>IF($J1761="","",IFERROR(LOOKUP(2,1/(('Weekly Log'!$A$5:$A$5000&gt;=$J1761)*('Weekly Log'!$A$5:$A$5000&lt;$J1761+7)*('Weekly Log'!$M$5:$M$5000&lt;&gt;"")),'Weekly Log'!$M$5:$M$5000),0))</f>
        <v/>
      </c>
      <c r="J1761">
        <f>IF(COUNT('Weekly Log'!$A$5:$A$5000)=0,"",IF(MIN('Weekly Log'!$A$5:$A$5000)+7*(ROW()-10)&gt;MAX('Weekly Log'!$A$5:$A$5000),"",MIN('Weekly Log'!$A$5:$A$5000)+7*(ROW()-10)))</f>
        <v/>
      </c>
    </row>
    <row r="1762">
      <c r="A1762">
        <f>IF($J1762="","",YEAR($J1762-WEEKDAY($J1762,2)+4)&amp;"-W"&amp;TEXT(WEEKNUM($J1762,21),"00"))</f>
        <v/>
      </c>
      <c r="B1762">
        <f>IF($J1762="","",SUMIFS('Weekly Log'!$C:$C,'Weekly Log'!$A:$A,"&gt;="&amp;$J1762,'Weekly Log'!$A:$A,"&lt;"&amp;$J1762+7))</f>
        <v/>
      </c>
      <c r="C1762">
        <f>IF($J1762="","",IFERROR(COUNTIFS('Weekly Log'!$G:$G,"Y",'Weekly Log'!$A:$A,"&gt;="&amp;$J1762,'Weekly Log'!$A:$A,"&lt;"&amp;$J1762+7)/COUNTIFS('Weekly Log'!$G:$G,"&lt;&gt;",'Weekly Log'!$A:$A,"&gt;="&amp;$J1762,'Weekly Log'!$A:$A,"&lt;"&amp;$J1762+7),0))</f>
        <v/>
      </c>
      <c r="D1762">
        <f>IF($J1762="","",IFERROR(COUNTIFS('Weekly Log'!$H:$H,"Y",'Weekly Log'!$A:$A,"&gt;="&amp;$J1762,'Weekly Log'!$A:$A,"&lt;"&amp;$J1762+7)/COUNTIFS('Weekly Log'!$H:$H,"&lt;&gt;",'Weekly Log'!$A:$A,"&gt;="&amp;$J1762,'Weekly Log'!$A:$A,"&lt;"&amp;$J1762+7),0))</f>
        <v/>
      </c>
      <c r="E1762">
        <f>IF($J1762="","",IFERROR(AVERAGEIFS('Weekly Log'!$F:$F,'Weekly Log'!$A:$A,"&gt;="&amp;$J1762,'Weekly Log'!$A:$A,"&lt;"&amp;$J1762+7),0))</f>
        <v/>
      </c>
      <c r="F1762">
        <f>IF($J1762="","",IFERROR(SUMIFS('Weekly Log'!$F:$F,'Weekly Log'!$A:$A,"&gt;="&amp;$J1762,'Weekly Log'!$A:$A,"&lt;"&amp;$J1762+7)/SUMIFS('Weekly Log'!$E:$E,'Weekly Log'!$A:$A,"&gt;="&amp;$J1762,'Weekly Log'!$A:$A,"&lt;"&amp;$J1762+7),0))</f>
        <v/>
      </c>
      <c r="G1762">
        <f>IF($J1762="","",IFERROR(LOOKUP(2,1/(('Weekly Log'!$A$5:$A$5000&gt;=$J1762)*('Weekly Log'!$A$5:$A$5000&lt;$J1762+7)*('Weekly Log'!$M$5:$M$5000&lt;&gt;"")),'Weekly Log'!$M$5:$M$5000),0))</f>
        <v/>
      </c>
      <c r="J1762">
        <f>IF(COUNT('Weekly Log'!$A$5:$A$5000)=0,"",IF(MIN('Weekly Log'!$A$5:$A$5000)+7*(ROW()-10)&gt;MAX('Weekly Log'!$A$5:$A$5000),"",MIN('Weekly Log'!$A$5:$A$5000)+7*(ROW()-10)))</f>
        <v/>
      </c>
    </row>
    <row r="1763">
      <c r="A1763">
        <f>IF($J1763="","",YEAR($J1763-WEEKDAY($J1763,2)+4)&amp;"-W"&amp;TEXT(WEEKNUM($J1763,21),"00"))</f>
        <v/>
      </c>
      <c r="B1763">
        <f>IF($J1763="","",SUMIFS('Weekly Log'!$C:$C,'Weekly Log'!$A:$A,"&gt;="&amp;$J1763,'Weekly Log'!$A:$A,"&lt;"&amp;$J1763+7))</f>
        <v/>
      </c>
      <c r="C1763">
        <f>IF($J1763="","",IFERROR(COUNTIFS('Weekly Log'!$G:$G,"Y",'Weekly Log'!$A:$A,"&gt;="&amp;$J1763,'Weekly Log'!$A:$A,"&lt;"&amp;$J1763+7)/COUNTIFS('Weekly Log'!$G:$G,"&lt;&gt;",'Weekly Log'!$A:$A,"&gt;="&amp;$J1763,'Weekly Log'!$A:$A,"&lt;"&amp;$J1763+7),0))</f>
        <v/>
      </c>
      <c r="D1763">
        <f>IF($J1763="","",IFERROR(COUNTIFS('Weekly Log'!$H:$H,"Y",'Weekly Log'!$A:$A,"&gt;="&amp;$J1763,'Weekly Log'!$A:$A,"&lt;"&amp;$J1763+7)/COUNTIFS('Weekly Log'!$H:$H,"&lt;&gt;",'Weekly Log'!$A:$A,"&gt;="&amp;$J1763,'Weekly Log'!$A:$A,"&lt;"&amp;$J1763+7),0))</f>
        <v/>
      </c>
      <c r="E1763">
        <f>IF($J1763="","",IFERROR(AVERAGEIFS('Weekly Log'!$F:$F,'Weekly Log'!$A:$A,"&gt;="&amp;$J1763,'Weekly Log'!$A:$A,"&lt;"&amp;$J1763+7),0))</f>
        <v/>
      </c>
      <c r="F1763">
        <f>IF($J1763="","",IFERROR(SUMIFS('Weekly Log'!$F:$F,'Weekly Log'!$A:$A,"&gt;="&amp;$J1763,'Weekly Log'!$A:$A,"&lt;"&amp;$J1763+7)/SUMIFS('Weekly Log'!$E:$E,'Weekly Log'!$A:$A,"&gt;="&amp;$J1763,'Weekly Log'!$A:$A,"&lt;"&amp;$J1763+7),0))</f>
        <v/>
      </c>
      <c r="G1763">
        <f>IF($J1763="","",IFERROR(LOOKUP(2,1/(('Weekly Log'!$A$5:$A$5000&gt;=$J1763)*('Weekly Log'!$A$5:$A$5000&lt;$J1763+7)*('Weekly Log'!$M$5:$M$5000&lt;&gt;"")),'Weekly Log'!$M$5:$M$5000),0))</f>
        <v/>
      </c>
      <c r="J1763">
        <f>IF(COUNT('Weekly Log'!$A$5:$A$5000)=0,"",IF(MIN('Weekly Log'!$A$5:$A$5000)+7*(ROW()-10)&gt;MAX('Weekly Log'!$A$5:$A$5000),"",MIN('Weekly Log'!$A$5:$A$5000)+7*(ROW()-10)))</f>
        <v/>
      </c>
    </row>
    <row r="1764">
      <c r="A1764">
        <f>IF($J1764="","",YEAR($J1764-WEEKDAY($J1764,2)+4)&amp;"-W"&amp;TEXT(WEEKNUM($J1764,21),"00"))</f>
        <v/>
      </c>
      <c r="B1764">
        <f>IF($J1764="","",SUMIFS('Weekly Log'!$C:$C,'Weekly Log'!$A:$A,"&gt;="&amp;$J1764,'Weekly Log'!$A:$A,"&lt;"&amp;$J1764+7))</f>
        <v/>
      </c>
      <c r="C1764">
        <f>IF($J1764="","",IFERROR(COUNTIFS('Weekly Log'!$G:$G,"Y",'Weekly Log'!$A:$A,"&gt;="&amp;$J1764,'Weekly Log'!$A:$A,"&lt;"&amp;$J1764+7)/COUNTIFS('Weekly Log'!$G:$G,"&lt;&gt;",'Weekly Log'!$A:$A,"&gt;="&amp;$J1764,'Weekly Log'!$A:$A,"&lt;"&amp;$J1764+7),0))</f>
        <v/>
      </c>
      <c r="D1764">
        <f>IF($J1764="","",IFERROR(COUNTIFS('Weekly Log'!$H:$H,"Y",'Weekly Log'!$A:$A,"&gt;="&amp;$J1764,'Weekly Log'!$A:$A,"&lt;"&amp;$J1764+7)/COUNTIFS('Weekly Log'!$H:$H,"&lt;&gt;",'Weekly Log'!$A:$A,"&gt;="&amp;$J1764,'Weekly Log'!$A:$A,"&lt;"&amp;$J1764+7),0))</f>
        <v/>
      </c>
      <c r="E1764">
        <f>IF($J1764="","",IFERROR(AVERAGEIFS('Weekly Log'!$F:$F,'Weekly Log'!$A:$A,"&gt;="&amp;$J1764,'Weekly Log'!$A:$A,"&lt;"&amp;$J1764+7),0))</f>
        <v/>
      </c>
      <c r="F1764">
        <f>IF($J1764="","",IFERROR(SUMIFS('Weekly Log'!$F:$F,'Weekly Log'!$A:$A,"&gt;="&amp;$J1764,'Weekly Log'!$A:$A,"&lt;"&amp;$J1764+7)/SUMIFS('Weekly Log'!$E:$E,'Weekly Log'!$A:$A,"&gt;="&amp;$J1764,'Weekly Log'!$A:$A,"&lt;"&amp;$J1764+7),0))</f>
        <v/>
      </c>
      <c r="G1764">
        <f>IF($J1764="","",IFERROR(LOOKUP(2,1/(('Weekly Log'!$A$5:$A$5000&gt;=$J1764)*('Weekly Log'!$A$5:$A$5000&lt;$J1764+7)*('Weekly Log'!$M$5:$M$5000&lt;&gt;"")),'Weekly Log'!$M$5:$M$5000),0))</f>
        <v/>
      </c>
      <c r="J1764">
        <f>IF(COUNT('Weekly Log'!$A$5:$A$5000)=0,"",IF(MIN('Weekly Log'!$A$5:$A$5000)+7*(ROW()-10)&gt;MAX('Weekly Log'!$A$5:$A$5000),"",MIN('Weekly Log'!$A$5:$A$5000)+7*(ROW()-10)))</f>
        <v/>
      </c>
    </row>
    <row r="1765">
      <c r="A1765">
        <f>IF($J1765="","",YEAR($J1765-WEEKDAY($J1765,2)+4)&amp;"-W"&amp;TEXT(WEEKNUM($J1765,21),"00"))</f>
        <v/>
      </c>
      <c r="B1765">
        <f>IF($J1765="","",SUMIFS('Weekly Log'!$C:$C,'Weekly Log'!$A:$A,"&gt;="&amp;$J1765,'Weekly Log'!$A:$A,"&lt;"&amp;$J1765+7))</f>
        <v/>
      </c>
      <c r="C1765">
        <f>IF($J1765="","",IFERROR(COUNTIFS('Weekly Log'!$G:$G,"Y",'Weekly Log'!$A:$A,"&gt;="&amp;$J1765,'Weekly Log'!$A:$A,"&lt;"&amp;$J1765+7)/COUNTIFS('Weekly Log'!$G:$G,"&lt;&gt;",'Weekly Log'!$A:$A,"&gt;="&amp;$J1765,'Weekly Log'!$A:$A,"&lt;"&amp;$J1765+7),0))</f>
        <v/>
      </c>
      <c r="D1765">
        <f>IF($J1765="","",IFERROR(COUNTIFS('Weekly Log'!$H:$H,"Y",'Weekly Log'!$A:$A,"&gt;="&amp;$J1765,'Weekly Log'!$A:$A,"&lt;"&amp;$J1765+7)/COUNTIFS('Weekly Log'!$H:$H,"&lt;&gt;",'Weekly Log'!$A:$A,"&gt;="&amp;$J1765,'Weekly Log'!$A:$A,"&lt;"&amp;$J1765+7),0))</f>
        <v/>
      </c>
      <c r="E1765">
        <f>IF($J1765="","",IFERROR(AVERAGEIFS('Weekly Log'!$F:$F,'Weekly Log'!$A:$A,"&gt;="&amp;$J1765,'Weekly Log'!$A:$A,"&lt;"&amp;$J1765+7),0))</f>
        <v/>
      </c>
      <c r="F1765">
        <f>IF($J1765="","",IFERROR(SUMIFS('Weekly Log'!$F:$F,'Weekly Log'!$A:$A,"&gt;="&amp;$J1765,'Weekly Log'!$A:$A,"&lt;"&amp;$J1765+7)/SUMIFS('Weekly Log'!$E:$E,'Weekly Log'!$A:$A,"&gt;="&amp;$J1765,'Weekly Log'!$A:$A,"&lt;"&amp;$J1765+7),0))</f>
        <v/>
      </c>
      <c r="G1765">
        <f>IF($J1765="","",IFERROR(LOOKUP(2,1/(('Weekly Log'!$A$5:$A$5000&gt;=$J1765)*('Weekly Log'!$A$5:$A$5000&lt;$J1765+7)*('Weekly Log'!$M$5:$M$5000&lt;&gt;"")),'Weekly Log'!$M$5:$M$5000),0))</f>
        <v/>
      </c>
      <c r="J1765">
        <f>IF(COUNT('Weekly Log'!$A$5:$A$5000)=0,"",IF(MIN('Weekly Log'!$A$5:$A$5000)+7*(ROW()-10)&gt;MAX('Weekly Log'!$A$5:$A$5000),"",MIN('Weekly Log'!$A$5:$A$5000)+7*(ROW()-10)))</f>
        <v/>
      </c>
    </row>
    <row r="1766">
      <c r="A1766">
        <f>IF($J1766="","",YEAR($J1766-WEEKDAY($J1766,2)+4)&amp;"-W"&amp;TEXT(WEEKNUM($J1766,21),"00"))</f>
        <v/>
      </c>
      <c r="B1766">
        <f>IF($J1766="","",SUMIFS('Weekly Log'!$C:$C,'Weekly Log'!$A:$A,"&gt;="&amp;$J1766,'Weekly Log'!$A:$A,"&lt;"&amp;$J1766+7))</f>
        <v/>
      </c>
      <c r="C1766">
        <f>IF($J1766="","",IFERROR(COUNTIFS('Weekly Log'!$G:$G,"Y",'Weekly Log'!$A:$A,"&gt;="&amp;$J1766,'Weekly Log'!$A:$A,"&lt;"&amp;$J1766+7)/COUNTIFS('Weekly Log'!$G:$G,"&lt;&gt;",'Weekly Log'!$A:$A,"&gt;="&amp;$J1766,'Weekly Log'!$A:$A,"&lt;"&amp;$J1766+7),0))</f>
        <v/>
      </c>
      <c r="D1766">
        <f>IF($J1766="","",IFERROR(COUNTIFS('Weekly Log'!$H:$H,"Y",'Weekly Log'!$A:$A,"&gt;="&amp;$J1766,'Weekly Log'!$A:$A,"&lt;"&amp;$J1766+7)/COUNTIFS('Weekly Log'!$H:$H,"&lt;&gt;",'Weekly Log'!$A:$A,"&gt;="&amp;$J1766,'Weekly Log'!$A:$A,"&lt;"&amp;$J1766+7),0))</f>
        <v/>
      </c>
      <c r="E1766">
        <f>IF($J1766="","",IFERROR(AVERAGEIFS('Weekly Log'!$F:$F,'Weekly Log'!$A:$A,"&gt;="&amp;$J1766,'Weekly Log'!$A:$A,"&lt;"&amp;$J1766+7),0))</f>
        <v/>
      </c>
      <c r="F1766">
        <f>IF($J1766="","",IFERROR(SUMIFS('Weekly Log'!$F:$F,'Weekly Log'!$A:$A,"&gt;="&amp;$J1766,'Weekly Log'!$A:$A,"&lt;"&amp;$J1766+7)/SUMIFS('Weekly Log'!$E:$E,'Weekly Log'!$A:$A,"&gt;="&amp;$J1766,'Weekly Log'!$A:$A,"&lt;"&amp;$J1766+7),0))</f>
        <v/>
      </c>
      <c r="G1766">
        <f>IF($J1766="","",IFERROR(LOOKUP(2,1/(('Weekly Log'!$A$5:$A$5000&gt;=$J1766)*('Weekly Log'!$A$5:$A$5000&lt;$J1766+7)*('Weekly Log'!$M$5:$M$5000&lt;&gt;"")),'Weekly Log'!$M$5:$M$5000),0))</f>
        <v/>
      </c>
      <c r="J1766">
        <f>IF(COUNT('Weekly Log'!$A$5:$A$5000)=0,"",IF(MIN('Weekly Log'!$A$5:$A$5000)+7*(ROW()-10)&gt;MAX('Weekly Log'!$A$5:$A$5000),"",MIN('Weekly Log'!$A$5:$A$5000)+7*(ROW()-10)))</f>
        <v/>
      </c>
    </row>
    <row r="1767">
      <c r="A1767">
        <f>IF($J1767="","",YEAR($J1767-WEEKDAY($J1767,2)+4)&amp;"-W"&amp;TEXT(WEEKNUM($J1767,21),"00"))</f>
        <v/>
      </c>
      <c r="B1767">
        <f>IF($J1767="","",SUMIFS('Weekly Log'!$C:$C,'Weekly Log'!$A:$A,"&gt;="&amp;$J1767,'Weekly Log'!$A:$A,"&lt;"&amp;$J1767+7))</f>
        <v/>
      </c>
      <c r="C1767">
        <f>IF($J1767="","",IFERROR(COUNTIFS('Weekly Log'!$G:$G,"Y",'Weekly Log'!$A:$A,"&gt;="&amp;$J1767,'Weekly Log'!$A:$A,"&lt;"&amp;$J1767+7)/COUNTIFS('Weekly Log'!$G:$G,"&lt;&gt;",'Weekly Log'!$A:$A,"&gt;="&amp;$J1767,'Weekly Log'!$A:$A,"&lt;"&amp;$J1767+7),0))</f>
        <v/>
      </c>
      <c r="D1767">
        <f>IF($J1767="","",IFERROR(COUNTIFS('Weekly Log'!$H:$H,"Y",'Weekly Log'!$A:$A,"&gt;="&amp;$J1767,'Weekly Log'!$A:$A,"&lt;"&amp;$J1767+7)/COUNTIFS('Weekly Log'!$H:$H,"&lt;&gt;",'Weekly Log'!$A:$A,"&gt;="&amp;$J1767,'Weekly Log'!$A:$A,"&lt;"&amp;$J1767+7),0))</f>
        <v/>
      </c>
      <c r="E1767">
        <f>IF($J1767="","",IFERROR(AVERAGEIFS('Weekly Log'!$F:$F,'Weekly Log'!$A:$A,"&gt;="&amp;$J1767,'Weekly Log'!$A:$A,"&lt;"&amp;$J1767+7),0))</f>
        <v/>
      </c>
      <c r="F1767">
        <f>IF($J1767="","",IFERROR(SUMIFS('Weekly Log'!$F:$F,'Weekly Log'!$A:$A,"&gt;="&amp;$J1767,'Weekly Log'!$A:$A,"&lt;"&amp;$J1767+7)/SUMIFS('Weekly Log'!$E:$E,'Weekly Log'!$A:$A,"&gt;="&amp;$J1767,'Weekly Log'!$A:$A,"&lt;"&amp;$J1767+7),0))</f>
        <v/>
      </c>
      <c r="G1767">
        <f>IF($J1767="","",IFERROR(LOOKUP(2,1/(('Weekly Log'!$A$5:$A$5000&gt;=$J1767)*('Weekly Log'!$A$5:$A$5000&lt;$J1767+7)*('Weekly Log'!$M$5:$M$5000&lt;&gt;"")),'Weekly Log'!$M$5:$M$5000),0))</f>
        <v/>
      </c>
      <c r="J1767">
        <f>IF(COUNT('Weekly Log'!$A$5:$A$5000)=0,"",IF(MIN('Weekly Log'!$A$5:$A$5000)+7*(ROW()-10)&gt;MAX('Weekly Log'!$A$5:$A$5000),"",MIN('Weekly Log'!$A$5:$A$5000)+7*(ROW()-10)))</f>
        <v/>
      </c>
    </row>
    <row r="1768">
      <c r="A1768">
        <f>IF($J1768="","",YEAR($J1768-WEEKDAY($J1768,2)+4)&amp;"-W"&amp;TEXT(WEEKNUM($J1768,21),"00"))</f>
        <v/>
      </c>
      <c r="B1768">
        <f>IF($J1768="","",SUMIFS('Weekly Log'!$C:$C,'Weekly Log'!$A:$A,"&gt;="&amp;$J1768,'Weekly Log'!$A:$A,"&lt;"&amp;$J1768+7))</f>
        <v/>
      </c>
      <c r="C1768">
        <f>IF($J1768="","",IFERROR(COUNTIFS('Weekly Log'!$G:$G,"Y",'Weekly Log'!$A:$A,"&gt;="&amp;$J1768,'Weekly Log'!$A:$A,"&lt;"&amp;$J1768+7)/COUNTIFS('Weekly Log'!$G:$G,"&lt;&gt;",'Weekly Log'!$A:$A,"&gt;="&amp;$J1768,'Weekly Log'!$A:$A,"&lt;"&amp;$J1768+7),0))</f>
        <v/>
      </c>
      <c r="D1768">
        <f>IF($J1768="","",IFERROR(COUNTIFS('Weekly Log'!$H:$H,"Y",'Weekly Log'!$A:$A,"&gt;="&amp;$J1768,'Weekly Log'!$A:$A,"&lt;"&amp;$J1768+7)/COUNTIFS('Weekly Log'!$H:$H,"&lt;&gt;",'Weekly Log'!$A:$A,"&gt;="&amp;$J1768,'Weekly Log'!$A:$A,"&lt;"&amp;$J1768+7),0))</f>
        <v/>
      </c>
      <c r="E1768">
        <f>IF($J1768="","",IFERROR(AVERAGEIFS('Weekly Log'!$F:$F,'Weekly Log'!$A:$A,"&gt;="&amp;$J1768,'Weekly Log'!$A:$A,"&lt;"&amp;$J1768+7),0))</f>
        <v/>
      </c>
      <c r="F1768">
        <f>IF($J1768="","",IFERROR(SUMIFS('Weekly Log'!$F:$F,'Weekly Log'!$A:$A,"&gt;="&amp;$J1768,'Weekly Log'!$A:$A,"&lt;"&amp;$J1768+7)/SUMIFS('Weekly Log'!$E:$E,'Weekly Log'!$A:$A,"&gt;="&amp;$J1768,'Weekly Log'!$A:$A,"&lt;"&amp;$J1768+7),0))</f>
        <v/>
      </c>
      <c r="G1768">
        <f>IF($J1768="","",IFERROR(LOOKUP(2,1/(('Weekly Log'!$A$5:$A$5000&gt;=$J1768)*('Weekly Log'!$A$5:$A$5000&lt;$J1768+7)*('Weekly Log'!$M$5:$M$5000&lt;&gt;"")),'Weekly Log'!$M$5:$M$5000),0))</f>
        <v/>
      </c>
      <c r="J1768">
        <f>IF(COUNT('Weekly Log'!$A$5:$A$5000)=0,"",IF(MIN('Weekly Log'!$A$5:$A$5000)+7*(ROW()-10)&gt;MAX('Weekly Log'!$A$5:$A$5000),"",MIN('Weekly Log'!$A$5:$A$5000)+7*(ROW()-10)))</f>
        <v/>
      </c>
    </row>
    <row r="1769">
      <c r="A1769">
        <f>IF($J1769="","",YEAR($J1769-WEEKDAY($J1769,2)+4)&amp;"-W"&amp;TEXT(WEEKNUM($J1769,21),"00"))</f>
        <v/>
      </c>
      <c r="B1769">
        <f>IF($J1769="","",SUMIFS('Weekly Log'!$C:$C,'Weekly Log'!$A:$A,"&gt;="&amp;$J1769,'Weekly Log'!$A:$A,"&lt;"&amp;$J1769+7))</f>
        <v/>
      </c>
      <c r="C1769">
        <f>IF($J1769="","",IFERROR(COUNTIFS('Weekly Log'!$G:$G,"Y",'Weekly Log'!$A:$A,"&gt;="&amp;$J1769,'Weekly Log'!$A:$A,"&lt;"&amp;$J1769+7)/COUNTIFS('Weekly Log'!$G:$G,"&lt;&gt;",'Weekly Log'!$A:$A,"&gt;="&amp;$J1769,'Weekly Log'!$A:$A,"&lt;"&amp;$J1769+7),0))</f>
        <v/>
      </c>
      <c r="D1769">
        <f>IF($J1769="","",IFERROR(COUNTIFS('Weekly Log'!$H:$H,"Y",'Weekly Log'!$A:$A,"&gt;="&amp;$J1769,'Weekly Log'!$A:$A,"&lt;"&amp;$J1769+7)/COUNTIFS('Weekly Log'!$H:$H,"&lt;&gt;",'Weekly Log'!$A:$A,"&gt;="&amp;$J1769,'Weekly Log'!$A:$A,"&lt;"&amp;$J1769+7),0))</f>
        <v/>
      </c>
      <c r="E1769">
        <f>IF($J1769="","",IFERROR(AVERAGEIFS('Weekly Log'!$F:$F,'Weekly Log'!$A:$A,"&gt;="&amp;$J1769,'Weekly Log'!$A:$A,"&lt;"&amp;$J1769+7),0))</f>
        <v/>
      </c>
      <c r="F1769">
        <f>IF($J1769="","",IFERROR(SUMIFS('Weekly Log'!$F:$F,'Weekly Log'!$A:$A,"&gt;="&amp;$J1769,'Weekly Log'!$A:$A,"&lt;"&amp;$J1769+7)/SUMIFS('Weekly Log'!$E:$E,'Weekly Log'!$A:$A,"&gt;="&amp;$J1769,'Weekly Log'!$A:$A,"&lt;"&amp;$J1769+7),0))</f>
        <v/>
      </c>
      <c r="G1769">
        <f>IF($J1769="","",IFERROR(LOOKUP(2,1/(('Weekly Log'!$A$5:$A$5000&gt;=$J1769)*('Weekly Log'!$A$5:$A$5000&lt;$J1769+7)*('Weekly Log'!$M$5:$M$5000&lt;&gt;"")),'Weekly Log'!$M$5:$M$5000),0))</f>
        <v/>
      </c>
      <c r="J1769">
        <f>IF(COUNT('Weekly Log'!$A$5:$A$5000)=0,"",IF(MIN('Weekly Log'!$A$5:$A$5000)+7*(ROW()-10)&gt;MAX('Weekly Log'!$A$5:$A$5000),"",MIN('Weekly Log'!$A$5:$A$5000)+7*(ROW()-10)))</f>
        <v/>
      </c>
    </row>
    <row r="1770">
      <c r="A1770">
        <f>IF($J1770="","",YEAR($J1770-WEEKDAY($J1770,2)+4)&amp;"-W"&amp;TEXT(WEEKNUM($J1770,21),"00"))</f>
        <v/>
      </c>
      <c r="B1770">
        <f>IF($J1770="","",SUMIFS('Weekly Log'!$C:$C,'Weekly Log'!$A:$A,"&gt;="&amp;$J1770,'Weekly Log'!$A:$A,"&lt;"&amp;$J1770+7))</f>
        <v/>
      </c>
      <c r="C1770">
        <f>IF($J1770="","",IFERROR(COUNTIFS('Weekly Log'!$G:$G,"Y",'Weekly Log'!$A:$A,"&gt;="&amp;$J1770,'Weekly Log'!$A:$A,"&lt;"&amp;$J1770+7)/COUNTIFS('Weekly Log'!$G:$G,"&lt;&gt;",'Weekly Log'!$A:$A,"&gt;="&amp;$J1770,'Weekly Log'!$A:$A,"&lt;"&amp;$J1770+7),0))</f>
        <v/>
      </c>
      <c r="D1770">
        <f>IF($J1770="","",IFERROR(COUNTIFS('Weekly Log'!$H:$H,"Y",'Weekly Log'!$A:$A,"&gt;="&amp;$J1770,'Weekly Log'!$A:$A,"&lt;"&amp;$J1770+7)/COUNTIFS('Weekly Log'!$H:$H,"&lt;&gt;",'Weekly Log'!$A:$A,"&gt;="&amp;$J1770,'Weekly Log'!$A:$A,"&lt;"&amp;$J1770+7),0))</f>
        <v/>
      </c>
      <c r="E1770">
        <f>IF($J1770="","",IFERROR(AVERAGEIFS('Weekly Log'!$F:$F,'Weekly Log'!$A:$A,"&gt;="&amp;$J1770,'Weekly Log'!$A:$A,"&lt;"&amp;$J1770+7),0))</f>
        <v/>
      </c>
      <c r="F1770">
        <f>IF($J1770="","",IFERROR(SUMIFS('Weekly Log'!$F:$F,'Weekly Log'!$A:$A,"&gt;="&amp;$J1770,'Weekly Log'!$A:$A,"&lt;"&amp;$J1770+7)/SUMIFS('Weekly Log'!$E:$E,'Weekly Log'!$A:$A,"&gt;="&amp;$J1770,'Weekly Log'!$A:$A,"&lt;"&amp;$J1770+7),0))</f>
        <v/>
      </c>
      <c r="G1770">
        <f>IF($J1770="","",IFERROR(LOOKUP(2,1/(('Weekly Log'!$A$5:$A$5000&gt;=$J1770)*('Weekly Log'!$A$5:$A$5000&lt;$J1770+7)*('Weekly Log'!$M$5:$M$5000&lt;&gt;"")),'Weekly Log'!$M$5:$M$5000),0))</f>
        <v/>
      </c>
      <c r="J1770">
        <f>IF(COUNT('Weekly Log'!$A$5:$A$5000)=0,"",IF(MIN('Weekly Log'!$A$5:$A$5000)+7*(ROW()-10)&gt;MAX('Weekly Log'!$A$5:$A$5000),"",MIN('Weekly Log'!$A$5:$A$5000)+7*(ROW()-10)))</f>
        <v/>
      </c>
    </row>
    <row r="1771">
      <c r="A1771">
        <f>IF($J1771="","",YEAR($J1771-WEEKDAY($J1771,2)+4)&amp;"-W"&amp;TEXT(WEEKNUM($J1771,21),"00"))</f>
        <v/>
      </c>
      <c r="B1771">
        <f>IF($J1771="","",SUMIFS('Weekly Log'!$C:$C,'Weekly Log'!$A:$A,"&gt;="&amp;$J1771,'Weekly Log'!$A:$A,"&lt;"&amp;$J1771+7))</f>
        <v/>
      </c>
      <c r="C1771">
        <f>IF($J1771="","",IFERROR(COUNTIFS('Weekly Log'!$G:$G,"Y",'Weekly Log'!$A:$A,"&gt;="&amp;$J1771,'Weekly Log'!$A:$A,"&lt;"&amp;$J1771+7)/COUNTIFS('Weekly Log'!$G:$G,"&lt;&gt;",'Weekly Log'!$A:$A,"&gt;="&amp;$J1771,'Weekly Log'!$A:$A,"&lt;"&amp;$J1771+7),0))</f>
        <v/>
      </c>
      <c r="D1771">
        <f>IF($J1771="","",IFERROR(COUNTIFS('Weekly Log'!$H:$H,"Y",'Weekly Log'!$A:$A,"&gt;="&amp;$J1771,'Weekly Log'!$A:$A,"&lt;"&amp;$J1771+7)/COUNTIFS('Weekly Log'!$H:$H,"&lt;&gt;",'Weekly Log'!$A:$A,"&gt;="&amp;$J1771,'Weekly Log'!$A:$A,"&lt;"&amp;$J1771+7),0))</f>
        <v/>
      </c>
      <c r="E1771">
        <f>IF($J1771="","",IFERROR(AVERAGEIFS('Weekly Log'!$F:$F,'Weekly Log'!$A:$A,"&gt;="&amp;$J1771,'Weekly Log'!$A:$A,"&lt;"&amp;$J1771+7),0))</f>
        <v/>
      </c>
      <c r="F1771">
        <f>IF($J1771="","",IFERROR(SUMIFS('Weekly Log'!$F:$F,'Weekly Log'!$A:$A,"&gt;="&amp;$J1771,'Weekly Log'!$A:$A,"&lt;"&amp;$J1771+7)/SUMIFS('Weekly Log'!$E:$E,'Weekly Log'!$A:$A,"&gt;="&amp;$J1771,'Weekly Log'!$A:$A,"&lt;"&amp;$J1771+7),0))</f>
        <v/>
      </c>
      <c r="G1771">
        <f>IF($J1771="","",IFERROR(LOOKUP(2,1/(('Weekly Log'!$A$5:$A$5000&gt;=$J1771)*('Weekly Log'!$A$5:$A$5000&lt;$J1771+7)*('Weekly Log'!$M$5:$M$5000&lt;&gt;"")),'Weekly Log'!$M$5:$M$5000),0))</f>
        <v/>
      </c>
      <c r="J1771">
        <f>IF(COUNT('Weekly Log'!$A$5:$A$5000)=0,"",IF(MIN('Weekly Log'!$A$5:$A$5000)+7*(ROW()-10)&gt;MAX('Weekly Log'!$A$5:$A$5000),"",MIN('Weekly Log'!$A$5:$A$5000)+7*(ROW()-10)))</f>
        <v/>
      </c>
    </row>
    <row r="1772">
      <c r="A1772">
        <f>IF($J1772="","",YEAR($J1772-WEEKDAY($J1772,2)+4)&amp;"-W"&amp;TEXT(WEEKNUM($J1772,21),"00"))</f>
        <v/>
      </c>
      <c r="B1772">
        <f>IF($J1772="","",SUMIFS('Weekly Log'!$C:$C,'Weekly Log'!$A:$A,"&gt;="&amp;$J1772,'Weekly Log'!$A:$A,"&lt;"&amp;$J1772+7))</f>
        <v/>
      </c>
      <c r="C1772">
        <f>IF($J1772="","",IFERROR(COUNTIFS('Weekly Log'!$G:$G,"Y",'Weekly Log'!$A:$A,"&gt;="&amp;$J1772,'Weekly Log'!$A:$A,"&lt;"&amp;$J1772+7)/COUNTIFS('Weekly Log'!$G:$G,"&lt;&gt;",'Weekly Log'!$A:$A,"&gt;="&amp;$J1772,'Weekly Log'!$A:$A,"&lt;"&amp;$J1772+7),0))</f>
        <v/>
      </c>
      <c r="D1772">
        <f>IF($J1772="","",IFERROR(COUNTIFS('Weekly Log'!$H:$H,"Y",'Weekly Log'!$A:$A,"&gt;="&amp;$J1772,'Weekly Log'!$A:$A,"&lt;"&amp;$J1772+7)/COUNTIFS('Weekly Log'!$H:$H,"&lt;&gt;",'Weekly Log'!$A:$A,"&gt;="&amp;$J1772,'Weekly Log'!$A:$A,"&lt;"&amp;$J1772+7),0))</f>
        <v/>
      </c>
      <c r="E1772">
        <f>IF($J1772="","",IFERROR(AVERAGEIFS('Weekly Log'!$F:$F,'Weekly Log'!$A:$A,"&gt;="&amp;$J1772,'Weekly Log'!$A:$A,"&lt;"&amp;$J1772+7),0))</f>
        <v/>
      </c>
      <c r="F1772">
        <f>IF($J1772="","",IFERROR(SUMIFS('Weekly Log'!$F:$F,'Weekly Log'!$A:$A,"&gt;="&amp;$J1772,'Weekly Log'!$A:$A,"&lt;"&amp;$J1772+7)/SUMIFS('Weekly Log'!$E:$E,'Weekly Log'!$A:$A,"&gt;="&amp;$J1772,'Weekly Log'!$A:$A,"&lt;"&amp;$J1772+7),0))</f>
        <v/>
      </c>
      <c r="G1772">
        <f>IF($J1772="","",IFERROR(LOOKUP(2,1/(('Weekly Log'!$A$5:$A$5000&gt;=$J1772)*('Weekly Log'!$A$5:$A$5000&lt;$J1772+7)*('Weekly Log'!$M$5:$M$5000&lt;&gt;"")),'Weekly Log'!$M$5:$M$5000),0))</f>
        <v/>
      </c>
      <c r="J1772">
        <f>IF(COUNT('Weekly Log'!$A$5:$A$5000)=0,"",IF(MIN('Weekly Log'!$A$5:$A$5000)+7*(ROW()-10)&gt;MAX('Weekly Log'!$A$5:$A$5000),"",MIN('Weekly Log'!$A$5:$A$5000)+7*(ROW()-10)))</f>
        <v/>
      </c>
    </row>
    <row r="1773">
      <c r="A1773">
        <f>IF($J1773="","",YEAR($J1773-WEEKDAY($J1773,2)+4)&amp;"-W"&amp;TEXT(WEEKNUM($J1773,21),"00"))</f>
        <v/>
      </c>
      <c r="B1773">
        <f>IF($J1773="","",SUMIFS('Weekly Log'!$C:$C,'Weekly Log'!$A:$A,"&gt;="&amp;$J1773,'Weekly Log'!$A:$A,"&lt;"&amp;$J1773+7))</f>
        <v/>
      </c>
      <c r="C1773">
        <f>IF($J1773="","",IFERROR(COUNTIFS('Weekly Log'!$G:$G,"Y",'Weekly Log'!$A:$A,"&gt;="&amp;$J1773,'Weekly Log'!$A:$A,"&lt;"&amp;$J1773+7)/COUNTIFS('Weekly Log'!$G:$G,"&lt;&gt;",'Weekly Log'!$A:$A,"&gt;="&amp;$J1773,'Weekly Log'!$A:$A,"&lt;"&amp;$J1773+7),0))</f>
        <v/>
      </c>
      <c r="D1773">
        <f>IF($J1773="","",IFERROR(COUNTIFS('Weekly Log'!$H:$H,"Y",'Weekly Log'!$A:$A,"&gt;="&amp;$J1773,'Weekly Log'!$A:$A,"&lt;"&amp;$J1773+7)/COUNTIFS('Weekly Log'!$H:$H,"&lt;&gt;",'Weekly Log'!$A:$A,"&gt;="&amp;$J1773,'Weekly Log'!$A:$A,"&lt;"&amp;$J1773+7),0))</f>
        <v/>
      </c>
      <c r="E1773">
        <f>IF($J1773="","",IFERROR(AVERAGEIFS('Weekly Log'!$F:$F,'Weekly Log'!$A:$A,"&gt;="&amp;$J1773,'Weekly Log'!$A:$A,"&lt;"&amp;$J1773+7),0))</f>
        <v/>
      </c>
      <c r="F1773">
        <f>IF($J1773="","",IFERROR(SUMIFS('Weekly Log'!$F:$F,'Weekly Log'!$A:$A,"&gt;="&amp;$J1773,'Weekly Log'!$A:$A,"&lt;"&amp;$J1773+7)/SUMIFS('Weekly Log'!$E:$E,'Weekly Log'!$A:$A,"&gt;="&amp;$J1773,'Weekly Log'!$A:$A,"&lt;"&amp;$J1773+7),0))</f>
        <v/>
      </c>
      <c r="G1773">
        <f>IF($J1773="","",IFERROR(LOOKUP(2,1/(('Weekly Log'!$A$5:$A$5000&gt;=$J1773)*('Weekly Log'!$A$5:$A$5000&lt;$J1773+7)*('Weekly Log'!$M$5:$M$5000&lt;&gt;"")),'Weekly Log'!$M$5:$M$5000),0))</f>
        <v/>
      </c>
      <c r="J1773">
        <f>IF(COUNT('Weekly Log'!$A$5:$A$5000)=0,"",IF(MIN('Weekly Log'!$A$5:$A$5000)+7*(ROW()-10)&gt;MAX('Weekly Log'!$A$5:$A$5000),"",MIN('Weekly Log'!$A$5:$A$5000)+7*(ROW()-10)))</f>
        <v/>
      </c>
    </row>
    <row r="1774">
      <c r="A1774">
        <f>IF($J1774="","",YEAR($J1774-WEEKDAY($J1774,2)+4)&amp;"-W"&amp;TEXT(WEEKNUM($J1774,21),"00"))</f>
        <v/>
      </c>
      <c r="B1774">
        <f>IF($J1774="","",SUMIFS('Weekly Log'!$C:$C,'Weekly Log'!$A:$A,"&gt;="&amp;$J1774,'Weekly Log'!$A:$A,"&lt;"&amp;$J1774+7))</f>
        <v/>
      </c>
      <c r="C1774">
        <f>IF($J1774="","",IFERROR(COUNTIFS('Weekly Log'!$G:$G,"Y",'Weekly Log'!$A:$A,"&gt;="&amp;$J1774,'Weekly Log'!$A:$A,"&lt;"&amp;$J1774+7)/COUNTIFS('Weekly Log'!$G:$G,"&lt;&gt;",'Weekly Log'!$A:$A,"&gt;="&amp;$J1774,'Weekly Log'!$A:$A,"&lt;"&amp;$J1774+7),0))</f>
        <v/>
      </c>
      <c r="D1774">
        <f>IF($J1774="","",IFERROR(COUNTIFS('Weekly Log'!$H:$H,"Y",'Weekly Log'!$A:$A,"&gt;="&amp;$J1774,'Weekly Log'!$A:$A,"&lt;"&amp;$J1774+7)/COUNTIFS('Weekly Log'!$H:$H,"&lt;&gt;",'Weekly Log'!$A:$A,"&gt;="&amp;$J1774,'Weekly Log'!$A:$A,"&lt;"&amp;$J1774+7),0))</f>
        <v/>
      </c>
      <c r="E1774">
        <f>IF($J1774="","",IFERROR(AVERAGEIFS('Weekly Log'!$F:$F,'Weekly Log'!$A:$A,"&gt;="&amp;$J1774,'Weekly Log'!$A:$A,"&lt;"&amp;$J1774+7),0))</f>
        <v/>
      </c>
      <c r="F1774">
        <f>IF($J1774="","",IFERROR(SUMIFS('Weekly Log'!$F:$F,'Weekly Log'!$A:$A,"&gt;="&amp;$J1774,'Weekly Log'!$A:$A,"&lt;"&amp;$J1774+7)/SUMIFS('Weekly Log'!$E:$E,'Weekly Log'!$A:$A,"&gt;="&amp;$J1774,'Weekly Log'!$A:$A,"&lt;"&amp;$J1774+7),0))</f>
        <v/>
      </c>
      <c r="G1774">
        <f>IF($J1774="","",IFERROR(LOOKUP(2,1/(('Weekly Log'!$A$5:$A$5000&gt;=$J1774)*('Weekly Log'!$A$5:$A$5000&lt;$J1774+7)*('Weekly Log'!$M$5:$M$5000&lt;&gt;"")),'Weekly Log'!$M$5:$M$5000),0))</f>
        <v/>
      </c>
      <c r="J1774">
        <f>IF(COUNT('Weekly Log'!$A$5:$A$5000)=0,"",IF(MIN('Weekly Log'!$A$5:$A$5000)+7*(ROW()-10)&gt;MAX('Weekly Log'!$A$5:$A$5000),"",MIN('Weekly Log'!$A$5:$A$5000)+7*(ROW()-10)))</f>
        <v/>
      </c>
    </row>
    <row r="1775">
      <c r="A1775">
        <f>IF($J1775="","",YEAR($J1775-WEEKDAY($J1775,2)+4)&amp;"-W"&amp;TEXT(WEEKNUM($J1775,21),"00"))</f>
        <v/>
      </c>
      <c r="B1775">
        <f>IF($J1775="","",SUMIFS('Weekly Log'!$C:$C,'Weekly Log'!$A:$A,"&gt;="&amp;$J1775,'Weekly Log'!$A:$A,"&lt;"&amp;$J1775+7))</f>
        <v/>
      </c>
      <c r="C1775">
        <f>IF($J1775="","",IFERROR(COUNTIFS('Weekly Log'!$G:$G,"Y",'Weekly Log'!$A:$A,"&gt;="&amp;$J1775,'Weekly Log'!$A:$A,"&lt;"&amp;$J1775+7)/COUNTIFS('Weekly Log'!$G:$G,"&lt;&gt;",'Weekly Log'!$A:$A,"&gt;="&amp;$J1775,'Weekly Log'!$A:$A,"&lt;"&amp;$J1775+7),0))</f>
        <v/>
      </c>
      <c r="D1775">
        <f>IF($J1775="","",IFERROR(COUNTIFS('Weekly Log'!$H:$H,"Y",'Weekly Log'!$A:$A,"&gt;="&amp;$J1775,'Weekly Log'!$A:$A,"&lt;"&amp;$J1775+7)/COUNTIFS('Weekly Log'!$H:$H,"&lt;&gt;",'Weekly Log'!$A:$A,"&gt;="&amp;$J1775,'Weekly Log'!$A:$A,"&lt;"&amp;$J1775+7),0))</f>
        <v/>
      </c>
      <c r="E1775">
        <f>IF($J1775="","",IFERROR(AVERAGEIFS('Weekly Log'!$F:$F,'Weekly Log'!$A:$A,"&gt;="&amp;$J1775,'Weekly Log'!$A:$A,"&lt;"&amp;$J1775+7),0))</f>
        <v/>
      </c>
      <c r="F1775">
        <f>IF($J1775="","",IFERROR(SUMIFS('Weekly Log'!$F:$F,'Weekly Log'!$A:$A,"&gt;="&amp;$J1775,'Weekly Log'!$A:$A,"&lt;"&amp;$J1775+7)/SUMIFS('Weekly Log'!$E:$E,'Weekly Log'!$A:$A,"&gt;="&amp;$J1775,'Weekly Log'!$A:$A,"&lt;"&amp;$J1775+7),0))</f>
        <v/>
      </c>
      <c r="G1775">
        <f>IF($J1775="","",IFERROR(LOOKUP(2,1/(('Weekly Log'!$A$5:$A$5000&gt;=$J1775)*('Weekly Log'!$A$5:$A$5000&lt;$J1775+7)*('Weekly Log'!$M$5:$M$5000&lt;&gt;"")),'Weekly Log'!$M$5:$M$5000),0))</f>
        <v/>
      </c>
      <c r="J1775">
        <f>IF(COUNT('Weekly Log'!$A$5:$A$5000)=0,"",IF(MIN('Weekly Log'!$A$5:$A$5000)+7*(ROW()-10)&gt;MAX('Weekly Log'!$A$5:$A$5000),"",MIN('Weekly Log'!$A$5:$A$5000)+7*(ROW()-10)))</f>
        <v/>
      </c>
    </row>
    <row r="1776">
      <c r="A1776">
        <f>IF($J1776="","",YEAR($J1776-WEEKDAY($J1776,2)+4)&amp;"-W"&amp;TEXT(WEEKNUM($J1776,21),"00"))</f>
        <v/>
      </c>
      <c r="B1776">
        <f>IF($J1776="","",SUMIFS('Weekly Log'!$C:$C,'Weekly Log'!$A:$A,"&gt;="&amp;$J1776,'Weekly Log'!$A:$A,"&lt;"&amp;$J1776+7))</f>
        <v/>
      </c>
      <c r="C1776">
        <f>IF($J1776="","",IFERROR(COUNTIFS('Weekly Log'!$G:$G,"Y",'Weekly Log'!$A:$A,"&gt;="&amp;$J1776,'Weekly Log'!$A:$A,"&lt;"&amp;$J1776+7)/COUNTIFS('Weekly Log'!$G:$G,"&lt;&gt;",'Weekly Log'!$A:$A,"&gt;="&amp;$J1776,'Weekly Log'!$A:$A,"&lt;"&amp;$J1776+7),0))</f>
        <v/>
      </c>
      <c r="D1776">
        <f>IF($J1776="","",IFERROR(COUNTIFS('Weekly Log'!$H:$H,"Y",'Weekly Log'!$A:$A,"&gt;="&amp;$J1776,'Weekly Log'!$A:$A,"&lt;"&amp;$J1776+7)/COUNTIFS('Weekly Log'!$H:$H,"&lt;&gt;",'Weekly Log'!$A:$A,"&gt;="&amp;$J1776,'Weekly Log'!$A:$A,"&lt;"&amp;$J1776+7),0))</f>
        <v/>
      </c>
      <c r="E1776">
        <f>IF($J1776="","",IFERROR(AVERAGEIFS('Weekly Log'!$F:$F,'Weekly Log'!$A:$A,"&gt;="&amp;$J1776,'Weekly Log'!$A:$A,"&lt;"&amp;$J1776+7),0))</f>
        <v/>
      </c>
      <c r="F1776">
        <f>IF($J1776="","",IFERROR(SUMIFS('Weekly Log'!$F:$F,'Weekly Log'!$A:$A,"&gt;="&amp;$J1776,'Weekly Log'!$A:$A,"&lt;"&amp;$J1776+7)/SUMIFS('Weekly Log'!$E:$E,'Weekly Log'!$A:$A,"&gt;="&amp;$J1776,'Weekly Log'!$A:$A,"&lt;"&amp;$J1776+7),0))</f>
        <v/>
      </c>
      <c r="G1776">
        <f>IF($J1776="","",IFERROR(LOOKUP(2,1/(('Weekly Log'!$A$5:$A$5000&gt;=$J1776)*('Weekly Log'!$A$5:$A$5000&lt;$J1776+7)*('Weekly Log'!$M$5:$M$5000&lt;&gt;"")),'Weekly Log'!$M$5:$M$5000),0))</f>
        <v/>
      </c>
      <c r="J1776">
        <f>IF(COUNT('Weekly Log'!$A$5:$A$5000)=0,"",IF(MIN('Weekly Log'!$A$5:$A$5000)+7*(ROW()-10)&gt;MAX('Weekly Log'!$A$5:$A$5000),"",MIN('Weekly Log'!$A$5:$A$5000)+7*(ROW()-10)))</f>
        <v/>
      </c>
    </row>
    <row r="1777">
      <c r="A1777">
        <f>IF($J1777="","",YEAR($J1777-WEEKDAY($J1777,2)+4)&amp;"-W"&amp;TEXT(WEEKNUM($J1777,21),"00"))</f>
        <v/>
      </c>
      <c r="B1777">
        <f>IF($J1777="","",SUMIFS('Weekly Log'!$C:$C,'Weekly Log'!$A:$A,"&gt;="&amp;$J1777,'Weekly Log'!$A:$A,"&lt;"&amp;$J1777+7))</f>
        <v/>
      </c>
      <c r="C1777">
        <f>IF($J1777="","",IFERROR(COUNTIFS('Weekly Log'!$G:$G,"Y",'Weekly Log'!$A:$A,"&gt;="&amp;$J1777,'Weekly Log'!$A:$A,"&lt;"&amp;$J1777+7)/COUNTIFS('Weekly Log'!$G:$G,"&lt;&gt;",'Weekly Log'!$A:$A,"&gt;="&amp;$J1777,'Weekly Log'!$A:$A,"&lt;"&amp;$J1777+7),0))</f>
        <v/>
      </c>
      <c r="D1777">
        <f>IF($J1777="","",IFERROR(COUNTIFS('Weekly Log'!$H:$H,"Y",'Weekly Log'!$A:$A,"&gt;="&amp;$J1777,'Weekly Log'!$A:$A,"&lt;"&amp;$J1777+7)/COUNTIFS('Weekly Log'!$H:$H,"&lt;&gt;",'Weekly Log'!$A:$A,"&gt;="&amp;$J1777,'Weekly Log'!$A:$A,"&lt;"&amp;$J1777+7),0))</f>
        <v/>
      </c>
      <c r="E1777">
        <f>IF($J1777="","",IFERROR(AVERAGEIFS('Weekly Log'!$F:$F,'Weekly Log'!$A:$A,"&gt;="&amp;$J1777,'Weekly Log'!$A:$A,"&lt;"&amp;$J1777+7),0))</f>
        <v/>
      </c>
      <c r="F1777">
        <f>IF($J1777="","",IFERROR(SUMIFS('Weekly Log'!$F:$F,'Weekly Log'!$A:$A,"&gt;="&amp;$J1777,'Weekly Log'!$A:$A,"&lt;"&amp;$J1777+7)/SUMIFS('Weekly Log'!$E:$E,'Weekly Log'!$A:$A,"&gt;="&amp;$J1777,'Weekly Log'!$A:$A,"&lt;"&amp;$J1777+7),0))</f>
        <v/>
      </c>
      <c r="G1777">
        <f>IF($J1777="","",IFERROR(LOOKUP(2,1/(('Weekly Log'!$A$5:$A$5000&gt;=$J1777)*('Weekly Log'!$A$5:$A$5000&lt;$J1777+7)*('Weekly Log'!$M$5:$M$5000&lt;&gt;"")),'Weekly Log'!$M$5:$M$5000),0))</f>
        <v/>
      </c>
      <c r="J1777">
        <f>IF(COUNT('Weekly Log'!$A$5:$A$5000)=0,"",IF(MIN('Weekly Log'!$A$5:$A$5000)+7*(ROW()-10)&gt;MAX('Weekly Log'!$A$5:$A$5000),"",MIN('Weekly Log'!$A$5:$A$5000)+7*(ROW()-10)))</f>
        <v/>
      </c>
    </row>
    <row r="1778">
      <c r="A1778">
        <f>IF($J1778="","",YEAR($J1778-WEEKDAY($J1778,2)+4)&amp;"-W"&amp;TEXT(WEEKNUM($J1778,21),"00"))</f>
        <v/>
      </c>
      <c r="B1778">
        <f>IF($J1778="","",SUMIFS('Weekly Log'!$C:$C,'Weekly Log'!$A:$A,"&gt;="&amp;$J1778,'Weekly Log'!$A:$A,"&lt;"&amp;$J1778+7))</f>
        <v/>
      </c>
      <c r="C1778">
        <f>IF($J1778="","",IFERROR(COUNTIFS('Weekly Log'!$G:$G,"Y",'Weekly Log'!$A:$A,"&gt;="&amp;$J1778,'Weekly Log'!$A:$A,"&lt;"&amp;$J1778+7)/COUNTIFS('Weekly Log'!$G:$G,"&lt;&gt;",'Weekly Log'!$A:$A,"&gt;="&amp;$J1778,'Weekly Log'!$A:$A,"&lt;"&amp;$J1778+7),0))</f>
        <v/>
      </c>
      <c r="D1778">
        <f>IF($J1778="","",IFERROR(COUNTIFS('Weekly Log'!$H:$H,"Y",'Weekly Log'!$A:$A,"&gt;="&amp;$J1778,'Weekly Log'!$A:$A,"&lt;"&amp;$J1778+7)/COUNTIFS('Weekly Log'!$H:$H,"&lt;&gt;",'Weekly Log'!$A:$A,"&gt;="&amp;$J1778,'Weekly Log'!$A:$A,"&lt;"&amp;$J1778+7),0))</f>
        <v/>
      </c>
      <c r="E1778">
        <f>IF($J1778="","",IFERROR(AVERAGEIFS('Weekly Log'!$F:$F,'Weekly Log'!$A:$A,"&gt;="&amp;$J1778,'Weekly Log'!$A:$A,"&lt;"&amp;$J1778+7),0))</f>
        <v/>
      </c>
      <c r="F1778">
        <f>IF($J1778="","",IFERROR(SUMIFS('Weekly Log'!$F:$F,'Weekly Log'!$A:$A,"&gt;="&amp;$J1778,'Weekly Log'!$A:$A,"&lt;"&amp;$J1778+7)/SUMIFS('Weekly Log'!$E:$E,'Weekly Log'!$A:$A,"&gt;="&amp;$J1778,'Weekly Log'!$A:$A,"&lt;"&amp;$J1778+7),0))</f>
        <v/>
      </c>
      <c r="G1778">
        <f>IF($J1778="","",IFERROR(LOOKUP(2,1/(('Weekly Log'!$A$5:$A$5000&gt;=$J1778)*('Weekly Log'!$A$5:$A$5000&lt;$J1778+7)*('Weekly Log'!$M$5:$M$5000&lt;&gt;"")),'Weekly Log'!$M$5:$M$5000),0))</f>
        <v/>
      </c>
      <c r="J1778">
        <f>IF(COUNT('Weekly Log'!$A$5:$A$5000)=0,"",IF(MIN('Weekly Log'!$A$5:$A$5000)+7*(ROW()-10)&gt;MAX('Weekly Log'!$A$5:$A$5000),"",MIN('Weekly Log'!$A$5:$A$5000)+7*(ROW()-10)))</f>
        <v/>
      </c>
    </row>
    <row r="1779">
      <c r="A1779">
        <f>IF($J1779="","",YEAR($J1779-WEEKDAY($J1779,2)+4)&amp;"-W"&amp;TEXT(WEEKNUM($J1779,21),"00"))</f>
        <v/>
      </c>
      <c r="B1779">
        <f>IF($J1779="","",SUMIFS('Weekly Log'!$C:$C,'Weekly Log'!$A:$A,"&gt;="&amp;$J1779,'Weekly Log'!$A:$A,"&lt;"&amp;$J1779+7))</f>
        <v/>
      </c>
      <c r="C1779">
        <f>IF($J1779="","",IFERROR(COUNTIFS('Weekly Log'!$G:$G,"Y",'Weekly Log'!$A:$A,"&gt;="&amp;$J1779,'Weekly Log'!$A:$A,"&lt;"&amp;$J1779+7)/COUNTIFS('Weekly Log'!$G:$G,"&lt;&gt;",'Weekly Log'!$A:$A,"&gt;="&amp;$J1779,'Weekly Log'!$A:$A,"&lt;"&amp;$J1779+7),0))</f>
        <v/>
      </c>
      <c r="D1779">
        <f>IF($J1779="","",IFERROR(COUNTIFS('Weekly Log'!$H:$H,"Y",'Weekly Log'!$A:$A,"&gt;="&amp;$J1779,'Weekly Log'!$A:$A,"&lt;"&amp;$J1779+7)/COUNTIFS('Weekly Log'!$H:$H,"&lt;&gt;",'Weekly Log'!$A:$A,"&gt;="&amp;$J1779,'Weekly Log'!$A:$A,"&lt;"&amp;$J1779+7),0))</f>
        <v/>
      </c>
      <c r="E1779">
        <f>IF($J1779="","",IFERROR(AVERAGEIFS('Weekly Log'!$F:$F,'Weekly Log'!$A:$A,"&gt;="&amp;$J1779,'Weekly Log'!$A:$A,"&lt;"&amp;$J1779+7),0))</f>
        <v/>
      </c>
      <c r="F1779">
        <f>IF($J1779="","",IFERROR(SUMIFS('Weekly Log'!$F:$F,'Weekly Log'!$A:$A,"&gt;="&amp;$J1779,'Weekly Log'!$A:$A,"&lt;"&amp;$J1779+7)/SUMIFS('Weekly Log'!$E:$E,'Weekly Log'!$A:$A,"&gt;="&amp;$J1779,'Weekly Log'!$A:$A,"&lt;"&amp;$J1779+7),0))</f>
        <v/>
      </c>
      <c r="G1779">
        <f>IF($J1779="","",IFERROR(LOOKUP(2,1/(('Weekly Log'!$A$5:$A$5000&gt;=$J1779)*('Weekly Log'!$A$5:$A$5000&lt;$J1779+7)*('Weekly Log'!$M$5:$M$5000&lt;&gt;"")),'Weekly Log'!$M$5:$M$5000),0))</f>
        <v/>
      </c>
      <c r="J1779">
        <f>IF(COUNT('Weekly Log'!$A$5:$A$5000)=0,"",IF(MIN('Weekly Log'!$A$5:$A$5000)+7*(ROW()-10)&gt;MAX('Weekly Log'!$A$5:$A$5000),"",MIN('Weekly Log'!$A$5:$A$5000)+7*(ROW()-10)))</f>
        <v/>
      </c>
    </row>
    <row r="1780">
      <c r="A1780">
        <f>IF($J1780="","",YEAR($J1780-WEEKDAY($J1780,2)+4)&amp;"-W"&amp;TEXT(WEEKNUM($J1780,21),"00"))</f>
        <v/>
      </c>
      <c r="B1780">
        <f>IF($J1780="","",SUMIFS('Weekly Log'!$C:$C,'Weekly Log'!$A:$A,"&gt;="&amp;$J1780,'Weekly Log'!$A:$A,"&lt;"&amp;$J1780+7))</f>
        <v/>
      </c>
      <c r="C1780">
        <f>IF($J1780="","",IFERROR(COUNTIFS('Weekly Log'!$G:$G,"Y",'Weekly Log'!$A:$A,"&gt;="&amp;$J1780,'Weekly Log'!$A:$A,"&lt;"&amp;$J1780+7)/COUNTIFS('Weekly Log'!$G:$G,"&lt;&gt;",'Weekly Log'!$A:$A,"&gt;="&amp;$J1780,'Weekly Log'!$A:$A,"&lt;"&amp;$J1780+7),0))</f>
        <v/>
      </c>
      <c r="D1780">
        <f>IF($J1780="","",IFERROR(COUNTIFS('Weekly Log'!$H:$H,"Y",'Weekly Log'!$A:$A,"&gt;="&amp;$J1780,'Weekly Log'!$A:$A,"&lt;"&amp;$J1780+7)/COUNTIFS('Weekly Log'!$H:$H,"&lt;&gt;",'Weekly Log'!$A:$A,"&gt;="&amp;$J1780,'Weekly Log'!$A:$A,"&lt;"&amp;$J1780+7),0))</f>
        <v/>
      </c>
      <c r="E1780">
        <f>IF($J1780="","",IFERROR(AVERAGEIFS('Weekly Log'!$F:$F,'Weekly Log'!$A:$A,"&gt;="&amp;$J1780,'Weekly Log'!$A:$A,"&lt;"&amp;$J1780+7),0))</f>
        <v/>
      </c>
      <c r="F1780">
        <f>IF($J1780="","",IFERROR(SUMIFS('Weekly Log'!$F:$F,'Weekly Log'!$A:$A,"&gt;="&amp;$J1780,'Weekly Log'!$A:$A,"&lt;"&amp;$J1780+7)/SUMIFS('Weekly Log'!$E:$E,'Weekly Log'!$A:$A,"&gt;="&amp;$J1780,'Weekly Log'!$A:$A,"&lt;"&amp;$J1780+7),0))</f>
        <v/>
      </c>
      <c r="G1780">
        <f>IF($J1780="","",IFERROR(LOOKUP(2,1/(('Weekly Log'!$A$5:$A$5000&gt;=$J1780)*('Weekly Log'!$A$5:$A$5000&lt;$J1780+7)*('Weekly Log'!$M$5:$M$5000&lt;&gt;"")),'Weekly Log'!$M$5:$M$5000),0))</f>
        <v/>
      </c>
      <c r="J1780">
        <f>IF(COUNT('Weekly Log'!$A$5:$A$5000)=0,"",IF(MIN('Weekly Log'!$A$5:$A$5000)+7*(ROW()-10)&gt;MAX('Weekly Log'!$A$5:$A$5000),"",MIN('Weekly Log'!$A$5:$A$5000)+7*(ROW()-10)))</f>
        <v/>
      </c>
    </row>
    <row r="1781">
      <c r="A1781">
        <f>IF($J1781="","",YEAR($J1781-WEEKDAY($J1781,2)+4)&amp;"-W"&amp;TEXT(WEEKNUM($J1781,21),"00"))</f>
        <v/>
      </c>
      <c r="B1781">
        <f>IF($J1781="","",SUMIFS('Weekly Log'!$C:$C,'Weekly Log'!$A:$A,"&gt;="&amp;$J1781,'Weekly Log'!$A:$A,"&lt;"&amp;$J1781+7))</f>
        <v/>
      </c>
      <c r="C1781">
        <f>IF($J1781="","",IFERROR(COUNTIFS('Weekly Log'!$G:$G,"Y",'Weekly Log'!$A:$A,"&gt;="&amp;$J1781,'Weekly Log'!$A:$A,"&lt;"&amp;$J1781+7)/COUNTIFS('Weekly Log'!$G:$G,"&lt;&gt;",'Weekly Log'!$A:$A,"&gt;="&amp;$J1781,'Weekly Log'!$A:$A,"&lt;"&amp;$J1781+7),0))</f>
        <v/>
      </c>
      <c r="D1781">
        <f>IF($J1781="","",IFERROR(COUNTIFS('Weekly Log'!$H:$H,"Y",'Weekly Log'!$A:$A,"&gt;="&amp;$J1781,'Weekly Log'!$A:$A,"&lt;"&amp;$J1781+7)/COUNTIFS('Weekly Log'!$H:$H,"&lt;&gt;",'Weekly Log'!$A:$A,"&gt;="&amp;$J1781,'Weekly Log'!$A:$A,"&lt;"&amp;$J1781+7),0))</f>
        <v/>
      </c>
      <c r="E1781">
        <f>IF($J1781="","",IFERROR(AVERAGEIFS('Weekly Log'!$F:$F,'Weekly Log'!$A:$A,"&gt;="&amp;$J1781,'Weekly Log'!$A:$A,"&lt;"&amp;$J1781+7),0))</f>
        <v/>
      </c>
      <c r="F1781">
        <f>IF($J1781="","",IFERROR(SUMIFS('Weekly Log'!$F:$F,'Weekly Log'!$A:$A,"&gt;="&amp;$J1781,'Weekly Log'!$A:$A,"&lt;"&amp;$J1781+7)/SUMIFS('Weekly Log'!$E:$E,'Weekly Log'!$A:$A,"&gt;="&amp;$J1781,'Weekly Log'!$A:$A,"&lt;"&amp;$J1781+7),0))</f>
        <v/>
      </c>
      <c r="G1781">
        <f>IF($J1781="","",IFERROR(LOOKUP(2,1/(('Weekly Log'!$A$5:$A$5000&gt;=$J1781)*('Weekly Log'!$A$5:$A$5000&lt;$J1781+7)*('Weekly Log'!$M$5:$M$5000&lt;&gt;"")),'Weekly Log'!$M$5:$M$5000),0))</f>
        <v/>
      </c>
      <c r="J1781">
        <f>IF(COUNT('Weekly Log'!$A$5:$A$5000)=0,"",IF(MIN('Weekly Log'!$A$5:$A$5000)+7*(ROW()-10)&gt;MAX('Weekly Log'!$A$5:$A$5000),"",MIN('Weekly Log'!$A$5:$A$5000)+7*(ROW()-10)))</f>
        <v/>
      </c>
    </row>
    <row r="1782">
      <c r="A1782">
        <f>IF($J1782="","",YEAR($J1782-WEEKDAY($J1782,2)+4)&amp;"-W"&amp;TEXT(WEEKNUM($J1782,21),"00"))</f>
        <v/>
      </c>
      <c r="B1782">
        <f>IF($J1782="","",SUMIFS('Weekly Log'!$C:$C,'Weekly Log'!$A:$A,"&gt;="&amp;$J1782,'Weekly Log'!$A:$A,"&lt;"&amp;$J1782+7))</f>
        <v/>
      </c>
      <c r="C1782">
        <f>IF($J1782="","",IFERROR(COUNTIFS('Weekly Log'!$G:$G,"Y",'Weekly Log'!$A:$A,"&gt;="&amp;$J1782,'Weekly Log'!$A:$A,"&lt;"&amp;$J1782+7)/COUNTIFS('Weekly Log'!$G:$G,"&lt;&gt;",'Weekly Log'!$A:$A,"&gt;="&amp;$J1782,'Weekly Log'!$A:$A,"&lt;"&amp;$J1782+7),0))</f>
        <v/>
      </c>
      <c r="D1782">
        <f>IF($J1782="","",IFERROR(COUNTIFS('Weekly Log'!$H:$H,"Y",'Weekly Log'!$A:$A,"&gt;="&amp;$J1782,'Weekly Log'!$A:$A,"&lt;"&amp;$J1782+7)/COUNTIFS('Weekly Log'!$H:$H,"&lt;&gt;",'Weekly Log'!$A:$A,"&gt;="&amp;$J1782,'Weekly Log'!$A:$A,"&lt;"&amp;$J1782+7),0))</f>
        <v/>
      </c>
      <c r="E1782">
        <f>IF($J1782="","",IFERROR(AVERAGEIFS('Weekly Log'!$F:$F,'Weekly Log'!$A:$A,"&gt;="&amp;$J1782,'Weekly Log'!$A:$A,"&lt;"&amp;$J1782+7),0))</f>
        <v/>
      </c>
      <c r="F1782">
        <f>IF($J1782="","",IFERROR(SUMIFS('Weekly Log'!$F:$F,'Weekly Log'!$A:$A,"&gt;="&amp;$J1782,'Weekly Log'!$A:$A,"&lt;"&amp;$J1782+7)/SUMIFS('Weekly Log'!$E:$E,'Weekly Log'!$A:$A,"&gt;="&amp;$J1782,'Weekly Log'!$A:$A,"&lt;"&amp;$J1782+7),0))</f>
        <v/>
      </c>
      <c r="G1782">
        <f>IF($J1782="","",IFERROR(LOOKUP(2,1/(('Weekly Log'!$A$5:$A$5000&gt;=$J1782)*('Weekly Log'!$A$5:$A$5000&lt;$J1782+7)*('Weekly Log'!$M$5:$M$5000&lt;&gt;"")),'Weekly Log'!$M$5:$M$5000),0))</f>
        <v/>
      </c>
      <c r="J1782">
        <f>IF(COUNT('Weekly Log'!$A$5:$A$5000)=0,"",IF(MIN('Weekly Log'!$A$5:$A$5000)+7*(ROW()-10)&gt;MAX('Weekly Log'!$A$5:$A$5000),"",MIN('Weekly Log'!$A$5:$A$5000)+7*(ROW()-10)))</f>
        <v/>
      </c>
    </row>
    <row r="1783">
      <c r="A1783">
        <f>IF($J1783="","",YEAR($J1783-WEEKDAY($J1783,2)+4)&amp;"-W"&amp;TEXT(WEEKNUM($J1783,21),"00"))</f>
        <v/>
      </c>
      <c r="B1783">
        <f>IF($J1783="","",SUMIFS('Weekly Log'!$C:$C,'Weekly Log'!$A:$A,"&gt;="&amp;$J1783,'Weekly Log'!$A:$A,"&lt;"&amp;$J1783+7))</f>
        <v/>
      </c>
      <c r="C1783">
        <f>IF($J1783="","",IFERROR(COUNTIFS('Weekly Log'!$G:$G,"Y",'Weekly Log'!$A:$A,"&gt;="&amp;$J1783,'Weekly Log'!$A:$A,"&lt;"&amp;$J1783+7)/COUNTIFS('Weekly Log'!$G:$G,"&lt;&gt;",'Weekly Log'!$A:$A,"&gt;="&amp;$J1783,'Weekly Log'!$A:$A,"&lt;"&amp;$J1783+7),0))</f>
        <v/>
      </c>
      <c r="D1783">
        <f>IF($J1783="","",IFERROR(COUNTIFS('Weekly Log'!$H:$H,"Y",'Weekly Log'!$A:$A,"&gt;="&amp;$J1783,'Weekly Log'!$A:$A,"&lt;"&amp;$J1783+7)/COUNTIFS('Weekly Log'!$H:$H,"&lt;&gt;",'Weekly Log'!$A:$A,"&gt;="&amp;$J1783,'Weekly Log'!$A:$A,"&lt;"&amp;$J1783+7),0))</f>
        <v/>
      </c>
      <c r="E1783">
        <f>IF($J1783="","",IFERROR(AVERAGEIFS('Weekly Log'!$F:$F,'Weekly Log'!$A:$A,"&gt;="&amp;$J1783,'Weekly Log'!$A:$A,"&lt;"&amp;$J1783+7),0))</f>
        <v/>
      </c>
      <c r="F1783">
        <f>IF($J1783="","",IFERROR(SUMIFS('Weekly Log'!$F:$F,'Weekly Log'!$A:$A,"&gt;="&amp;$J1783,'Weekly Log'!$A:$A,"&lt;"&amp;$J1783+7)/SUMIFS('Weekly Log'!$E:$E,'Weekly Log'!$A:$A,"&gt;="&amp;$J1783,'Weekly Log'!$A:$A,"&lt;"&amp;$J1783+7),0))</f>
        <v/>
      </c>
      <c r="G1783">
        <f>IF($J1783="","",IFERROR(LOOKUP(2,1/(('Weekly Log'!$A$5:$A$5000&gt;=$J1783)*('Weekly Log'!$A$5:$A$5000&lt;$J1783+7)*('Weekly Log'!$M$5:$M$5000&lt;&gt;"")),'Weekly Log'!$M$5:$M$5000),0))</f>
        <v/>
      </c>
      <c r="J1783">
        <f>IF(COUNT('Weekly Log'!$A$5:$A$5000)=0,"",IF(MIN('Weekly Log'!$A$5:$A$5000)+7*(ROW()-10)&gt;MAX('Weekly Log'!$A$5:$A$5000),"",MIN('Weekly Log'!$A$5:$A$5000)+7*(ROW()-10)))</f>
        <v/>
      </c>
    </row>
    <row r="1784">
      <c r="A1784">
        <f>IF($J1784="","",YEAR($J1784-WEEKDAY($J1784,2)+4)&amp;"-W"&amp;TEXT(WEEKNUM($J1784,21),"00"))</f>
        <v/>
      </c>
      <c r="B1784">
        <f>IF($J1784="","",SUMIFS('Weekly Log'!$C:$C,'Weekly Log'!$A:$A,"&gt;="&amp;$J1784,'Weekly Log'!$A:$A,"&lt;"&amp;$J1784+7))</f>
        <v/>
      </c>
      <c r="C1784">
        <f>IF($J1784="","",IFERROR(COUNTIFS('Weekly Log'!$G:$G,"Y",'Weekly Log'!$A:$A,"&gt;="&amp;$J1784,'Weekly Log'!$A:$A,"&lt;"&amp;$J1784+7)/COUNTIFS('Weekly Log'!$G:$G,"&lt;&gt;",'Weekly Log'!$A:$A,"&gt;="&amp;$J1784,'Weekly Log'!$A:$A,"&lt;"&amp;$J1784+7),0))</f>
        <v/>
      </c>
      <c r="D1784">
        <f>IF($J1784="","",IFERROR(COUNTIFS('Weekly Log'!$H:$H,"Y",'Weekly Log'!$A:$A,"&gt;="&amp;$J1784,'Weekly Log'!$A:$A,"&lt;"&amp;$J1784+7)/COUNTIFS('Weekly Log'!$H:$H,"&lt;&gt;",'Weekly Log'!$A:$A,"&gt;="&amp;$J1784,'Weekly Log'!$A:$A,"&lt;"&amp;$J1784+7),0))</f>
        <v/>
      </c>
      <c r="E1784">
        <f>IF($J1784="","",IFERROR(AVERAGEIFS('Weekly Log'!$F:$F,'Weekly Log'!$A:$A,"&gt;="&amp;$J1784,'Weekly Log'!$A:$A,"&lt;"&amp;$J1784+7),0))</f>
        <v/>
      </c>
      <c r="F1784">
        <f>IF($J1784="","",IFERROR(SUMIFS('Weekly Log'!$F:$F,'Weekly Log'!$A:$A,"&gt;="&amp;$J1784,'Weekly Log'!$A:$A,"&lt;"&amp;$J1784+7)/SUMIFS('Weekly Log'!$E:$E,'Weekly Log'!$A:$A,"&gt;="&amp;$J1784,'Weekly Log'!$A:$A,"&lt;"&amp;$J1784+7),0))</f>
        <v/>
      </c>
      <c r="G1784">
        <f>IF($J1784="","",IFERROR(LOOKUP(2,1/(('Weekly Log'!$A$5:$A$5000&gt;=$J1784)*('Weekly Log'!$A$5:$A$5000&lt;$J1784+7)*('Weekly Log'!$M$5:$M$5000&lt;&gt;"")),'Weekly Log'!$M$5:$M$5000),0))</f>
        <v/>
      </c>
      <c r="J1784">
        <f>IF(COUNT('Weekly Log'!$A$5:$A$5000)=0,"",IF(MIN('Weekly Log'!$A$5:$A$5000)+7*(ROW()-10)&gt;MAX('Weekly Log'!$A$5:$A$5000),"",MIN('Weekly Log'!$A$5:$A$5000)+7*(ROW()-10)))</f>
        <v/>
      </c>
    </row>
    <row r="1785">
      <c r="A1785">
        <f>IF($J1785="","",YEAR($J1785-WEEKDAY($J1785,2)+4)&amp;"-W"&amp;TEXT(WEEKNUM($J1785,21),"00"))</f>
        <v/>
      </c>
      <c r="B1785">
        <f>IF($J1785="","",SUMIFS('Weekly Log'!$C:$C,'Weekly Log'!$A:$A,"&gt;="&amp;$J1785,'Weekly Log'!$A:$A,"&lt;"&amp;$J1785+7))</f>
        <v/>
      </c>
      <c r="C1785">
        <f>IF($J1785="","",IFERROR(COUNTIFS('Weekly Log'!$G:$G,"Y",'Weekly Log'!$A:$A,"&gt;="&amp;$J1785,'Weekly Log'!$A:$A,"&lt;"&amp;$J1785+7)/COUNTIFS('Weekly Log'!$G:$G,"&lt;&gt;",'Weekly Log'!$A:$A,"&gt;="&amp;$J1785,'Weekly Log'!$A:$A,"&lt;"&amp;$J1785+7),0))</f>
        <v/>
      </c>
      <c r="D1785">
        <f>IF($J1785="","",IFERROR(COUNTIFS('Weekly Log'!$H:$H,"Y",'Weekly Log'!$A:$A,"&gt;="&amp;$J1785,'Weekly Log'!$A:$A,"&lt;"&amp;$J1785+7)/COUNTIFS('Weekly Log'!$H:$H,"&lt;&gt;",'Weekly Log'!$A:$A,"&gt;="&amp;$J1785,'Weekly Log'!$A:$A,"&lt;"&amp;$J1785+7),0))</f>
        <v/>
      </c>
      <c r="E1785">
        <f>IF($J1785="","",IFERROR(AVERAGEIFS('Weekly Log'!$F:$F,'Weekly Log'!$A:$A,"&gt;="&amp;$J1785,'Weekly Log'!$A:$A,"&lt;"&amp;$J1785+7),0))</f>
        <v/>
      </c>
      <c r="F1785">
        <f>IF($J1785="","",IFERROR(SUMIFS('Weekly Log'!$F:$F,'Weekly Log'!$A:$A,"&gt;="&amp;$J1785,'Weekly Log'!$A:$A,"&lt;"&amp;$J1785+7)/SUMIFS('Weekly Log'!$E:$E,'Weekly Log'!$A:$A,"&gt;="&amp;$J1785,'Weekly Log'!$A:$A,"&lt;"&amp;$J1785+7),0))</f>
        <v/>
      </c>
      <c r="G1785">
        <f>IF($J1785="","",IFERROR(LOOKUP(2,1/(('Weekly Log'!$A$5:$A$5000&gt;=$J1785)*('Weekly Log'!$A$5:$A$5000&lt;$J1785+7)*('Weekly Log'!$M$5:$M$5000&lt;&gt;"")),'Weekly Log'!$M$5:$M$5000),0))</f>
        <v/>
      </c>
      <c r="J1785">
        <f>IF(COUNT('Weekly Log'!$A$5:$A$5000)=0,"",IF(MIN('Weekly Log'!$A$5:$A$5000)+7*(ROW()-10)&gt;MAX('Weekly Log'!$A$5:$A$5000),"",MIN('Weekly Log'!$A$5:$A$5000)+7*(ROW()-10)))</f>
        <v/>
      </c>
    </row>
    <row r="1786">
      <c r="A1786">
        <f>IF($J1786="","",YEAR($J1786-WEEKDAY($J1786,2)+4)&amp;"-W"&amp;TEXT(WEEKNUM($J1786,21),"00"))</f>
        <v/>
      </c>
      <c r="B1786">
        <f>IF($J1786="","",SUMIFS('Weekly Log'!$C:$C,'Weekly Log'!$A:$A,"&gt;="&amp;$J1786,'Weekly Log'!$A:$A,"&lt;"&amp;$J1786+7))</f>
        <v/>
      </c>
      <c r="C1786">
        <f>IF($J1786="","",IFERROR(COUNTIFS('Weekly Log'!$G:$G,"Y",'Weekly Log'!$A:$A,"&gt;="&amp;$J1786,'Weekly Log'!$A:$A,"&lt;"&amp;$J1786+7)/COUNTIFS('Weekly Log'!$G:$G,"&lt;&gt;",'Weekly Log'!$A:$A,"&gt;="&amp;$J1786,'Weekly Log'!$A:$A,"&lt;"&amp;$J1786+7),0))</f>
        <v/>
      </c>
      <c r="D1786">
        <f>IF($J1786="","",IFERROR(COUNTIFS('Weekly Log'!$H:$H,"Y",'Weekly Log'!$A:$A,"&gt;="&amp;$J1786,'Weekly Log'!$A:$A,"&lt;"&amp;$J1786+7)/COUNTIFS('Weekly Log'!$H:$H,"&lt;&gt;",'Weekly Log'!$A:$A,"&gt;="&amp;$J1786,'Weekly Log'!$A:$A,"&lt;"&amp;$J1786+7),0))</f>
        <v/>
      </c>
      <c r="E1786">
        <f>IF($J1786="","",IFERROR(AVERAGEIFS('Weekly Log'!$F:$F,'Weekly Log'!$A:$A,"&gt;="&amp;$J1786,'Weekly Log'!$A:$A,"&lt;"&amp;$J1786+7),0))</f>
        <v/>
      </c>
      <c r="F1786">
        <f>IF($J1786="","",IFERROR(SUMIFS('Weekly Log'!$F:$F,'Weekly Log'!$A:$A,"&gt;="&amp;$J1786,'Weekly Log'!$A:$A,"&lt;"&amp;$J1786+7)/SUMIFS('Weekly Log'!$E:$E,'Weekly Log'!$A:$A,"&gt;="&amp;$J1786,'Weekly Log'!$A:$A,"&lt;"&amp;$J1786+7),0))</f>
        <v/>
      </c>
      <c r="G1786">
        <f>IF($J1786="","",IFERROR(LOOKUP(2,1/(('Weekly Log'!$A$5:$A$5000&gt;=$J1786)*('Weekly Log'!$A$5:$A$5000&lt;$J1786+7)*('Weekly Log'!$M$5:$M$5000&lt;&gt;"")),'Weekly Log'!$M$5:$M$5000),0))</f>
        <v/>
      </c>
      <c r="J1786">
        <f>IF(COUNT('Weekly Log'!$A$5:$A$5000)=0,"",IF(MIN('Weekly Log'!$A$5:$A$5000)+7*(ROW()-10)&gt;MAX('Weekly Log'!$A$5:$A$5000),"",MIN('Weekly Log'!$A$5:$A$5000)+7*(ROW()-10)))</f>
        <v/>
      </c>
    </row>
    <row r="1787">
      <c r="A1787">
        <f>IF($J1787="","",YEAR($J1787-WEEKDAY($J1787,2)+4)&amp;"-W"&amp;TEXT(WEEKNUM($J1787,21),"00"))</f>
        <v/>
      </c>
      <c r="B1787">
        <f>IF($J1787="","",SUMIFS('Weekly Log'!$C:$C,'Weekly Log'!$A:$A,"&gt;="&amp;$J1787,'Weekly Log'!$A:$A,"&lt;"&amp;$J1787+7))</f>
        <v/>
      </c>
      <c r="C1787">
        <f>IF($J1787="","",IFERROR(COUNTIFS('Weekly Log'!$G:$G,"Y",'Weekly Log'!$A:$A,"&gt;="&amp;$J1787,'Weekly Log'!$A:$A,"&lt;"&amp;$J1787+7)/COUNTIFS('Weekly Log'!$G:$G,"&lt;&gt;",'Weekly Log'!$A:$A,"&gt;="&amp;$J1787,'Weekly Log'!$A:$A,"&lt;"&amp;$J1787+7),0))</f>
        <v/>
      </c>
      <c r="D1787">
        <f>IF($J1787="","",IFERROR(COUNTIFS('Weekly Log'!$H:$H,"Y",'Weekly Log'!$A:$A,"&gt;="&amp;$J1787,'Weekly Log'!$A:$A,"&lt;"&amp;$J1787+7)/COUNTIFS('Weekly Log'!$H:$H,"&lt;&gt;",'Weekly Log'!$A:$A,"&gt;="&amp;$J1787,'Weekly Log'!$A:$A,"&lt;"&amp;$J1787+7),0))</f>
        <v/>
      </c>
      <c r="E1787">
        <f>IF($J1787="","",IFERROR(AVERAGEIFS('Weekly Log'!$F:$F,'Weekly Log'!$A:$A,"&gt;="&amp;$J1787,'Weekly Log'!$A:$A,"&lt;"&amp;$J1787+7),0))</f>
        <v/>
      </c>
      <c r="F1787">
        <f>IF($J1787="","",IFERROR(SUMIFS('Weekly Log'!$F:$F,'Weekly Log'!$A:$A,"&gt;="&amp;$J1787,'Weekly Log'!$A:$A,"&lt;"&amp;$J1787+7)/SUMIFS('Weekly Log'!$E:$E,'Weekly Log'!$A:$A,"&gt;="&amp;$J1787,'Weekly Log'!$A:$A,"&lt;"&amp;$J1787+7),0))</f>
        <v/>
      </c>
      <c r="G1787">
        <f>IF($J1787="","",IFERROR(LOOKUP(2,1/(('Weekly Log'!$A$5:$A$5000&gt;=$J1787)*('Weekly Log'!$A$5:$A$5000&lt;$J1787+7)*('Weekly Log'!$M$5:$M$5000&lt;&gt;"")),'Weekly Log'!$M$5:$M$5000),0))</f>
        <v/>
      </c>
      <c r="J1787">
        <f>IF(COUNT('Weekly Log'!$A$5:$A$5000)=0,"",IF(MIN('Weekly Log'!$A$5:$A$5000)+7*(ROW()-10)&gt;MAX('Weekly Log'!$A$5:$A$5000),"",MIN('Weekly Log'!$A$5:$A$5000)+7*(ROW()-10)))</f>
        <v/>
      </c>
    </row>
    <row r="1788">
      <c r="A1788">
        <f>IF($J1788="","",YEAR($J1788-WEEKDAY($J1788,2)+4)&amp;"-W"&amp;TEXT(WEEKNUM($J1788,21),"00"))</f>
        <v/>
      </c>
      <c r="B1788">
        <f>IF($J1788="","",SUMIFS('Weekly Log'!$C:$C,'Weekly Log'!$A:$A,"&gt;="&amp;$J1788,'Weekly Log'!$A:$A,"&lt;"&amp;$J1788+7))</f>
        <v/>
      </c>
      <c r="C1788">
        <f>IF($J1788="","",IFERROR(COUNTIFS('Weekly Log'!$G:$G,"Y",'Weekly Log'!$A:$A,"&gt;="&amp;$J1788,'Weekly Log'!$A:$A,"&lt;"&amp;$J1788+7)/COUNTIFS('Weekly Log'!$G:$G,"&lt;&gt;",'Weekly Log'!$A:$A,"&gt;="&amp;$J1788,'Weekly Log'!$A:$A,"&lt;"&amp;$J1788+7),0))</f>
        <v/>
      </c>
      <c r="D1788">
        <f>IF($J1788="","",IFERROR(COUNTIFS('Weekly Log'!$H:$H,"Y",'Weekly Log'!$A:$A,"&gt;="&amp;$J1788,'Weekly Log'!$A:$A,"&lt;"&amp;$J1788+7)/COUNTIFS('Weekly Log'!$H:$H,"&lt;&gt;",'Weekly Log'!$A:$A,"&gt;="&amp;$J1788,'Weekly Log'!$A:$A,"&lt;"&amp;$J1788+7),0))</f>
        <v/>
      </c>
      <c r="E1788">
        <f>IF($J1788="","",IFERROR(AVERAGEIFS('Weekly Log'!$F:$F,'Weekly Log'!$A:$A,"&gt;="&amp;$J1788,'Weekly Log'!$A:$A,"&lt;"&amp;$J1788+7),0))</f>
        <v/>
      </c>
      <c r="F1788">
        <f>IF($J1788="","",IFERROR(SUMIFS('Weekly Log'!$F:$F,'Weekly Log'!$A:$A,"&gt;="&amp;$J1788,'Weekly Log'!$A:$A,"&lt;"&amp;$J1788+7)/SUMIFS('Weekly Log'!$E:$E,'Weekly Log'!$A:$A,"&gt;="&amp;$J1788,'Weekly Log'!$A:$A,"&lt;"&amp;$J1788+7),0))</f>
        <v/>
      </c>
      <c r="G1788">
        <f>IF($J1788="","",IFERROR(LOOKUP(2,1/(('Weekly Log'!$A$5:$A$5000&gt;=$J1788)*('Weekly Log'!$A$5:$A$5000&lt;$J1788+7)*('Weekly Log'!$M$5:$M$5000&lt;&gt;"")),'Weekly Log'!$M$5:$M$5000),0))</f>
        <v/>
      </c>
      <c r="J1788">
        <f>IF(COUNT('Weekly Log'!$A$5:$A$5000)=0,"",IF(MIN('Weekly Log'!$A$5:$A$5000)+7*(ROW()-10)&gt;MAX('Weekly Log'!$A$5:$A$5000),"",MIN('Weekly Log'!$A$5:$A$5000)+7*(ROW()-10)))</f>
        <v/>
      </c>
    </row>
    <row r="1789">
      <c r="A1789">
        <f>IF($J1789="","",YEAR($J1789-WEEKDAY($J1789,2)+4)&amp;"-W"&amp;TEXT(WEEKNUM($J1789,21),"00"))</f>
        <v/>
      </c>
      <c r="B1789">
        <f>IF($J1789="","",SUMIFS('Weekly Log'!$C:$C,'Weekly Log'!$A:$A,"&gt;="&amp;$J1789,'Weekly Log'!$A:$A,"&lt;"&amp;$J1789+7))</f>
        <v/>
      </c>
      <c r="C1789">
        <f>IF($J1789="","",IFERROR(COUNTIFS('Weekly Log'!$G:$G,"Y",'Weekly Log'!$A:$A,"&gt;="&amp;$J1789,'Weekly Log'!$A:$A,"&lt;"&amp;$J1789+7)/COUNTIFS('Weekly Log'!$G:$G,"&lt;&gt;",'Weekly Log'!$A:$A,"&gt;="&amp;$J1789,'Weekly Log'!$A:$A,"&lt;"&amp;$J1789+7),0))</f>
        <v/>
      </c>
      <c r="D1789">
        <f>IF($J1789="","",IFERROR(COUNTIFS('Weekly Log'!$H:$H,"Y",'Weekly Log'!$A:$A,"&gt;="&amp;$J1789,'Weekly Log'!$A:$A,"&lt;"&amp;$J1789+7)/COUNTIFS('Weekly Log'!$H:$H,"&lt;&gt;",'Weekly Log'!$A:$A,"&gt;="&amp;$J1789,'Weekly Log'!$A:$A,"&lt;"&amp;$J1789+7),0))</f>
        <v/>
      </c>
      <c r="E1789">
        <f>IF($J1789="","",IFERROR(AVERAGEIFS('Weekly Log'!$F:$F,'Weekly Log'!$A:$A,"&gt;="&amp;$J1789,'Weekly Log'!$A:$A,"&lt;"&amp;$J1789+7),0))</f>
        <v/>
      </c>
      <c r="F1789">
        <f>IF($J1789="","",IFERROR(SUMIFS('Weekly Log'!$F:$F,'Weekly Log'!$A:$A,"&gt;="&amp;$J1789,'Weekly Log'!$A:$A,"&lt;"&amp;$J1789+7)/SUMIFS('Weekly Log'!$E:$E,'Weekly Log'!$A:$A,"&gt;="&amp;$J1789,'Weekly Log'!$A:$A,"&lt;"&amp;$J1789+7),0))</f>
        <v/>
      </c>
      <c r="G1789">
        <f>IF($J1789="","",IFERROR(LOOKUP(2,1/(('Weekly Log'!$A$5:$A$5000&gt;=$J1789)*('Weekly Log'!$A$5:$A$5000&lt;$J1789+7)*('Weekly Log'!$M$5:$M$5000&lt;&gt;"")),'Weekly Log'!$M$5:$M$5000),0))</f>
        <v/>
      </c>
      <c r="J1789">
        <f>IF(COUNT('Weekly Log'!$A$5:$A$5000)=0,"",IF(MIN('Weekly Log'!$A$5:$A$5000)+7*(ROW()-10)&gt;MAX('Weekly Log'!$A$5:$A$5000),"",MIN('Weekly Log'!$A$5:$A$5000)+7*(ROW()-10)))</f>
        <v/>
      </c>
    </row>
    <row r="1790">
      <c r="A1790">
        <f>IF($J1790="","",YEAR($J1790-WEEKDAY($J1790,2)+4)&amp;"-W"&amp;TEXT(WEEKNUM($J1790,21),"00"))</f>
        <v/>
      </c>
      <c r="B1790">
        <f>IF($J1790="","",SUMIFS('Weekly Log'!$C:$C,'Weekly Log'!$A:$A,"&gt;="&amp;$J1790,'Weekly Log'!$A:$A,"&lt;"&amp;$J1790+7))</f>
        <v/>
      </c>
      <c r="C1790">
        <f>IF($J1790="","",IFERROR(COUNTIFS('Weekly Log'!$G:$G,"Y",'Weekly Log'!$A:$A,"&gt;="&amp;$J1790,'Weekly Log'!$A:$A,"&lt;"&amp;$J1790+7)/COUNTIFS('Weekly Log'!$G:$G,"&lt;&gt;",'Weekly Log'!$A:$A,"&gt;="&amp;$J1790,'Weekly Log'!$A:$A,"&lt;"&amp;$J1790+7),0))</f>
        <v/>
      </c>
      <c r="D1790">
        <f>IF($J1790="","",IFERROR(COUNTIFS('Weekly Log'!$H:$H,"Y",'Weekly Log'!$A:$A,"&gt;="&amp;$J1790,'Weekly Log'!$A:$A,"&lt;"&amp;$J1790+7)/COUNTIFS('Weekly Log'!$H:$H,"&lt;&gt;",'Weekly Log'!$A:$A,"&gt;="&amp;$J1790,'Weekly Log'!$A:$A,"&lt;"&amp;$J1790+7),0))</f>
        <v/>
      </c>
      <c r="E1790">
        <f>IF($J1790="","",IFERROR(AVERAGEIFS('Weekly Log'!$F:$F,'Weekly Log'!$A:$A,"&gt;="&amp;$J1790,'Weekly Log'!$A:$A,"&lt;"&amp;$J1790+7),0))</f>
        <v/>
      </c>
      <c r="F1790">
        <f>IF($J1790="","",IFERROR(SUMIFS('Weekly Log'!$F:$F,'Weekly Log'!$A:$A,"&gt;="&amp;$J1790,'Weekly Log'!$A:$A,"&lt;"&amp;$J1790+7)/SUMIFS('Weekly Log'!$E:$E,'Weekly Log'!$A:$A,"&gt;="&amp;$J1790,'Weekly Log'!$A:$A,"&lt;"&amp;$J1790+7),0))</f>
        <v/>
      </c>
      <c r="G1790">
        <f>IF($J1790="","",IFERROR(LOOKUP(2,1/(('Weekly Log'!$A$5:$A$5000&gt;=$J1790)*('Weekly Log'!$A$5:$A$5000&lt;$J1790+7)*('Weekly Log'!$M$5:$M$5000&lt;&gt;"")),'Weekly Log'!$M$5:$M$5000),0))</f>
        <v/>
      </c>
      <c r="J1790">
        <f>IF(COUNT('Weekly Log'!$A$5:$A$5000)=0,"",IF(MIN('Weekly Log'!$A$5:$A$5000)+7*(ROW()-10)&gt;MAX('Weekly Log'!$A$5:$A$5000),"",MIN('Weekly Log'!$A$5:$A$5000)+7*(ROW()-10)))</f>
        <v/>
      </c>
    </row>
    <row r="1791">
      <c r="A1791">
        <f>IF($J1791="","",YEAR($J1791-WEEKDAY($J1791,2)+4)&amp;"-W"&amp;TEXT(WEEKNUM($J1791,21),"00"))</f>
        <v/>
      </c>
      <c r="B1791">
        <f>IF($J1791="","",SUMIFS('Weekly Log'!$C:$C,'Weekly Log'!$A:$A,"&gt;="&amp;$J1791,'Weekly Log'!$A:$A,"&lt;"&amp;$J1791+7))</f>
        <v/>
      </c>
      <c r="C1791">
        <f>IF($J1791="","",IFERROR(COUNTIFS('Weekly Log'!$G:$G,"Y",'Weekly Log'!$A:$A,"&gt;="&amp;$J1791,'Weekly Log'!$A:$A,"&lt;"&amp;$J1791+7)/COUNTIFS('Weekly Log'!$G:$G,"&lt;&gt;",'Weekly Log'!$A:$A,"&gt;="&amp;$J1791,'Weekly Log'!$A:$A,"&lt;"&amp;$J1791+7),0))</f>
        <v/>
      </c>
      <c r="D1791">
        <f>IF($J1791="","",IFERROR(COUNTIFS('Weekly Log'!$H:$H,"Y",'Weekly Log'!$A:$A,"&gt;="&amp;$J1791,'Weekly Log'!$A:$A,"&lt;"&amp;$J1791+7)/COUNTIFS('Weekly Log'!$H:$H,"&lt;&gt;",'Weekly Log'!$A:$A,"&gt;="&amp;$J1791,'Weekly Log'!$A:$A,"&lt;"&amp;$J1791+7),0))</f>
        <v/>
      </c>
      <c r="E1791">
        <f>IF($J1791="","",IFERROR(AVERAGEIFS('Weekly Log'!$F:$F,'Weekly Log'!$A:$A,"&gt;="&amp;$J1791,'Weekly Log'!$A:$A,"&lt;"&amp;$J1791+7),0))</f>
        <v/>
      </c>
      <c r="F1791">
        <f>IF($J1791="","",IFERROR(SUMIFS('Weekly Log'!$F:$F,'Weekly Log'!$A:$A,"&gt;="&amp;$J1791,'Weekly Log'!$A:$A,"&lt;"&amp;$J1791+7)/SUMIFS('Weekly Log'!$E:$E,'Weekly Log'!$A:$A,"&gt;="&amp;$J1791,'Weekly Log'!$A:$A,"&lt;"&amp;$J1791+7),0))</f>
        <v/>
      </c>
      <c r="G1791">
        <f>IF($J1791="","",IFERROR(LOOKUP(2,1/(('Weekly Log'!$A$5:$A$5000&gt;=$J1791)*('Weekly Log'!$A$5:$A$5000&lt;$J1791+7)*('Weekly Log'!$M$5:$M$5000&lt;&gt;"")),'Weekly Log'!$M$5:$M$5000),0))</f>
        <v/>
      </c>
      <c r="J1791">
        <f>IF(COUNT('Weekly Log'!$A$5:$A$5000)=0,"",IF(MIN('Weekly Log'!$A$5:$A$5000)+7*(ROW()-10)&gt;MAX('Weekly Log'!$A$5:$A$5000),"",MIN('Weekly Log'!$A$5:$A$5000)+7*(ROW()-10)))</f>
        <v/>
      </c>
    </row>
    <row r="1792">
      <c r="A1792">
        <f>IF($J1792="","",YEAR($J1792-WEEKDAY($J1792,2)+4)&amp;"-W"&amp;TEXT(WEEKNUM($J1792,21),"00"))</f>
        <v/>
      </c>
      <c r="B1792">
        <f>IF($J1792="","",SUMIFS('Weekly Log'!$C:$C,'Weekly Log'!$A:$A,"&gt;="&amp;$J1792,'Weekly Log'!$A:$A,"&lt;"&amp;$J1792+7))</f>
        <v/>
      </c>
      <c r="C1792">
        <f>IF($J1792="","",IFERROR(COUNTIFS('Weekly Log'!$G:$G,"Y",'Weekly Log'!$A:$A,"&gt;="&amp;$J1792,'Weekly Log'!$A:$A,"&lt;"&amp;$J1792+7)/COUNTIFS('Weekly Log'!$G:$G,"&lt;&gt;",'Weekly Log'!$A:$A,"&gt;="&amp;$J1792,'Weekly Log'!$A:$A,"&lt;"&amp;$J1792+7),0))</f>
        <v/>
      </c>
      <c r="D1792">
        <f>IF($J1792="","",IFERROR(COUNTIFS('Weekly Log'!$H:$H,"Y",'Weekly Log'!$A:$A,"&gt;="&amp;$J1792,'Weekly Log'!$A:$A,"&lt;"&amp;$J1792+7)/COUNTIFS('Weekly Log'!$H:$H,"&lt;&gt;",'Weekly Log'!$A:$A,"&gt;="&amp;$J1792,'Weekly Log'!$A:$A,"&lt;"&amp;$J1792+7),0))</f>
        <v/>
      </c>
      <c r="E1792">
        <f>IF($J1792="","",IFERROR(AVERAGEIFS('Weekly Log'!$F:$F,'Weekly Log'!$A:$A,"&gt;="&amp;$J1792,'Weekly Log'!$A:$A,"&lt;"&amp;$J1792+7),0))</f>
        <v/>
      </c>
      <c r="F1792">
        <f>IF($J1792="","",IFERROR(SUMIFS('Weekly Log'!$F:$F,'Weekly Log'!$A:$A,"&gt;="&amp;$J1792,'Weekly Log'!$A:$A,"&lt;"&amp;$J1792+7)/SUMIFS('Weekly Log'!$E:$E,'Weekly Log'!$A:$A,"&gt;="&amp;$J1792,'Weekly Log'!$A:$A,"&lt;"&amp;$J1792+7),0))</f>
        <v/>
      </c>
      <c r="G1792">
        <f>IF($J1792="","",IFERROR(LOOKUP(2,1/(('Weekly Log'!$A$5:$A$5000&gt;=$J1792)*('Weekly Log'!$A$5:$A$5000&lt;$J1792+7)*('Weekly Log'!$M$5:$M$5000&lt;&gt;"")),'Weekly Log'!$M$5:$M$5000),0))</f>
        <v/>
      </c>
      <c r="J1792">
        <f>IF(COUNT('Weekly Log'!$A$5:$A$5000)=0,"",IF(MIN('Weekly Log'!$A$5:$A$5000)+7*(ROW()-10)&gt;MAX('Weekly Log'!$A$5:$A$5000),"",MIN('Weekly Log'!$A$5:$A$5000)+7*(ROW()-10)))</f>
        <v/>
      </c>
    </row>
    <row r="1793">
      <c r="A1793">
        <f>IF($J1793="","",YEAR($J1793-WEEKDAY($J1793,2)+4)&amp;"-W"&amp;TEXT(WEEKNUM($J1793,21),"00"))</f>
        <v/>
      </c>
      <c r="B1793">
        <f>IF($J1793="","",SUMIFS('Weekly Log'!$C:$C,'Weekly Log'!$A:$A,"&gt;="&amp;$J1793,'Weekly Log'!$A:$A,"&lt;"&amp;$J1793+7))</f>
        <v/>
      </c>
      <c r="C1793">
        <f>IF($J1793="","",IFERROR(COUNTIFS('Weekly Log'!$G:$G,"Y",'Weekly Log'!$A:$A,"&gt;="&amp;$J1793,'Weekly Log'!$A:$A,"&lt;"&amp;$J1793+7)/COUNTIFS('Weekly Log'!$G:$G,"&lt;&gt;",'Weekly Log'!$A:$A,"&gt;="&amp;$J1793,'Weekly Log'!$A:$A,"&lt;"&amp;$J1793+7),0))</f>
        <v/>
      </c>
      <c r="D1793">
        <f>IF($J1793="","",IFERROR(COUNTIFS('Weekly Log'!$H:$H,"Y",'Weekly Log'!$A:$A,"&gt;="&amp;$J1793,'Weekly Log'!$A:$A,"&lt;"&amp;$J1793+7)/COUNTIFS('Weekly Log'!$H:$H,"&lt;&gt;",'Weekly Log'!$A:$A,"&gt;="&amp;$J1793,'Weekly Log'!$A:$A,"&lt;"&amp;$J1793+7),0))</f>
        <v/>
      </c>
      <c r="E1793">
        <f>IF($J1793="","",IFERROR(AVERAGEIFS('Weekly Log'!$F:$F,'Weekly Log'!$A:$A,"&gt;="&amp;$J1793,'Weekly Log'!$A:$A,"&lt;"&amp;$J1793+7),0))</f>
        <v/>
      </c>
      <c r="F1793">
        <f>IF($J1793="","",IFERROR(SUMIFS('Weekly Log'!$F:$F,'Weekly Log'!$A:$A,"&gt;="&amp;$J1793,'Weekly Log'!$A:$A,"&lt;"&amp;$J1793+7)/SUMIFS('Weekly Log'!$E:$E,'Weekly Log'!$A:$A,"&gt;="&amp;$J1793,'Weekly Log'!$A:$A,"&lt;"&amp;$J1793+7),0))</f>
        <v/>
      </c>
      <c r="G1793">
        <f>IF($J1793="","",IFERROR(LOOKUP(2,1/(('Weekly Log'!$A$5:$A$5000&gt;=$J1793)*('Weekly Log'!$A$5:$A$5000&lt;$J1793+7)*('Weekly Log'!$M$5:$M$5000&lt;&gt;"")),'Weekly Log'!$M$5:$M$5000),0))</f>
        <v/>
      </c>
      <c r="J1793">
        <f>IF(COUNT('Weekly Log'!$A$5:$A$5000)=0,"",IF(MIN('Weekly Log'!$A$5:$A$5000)+7*(ROW()-10)&gt;MAX('Weekly Log'!$A$5:$A$5000),"",MIN('Weekly Log'!$A$5:$A$5000)+7*(ROW()-10)))</f>
        <v/>
      </c>
    </row>
    <row r="1794">
      <c r="A1794">
        <f>IF($J1794="","",YEAR($J1794-WEEKDAY($J1794,2)+4)&amp;"-W"&amp;TEXT(WEEKNUM($J1794,21),"00"))</f>
        <v/>
      </c>
      <c r="B1794">
        <f>IF($J1794="","",SUMIFS('Weekly Log'!$C:$C,'Weekly Log'!$A:$A,"&gt;="&amp;$J1794,'Weekly Log'!$A:$A,"&lt;"&amp;$J1794+7))</f>
        <v/>
      </c>
      <c r="C1794">
        <f>IF($J1794="","",IFERROR(COUNTIFS('Weekly Log'!$G:$G,"Y",'Weekly Log'!$A:$A,"&gt;="&amp;$J1794,'Weekly Log'!$A:$A,"&lt;"&amp;$J1794+7)/COUNTIFS('Weekly Log'!$G:$G,"&lt;&gt;",'Weekly Log'!$A:$A,"&gt;="&amp;$J1794,'Weekly Log'!$A:$A,"&lt;"&amp;$J1794+7),0))</f>
        <v/>
      </c>
      <c r="D1794">
        <f>IF($J1794="","",IFERROR(COUNTIFS('Weekly Log'!$H:$H,"Y",'Weekly Log'!$A:$A,"&gt;="&amp;$J1794,'Weekly Log'!$A:$A,"&lt;"&amp;$J1794+7)/COUNTIFS('Weekly Log'!$H:$H,"&lt;&gt;",'Weekly Log'!$A:$A,"&gt;="&amp;$J1794,'Weekly Log'!$A:$A,"&lt;"&amp;$J1794+7),0))</f>
        <v/>
      </c>
      <c r="E1794">
        <f>IF($J1794="","",IFERROR(AVERAGEIFS('Weekly Log'!$F:$F,'Weekly Log'!$A:$A,"&gt;="&amp;$J1794,'Weekly Log'!$A:$A,"&lt;"&amp;$J1794+7),0))</f>
        <v/>
      </c>
      <c r="F1794">
        <f>IF($J1794="","",IFERROR(SUMIFS('Weekly Log'!$F:$F,'Weekly Log'!$A:$A,"&gt;="&amp;$J1794,'Weekly Log'!$A:$A,"&lt;"&amp;$J1794+7)/SUMIFS('Weekly Log'!$E:$E,'Weekly Log'!$A:$A,"&gt;="&amp;$J1794,'Weekly Log'!$A:$A,"&lt;"&amp;$J1794+7),0))</f>
        <v/>
      </c>
      <c r="G1794">
        <f>IF($J1794="","",IFERROR(LOOKUP(2,1/(('Weekly Log'!$A$5:$A$5000&gt;=$J1794)*('Weekly Log'!$A$5:$A$5000&lt;$J1794+7)*('Weekly Log'!$M$5:$M$5000&lt;&gt;"")),'Weekly Log'!$M$5:$M$5000),0))</f>
        <v/>
      </c>
      <c r="J1794">
        <f>IF(COUNT('Weekly Log'!$A$5:$A$5000)=0,"",IF(MIN('Weekly Log'!$A$5:$A$5000)+7*(ROW()-10)&gt;MAX('Weekly Log'!$A$5:$A$5000),"",MIN('Weekly Log'!$A$5:$A$5000)+7*(ROW()-10)))</f>
        <v/>
      </c>
    </row>
    <row r="1795">
      <c r="A1795">
        <f>IF($J1795="","",YEAR($J1795-WEEKDAY($J1795,2)+4)&amp;"-W"&amp;TEXT(WEEKNUM($J1795,21),"00"))</f>
        <v/>
      </c>
      <c r="B1795">
        <f>IF($J1795="","",SUMIFS('Weekly Log'!$C:$C,'Weekly Log'!$A:$A,"&gt;="&amp;$J1795,'Weekly Log'!$A:$A,"&lt;"&amp;$J1795+7))</f>
        <v/>
      </c>
      <c r="C1795">
        <f>IF($J1795="","",IFERROR(COUNTIFS('Weekly Log'!$G:$G,"Y",'Weekly Log'!$A:$A,"&gt;="&amp;$J1795,'Weekly Log'!$A:$A,"&lt;"&amp;$J1795+7)/COUNTIFS('Weekly Log'!$G:$G,"&lt;&gt;",'Weekly Log'!$A:$A,"&gt;="&amp;$J1795,'Weekly Log'!$A:$A,"&lt;"&amp;$J1795+7),0))</f>
        <v/>
      </c>
      <c r="D1795">
        <f>IF($J1795="","",IFERROR(COUNTIFS('Weekly Log'!$H:$H,"Y",'Weekly Log'!$A:$A,"&gt;="&amp;$J1795,'Weekly Log'!$A:$A,"&lt;"&amp;$J1795+7)/COUNTIFS('Weekly Log'!$H:$H,"&lt;&gt;",'Weekly Log'!$A:$A,"&gt;="&amp;$J1795,'Weekly Log'!$A:$A,"&lt;"&amp;$J1795+7),0))</f>
        <v/>
      </c>
      <c r="E1795">
        <f>IF($J1795="","",IFERROR(AVERAGEIFS('Weekly Log'!$F:$F,'Weekly Log'!$A:$A,"&gt;="&amp;$J1795,'Weekly Log'!$A:$A,"&lt;"&amp;$J1795+7),0))</f>
        <v/>
      </c>
      <c r="F1795">
        <f>IF($J1795="","",IFERROR(SUMIFS('Weekly Log'!$F:$F,'Weekly Log'!$A:$A,"&gt;="&amp;$J1795,'Weekly Log'!$A:$A,"&lt;"&amp;$J1795+7)/SUMIFS('Weekly Log'!$E:$E,'Weekly Log'!$A:$A,"&gt;="&amp;$J1795,'Weekly Log'!$A:$A,"&lt;"&amp;$J1795+7),0))</f>
        <v/>
      </c>
      <c r="G1795">
        <f>IF($J1795="","",IFERROR(LOOKUP(2,1/(('Weekly Log'!$A$5:$A$5000&gt;=$J1795)*('Weekly Log'!$A$5:$A$5000&lt;$J1795+7)*('Weekly Log'!$M$5:$M$5000&lt;&gt;"")),'Weekly Log'!$M$5:$M$5000),0))</f>
        <v/>
      </c>
      <c r="J1795">
        <f>IF(COUNT('Weekly Log'!$A$5:$A$5000)=0,"",IF(MIN('Weekly Log'!$A$5:$A$5000)+7*(ROW()-10)&gt;MAX('Weekly Log'!$A$5:$A$5000),"",MIN('Weekly Log'!$A$5:$A$5000)+7*(ROW()-10)))</f>
        <v/>
      </c>
    </row>
    <row r="1796">
      <c r="A1796">
        <f>IF($J1796="","",YEAR($J1796-WEEKDAY($J1796,2)+4)&amp;"-W"&amp;TEXT(WEEKNUM($J1796,21),"00"))</f>
        <v/>
      </c>
      <c r="B1796">
        <f>IF($J1796="","",SUMIFS('Weekly Log'!$C:$C,'Weekly Log'!$A:$A,"&gt;="&amp;$J1796,'Weekly Log'!$A:$A,"&lt;"&amp;$J1796+7))</f>
        <v/>
      </c>
      <c r="C1796">
        <f>IF($J1796="","",IFERROR(COUNTIFS('Weekly Log'!$G:$G,"Y",'Weekly Log'!$A:$A,"&gt;="&amp;$J1796,'Weekly Log'!$A:$A,"&lt;"&amp;$J1796+7)/COUNTIFS('Weekly Log'!$G:$G,"&lt;&gt;",'Weekly Log'!$A:$A,"&gt;="&amp;$J1796,'Weekly Log'!$A:$A,"&lt;"&amp;$J1796+7),0))</f>
        <v/>
      </c>
      <c r="D1796">
        <f>IF($J1796="","",IFERROR(COUNTIFS('Weekly Log'!$H:$H,"Y",'Weekly Log'!$A:$A,"&gt;="&amp;$J1796,'Weekly Log'!$A:$A,"&lt;"&amp;$J1796+7)/COUNTIFS('Weekly Log'!$H:$H,"&lt;&gt;",'Weekly Log'!$A:$A,"&gt;="&amp;$J1796,'Weekly Log'!$A:$A,"&lt;"&amp;$J1796+7),0))</f>
        <v/>
      </c>
      <c r="E1796">
        <f>IF($J1796="","",IFERROR(AVERAGEIFS('Weekly Log'!$F:$F,'Weekly Log'!$A:$A,"&gt;="&amp;$J1796,'Weekly Log'!$A:$A,"&lt;"&amp;$J1796+7),0))</f>
        <v/>
      </c>
      <c r="F1796">
        <f>IF($J1796="","",IFERROR(SUMIFS('Weekly Log'!$F:$F,'Weekly Log'!$A:$A,"&gt;="&amp;$J1796,'Weekly Log'!$A:$A,"&lt;"&amp;$J1796+7)/SUMIFS('Weekly Log'!$E:$E,'Weekly Log'!$A:$A,"&gt;="&amp;$J1796,'Weekly Log'!$A:$A,"&lt;"&amp;$J1796+7),0))</f>
        <v/>
      </c>
      <c r="G1796">
        <f>IF($J1796="","",IFERROR(LOOKUP(2,1/(('Weekly Log'!$A$5:$A$5000&gt;=$J1796)*('Weekly Log'!$A$5:$A$5000&lt;$J1796+7)*('Weekly Log'!$M$5:$M$5000&lt;&gt;"")),'Weekly Log'!$M$5:$M$5000),0))</f>
        <v/>
      </c>
      <c r="J1796">
        <f>IF(COUNT('Weekly Log'!$A$5:$A$5000)=0,"",IF(MIN('Weekly Log'!$A$5:$A$5000)+7*(ROW()-10)&gt;MAX('Weekly Log'!$A$5:$A$5000),"",MIN('Weekly Log'!$A$5:$A$5000)+7*(ROW()-10)))</f>
        <v/>
      </c>
    </row>
    <row r="1797">
      <c r="A1797">
        <f>IF($J1797="","",YEAR($J1797-WEEKDAY($J1797,2)+4)&amp;"-W"&amp;TEXT(WEEKNUM($J1797,21),"00"))</f>
        <v/>
      </c>
      <c r="B1797">
        <f>IF($J1797="","",SUMIFS('Weekly Log'!$C:$C,'Weekly Log'!$A:$A,"&gt;="&amp;$J1797,'Weekly Log'!$A:$A,"&lt;"&amp;$J1797+7))</f>
        <v/>
      </c>
      <c r="C1797">
        <f>IF($J1797="","",IFERROR(COUNTIFS('Weekly Log'!$G:$G,"Y",'Weekly Log'!$A:$A,"&gt;="&amp;$J1797,'Weekly Log'!$A:$A,"&lt;"&amp;$J1797+7)/COUNTIFS('Weekly Log'!$G:$G,"&lt;&gt;",'Weekly Log'!$A:$A,"&gt;="&amp;$J1797,'Weekly Log'!$A:$A,"&lt;"&amp;$J1797+7),0))</f>
        <v/>
      </c>
      <c r="D1797">
        <f>IF($J1797="","",IFERROR(COUNTIFS('Weekly Log'!$H:$H,"Y",'Weekly Log'!$A:$A,"&gt;="&amp;$J1797,'Weekly Log'!$A:$A,"&lt;"&amp;$J1797+7)/COUNTIFS('Weekly Log'!$H:$H,"&lt;&gt;",'Weekly Log'!$A:$A,"&gt;="&amp;$J1797,'Weekly Log'!$A:$A,"&lt;"&amp;$J1797+7),0))</f>
        <v/>
      </c>
      <c r="E1797">
        <f>IF($J1797="","",IFERROR(AVERAGEIFS('Weekly Log'!$F:$F,'Weekly Log'!$A:$A,"&gt;="&amp;$J1797,'Weekly Log'!$A:$A,"&lt;"&amp;$J1797+7),0))</f>
        <v/>
      </c>
      <c r="F1797">
        <f>IF($J1797="","",IFERROR(SUMIFS('Weekly Log'!$F:$F,'Weekly Log'!$A:$A,"&gt;="&amp;$J1797,'Weekly Log'!$A:$A,"&lt;"&amp;$J1797+7)/SUMIFS('Weekly Log'!$E:$E,'Weekly Log'!$A:$A,"&gt;="&amp;$J1797,'Weekly Log'!$A:$A,"&lt;"&amp;$J1797+7),0))</f>
        <v/>
      </c>
      <c r="G1797">
        <f>IF($J1797="","",IFERROR(LOOKUP(2,1/(('Weekly Log'!$A$5:$A$5000&gt;=$J1797)*('Weekly Log'!$A$5:$A$5000&lt;$J1797+7)*('Weekly Log'!$M$5:$M$5000&lt;&gt;"")),'Weekly Log'!$M$5:$M$5000),0))</f>
        <v/>
      </c>
      <c r="J1797">
        <f>IF(COUNT('Weekly Log'!$A$5:$A$5000)=0,"",IF(MIN('Weekly Log'!$A$5:$A$5000)+7*(ROW()-10)&gt;MAX('Weekly Log'!$A$5:$A$5000),"",MIN('Weekly Log'!$A$5:$A$5000)+7*(ROW()-10)))</f>
        <v/>
      </c>
    </row>
    <row r="1798">
      <c r="A1798">
        <f>IF($J1798="","",YEAR($J1798-WEEKDAY($J1798,2)+4)&amp;"-W"&amp;TEXT(WEEKNUM($J1798,21),"00"))</f>
        <v/>
      </c>
      <c r="B1798">
        <f>IF($J1798="","",SUMIFS('Weekly Log'!$C:$C,'Weekly Log'!$A:$A,"&gt;="&amp;$J1798,'Weekly Log'!$A:$A,"&lt;"&amp;$J1798+7))</f>
        <v/>
      </c>
      <c r="C1798">
        <f>IF($J1798="","",IFERROR(COUNTIFS('Weekly Log'!$G:$G,"Y",'Weekly Log'!$A:$A,"&gt;="&amp;$J1798,'Weekly Log'!$A:$A,"&lt;"&amp;$J1798+7)/COUNTIFS('Weekly Log'!$G:$G,"&lt;&gt;",'Weekly Log'!$A:$A,"&gt;="&amp;$J1798,'Weekly Log'!$A:$A,"&lt;"&amp;$J1798+7),0))</f>
        <v/>
      </c>
      <c r="D1798">
        <f>IF($J1798="","",IFERROR(COUNTIFS('Weekly Log'!$H:$H,"Y",'Weekly Log'!$A:$A,"&gt;="&amp;$J1798,'Weekly Log'!$A:$A,"&lt;"&amp;$J1798+7)/COUNTIFS('Weekly Log'!$H:$H,"&lt;&gt;",'Weekly Log'!$A:$A,"&gt;="&amp;$J1798,'Weekly Log'!$A:$A,"&lt;"&amp;$J1798+7),0))</f>
        <v/>
      </c>
      <c r="E1798">
        <f>IF($J1798="","",IFERROR(AVERAGEIFS('Weekly Log'!$F:$F,'Weekly Log'!$A:$A,"&gt;="&amp;$J1798,'Weekly Log'!$A:$A,"&lt;"&amp;$J1798+7),0))</f>
        <v/>
      </c>
      <c r="F1798">
        <f>IF($J1798="","",IFERROR(SUMIFS('Weekly Log'!$F:$F,'Weekly Log'!$A:$A,"&gt;="&amp;$J1798,'Weekly Log'!$A:$A,"&lt;"&amp;$J1798+7)/SUMIFS('Weekly Log'!$E:$E,'Weekly Log'!$A:$A,"&gt;="&amp;$J1798,'Weekly Log'!$A:$A,"&lt;"&amp;$J1798+7),0))</f>
        <v/>
      </c>
      <c r="G1798">
        <f>IF($J1798="","",IFERROR(LOOKUP(2,1/(('Weekly Log'!$A$5:$A$5000&gt;=$J1798)*('Weekly Log'!$A$5:$A$5000&lt;$J1798+7)*('Weekly Log'!$M$5:$M$5000&lt;&gt;"")),'Weekly Log'!$M$5:$M$5000),0))</f>
        <v/>
      </c>
      <c r="J1798">
        <f>IF(COUNT('Weekly Log'!$A$5:$A$5000)=0,"",IF(MIN('Weekly Log'!$A$5:$A$5000)+7*(ROW()-10)&gt;MAX('Weekly Log'!$A$5:$A$5000),"",MIN('Weekly Log'!$A$5:$A$5000)+7*(ROW()-10)))</f>
        <v/>
      </c>
    </row>
    <row r="1799">
      <c r="A1799">
        <f>IF($J1799="","",YEAR($J1799-WEEKDAY($J1799,2)+4)&amp;"-W"&amp;TEXT(WEEKNUM($J1799,21),"00"))</f>
        <v/>
      </c>
      <c r="B1799">
        <f>IF($J1799="","",SUMIFS('Weekly Log'!$C:$C,'Weekly Log'!$A:$A,"&gt;="&amp;$J1799,'Weekly Log'!$A:$A,"&lt;"&amp;$J1799+7))</f>
        <v/>
      </c>
      <c r="C1799">
        <f>IF($J1799="","",IFERROR(COUNTIFS('Weekly Log'!$G:$G,"Y",'Weekly Log'!$A:$A,"&gt;="&amp;$J1799,'Weekly Log'!$A:$A,"&lt;"&amp;$J1799+7)/COUNTIFS('Weekly Log'!$G:$G,"&lt;&gt;",'Weekly Log'!$A:$A,"&gt;="&amp;$J1799,'Weekly Log'!$A:$A,"&lt;"&amp;$J1799+7),0))</f>
        <v/>
      </c>
      <c r="D1799">
        <f>IF($J1799="","",IFERROR(COUNTIFS('Weekly Log'!$H:$H,"Y",'Weekly Log'!$A:$A,"&gt;="&amp;$J1799,'Weekly Log'!$A:$A,"&lt;"&amp;$J1799+7)/COUNTIFS('Weekly Log'!$H:$H,"&lt;&gt;",'Weekly Log'!$A:$A,"&gt;="&amp;$J1799,'Weekly Log'!$A:$A,"&lt;"&amp;$J1799+7),0))</f>
        <v/>
      </c>
      <c r="E1799">
        <f>IF($J1799="","",IFERROR(AVERAGEIFS('Weekly Log'!$F:$F,'Weekly Log'!$A:$A,"&gt;="&amp;$J1799,'Weekly Log'!$A:$A,"&lt;"&amp;$J1799+7),0))</f>
        <v/>
      </c>
      <c r="F1799">
        <f>IF($J1799="","",IFERROR(SUMIFS('Weekly Log'!$F:$F,'Weekly Log'!$A:$A,"&gt;="&amp;$J1799,'Weekly Log'!$A:$A,"&lt;"&amp;$J1799+7)/SUMIFS('Weekly Log'!$E:$E,'Weekly Log'!$A:$A,"&gt;="&amp;$J1799,'Weekly Log'!$A:$A,"&lt;"&amp;$J1799+7),0))</f>
        <v/>
      </c>
      <c r="G1799">
        <f>IF($J1799="","",IFERROR(LOOKUP(2,1/(('Weekly Log'!$A$5:$A$5000&gt;=$J1799)*('Weekly Log'!$A$5:$A$5000&lt;$J1799+7)*('Weekly Log'!$M$5:$M$5000&lt;&gt;"")),'Weekly Log'!$M$5:$M$5000),0))</f>
        <v/>
      </c>
      <c r="J1799">
        <f>IF(COUNT('Weekly Log'!$A$5:$A$5000)=0,"",IF(MIN('Weekly Log'!$A$5:$A$5000)+7*(ROW()-10)&gt;MAX('Weekly Log'!$A$5:$A$5000),"",MIN('Weekly Log'!$A$5:$A$5000)+7*(ROW()-10)))</f>
        <v/>
      </c>
    </row>
    <row r="1800">
      <c r="A1800">
        <f>IF($J1800="","",YEAR($J1800-WEEKDAY($J1800,2)+4)&amp;"-W"&amp;TEXT(WEEKNUM($J1800,21),"00"))</f>
        <v/>
      </c>
      <c r="B1800">
        <f>IF($J1800="","",SUMIFS('Weekly Log'!$C:$C,'Weekly Log'!$A:$A,"&gt;="&amp;$J1800,'Weekly Log'!$A:$A,"&lt;"&amp;$J1800+7))</f>
        <v/>
      </c>
      <c r="C1800">
        <f>IF($J1800="","",IFERROR(COUNTIFS('Weekly Log'!$G:$G,"Y",'Weekly Log'!$A:$A,"&gt;="&amp;$J1800,'Weekly Log'!$A:$A,"&lt;"&amp;$J1800+7)/COUNTIFS('Weekly Log'!$G:$G,"&lt;&gt;",'Weekly Log'!$A:$A,"&gt;="&amp;$J1800,'Weekly Log'!$A:$A,"&lt;"&amp;$J1800+7),0))</f>
        <v/>
      </c>
      <c r="D1800">
        <f>IF($J1800="","",IFERROR(COUNTIFS('Weekly Log'!$H:$H,"Y",'Weekly Log'!$A:$A,"&gt;="&amp;$J1800,'Weekly Log'!$A:$A,"&lt;"&amp;$J1800+7)/COUNTIFS('Weekly Log'!$H:$H,"&lt;&gt;",'Weekly Log'!$A:$A,"&gt;="&amp;$J1800,'Weekly Log'!$A:$A,"&lt;"&amp;$J1800+7),0))</f>
        <v/>
      </c>
      <c r="E1800">
        <f>IF($J1800="","",IFERROR(AVERAGEIFS('Weekly Log'!$F:$F,'Weekly Log'!$A:$A,"&gt;="&amp;$J1800,'Weekly Log'!$A:$A,"&lt;"&amp;$J1800+7),0))</f>
        <v/>
      </c>
      <c r="F1800">
        <f>IF($J1800="","",IFERROR(SUMIFS('Weekly Log'!$F:$F,'Weekly Log'!$A:$A,"&gt;="&amp;$J1800,'Weekly Log'!$A:$A,"&lt;"&amp;$J1800+7)/SUMIFS('Weekly Log'!$E:$E,'Weekly Log'!$A:$A,"&gt;="&amp;$J1800,'Weekly Log'!$A:$A,"&lt;"&amp;$J1800+7),0))</f>
        <v/>
      </c>
      <c r="G1800">
        <f>IF($J1800="","",IFERROR(LOOKUP(2,1/(('Weekly Log'!$A$5:$A$5000&gt;=$J1800)*('Weekly Log'!$A$5:$A$5000&lt;$J1800+7)*('Weekly Log'!$M$5:$M$5000&lt;&gt;"")),'Weekly Log'!$M$5:$M$5000),0))</f>
        <v/>
      </c>
      <c r="J1800">
        <f>IF(COUNT('Weekly Log'!$A$5:$A$5000)=0,"",IF(MIN('Weekly Log'!$A$5:$A$5000)+7*(ROW()-10)&gt;MAX('Weekly Log'!$A$5:$A$5000),"",MIN('Weekly Log'!$A$5:$A$5000)+7*(ROW()-10)))</f>
        <v/>
      </c>
    </row>
    <row r="1801">
      <c r="A1801">
        <f>IF($J1801="","",YEAR($J1801-WEEKDAY($J1801,2)+4)&amp;"-W"&amp;TEXT(WEEKNUM($J1801,21),"00"))</f>
        <v/>
      </c>
      <c r="B1801">
        <f>IF($J1801="","",SUMIFS('Weekly Log'!$C:$C,'Weekly Log'!$A:$A,"&gt;="&amp;$J1801,'Weekly Log'!$A:$A,"&lt;"&amp;$J1801+7))</f>
        <v/>
      </c>
      <c r="C1801">
        <f>IF($J1801="","",IFERROR(COUNTIFS('Weekly Log'!$G:$G,"Y",'Weekly Log'!$A:$A,"&gt;="&amp;$J1801,'Weekly Log'!$A:$A,"&lt;"&amp;$J1801+7)/COUNTIFS('Weekly Log'!$G:$G,"&lt;&gt;",'Weekly Log'!$A:$A,"&gt;="&amp;$J1801,'Weekly Log'!$A:$A,"&lt;"&amp;$J1801+7),0))</f>
        <v/>
      </c>
      <c r="D1801">
        <f>IF($J1801="","",IFERROR(COUNTIFS('Weekly Log'!$H:$H,"Y",'Weekly Log'!$A:$A,"&gt;="&amp;$J1801,'Weekly Log'!$A:$A,"&lt;"&amp;$J1801+7)/COUNTIFS('Weekly Log'!$H:$H,"&lt;&gt;",'Weekly Log'!$A:$A,"&gt;="&amp;$J1801,'Weekly Log'!$A:$A,"&lt;"&amp;$J1801+7),0))</f>
        <v/>
      </c>
      <c r="E1801">
        <f>IF($J1801="","",IFERROR(AVERAGEIFS('Weekly Log'!$F:$F,'Weekly Log'!$A:$A,"&gt;="&amp;$J1801,'Weekly Log'!$A:$A,"&lt;"&amp;$J1801+7),0))</f>
        <v/>
      </c>
      <c r="F1801">
        <f>IF($J1801="","",IFERROR(SUMIFS('Weekly Log'!$F:$F,'Weekly Log'!$A:$A,"&gt;="&amp;$J1801,'Weekly Log'!$A:$A,"&lt;"&amp;$J1801+7)/SUMIFS('Weekly Log'!$E:$E,'Weekly Log'!$A:$A,"&gt;="&amp;$J1801,'Weekly Log'!$A:$A,"&lt;"&amp;$J1801+7),0))</f>
        <v/>
      </c>
      <c r="G1801">
        <f>IF($J1801="","",IFERROR(LOOKUP(2,1/(('Weekly Log'!$A$5:$A$5000&gt;=$J1801)*('Weekly Log'!$A$5:$A$5000&lt;$J1801+7)*('Weekly Log'!$M$5:$M$5000&lt;&gt;"")),'Weekly Log'!$M$5:$M$5000),0))</f>
        <v/>
      </c>
      <c r="J1801">
        <f>IF(COUNT('Weekly Log'!$A$5:$A$5000)=0,"",IF(MIN('Weekly Log'!$A$5:$A$5000)+7*(ROW()-10)&gt;MAX('Weekly Log'!$A$5:$A$5000),"",MIN('Weekly Log'!$A$5:$A$5000)+7*(ROW()-10)))</f>
        <v/>
      </c>
    </row>
    <row r="1802">
      <c r="A1802">
        <f>IF($J1802="","",YEAR($J1802-WEEKDAY($J1802,2)+4)&amp;"-W"&amp;TEXT(WEEKNUM($J1802,21),"00"))</f>
        <v/>
      </c>
      <c r="B1802">
        <f>IF($J1802="","",SUMIFS('Weekly Log'!$C:$C,'Weekly Log'!$A:$A,"&gt;="&amp;$J1802,'Weekly Log'!$A:$A,"&lt;"&amp;$J1802+7))</f>
        <v/>
      </c>
      <c r="C1802">
        <f>IF($J1802="","",IFERROR(COUNTIFS('Weekly Log'!$G:$G,"Y",'Weekly Log'!$A:$A,"&gt;="&amp;$J1802,'Weekly Log'!$A:$A,"&lt;"&amp;$J1802+7)/COUNTIFS('Weekly Log'!$G:$G,"&lt;&gt;",'Weekly Log'!$A:$A,"&gt;="&amp;$J1802,'Weekly Log'!$A:$A,"&lt;"&amp;$J1802+7),0))</f>
        <v/>
      </c>
      <c r="D1802">
        <f>IF($J1802="","",IFERROR(COUNTIFS('Weekly Log'!$H:$H,"Y",'Weekly Log'!$A:$A,"&gt;="&amp;$J1802,'Weekly Log'!$A:$A,"&lt;"&amp;$J1802+7)/COUNTIFS('Weekly Log'!$H:$H,"&lt;&gt;",'Weekly Log'!$A:$A,"&gt;="&amp;$J1802,'Weekly Log'!$A:$A,"&lt;"&amp;$J1802+7),0))</f>
        <v/>
      </c>
      <c r="E1802">
        <f>IF($J1802="","",IFERROR(AVERAGEIFS('Weekly Log'!$F:$F,'Weekly Log'!$A:$A,"&gt;="&amp;$J1802,'Weekly Log'!$A:$A,"&lt;"&amp;$J1802+7),0))</f>
        <v/>
      </c>
      <c r="F1802">
        <f>IF($J1802="","",IFERROR(SUMIFS('Weekly Log'!$F:$F,'Weekly Log'!$A:$A,"&gt;="&amp;$J1802,'Weekly Log'!$A:$A,"&lt;"&amp;$J1802+7)/SUMIFS('Weekly Log'!$E:$E,'Weekly Log'!$A:$A,"&gt;="&amp;$J1802,'Weekly Log'!$A:$A,"&lt;"&amp;$J1802+7),0))</f>
        <v/>
      </c>
      <c r="G1802">
        <f>IF($J1802="","",IFERROR(LOOKUP(2,1/(('Weekly Log'!$A$5:$A$5000&gt;=$J1802)*('Weekly Log'!$A$5:$A$5000&lt;$J1802+7)*('Weekly Log'!$M$5:$M$5000&lt;&gt;"")),'Weekly Log'!$M$5:$M$5000),0))</f>
        <v/>
      </c>
      <c r="J1802">
        <f>IF(COUNT('Weekly Log'!$A$5:$A$5000)=0,"",IF(MIN('Weekly Log'!$A$5:$A$5000)+7*(ROW()-10)&gt;MAX('Weekly Log'!$A$5:$A$5000),"",MIN('Weekly Log'!$A$5:$A$5000)+7*(ROW()-10)))</f>
        <v/>
      </c>
    </row>
    <row r="1803">
      <c r="A1803">
        <f>IF($J1803="","",YEAR($J1803-WEEKDAY($J1803,2)+4)&amp;"-W"&amp;TEXT(WEEKNUM($J1803,21),"00"))</f>
        <v/>
      </c>
      <c r="B1803">
        <f>IF($J1803="","",SUMIFS('Weekly Log'!$C:$C,'Weekly Log'!$A:$A,"&gt;="&amp;$J1803,'Weekly Log'!$A:$A,"&lt;"&amp;$J1803+7))</f>
        <v/>
      </c>
      <c r="C1803">
        <f>IF($J1803="","",IFERROR(COUNTIFS('Weekly Log'!$G:$G,"Y",'Weekly Log'!$A:$A,"&gt;="&amp;$J1803,'Weekly Log'!$A:$A,"&lt;"&amp;$J1803+7)/COUNTIFS('Weekly Log'!$G:$G,"&lt;&gt;",'Weekly Log'!$A:$A,"&gt;="&amp;$J1803,'Weekly Log'!$A:$A,"&lt;"&amp;$J1803+7),0))</f>
        <v/>
      </c>
      <c r="D1803">
        <f>IF($J1803="","",IFERROR(COUNTIFS('Weekly Log'!$H:$H,"Y",'Weekly Log'!$A:$A,"&gt;="&amp;$J1803,'Weekly Log'!$A:$A,"&lt;"&amp;$J1803+7)/COUNTIFS('Weekly Log'!$H:$H,"&lt;&gt;",'Weekly Log'!$A:$A,"&gt;="&amp;$J1803,'Weekly Log'!$A:$A,"&lt;"&amp;$J1803+7),0))</f>
        <v/>
      </c>
      <c r="E1803">
        <f>IF($J1803="","",IFERROR(AVERAGEIFS('Weekly Log'!$F:$F,'Weekly Log'!$A:$A,"&gt;="&amp;$J1803,'Weekly Log'!$A:$A,"&lt;"&amp;$J1803+7),0))</f>
        <v/>
      </c>
      <c r="F1803">
        <f>IF($J1803="","",IFERROR(SUMIFS('Weekly Log'!$F:$F,'Weekly Log'!$A:$A,"&gt;="&amp;$J1803,'Weekly Log'!$A:$A,"&lt;"&amp;$J1803+7)/SUMIFS('Weekly Log'!$E:$E,'Weekly Log'!$A:$A,"&gt;="&amp;$J1803,'Weekly Log'!$A:$A,"&lt;"&amp;$J1803+7),0))</f>
        <v/>
      </c>
      <c r="G1803">
        <f>IF($J1803="","",IFERROR(LOOKUP(2,1/(('Weekly Log'!$A$5:$A$5000&gt;=$J1803)*('Weekly Log'!$A$5:$A$5000&lt;$J1803+7)*('Weekly Log'!$M$5:$M$5000&lt;&gt;"")),'Weekly Log'!$M$5:$M$5000),0))</f>
        <v/>
      </c>
      <c r="J1803">
        <f>IF(COUNT('Weekly Log'!$A$5:$A$5000)=0,"",IF(MIN('Weekly Log'!$A$5:$A$5000)+7*(ROW()-10)&gt;MAX('Weekly Log'!$A$5:$A$5000),"",MIN('Weekly Log'!$A$5:$A$5000)+7*(ROW()-10)))</f>
        <v/>
      </c>
    </row>
    <row r="1804">
      <c r="A1804">
        <f>IF($J1804="","",YEAR($J1804-WEEKDAY($J1804,2)+4)&amp;"-W"&amp;TEXT(WEEKNUM($J1804,21),"00"))</f>
        <v/>
      </c>
      <c r="B1804">
        <f>IF($J1804="","",SUMIFS('Weekly Log'!$C:$C,'Weekly Log'!$A:$A,"&gt;="&amp;$J1804,'Weekly Log'!$A:$A,"&lt;"&amp;$J1804+7))</f>
        <v/>
      </c>
      <c r="C1804">
        <f>IF($J1804="","",IFERROR(COUNTIFS('Weekly Log'!$G:$G,"Y",'Weekly Log'!$A:$A,"&gt;="&amp;$J1804,'Weekly Log'!$A:$A,"&lt;"&amp;$J1804+7)/COUNTIFS('Weekly Log'!$G:$G,"&lt;&gt;",'Weekly Log'!$A:$A,"&gt;="&amp;$J1804,'Weekly Log'!$A:$A,"&lt;"&amp;$J1804+7),0))</f>
        <v/>
      </c>
      <c r="D1804">
        <f>IF($J1804="","",IFERROR(COUNTIFS('Weekly Log'!$H:$H,"Y",'Weekly Log'!$A:$A,"&gt;="&amp;$J1804,'Weekly Log'!$A:$A,"&lt;"&amp;$J1804+7)/COUNTIFS('Weekly Log'!$H:$H,"&lt;&gt;",'Weekly Log'!$A:$A,"&gt;="&amp;$J1804,'Weekly Log'!$A:$A,"&lt;"&amp;$J1804+7),0))</f>
        <v/>
      </c>
      <c r="E1804">
        <f>IF($J1804="","",IFERROR(AVERAGEIFS('Weekly Log'!$F:$F,'Weekly Log'!$A:$A,"&gt;="&amp;$J1804,'Weekly Log'!$A:$A,"&lt;"&amp;$J1804+7),0))</f>
        <v/>
      </c>
      <c r="F1804">
        <f>IF($J1804="","",IFERROR(SUMIFS('Weekly Log'!$F:$F,'Weekly Log'!$A:$A,"&gt;="&amp;$J1804,'Weekly Log'!$A:$A,"&lt;"&amp;$J1804+7)/SUMIFS('Weekly Log'!$E:$E,'Weekly Log'!$A:$A,"&gt;="&amp;$J1804,'Weekly Log'!$A:$A,"&lt;"&amp;$J1804+7),0))</f>
        <v/>
      </c>
      <c r="G1804">
        <f>IF($J1804="","",IFERROR(LOOKUP(2,1/(('Weekly Log'!$A$5:$A$5000&gt;=$J1804)*('Weekly Log'!$A$5:$A$5000&lt;$J1804+7)*('Weekly Log'!$M$5:$M$5000&lt;&gt;"")),'Weekly Log'!$M$5:$M$5000),0))</f>
        <v/>
      </c>
      <c r="J1804">
        <f>IF(COUNT('Weekly Log'!$A$5:$A$5000)=0,"",IF(MIN('Weekly Log'!$A$5:$A$5000)+7*(ROW()-10)&gt;MAX('Weekly Log'!$A$5:$A$5000),"",MIN('Weekly Log'!$A$5:$A$5000)+7*(ROW()-10)))</f>
        <v/>
      </c>
    </row>
    <row r="1805">
      <c r="A1805">
        <f>IF($J1805="","",YEAR($J1805-WEEKDAY($J1805,2)+4)&amp;"-W"&amp;TEXT(WEEKNUM($J1805,21),"00"))</f>
        <v/>
      </c>
      <c r="B1805">
        <f>IF($J1805="","",SUMIFS('Weekly Log'!$C:$C,'Weekly Log'!$A:$A,"&gt;="&amp;$J1805,'Weekly Log'!$A:$A,"&lt;"&amp;$J1805+7))</f>
        <v/>
      </c>
      <c r="C1805">
        <f>IF($J1805="","",IFERROR(COUNTIFS('Weekly Log'!$G:$G,"Y",'Weekly Log'!$A:$A,"&gt;="&amp;$J1805,'Weekly Log'!$A:$A,"&lt;"&amp;$J1805+7)/COUNTIFS('Weekly Log'!$G:$G,"&lt;&gt;",'Weekly Log'!$A:$A,"&gt;="&amp;$J1805,'Weekly Log'!$A:$A,"&lt;"&amp;$J1805+7),0))</f>
        <v/>
      </c>
      <c r="D1805">
        <f>IF($J1805="","",IFERROR(COUNTIFS('Weekly Log'!$H:$H,"Y",'Weekly Log'!$A:$A,"&gt;="&amp;$J1805,'Weekly Log'!$A:$A,"&lt;"&amp;$J1805+7)/COUNTIFS('Weekly Log'!$H:$H,"&lt;&gt;",'Weekly Log'!$A:$A,"&gt;="&amp;$J1805,'Weekly Log'!$A:$A,"&lt;"&amp;$J1805+7),0))</f>
        <v/>
      </c>
      <c r="E1805">
        <f>IF($J1805="","",IFERROR(AVERAGEIFS('Weekly Log'!$F:$F,'Weekly Log'!$A:$A,"&gt;="&amp;$J1805,'Weekly Log'!$A:$A,"&lt;"&amp;$J1805+7),0))</f>
        <v/>
      </c>
      <c r="F1805">
        <f>IF($J1805="","",IFERROR(SUMIFS('Weekly Log'!$F:$F,'Weekly Log'!$A:$A,"&gt;="&amp;$J1805,'Weekly Log'!$A:$A,"&lt;"&amp;$J1805+7)/SUMIFS('Weekly Log'!$E:$E,'Weekly Log'!$A:$A,"&gt;="&amp;$J1805,'Weekly Log'!$A:$A,"&lt;"&amp;$J1805+7),0))</f>
        <v/>
      </c>
      <c r="G1805">
        <f>IF($J1805="","",IFERROR(LOOKUP(2,1/(('Weekly Log'!$A$5:$A$5000&gt;=$J1805)*('Weekly Log'!$A$5:$A$5000&lt;$J1805+7)*('Weekly Log'!$M$5:$M$5000&lt;&gt;"")),'Weekly Log'!$M$5:$M$5000),0))</f>
        <v/>
      </c>
      <c r="J1805">
        <f>IF(COUNT('Weekly Log'!$A$5:$A$5000)=0,"",IF(MIN('Weekly Log'!$A$5:$A$5000)+7*(ROW()-10)&gt;MAX('Weekly Log'!$A$5:$A$5000),"",MIN('Weekly Log'!$A$5:$A$5000)+7*(ROW()-10)))</f>
        <v/>
      </c>
    </row>
    <row r="1806">
      <c r="A1806">
        <f>IF($J1806="","",YEAR($J1806-WEEKDAY($J1806,2)+4)&amp;"-W"&amp;TEXT(WEEKNUM($J1806,21),"00"))</f>
        <v/>
      </c>
      <c r="B1806">
        <f>IF($J1806="","",SUMIFS('Weekly Log'!$C:$C,'Weekly Log'!$A:$A,"&gt;="&amp;$J1806,'Weekly Log'!$A:$A,"&lt;"&amp;$J1806+7))</f>
        <v/>
      </c>
      <c r="C1806">
        <f>IF($J1806="","",IFERROR(COUNTIFS('Weekly Log'!$G:$G,"Y",'Weekly Log'!$A:$A,"&gt;="&amp;$J1806,'Weekly Log'!$A:$A,"&lt;"&amp;$J1806+7)/COUNTIFS('Weekly Log'!$G:$G,"&lt;&gt;",'Weekly Log'!$A:$A,"&gt;="&amp;$J1806,'Weekly Log'!$A:$A,"&lt;"&amp;$J1806+7),0))</f>
        <v/>
      </c>
      <c r="D1806">
        <f>IF($J1806="","",IFERROR(COUNTIFS('Weekly Log'!$H:$H,"Y",'Weekly Log'!$A:$A,"&gt;="&amp;$J1806,'Weekly Log'!$A:$A,"&lt;"&amp;$J1806+7)/COUNTIFS('Weekly Log'!$H:$H,"&lt;&gt;",'Weekly Log'!$A:$A,"&gt;="&amp;$J1806,'Weekly Log'!$A:$A,"&lt;"&amp;$J1806+7),0))</f>
        <v/>
      </c>
      <c r="E1806">
        <f>IF($J1806="","",IFERROR(AVERAGEIFS('Weekly Log'!$F:$F,'Weekly Log'!$A:$A,"&gt;="&amp;$J1806,'Weekly Log'!$A:$A,"&lt;"&amp;$J1806+7),0))</f>
        <v/>
      </c>
      <c r="F1806">
        <f>IF($J1806="","",IFERROR(SUMIFS('Weekly Log'!$F:$F,'Weekly Log'!$A:$A,"&gt;="&amp;$J1806,'Weekly Log'!$A:$A,"&lt;"&amp;$J1806+7)/SUMIFS('Weekly Log'!$E:$E,'Weekly Log'!$A:$A,"&gt;="&amp;$J1806,'Weekly Log'!$A:$A,"&lt;"&amp;$J1806+7),0))</f>
        <v/>
      </c>
      <c r="G1806">
        <f>IF($J1806="","",IFERROR(LOOKUP(2,1/(('Weekly Log'!$A$5:$A$5000&gt;=$J1806)*('Weekly Log'!$A$5:$A$5000&lt;$J1806+7)*('Weekly Log'!$M$5:$M$5000&lt;&gt;"")),'Weekly Log'!$M$5:$M$5000),0))</f>
        <v/>
      </c>
      <c r="J1806">
        <f>IF(COUNT('Weekly Log'!$A$5:$A$5000)=0,"",IF(MIN('Weekly Log'!$A$5:$A$5000)+7*(ROW()-10)&gt;MAX('Weekly Log'!$A$5:$A$5000),"",MIN('Weekly Log'!$A$5:$A$5000)+7*(ROW()-10)))</f>
        <v/>
      </c>
    </row>
    <row r="1807">
      <c r="A1807">
        <f>IF($J1807="","",YEAR($J1807-WEEKDAY($J1807,2)+4)&amp;"-W"&amp;TEXT(WEEKNUM($J1807,21),"00"))</f>
        <v/>
      </c>
      <c r="B1807">
        <f>IF($J1807="","",SUMIFS('Weekly Log'!$C:$C,'Weekly Log'!$A:$A,"&gt;="&amp;$J1807,'Weekly Log'!$A:$A,"&lt;"&amp;$J1807+7))</f>
        <v/>
      </c>
      <c r="C1807">
        <f>IF($J1807="","",IFERROR(COUNTIFS('Weekly Log'!$G:$G,"Y",'Weekly Log'!$A:$A,"&gt;="&amp;$J1807,'Weekly Log'!$A:$A,"&lt;"&amp;$J1807+7)/COUNTIFS('Weekly Log'!$G:$G,"&lt;&gt;",'Weekly Log'!$A:$A,"&gt;="&amp;$J1807,'Weekly Log'!$A:$A,"&lt;"&amp;$J1807+7),0))</f>
        <v/>
      </c>
      <c r="D1807">
        <f>IF($J1807="","",IFERROR(COUNTIFS('Weekly Log'!$H:$H,"Y",'Weekly Log'!$A:$A,"&gt;="&amp;$J1807,'Weekly Log'!$A:$A,"&lt;"&amp;$J1807+7)/COUNTIFS('Weekly Log'!$H:$H,"&lt;&gt;",'Weekly Log'!$A:$A,"&gt;="&amp;$J1807,'Weekly Log'!$A:$A,"&lt;"&amp;$J1807+7),0))</f>
        <v/>
      </c>
      <c r="E1807">
        <f>IF($J1807="","",IFERROR(AVERAGEIFS('Weekly Log'!$F:$F,'Weekly Log'!$A:$A,"&gt;="&amp;$J1807,'Weekly Log'!$A:$A,"&lt;"&amp;$J1807+7),0))</f>
        <v/>
      </c>
      <c r="F1807">
        <f>IF($J1807="","",IFERROR(SUMIFS('Weekly Log'!$F:$F,'Weekly Log'!$A:$A,"&gt;="&amp;$J1807,'Weekly Log'!$A:$A,"&lt;"&amp;$J1807+7)/SUMIFS('Weekly Log'!$E:$E,'Weekly Log'!$A:$A,"&gt;="&amp;$J1807,'Weekly Log'!$A:$A,"&lt;"&amp;$J1807+7),0))</f>
        <v/>
      </c>
      <c r="G1807">
        <f>IF($J1807="","",IFERROR(LOOKUP(2,1/(('Weekly Log'!$A$5:$A$5000&gt;=$J1807)*('Weekly Log'!$A$5:$A$5000&lt;$J1807+7)*('Weekly Log'!$M$5:$M$5000&lt;&gt;"")),'Weekly Log'!$M$5:$M$5000),0))</f>
        <v/>
      </c>
      <c r="J1807">
        <f>IF(COUNT('Weekly Log'!$A$5:$A$5000)=0,"",IF(MIN('Weekly Log'!$A$5:$A$5000)+7*(ROW()-10)&gt;MAX('Weekly Log'!$A$5:$A$5000),"",MIN('Weekly Log'!$A$5:$A$5000)+7*(ROW()-10)))</f>
        <v/>
      </c>
    </row>
    <row r="1808">
      <c r="A1808">
        <f>IF($J1808="","",YEAR($J1808-WEEKDAY($J1808,2)+4)&amp;"-W"&amp;TEXT(WEEKNUM($J1808,21),"00"))</f>
        <v/>
      </c>
      <c r="B1808">
        <f>IF($J1808="","",SUMIFS('Weekly Log'!$C:$C,'Weekly Log'!$A:$A,"&gt;="&amp;$J1808,'Weekly Log'!$A:$A,"&lt;"&amp;$J1808+7))</f>
        <v/>
      </c>
      <c r="C1808">
        <f>IF($J1808="","",IFERROR(COUNTIFS('Weekly Log'!$G:$G,"Y",'Weekly Log'!$A:$A,"&gt;="&amp;$J1808,'Weekly Log'!$A:$A,"&lt;"&amp;$J1808+7)/COUNTIFS('Weekly Log'!$G:$G,"&lt;&gt;",'Weekly Log'!$A:$A,"&gt;="&amp;$J1808,'Weekly Log'!$A:$A,"&lt;"&amp;$J1808+7),0))</f>
        <v/>
      </c>
      <c r="D1808">
        <f>IF($J1808="","",IFERROR(COUNTIFS('Weekly Log'!$H:$H,"Y",'Weekly Log'!$A:$A,"&gt;="&amp;$J1808,'Weekly Log'!$A:$A,"&lt;"&amp;$J1808+7)/COUNTIFS('Weekly Log'!$H:$H,"&lt;&gt;",'Weekly Log'!$A:$A,"&gt;="&amp;$J1808,'Weekly Log'!$A:$A,"&lt;"&amp;$J1808+7),0))</f>
        <v/>
      </c>
      <c r="E1808">
        <f>IF($J1808="","",IFERROR(AVERAGEIFS('Weekly Log'!$F:$F,'Weekly Log'!$A:$A,"&gt;="&amp;$J1808,'Weekly Log'!$A:$A,"&lt;"&amp;$J1808+7),0))</f>
        <v/>
      </c>
      <c r="F1808">
        <f>IF($J1808="","",IFERROR(SUMIFS('Weekly Log'!$F:$F,'Weekly Log'!$A:$A,"&gt;="&amp;$J1808,'Weekly Log'!$A:$A,"&lt;"&amp;$J1808+7)/SUMIFS('Weekly Log'!$E:$E,'Weekly Log'!$A:$A,"&gt;="&amp;$J1808,'Weekly Log'!$A:$A,"&lt;"&amp;$J1808+7),0))</f>
        <v/>
      </c>
      <c r="G1808">
        <f>IF($J1808="","",IFERROR(LOOKUP(2,1/(('Weekly Log'!$A$5:$A$5000&gt;=$J1808)*('Weekly Log'!$A$5:$A$5000&lt;$J1808+7)*('Weekly Log'!$M$5:$M$5000&lt;&gt;"")),'Weekly Log'!$M$5:$M$5000),0))</f>
        <v/>
      </c>
      <c r="J1808">
        <f>IF(COUNT('Weekly Log'!$A$5:$A$5000)=0,"",IF(MIN('Weekly Log'!$A$5:$A$5000)+7*(ROW()-10)&gt;MAX('Weekly Log'!$A$5:$A$5000),"",MIN('Weekly Log'!$A$5:$A$5000)+7*(ROW()-10)))</f>
        <v/>
      </c>
    </row>
    <row r="1809">
      <c r="A1809">
        <f>IF($J1809="","",YEAR($J1809-WEEKDAY($J1809,2)+4)&amp;"-W"&amp;TEXT(WEEKNUM($J1809,21),"00"))</f>
        <v/>
      </c>
      <c r="B1809">
        <f>IF($J1809="","",SUMIFS('Weekly Log'!$C:$C,'Weekly Log'!$A:$A,"&gt;="&amp;$J1809,'Weekly Log'!$A:$A,"&lt;"&amp;$J1809+7))</f>
        <v/>
      </c>
      <c r="C1809">
        <f>IF($J1809="","",IFERROR(COUNTIFS('Weekly Log'!$G:$G,"Y",'Weekly Log'!$A:$A,"&gt;="&amp;$J1809,'Weekly Log'!$A:$A,"&lt;"&amp;$J1809+7)/COUNTIFS('Weekly Log'!$G:$G,"&lt;&gt;",'Weekly Log'!$A:$A,"&gt;="&amp;$J1809,'Weekly Log'!$A:$A,"&lt;"&amp;$J1809+7),0))</f>
        <v/>
      </c>
      <c r="D1809">
        <f>IF($J1809="","",IFERROR(COUNTIFS('Weekly Log'!$H:$H,"Y",'Weekly Log'!$A:$A,"&gt;="&amp;$J1809,'Weekly Log'!$A:$A,"&lt;"&amp;$J1809+7)/COUNTIFS('Weekly Log'!$H:$H,"&lt;&gt;",'Weekly Log'!$A:$A,"&gt;="&amp;$J1809,'Weekly Log'!$A:$A,"&lt;"&amp;$J1809+7),0))</f>
        <v/>
      </c>
      <c r="E1809">
        <f>IF($J1809="","",IFERROR(AVERAGEIFS('Weekly Log'!$F:$F,'Weekly Log'!$A:$A,"&gt;="&amp;$J1809,'Weekly Log'!$A:$A,"&lt;"&amp;$J1809+7),0))</f>
        <v/>
      </c>
      <c r="F1809">
        <f>IF($J1809="","",IFERROR(SUMIFS('Weekly Log'!$F:$F,'Weekly Log'!$A:$A,"&gt;="&amp;$J1809,'Weekly Log'!$A:$A,"&lt;"&amp;$J1809+7)/SUMIFS('Weekly Log'!$E:$E,'Weekly Log'!$A:$A,"&gt;="&amp;$J1809,'Weekly Log'!$A:$A,"&lt;"&amp;$J1809+7),0))</f>
        <v/>
      </c>
      <c r="G1809">
        <f>IF($J1809="","",IFERROR(LOOKUP(2,1/(('Weekly Log'!$A$5:$A$5000&gt;=$J1809)*('Weekly Log'!$A$5:$A$5000&lt;$J1809+7)*('Weekly Log'!$M$5:$M$5000&lt;&gt;"")),'Weekly Log'!$M$5:$M$5000),0))</f>
        <v/>
      </c>
      <c r="J1809">
        <f>IF(COUNT('Weekly Log'!$A$5:$A$5000)=0,"",IF(MIN('Weekly Log'!$A$5:$A$5000)+7*(ROW()-10)&gt;MAX('Weekly Log'!$A$5:$A$5000),"",MIN('Weekly Log'!$A$5:$A$5000)+7*(ROW()-10)))</f>
        <v/>
      </c>
    </row>
    <row r="1810">
      <c r="A1810">
        <f>IF($J1810="","",YEAR($J1810-WEEKDAY($J1810,2)+4)&amp;"-W"&amp;TEXT(WEEKNUM($J1810,21),"00"))</f>
        <v/>
      </c>
      <c r="B1810">
        <f>IF($J1810="","",SUMIFS('Weekly Log'!$C:$C,'Weekly Log'!$A:$A,"&gt;="&amp;$J1810,'Weekly Log'!$A:$A,"&lt;"&amp;$J1810+7))</f>
        <v/>
      </c>
      <c r="C1810">
        <f>IF($J1810="","",IFERROR(COUNTIFS('Weekly Log'!$G:$G,"Y",'Weekly Log'!$A:$A,"&gt;="&amp;$J1810,'Weekly Log'!$A:$A,"&lt;"&amp;$J1810+7)/COUNTIFS('Weekly Log'!$G:$G,"&lt;&gt;",'Weekly Log'!$A:$A,"&gt;="&amp;$J1810,'Weekly Log'!$A:$A,"&lt;"&amp;$J1810+7),0))</f>
        <v/>
      </c>
      <c r="D1810">
        <f>IF($J1810="","",IFERROR(COUNTIFS('Weekly Log'!$H:$H,"Y",'Weekly Log'!$A:$A,"&gt;="&amp;$J1810,'Weekly Log'!$A:$A,"&lt;"&amp;$J1810+7)/COUNTIFS('Weekly Log'!$H:$H,"&lt;&gt;",'Weekly Log'!$A:$A,"&gt;="&amp;$J1810,'Weekly Log'!$A:$A,"&lt;"&amp;$J1810+7),0))</f>
        <v/>
      </c>
      <c r="E1810">
        <f>IF($J1810="","",IFERROR(AVERAGEIFS('Weekly Log'!$F:$F,'Weekly Log'!$A:$A,"&gt;="&amp;$J1810,'Weekly Log'!$A:$A,"&lt;"&amp;$J1810+7),0))</f>
        <v/>
      </c>
      <c r="F1810">
        <f>IF($J1810="","",IFERROR(SUMIFS('Weekly Log'!$F:$F,'Weekly Log'!$A:$A,"&gt;="&amp;$J1810,'Weekly Log'!$A:$A,"&lt;"&amp;$J1810+7)/SUMIFS('Weekly Log'!$E:$E,'Weekly Log'!$A:$A,"&gt;="&amp;$J1810,'Weekly Log'!$A:$A,"&lt;"&amp;$J1810+7),0))</f>
        <v/>
      </c>
      <c r="G1810">
        <f>IF($J1810="","",IFERROR(LOOKUP(2,1/(('Weekly Log'!$A$5:$A$5000&gt;=$J1810)*('Weekly Log'!$A$5:$A$5000&lt;$J1810+7)*('Weekly Log'!$M$5:$M$5000&lt;&gt;"")),'Weekly Log'!$M$5:$M$5000),0))</f>
        <v/>
      </c>
      <c r="J1810">
        <f>IF(COUNT('Weekly Log'!$A$5:$A$5000)=0,"",IF(MIN('Weekly Log'!$A$5:$A$5000)+7*(ROW()-10)&gt;MAX('Weekly Log'!$A$5:$A$5000),"",MIN('Weekly Log'!$A$5:$A$5000)+7*(ROW()-10)))</f>
        <v/>
      </c>
    </row>
    <row r="1811">
      <c r="A1811">
        <f>IF($J1811="","",YEAR($J1811-WEEKDAY($J1811,2)+4)&amp;"-W"&amp;TEXT(WEEKNUM($J1811,21),"00"))</f>
        <v/>
      </c>
      <c r="B1811">
        <f>IF($J1811="","",SUMIFS('Weekly Log'!$C:$C,'Weekly Log'!$A:$A,"&gt;="&amp;$J1811,'Weekly Log'!$A:$A,"&lt;"&amp;$J1811+7))</f>
        <v/>
      </c>
      <c r="C1811">
        <f>IF($J1811="","",IFERROR(COUNTIFS('Weekly Log'!$G:$G,"Y",'Weekly Log'!$A:$A,"&gt;="&amp;$J1811,'Weekly Log'!$A:$A,"&lt;"&amp;$J1811+7)/COUNTIFS('Weekly Log'!$G:$G,"&lt;&gt;",'Weekly Log'!$A:$A,"&gt;="&amp;$J1811,'Weekly Log'!$A:$A,"&lt;"&amp;$J1811+7),0))</f>
        <v/>
      </c>
      <c r="D1811">
        <f>IF($J1811="","",IFERROR(COUNTIFS('Weekly Log'!$H:$H,"Y",'Weekly Log'!$A:$A,"&gt;="&amp;$J1811,'Weekly Log'!$A:$A,"&lt;"&amp;$J1811+7)/COUNTIFS('Weekly Log'!$H:$H,"&lt;&gt;",'Weekly Log'!$A:$A,"&gt;="&amp;$J1811,'Weekly Log'!$A:$A,"&lt;"&amp;$J1811+7),0))</f>
        <v/>
      </c>
      <c r="E1811">
        <f>IF($J1811="","",IFERROR(AVERAGEIFS('Weekly Log'!$F:$F,'Weekly Log'!$A:$A,"&gt;="&amp;$J1811,'Weekly Log'!$A:$A,"&lt;"&amp;$J1811+7),0))</f>
        <v/>
      </c>
      <c r="F1811">
        <f>IF($J1811="","",IFERROR(SUMIFS('Weekly Log'!$F:$F,'Weekly Log'!$A:$A,"&gt;="&amp;$J1811,'Weekly Log'!$A:$A,"&lt;"&amp;$J1811+7)/SUMIFS('Weekly Log'!$E:$E,'Weekly Log'!$A:$A,"&gt;="&amp;$J1811,'Weekly Log'!$A:$A,"&lt;"&amp;$J1811+7),0))</f>
        <v/>
      </c>
      <c r="G1811">
        <f>IF($J1811="","",IFERROR(LOOKUP(2,1/(('Weekly Log'!$A$5:$A$5000&gt;=$J1811)*('Weekly Log'!$A$5:$A$5000&lt;$J1811+7)*('Weekly Log'!$M$5:$M$5000&lt;&gt;"")),'Weekly Log'!$M$5:$M$5000),0))</f>
        <v/>
      </c>
      <c r="J1811">
        <f>IF(COUNT('Weekly Log'!$A$5:$A$5000)=0,"",IF(MIN('Weekly Log'!$A$5:$A$5000)+7*(ROW()-10)&gt;MAX('Weekly Log'!$A$5:$A$5000),"",MIN('Weekly Log'!$A$5:$A$5000)+7*(ROW()-10)))</f>
        <v/>
      </c>
    </row>
    <row r="1812">
      <c r="A1812">
        <f>IF($J1812="","",YEAR($J1812-WEEKDAY($J1812,2)+4)&amp;"-W"&amp;TEXT(WEEKNUM($J1812,21),"00"))</f>
        <v/>
      </c>
      <c r="B1812">
        <f>IF($J1812="","",SUMIFS('Weekly Log'!$C:$C,'Weekly Log'!$A:$A,"&gt;="&amp;$J1812,'Weekly Log'!$A:$A,"&lt;"&amp;$J1812+7))</f>
        <v/>
      </c>
      <c r="C1812">
        <f>IF($J1812="","",IFERROR(COUNTIFS('Weekly Log'!$G:$G,"Y",'Weekly Log'!$A:$A,"&gt;="&amp;$J1812,'Weekly Log'!$A:$A,"&lt;"&amp;$J1812+7)/COUNTIFS('Weekly Log'!$G:$G,"&lt;&gt;",'Weekly Log'!$A:$A,"&gt;="&amp;$J1812,'Weekly Log'!$A:$A,"&lt;"&amp;$J1812+7),0))</f>
        <v/>
      </c>
      <c r="D1812">
        <f>IF($J1812="","",IFERROR(COUNTIFS('Weekly Log'!$H:$H,"Y",'Weekly Log'!$A:$A,"&gt;="&amp;$J1812,'Weekly Log'!$A:$A,"&lt;"&amp;$J1812+7)/COUNTIFS('Weekly Log'!$H:$H,"&lt;&gt;",'Weekly Log'!$A:$A,"&gt;="&amp;$J1812,'Weekly Log'!$A:$A,"&lt;"&amp;$J1812+7),0))</f>
        <v/>
      </c>
      <c r="E1812">
        <f>IF($J1812="","",IFERROR(AVERAGEIFS('Weekly Log'!$F:$F,'Weekly Log'!$A:$A,"&gt;="&amp;$J1812,'Weekly Log'!$A:$A,"&lt;"&amp;$J1812+7),0))</f>
        <v/>
      </c>
      <c r="F1812">
        <f>IF($J1812="","",IFERROR(SUMIFS('Weekly Log'!$F:$F,'Weekly Log'!$A:$A,"&gt;="&amp;$J1812,'Weekly Log'!$A:$A,"&lt;"&amp;$J1812+7)/SUMIFS('Weekly Log'!$E:$E,'Weekly Log'!$A:$A,"&gt;="&amp;$J1812,'Weekly Log'!$A:$A,"&lt;"&amp;$J1812+7),0))</f>
        <v/>
      </c>
      <c r="G1812">
        <f>IF($J1812="","",IFERROR(LOOKUP(2,1/(('Weekly Log'!$A$5:$A$5000&gt;=$J1812)*('Weekly Log'!$A$5:$A$5000&lt;$J1812+7)*('Weekly Log'!$M$5:$M$5000&lt;&gt;"")),'Weekly Log'!$M$5:$M$5000),0))</f>
        <v/>
      </c>
      <c r="J1812">
        <f>IF(COUNT('Weekly Log'!$A$5:$A$5000)=0,"",IF(MIN('Weekly Log'!$A$5:$A$5000)+7*(ROW()-10)&gt;MAX('Weekly Log'!$A$5:$A$5000),"",MIN('Weekly Log'!$A$5:$A$5000)+7*(ROW()-10)))</f>
        <v/>
      </c>
    </row>
    <row r="1813">
      <c r="A1813">
        <f>IF($J1813="","",YEAR($J1813-WEEKDAY($J1813,2)+4)&amp;"-W"&amp;TEXT(WEEKNUM($J1813,21),"00"))</f>
        <v/>
      </c>
      <c r="B1813">
        <f>IF($J1813="","",SUMIFS('Weekly Log'!$C:$C,'Weekly Log'!$A:$A,"&gt;="&amp;$J1813,'Weekly Log'!$A:$A,"&lt;"&amp;$J1813+7))</f>
        <v/>
      </c>
      <c r="C1813">
        <f>IF($J1813="","",IFERROR(COUNTIFS('Weekly Log'!$G:$G,"Y",'Weekly Log'!$A:$A,"&gt;="&amp;$J1813,'Weekly Log'!$A:$A,"&lt;"&amp;$J1813+7)/COUNTIFS('Weekly Log'!$G:$G,"&lt;&gt;",'Weekly Log'!$A:$A,"&gt;="&amp;$J1813,'Weekly Log'!$A:$A,"&lt;"&amp;$J1813+7),0))</f>
        <v/>
      </c>
      <c r="D1813">
        <f>IF($J1813="","",IFERROR(COUNTIFS('Weekly Log'!$H:$H,"Y",'Weekly Log'!$A:$A,"&gt;="&amp;$J1813,'Weekly Log'!$A:$A,"&lt;"&amp;$J1813+7)/COUNTIFS('Weekly Log'!$H:$H,"&lt;&gt;",'Weekly Log'!$A:$A,"&gt;="&amp;$J1813,'Weekly Log'!$A:$A,"&lt;"&amp;$J1813+7),0))</f>
        <v/>
      </c>
      <c r="E1813">
        <f>IF($J1813="","",IFERROR(AVERAGEIFS('Weekly Log'!$F:$F,'Weekly Log'!$A:$A,"&gt;="&amp;$J1813,'Weekly Log'!$A:$A,"&lt;"&amp;$J1813+7),0))</f>
        <v/>
      </c>
      <c r="F1813">
        <f>IF($J1813="","",IFERROR(SUMIFS('Weekly Log'!$F:$F,'Weekly Log'!$A:$A,"&gt;="&amp;$J1813,'Weekly Log'!$A:$A,"&lt;"&amp;$J1813+7)/SUMIFS('Weekly Log'!$E:$E,'Weekly Log'!$A:$A,"&gt;="&amp;$J1813,'Weekly Log'!$A:$A,"&lt;"&amp;$J1813+7),0))</f>
        <v/>
      </c>
      <c r="G1813">
        <f>IF($J1813="","",IFERROR(LOOKUP(2,1/(('Weekly Log'!$A$5:$A$5000&gt;=$J1813)*('Weekly Log'!$A$5:$A$5000&lt;$J1813+7)*('Weekly Log'!$M$5:$M$5000&lt;&gt;"")),'Weekly Log'!$M$5:$M$5000),0))</f>
        <v/>
      </c>
      <c r="J1813">
        <f>IF(COUNT('Weekly Log'!$A$5:$A$5000)=0,"",IF(MIN('Weekly Log'!$A$5:$A$5000)+7*(ROW()-10)&gt;MAX('Weekly Log'!$A$5:$A$5000),"",MIN('Weekly Log'!$A$5:$A$5000)+7*(ROW()-10)))</f>
        <v/>
      </c>
    </row>
    <row r="1814">
      <c r="A1814">
        <f>IF($J1814="","",YEAR($J1814-WEEKDAY($J1814,2)+4)&amp;"-W"&amp;TEXT(WEEKNUM($J1814,21),"00"))</f>
        <v/>
      </c>
      <c r="B1814">
        <f>IF($J1814="","",SUMIFS('Weekly Log'!$C:$C,'Weekly Log'!$A:$A,"&gt;="&amp;$J1814,'Weekly Log'!$A:$A,"&lt;"&amp;$J1814+7))</f>
        <v/>
      </c>
      <c r="C1814">
        <f>IF($J1814="","",IFERROR(COUNTIFS('Weekly Log'!$G:$G,"Y",'Weekly Log'!$A:$A,"&gt;="&amp;$J1814,'Weekly Log'!$A:$A,"&lt;"&amp;$J1814+7)/COUNTIFS('Weekly Log'!$G:$G,"&lt;&gt;",'Weekly Log'!$A:$A,"&gt;="&amp;$J1814,'Weekly Log'!$A:$A,"&lt;"&amp;$J1814+7),0))</f>
        <v/>
      </c>
      <c r="D1814">
        <f>IF($J1814="","",IFERROR(COUNTIFS('Weekly Log'!$H:$H,"Y",'Weekly Log'!$A:$A,"&gt;="&amp;$J1814,'Weekly Log'!$A:$A,"&lt;"&amp;$J1814+7)/COUNTIFS('Weekly Log'!$H:$H,"&lt;&gt;",'Weekly Log'!$A:$A,"&gt;="&amp;$J1814,'Weekly Log'!$A:$A,"&lt;"&amp;$J1814+7),0))</f>
        <v/>
      </c>
      <c r="E1814">
        <f>IF($J1814="","",IFERROR(AVERAGEIFS('Weekly Log'!$F:$F,'Weekly Log'!$A:$A,"&gt;="&amp;$J1814,'Weekly Log'!$A:$A,"&lt;"&amp;$J1814+7),0))</f>
        <v/>
      </c>
      <c r="F1814">
        <f>IF($J1814="","",IFERROR(SUMIFS('Weekly Log'!$F:$F,'Weekly Log'!$A:$A,"&gt;="&amp;$J1814,'Weekly Log'!$A:$A,"&lt;"&amp;$J1814+7)/SUMIFS('Weekly Log'!$E:$E,'Weekly Log'!$A:$A,"&gt;="&amp;$J1814,'Weekly Log'!$A:$A,"&lt;"&amp;$J1814+7),0))</f>
        <v/>
      </c>
      <c r="G1814">
        <f>IF($J1814="","",IFERROR(LOOKUP(2,1/(('Weekly Log'!$A$5:$A$5000&gt;=$J1814)*('Weekly Log'!$A$5:$A$5000&lt;$J1814+7)*('Weekly Log'!$M$5:$M$5000&lt;&gt;"")),'Weekly Log'!$M$5:$M$5000),0))</f>
        <v/>
      </c>
      <c r="J1814">
        <f>IF(COUNT('Weekly Log'!$A$5:$A$5000)=0,"",IF(MIN('Weekly Log'!$A$5:$A$5000)+7*(ROW()-10)&gt;MAX('Weekly Log'!$A$5:$A$5000),"",MIN('Weekly Log'!$A$5:$A$5000)+7*(ROW()-10)))</f>
        <v/>
      </c>
    </row>
    <row r="1815">
      <c r="A1815">
        <f>IF($J1815="","",YEAR($J1815-WEEKDAY($J1815,2)+4)&amp;"-W"&amp;TEXT(WEEKNUM($J1815,21),"00"))</f>
        <v/>
      </c>
      <c r="B1815">
        <f>IF($J1815="","",SUMIFS('Weekly Log'!$C:$C,'Weekly Log'!$A:$A,"&gt;="&amp;$J1815,'Weekly Log'!$A:$A,"&lt;"&amp;$J1815+7))</f>
        <v/>
      </c>
      <c r="C1815">
        <f>IF($J1815="","",IFERROR(COUNTIFS('Weekly Log'!$G:$G,"Y",'Weekly Log'!$A:$A,"&gt;="&amp;$J1815,'Weekly Log'!$A:$A,"&lt;"&amp;$J1815+7)/COUNTIFS('Weekly Log'!$G:$G,"&lt;&gt;",'Weekly Log'!$A:$A,"&gt;="&amp;$J1815,'Weekly Log'!$A:$A,"&lt;"&amp;$J1815+7),0))</f>
        <v/>
      </c>
      <c r="D1815">
        <f>IF($J1815="","",IFERROR(COUNTIFS('Weekly Log'!$H:$H,"Y",'Weekly Log'!$A:$A,"&gt;="&amp;$J1815,'Weekly Log'!$A:$A,"&lt;"&amp;$J1815+7)/COUNTIFS('Weekly Log'!$H:$H,"&lt;&gt;",'Weekly Log'!$A:$A,"&gt;="&amp;$J1815,'Weekly Log'!$A:$A,"&lt;"&amp;$J1815+7),0))</f>
        <v/>
      </c>
      <c r="E1815">
        <f>IF($J1815="","",IFERROR(AVERAGEIFS('Weekly Log'!$F:$F,'Weekly Log'!$A:$A,"&gt;="&amp;$J1815,'Weekly Log'!$A:$A,"&lt;"&amp;$J1815+7),0))</f>
        <v/>
      </c>
      <c r="F1815">
        <f>IF($J1815="","",IFERROR(SUMIFS('Weekly Log'!$F:$F,'Weekly Log'!$A:$A,"&gt;="&amp;$J1815,'Weekly Log'!$A:$A,"&lt;"&amp;$J1815+7)/SUMIFS('Weekly Log'!$E:$E,'Weekly Log'!$A:$A,"&gt;="&amp;$J1815,'Weekly Log'!$A:$A,"&lt;"&amp;$J1815+7),0))</f>
        <v/>
      </c>
      <c r="G1815">
        <f>IF($J1815="","",IFERROR(LOOKUP(2,1/(('Weekly Log'!$A$5:$A$5000&gt;=$J1815)*('Weekly Log'!$A$5:$A$5000&lt;$J1815+7)*('Weekly Log'!$M$5:$M$5000&lt;&gt;"")),'Weekly Log'!$M$5:$M$5000),0))</f>
        <v/>
      </c>
      <c r="J1815">
        <f>IF(COUNT('Weekly Log'!$A$5:$A$5000)=0,"",IF(MIN('Weekly Log'!$A$5:$A$5000)+7*(ROW()-10)&gt;MAX('Weekly Log'!$A$5:$A$5000),"",MIN('Weekly Log'!$A$5:$A$5000)+7*(ROW()-10)))</f>
        <v/>
      </c>
    </row>
    <row r="1816">
      <c r="A1816">
        <f>IF($J1816="","",YEAR($J1816-WEEKDAY($J1816,2)+4)&amp;"-W"&amp;TEXT(WEEKNUM($J1816,21),"00"))</f>
        <v/>
      </c>
      <c r="B1816">
        <f>IF($J1816="","",SUMIFS('Weekly Log'!$C:$C,'Weekly Log'!$A:$A,"&gt;="&amp;$J1816,'Weekly Log'!$A:$A,"&lt;"&amp;$J1816+7))</f>
        <v/>
      </c>
      <c r="C1816">
        <f>IF($J1816="","",IFERROR(COUNTIFS('Weekly Log'!$G:$G,"Y",'Weekly Log'!$A:$A,"&gt;="&amp;$J1816,'Weekly Log'!$A:$A,"&lt;"&amp;$J1816+7)/COUNTIFS('Weekly Log'!$G:$G,"&lt;&gt;",'Weekly Log'!$A:$A,"&gt;="&amp;$J1816,'Weekly Log'!$A:$A,"&lt;"&amp;$J1816+7),0))</f>
        <v/>
      </c>
      <c r="D1816">
        <f>IF($J1816="","",IFERROR(COUNTIFS('Weekly Log'!$H:$H,"Y",'Weekly Log'!$A:$A,"&gt;="&amp;$J1816,'Weekly Log'!$A:$A,"&lt;"&amp;$J1816+7)/COUNTIFS('Weekly Log'!$H:$H,"&lt;&gt;",'Weekly Log'!$A:$A,"&gt;="&amp;$J1816,'Weekly Log'!$A:$A,"&lt;"&amp;$J1816+7),0))</f>
        <v/>
      </c>
      <c r="E1816">
        <f>IF($J1816="","",IFERROR(AVERAGEIFS('Weekly Log'!$F:$F,'Weekly Log'!$A:$A,"&gt;="&amp;$J1816,'Weekly Log'!$A:$A,"&lt;"&amp;$J1816+7),0))</f>
        <v/>
      </c>
      <c r="F1816">
        <f>IF($J1816="","",IFERROR(SUMIFS('Weekly Log'!$F:$F,'Weekly Log'!$A:$A,"&gt;="&amp;$J1816,'Weekly Log'!$A:$A,"&lt;"&amp;$J1816+7)/SUMIFS('Weekly Log'!$E:$E,'Weekly Log'!$A:$A,"&gt;="&amp;$J1816,'Weekly Log'!$A:$A,"&lt;"&amp;$J1816+7),0))</f>
        <v/>
      </c>
      <c r="G1816">
        <f>IF($J1816="","",IFERROR(LOOKUP(2,1/(('Weekly Log'!$A$5:$A$5000&gt;=$J1816)*('Weekly Log'!$A$5:$A$5000&lt;$J1816+7)*('Weekly Log'!$M$5:$M$5000&lt;&gt;"")),'Weekly Log'!$M$5:$M$5000),0))</f>
        <v/>
      </c>
      <c r="J1816">
        <f>IF(COUNT('Weekly Log'!$A$5:$A$5000)=0,"",IF(MIN('Weekly Log'!$A$5:$A$5000)+7*(ROW()-10)&gt;MAX('Weekly Log'!$A$5:$A$5000),"",MIN('Weekly Log'!$A$5:$A$5000)+7*(ROW()-10)))</f>
        <v/>
      </c>
    </row>
    <row r="1817">
      <c r="A1817">
        <f>IF($J1817="","",YEAR($J1817-WEEKDAY($J1817,2)+4)&amp;"-W"&amp;TEXT(WEEKNUM($J1817,21),"00"))</f>
        <v/>
      </c>
      <c r="B1817">
        <f>IF($J1817="","",SUMIFS('Weekly Log'!$C:$C,'Weekly Log'!$A:$A,"&gt;="&amp;$J1817,'Weekly Log'!$A:$A,"&lt;"&amp;$J1817+7))</f>
        <v/>
      </c>
      <c r="C1817">
        <f>IF($J1817="","",IFERROR(COUNTIFS('Weekly Log'!$G:$G,"Y",'Weekly Log'!$A:$A,"&gt;="&amp;$J1817,'Weekly Log'!$A:$A,"&lt;"&amp;$J1817+7)/COUNTIFS('Weekly Log'!$G:$G,"&lt;&gt;",'Weekly Log'!$A:$A,"&gt;="&amp;$J1817,'Weekly Log'!$A:$A,"&lt;"&amp;$J1817+7),0))</f>
        <v/>
      </c>
      <c r="D1817">
        <f>IF($J1817="","",IFERROR(COUNTIFS('Weekly Log'!$H:$H,"Y",'Weekly Log'!$A:$A,"&gt;="&amp;$J1817,'Weekly Log'!$A:$A,"&lt;"&amp;$J1817+7)/COUNTIFS('Weekly Log'!$H:$H,"&lt;&gt;",'Weekly Log'!$A:$A,"&gt;="&amp;$J1817,'Weekly Log'!$A:$A,"&lt;"&amp;$J1817+7),0))</f>
        <v/>
      </c>
      <c r="E1817">
        <f>IF($J1817="","",IFERROR(AVERAGEIFS('Weekly Log'!$F:$F,'Weekly Log'!$A:$A,"&gt;="&amp;$J1817,'Weekly Log'!$A:$A,"&lt;"&amp;$J1817+7),0))</f>
        <v/>
      </c>
      <c r="F1817">
        <f>IF($J1817="","",IFERROR(SUMIFS('Weekly Log'!$F:$F,'Weekly Log'!$A:$A,"&gt;="&amp;$J1817,'Weekly Log'!$A:$A,"&lt;"&amp;$J1817+7)/SUMIFS('Weekly Log'!$E:$E,'Weekly Log'!$A:$A,"&gt;="&amp;$J1817,'Weekly Log'!$A:$A,"&lt;"&amp;$J1817+7),0))</f>
        <v/>
      </c>
      <c r="G1817">
        <f>IF($J1817="","",IFERROR(LOOKUP(2,1/(('Weekly Log'!$A$5:$A$5000&gt;=$J1817)*('Weekly Log'!$A$5:$A$5000&lt;$J1817+7)*('Weekly Log'!$M$5:$M$5000&lt;&gt;"")),'Weekly Log'!$M$5:$M$5000),0))</f>
        <v/>
      </c>
      <c r="J1817">
        <f>IF(COUNT('Weekly Log'!$A$5:$A$5000)=0,"",IF(MIN('Weekly Log'!$A$5:$A$5000)+7*(ROW()-10)&gt;MAX('Weekly Log'!$A$5:$A$5000),"",MIN('Weekly Log'!$A$5:$A$5000)+7*(ROW()-10)))</f>
        <v/>
      </c>
    </row>
    <row r="1818">
      <c r="A1818">
        <f>IF($J1818="","",YEAR($J1818-WEEKDAY($J1818,2)+4)&amp;"-W"&amp;TEXT(WEEKNUM($J1818,21),"00"))</f>
        <v/>
      </c>
      <c r="B1818">
        <f>IF($J1818="","",SUMIFS('Weekly Log'!$C:$C,'Weekly Log'!$A:$A,"&gt;="&amp;$J1818,'Weekly Log'!$A:$A,"&lt;"&amp;$J1818+7))</f>
        <v/>
      </c>
      <c r="C1818">
        <f>IF($J1818="","",IFERROR(COUNTIFS('Weekly Log'!$G:$G,"Y",'Weekly Log'!$A:$A,"&gt;="&amp;$J1818,'Weekly Log'!$A:$A,"&lt;"&amp;$J1818+7)/COUNTIFS('Weekly Log'!$G:$G,"&lt;&gt;",'Weekly Log'!$A:$A,"&gt;="&amp;$J1818,'Weekly Log'!$A:$A,"&lt;"&amp;$J1818+7),0))</f>
        <v/>
      </c>
      <c r="D1818">
        <f>IF($J1818="","",IFERROR(COUNTIFS('Weekly Log'!$H:$H,"Y",'Weekly Log'!$A:$A,"&gt;="&amp;$J1818,'Weekly Log'!$A:$A,"&lt;"&amp;$J1818+7)/COUNTIFS('Weekly Log'!$H:$H,"&lt;&gt;",'Weekly Log'!$A:$A,"&gt;="&amp;$J1818,'Weekly Log'!$A:$A,"&lt;"&amp;$J1818+7),0))</f>
        <v/>
      </c>
      <c r="E1818">
        <f>IF($J1818="","",IFERROR(AVERAGEIFS('Weekly Log'!$F:$F,'Weekly Log'!$A:$A,"&gt;="&amp;$J1818,'Weekly Log'!$A:$A,"&lt;"&amp;$J1818+7),0))</f>
        <v/>
      </c>
      <c r="F1818">
        <f>IF($J1818="","",IFERROR(SUMIFS('Weekly Log'!$F:$F,'Weekly Log'!$A:$A,"&gt;="&amp;$J1818,'Weekly Log'!$A:$A,"&lt;"&amp;$J1818+7)/SUMIFS('Weekly Log'!$E:$E,'Weekly Log'!$A:$A,"&gt;="&amp;$J1818,'Weekly Log'!$A:$A,"&lt;"&amp;$J1818+7),0))</f>
        <v/>
      </c>
      <c r="G1818">
        <f>IF($J1818="","",IFERROR(LOOKUP(2,1/(('Weekly Log'!$A$5:$A$5000&gt;=$J1818)*('Weekly Log'!$A$5:$A$5000&lt;$J1818+7)*('Weekly Log'!$M$5:$M$5000&lt;&gt;"")),'Weekly Log'!$M$5:$M$5000),0))</f>
        <v/>
      </c>
      <c r="J1818">
        <f>IF(COUNT('Weekly Log'!$A$5:$A$5000)=0,"",IF(MIN('Weekly Log'!$A$5:$A$5000)+7*(ROW()-10)&gt;MAX('Weekly Log'!$A$5:$A$5000),"",MIN('Weekly Log'!$A$5:$A$5000)+7*(ROW()-10)))</f>
        <v/>
      </c>
    </row>
    <row r="1819">
      <c r="A1819">
        <f>IF($J1819="","",YEAR($J1819-WEEKDAY($J1819,2)+4)&amp;"-W"&amp;TEXT(WEEKNUM($J1819,21),"00"))</f>
        <v/>
      </c>
      <c r="B1819">
        <f>IF($J1819="","",SUMIFS('Weekly Log'!$C:$C,'Weekly Log'!$A:$A,"&gt;="&amp;$J1819,'Weekly Log'!$A:$A,"&lt;"&amp;$J1819+7))</f>
        <v/>
      </c>
      <c r="C1819">
        <f>IF($J1819="","",IFERROR(COUNTIFS('Weekly Log'!$G:$G,"Y",'Weekly Log'!$A:$A,"&gt;="&amp;$J1819,'Weekly Log'!$A:$A,"&lt;"&amp;$J1819+7)/COUNTIFS('Weekly Log'!$G:$G,"&lt;&gt;",'Weekly Log'!$A:$A,"&gt;="&amp;$J1819,'Weekly Log'!$A:$A,"&lt;"&amp;$J1819+7),0))</f>
        <v/>
      </c>
      <c r="D1819">
        <f>IF($J1819="","",IFERROR(COUNTIFS('Weekly Log'!$H:$H,"Y",'Weekly Log'!$A:$A,"&gt;="&amp;$J1819,'Weekly Log'!$A:$A,"&lt;"&amp;$J1819+7)/COUNTIFS('Weekly Log'!$H:$H,"&lt;&gt;",'Weekly Log'!$A:$A,"&gt;="&amp;$J1819,'Weekly Log'!$A:$A,"&lt;"&amp;$J1819+7),0))</f>
        <v/>
      </c>
      <c r="E1819">
        <f>IF($J1819="","",IFERROR(AVERAGEIFS('Weekly Log'!$F:$F,'Weekly Log'!$A:$A,"&gt;="&amp;$J1819,'Weekly Log'!$A:$A,"&lt;"&amp;$J1819+7),0))</f>
        <v/>
      </c>
      <c r="F1819">
        <f>IF($J1819="","",IFERROR(SUMIFS('Weekly Log'!$F:$F,'Weekly Log'!$A:$A,"&gt;="&amp;$J1819,'Weekly Log'!$A:$A,"&lt;"&amp;$J1819+7)/SUMIFS('Weekly Log'!$E:$E,'Weekly Log'!$A:$A,"&gt;="&amp;$J1819,'Weekly Log'!$A:$A,"&lt;"&amp;$J1819+7),0))</f>
        <v/>
      </c>
      <c r="G1819">
        <f>IF($J1819="","",IFERROR(LOOKUP(2,1/(('Weekly Log'!$A$5:$A$5000&gt;=$J1819)*('Weekly Log'!$A$5:$A$5000&lt;$J1819+7)*('Weekly Log'!$M$5:$M$5000&lt;&gt;"")),'Weekly Log'!$M$5:$M$5000),0))</f>
        <v/>
      </c>
      <c r="J1819">
        <f>IF(COUNT('Weekly Log'!$A$5:$A$5000)=0,"",IF(MIN('Weekly Log'!$A$5:$A$5000)+7*(ROW()-10)&gt;MAX('Weekly Log'!$A$5:$A$5000),"",MIN('Weekly Log'!$A$5:$A$5000)+7*(ROW()-10)))</f>
        <v/>
      </c>
    </row>
    <row r="1820">
      <c r="A1820">
        <f>IF($J1820="","",YEAR($J1820-WEEKDAY($J1820,2)+4)&amp;"-W"&amp;TEXT(WEEKNUM($J1820,21),"00"))</f>
        <v/>
      </c>
      <c r="B1820">
        <f>IF($J1820="","",SUMIFS('Weekly Log'!$C:$C,'Weekly Log'!$A:$A,"&gt;="&amp;$J1820,'Weekly Log'!$A:$A,"&lt;"&amp;$J1820+7))</f>
        <v/>
      </c>
      <c r="C1820">
        <f>IF($J1820="","",IFERROR(COUNTIFS('Weekly Log'!$G:$G,"Y",'Weekly Log'!$A:$A,"&gt;="&amp;$J1820,'Weekly Log'!$A:$A,"&lt;"&amp;$J1820+7)/COUNTIFS('Weekly Log'!$G:$G,"&lt;&gt;",'Weekly Log'!$A:$A,"&gt;="&amp;$J1820,'Weekly Log'!$A:$A,"&lt;"&amp;$J1820+7),0))</f>
        <v/>
      </c>
      <c r="D1820">
        <f>IF($J1820="","",IFERROR(COUNTIFS('Weekly Log'!$H:$H,"Y",'Weekly Log'!$A:$A,"&gt;="&amp;$J1820,'Weekly Log'!$A:$A,"&lt;"&amp;$J1820+7)/COUNTIFS('Weekly Log'!$H:$H,"&lt;&gt;",'Weekly Log'!$A:$A,"&gt;="&amp;$J1820,'Weekly Log'!$A:$A,"&lt;"&amp;$J1820+7),0))</f>
        <v/>
      </c>
      <c r="E1820">
        <f>IF($J1820="","",IFERROR(AVERAGEIFS('Weekly Log'!$F:$F,'Weekly Log'!$A:$A,"&gt;="&amp;$J1820,'Weekly Log'!$A:$A,"&lt;"&amp;$J1820+7),0))</f>
        <v/>
      </c>
      <c r="F1820">
        <f>IF($J1820="","",IFERROR(SUMIFS('Weekly Log'!$F:$F,'Weekly Log'!$A:$A,"&gt;="&amp;$J1820,'Weekly Log'!$A:$A,"&lt;"&amp;$J1820+7)/SUMIFS('Weekly Log'!$E:$E,'Weekly Log'!$A:$A,"&gt;="&amp;$J1820,'Weekly Log'!$A:$A,"&lt;"&amp;$J1820+7),0))</f>
        <v/>
      </c>
      <c r="G1820">
        <f>IF($J1820="","",IFERROR(LOOKUP(2,1/(('Weekly Log'!$A$5:$A$5000&gt;=$J1820)*('Weekly Log'!$A$5:$A$5000&lt;$J1820+7)*('Weekly Log'!$M$5:$M$5000&lt;&gt;"")),'Weekly Log'!$M$5:$M$5000),0))</f>
        <v/>
      </c>
      <c r="J1820">
        <f>IF(COUNT('Weekly Log'!$A$5:$A$5000)=0,"",IF(MIN('Weekly Log'!$A$5:$A$5000)+7*(ROW()-10)&gt;MAX('Weekly Log'!$A$5:$A$5000),"",MIN('Weekly Log'!$A$5:$A$5000)+7*(ROW()-10)))</f>
        <v/>
      </c>
    </row>
    <row r="1821">
      <c r="A1821">
        <f>IF($J1821="","",YEAR($J1821-WEEKDAY($J1821,2)+4)&amp;"-W"&amp;TEXT(WEEKNUM($J1821,21),"00"))</f>
        <v/>
      </c>
      <c r="B1821">
        <f>IF($J1821="","",SUMIFS('Weekly Log'!$C:$C,'Weekly Log'!$A:$A,"&gt;="&amp;$J1821,'Weekly Log'!$A:$A,"&lt;"&amp;$J1821+7))</f>
        <v/>
      </c>
      <c r="C1821">
        <f>IF($J1821="","",IFERROR(COUNTIFS('Weekly Log'!$G:$G,"Y",'Weekly Log'!$A:$A,"&gt;="&amp;$J1821,'Weekly Log'!$A:$A,"&lt;"&amp;$J1821+7)/COUNTIFS('Weekly Log'!$G:$G,"&lt;&gt;",'Weekly Log'!$A:$A,"&gt;="&amp;$J1821,'Weekly Log'!$A:$A,"&lt;"&amp;$J1821+7),0))</f>
        <v/>
      </c>
      <c r="D1821">
        <f>IF($J1821="","",IFERROR(COUNTIFS('Weekly Log'!$H:$H,"Y",'Weekly Log'!$A:$A,"&gt;="&amp;$J1821,'Weekly Log'!$A:$A,"&lt;"&amp;$J1821+7)/COUNTIFS('Weekly Log'!$H:$H,"&lt;&gt;",'Weekly Log'!$A:$A,"&gt;="&amp;$J1821,'Weekly Log'!$A:$A,"&lt;"&amp;$J1821+7),0))</f>
        <v/>
      </c>
      <c r="E1821">
        <f>IF($J1821="","",IFERROR(AVERAGEIFS('Weekly Log'!$F:$F,'Weekly Log'!$A:$A,"&gt;="&amp;$J1821,'Weekly Log'!$A:$A,"&lt;"&amp;$J1821+7),0))</f>
        <v/>
      </c>
      <c r="F1821">
        <f>IF($J1821="","",IFERROR(SUMIFS('Weekly Log'!$F:$F,'Weekly Log'!$A:$A,"&gt;="&amp;$J1821,'Weekly Log'!$A:$A,"&lt;"&amp;$J1821+7)/SUMIFS('Weekly Log'!$E:$E,'Weekly Log'!$A:$A,"&gt;="&amp;$J1821,'Weekly Log'!$A:$A,"&lt;"&amp;$J1821+7),0))</f>
        <v/>
      </c>
      <c r="G1821">
        <f>IF($J1821="","",IFERROR(LOOKUP(2,1/(('Weekly Log'!$A$5:$A$5000&gt;=$J1821)*('Weekly Log'!$A$5:$A$5000&lt;$J1821+7)*('Weekly Log'!$M$5:$M$5000&lt;&gt;"")),'Weekly Log'!$M$5:$M$5000),0))</f>
        <v/>
      </c>
      <c r="J1821">
        <f>IF(COUNT('Weekly Log'!$A$5:$A$5000)=0,"",IF(MIN('Weekly Log'!$A$5:$A$5000)+7*(ROW()-10)&gt;MAX('Weekly Log'!$A$5:$A$5000),"",MIN('Weekly Log'!$A$5:$A$5000)+7*(ROW()-10)))</f>
        <v/>
      </c>
    </row>
    <row r="1822">
      <c r="A1822">
        <f>IF($J1822="","",YEAR($J1822-WEEKDAY($J1822,2)+4)&amp;"-W"&amp;TEXT(WEEKNUM($J1822,21),"00"))</f>
        <v/>
      </c>
      <c r="B1822">
        <f>IF($J1822="","",SUMIFS('Weekly Log'!$C:$C,'Weekly Log'!$A:$A,"&gt;="&amp;$J1822,'Weekly Log'!$A:$A,"&lt;"&amp;$J1822+7))</f>
        <v/>
      </c>
      <c r="C1822">
        <f>IF($J1822="","",IFERROR(COUNTIFS('Weekly Log'!$G:$G,"Y",'Weekly Log'!$A:$A,"&gt;="&amp;$J1822,'Weekly Log'!$A:$A,"&lt;"&amp;$J1822+7)/COUNTIFS('Weekly Log'!$G:$G,"&lt;&gt;",'Weekly Log'!$A:$A,"&gt;="&amp;$J1822,'Weekly Log'!$A:$A,"&lt;"&amp;$J1822+7),0))</f>
        <v/>
      </c>
      <c r="D1822">
        <f>IF($J1822="","",IFERROR(COUNTIFS('Weekly Log'!$H:$H,"Y",'Weekly Log'!$A:$A,"&gt;="&amp;$J1822,'Weekly Log'!$A:$A,"&lt;"&amp;$J1822+7)/COUNTIFS('Weekly Log'!$H:$H,"&lt;&gt;",'Weekly Log'!$A:$A,"&gt;="&amp;$J1822,'Weekly Log'!$A:$A,"&lt;"&amp;$J1822+7),0))</f>
        <v/>
      </c>
      <c r="E1822">
        <f>IF($J1822="","",IFERROR(AVERAGEIFS('Weekly Log'!$F:$F,'Weekly Log'!$A:$A,"&gt;="&amp;$J1822,'Weekly Log'!$A:$A,"&lt;"&amp;$J1822+7),0))</f>
        <v/>
      </c>
      <c r="F1822">
        <f>IF($J1822="","",IFERROR(SUMIFS('Weekly Log'!$F:$F,'Weekly Log'!$A:$A,"&gt;="&amp;$J1822,'Weekly Log'!$A:$A,"&lt;"&amp;$J1822+7)/SUMIFS('Weekly Log'!$E:$E,'Weekly Log'!$A:$A,"&gt;="&amp;$J1822,'Weekly Log'!$A:$A,"&lt;"&amp;$J1822+7),0))</f>
        <v/>
      </c>
      <c r="G1822">
        <f>IF($J1822="","",IFERROR(LOOKUP(2,1/(('Weekly Log'!$A$5:$A$5000&gt;=$J1822)*('Weekly Log'!$A$5:$A$5000&lt;$J1822+7)*('Weekly Log'!$M$5:$M$5000&lt;&gt;"")),'Weekly Log'!$M$5:$M$5000),0))</f>
        <v/>
      </c>
      <c r="J1822">
        <f>IF(COUNT('Weekly Log'!$A$5:$A$5000)=0,"",IF(MIN('Weekly Log'!$A$5:$A$5000)+7*(ROW()-10)&gt;MAX('Weekly Log'!$A$5:$A$5000),"",MIN('Weekly Log'!$A$5:$A$5000)+7*(ROW()-10)))</f>
        <v/>
      </c>
    </row>
    <row r="1823">
      <c r="A1823">
        <f>IF($J1823="","",YEAR($J1823-WEEKDAY($J1823,2)+4)&amp;"-W"&amp;TEXT(WEEKNUM($J1823,21),"00"))</f>
        <v/>
      </c>
      <c r="B1823">
        <f>IF($J1823="","",SUMIFS('Weekly Log'!$C:$C,'Weekly Log'!$A:$A,"&gt;="&amp;$J1823,'Weekly Log'!$A:$A,"&lt;"&amp;$J1823+7))</f>
        <v/>
      </c>
      <c r="C1823">
        <f>IF($J1823="","",IFERROR(COUNTIFS('Weekly Log'!$G:$G,"Y",'Weekly Log'!$A:$A,"&gt;="&amp;$J1823,'Weekly Log'!$A:$A,"&lt;"&amp;$J1823+7)/COUNTIFS('Weekly Log'!$G:$G,"&lt;&gt;",'Weekly Log'!$A:$A,"&gt;="&amp;$J1823,'Weekly Log'!$A:$A,"&lt;"&amp;$J1823+7),0))</f>
        <v/>
      </c>
      <c r="D1823">
        <f>IF($J1823="","",IFERROR(COUNTIFS('Weekly Log'!$H:$H,"Y",'Weekly Log'!$A:$A,"&gt;="&amp;$J1823,'Weekly Log'!$A:$A,"&lt;"&amp;$J1823+7)/COUNTIFS('Weekly Log'!$H:$H,"&lt;&gt;",'Weekly Log'!$A:$A,"&gt;="&amp;$J1823,'Weekly Log'!$A:$A,"&lt;"&amp;$J1823+7),0))</f>
        <v/>
      </c>
      <c r="E1823">
        <f>IF($J1823="","",IFERROR(AVERAGEIFS('Weekly Log'!$F:$F,'Weekly Log'!$A:$A,"&gt;="&amp;$J1823,'Weekly Log'!$A:$A,"&lt;"&amp;$J1823+7),0))</f>
        <v/>
      </c>
      <c r="F1823">
        <f>IF($J1823="","",IFERROR(SUMIFS('Weekly Log'!$F:$F,'Weekly Log'!$A:$A,"&gt;="&amp;$J1823,'Weekly Log'!$A:$A,"&lt;"&amp;$J1823+7)/SUMIFS('Weekly Log'!$E:$E,'Weekly Log'!$A:$A,"&gt;="&amp;$J1823,'Weekly Log'!$A:$A,"&lt;"&amp;$J1823+7),0))</f>
        <v/>
      </c>
      <c r="G1823">
        <f>IF($J1823="","",IFERROR(LOOKUP(2,1/(('Weekly Log'!$A$5:$A$5000&gt;=$J1823)*('Weekly Log'!$A$5:$A$5000&lt;$J1823+7)*('Weekly Log'!$M$5:$M$5000&lt;&gt;"")),'Weekly Log'!$M$5:$M$5000),0))</f>
        <v/>
      </c>
      <c r="J1823">
        <f>IF(COUNT('Weekly Log'!$A$5:$A$5000)=0,"",IF(MIN('Weekly Log'!$A$5:$A$5000)+7*(ROW()-10)&gt;MAX('Weekly Log'!$A$5:$A$5000),"",MIN('Weekly Log'!$A$5:$A$5000)+7*(ROW()-10)))</f>
        <v/>
      </c>
    </row>
    <row r="1824">
      <c r="A1824">
        <f>IF($J1824="","",YEAR($J1824-WEEKDAY($J1824,2)+4)&amp;"-W"&amp;TEXT(WEEKNUM($J1824,21),"00"))</f>
        <v/>
      </c>
      <c r="B1824">
        <f>IF($J1824="","",SUMIFS('Weekly Log'!$C:$C,'Weekly Log'!$A:$A,"&gt;="&amp;$J1824,'Weekly Log'!$A:$A,"&lt;"&amp;$J1824+7))</f>
        <v/>
      </c>
      <c r="C1824">
        <f>IF($J1824="","",IFERROR(COUNTIFS('Weekly Log'!$G:$G,"Y",'Weekly Log'!$A:$A,"&gt;="&amp;$J1824,'Weekly Log'!$A:$A,"&lt;"&amp;$J1824+7)/COUNTIFS('Weekly Log'!$G:$G,"&lt;&gt;",'Weekly Log'!$A:$A,"&gt;="&amp;$J1824,'Weekly Log'!$A:$A,"&lt;"&amp;$J1824+7),0))</f>
        <v/>
      </c>
      <c r="D1824">
        <f>IF($J1824="","",IFERROR(COUNTIFS('Weekly Log'!$H:$H,"Y",'Weekly Log'!$A:$A,"&gt;="&amp;$J1824,'Weekly Log'!$A:$A,"&lt;"&amp;$J1824+7)/COUNTIFS('Weekly Log'!$H:$H,"&lt;&gt;",'Weekly Log'!$A:$A,"&gt;="&amp;$J1824,'Weekly Log'!$A:$A,"&lt;"&amp;$J1824+7),0))</f>
        <v/>
      </c>
      <c r="E1824">
        <f>IF($J1824="","",IFERROR(AVERAGEIFS('Weekly Log'!$F:$F,'Weekly Log'!$A:$A,"&gt;="&amp;$J1824,'Weekly Log'!$A:$A,"&lt;"&amp;$J1824+7),0))</f>
        <v/>
      </c>
      <c r="F1824">
        <f>IF($J1824="","",IFERROR(SUMIFS('Weekly Log'!$F:$F,'Weekly Log'!$A:$A,"&gt;="&amp;$J1824,'Weekly Log'!$A:$A,"&lt;"&amp;$J1824+7)/SUMIFS('Weekly Log'!$E:$E,'Weekly Log'!$A:$A,"&gt;="&amp;$J1824,'Weekly Log'!$A:$A,"&lt;"&amp;$J1824+7),0))</f>
        <v/>
      </c>
      <c r="G1824">
        <f>IF($J1824="","",IFERROR(LOOKUP(2,1/(('Weekly Log'!$A$5:$A$5000&gt;=$J1824)*('Weekly Log'!$A$5:$A$5000&lt;$J1824+7)*('Weekly Log'!$M$5:$M$5000&lt;&gt;"")),'Weekly Log'!$M$5:$M$5000),0))</f>
        <v/>
      </c>
      <c r="J1824">
        <f>IF(COUNT('Weekly Log'!$A$5:$A$5000)=0,"",IF(MIN('Weekly Log'!$A$5:$A$5000)+7*(ROW()-10)&gt;MAX('Weekly Log'!$A$5:$A$5000),"",MIN('Weekly Log'!$A$5:$A$5000)+7*(ROW()-10)))</f>
        <v/>
      </c>
    </row>
    <row r="1825">
      <c r="A1825">
        <f>IF($J1825="","",YEAR($J1825-WEEKDAY($J1825,2)+4)&amp;"-W"&amp;TEXT(WEEKNUM($J1825,21),"00"))</f>
        <v/>
      </c>
      <c r="B1825">
        <f>IF($J1825="","",SUMIFS('Weekly Log'!$C:$C,'Weekly Log'!$A:$A,"&gt;="&amp;$J1825,'Weekly Log'!$A:$A,"&lt;"&amp;$J1825+7))</f>
        <v/>
      </c>
      <c r="C1825">
        <f>IF($J1825="","",IFERROR(COUNTIFS('Weekly Log'!$G:$G,"Y",'Weekly Log'!$A:$A,"&gt;="&amp;$J1825,'Weekly Log'!$A:$A,"&lt;"&amp;$J1825+7)/COUNTIFS('Weekly Log'!$G:$G,"&lt;&gt;",'Weekly Log'!$A:$A,"&gt;="&amp;$J1825,'Weekly Log'!$A:$A,"&lt;"&amp;$J1825+7),0))</f>
        <v/>
      </c>
      <c r="D1825">
        <f>IF($J1825="","",IFERROR(COUNTIFS('Weekly Log'!$H:$H,"Y",'Weekly Log'!$A:$A,"&gt;="&amp;$J1825,'Weekly Log'!$A:$A,"&lt;"&amp;$J1825+7)/COUNTIFS('Weekly Log'!$H:$H,"&lt;&gt;",'Weekly Log'!$A:$A,"&gt;="&amp;$J1825,'Weekly Log'!$A:$A,"&lt;"&amp;$J1825+7),0))</f>
        <v/>
      </c>
      <c r="E1825">
        <f>IF($J1825="","",IFERROR(AVERAGEIFS('Weekly Log'!$F:$F,'Weekly Log'!$A:$A,"&gt;="&amp;$J1825,'Weekly Log'!$A:$A,"&lt;"&amp;$J1825+7),0))</f>
        <v/>
      </c>
      <c r="F1825">
        <f>IF($J1825="","",IFERROR(SUMIFS('Weekly Log'!$F:$F,'Weekly Log'!$A:$A,"&gt;="&amp;$J1825,'Weekly Log'!$A:$A,"&lt;"&amp;$J1825+7)/SUMIFS('Weekly Log'!$E:$E,'Weekly Log'!$A:$A,"&gt;="&amp;$J1825,'Weekly Log'!$A:$A,"&lt;"&amp;$J1825+7),0))</f>
        <v/>
      </c>
      <c r="G1825">
        <f>IF($J1825="","",IFERROR(LOOKUP(2,1/(('Weekly Log'!$A$5:$A$5000&gt;=$J1825)*('Weekly Log'!$A$5:$A$5000&lt;$J1825+7)*('Weekly Log'!$M$5:$M$5000&lt;&gt;"")),'Weekly Log'!$M$5:$M$5000),0))</f>
        <v/>
      </c>
      <c r="J1825">
        <f>IF(COUNT('Weekly Log'!$A$5:$A$5000)=0,"",IF(MIN('Weekly Log'!$A$5:$A$5000)+7*(ROW()-10)&gt;MAX('Weekly Log'!$A$5:$A$5000),"",MIN('Weekly Log'!$A$5:$A$5000)+7*(ROW()-10)))</f>
        <v/>
      </c>
    </row>
    <row r="1826">
      <c r="A1826">
        <f>IF($J1826="","",YEAR($J1826-WEEKDAY($J1826,2)+4)&amp;"-W"&amp;TEXT(WEEKNUM($J1826,21),"00"))</f>
        <v/>
      </c>
      <c r="B1826">
        <f>IF($J1826="","",SUMIFS('Weekly Log'!$C:$C,'Weekly Log'!$A:$A,"&gt;="&amp;$J1826,'Weekly Log'!$A:$A,"&lt;"&amp;$J1826+7))</f>
        <v/>
      </c>
      <c r="C1826">
        <f>IF($J1826="","",IFERROR(COUNTIFS('Weekly Log'!$G:$G,"Y",'Weekly Log'!$A:$A,"&gt;="&amp;$J1826,'Weekly Log'!$A:$A,"&lt;"&amp;$J1826+7)/COUNTIFS('Weekly Log'!$G:$G,"&lt;&gt;",'Weekly Log'!$A:$A,"&gt;="&amp;$J1826,'Weekly Log'!$A:$A,"&lt;"&amp;$J1826+7),0))</f>
        <v/>
      </c>
      <c r="D1826">
        <f>IF($J1826="","",IFERROR(COUNTIFS('Weekly Log'!$H:$H,"Y",'Weekly Log'!$A:$A,"&gt;="&amp;$J1826,'Weekly Log'!$A:$A,"&lt;"&amp;$J1826+7)/COUNTIFS('Weekly Log'!$H:$H,"&lt;&gt;",'Weekly Log'!$A:$A,"&gt;="&amp;$J1826,'Weekly Log'!$A:$A,"&lt;"&amp;$J1826+7),0))</f>
        <v/>
      </c>
      <c r="E1826">
        <f>IF($J1826="","",IFERROR(AVERAGEIFS('Weekly Log'!$F:$F,'Weekly Log'!$A:$A,"&gt;="&amp;$J1826,'Weekly Log'!$A:$A,"&lt;"&amp;$J1826+7),0))</f>
        <v/>
      </c>
      <c r="F1826">
        <f>IF($J1826="","",IFERROR(SUMIFS('Weekly Log'!$F:$F,'Weekly Log'!$A:$A,"&gt;="&amp;$J1826,'Weekly Log'!$A:$A,"&lt;"&amp;$J1826+7)/SUMIFS('Weekly Log'!$E:$E,'Weekly Log'!$A:$A,"&gt;="&amp;$J1826,'Weekly Log'!$A:$A,"&lt;"&amp;$J1826+7),0))</f>
        <v/>
      </c>
      <c r="G1826">
        <f>IF($J1826="","",IFERROR(LOOKUP(2,1/(('Weekly Log'!$A$5:$A$5000&gt;=$J1826)*('Weekly Log'!$A$5:$A$5000&lt;$J1826+7)*('Weekly Log'!$M$5:$M$5000&lt;&gt;"")),'Weekly Log'!$M$5:$M$5000),0))</f>
        <v/>
      </c>
      <c r="J1826">
        <f>IF(COUNT('Weekly Log'!$A$5:$A$5000)=0,"",IF(MIN('Weekly Log'!$A$5:$A$5000)+7*(ROW()-10)&gt;MAX('Weekly Log'!$A$5:$A$5000),"",MIN('Weekly Log'!$A$5:$A$5000)+7*(ROW()-10)))</f>
        <v/>
      </c>
    </row>
    <row r="1827">
      <c r="A1827">
        <f>IF($J1827="","",YEAR($J1827-WEEKDAY($J1827,2)+4)&amp;"-W"&amp;TEXT(WEEKNUM($J1827,21),"00"))</f>
        <v/>
      </c>
      <c r="B1827">
        <f>IF($J1827="","",SUMIFS('Weekly Log'!$C:$C,'Weekly Log'!$A:$A,"&gt;="&amp;$J1827,'Weekly Log'!$A:$A,"&lt;"&amp;$J1827+7))</f>
        <v/>
      </c>
      <c r="C1827">
        <f>IF($J1827="","",IFERROR(COUNTIFS('Weekly Log'!$G:$G,"Y",'Weekly Log'!$A:$A,"&gt;="&amp;$J1827,'Weekly Log'!$A:$A,"&lt;"&amp;$J1827+7)/COUNTIFS('Weekly Log'!$G:$G,"&lt;&gt;",'Weekly Log'!$A:$A,"&gt;="&amp;$J1827,'Weekly Log'!$A:$A,"&lt;"&amp;$J1827+7),0))</f>
        <v/>
      </c>
      <c r="D1827">
        <f>IF($J1827="","",IFERROR(COUNTIFS('Weekly Log'!$H:$H,"Y",'Weekly Log'!$A:$A,"&gt;="&amp;$J1827,'Weekly Log'!$A:$A,"&lt;"&amp;$J1827+7)/COUNTIFS('Weekly Log'!$H:$H,"&lt;&gt;",'Weekly Log'!$A:$A,"&gt;="&amp;$J1827,'Weekly Log'!$A:$A,"&lt;"&amp;$J1827+7),0))</f>
        <v/>
      </c>
      <c r="E1827">
        <f>IF($J1827="","",IFERROR(AVERAGEIFS('Weekly Log'!$F:$F,'Weekly Log'!$A:$A,"&gt;="&amp;$J1827,'Weekly Log'!$A:$A,"&lt;"&amp;$J1827+7),0))</f>
        <v/>
      </c>
      <c r="F1827">
        <f>IF($J1827="","",IFERROR(SUMIFS('Weekly Log'!$F:$F,'Weekly Log'!$A:$A,"&gt;="&amp;$J1827,'Weekly Log'!$A:$A,"&lt;"&amp;$J1827+7)/SUMIFS('Weekly Log'!$E:$E,'Weekly Log'!$A:$A,"&gt;="&amp;$J1827,'Weekly Log'!$A:$A,"&lt;"&amp;$J1827+7),0))</f>
        <v/>
      </c>
      <c r="G1827">
        <f>IF($J1827="","",IFERROR(LOOKUP(2,1/(('Weekly Log'!$A$5:$A$5000&gt;=$J1827)*('Weekly Log'!$A$5:$A$5000&lt;$J1827+7)*('Weekly Log'!$M$5:$M$5000&lt;&gt;"")),'Weekly Log'!$M$5:$M$5000),0))</f>
        <v/>
      </c>
      <c r="J1827">
        <f>IF(COUNT('Weekly Log'!$A$5:$A$5000)=0,"",IF(MIN('Weekly Log'!$A$5:$A$5000)+7*(ROW()-10)&gt;MAX('Weekly Log'!$A$5:$A$5000),"",MIN('Weekly Log'!$A$5:$A$5000)+7*(ROW()-10)))</f>
        <v/>
      </c>
    </row>
    <row r="1828">
      <c r="A1828">
        <f>IF($J1828="","",YEAR($J1828-WEEKDAY($J1828,2)+4)&amp;"-W"&amp;TEXT(WEEKNUM($J1828,21),"00"))</f>
        <v/>
      </c>
      <c r="B1828">
        <f>IF($J1828="","",SUMIFS('Weekly Log'!$C:$C,'Weekly Log'!$A:$A,"&gt;="&amp;$J1828,'Weekly Log'!$A:$A,"&lt;"&amp;$J1828+7))</f>
        <v/>
      </c>
      <c r="C1828">
        <f>IF($J1828="","",IFERROR(COUNTIFS('Weekly Log'!$G:$G,"Y",'Weekly Log'!$A:$A,"&gt;="&amp;$J1828,'Weekly Log'!$A:$A,"&lt;"&amp;$J1828+7)/COUNTIFS('Weekly Log'!$G:$G,"&lt;&gt;",'Weekly Log'!$A:$A,"&gt;="&amp;$J1828,'Weekly Log'!$A:$A,"&lt;"&amp;$J1828+7),0))</f>
        <v/>
      </c>
      <c r="D1828">
        <f>IF($J1828="","",IFERROR(COUNTIFS('Weekly Log'!$H:$H,"Y",'Weekly Log'!$A:$A,"&gt;="&amp;$J1828,'Weekly Log'!$A:$A,"&lt;"&amp;$J1828+7)/COUNTIFS('Weekly Log'!$H:$H,"&lt;&gt;",'Weekly Log'!$A:$A,"&gt;="&amp;$J1828,'Weekly Log'!$A:$A,"&lt;"&amp;$J1828+7),0))</f>
        <v/>
      </c>
      <c r="E1828">
        <f>IF($J1828="","",IFERROR(AVERAGEIFS('Weekly Log'!$F:$F,'Weekly Log'!$A:$A,"&gt;="&amp;$J1828,'Weekly Log'!$A:$A,"&lt;"&amp;$J1828+7),0))</f>
        <v/>
      </c>
      <c r="F1828">
        <f>IF($J1828="","",IFERROR(SUMIFS('Weekly Log'!$F:$F,'Weekly Log'!$A:$A,"&gt;="&amp;$J1828,'Weekly Log'!$A:$A,"&lt;"&amp;$J1828+7)/SUMIFS('Weekly Log'!$E:$E,'Weekly Log'!$A:$A,"&gt;="&amp;$J1828,'Weekly Log'!$A:$A,"&lt;"&amp;$J1828+7),0))</f>
        <v/>
      </c>
      <c r="G1828">
        <f>IF($J1828="","",IFERROR(LOOKUP(2,1/(('Weekly Log'!$A$5:$A$5000&gt;=$J1828)*('Weekly Log'!$A$5:$A$5000&lt;$J1828+7)*('Weekly Log'!$M$5:$M$5000&lt;&gt;"")),'Weekly Log'!$M$5:$M$5000),0))</f>
        <v/>
      </c>
      <c r="J1828">
        <f>IF(COUNT('Weekly Log'!$A$5:$A$5000)=0,"",IF(MIN('Weekly Log'!$A$5:$A$5000)+7*(ROW()-10)&gt;MAX('Weekly Log'!$A$5:$A$5000),"",MIN('Weekly Log'!$A$5:$A$5000)+7*(ROW()-10)))</f>
        <v/>
      </c>
    </row>
    <row r="1829">
      <c r="A1829">
        <f>IF($J1829="","",YEAR($J1829-WEEKDAY($J1829,2)+4)&amp;"-W"&amp;TEXT(WEEKNUM($J1829,21),"00"))</f>
        <v/>
      </c>
      <c r="B1829">
        <f>IF($J1829="","",SUMIFS('Weekly Log'!$C:$C,'Weekly Log'!$A:$A,"&gt;="&amp;$J1829,'Weekly Log'!$A:$A,"&lt;"&amp;$J1829+7))</f>
        <v/>
      </c>
      <c r="C1829">
        <f>IF($J1829="","",IFERROR(COUNTIFS('Weekly Log'!$G:$G,"Y",'Weekly Log'!$A:$A,"&gt;="&amp;$J1829,'Weekly Log'!$A:$A,"&lt;"&amp;$J1829+7)/COUNTIFS('Weekly Log'!$G:$G,"&lt;&gt;",'Weekly Log'!$A:$A,"&gt;="&amp;$J1829,'Weekly Log'!$A:$A,"&lt;"&amp;$J1829+7),0))</f>
        <v/>
      </c>
      <c r="D1829">
        <f>IF($J1829="","",IFERROR(COUNTIFS('Weekly Log'!$H:$H,"Y",'Weekly Log'!$A:$A,"&gt;="&amp;$J1829,'Weekly Log'!$A:$A,"&lt;"&amp;$J1829+7)/COUNTIFS('Weekly Log'!$H:$H,"&lt;&gt;",'Weekly Log'!$A:$A,"&gt;="&amp;$J1829,'Weekly Log'!$A:$A,"&lt;"&amp;$J1829+7),0))</f>
        <v/>
      </c>
      <c r="E1829">
        <f>IF($J1829="","",IFERROR(AVERAGEIFS('Weekly Log'!$F:$F,'Weekly Log'!$A:$A,"&gt;="&amp;$J1829,'Weekly Log'!$A:$A,"&lt;"&amp;$J1829+7),0))</f>
        <v/>
      </c>
      <c r="F1829">
        <f>IF($J1829="","",IFERROR(SUMIFS('Weekly Log'!$F:$F,'Weekly Log'!$A:$A,"&gt;="&amp;$J1829,'Weekly Log'!$A:$A,"&lt;"&amp;$J1829+7)/SUMIFS('Weekly Log'!$E:$E,'Weekly Log'!$A:$A,"&gt;="&amp;$J1829,'Weekly Log'!$A:$A,"&lt;"&amp;$J1829+7),0))</f>
        <v/>
      </c>
      <c r="G1829">
        <f>IF($J1829="","",IFERROR(LOOKUP(2,1/(('Weekly Log'!$A$5:$A$5000&gt;=$J1829)*('Weekly Log'!$A$5:$A$5000&lt;$J1829+7)*('Weekly Log'!$M$5:$M$5000&lt;&gt;"")),'Weekly Log'!$M$5:$M$5000),0))</f>
        <v/>
      </c>
      <c r="J1829">
        <f>IF(COUNT('Weekly Log'!$A$5:$A$5000)=0,"",IF(MIN('Weekly Log'!$A$5:$A$5000)+7*(ROW()-10)&gt;MAX('Weekly Log'!$A$5:$A$5000),"",MIN('Weekly Log'!$A$5:$A$5000)+7*(ROW()-10)))</f>
        <v/>
      </c>
    </row>
    <row r="1830">
      <c r="A1830">
        <f>IF($J1830="","",YEAR($J1830-WEEKDAY($J1830,2)+4)&amp;"-W"&amp;TEXT(WEEKNUM($J1830,21),"00"))</f>
        <v/>
      </c>
      <c r="B1830">
        <f>IF($J1830="","",SUMIFS('Weekly Log'!$C:$C,'Weekly Log'!$A:$A,"&gt;="&amp;$J1830,'Weekly Log'!$A:$A,"&lt;"&amp;$J1830+7))</f>
        <v/>
      </c>
      <c r="C1830">
        <f>IF($J1830="","",IFERROR(COUNTIFS('Weekly Log'!$G:$G,"Y",'Weekly Log'!$A:$A,"&gt;="&amp;$J1830,'Weekly Log'!$A:$A,"&lt;"&amp;$J1830+7)/COUNTIFS('Weekly Log'!$G:$G,"&lt;&gt;",'Weekly Log'!$A:$A,"&gt;="&amp;$J1830,'Weekly Log'!$A:$A,"&lt;"&amp;$J1830+7),0))</f>
        <v/>
      </c>
      <c r="D1830">
        <f>IF($J1830="","",IFERROR(COUNTIFS('Weekly Log'!$H:$H,"Y",'Weekly Log'!$A:$A,"&gt;="&amp;$J1830,'Weekly Log'!$A:$A,"&lt;"&amp;$J1830+7)/COUNTIFS('Weekly Log'!$H:$H,"&lt;&gt;",'Weekly Log'!$A:$A,"&gt;="&amp;$J1830,'Weekly Log'!$A:$A,"&lt;"&amp;$J1830+7),0))</f>
        <v/>
      </c>
      <c r="E1830">
        <f>IF($J1830="","",IFERROR(AVERAGEIFS('Weekly Log'!$F:$F,'Weekly Log'!$A:$A,"&gt;="&amp;$J1830,'Weekly Log'!$A:$A,"&lt;"&amp;$J1830+7),0))</f>
        <v/>
      </c>
      <c r="F1830">
        <f>IF($J1830="","",IFERROR(SUMIFS('Weekly Log'!$F:$F,'Weekly Log'!$A:$A,"&gt;="&amp;$J1830,'Weekly Log'!$A:$A,"&lt;"&amp;$J1830+7)/SUMIFS('Weekly Log'!$E:$E,'Weekly Log'!$A:$A,"&gt;="&amp;$J1830,'Weekly Log'!$A:$A,"&lt;"&amp;$J1830+7),0))</f>
        <v/>
      </c>
      <c r="G1830">
        <f>IF($J1830="","",IFERROR(LOOKUP(2,1/(('Weekly Log'!$A$5:$A$5000&gt;=$J1830)*('Weekly Log'!$A$5:$A$5000&lt;$J1830+7)*('Weekly Log'!$M$5:$M$5000&lt;&gt;"")),'Weekly Log'!$M$5:$M$5000),0))</f>
        <v/>
      </c>
      <c r="J1830">
        <f>IF(COUNT('Weekly Log'!$A$5:$A$5000)=0,"",IF(MIN('Weekly Log'!$A$5:$A$5000)+7*(ROW()-10)&gt;MAX('Weekly Log'!$A$5:$A$5000),"",MIN('Weekly Log'!$A$5:$A$5000)+7*(ROW()-10)))</f>
        <v/>
      </c>
    </row>
    <row r="1831">
      <c r="A1831">
        <f>IF($J1831="","",YEAR($J1831-WEEKDAY($J1831,2)+4)&amp;"-W"&amp;TEXT(WEEKNUM($J1831,21),"00"))</f>
        <v/>
      </c>
      <c r="B1831">
        <f>IF($J1831="","",SUMIFS('Weekly Log'!$C:$C,'Weekly Log'!$A:$A,"&gt;="&amp;$J1831,'Weekly Log'!$A:$A,"&lt;"&amp;$J1831+7))</f>
        <v/>
      </c>
      <c r="C1831">
        <f>IF($J1831="","",IFERROR(COUNTIFS('Weekly Log'!$G:$G,"Y",'Weekly Log'!$A:$A,"&gt;="&amp;$J1831,'Weekly Log'!$A:$A,"&lt;"&amp;$J1831+7)/COUNTIFS('Weekly Log'!$G:$G,"&lt;&gt;",'Weekly Log'!$A:$A,"&gt;="&amp;$J1831,'Weekly Log'!$A:$A,"&lt;"&amp;$J1831+7),0))</f>
        <v/>
      </c>
      <c r="D1831">
        <f>IF($J1831="","",IFERROR(COUNTIFS('Weekly Log'!$H:$H,"Y",'Weekly Log'!$A:$A,"&gt;="&amp;$J1831,'Weekly Log'!$A:$A,"&lt;"&amp;$J1831+7)/COUNTIFS('Weekly Log'!$H:$H,"&lt;&gt;",'Weekly Log'!$A:$A,"&gt;="&amp;$J1831,'Weekly Log'!$A:$A,"&lt;"&amp;$J1831+7),0))</f>
        <v/>
      </c>
      <c r="E1831">
        <f>IF($J1831="","",IFERROR(AVERAGEIFS('Weekly Log'!$F:$F,'Weekly Log'!$A:$A,"&gt;="&amp;$J1831,'Weekly Log'!$A:$A,"&lt;"&amp;$J1831+7),0))</f>
        <v/>
      </c>
      <c r="F1831">
        <f>IF($J1831="","",IFERROR(SUMIFS('Weekly Log'!$F:$F,'Weekly Log'!$A:$A,"&gt;="&amp;$J1831,'Weekly Log'!$A:$A,"&lt;"&amp;$J1831+7)/SUMIFS('Weekly Log'!$E:$E,'Weekly Log'!$A:$A,"&gt;="&amp;$J1831,'Weekly Log'!$A:$A,"&lt;"&amp;$J1831+7),0))</f>
        <v/>
      </c>
      <c r="G1831">
        <f>IF($J1831="","",IFERROR(LOOKUP(2,1/(('Weekly Log'!$A$5:$A$5000&gt;=$J1831)*('Weekly Log'!$A$5:$A$5000&lt;$J1831+7)*('Weekly Log'!$M$5:$M$5000&lt;&gt;"")),'Weekly Log'!$M$5:$M$5000),0))</f>
        <v/>
      </c>
      <c r="J1831">
        <f>IF(COUNT('Weekly Log'!$A$5:$A$5000)=0,"",IF(MIN('Weekly Log'!$A$5:$A$5000)+7*(ROW()-10)&gt;MAX('Weekly Log'!$A$5:$A$5000),"",MIN('Weekly Log'!$A$5:$A$5000)+7*(ROW()-10)))</f>
        <v/>
      </c>
    </row>
    <row r="1832">
      <c r="A1832">
        <f>IF($J1832="","",YEAR($J1832-WEEKDAY($J1832,2)+4)&amp;"-W"&amp;TEXT(WEEKNUM($J1832,21),"00"))</f>
        <v/>
      </c>
      <c r="B1832">
        <f>IF($J1832="","",SUMIFS('Weekly Log'!$C:$C,'Weekly Log'!$A:$A,"&gt;="&amp;$J1832,'Weekly Log'!$A:$A,"&lt;"&amp;$J1832+7))</f>
        <v/>
      </c>
      <c r="C1832">
        <f>IF($J1832="","",IFERROR(COUNTIFS('Weekly Log'!$G:$G,"Y",'Weekly Log'!$A:$A,"&gt;="&amp;$J1832,'Weekly Log'!$A:$A,"&lt;"&amp;$J1832+7)/COUNTIFS('Weekly Log'!$G:$G,"&lt;&gt;",'Weekly Log'!$A:$A,"&gt;="&amp;$J1832,'Weekly Log'!$A:$A,"&lt;"&amp;$J1832+7),0))</f>
        <v/>
      </c>
      <c r="D1832">
        <f>IF($J1832="","",IFERROR(COUNTIFS('Weekly Log'!$H:$H,"Y",'Weekly Log'!$A:$A,"&gt;="&amp;$J1832,'Weekly Log'!$A:$A,"&lt;"&amp;$J1832+7)/COUNTIFS('Weekly Log'!$H:$H,"&lt;&gt;",'Weekly Log'!$A:$A,"&gt;="&amp;$J1832,'Weekly Log'!$A:$A,"&lt;"&amp;$J1832+7),0))</f>
        <v/>
      </c>
      <c r="E1832">
        <f>IF($J1832="","",IFERROR(AVERAGEIFS('Weekly Log'!$F:$F,'Weekly Log'!$A:$A,"&gt;="&amp;$J1832,'Weekly Log'!$A:$A,"&lt;"&amp;$J1832+7),0))</f>
        <v/>
      </c>
      <c r="F1832">
        <f>IF($J1832="","",IFERROR(SUMIFS('Weekly Log'!$F:$F,'Weekly Log'!$A:$A,"&gt;="&amp;$J1832,'Weekly Log'!$A:$A,"&lt;"&amp;$J1832+7)/SUMIFS('Weekly Log'!$E:$E,'Weekly Log'!$A:$A,"&gt;="&amp;$J1832,'Weekly Log'!$A:$A,"&lt;"&amp;$J1832+7),0))</f>
        <v/>
      </c>
      <c r="G1832">
        <f>IF($J1832="","",IFERROR(LOOKUP(2,1/(('Weekly Log'!$A$5:$A$5000&gt;=$J1832)*('Weekly Log'!$A$5:$A$5000&lt;$J1832+7)*('Weekly Log'!$M$5:$M$5000&lt;&gt;"")),'Weekly Log'!$M$5:$M$5000),0))</f>
        <v/>
      </c>
      <c r="J1832">
        <f>IF(COUNT('Weekly Log'!$A$5:$A$5000)=0,"",IF(MIN('Weekly Log'!$A$5:$A$5000)+7*(ROW()-10)&gt;MAX('Weekly Log'!$A$5:$A$5000),"",MIN('Weekly Log'!$A$5:$A$5000)+7*(ROW()-10)))</f>
        <v/>
      </c>
    </row>
    <row r="1833">
      <c r="A1833">
        <f>IF($J1833="","",YEAR($J1833-WEEKDAY($J1833,2)+4)&amp;"-W"&amp;TEXT(WEEKNUM($J1833,21),"00"))</f>
        <v/>
      </c>
      <c r="B1833">
        <f>IF($J1833="","",SUMIFS('Weekly Log'!$C:$C,'Weekly Log'!$A:$A,"&gt;="&amp;$J1833,'Weekly Log'!$A:$A,"&lt;"&amp;$J1833+7))</f>
        <v/>
      </c>
      <c r="C1833">
        <f>IF($J1833="","",IFERROR(COUNTIFS('Weekly Log'!$G:$G,"Y",'Weekly Log'!$A:$A,"&gt;="&amp;$J1833,'Weekly Log'!$A:$A,"&lt;"&amp;$J1833+7)/COUNTIFS('Weekly Log'!$G:$G,"&lt;&gt;",'Weekly Log'!$A:$A,"&gt;="&amp;$J1833,'Weekly Log'!$A:$A,"&lt;"&amp;$J1833+7),0))</f>
        <v/>
      </c>
      <c r="D1833">
        <f>IF($J1833="","",IFERROR(COUNTIFS('Weekly Log'!$H:$H,"Y",'Weekly Log'!$A:$A,"&gt;="&amp;$J1833,'Weekly Log'!$A:$A,"&lt;"&amp;$J1833+7)/COUNTIFS('Weekly Log'!$H:$H,"&lt;&gt;",'Weekly Log'!$A:$A,"&gt;="&amp;$J1833,'Weekly Log'!$A:$A,"&lt;"&amp;$J1833+7),0))</f>
        <v/>
      </c>
      <c r="E1833">
        <f>IF($J1833="","",IFERROR(AVERAGEIFS('Weekly Log'!$F:$F,'Weekly Log'!$A:$A,"&gt;="&amp;$J1833,'Weekly Log'!$A:$A,"&lt;"&amp;$J1833+7),0))</f>
        <v/>
      </c>
      <c r="F1833">
        <f>IF($J1833="","",IFERROR(SUMIFS('Weekly Log'!$F:$F,'Weekly Log'!$A:$A,"&gt;="&amp;$J1833,'Weekly Log'!$A:$A,"&lt;"&amp;$J1833+7)/SUMIFS('Weekly Log'!$E:$E,'Weekly Log'!$A:$A,"&gt;="&amp;$J1833,'Weekly Log'!$A:$A,"&lt;"&amp;$J1833+7),0))</f>
        <v/>
      </c>
      <c r="G1833">
        <f>IF($J1833="","",IFERROR(LOOKUP(2,1/(('Weekly Log'!$A$5:$A$5000&gt;=$J1833)*('Weekly Log'!$A$5:$A$5000&lt;$J1833+7)*('Weekly Log'!$M$5:$M$5000&lt;&gt;"")),'Weekly Log'!$M$5:$M$5000),0))</f>
        <v/>
      </c>
      <c r="J1833">
        <f>IF(COUNT('Weekly Log'!$A$5:$A$5000)=0,"",IF(MIN('Weekly Log'!$A$5:$A$5000)+7*(ROW()-10)&gt;MAX('Weekly Log'!$A$5:$A$5000),"",MIN('Weekly Log'!$A$5:$A$5000)+7*(ROW()-10)))</f>
        <v/>
      </c>
    </row>
    <row r="1834">
      <c r="A1834">
        <f>IF($J1834="","",YEAR($J1834-WEEKDAY($J1834,2)+4)&amp;"-W"&amp;TEXT(WEEKNUM($J1834,21),"00"))</f>
        <v/>
      </c>
      <c r="B1834">
        <f>IF($J1834="","",SUMIFS('Weekly Log'!$C:$C,'Weekly Log'!$A:$A,"&gt;="&amp;$J1834,'Weekly Log'!$A:$A,"&lt;"&amp;$J1834+7))</f>
        <v/>
      </c>
      <c r="C1834">
        <f>IF($J1834="","",IFERROR(COUNTIFS('Weekly Log'!$G:$G,"Y",'Weekly Log'!$A:$A,"&gt;="&amp;$J1834,'Weekly Log'!$A:$A,"&lt;"&amp;$J1834+7)/COUNTIFS('Weekly Log'!$G:$G,"&lt;&gt;",'Weekly Log'!$A:$A,"&gt;="&amp;$J1834,'Weekly Log'!$A:$A,"&lt;"&amp;$J1834+7),0))</f>
        <v/>
      </c>
      <c r="D1834">
        <f>IF($J1834="","",IFERROR(COUNTIFS('Weekly Log'!$H:$H,"Y",'Weekly Log'!$A:$A,"&gt;="&amp;$J1834,'Weekly Log'!$A:$A,"&lt;"&amp;$J1834+7)/COUNTIFS('Weekly Log'!$H:$H,"&lt;&gt;",'Weekly Log'!$A:$A,"&gt;="&amp;$J1834,'Weekly Log'!$A:$A,"&lt;"&amp;$J1834+7),0))</f>
        <v/>
      </c>
      <c r="E1834">
        <f>IF($J1834="","",IFERROR(AVERAGEIFS('Weekly Log'!$F:$F,'Weekly Log'!$A:$A,"&gt;="&amp;$J1834,'Weekly Log'!$A:$A,"&lt;"&amp;$J1834+7),0))</f>
        <v/>
      </c>
      <c r="F1834">
        <f>IF($J1834="","",IFERROR(SUMIFS('Weekly Log'!$F:$F,'Weekly Log'!$A:$A,"&gt;="&amp;$J1834,'Weekly Log'!$A:$A,"&lt;"&amp;$J1834+7)/SUMIFS('Weekly Log'!$E:$E,'Weekly Log'!$A:$A,"&gt;="&amp;$J1834,'Weekly Log'!$A:$A,"&lt;"&amp;$J1834+7),0))</f>
        <v/>
      </c>
      <c r="G1834">
        <f>IF($J1834="","",IFERROR(LOOKUP(2,1/(('Weekly Log'!$A$5:$A$5000&gt;=$J1834)*('Weekly Log'!$A$5:$A$5000&lt;$J1834+7)*('Weekly Log'!$M$5:$M$5000&lt;&gt;"")),'Weekly Log'!$M$5:$M$5000),0))</f>
        <v/>
      </c>
      <c r="J1834">
        <f>IF(COUNT('Weekly Log'!$A$5:$A$5000)=0,"",IF(MIN('Weekly Log'!$A$5:$A$5000)+7*(ROW()-10)&gt;MAX('Weekly Log'!$A$5:$A$5000),"",MIN('Weekly Log'!$A$5:$A$5000)+7*(ROW()-10)))</f>
        <v/>
      </c>
    </row>
    <row r="1835">
      <c r="A1835">
        <f>IF($J1835="","",YEAR($J1835-WEEKDAY($J1835,2)+4)&amp;"-W"&amp;TEXT(WEEKNUM($J1835,21),"00"))</f>
        <v/>
      </c>
      <c r="B1835">
        <f>IF($J1835="","",SUMIFS('Weekly Log'!$C:$C,'Weekly Log'!$A:$A,"&gt;="&amp;$J1835,'Weekly Log'!$A:$A,"&lt;"&amp;$J1835+7))</f>
        <v/>
      </c>
      <c r="C1835">
        <f>IF($J1835="","",IFERROR(COUNTIFS('Weekly Log'!$G:$G,"Y",'Weekly Log'!$A:$A,"&gt;="&amp;$J1835,'Weekly Log'!$A:$A,"&lt;"&amp;$J1835+7)/COUNTIFS('Weekly Log'!$G:$G,"&lt;&gt;",'Weekly Log'!$A:$A,"&gt;="&amp;$J1835,'Weekly Log'!$A:$A,"&lt;"&amp;$J1835+7),0))</f>
        <v/>
      </c>
      <c r="D1835">
        <f>IF($J1835="","",IFERROR(COUNTIFS('Weekly Log'!$H:$H,"Y",'Weekly Log'!$A:$A,"&gt;="&amp;$J1835,'Weekly Log'!$A:$A,"&lt;"&amp;$J1835+7)/COUNTIFS('Weekly Log'!$H:$H,"&lt;&gt;",'Weekly Log'!$A:$A,"&gt;="&amp;$J1835,'Weekly Log'!$A:$A,"&lt;"&amp;$J1835+7),0))</f>
        <v/>
      </c>
      <c r="E1835">
        <f>IF($J1835="","",IFERROR(AVERAGEIFS('Weekly Log'!$F:$F,'Weekly Log'!$A:$A,"&gt;="&amp;$J1835,'Weekly Log'!$A:$A,"&lt;"&amp;$J1835+7),0))</f>
        <v/>
      </c>
      <c r="F1835">
        <f>IF($J1835="","",IFERROR(SUMIFS('Weekly Log'!$F:$F,'Weekly Log'!$A:$A,"&gt;="&amp;$J1835,'Weekly Log'!$A:$A,"&lt;"&amp;$J1835+7)/SUMIFS('Weekly Log'!$E:$E,'Weekly Log'!$A:$A,"&gt;="&amp;$J1835,'Weekly Log'!$A:$A,"&lt;"&amp;$J1835+7),0))</f>
        <v/>
      </c>
      <c r="G1835">
        <f>IF($J1835="","",IFERROR(LOOKUP(2,1/(('Weekly Log'!$A$5:$A$5000&gt;=$J1835)*('Weekly Log'!$A$5:$A$5000&lt;$J1835+7)*('Weekly Log'!$M$5:$M$5000&lt;&gt;"")),'Weekly Log'!$M$5:$M$5000),0))</f>
        <v/>
      </c>
      <c r="J1835">
        <f>IF(COUNT('Weekly Log'!$A$5:$A$5000)=0,"",IF(MIN('Weekly Log'!$A$5:$A$5000)+7*(ROW()-10)&gt;MAX('Weekly Log'!$A$5:$A$5000),"",MIN('Weekly Log'!$A$5:$A$5000)+7*(ROW()-10)))</f>
        <v/>
      </c>
    </row>
    <row r="1836">
      <c r="A1836">
        <f>IF($J1836="","",YEAR($J1836-WEEKDAY($J1836,2)+4)&amp;"-W"&amp;TEXT(WEEKNUM($J1836,21),"00"))</f>
        <v/>
      </c>
      <c r="B1836">
        <f>IF($J1836="","",SUMIFS('Weekly Log'!$C:$C,'Weekly Log'!$A:$A,"&gt;="&amp;$J1836,'Weekly Log'!$A:$A,"&lt;"&amp;$J1836+7))</f>
        <v/>
      </c>
      <c r="C1836">
        <f>IF($J1836="","",IFERROR(COUNTIFS('Weekly Log'!$G:$G,"Y",'Weekly Log'!$A:$A,"&gt;="&amp;$J1836,'Weekly Log'!$A:$A,"&lt;"&amp;$J1836+7)/COUNTIFS('Weekly Log'!$G:$G,"&lt;&gt;",'Weekly Log'!$A:$A,"&gt;="&amp;$J1836,'Weekly Log'!$A:$A,"&lt;"&amp;$J1836+7),0))</f>
        <v/>
      </c>
      <c r="D1836">
        <f>IF($J1836="","",IFERROR(COUNTIFS('Weekly Log'!$H:$H,"Y",'Weekly Log'!$A:$A,"&gt;="&amp;$J1836,'Weekly Log'!$A:$A,"&lt;"&amp;$J1836+7)/COUNTIFS('Weekly Log'!$H:$H,"&lt;&gt;",'Weekly Log'!$A:$A,"&gt;="&amp;$J1836,'Weekly Log'!$A:$A,"&lt;"&amp;$J1836+7),0))</f>
        <v/>
      </c>
      <c r="E1836">
        <f>IF($J1836="","",IFERROR(AVERAGEIFS('Weekly Log'!$F:$F,'Weekly Log'!$A:$A,"&gt;="&amp;$J1836,'Weekly Log'!$A:$A,"&lt;"&amp;$J1836+7),0))</f>
        <v/>
      </c>
      <c r="F1836">
        <f>IF($J1836="","",IFERROR(SUMIFS('Weekly Log'!$F:$F,'Weekly Log'!$A:$A,"&gt;="&amp;$J1836,'Weekly Log'!$A:$A,"&lt;"&amp;$J1836+7)/SUMIFS('Weekly Log'!$E:$E,'Weekly Log'!$A:$A,"&gt;="&amp;$J1836,'Weekly Log'!$A:$A,"&lt;"&amp;$J1836+7),0))</f>
        <v/>
      </c>
      <c r="G1836">
        <f>IF($J1836="","",IFERROR(LOOKUP(2,1/(('Weekly Log'!$A$5:$A$5000&gt;=$J1836)*('Weekly Log'!$A$5:$A$5000&lt;$J1836+7)*('Weekly Log'!$M$5:$M$5000&lt;&gt;"")),'Weekly Log'!$M$5:$M$5000),0))</f>
        <v/>
      </c>
      <c r="J1836">
        <f>IF(COUNT('Weekly Log'!$A$5:$A$5000)=0,"",IF(MIN('Weekly Log'!$A$5:$A$5000)+7*(ROW()-10)&gt;MAX('Weekly Log'!$A$5:$A$5000),"",MIN('Weekly Log'!$A$5:$A$5000)+7*(ROW()-10)))</f>
        <v/>
      </c>
    </row>
    <row r="1837">
      <c r="A1837">
        <f>IF($J1837="","",YEAR($J1837-WEEKDAY($J1837,2)+4)&amp;"-W"&amp;TEXT(WEEKNUM($J1837,21),"00"))</f>
        <v/>
      </c>
      <c r="B1837">
        <f>IF($J1837="","",SUMIFS('Weekly Log'!$C:$C,'Weekly Log'!$A:$A,"&gt;="&amp;$J1837,'Weekly Log'!$A:$A,"&lt;"&amp;$J1837+7))</f>
        <v/>
      </c>
      <c r="C1837">
        <f>IF($J1837="","",IFERROR(COUNTIFS('Weekly Log'!$G:$G,"Y",'Weekly Log'!$A:$A,"&gt;="&amp;$J1837,'Weekly Log'!$A:$A,"&lt;"&amp;$J1837+7)/COUNTIFS('Weekly Log'!$G:$G,"&lt;&gt;",'Weekly Log'!$A:$A,"&gt;="&amp;$J1837,'Weekly Log'!$A:$A,"&lt;"&amp;$J1837+7),0))</f>
        <v/>
      </c>
      <c r="D1837">
        <f>IF($J1837="","",IFERROR(COUNTIFS('Weekly Log'!$H:$H,"Y",'Weekly Log'!$A:$A,"&gt;="&amp;$J1837,'Weekly Log'!$A:$A,"&lt;"&amp;$J1837+7)/COUNTIFS('Weekly Log'!$H:$H,"&lt;&gt;",'Weekly Log'!$A:$A,"&gt;="&amp;$J1837,'Weekly Log'!$A:$A,"&lt;"&amp;$J1837+7),0))</f>
        <v/>
      </c>
      <c r="E1837">
        <f>IF($J1837="","",IFERROR(AVERAGEIFS('Weekly Log'!$F:$F,'Weekly Log'!$A:$A,"&gt;="&amp;$J1837,'Weekly Log'!$A:$A,"&lt;"&amp;$J1837+7),0))</f>
        <v/>
      </c>
      <c r="F1837">
        <f>IF($J1837="","",IFERROR(SUMIFS('Weekly Log'!$F:$F,'Weekly Log'!$A:$A,"&gt;="&amp;$J1837,'Weekly Log'!$A:$A,"&lt;"&amp;$J1837+7)/SUMIFS('Weekly Log'!$E:$E,'Weekly Log'!$A:$A,"&gt;="&amp;$J1837,'Weekly Log'!$A:$A,"&lt;"&amp;$J1837+7),0))</f>
        <v/>
      </c>
      <c r="G1837">
        <f>IF($J1837="","",IFERROR(LOOKUP(2,1/(('Weekly Log'!$A$5:$A$5000&gt;=$J1837)*('Weekly Log'!$A$5:$A$5000&lt;$J1837+7)*('Weekly Log'!$M$5:$M$5000&lt;&gt;"")),'Weekly Log'!$M$5:$M$5000),0))</f>
        <v/>
      </c>
      <c r="J1837">
        <f>IF(COUNT('Weekly Log'!$A$5:$A$5000)=0,"",IF(MIN('Weekly Log'!$A$5:$A$5000)+7*(ROW()-10)&gt;MAX('Weekly Log'!$A$5:$A$5000),"",MIN('Weekly Log'!$A$5:$A$5000)+7*(ROW()-10)))</f>
        <v/>
      </c>
    </row>
    <row r="1838">
      <c r="A1838">
        <f>IF($J1838="","",YEAR($J1838-WEEKDAY($J1838,2)+4)&amp;"-W"&amp;TEXT(WEEKNUM($J1838,21),"00"))</f>
        <v/>
      </c>
      <c r="B1838">
        <f>IF($J1838="","",SUMIFS('Weekly Log'!$C:$C,'Weekly Log'!$A:$A,"&gt;="&amp;$J1838,'Weekly Log'!$A:$A,"&lt;"&amp;$J1838+7))</f>
        <v/>
      </c>
      <c r="C1838">
        <f>IF($J1838="","",IFERROR(COUNTIFS('Weekly Log'!$G:$G,"Y",'Weekly Log'!$A:$A,"&gt;="&amp;$J1838,'Weekly Log'!$A:$A,"&lt;"&amp;$J1838+7)/COUNTIFS('Weekly Log'!$G:$G,"&lt;&gt;",'Weekly Log'!$A:$A,"&gt;="&amp;$J1838,'Weekly Log'!$A:$A,"&lt;"&amp;$J1838+7),0))</f>
        <v/>
      </c>
      <c r="D1838">
        <f>IF($J1838="","",IFERROR(COUNTIFS('Weekly Log'!$H:$H,"Y",'Weekly Log'!$A:$A,"&gt;="&amp;$J1838,'Weekly Log'!$A:$A,"&lt;"&amp;$J1838+7)/COUNTIFS('Weekly Log'!$H:$H,"&lt;&gt;",'Weekly Log'!$A:$A,"&gt;="&amp;$J1838,'Weekly Log'!$A:$A,"&lt;"&amp;$J1838+7),0))</f>
        <v/>
      </c>
      <c r="E1838">
        <f>IF($J1838="","",IFERROR(AVERAGEIFS('Weekly Log'!$F:$F,'Weekly Log'!$A:$A,"&gt;="&amp;$J1838,'Weekly Log'!$A:$A,"&lt;"&amp;$J1838+7),0))</f>
        <v/>
      </c>
      <c r="F1838">
        <f>IF($J1838="","",IFERROR(SUMIFS('Weekly Log'!$F:$F,'Weekly Log'!$A:$A,"&gt;="&amp;$J1838,'Weekly Log'!$A:$A,"&lt;"&amp;$J1838+7)/SUMIFS('Weekly Log'!$E:$E,'Weekly Log'!$A:$A,"&gt;="&amp;$J1838,'Weekly Log'!$A:$A,"&lt;"&amp;$J1838+7),0))</f>
        <v/>
      </c>
      <c r="G1838">
        <f>IF($J1838="","",IFERROR(LOOKUP(2,1/(('Weekly Log'!$A$5:$A$5000&gt;=$J1838)*('Weekly Log'!$A$5:$A$5000&lt;$J1838+7)*('Weekly Log'!$M$5:$M$5000&lt;&gt;"")),'Weekly Log'!$M$5:$M$5000),0))</f>
        <v/>
      </c>
      <c r="J1838">
        <f>IF(COUNT('Weekly Log'!$A$5:$A$5000)=0,"",IF(MIN('Weekly Log'!$A$5:$A$5000)+7*(ROW()-10)&gt;MAX('Weekly Log'!$A$5:$A$5000),"",MIN('Weekly Log'!$A$5:$A$5000)+7*(ROW()-10)))</f>
        <v/>
      </c>
    </row>
    <row r="1839">
      <c r="A1839">
        <f>IF($J1839="","",YEAR($J1839-WEEKDAY($J1839,2)+4)&amp;"-W"&amp;TEXT(WEEKNUM($J1839,21),"00"))</f>
        <v/>
      </c>
      <c r="B1839">
        <f>IF($J1839="","",SUMIFS('Weekly Log'!$C:$C,'Weekly Log'!$A:$A,"&gt;="&amp;$J1839,'Weekly Log'!$A:$A,"&lt;"&amp;$J1839+7))</f>
        <v/>
      </c>
      <c r="C1839">
        <f>IF($J1839="","",IFERROR(COUNTIFS('Weekly Log'!$G:$G,"Y",'Weekly Log'!$A:$A,"&gt;="&amp;$J1839,'Weekly Log'!$A:$A,"&lt;"&amp;$J1839+7)/COUNTIFS('Weekly Log'!$G:$G,"&lt;&gt;",'Weekly Log'!$A:$A,"&gt;="&amp;$J1839,'Weekly Log'!$A:$A,"&lt;"&amp;$J1839+7),0))</f>
        <v/>
      </c>
      <c r="D1839">
        <f>IF($J1839="","",IFERROR(COUNTIFS('Weekly Log'!$H:$H,"Y",'Weekly Log'!$A:$A,"&gt;="&amp;$J1839,'Weekly Log'!$A:$A,"&lt;"&amp;$J1839+7)/COUNTIFS('Weekly Log'!$H:$H,"&lt;&gt;",'Weekly Log'!$A:$A,"&gt;="&amp;$J1839,'Weekly Log'!$A:$A,"&lt;"&amp;$J1839+7),0))</f>
        <v/>
      </c>
      <c r="E1839">
        <f>IF($J1839="","",IFERROR(AVERAGEIFS('Weekly Log'!$F:$F,'Weekly Log'!$A:$A,"&gt;="&amp;$J1839,'Weekly Log'!$A:$A,"&lt;"&amp;$J1839+7),0))</f>
        <v/>
      </c>
      <c r="F1839">
        <f>IF($J1839="","",IFERROR(SUMIFS('Weekly Log'!$F:$F,'Weekly Log'!$A:$A,"&gt;="&amp;$J1839,'Weekly Log'!$A:$A,"&lt;"&amp;$J1839+7)/SUMIFS('Weekly Log'!$E:$E,'Weekly Log'!$A:$A,"&gt;="&amp;$J1839,'Weekly Log'!$A:$A,"&lt;"&amp;$J1839+7),0))</f>
        <v/>
      </c>
      <c r="G1839">
        <f>IF($J1839="","",IFERROR(LOOKUP(2,1/(('Weekly Log'!$A$5:$A$5000&gt;=$J1839)*('Weekly Log'!$A$5:$A$5000&lt;$J1839+7)*('Weekly Log'!$M$5:$M$5000&lt;&gt;"")),'Weekly Log'!$M$5:$M$5000),0))</f>
        <v/>
      </c>
      <c r="J1839">
        <f>IF(COUNT('Weekly Log'!$A$5:$A$5000)=0,"",IF(MIN('Weekly Log'!$A$5:$A$5000)+7*(ROW()-10)&gt;MAX('Weekly Log'!$A$5:$A$5000),"",MIN('Weekly Log'!$A$5:$A$5000)+7*(ROW()-10)))</f>
        <v/>
      </c>
    </row>
    <row r="1840">
      <c r="A1840">
        <f>IF($J1840="","",YEAR($J1840-WEEKDAY($J1840,2)+4)&amp;"-W"&amp;TEXT(WEEKNUM($J1840,21),"00"))</f>
        <v/>
      </c>
      <c r="B1840">
        <f>IF($J1840="","",SUMIFS('Weekly Log'!$C:$C,'Weekly Log'!$A:$A,"&gt;="&amp;$J1840,'Weekly Log'!$A:$A,"&lt;"&amp;$J1840+7))</f>
        <v/>
      </c>
      <c r="C1840">
        <f>IF($J1840="","",IFERROR(COUNTIFS('Weekly Log'!$G:$G,"Y",'Weekly Log'!$A:$A,"&gt;="&amp;$J1840,'Weekly Log'!$A:$A,"&lt;"&amp;$J1840+7)/COUNTIFS('Weekly Log'!$G:$G,"&lt;&gt;",'Weekly Log'!$A:$A,"&gt;="&amp;$J1840,'Weekly Log'!$A:$A,"&lt;"&amp;$J1840+7),0))</f>
        <v/>
      </c>
      <c r="D1840">
        <f>IF($J1840="","",IFERROR(COUNTIFS('Weekly Log'!$H:$H,"Y",'Weekly Log'!$A:$A,"&gt;="&amp;$J1840,'Weekly Log'!$A:$A,"&lt;"&amp;$J1840+7)/COUNTIFS('Weekly Log'!$H:$H,"&lt;&gt;",'Weekly Log'!$A:$A,"&gt;="&amp;$J1840,'Weekly Log'!$A:$A,"&lt;"&amp;$J1840+7),0))</f>
        <v/>
      </c>
      <c r="E1840">
        <f>IF($J1840="","",IFERROR(AVERAGEIFS('Weekly Log'!$F:$F,'Weekly Log'!$A:$A,"&gt;="&amp;$J1840,'Weekly Log'!$A:$A,"&lt;"&amp;$J1840+7),0))</f>
        <v/>
      </c>
      <c r="F1840">
        <f>IF($J1840="","",IFERROR(SUMIFS('Weekly Log'!$F:$F,'Weekly Log'!$A:$A,"&gt;="&amp;$J1840,'Weekly Log'!$A:$A,"&lt;"&amp;$J1840+7)/SUMIFS('Weekly Log'!$E:$E,'Weekly Log'!$A:$A,"&gt;="&amp;$J1840,'Weekly Log'!$A:$A,"&lt;"&amp;$J1840+7),0))</f>
        <v/>
      </c>
      <c r="G1840">
        <f>IF($J1840="","",IFERROR(LOOKUP(2,1/(('Weekly Log'!$A$5:$A$5000&gt;=$J1840)*('Weekly Log'!$A$5:$A$5000&lt;$J1840+7)*('Weekly Log'!$M$5:$M$5000&lt;&gt;"")),'Weekly Log'!$M$5:$M$5000),0))</f>
        <v/>
      </c>
      <c r="J1840">
        <f>IF(COUNT('Weekly Log'!$A$5:$A$5000)=0,"",IF(MIN('Weekly Log'!$A$5:$A$5000)+7*(ROW()-10)&gt;MAX('Weekly Log'!$A$5:$A$5000),"",MIN('Weekly Log'!$A$5:$A$5000)+7*(ROW()-10)))</f>
        <v/>
      </c>
    </row>
    <row r="1841">
      <c r="A1841">
        <f>IF($J1841="","",YEAR($J1841-WEEKDAY($J1841,2)+4)&amp;"-W"&amp;TEXT(WEEKNUM($J1841,21),"00"))</f>
        <v/>
      </c>
      <c r="B1841">
        <f>IF($J1841="","",SUMIFS('Weekly Log'!$C:$C,'Weekly Log'!$A:$A,"&gt;="&amp;$J1841,'Weekly Log'!$A:$A,"&lt;"&amp;$J1841+7))</f>
        <v/>
      </c>
      <c r="C1841">
        <f>IF($J1841="","",IFERROR(COUNTIFS('Weekly Log'!$G:$G,"Y",'Weekly Log'!$A:$A,"&gt;="&amp;$J1841,'Weekly Log'!$A:$A,"&lt;"&amp;$J1841+7)/COUNTIFS('Weekly Log'!$G:$G,"&lt;&gt;",'Weekly Log'!$A:$A,"&gt;="&amp;$J1841,'Weekly Log'!$A:$A,"&lt;"&amp;$J1841+7),0))</f>
        <v/>
      </c>
      <c r="D1841">
        <f>IF($J1841="","",IFERROR(COUNTIFS('Weekly Log'!$H:$H,"Y",'Weekly Log'!$A:$A,"&gt;="&amp;$J1841,'Weekly Log'!$A:$A,"&lt;"&amp;$J1841+7)/COUNTIFS('Weekly Log'!$H:$H,"&lt;&gt;",'Weekly Log'!$A:$A,"&gt;="&amp;$J1841,'Weekly Log'!$A:$A,"&lt;"&amp;$J1841+7),0))</f>
        <v/>
      </c>
      <c r="E1841">
        <f>IF($J1841="","",IFERROR(AVERAGEIFS('Weekly Log'!$F:$F,'Weekly Log'!$A:$A,"&gt;="&amp;$J1841,'Weekly Log'!$A:$A,"&lt;"&amp;$J1841+7),0))</f>
        <v/>
      </c>
      <c r="F1841">
        <f>IF($J1841="","",IFERROR(SUMIFS('Weekly Log'!$F:$F,'Weekly Log'!$A:$A,"&gt;="&amp;$J1841,'Weekly Log'!$A:$A,"&lt;"&amp;$J1841+7)/SUMIFS('Weekly Log'!$E:$E,'Weekly Log'!$A:$A,"&gt;="&amp;$J1841,'Weekly Log'!$A:$A,"&lt;"&amp;$J1841+7),0))</f>
        <v/>
      </c>
      <c r="G1841">
        <f>IF($J1841="","",IFERROR(LOOKUP(2,1/(('Weekly Log'!$A$5:$A$5000&gt;=$J1841)*('Weekly Log'!$A$5:$A$5000&lt;$J1841+7)*('Weekly Log'!$M$5:$M$5000&lt;&gt;"")),'Weekly Log'!$M$5:$M$5000),0))</f>
        <v/>
      </c>
      <c r="J1841">
        <f>IF(COUNT('Weekly Log'!$A$5:$A$5000)=0,"",IF(MIN('Weekly Log'!$A$5:$A$5000)+7*(ROW()-10)&gt;MAX('Weekly Log'!$A$5:$A$5000),"",MIN('Weekly Log'!$A$5:$A$5000)+7*(ROW()-10)))</f>
        <v/>
      </c>
    </row>
    <row r="1842">
      <c r="A1842">
        <f>IF($J1842="","",YEAR($J1842-WEEKDAY($J1842,2)+4)&amp;"-W"&amp;TEXT(WEEKNUM($J1842,21),"00"))</f>
        <v/>
      </c>
      <c r="B1842">
        <f>IF($J1842="","",SUMIFS('Weekly Log'!$C:$C,'Weekly Log'!$A:$A,"&gt;="&amp;$J1842,'Weekly Log'!$A:$A,"&lt;"&amp;$J1842+7))</f>
        <v/>
      </c>
      <c r="C1842">
        <f>IF($J1842="","",IFERROR(COUNTIFS('Weekly Log'!$G:$G,"Y",'Weekly Log'!$A:$A,"&gt;="&amp;$J1842,'Weekly Log'!$A:$A,"&lt;"&amp;$J1842+7)/COUNTIFS('Weekly Log'!$G:$G,"&lt;&gt;",'Weekly Log'!$A:$A,"&gt;="&amp;$J1842,'Weekly Log'!$A:$A,"&lt;"&amp;$J1842+7),0))</f>
        <v/>
      </c>
      <c r="D1842">
        <f>IF($J1842="","",IFERROR(COUNTIFS('Weekly Log'!$H:$H,"Y",'Weekly Log'!$A:$A,"&gt;="&amp;$J1842,'Weekly Log'!$A:$A,"&lt;"&amp;$J1842+7)/COUNTIFS('Weekly Log'!$H:$H,"&lt;&gt;",'Weekly Log'!$A:$A,"&gt;="&amp;$J1842,'Weekly Log'!$A:$A,"&lt;"&amp;$J1842+7),0))</f>
        <v/>
      </c>
      <c r="E1842">
        <f>IF($J1842="","",IFERROR(AVERAGEIFS('Weekly Log'!$F:$F,'Weekly Log'!$A:$A,"&gt;="&amp;$J1842,'Weekly Log'!$A:$A,"&lt;"&amp;$J1842+7),0))</f>
        <v/>
      </c>
      <c r="F1842">
        <f>IF($J1842="","",IFERROR(SUMIFS('Weekly Log'!$F:$F,'Weekly Log'!$A:$A,"&gt;="&amp;$J1842,'Weekly Log'!$A:$A,"&lt;"&amp;$J1842+7)/SUMIFS('Weekly Log'!$E:$E,'Weekly Log'!$A:$A,"&gt;="&amp;$J1842,'Weekly Log'!$A:$A,"&lt;"&amp;$J1842+7),0))</f>
        <v/>
      </c>
      <c r="G1842">
        <f>IF($J1842="","",IFERROR(LOOKUP(2,1/(('Weekly Log'!$A$5:$A$5000&gt;=$J1842)*('Weekly Log'!$A$5:$A$5000&lt;$J1842+7)*('Weekly Log'!$M$5:$M$5000&lt;&gt;"")),'Weekly Log'!$M$5:$M$5000),0))</f>
        <v/>
      </c>
      <c r="J1842">
        <f>IF(COUNT('Weekly Log'!$A$5:$A$5000)=0,"",IF(MIN('Weekly Log'!$A$5:$A$5000)+7*(ROW()-10)&gt;MAX('Weekly Log'!$A$5:$A$5000),"",MIN('Weekly Log'!$A$5:$A$5000)+7*(ROW()-10)))</f>
        <v/>
      </c>
    </row>
    <row r="1843">
      <c r="A1843">
        <f>IF($J1843="","",YEAR($J1843-WEEKDAY($J1843,2)+4)&amp;"-W"&amp;TEXT(WEEKNUM($J1843,21),"00"))</f>
        <v/>
      </c>
      <c r="B1843">
        <f>IF($J1843="","",SUMIFS('Weekly Log'!$C:$C,'Weekly Log'!$A:$A,"&gt;="&amp;$J1843,'Weekly Log'!$A:$A,"&lt;"&amp;$J1843+7))</f>
        <v/>
      </c>
      <c r="C1843">
        <f>IF($J1843="","",IFERROR(COUNTIFS('Weekly Log'!$G:$G,"Y",'Weekly Log'!$A:$A,"&gt;="&amp;$J1843,'Weekly Log'!$A:$A,"&lt;"&amp;$J1843+7)/COUNTIFS('Weekly Log'!$G:$G,"&lt;&gt;",'Weekly Log'!$A:$A,"&gt;="&amp;$J1843,'Weekly Log'!$A:$A,"&lt;"&amp;$J1843+7),0))</f>
        <v/>
      </c>
      <c r="D1843">
        <f>IF($J1843="","",IFERROR(COUNTIFS('Weekly Log'!$H:$H,"Y",'Weekly Log'!$A:$A,"&gt;="&amp;$J1843,'Weekly Log'!$A:$A,"&lt;"&amp;$J1843+7)/COUNTIFS('Weekly Log'!$H:$H,"&lt;&gt;",'Weekly Log'!$A:$A,"&gt;="&amp;$J1843,'Weekly Log'!$A:$A,"&lt;"&amp;$J1843+7),0))</f>
        <v/>
      </c>
      <c r="E1843">
        <f>IF($J1843="","",IFERROR(AVERAGEIFS('Weekly Log'!$F:$F,'Weekly Log'!$A:$A,"&gt;="&amp;$J1843,'Weekly Log'!$A:$A,"&lt;"&amp;$J1843+7),0))</f>
        <v/>
      </c>
      <c r="F1843">
        <f>IF($J1843="","",IFERROR(SUMIFS('Weekly Log'!$F:$F,'Weekly Log'!$A:$A,"&gt;="&amp;$J1843,'Weekly Log'!$A:$A,"&lt;"&amp;$J1843+7)/SUMIFS('Weekly Log'!$E:$E,'Weekly Log'!$A:$A,"&gt;="&amp;$J1843,'Weekly Log'!$A:$A,"&lt;"&amp;$J1843+7),0))</f>
        <v/>
      </c>
      <c r="G1843">
        <f>IF($J1843="","",IFERROR(LOOKUP(2,1/(('Weekly Log'!$A$5:$A$5000&gt;=$J1843)*('Weekly Log'!$A$5:$A$5000&lt;$J1843+7)*('Weekly Log'!$M$5:$M$5000&lt;&gt;"")),'Weekly Log'!$M$5:$M$5000),0))</f>
        <v/>
      </c>
      <c r="J1843">
        <f>IF(COUNT('Weekly Log'!$A$5:$A$5000)=0,"",IF(MIN('Weekly Log'!$A$5:$A$5000)+7*(ROW()-10)&gt;MAX('Weekly Log'!$A$5:$A$5000),"",MIN('Weekly Log'!$A$5:$A$5000)+7*(ROW()-10)))</f>
        <v/>
      </c>
    </row>
    <row r="1844">
      <c r="A1844">
        <f>IF($J1844="","",YEAR($J1844-WEEKDAY($J1844,2)+4)&amp;"-W"&amp;TEXT(WEEKNUM($J1844,21),"00"))</f>
        <v/>
      </c>
      <c r="B1844">
        <f>IF($J1844="","",SUMIFS('Weekly Log'!$C:$C,'Weekly Log'!$A:$A,"&gt;="&amp;$J1844,'Weekly Log'!$A:$A,"&lt;"&amp;$J1844+7))</f>
        <v/>
      </c>
      <c r="C1844">
        <f>IF($J1844="","",IFERROR(COUNTIFS('Weekly Log'!$G:$G,"Y",'Weekly Log'!$A:$A,"&gt;="&amp;$J1844,'Weekly Log'!$A:$A,"&lt;"&amp;$J1844+7)/COUNTIFS('Weekly Log'!$G:$G,"&lt;&gt;",'Weekly Log'!$A:$A,"&gt;="&amp;$J1844,'Weekly Log'!$A:$A,"&lt;"&amp;$J1844+7),0))</f>
        <v/>
      </c>
      <c r="D1844">
        <f>IF($J1844="","",IFERROR(COUNTIFS('Weekly Log'!$H:$H,"Y",'Weekly Log'!$A:$A,"&gt;="&amp;$J1844,'Weekly Log'!$A:$A,"&lt;"&amp;$J1844+7)/COUNTIFS('Weekly Log'!$H:$H,"&lt;&gt;",'Weekly Log'!$A:$A,"&gt;="&amp;$J1844,'Weekly Log'!$A:$A,"&lt;"&amp;$J1844+7),0))</f>
        <v/>
      </c>
      <c r="E1844">
        <f>IF($J1844="","",IFERROR(AVERAGEIFS('Weekly Log'!$F:$F,'Weekly Log'!$A:$A,"&gt;="&amp;$J1844,'Weekly Log'!$A:$A,"&lt;"&amp;$J1844+7),0))</f>
        <v/>
      </c>
      <c r="F1844">
        <f>IF($J1844="","",IFERROR(SUMIFS('Weekly Log'!$F:$F,'Weekly Log'!$A:$A,"&gt;="&amp;$J1844,'Weekly Log'!$A:$A,"&lt;"&amp;$J1844+7)/SUMIFS('Weekly Log'!$E:$E,'Weekly Log'!$A:$A,"&gt;="&amp;$J1844,'Weekly Log'!$A:$A,"&lt;"&amp;$J1844+7),0))</f>
        <v/>
      </c>
      <c r="G1844">
        <f>IF($J1844="","",IFERROR(LOOKUP(2,1/(('Weekly Log'!$A$5:$A$5000&gt;=$J1844)*('Weekly Log'!$A$5:$A$5000&lt;$J1844+7)*('Weekly Log'!$M$5:$M$5000&lt;&gt;"")),'Weekly Log'!$M$5:$M$5000),0))</f>
        <v/>
      </c>
      <c r="J1844">
        <f>IF(COUNT('Weekly Log'!$A$5:$A$5000)=0,"",IF(MIN('Weekly Log'!$A$5:$A$5000)+7*(ROW()-10)&gt;MAX('Weekly Log'!$A$5:$A$5000),"",MIN('Weekly Log'!$A$5:$A$5000)+7*(ROW()-10)))</f>
        <v/>
      </c>
    </row>
    <row r="1845">
      <c r="A1845">
        <f>IF($J1845="","",YEAR($J1845-WEEKDAY($J1845,2)+4)&amp;"-W"&amp;TEXT(WEEKNUM($J1845,21),"00"))</f>
        <v/>
      </c>
      <c r="B1845">
        <f>IF($J1845="","",SUMIFS('Weekly Log'!$C:$C,'Weekly Log'!$A:$A,"&gt;="&amp;$J1845,'Weekly Log'!$A:$A,"&lt;"&amp;$J1845+7))</f>
        <v/>
      </c>
      <c r="C1845">
        <f>IF($J1845="","",IFERROR(COUNTIFS('Weekly Log'!$G:$G,"Y",'Weekly Log'!$A:$A,"&gt;="&amp;$J1845,'Weekly Log'!$A:$A,"&lt;"&amp;$J1845+7)/COUNTIFS('Weekly Log'!$G:$G,"&lt;&gt;",'Weekly Log'!$A:$A,"&gt;="&amp;$J1845,'Weekly Log'!$A:$A,"&lt;"&amp;$J1845+7),0))</f>
        <v/>
      </c>
      <c r="D1845">
        <f>IF($J1845="","",IFERROR(COUNTIFS('Weekly Log'!$H:$H,"Y",'Weekly Log'!$A:$A,"&gt;="&amp;$J1845,'Weekly Log'!$A:$A,"&lt;"&amp;$J1845+7)/COUNTIFS('Weekly Log'!$H:$H,"&lt;&gt;",'Weekly Log'!$A:$A,"&gt;="&amp;$J1845,'Weekly Log'!$A:$A,"&lt;"&amp;$J1845+7),0))</f>
        <v/>
      </c>
      <c r="E1845">
        <f>IF($J1845="","",IFERROR(AVERAGEIFS('Weekly Log'!$F:$F,'Weekly Log'!$A:$A,"&gt;="&amp;$J1845,'Weekly Log'!$A:$A,"&lt;"&amp;$J1845+7),0))</f>
        <v/>
      </c>
      <c r="F1845">
        <f>IF($J1845="","",IFERROR(SUMIFS('Weekly Log'!$F:$F,'Weekly Log'!$A:$A,"&gt;="&amp;$J1845,'Weekly Log'!$A:$A,"&lt;"&amp;$J1845+7)/SUMIFS('Weekly Log'!$E:$E,'Weekly Log'!$A:$A,"&gt;="&amp;$J1845,'Weekly Log'!$A:$A,"&lt;"&amp;$J1845+7),0))</f>
        <v/>
      </c>
      <c r="G1845">
        <f>IF($J1845="","",IFERROR(LOOKUP(2,1/(('Weekly Log'!$A$5:$A$5000&gt;=$J1845)*('Weekly Log'!$A$5:$A$5000&lt;$J1845+7)*('Weekly Log'!$M$5:$M$5000&lt;&gt;"")),'Weekly Log'!$M$5:$M$5000),0))</f>
        <v/>
      </c>
      <c r="J1845">
        <f>IF(COUNT('Weekly Log'!$A$5:$A$5000)=0,"",IF(MIN('Weekly Log'!$A$5:$A$5000)+7*(ROW()-10)&gt;MAX('Weekly Log'!$A$5:$A$5000),"",MIN('Weekly Log'!$A$5:$A$5000)+7*(ROW()-10)))</f>
        <v/>
      </c>
    </row>
    <row r="1846">
      <c r="A1846">
        <f>IF($J1846="","",YEAR($J1846-WEEKDAY($J1846,2)+4)&amp;"-W"&amp;TEXT(WEEKNUM($J1846,21),"00"))</f>
        <v/>
      </c>
      <c r="B1846">
        <f>IF($J1846="","",SUMIFS('Weekly Log'!$C:$C,'Weekly Log'!$A:$A,"&gt;="&amp;$J1846,'Weekly Log'!$A:$A,"&lt;"&amp;$J1846+7))</f>
        <v/>
      </c>
      <c r="C1846">
        <f>IF($J1846="","",IFERROR(COUNTIFS('Weekly Log'!$G:$G,"Y",'Weekly Log'!$A:$A,"&gt;="&amp;$J1846,'Weekly Log'!$A:$A,"&lt;"&amp;$J1846+7)/COUNTIFS('Weekly Log'!$G:$G,"&lt;&gt;",'Weekly Log'!$A:$A,"&gt;="&amp;$J1846,'Weekly Log'!$A:$A,"&lt;"&amp;$J1846+7),0))</f>
        <v/>
      </c>
      <c r="D1846">
        <f>IF($J1846="","",IFERROR(COUNTIFS('Weekly Log'!$H:$H,"Y",'Weekly Log'!$A:$A,"&gt;="&amp;$J1846,'Weekly Log'!$A:$A,"&lt;"&amp;$J1846+7)/COUNTIFS('Weekly Log'!$H:$H,"&lt;&gt;",'Weekly Log'!$A:$A,"&gt;="&amp;$J1846,'Weekly Log'!$A:$A,"&lt;"&amp;$J1846+7),0))</f>
        <v/>
      </c>
      <c r="E1846">
        <f>IF($J1846="","",IFERROR(AVERAGEIFS('Weekly Log'!$F:$F,'Weekly Log'!$A:$A,"&gt;="&amp;$J1846,'Weekly Log'!$A:$A,"&lt;"&amp;$J1846+7),0))</f>
        <v/>
      </c>
      <c r="F1846">
        <f>IF($J1846="","",IFERROR(SUMIFS('Weekly Log'!$F:$F,'Weekly Log'!$A:$A,"&gt;="&amp;$J1846,'Weekly Log'!$A:$A,"&lt;"&amp;$J1846+7)/SUMIFS('Weekly Log'!$E:$E,'Weekly Log'!$A:$A,"&gt;="&amp;$J1846,'Weekly Log'!$A:$A,"&lt;"&amp;$J1846+7),0))</f>
        <v/>
      </c>
      <c r="G1846">
        <f>IF($J1846="","",IFERROR(LOOKUP(2,1/(('Weekly Log'!$A$5:$A$5000&gt;=$J1846)*('Weekly Log'!$A$5:$A$5000&lt;$J1846+7)*('Weekly Log'!$M$5:$M$5000&lt;&gt;"")),'Weekly Log'!$M$5:$M$5000),0))</f>
        <v/>
      </c>
      <c r="J1846">
        <f>IF(COUNT('Weekly Log'!$A$5:$A$5000)=0,"",IF(MIN('Weekly Log'!$A$5:$A$5000)+7*(ROW()-10)&gt;MAX('Weekly Log'!$A$5:$A$5000),"",MIN('Weekly Log'!$A$5:$A$5000)+7*(ROW()-10)))</f>
        <v/>
      </c>
    </row>
    <row r="1847">
      <c r="A1847">
        <f>IF($J1847="","",YEAR($J1847-WEEKDAY($J1847,2)+4)&amp;"-W"&amp;TEXT(WEEKNUM($J1847,21),"00"))</f>
        <v/>
      </c>
      <c r="B1847">
        <f>IF($J1847="","",SUMIFS('Weekly Log'!$C:$C,'Weekly Log'!$A:$A,"&gt;="&amp;$J1847,'Weekly Log'!$A:$A,"&lt;"&amp;$J1847+7))</f>
        <v/>
      </c>
      <c r="C1847">
        <f>IF($J1847="","",IFERROR(COUNTIFS('Weekly Log'!$G:$G,"Y",'Weekly Log'!$A:$A,"&gt;="&amp;$J1847,'Weekly Log'!$A:$A,"&lt;"&amp;$J1847+7)/COUNTIFS('Weekly Log'!$G:$G,"&lt;&gt;",'Weekly Log'!$A:$A,"&gt;="&amp;$J1847,'Weekly Log'!$A:$A,"&lt;"&amp;$J1847+7),0))</f>
        <v/>
      </c>
      <c r="D1847">
        <f>IF($J1847="","",IFERROR(COUNTIFS('Weekly Log'!$H:$H,"Y",'Weekly Log'!$A:$A,"&gt;="&amp;$J1847,'Weekly Log'!$A:$A,"&lt;"&amp;$J1847+7)/COUNTIFS('Weekly Log'!$H:$H,"&lt;&gt;",'Weekly Log'!$A:$A,"&gt;="&amp;$J1847,'Weekly Log'!$A:$A,"&lt;"&amp;$J1847+7),0))</f>
        <v/>
      </c>
      <c r="E1847">
        <f>IF($J1847="","",IFERROR(AVERAGEIFS('Weekly Log'!$F:$F,'Weekly Log'!$A:$A,"&gt;="&amp;$J1847,'Weekly Log'!$A:$A,"&lt;"&amp;$J1847+7),0))</f>
        <v/>
      </c>
      <c r="F1847">
        <f>IF($J1847="","",IFERROR(SUMIFS('Weekly Log'!$F:$F,'Weekly Log'!$A:$A,"&gt;="&amp;$J1847,'Weekly Log'!$A:$A,"&lt;"&amp;$J1847+7)/SUMIFS('Weekly Log'!$E:$E,'Weekly Log'!$A:$A,"&gt;="&amp;$J1847,'Weekly Log'!$A:$A,"&lt;"&amp;$J1847+7),0))</f>
        <v/>
      </c>
      <c r="G1847">
        <f>IF($J1847="","",IFERROR(LOOKUP(2,1/(('Weekly Log'!$A$5:$A$5000&gt;=$J1847)*('Weekly Log'!$A$5:$A$5000&lt;$J1847+7)*('Weekly Log'!$M$5:$M$5000&lt;&gt;"")),'Weekly Log'!$M$5:$M$5000),0))</f>
        <v/>
      </c>
      <c r="J1847">
        <f>IF(COUNT('Weekly Log'!$A$5:$A$5000)=0,"",IF(MIN('Weekly Log'!$A$5:$A$5000)+7*(ROW()-10)&gt;MAX('Weekly Log'!$A$5:$A$5000),"",MIN('Weekly Log'!$A$5:$A$5000)+7*(ROW()-10)))</f>
        <v/>
      </c>
    </row>
    <row r="1848">
      <c r="A1848">
        <f>IF($J1848="","",YEAR($J1848-WEEKDAY($J1848,2)+4)&amp;"-W"&amp;TEXT(WEEKNUM($J1848,21),"00"))</f>
        <v/>
      </c>
      <c r="B1848">
        <f>IF($J1848="","",SUMIFS('Weekly Log'!$C:$C,'Weekly Log'!$A:$A,"&gt;="&amp;$J1848,'Weekly Log'!$A:$A,"&lt;"&amp;$J1848+7))</f>
        <v/>
      </c>
      <c r="C1848">
        <f>IF($J1848="","",IFERROR(COUNTIFS('Weekly Log'!$G:$G,"Y",'Weekly Log'!$A:$A,"&gt;="&amp;$J1848,'Weekly Log'!$A:$A,"&lt;"&amp;$J1848+7)/COUNTIFS('Weekly Log'!$G:$G,"&lt;&gt;",'Weekly Log'!$A:$A,"&gt;="&amp;$J1848,'Weekly Log'!$A:$A,"&lt;"&amp;$J1848+7),0))</f>
        <v/>
      </c>
      <c r="D1848">
        <f>IF($J1848="","",IFERROR(COUNTIFS('Weekly Log'!$H:$H,"Y",'Weekly Log'!$A:$A,"&gt;="&amp;$J1848,'Weekly Log'!$A:$A,"&lt;"&amp;$J1848+7)/COUNTIFS('Weekly Log'!$H:$H,"&lt;&gt;",'Weekly Log'!$A:$A,"&gt;="&amp;$J1848,'Weekly Log'!$A:$A,"&lt;"&amp;$J1848+7),0))</f>
        <v/>
      </c>
      <c r="E1848">
        <f>IF($J1848="","",IFERROR(AVERAGEIFS('Weekly Log'!$F:$F,'Weekly Log'!$A:$A,"&gt;="&amp;$J1848,'Weekly Log'!$A:$A,"&lt;"&amp;$J1848+7),0))</f>
        <v/>
      </c>
      <c r="F1848">
        <f>IF($J1848="","",IFERROR(SUMIFS('Weekly Log'!$F:$F,'Weekly Log'!$A:$A,"&gt;="&amp;$J1848,'Weekly Log'!$A:$A,"&lt;"&amp;$J1848+7)/SUMIFS('Weekly Log'!$E:$E,'Weekly Log'!$A:$A,"&gt;="&amp;$J1848,'Weekly Log'!$A:$A,"&lt;"&amp;$J1848+7),0))</f>
        <v/>
      </c>
      <c r="G1848">
        <f>IF($J1848="","",IFERROR(LOOKUP(2,1/(('Weekly Log'!$A$5:$A$5000&gt;=$J1848)*('Weekly Log'!$A$5:$A$5000&lt;$J1848+7)*('Weekly Log'!$M$5:$M$5000&lt;&gt;"")),'Weekly Log'!$M$5:$M$5000),0))</f>
        <v/>
      </c>
      <c r="J1848">
        <f>IF(COUNT('Weekly Log'!$A$5:$A$5000)=0,"",IF(MIN('Weekly Log'!$A$5:$A$5000)+7*(ROW()-10)&gt;MAX('Weekly Log'!$A$5:$A$5000),"",MIN('Weekly Log'!$A$5:$A$5000)+7*(ROW()-10)))</f>
        <v/>
      </c>
    </row>
    <row r="1849">
      <c r="A1849">
        <f>IF($J1849="","",YEAR($J1849-WEEKDAY($J1849,2)+4)&amp;"-W"&amp;TEXT(WEEKNUM($J1849,21),"00"))</f>
        <v/>
      </c>
      <c r="B1849">
        <f>IF($J1849="","",SUMIFS('Weekly Log'!$C:$C,'Weekly Log'!$A:$A,"&gt;="&amp;$J1849,'Weekly Log'!$A:$A,"&lt;"&amp;$J1849+7))</f>
        <v/>
      </c>
      <c r="C1849">
        <f>IF($J1849="","",IFERROR(COUNTIFS('Weekly Log'!$G:$G,"Y",'Weekly Log'!$A:$A,"&gt;="&amp;$J1849,'Weekly Log'!$A:$A,"&lt;"&amp;$J1849+7)/COUNTIFS('Weekly Log'!$G:$G,"&lt;&gt;",'Weekly Log'!$A:$A,"&gt;="&amp;$J1849,'Weekly Log'!$A:$A,"&lt;"&amp;$J1849+7),0))</f>
        <v/>
      </c>
      <c r="D1849">
        <f>IF($J1849="","",IFERROR(COUNTIFS('Weekly Log'!$H:$H,"Y",'Weekly Log'!$A:$A,"&gt;="&amp;$J1849,'Weekly Log'!$A:$A,"&lt;"&amp;$J1849+7)/COUNTIFS('Weekly Log'!$H:$H,"&lt;&gt;",'Weekly Log'!$A:$A,"&gt;="&amp;$J1849,'Weekly Log'!$A:$A,"&lt;"&amp;$J1849+7),0))</f>
        <v/>
      </c>
      <c r="E1849">
        <f>IF($J1849="","",IFERROR(AVERAGEIFS('Weekly Log'!$F:$F,'Weekly Log'!$A:$A,"&gt;="&amp;$J1849,'Weekly Log'!$A:$A,"&lt;"&amp;$J1849+7),0))</f>
        <v/>
      </c>
      <c r="F1849">
        <f>IF($J1849="","",IFERROR(SUMIFS('Weekly Log'!$F:$F,'Weekly Log'!$A:$A,"&gt;="&amp;$J1849,'Weekly Log'!$A:$A,"&lt;"&amp;$J1849+7)/SUMIFS('Weekly Log'!$E:$E,'Weekly Log'!$A:$A,"&gt;="&amp;$J1849,'Weekly Log'!$A:$A,"&lt;"&amp;$J1849+7),0))</f>
        <v/>
      </c>
      <c r="G1849">
        <f>IF($J1849="","",IFERROR(LOOKUP(2,1/(('Weekly Log'!$A$5:$A$5000&gt;=$J1849)*('Weekly Log'!$A$5:$A$5000&lt;$J1849+7)*('Weekly Log'!$M$5:$M$5000&lt;&gt;"")),'Weekly Log'!$M$5:$M$5000),0))</f>
        <v/>
      </c>
      <c r="J1849">
        <f>IF(COUNT('Weekly Log'!$A$5:$A$5000)=0,"",IF(MIN('Weekly Log'!$A$5:$A$5000)+7*(ROW()-10)&gt;MAX('Weekly Log'!$A$5:$A$5000),"",MIN('Weekly Log'!$A$5:$A$5000)+7*(ROW()-10)))</f>
        <v/>
      </c>
    </row>
    <row r="1850">
      <c r="A1850">
        <f>IF($J1850="","",YEAR($J1850-WEEKDAY($J1850,2)+4)&amp;"-W"&amp;TEXT(WEEKNUM($J1850,21),"00"))</f>
        <v/>
      </c>
      <c r="B1850">
        <f>IF($J1850="","",SUMIFS('Weekly Log'!$C:$C,'Weekly Log'!$A:$A,"&gt;="&amp;$J1850,'Weekly Log'!$A:$A,"&lt;"&amp;$J1850+7))</f>
        <v/>
      </c>
      <c r="C1850">
        <f>IF($J1850="","",IFERROR(COUNTIFS('Weekly Log'!$G:$G,"Y",'Weekly Log'!$A:$A,"&gt;="&amp;$J1850,'Weekly Log'!$A:$A,"&lt;"&amp;$J1850+7)/COUNTIFS('Weekly Log'!$G:$G,"&lt;&gt;",'Weekly Log'!$A:$A,"&gt;="&amp;$J1850,'Weekly Log'!$A:$A,"&lt;"&amp;$J1850+7),0))</f>
        <v/>
      </c>
      <c r="D1850">
        <f>IF($J1850="","",IFERROR(COUNTIFS('Weekly Log'!$H:$H,"Y",'Weekly Log'!$A:$A,"&gt;="&amp;$J1850,'Weekly Log'!$A:$A,"&lt;"&amp;$J1850+7)/COUNTIFS('Weekly Log'!$H:$H,"&lt;&gt;",'Weekly Log'!$A:$A,"&gt;="&amp;$J1850,'Weekly Log'!$A:$A,"&lt;"&amp;$J1850+7),0))</f>
        <v/>
      </c>
      <c r="E1850">
        <f>IF($J1850="","",IFERROR(AVERAGEIFS('Weekly Log'!$F:$F,'Weekly Log'!$A:$A,"&gt;="&amp;$J1850,'Weekly Log'!$A:$A,"&lt;"&amp;$J1850+7),0))</f>
        <v/>
      </c>
      <c r="F1850">
        <f>IF($J1850="","",IFERROR(SUMIFS('Weekly Log'!$F:$F,'Weekly Log'!$A:$A,"&gt;="&amp;$J1850,'Weekly Log'!$A:$A,"&lt;"&amp;$J1850+7)/SUMIFS('Weekly Log'!$E:$E,'Weekly Log'!$A:$A,"&gt;="&amp;$J1850,'Weekly Log'!$A:$A,"&lt;"&amp;$J1850+7),0))</f>
        <v/>
      </c>
      <c r="G1850">
        <f>IF($J1850="","",IFERROR(LOOKUP(2,1/(('Weekly Log'!$A$5:$A$5000&gt;=$J1850)*('Weekly Log'!$A$5:$A$5000&lt;$J1850+7)*('Weekly Log'!$M$5:$M$5000&lt;&gt;"")),'Weekly Log'!$M$5:$M$5000),0))</f>
        <v/>
      </c>
      <c r="J1850">
        <f>IF(COUNT('Weekly Log'!$A$5:$A$5000)=0,"",IF(MIN('Weekly Log'!$A$5:$A$5000)+7*(ROW()-10)&gt;MAX('Weekly Log'!$A$5:$A$5000),"",MIN('Weekly Log'!$A$5:$A$5000)+7*(ROW()-10)))</f>
        <v/>
      </c>
    </row>
    <row r="1851">
      <c r="A1851">
        <f>IF($J1851="","",YEAR($J1851-WEEKDAY($J1851,2)+4)&amp;"-W"&amp;TEXT(WEEKNUM($J1851,21),"00"))</f>
        <v/>
      </c>
      <c r="B1851">
        <f>IF($J1851="","",SUMIFS('Weekly Log'!$C:$C,'Weekly Log'!$A:$A,"&gt;="&amp;$J1851,'Weekly Log'!$A:$A,"&lt;"&amp;$J1851+7))</f>
        <v/>
      </c>
      <c r="C1851">
        <f>IF($J1851="","",IFERROR(COUNTIFS('Weekly Log'!$G:$G,"Y",'Weekly Log'!$A:$A,"&gt;="&amp;$J1851,'Weekly Log'!$A:$A,"&lt;"&amp;$J1851+7)/COUNTIFS('Weekly Log'!$G:$G,"&lt;&gt;",'Weekly Log'!$A:$A,"&gt;="&amp;$J1851,'Weekly Log'!$A:$A,"&lt;"&amp;$J1851+7),0))</f>
        <v/>
      </c>
      <c r="D1851">
        <f>IF($J1851="","",IFERROR(COUNTIFS('Weekly Log'!$H:$H,"Y",'Weekly Log'!$A:$A,"&gt;="&amp;$J1851,'Weekly Log'!$A:$A,"&lt;"&amp;$J1851+7)/COUNTIFS('Weekly Log'!$H:$H,"&lt;&gt;",'Weekly Log'!$A:$A,"&gt;="&amp;$J1851,'Weekly Log'!$A:$A,"&lt;"&amp;$J1851+7),0))</f>
        <v/>
      </c>
      <c r="E1851">
        <f>IF($J1851="","",IFERROR(AVERAGEIFS('Weekly Log'!$F:$F,'Weekly Log'!$A:$A,"&gt;="&amp;$J1851,'Weekly Log'!$A:$A,"&lt;"&amp;$J1851+7),0))</f>
        <v/>
      </c>
      <c r="F1851">
        <f>IF($J1851="","",IFERROR(SUMIFS('Weekly Log'!$F:$F,'Weekly Log'!$A:$A,"&gt;="&amp;$J1851,'Weekly Log'!$A:$A,"&lt;"&amp;$J1851+7)/SUMIFS('Weekly Log'!$E:$E,'Weekly Log'!$A:$A,"&gt;="&amp;$J1851,'Weekly Log'!$A:$A,"&lt;"&amp;$J1851+7),0))</f>
        <v/>
      </c>
      <c r="G1851">
        <f>IF($J1851="","",IFERROR(LOOKUP(2,1/(('Weekly Log'!$A$5:$A$5000&gt;=$J1851)*('Weekly Log'!$A$5:$A$5000&lt;$J1851+7)*('Weekly Log'!$M$5:$M$5000&lt;&gt;"")),'Weekly Log'!$M$5:$M$5000),0))</f>
        <v/>
      </c>
      <c r="J1851">
        <f>IF(COUNT('Weekly Log'!$A$5:$A$5000)=0,"",IF(MIN('Weekly Log'!$A$5:$A$5000)+7*(ROW()-10)&gt;MAX('Weekly Log'!$A$5:$A$5000),"",MIN('Weekly Log'!$A$5:$A$5000)+7*(ROW()-10)))</f>
        <v/>
      </c>
    </row>
    <row r="1852">
      <c r="A1852">
        <f>IF($J1852="","",YEAR($J1852-WEEKDAY($J1852,2)+4)&amp;"-W"&amp;TEXT(WEEKNUM($J1852,21),"00"))</f>
        <v/>
      </c>
      <c r="B1852">
        <f>IF($J1852="","",SUMIFS('Weekly Log'!$C:$C,'Weekly Log'!$A:$A,"&gt;="&amp;$J1852,'Weekly Log'!$A:$A,"&lt;"&amp;$J1852+7))</f>
        <v/>
      </c>
      <c r="C1852">
        <f>IF($J1852="","",IFERROR(COUNTIFS('Weekly Log'!$G:$G,"Y",'Weekly Log'!$A:$A,"&gt;="&amp;$J1852,'Weekly Log'!$A:$A,"&lt;"&amp;$J1852+7)/COUNTIFS('Weekly Log'!$G:$G,"&lt;&gt;",'Weekly Log'!$A:$A,"&gt;="&amp;$J1852,'Weekly Log'!$A:$A,"&lt;"&amp;$J1852+7),0))</f>
        <v/>
      </c>
      <c r="D1852">
        <f>IF($J1852="","",IFERROR(COUNTIFS('Weekly Log'!$H:$H,"Y",'Weekly Log'!$A:$A,"&gt;="&amp;$J1852,'Weekly Log'!$A:$A,"&lt;"&amp;$J1852+7)/COUNTIFS('Weekly Log'!$H:$H,"&lt;&gt;",'Weekly Log'!$A:$A,"&gt;="&amp;$J1852,'Weekly Log'!$A:$A,"&lt;"&amp;$J1852+7),0))</f>
        <v/>
      </c>
      <c r="E1852">
        <f>IF($J1852="","",IFERROR(AVERAGEIFS('Weekly Log'!$F:$F,'Weekly Log'!$A:$A,"&gt;="&amp;$J1852,'Weekly Log'!$A:$A,"&lt;"&amp;$J1852+7),0))</f>
        <v/>
      </c>
      <c r="F1852">
        <f>IF($J1852="","",IFERROR(SUMIFS('Weekly Log'!$F:$F,'Weekly Log'!$A:$A,"&gt;="&amp;$J1852,'Weekly Log'!$A:$A,"&lt;"&amp;$J1852+7)/SUMIFS('Weekly Log'!$E:$E,'Weekly Log'!$A:$A,"&gt;="&amp;$J1852,'Weekly Log'!$A:$A,"&lt;"&amp;$J1852+7),0))</f>
        <v/>
      </c>
      <c r="G1852">
        <f>IF($J1852="","",IFERROR(LOOKUP(2,1/(('Weekly Log'!$A$5:$A$5000&gt;=$J1852)*('Weekly Log'!$A$5:$A$5000&lt;$J1852+7)*('Weekly Log'!$M$5:$M$5000&lt;&gt;"")),'Weekly Log'!$M$5:$M$5000),0))</f>
        <v/>
      </c>
      <c r="J1852">
        <f>IF(COUNT('Weekly Log'!$A$5:$A$5000)=0,"",IF(MIN('Weekly Log'!$A$5:$A$5000)+7*(ROW()-10)&gt;MAX('Weekly Log'!$A$5:$A$5000),"",MIN('Weekly Log'!$A$5:$A$5000)+7*(ROW()-10)))</f>
        <v/>
      </c>
    </row>
    <row r="1853">
      <c r="A1853">
        <f>IF($J1853="","",YEAR($J1853-WEEKDAY($J1853,2)+4)&amp;"-W"&amp;TEXT(WEEKNUM($J1853,21),"00"))</f>
        <v/>
      </c>
      <c r="B1853">
        <f>IF($J1853="","",SUMIFS('Weekly Log'!$C:$C,'Weekly Log'!$A:$A,"&gt;="&amp;$J1853,'Weekly Log'!$A:$A,"&lt;"&amp;$J1853+7))</f>
        <v/>
      </c>
      <c r="C1853">
        <f>IF($J1853="","",IFERROR(COUNTIFS('Weekly Log'!$G:$G,"Y",'Weekly Log'!$A:$A,"&gt;="&amp;$J1853,'Weekly Log'!$A:$A,"&lt;"&amp;$J1853+7)/COUNTIFS('Weekly Log'!$G:$G,"&lt;&gt;",'Weekly Log'!$A:$A,"&gt;="&amp;$J1853,'Weekly Log'!$A:$A,"&lt;"&amp;$J1853+7),0))</f>
        <v/>
      </c>
      <c r="D1853">
        <f>IF($J1853="","",IFERROR(COUNTIFS('Weekly Log'!$H:$H,"Y",'Weekly Log'!$A:$A,"&gt;="&amp;$J1853,'Weekly Log'!$A:$A,"&lt;"&amp;$J1853+7)/COUNTIFS('Weekly Log'!$H:$H,"&lt;&gt;",'Weekly Log'!$A:$A,"&gt;="&amp;$J1853,'Weekly Log'!$A:$A,"&lt;"&amp;$J1853+7),0))</f>
        <v/>
      </c>
      <c r="E1853">
        <f>IF($J1853="","",IFERROR(AVERAGEIFS('Weekly Log'!$F:$F,'Weekly Log'!$A:$A,"&gt;="&amp;$J1853,'Weekly Log'!$A:$A,"&lt;"&amp;$J1853+7),0))</f>
        <v/>
      </c>
      <c r="F1853">
        <f>IF($J1853="","",IFERROR(SUMIFS('Weekly Log'!$F:$F,'Weekly Log'!$A:$A,"&gt;="&amp;$J1853,'Weekly Log'!$A:$A,"&lt;"&amp;$J1853+7)/SUMIFS('Weekly Log'!$E:$E,'Weekly Log'!$A:$A,"&gt;="&amp;$J1853,'Weekly Log'!$A:$A,"&lt;"&amp;$J1853+7),0))</f>
        <v/>
      </c>
      <c r="G1853">
        <f>IF($J1853="","",IFERROR(LOOKUP(2,1/(('Weekly Log'!$A$5:$A$5000&gt;=$J1853)*('Weekly Log'!$A$5:$A$5000&lt;$J1853+7)*('Weekly Log'!$M$5:$M$5000&lt;&gt;"")),'Weekly Log'!$M$5:$M$5000),0))</f>
        <v/>
      </c>
      <c r="J1853">
        <f>IF(COUNT('Weekly Log'!$A$5:$A$5000)=0,"",IF(MIN('Weekly Log'!$A$5:$A$5000)+7*(ROW()-10)&gt;MAX('Weekly Log'!$A$5:$A$5000),"",MIN('Weekly Log'!$A$5:$A$5000)+7*(ROW()-10)))</f>
        <v/>
      </c>
    </row>
    <row r="1854">
      <c r="A1854">
        <f>IF($J1854="","",YEAR($J1854-WEEKDAY($J1854,2)+4)&amp;"-W"&amp;TEXT(WEEKNUM($J1854,21),"00"))</f>
        <v/>
      </c>
      <c r="B1854">
        <f>IF($J1854="","",SUMIFS('Weekly Log'!$C:$C,'Weekly Log'!$A:$A,"&gt;="&amp;$J1854,'Weekly Log'!$A:$A,"&lt;"&amp;$J1854+7))</f>
        <v/>
      </c>
      <c r="C1854">
        <f>IF($J1854="","",IFERROR(COUNTIFS('Weekly Log'!$G:$G,"Y",'Weekly Log'!$A:$A,"&gt;="&amp;$J1854,'Weekly Log'!$A:$A,"&lt;"&amp;$J1854+7)/COUNTIFS('Weekly Log'!$G:$G,"&lt;&gt;",'Weekly Log'!$A:$A,"&gt;="&amp;$J1854,'Weekly Log'!$A:$A,"&lt;"&amp;$J1854+7),0))</f>
        <v/>
      </c>
      <c r="D1854">
        <f>IF($J1854="","",IFERROR(COUNTIFS('Weekly Log'!$H:$H,"Y",'Weekly Log'!$A:$A,"&gt;="&amp;$J1854,'Weekly Log'!$A:$A,"&lt;"&amp;$J1854+7)/COUNTIFS('Weekly Log'!$H:$H,"&lt;&gt;",'Weekly Log'!$A:$A,"&gt;="&amp;$J1854,'Weekly Log'!$A:$A,"&lt;"&amp;$J1854+7),0))</f>
        <v/>
      </c>
      <c r="E1854">
        <f>IF($J1854="","",IFERROR(AVERAGEIFS('Weekly Log'!$F:$F,'Weekly Log'!$A:$A,"&gt;="&amp;$J1854,'Weekly Log'!$A:$A,"&lt;"&amp;$J1854+7),0))</f>
        <v/>
      </c>
      <c r="F1854">
        <f>IF($J1854="","",IFERROR(SUMIFS('Weekly Log'!$F:$F,'Weekly Log'!$A:$A,"&gt;="&amp;$J1854,'Weekly Log'!$A:$A,"&lt;"&amp;$J1854+7)/SUMIFS('Weekly Log'!$E:$E,'Weekly Log'!$A:$A,"&gt;="&amp;$J1854,'Weekly Log'!$A:$A,"&lt;"&amp;$J1854+7),0))</f>
        <v/>
      </c>
      <c r="G1854">
        <f>IF($J1854="","",IFERROR(LOOKUP(2,1/(('Weekly Log'!$A$5:$A$5000&gt;=$J1854)*('Weekly Log'!$A$5:$A$5000&lt;$J1854+7)*('Weekly Log'!$M$5:$M$5000&lt;&gt;"")),'Weekly Log'!$M$5:$M$5000),0))</f>
        <v/>
      </c>
      <c r="J1854">
        <f>IF(COUNT('Weekly Log'!$A$5:$A$5000)=0,"",IF(MIN('Weekly Log'!$A$5:$A$5000)+7*(ROW()-10)&gt;MAX('Weekly Log'!$A$5:$A$5000),"",MIN('Weekly Log'!$A$5:$A$5000)+7*(ROW()-10)))</f>
        <v/>
      </c>
    </row>
    <row r="1855">
      <c r="A1855">
        <f>IF($J1855="","",YEAR($J1855-WEEKDAY($J1855,2)+4)&amp;"-W"&amp;TEXT(WEEKNUM($J1855,21),"00"))</f>
        <v/>
      </c>
      <c r="B1855">
        <f>IF($J1855="","",SUMIFS('Weekly Log'!$C:$C,'Weekly Log'!$A:$A,"&gt;="&amp;$J1855,'Weekly Log'!$A:$A,"&lt;"&amp;$J1855+7))</f>
        <v/>
      </c>
      <c r="C1855">
        <f>IF($J1855="","",IFERROR(COUNTIFS('Weekly Log'!$G:$G,"Y",'Weekly Log'!$A:$A,"&gt;="&amp;$J1855,'Weekly Log'!$A:$A,"&lt;"&amp;$J1855+7)/COUNTIFS('Weekly Log'!$G:$G,"&lt;&gt;",'Weekly Log'!$A:$A,"&gt;="&amp;$J1855,'Weekly Log'!$A:$A,"&lt;"&amp;$J1855+7),0))</f>
        <v/>
      </c>
      <c r="D1855">
        <f>IF($J1855="","",IFERROR(COUNTIFS('Weekly Log'!$H:$H,"Y",'Weekly Log'!$A:$A,"&gt;="&amp;$J1855,'Weekly Log'!$A:$A,"&lt;"&amp;$J1855+7)/COUNTIFS('Weekly Log'!$H:$H,"&lt;&gt;",'Weekly Log'!$A:$A,"&gt;="&amp;$J1855,'Weekly Log'!$A:$A,"&lt;"&amp;$J1855+7),0))</f>
        <v/>
      </c>
      <c r="E1855">
        <f>IF($J1855="","",IFERROR(AVERAGEIFS('Weekly Log'!$F:$F,'Weekly Log'!$A:$A,"&gt;="&amp;$J1855,'Weekly Log'!$A:$A,"&lt;"&amp;$J1855+7),0))</f>
        <v/>
      </c>
      <c r="F1855">
        <f>IF($J1855="","",IFERROR(SUMIFS('Weekly Log'!$F:$F,'Weekly Log'!$A:$A,"&gt;="&amp;$J1855,'Weekly Log'!$A:$A,"&lt;"&amp;$J1855+7)/SUMIFS('Weekly Log'!$E:$E,'Weekly Log'!$A:$A,"&gt;="&amp;$J1855,'Weekly Log'!$A:$A,"&lt;"&amp;$J1855+7),0))</f>
        <v/>
      </c>
      <c r="G1855">
        <f>IF($J1855="","",IFERROR(LOOKUP(2,1/(('Weekly Log'!$A$5:$A$5000&gt;=$J1855)*('Weekly Log'!$A$5:$A$5000&lt;$J1855+7)*('Weekly Log'!$M$5:$M$5000&lt;&gt;"")),'Weekly Log'!$M$5:$M$5000),0))</f>
        <v/>
      </c>
      <c r="J1855">
        <f>IF(COUNT('Weekly Log'!$A$5:$A$5000)=0,"",IF(MIN('Weekly Log'!$A$5:$A$5000)+7*(ROW()-10)&gt;MAX('Weekly Log'!$A$5:$A$5000),"",MIN('Weekly Log'!$A$5:$A$5000)+7*(ROW()-10)))</f>
        <v/>
      </c>
    </row>
    <row r="1856">
      <c r="A1856">
        <f>IF($J1856="","",YEAR($J1856-WEEKDAY($J1856,2)+4)&amp;"-W"&amp;TEXT(WEEKNUM($J1856,21),"00"))</f>
        <v/>
      </c>
      <c r="B1856">
        <f>IF($J1856="","",SUMIFS('Weekly Log'!$C:$C,'Weekly Log'!$A:$A,"&gt;="&amp;$J1856,'Weekly Log'!$A:$A,"&lt;"&amp;$J1856+7))</f>
        <v/>
      </c>
      <c r="C1856">
        <f>IF($J1856="","",IFERROR(COUNTIFS('Weekly Log'!$G:$G,"Y",'Weekly Log'!$A:$A,"&gt;="&amp;$J1856,'Weekly Log'!$A:$A,"&lt;"&amp;$J1856+7)/COUNTIFS('Weekly Log'!$G:$G,"&lt;&gt;",'Weekly Log'!$A:$A,"&gt;="&amp;$J1856,'Weekly Log'!$A:$A,"&lt;"&amp;$J1856+7),0))</f>
        <v/>
      </c>
      <c r="D1856">
        <f>IF($J1856="","",IFERROR(COUNTIFS('Weekly Log'!$H:$H,"Y",'Weekly Log'!$A:$A,"&gt;="&amp;$J1856,'Weekly Log'!$A:$A,"&lt;"&amp;$J1856+7)/COUNTIFS('Weekly Log'!$H:$H,"&lt;&gt;",'Weekly Log'!$A:$A,"&gt;="&amp;$J1856,'Weekly Log'!$A:$A,"&lt;"&amp;$J1856+7),0))</f>
        <v/>
      </c>
      <c r="E1856">
        <f>IF($J1856="","",IFERROR(AVERAGEIFS('Weekly Log'!$F:$F,'Weekly Log'!$A:$A,"&gt;="&amp;$J1856,'Weekly Log'!$A:$A,"&lt;"&amp;$J1856+7),0))</f>
        <v/>
      </c>
      <c r="F1856">
        <f>IF($J1856="","",IFERROR(SUMIFS('Weekly Log'!$F:$F,'Weekly Log'!$A:$A,"&gt;="&amp;$J1856,'Weekly Log'!$A:$A,"&lt;"&amp;$J1856+7)/SUMIFS('Weekly Log'!$E:$E,'Weekly Log'!$A:$A,"&gt;="&amp;$J1856,'Weekly Log'!$A:$A,"&lt;"&amp;$J1856+7),0))</f>
        <v/>
      </c>
      <c r="G1856">
        <f>IF($J1856="","",IFERROR(LOOKUP(2,1/(('Weekly Log'!$A$5:$A$5000&gt;=$J1856)*('Weekly Log'!$A$5:$A$5000&lt;$J1856+7)*('Weekly Log'!$M$5:$M$5000&lt;&gt;"")),'Weekly Log'!$M$5:$M$5000),0))</f>
        <v/>
      </c>
      <c r="J1856">
        <f>IF(COUNT('Weekly Log'!$A$5:$A$5000)=0,"",IF(MIN('Weekly Log'!$A$5:$A$5000)+7*(ROW()-10)&gt;MAX('Weekly Log'!$A$5:$A$5000),"",MIN('Weekly Log'!$A$5:$A$5000)+7*(ROW()-10)))</f>
        <v/>
      </c>
    </row>
    <row r="1857">
      <c r="A1857">
        <f>IF($J1857="","",YEAR($J1857-WEEKDAY($J1857,2)+4)&amp;"-W"&amp;TEXT(WEEKNUM($J1857,21),"00"))</f>
        <v/>
      </c>
      <c r="B1857">
        <f>IF($J1857="","",SUMIFS('Weekly Log'!$C:$C,'Weekly Log'!$A:$A,"&gt;="&amp;$J1857,'Weekly Log'!$A:$A,"&lt;"&amp;$J1857+7))</f>
        <v/>
      </c>
      <c r="C1857">
        <f>IF($J1857="","",IFERROR(COUNTIFS('Weekly Log'!$G:$G,"Y",'Weekly Log'!$A:$A,"&gt;="&amp;$J1857,'Weekly Log'!$A:$A,"&lt;"&amp;$J1857+7)/COUNTIFS('Weekly Log'!$G:$G,"&lt;&gt;",'Weekly Log'!$A:$A,"&gt;="&amp;$J1857,'Weekly Log'!$A:$A,"&lt;"&amp;$J1857+7),0))</f>
        <v/>
      </c>
      <c r="D1857">
        <f>IF($J1857="","",IFERROR(COUNTIFS('Weekly Log'!$H:$H,"Y",'Weekly Log'!$A:$A,"&gt;="&amp;$J1857,'Weekly Log'!$A:$A,"&lt;"&amp;$J1857+7)/COUNTIFS('Weekly Log'!$H:$H,"&lt;&gt;",'Weekly Log'!$A:$A,"&gt;="&amp;$J1857,'Weekly Log'!$A:$A,"&lt;"&amp;$J1857+7),0))</f>
        <v/>
      </c>
      <c r="E1857">
        <f>IF($J1857="","",IFERROR(AVERAGEIFS('Weekly Log'!$F:$F,'Weekly Log'!$A:$A,"&gt;="&amp;$J1857,'Weekly Log'!$A:$A,"&lt;"&amp;$J1857+7),0))</f>
        <v/>
      </c>
      <c r="F1857">
        <f>IF($J1857="","",IFERROR(SUMIFS('Weekly Log'!$F:$F,'Weekly Log'!$A:$A,"&gt;="&amp;$J1857,'Weekly Log'!$A:$A,"&lt;"&amp;$J1857+7)/SUMIFS('Weekly Log'!$E:$E,'Weekly Log'!$A:$A,"&gt;="&amp;$J1857,'Weekly Log'!$A:$A,"&lt;"&amp;$J1857+7),0))</f>
        <v/>
      </c>
      <c r="G1857">
        <f>IF($J1857="","",IFERROR(LOOKUP(2,1/(('Weekly Log'!$A$5:$A$5000&gt;=$J1857)*('Weekly Log'!$A$5:$A$5000&lt;$J1857+7)*('Weekly Log'!$M$5:$M$5000&lt;&gt;"")),'Weekly Log'!$M$5:$M$5000),0))</f>
        <v/>
      </c>
      <c r="J1857">
        <f>IF(COUNT('Weekly Log'!$A$5:$A$5000)=0,"",IF(MIN('Weekly Log'!$A$5:$A$5000)+7*(ROW()-10)&gt;MAX('Weekly Log'!$A$5:$A$5000),"",MIN('Weekly Log'!$A$5:$A$5000)+7*(ROW()-10)))</f>
        <v/>
      </c>
    </row>
    <row r="1858">
      <c r="A1858">
        <f>IF($J1858="","",YEAR($J1858-WEEKDAY($J1858,2)+4)&amp;"-W"&amp;TEXT(WEEKNUM($J1858,21),"00"))</f>
        <v/>
      </c>
      <c r="B1858">
        <f>IF($J1858="","",SUMIFS('Weekly Log'!$C:$C,'Weekly Log'!$A:$A,"&gt;="&amp;$J1858,'Weekly Log'!$A:$A,"&lt;"&amp;$J1858+7))</f>
        <v/>
      </c>
      <c r="C1858">
        <f>IF($J1858="","",IFERROR(COUNTIFS('Weekly Log'!$G:$G,"Y",'Weekly Log'!$A:$A,"&gt;="&amp;$J1858,'Weekly Log'!$A:$A,"&lt;"&amp;$J1858+7)/COUNTIFS('Weekly Log'!$G:$G,"&lt;&gt;",'Weekly Log'!$A:$A,"&gt;="&amp;$J1858,'Weekly Log'!$A:$A,"&lt;"&amp;$J1858+7),0))</f>
        <v/>
      </c>
      <c r="D1858">
        <f>IF($J1858="","",IFERROR(COUNTIFS('Weekly Log'!$H:$H,"Y",'Weekly Log'!$A:$A,"&gt;="&amp;$J1858,'Weekly Log'!$A:$A,"&lt;"&amp;$J1858+7)/COUNTIFS('Weekly Log'!$H:$H,"&lt;&gt;",'Weekly Log'!$A:$A,"&gt;="&amp;$J1858,'Weekly Log'!$A:$A,"&lt;"&amp;$J1858+7),0))</f>
        <v/>
      </c>
      <c r="E1858">
        <f>IF($J1858="","",IFERROR(AVERAGEIFS('Weekly Log'!$F:$F,'Weekly Log'!$A:$A,"&gt;="&amp;$J1858,'Weekly Log'!$A:$A,"&lt;"&amp;$J1858+7),0))</f>
        <v/>
      </c>
      <c r="F1858">
        <f>IF($J1858="","",IFERROR(SUMIFS('Weekly Log'!$F:$F,'Weekly Log'!$A:$A,"&gt;="&amp;$J1858,'Weekly Log'!$A:$A,"&lt;"&amp;$J1858+7)/SUMIFS('Weekly Log'!$E:$E,'Weekly Log'!$A:$A,"&gt;="&amp;$J1858,'Weekly Log'!$A:$A,"&lt;"&amp;$J1858+7),0))</f>
        <v/>
      </c>
      <c r="G1858">
        <f>IF($J1858="","",IFERROR(LOOKUP(2,1/(('Weekly Log'!$A$5:$A$5000&gt;=$J1858)*('Weekly Log'!$A$5:$A$5000&lt;$J1858+7)*('Weekly Log'!$M$5:$M$5000&lt;&gt;"")),'Weekly Log'!$M$5:$M$5000),0))</f>
        <v/>
      </c>
      <c r="J1858">
        <f>IF(COUNT('Weekly Log'!$A$5:$A$5000)=0,"",IF(MIN('Weekly Log'!$A$5:$A$5000)+7*(ROW()-10)&gt;MAX('Weekly Log'!$A$5:$A$5000),"",MIN('Weekly Log'!$A$5:$A$5000)+7*(ROW()-10)))</f>
        <v/>
      </c>
    </row>
    <row r="1859">
      <c r="A1859">
        <f>IF($J1859="","",YEAR($J1859-WEEKDAY($J1859,2)+4)&amp;"-W"&amp;TEXT(WEEKNUM($J1859,21),"00"))</f>
        <v/>
      </c>
      <c r="B1859">
        <f>IF($J1859="","",SUMIFS('Weekly Log'!$C:$C,'Weekly Log'!$A:$A,"&gt;="&amp;$J1859,'Weekly Log'!$A:$A,"&lt;"&amp;$J1859+7))</f>
        <v/>
      </c>
      <c r="C1859">
        <f>IF($J1859="","",IFERROR(COUNTIFS('Weekly Log'!$G:$G,"Y",'Weekly Log'!$A:$A,"&gt;="&amp;$J1859,'Weekly Log'!$A:$A,"&lt;"&amp;$J1859+7)/COUNTIFS('Weekly Log'!$G:$G,"&lt;&gt;",'Weekly Log'!$A:$A,"&gt;="&amp;$J1859,'Weekly Log'!$A:$A,"&lt;"&amp;$J1859+7),0))</f>
        <v/>
      </c>
      <c r="D1859">
        <f>IF($J1859="","",IFERROR(COUNTIFS('Weekly Log'!$H:$H,"Y",'Weekly Log'!$A:$A,"&gt;="&amp;$J1859,'Weekly Log'!$A:$A,"&lt;"&amp;$J1859+7)/COUNTIFS('Weekly Log'!$H:$H,"&lt;&gt;",'Weekly Log'!$A:$A,"&gt;="&amp;$J1859,'Weekly Log'!$A:$A,"&lt;"&amp;$J1859+7),0))</f>
        <v/>
      </c>
      <c r="E1859">
        <f>IF($J1859="","",IFERROR(AVERAGEIFS('Weekly Log'!$F:$F,'Weekly Log'!$A:$A,"&gt;="&amp;$J1859,'Weekly Log'!$A:$A,"&lt;"&amp;$J1859+7),0))</f>
        <v/>
      </c>
      <c r="F1859">
        <f>IF($J1859="","",IFERROR(SUMIFS('Weekly Log'!$F:$F,'Weekly Log'!$A:$A,"&gt;="&amp;$J1859,'Weekly Log'!$A:$A,"&lt;"&amp;$J1859+7)/SUMIFS('Weekly Log'!$E:$E,'Weekly Log'!$A:$A,"&gt;="&amp;$J1859,'Weekly Log'!$A:$A,"&lt;"&amp;$J1859+7),0))</f>
        <v/>
      </c>
      <c r="G1859">
        <f>IF($J1859="","",IFERROR(LOOKUP(2,1/(('Weekly Log'!$A$5:$A$5000&gt;=$J1859)*('Weekly Log'!$A$5:$A$5000&lt;$J1859+7)*('Weekly Log'!$M$5:$M$5000&lt;&gt;"")),'Weekly Log'!$M$5:$M$5000),0))</f>
        <v/>
      </c>
      <c r="J1859">
        <f>IF(COUNT('Weekly Log'!$A$5:$A$5000)=0,"",IF(MIN('Weekly Log'!$A$5:$A$5000)+7*(ROW()-10)&gt;MAX('Weekly Log'!$A$5:$A$5000),"",MIN('Weekly Log'!$A$5:$A$5000)+7*(ROW()-10)))</f>
        <v/>
      </c>
    </row>
    <row r="1860">
      <c r="A1860">
        <f>IF($J1860="","",YEAR($J1860-WEEKDAY($J1860,2)+4)&amp;"-W"&amp;TEXT(WEEKNUM($J1860,21),"00"))</f>
        <v/>
      </c>
      <c r="B1860">
        <f>IF($J1860="","",SUMIFS('Weekly Log'!$C:$C,'Weekly Log'!$A:$A,"&gt;="&amp;$J1860,'Weekly Log'!$A:$A,"&lt;"&amp;$J1860+7))</f>
        <v/>
      </c>
      <c r="C1860">
        <f>IF($J1860="","",IFERROR(COUNTIFS('Weekly Log'!$G:$G,"Y",'Weekly Log'!$A:$A,"&gt;="&amp;$J1860,'Weekly Log'!$A:$A,"&lt;"&amp;$J1860+7)/COUNTIFS('Weekly Log'!$G:$G,"&lt;&gt;",'Weekly Log'!$A:$A,"&gt;="&amp;$J1860,'Weekly Log'!$A:$A,"&lt;"&amp;$J1860+7),0))</f>
        <v/>
      </c>
      <c r="D1860">
        <f>IF($J1860="","",IFERROR(COUNTIFS('Weekly Log'!$H:$H,"Y",'Weekly Log'!$A:$A,"&gt;="&amp;$J1860,'Weekly Log'!$A:$A,"&lt;"&amp;$J1860+7)/COUNTIFS('Weekly Log'!$H:$H,"&lt;&gt;",'Weekly Log'!$A:$A,"&gt;="&amp;$J1860,'Weekly Log'!$A:$A,"&lt;"&amp;$J1860+7),0))</f>
        <v/>
      </c>
      <c r="E1860">
        <f>IF($J1860="","",IFERROR(AVERAGEIFS('Weekly Log'!$F:$F,'Weekly Log'!$A:$A,"&gt;="&amp;$J1860,'Weekly Log'!$A:$A,"&lt;"&amp;$J1860+7),0))</f>
        <v/>
      </c>
      <c r="F1860">
        <f>IF($J1860="","",IFERROR(SUMIFS('Weekly Log'!$F:$F,'Weekly Log'!$A:$A,"&gt;="&amp;$J1860,'Weekly Log'!$A:$A,"&lt;"&amp;$J1860+7)/SUMIFS('Weekly Log'!$E:$E,'Weekly Log'!$A:$A,"&gt;="&amp;$J1860,'Weekly Log'!$A:$A,"&lt;"&amp;$J1860+7),0))</f>
        <v/>
      </c>
      <c r="G1860">
        <f>IF($J1860="","",IFERROR(LOOKUP(2,1/(('Weekly Log'!$A$5:$A$5000&gt;=$J1860)*('Weekly Log'!$A$5:$A$5000&lt;$J1860+7)*('Weekly Log'!$M$5:$M$5000&lt;&gt;"")),'Weekly Log'!$M$5:$M$5000),0))</f>
        <v/>
      </c>
      <c r="J1860">
        <f>IF(COUNT('Weekly Log'!$A$5:$A$5000)=0,"",IF(MIN('Weekly Log'!$A$5:$A$5000)+7*(ROW()-10)&gt;MAX('Weekly Log'!$A$5:$A$5000),"",MIN('Weekly Log'!$A$5:$A$5000)+7*(ROW()-10)))</f>
        <v/>
      </c>
    </row>
    <row r="1861">
      <c r="A1861">
        <f>IF($J1861="","",YEAR($J1861-WEEKDAY($J1861,2)+4)&amp;"-W"&amp;TEXT(WEEKNUM($J1861,21),"00"))</f>
        <v/>
      </c>
      <c r="B1861">
        <f>IF($J1861="","",SUMIFS('Weekly Log'!$C:$C,'Weekly Log'!$A:$A,"&gt;="&amp;$J1861,'Weekly Log'!$A:$A,"&lt;"&amp;$J1861+7))</f>
        <v/>
      </c>
      <c r="C1861">
        <f>IF($J1861="","",IFERROR(COUNTIFS('Weekly Log'!$G:$G,"Y",'Weekly Log'!$A:$A,"&gt;="&amp;$J1861,'Weekly Log'!$A:$A,"&lt;"&amp;$J1861+7)/COUNTIFS('Weekly Log'!$G:$G,"&lt;&gt;",'Weekly Log'!$A:$A,"&gt;="&amp;$J1861,'Weekly Log'!$A:$A,"&lt;"&amp;$J1861+7),0))</f>
        <v/>
      </c>
      <c r="D1861">
        <f>IF($J1861="","",IFERROR(COUNTIFS('Weekly Log'!$H:$H,"Y",'Weekly Log'!$A:$A,"&gt;="&amp;$J1861,'Weekly Log'!$A:$A,"&lt;"&amp;$J1861+7)/COUNTIFS('Weekly Log'!$H:$H,"&lt;&gt;",'Weekly Log'!$A:$A,"&gt;="&amp;$J1861,'Weekly Log'!$A:$A,"&lt;"&amp;$J1861+7),0))</f>
        <v/>
      </c>
      <c r="E1861">
        <f>IF($J1861="","",IFERROR(AVERAGEIFS('Weekly Log'!$F:$F,'Weekly Log'!$A:$A,"&gt;="&amp;$J1861,'Weekly Log'!$A:$A,"&lt;"&amp;$J1861+7),0))</f>
        <v/>
      </c>
      <c r="F1861">
        <f>IF($J1861="","",IFERROR(SUMIFS('Weekly Log'!$F:$F,'Weekly Log'!$A:$A,"&gt;="&amp;$J1861,'Weekly Log'!$A:$A,"&lt;"&amp;$J1861+7)/SUMIFS('Weekly Log'!$E:$E,'Weekly Log'!$A:$A,"&gt;="&amp;$J1861,'Weekly Log'!$A:$A,"&lt;"&amp;$J1861+7),0))</f>
        <v/>
      </c>
      <c r="G1861">
        <f>IF($J1861="","",IFERROR(LOOKUP(2,1/(('Weekly Log'!$A$5:$A$5000&gt;=$J1861)*('Weekly Log'!$A$5:$A$5000&lt;$J1861+7)*('Weekly Log'!$M$5:$M$5000&lt;&gt;"")),'Weekly Log'!$M$5:$M$5000),0))</f>
        <v/>
      </c>
      <c r="J1861">
        <f>IF(COUNT('Weekly Log'!$A$5:$A$5000)=0,"",IF(MIN('Weekly Log'!$A$5:$A$5000)+7*(ROW()-10)&gt;MAX('Weekly Log'!$A$5:$A$5000),"",MIN('Weekly Log'!$A$5:$A$5000)+7*(ROW()-10)))</f>
        <v/>
      </c>
    </row>
    <row r="1862">
      <c r="A1862">
        <f>IF($J1862="","",YEAR($J1862-WEEKDAY($J1862,2)+4)&amp;"-W"&amp;TEXT(WEEKNUM($J1862,21),"00"))</f>
        <v/>
      </c>
      <c r="B1862">
        <f>IF($J1862="","",SUMIFS('Weekly Log'!$C:$C,'Weekly Log'!$A:$A,"&gt;="&amp;$J1862,'Weekly Log'!$A:$A,"&lt;"&amp;$J1862+7))</f>
        <v/>
      </c>
      <c r="C1862">
        <f>IF($J1862="","",IFERROR(COUNTIFS('Weekly Log'!$G:$G,"Y",'Weekly Log'!$A:$A,"&gt;="&amp;$J1862,'Weekly Log'!$A:$A,"&lt;"&amp;$J1862+7)/COUNTIFS('Weekly Log'!$G:$G,"&lt;&gt;",'Weekly Log'!$A:$A,"&gt;="&amp;$J1862,'Weekly Log'!$A:$A,"&lt;"&amp;$J1862+7),0))</f>
        <v/>
      </c>
      <c r="D1862">
        <f>IF($J1862="","",IFERROR(COUNTIFS('Weekly Log'!$H:$H,"Y",'Weekly Log'!$A:$A,"&gt;="&amp;$J1862,'Weekly Log'!$A:$A,"&lt;"&amp;$J1862+7)/COUNTIFS('Weekly Log'!$H:$H,"&lt;&gt;",'Weekly Log'!$A:$A,"&gt;="&amp;$J1862,'Weekly Log'!$A:$A,"&lt;"&amp;$J1862+7),0))</f>
        <v/>
      </c>
      <c r="E1862">
        <f>IF($J1862="","",IFERROR(AVERAGEIFS('Weekly Log'!$F:$F,'Weekly Log'!$A:$A,"&gt;="&amp;$J1862,'Weekly Log'!$A:$A,"&lt;"&amp;$J1862+7),0))</f>
        <v/>
      </c>
      <c r="F1862">
        <f>IF($J1862="","",IFERROR(SUMIFS('Weekly Log'!$F:$F,'Weekly Log'!$A:$A,"&gt;="&amp;$J1862,'Weekly Log'!$A:$A,"&lt;"&amp;$J1862+7)/SUMIFS('Weekly Log'!$E:$E,'Weekly Log'!$A:$A,"&gt;="&amp;$J1862,'Weekly Log'!$A:$A,"&lt;"&amp;$J1862+7),0))</f>
        <v/>
      </c>
      <c r="G1862">
        <f>IF($J1862="","",IFERROR(LOOKUP(2,1/(('Weekly Log'!$A$5:$A$5000&gt;=$J1862)*('Weekly Log'!$A$5:$A$5000&lt;$J1862+7)*('Weekly Log'!$M$5:$M$5000&lt;&gt;"")),'Weekly Log'!$M$5:$M$5000),0))</f>
        <v/>
      </c>
      <c r="J1862">
        <f>IF(COUNT('Weekly Log'!$A$5:$A$5000)=0,"",IF(MIN('Weekly Log'!$A$5:$A$5000)+7*(ROW()-10)&gt;MAX('Weekly Log'!$A$5:$A$5000),"",MIN('Weekly Log'!$A$5:$A$5000)+7*(ROW()-10)))</f>
        <v/>
      </c>
    </row>
    <row r="1863">
      <c r="A1863">
        <f>IF($J1863="","",YEAR($J1863-WEEKDAY($J1863,2)+4)&amp;"-W"&amp;TEXT(WEEKNUM($J1863,21),"00"))</f>
        <v/>
      </c>
      <c r="B1863">
        <f>IF($J1863="","",SUMIFS('Weekly Log'!$C:$C,'Weekly Log'!$A:$A,"&gt;="&amp;$J1863,'Weekly Log'!$A:$A,"&lt;"&amp;$J1863+7))</f>
        <v/>
      </c>
      <c r="C1863">
        <f>IF($J1863="","",IFERROR(COUNTIFS('Weekly Log'!$G:$G,"Y",'Weekly Log'!$A:$A,"&gt;="&amp;$J1863,'Weekly Log'!$A:$A,"&lt;"&amp;$J1863+7)/COUNTIFS('Weekly Log'!$G:$G,"&lt;&gt;",'Weekly Log'!$A:$A,"&gt;="&amp;$J1863,'Weekly Log'!$A:$A,"&lt;"&amp;$J1863+7),0))</f>
        <v/>
      </c>
      <c r="D1863">
        <f>IF($J1863="","",IFERROR(COUNTIFS('Weekly Log'!$H:$H,"Y",'Weekly Log'!$A:$A,"&gt;="&amp;$J1863,'Weekly Log'!$A:$A,"&lt;"&amp;$J1863+7)/COUNTIFS('Weekly Log'!$H:$H,"&lt;&gt;",'Weekly Log'!$A:$A,"&gt;="&amp;$J1863,'Weekly Log'!$A:$A,"&lt;"&amp;$J1863+7),0))</f>
        <v/>
      </c>
      <c r="E1863">
        <f>IF($J1863="","",IFERROR(AVERAGEIFS('Weekly Log'!$F:$F,'Weekly Log'!$A:$A,"&gt;="&amp;$J1863,'Weekly Log'!$A:$A,"&lt;"&amp;$J1863+7),0))</f>
        <v/>
      </c>
      <c r="F1863">
        <f>IF($J1863="","",IFERROR(SUMIFS('Weekly Log'!$F:$F,'Weekly Log'!$A:$A,"&gt;="&amp;$J1863,'Weekly Log'!$A:$A,"&lt;"&amp;$J1863+7)/SUMIFS('Weekly Log'!$E:$E,'Weekly Log'!$A:$A,"&gt;="&amp;$J1863,'Weekly Log'!$A:$A,"&lt;"&amp;$J1863+7),0))</f>
        <v/>
      </c>
      <c r="G1863">
        <f>IF($J1863="","",IFERROR(LOOKUP(2,1/(('Weekly Log'!$A$5:$A$5000&gt;=$J1863)*('Weekly Log'!$A$5:$A$5000&lt;$J1863+7)*('Weekly Log'!$M$5:$M$5000&lt;&gt;"")),'Weekly Log'!$M$5:$M$5000),0))</f>
        <v/>
      </c>
      <c r="J1863">
        <f>IF(COUNT('Weekly Log'!$A$5:$A$5000)=0,"",IF(MIN('Weekly Log'!$A$5:$A$5000)+7*(ROW()-10)&gt;MAX('Weekly Log'!$A$5:$A$5000),"",MIN('Weekly Log'!$A$5:$A$5000)+7*(ROW()-10)))</f>
        <v/>
      </c>
    </row>
    <row r="1864">
      <c r="A1864">
        <f>IF($J1864="","",YEAR($J1864-WEEKDAY($J1864,2)+4)&amp;"-W"&amp;TEXT(WEEKNUM($J1864,21),"00"))</f>
        <v/>
      </c>
      <c r="B1864">
        <f>IF($J1864="","",SUMIFS('Weekly Log'!$C:$C,'Weekly Log'!$A:$A,"&gt;="&amp;$J1864,'Weekly Log'!$A:$A,"&lt;"&amp;$J1864+7))</f>
        <v/>
      </c>
      <c r="C1864">
        <f>IF($J1864="","",IFERROR(COUNTIFS('Weekly Log'!$G:$G,"Y",'Weekly Log'!$A:$A,"&gt;="&amp;$J1864,'Weekly Log'!$A:$A,"&lt;"&amp;$J1864+7)/COUNTIFS('Weekly Log'!$G:$G,"&lt;&gt;",'Weekly Log'!$A:$A,"&gt;="&amp;$J1864,'Weekly Log'!$A:$A,"&lt;"&amp;$J1864+7),0))</f>
        <v/>
      </c>
      <c r="D1864">
        <f>IF($J1864="","",IFERROR(COUNTIFS('Weekly Log'!$H:$H,"Y",'Weekly Log'!$A:$A,"&gt;="&amp;$J1864,'Weekly Log'!$A:$A,"&lt;"&amp;$J1864+7)/COUNTIFS('Weekly Log'!$H:$H,"&lt;&gt;",'Weekly Log'!$A:$A,"&gt;="&amp;$J1864,'Weekly Log'!$A:$A,"&lt;"&amp;$J1864+7),0))</f>
        <v/>
      </c>
      <c r="E1864">
        <f>IF($J1864="","",IFERROR(AVERAGEIFS('Weekly Log'!$F:$F,'Weekly Log'!$A:$A,"&gt;="&amp;$J1864,'Weekly Log'!$A:$A,"&lt;"&amp;$J1864+7),0))</f>
        <v/>
      </c>
      <c r="F1864">
        <f>IF($J1864="","",IFERROR(SUMIFS('Weekly Log'!$F:$F,'Weekly Log'!$A:$A,"&gt;="&amp;$J1864,'Weekly Log'!$A:$A,"&lt;"&amp;$J1864+7)/SUMIFS('Weekly Log'!$E:$E,'Weekly Log'!$A:$A,"&gt;="&amp;$J1864,'Weekly Log'!$A:$A,"&lt;"&amp;$J1864+7),0))</f>
        <v/>
      </c>
      <c r="G1864">
        <f>IF($J1864="","",IFERROR(LOOKUP(2,1/(('Weekly Log'!$A$5:$A$5000&gt;=$J1864)*('Weekly Log'!$A$5:$A$5000&lt;$J1864+7)*('Weekly Log'!$M$5:$M$5000&lt;&gt;"")),'Weekly Log'!$M$5:$M$5000),0))</f>
        <v/>
      </c>
      <c r="J1864">
        <f>IF(COUNT('Weekly Log'!$A$5:$A$5000)=0,"",IF(MIN('Weekly Log'!$A$5:$A$5000)+7*(ROW()-10)&gt;MAX('Weekly Log'!$A$5:$A$5000),"",MIN('Weekly Log'!$A$5:$A$5000)+7*(ROW()-10)))</f>
        <v/>
      </c>
    </row>
    <row r="1865">
      <c r="A1865">
        <f>IF($J1865="","",YEAR($J1865-WEEKDAY($J1865,2)+4)&amp;"-W"&amp;TEXT(WEEKNUM($J1865,21),"00"))</f>
        <v/>
      </c>
      <c r="B1865">
        <f>IF($J1865="","",SUMIFS('Weekly Log'!$C:$C,'Weekly Log'!$A:$A,"&gt;="&amp;$J1865,'Weekly Log'!$A:$A,"&lt;"&amp;$J1865+7))</f>
        <v/>
      </c>
      <c r="C1865">
        <f>IF($J1865="","",IFERROR(COUNTIFS('Weekly Log'!$G:$G,"Y",'Weekly Log'!$A:$A,"&gt;="&amp;$J1865,'Weekly Log'!$A:$A,"&lt;"&amp;$J1865+7)/COUNTIFS('Weekly Log'!$G:$G,"&lt;&gt;",'Weekly Log'!$A:$A,"&gt;="&amp;$J1865,'Weekly Log'!$A:$A,"&lt;"&amp;$J1865+7),0))</f>
        <v/>
      </c>
      <c r="D1865">
        <f>IF($J1865="","",IFERROR(COUNTIFS('Weekly Log'!$H:$H,"Y",'Weekly Log'!$A:$A,"&gt;="&amp;$J1865,'Weekly Log'!$A:$A,"&lt;"&amp;$J1865+7)/COUNTIFS('Weekly Log'!$H:$H,"&lt;&gt;",'Weekly Log'!$A:$A,"&gt;="&amp;$J1865,'Weekly Log'!$A:$A,"&lt;"&amp;$J1865+7),0))</f>
        <v/>
      </c>
      <c r="E1865">
        <f>IF($J1865="","",IFERROR(AVERAGEIFS('Weekly Log'!$F:$F,'Weekly Log'!$A:$A,"&gt;="&amp;$J1865,'Weekly Log'!$A:$A,"&lt;"&amp;$J1865+7),0))</f>
        <v/>
      </c>
      <c r="F1865">
        <f>IF($J1865="","",IFERROR(SUMIFS('Weekly Log'!$F:$F,'Weekly Log'!$A:$A,"&gt;="&amp;$J1865,'Weekly Log'!$A:$A,"&lt;"&amp;$J1865+7)/SUMIFS('Weekly Log'!$E:$E,'Weekly Log'!$A:$A,"&gt;="&amp;$J1865,'Weekly Log'!$A:$A,"&lt;"&amp;$J1865+7),0))</f>
        <v/>
      </c>
      <c r="G1865">
        <f>IF($J1865="","",IFERROR(LOOKUP(2,1/(('Weekly Log'!$A$5:$A$5000&gt;=$J1865)*('Weekly Log'!$A$5:$A$5000&lt;$J1865+7)*('Weekly Log'!$M$5:$M$5000&lt;&gt;"")),'Weekly Log'!$M$5:$M$5000),0))</f>
        <v/>
      </c>
      <c r="J1865">
        <f>IF(COUNT('Weekly Log'!$A$5:$A$5000)=0,"",IF(MIN('Weekly Log'!$A$5:$A$5000)+7*(ROW()-10)&gt;MAX('Weekly Log'!$A$5:$A$5000),"",MIN('Weekly Log'!$A$5:$A$5000)+7*(ROW()-10)))</f>
        <v/>
      </c>
    </row>
    <row r="1866">
      <c r="A1866">
        <f>IF($J1866="","",YEAR($J1866-WEEKDAY($J1866,2)+4)&amp;"-W"&amp;TEXT(WEEKNUM($J1866,21),"00"))</f>
        <v/>
      </c>
      <c r="B1866">
        <f>IF($J1866="","",SUMIFS('Weekly Log'!$C:$C,'Weekly Log'!$A:$A,"&gt;="&amp;$J1866,'Weekly Log'!$A:$A,"&lt;"&amp;$J1866+7))</f>
        <v/>
      </c>
      <c r="C1866">
        <f>IF($J1866="","",IFERROR(COUNTIFS('Weekly Log'!$G:$G,"Y",'Weekly Log'!$A:$A,"&gt;="&amp;$J1866,'Weekly Log'!$A:$A,"&lt;"&amp;$J1866+7)/COUNTIFS('Weekly Log'!$G:$G,"&lt;&gt;",'Weekly Log'!$A:$A,"&gt;="&amp;$J1866,'Weekly Log'!$A:$A,"&lt;"&amp;$J1866+7),0))</f>
        <v/>
      </c>
      <c r="D1866">
        <f>IF($J1866="","",IFERROR(COUNTIFS('Weekly Log'!$H:$H,"Y",'Weekly Log'!$A:$A,"&gt;="&amp;$J1866,'Weekly Log'!$A:$A,"&lt;"&amp;$J1866+7)/COUNTIFS('Weekly Log'!$H:$H,"&lt;&gt;",'Weekly Log'!$A:$A,"&gt;="&amp;$J1866,'Weekly Log'!$A:$A,"&lt;"&amp;$J1866+7),0))</f>
        <v/>
      </c>
      <c r="E1866">
        <f>IF($J1866="","",IFERROR(AVERAGEIFS('Weekly Log'!$F:$F,'Weekly Log'!$A:$A,"&gt;="&amp;$J1866,'Weekly Log'!$A:$A,"&lt;"&amp;$J1866+7),0))</f>
        <v/>
      </c>
      <c r="F1866">
        <f>IF($J1866="","",IFERROR(SUMIFS('Weekly Log'!$F:$F,'Weekly Log'!$A:$A,"&gt;="&amp;$J1866,'Weekly Log'!$A:$A,"&lt;"&amp;$J1866+7)/SUMIFS('Weekly Log'!$E:$E,'Weekly Log'!$A:$A,"&gt;="&amp;$J1866,'Weekly Log'!$A:$A,"&lt;"&amp;$J1866+7),0))</f>
        <v/>
      </c>
      <c r="G1866">
        <f>IF($J1866="","",IFERROR(LOOKUP(2,1/(('Weekly Log'!$A$5:$A$5000&gt;=$J1866)*('Weekly Log'!$A$5:$A$5000&lt;$J1866+7)*('Weekly Log'!$M$5:$M$5000&lt;&gt;"")),'Weekly Log'!$M$5:$M$5000),0))</f>
        <v/>
      </c>
      <c r="J1866">
        <f>IF(COUNT('Weekly Log'!$A$5:$A$5000)=0,"",IF(MIN('Weekly Log'!$A$5:$A$5000)+7*(ROW()-10)&gt;MAX('Weekly Log'!$A$5:$A$5000),"",MIN('Weekly Log'!$A$5:$A$5000)+7*(ROW()-10)))</f>
        <v/>
      </c>
    </row>
    <row r="1867">
      <c r="A1867">
        <f>IF($J1867="","",YEAR($J1867-WEEKDAY($J1867,2)+4)&amp;"-W"&amp;TEXT(WEEKNUM($J1867,21),"00"))</f>
        <v/>
      </c>
      <c r="B1867">
        <f>IF($J1867="","",SUMIFS('Weekly Log'!$C:$C,'Weekly Log'!$A:$A,"&gt;="&amp;$J1867,'Weekly Log'!$A:$A,"&lt;"&amp;$J1867+7))</f>
        <v/>
      </c>
      <c r="C1867">
        <f>IF($J1867="","",IFERROR(COUNTIFS('Weekly Log'!$G:$G,"Y",'Weekly Log'!$A:$A,"&gt;="&amp;$J1867,'Weekly Log'!$A:$A,"&lt;"&amp;$J1867+7)/COUNTIFS('Weekly Log'!$G:$G,"&lt;&gt;",'Weekly Log'!$A:$A,"&gt;="&amp;$J1867,'Weekly Log'!$A:$A,"&lt;"&amp;$J1867+7),0))</f>
        <v/>
      </c>
      <c r="D1867">
        <f>IF($J1867="","",IFERROR(COUNTIFS('Weekly Log'!$H:$H,"Y",'Weekly Log'!$A:$A,"&gt;="&amp;$J1867,'Weekly Log'!$A:$A,"&lt;"&amp;$J1867+7)/COUNTIFS('Weekly Log'!$H:$H,"&lt;&gt;",'Weekly Log'!$A:$A,"&gt;="&amp;$J1867,'Weekly Log'!$A:$A,"&lt;"&amp;$J1867+7),0))</f>
        <v/>
      </c>
      <c r="E1867">
        <f>IF($J1867="","",IFERROR(AVERAGEIFS('Weekly Log'!$F:$F,'Weekly Log'!$A:$A,"&gt;="&amp;$J1867,'Weekly Log'!$A:$A,"&lt;"&amp;$J1867+7),0))</f>
        <v/>
      </c>
      <c r="F1867">
        <f>IF($J1867="","",IFERROR(SUMIFS('Weekly Log'!$F:$F,'Weekly Log'!$A:$A,"&gt;="&amp;$J1867,'Weekly Log'!$A:$A,"&lt;"&amp;$J1867+7)/SUMIFS('Weekly Log'!$E:$E,'Weekly Log'!$A:$A,"&gt;="&amp;$J1867,'Weekly Log'!$A:$A,"&lt;"&amp;$J1867+7),0))</f>
        <v/>
      </c>
      <c r="G1867">
        <f>IF($J1867="","",IFERROR(LOOKUP(2,1/(('Weekly Log'!$A$5:$A$5000&gt;=$J1867)*('Weekly Log'!$A$5:$A$5000&lt;$J1867+7)*('Weekly Log'!$M$5:$M$5000&lt;&gt;"")),'Weekly Log'!$M$5:$M$5000),0))</f>
        <v/>
      </c>
      <c r="J1867">
        <f>IF(COUNT('Weekly Log'!$A$5:$A$5000)=0,"",IF(MIN('Weekly Log'!$A$5:$A$5000)+7*(ROW()-10)&gt;MAX('Weekly Log'!$A$5:$A$5000),"",MIN('Weekly Log'!$A$5:$A$5000)+7*(ROW()-10)))</f>
        <v/>
      </c>
    </row>
    <row r="1868">
      <c r="A1868">
        <f>IF($J1868="","",YEAR($J1868-WEEKDAY($J1868,2)+4)&amp;"-W"&amp;TEXT(WEEKNUM($J1868,21),"00"))</f>
        <v/>
      </c>
      <c r="B1868">
        <f>IF($J1868="","",SUMIFS('Weekly Log'!$C:$C,'Weekly Log'!$A:$A,"&gt;="&amp;$J1868,'Weekly Log'!$A:$A,"&lt;"&amp;$J1868+7))</f>
        <v/>
      </c>
      <c r="C1868">
        <f>IF($J1868="","",IFERROR(COUNTIFS('Weekly Log'!$G:$G,"Y",'Weekly Log'!$A:$A,"&gt;="&amp;$J1868,'Weekly Log'!$A:$A,"&lt;"&amp;$J1868+7)/COUNTIFS('Weekly Log'!$G:$G,"&lt;&gt;",'Weekly Log'!$A:$A,"&gt;="&amp;$J1868,'Weekly Log'!$A:$A,"&lt;"&amp;$J1868+7),0))</f>
        <v/>
      </c>
      <c r="D1868">
        <f>IF($J1868="","",IFERROR(COUNTIFS('Weekly Log'!$H:$H,"Y",'Weekly Log'!$A:$A,"&gt;="&amp;$J1868,'Weekly Log'!$A:$A,"&lt;"&amp;$J1868+7)/COUNTIFS('Weekly Log'!$H:$H,"&lt;&gt;",'Weekly Log'!$A:$A,"&gt;="&amp;$J1868,'Weekly Log'!$A:$A,"&lt;"&amp;$J1868+7),0))</f>
        <v/>
      </c>
      <c r="E1868">
        <f>IF($J1868="","",IFERROR(AVERAGEIFS('Weekly Log'!$F:$F,'Weekly Log'!$A:$A,"&gt;="&amp;$J1868,'Weekly Log'!$A:$A,"&lt;"&amp;$J1868+7),0))</f>
        <v/>
      </c>
      <c r="F1868">
        <f>IF($J1868="","",IFERROR(SUMIFS('Weekly Log'!$F:$F,'Weekly Log'!$A:$A,"&gt;="&amp;$J1868,'Weekly Log'!$A:$A,"&lt;"&amp;$J1868+7)/SUMIFS('Weekly Log'!$E:$E,'Weekly Log'!$A:$A,"&gt;="&amp;$J1868,'Weekly Log'!$A:$A,"&lt;"&amp;$J1868+7),0))</f>
        <v/>
      </c>
      <c r="G1868">
        <f>IF($J1868="","",IFERROR(LOOKUP(2,1/(('Weekly Log'!$A$5:$A$5000&gt;=$J1868)*('Weekly Log'!$A$5:$A$5000&lt;$J1868+7)*('Weekly Log'!$M$5:$M$5000&lt;&gt;"")),'Weekly Log'!$M$5:$M$5000),0))</f>
        <v/>
      </c>
      <c r="J1868">
        <f>IF(COUNT('Weekly Log'!$A$5:$A$5000)=0,"",IF(MIN('Weekly Log'!$A$5:$A$5000)+7*(ROW()-10)&gt;MAX('Weekly Log'!$A$5:$A$5000),"",MIN('Weekly Log'!$A$5:$A$5000)+7*(ROW()-10)))</f>
        <v/>
      </c>
    </row>
    <row r="1869">
      <c r="A1869">
        <f>IF($J1869="","",YEAR($J1869-WEEKDAY($J1869,2)+4)&amp;"-W"&amp;TEXT(WEEKNUM($J1869,21),"00"))</f>
        <v/>
      </c>
      <c r="B1869">
        <f>IF($J1869="","",SUMIFS('Weekly Log'!$C:$C,'Weekly Log'!$A:$A,"&gt;="&amp;$J1869,'Weekly Log'!$A:$A,"&lt;"&amp;$J1869+7))</f>
        <v/>
      </c>
      <c r="C1869">
        <f>IF($J1869="","",IFERROR(COUNTIFS('Weekly Log'!$G:$G,"Y",'Weekly Log'!$A:$A,"&gt;="&amp;$J1869,'Weekly Log'!$A:$A,"&lt;"&amp;$J1869+7)/COUNTIFS('Weekly Log'!$G:$G,"&lt;&gt;",'Weekly Log'!$A:$A,"&gt;="&amp;$J1869,'Weekly Log'!$A:$A,"&lt;"&amp;$J1869+7),0))</f>
        <v/>
      </c>
      <c r="D1869">
        <f>IF($J1869="","",IFERROR(COUNTIFS('Weekly Log'!$H:$H,"Y",'Weekly Log'!$A:$A,"&gt;="&amp;$J1869,'Weekly Log'!$A:$A,"&lt;"&amp;$J1869+7)/COUNTIFS('Weekly Log'!$H:$H,"&lt;&gt;",'Weekly Log'!$A:$A,"&gt;="&amp;$J1869,'Weekly Log'!$A:$A,"&lt;"&amp;$J1869+7),0))</f>
        <v/>
      </c>
      <c r="E1869">
        <f>IF($J1869="","",IFERROR(AVERAGEIFS('Weekly Log'!$F:$F,'Weekly Log'!$A:$A,"&gt;="&amp;$J1869,'Weekly Log'!$A:$A,"&lt;"&amp;$J1869+7),0))</f>
        <v/>
      </c>
      <c r="F1869">
        <f>IF($J1869="","",IFERROR(SUMIFS('Weekly Log'!$F:$F,'Weekly Log'!$A:$A,"&gt;="&amp;$J1869,'Weekly Log'!$A:$A,"&lt;"&amp;$J1869+7)/SUMIFS('Weekly Log'!$E:$E,'Weekly Log'!$A:$A,"&gt;="&amp;$J1869,'Weekly Log'!$A:$A,"&lt;"&amp;$J1869+7),0))</f>
        <v/>
      </c>
      <c r="G1869">
        <f>IF($J1869="","",IFERROR(LOOKUP(2,1/(('Weekly Log'!$A$5:$A$5000&gt;=$J1869)*('Weekly Log'!$A$5:$A$5000&lt;$J1869+7)*('Weekly Log'!$M$5:$M$5000&lt;&gt;"")),'Weekly Log'!$M$5:$M$5000),0))</f>
        <v/>
      </c>
      <c r="J1869">
        <f>IF(COUNT('Weekly Log'!$A$5:$A$5000)=0,"",IF(MIN('Weekly Log'!$A$5:$A$5000)+7*(ROW()-10)&gt;MAX('Weekly Log'!$A$5:$A$5000),"",MIN('Weekly Log'!$A$5:$A$5000)+7*(ROW()-10)))</f>
        <v/>
      </c>
    </row>
    <row r="1870">
      <c r="A1870">
        <f>IF($J1870="","",YEAR($J1870-WEEKDAY($J1870,2)+4)&amp;"-W"&amp;TEXT(WEEKNUM($J1870,21),"00"))</f>
        <v/>
      </c>
      <c r="B1870">
        <f>IF($J1870="","",SUMIFS('Weekly Log'!$C:$C,'Weekly Log'!$A:$A,"&gt;="&amp;$J1870,'Weekly Log'!$A:$A,"&lt;"&amp;$J1870+7))</f>
        <v/>
      </c>
      <c r="C1870">
        <f>IF($J1870="","",IFERROR(COUNTIFS('Weekly Log'!$G:$G,"Y",'Weekly Log'!$A:$A,"&gt;="&amp;$J1870,'Weekly Log'!$A:$A,"&lt;"&amp;$J1870+7)/COUNTIFS('Weekly Log'!$G:$G,"&lt;&gt;",'Weekly Log'!$A:$A,"&gt;="&amp;$J1870,'Weekly Log'!$A:$A,"&lt;"&amp;$J1870+7),0))</f>
        <v/>
      </c>
      <c r="D1870">
        <f>IF($J1870="","",IFERROR(COUNTIFS('Weekly Log'!$H:$H,"Y",'Weekly Log'!$A:$A,"&gt;="&amp;$J1870,'Weekly Log'!$A:$A,"&lt;"&amp;$J1870+7)/COUNTIFS('Weekly Log'!$H:$H,"&lt;&gt;",'Weekly Log'!$A:$A,"&gt;="&amp;$J1870,'Weekly Log'!$A:$A,"&lt;"&amp;$J1870+7),0))</f>
        <v/>
      </c>
      <c r="E1870">
        <f>IF($J1870="","",IFERROR(AVERAGEIFS('Weekly Log'!$F:$F,'Weekly Log'!$A:$A,"&gt;="&amp;$J1870,'Weekly Log'!$A:$A,"&lt;"&amp;$J1870+7),0))</f>
        <v/>
      </c>
      <c r="F1870">
        <f>IF($J1870="","",IFERROR(SUMIFS('Weekly Log'!$F:$F,'Weekly Log'!$A:$A,"&gt;="&amp;$J1870,'Weekly Log'!$A:$A,"&lt;"&amp;$J1870+7)/SUMIFS('Weekly Log'!$E:$E,'Weekly Log'!$A:$A,"&gt;="&amp;$J1870,'Weekly Log'!$A:$A,"&lt;"&amp;$J1870+7),0))</f>
        <v/>
      </c>
      <c r="G1870">
        <f>IF($J1870="","",IFERROR(LOOKUP(2,1/(('Weekly Log'!$A$5:$A$5000&gt;=$J1870)*('Weekly Log'!$A$5:$A$5000&lt;$J1870+7)*('Weekly Log'!$M$5:$M$5000&lt;&gt;"")),'Weekly Log'!$M$5:$M$5000),0))</f>
        <v/>
      </c>
      <c r="J1870">
        <f>IF(COUNT('Weekly Log'!$A$5:$A$5000)=0,"",IF(MIN('Weekly Log'!$A$5:$A$5000)+7*(ROW()-10)&gt;MAX('Weekly Log'!$A$5:$A$5000),"",MIN('Weekly Log'!$A$5:$A$5000)+7*(ROW()-10)))</f>
        <v/>
      </c>
    </row>
    <row r="1871">
      <c r="A1871">
        <f>IF($J1871="","",YEAR($J1871-WEEKDAY($J1871,2)+4)&amp;"-W"&amp;TEXT(WEEKNUM($J1871,21),"00"))</f>
        <v/>
      </c>
      <c r="B1871">
        <f>IF($J1871="","",SUMIFS('Weekly Log'!$C:$C,'Weekly Log'!$A:$A,"&gt;="&amp;$J1871,'Weekly Log'!$A:$A,"&lt;"&amp;$J1871+7))</f>
        <v/>
      </c>
      <c r="C1871">
        <f>IF($J1871="","",IFERROR(COUNTIFS('Weekly Log'!$G:$G,"Y",'Weekly Log'!$A:$A,"&gt;="&amp;$J1871,'Weekly Log'!$A:$A,"&lt;"&amp;$J1871+7)/COUNTIFS('Weekly Log'!$G:$G,"&lt;&gt;",'Weekly Log'!$A:$A,"&gt;="&amp;$J1871,'Weekly Log'!$A:$A,"&lt;"&amp;$J1871+7),0))</f>
        <v/>
      </c>
      <c r="D1871">
        <f>IF($J1871="","",IFERROR(COUNTIFS('Weekly Log'!$H:$H,"Y",'Weekly Log'!$A:$A,"&gt;="&amp;$J1871,'Weekly Log'!$A:$A,"&lt;"&amp;$J1871+7)/COUNTIFS('Weekly Log'!$H:$H,"&lt;&gt;",'Weekly Log'!$A:$A,"&gt;="&amp;$J1871,'Weekly Log'!$A:$A,"&lt;"&amp;$J1871+7),0))</f>
        <v/>
      </c>
      <c r="E1871">
        <f>IF($J1871="","",IFERROR(AVERAGEIFS('Weekly Log'!$F:$F,'Weekly Log'!$A:$A,"&gt;="&amp;$J1871,'Weekly Log'!$A:$A,"&lt;"&amp;$J1871+7),0))</f>
        <v/>
      </c>
      <c r="F1871">
        <f>IF($J1871="","",IFERROR(SUMIFS('Weekly Log'!$F:$F,'Weekly Log'!$A:$A,"&gt;="&amp;$J1871,'Weekly Log'!$A:$A,"&lt;"&amp;$J1871+7)/SUMIFS('Weekly Log'!$E:$E,'Weekly Log'!$A:$A,"&gt;="&amp;$J1871,'Weekly Log'!$A:$A,"&lt;"&amp;$J1871+7),0))</f>
        <v/>
      </c>
      <c r="G1871">
        <f>IF($J1871="","",IFERROR(LOOKUP(2,1/(('Weekly Log'!$A$5:$A$5000&gt;=$J1871)*('Weekly Log'!$A$5:$A$5000&lt;$J1871+7)*('Weekly Log'!$M$5:$M$5000&lt;&gt;"")),'Weekly Log'!$M$5:$M$5000),0))</f>
        <v/>
      </c>
      <c r="J1871">
        <f>IF(COUNT('Weekly Log'!$A$5:$A$5000)=0,"",IF(MIN('Weekly Log'!$A$5:$A$5000)+7*(ROW()-10)&gt;MAX('Weekly Log'!$A$5:$A$5000),"",MIN('Weekly Log'!$A$5:$A$5000)+7*(ROW()-10)))</f>
        <v/>
      </c>
    </row>
    <row r="1872">
      <c r="A1872">
        <f>IF($J1872="","",YEAR($J1872-WEEKDAY($J1872,2)+4)&amp;"-W"&amp;TEXT(WEEKNUM($J1872,21),"00"))</f>
        <v/>
      </c>
      <c r="B1872">
        <f>IF($J1872="","",SUMIFS('Weekly Log'!$C:$C,'Weekly Log'!$A:$A,"&gt;="&amp;$J1872,'Weekly Log'!$A:$A,"&lt;"&amp;$J1872+7))</f>
        <v/>
      </c>
      <c r="C1872">
        <f>IF($J1872="","",IFERROR(COUNTIFS('Weekly Log'!$G:$G,"Y",'Weekly Log'!$A:$A,"&gt;="&amp;$J1872,'Weekly Log'!$A:$A,"&lt;"&amp;$J1872+7)/COUNTIFS('Weekly Log'!$G:$G,"&lt;&gt;",'Weekly Log'!$A:$A,"&gt;="&amp;$J1872,'Weekly Log'!$A:$A,"&lt;"&amp;$J1872+7),0))</f>
        <v/>
      </c>
      <c r="D1872">
        <f>IF($J1872="","",IFERROR(COUNTIFS('Weekly Log'!$H:$H,"Y",'Weekly Log'!$A:$A,"&gt;="&amp;$J1872,'Weekly Log'!$A:$A,"&lt;"&amp;$J1872+7)/COUNTIFS('Weekly Log'!$H:$H,"&lt;&gt;",'Weekly Log'!$A:$A,"&gt;="&amp;$J1872,'Weekly Log'!$A:$A,"&lt;"&amp;$J1872+7),0))</f>
        <v/>
      </c>
      <c r="E1872">
        <f>IF($J1872="","",IFERROR(AVERAGEIFS('Weekly Log'!$F:$F,'Weekly Log'!$A:$A,"&gt;="&amp;$J1872,'Weekly Log'!$A:$A,"&lt;"&amp;$J1872+7),0))</f>
        <v/>
      </c>
      <c r="F1872">
        <f>IF($J1872="","",IFERROR(SUMIFS('Weekly Log'!$F:$F,'Weekly Log'!$A:$A,"&gt;="&amp;$J1872,'Weekly Log'!$A:$A,"&lt;"&amp;$J1872+7)/SUMIFS('Weekly Log'!$E:$E,'Weekly Log'!$A:$A,"&gt;="&amp;$J1872,'Weekly Log'!$A:$A,"&lt;"&amp;$J1872+7),0))</f>
        <v/>
      </c>
      <c r="G1872">
        <f>IF($J1872="","",IFERROR(LOOKUP(2,1/(('Weekly Log'!$A$5:$A$5000&gt;=$J1872)*('Weekly Log'!$A$5:$A$5000&lt;$J1872+7)*('Weekly Log'!$M$5:$M$5000&lt;&gt;"")),'Weekly Log'!$M$5:$M$5000),0))</f>
        <v/>
      </c>
      <c r="J1872">
        <f>IF(COUNT('Weekly Log'!$A$5:$A$5000)=0,"",IF(MIN('Weekly Log'!$A$5:$A$5000)+7*(ROW()-10)&gt;MAX('Weekly Log'!$A$5:$A$5000),"",MIN('Weekly Log'!$A$5:$A$5000)+7*(ROW()-10)))</f>
        <v/>
      </c>
    </row>
    <row r="1873">
      <c r="A1873">
        <f>IF($J1873="","",YEAR($J1873-WEEKDAY($J1873,2)+4)&amp;"-W"&amp;TEXT(WEEKNUM($J1873,21),"00"))</f>
        <v/>
      </c>
      <c r="B1873">
        <f>IF($J1873="","",SUMIFS('Weekly Log'!$C:$C,'Weekly Log'!$A:$A,"&gt;="&amp;$J1873,'Weekly Log'!$A:$A,"&lt;"&amp;$J1873+7))</f>
        <v/>
      </c>
      <c r="C1873">
        <f>IF($J1873="","",IFERROR(COUNTIFS('Weekly Log'!$G:$G,"Y",'Weekly Log'!$A:$A,"&gt;="&amp;$J1873,'Weekly Log'!$A:$A,"&lt;"&amp;$J1873+7)/COUNTIFS('Weekly Log'!$G:$G,"&lt;&gt;",'Weekly Log'!$A:$A,"&gt;="&amp;$J1873,'Weekly Log'!$A:$A,"&lt;"&amp;$J1873+7),0))</f>
        <v/>
      </c>
      <c r="D1873">
        <f>IF($J1873="","",IFERROR(COUNTIFS('Weekly Log'!$H:$H,"Y",'Weekly Log'!$A:$A,"&gt;="&amp;$J1873,'Weekly Log'!$A:$A,"&lt;"&amp;$J1873+7)/COUNTIFS('Weekly Log'!$H:$H,"&lt;&gt;",'Weekly Log'!$A:$A,"&gt;="&amp;$J1873,'Weekly Log'!$A:$A,"&lt;"&amp;$J1873+7),0))</f>
        <v/>
      </c>
      <c r="E1873">
        <f>IF($J1873="","",IFERROR(AVERAGEIFS('Weekly Log'!$F:$F,'Weekly Log'!$A:$A,"&gt;="&amp;$J1873,'Weekly Log'!$A:$A,"&lt;"&amp;$J1873+7),0))</f>
        <v/>
      </c>
      <c r="F1873">
        <f>IF($J1873="","",IFERROR(SUMIFS('Weekly Log'!$F:$F,'Weekly Log'!$A:$A,"&gt;="&amp;$J1873,'Weekly Log'!$A:$A,"&lt;"&amp;$J1873+7)/SUMIFS('Weekly Log'!$E:$E,'Weekly Log'!$A:$A,"&gt;="&amp;$J1873,'Weekly Log'!$A:$A,"&lt;"&amp;$J1873+7),0))</f>
        <v/>
      </c>
      <c r="G1873">
        <f>IF($J1873="","",IFERROR(LOOKUP(2,1/(('Weekly Log'!$A$5:$A$5000&gt;=$J1873)*('Weekly Log'!$A$5:$A$5000&lt;$J1873+7)*('Weekly Log'!$M$5:$M$5000&lt;&gt;"")),'Weekly Log'!$M$5:$M$5000),0))</f>
        <v/>
      </c>
      <c r="J1873">
        <f>IF(COUNT('Weekly Log'!$A$5:$A$5000)=0,"",IF(MIN('Weekly Log'!$A$5:$A$5000)+7*(ROW()-10)&gt;MAX('Weekly Log'!$A$5:$A$5000),"",MIN('Weekly Log'!$A$5:$A$5000)+7*(ROW()-10)))</f>
        <v/>
      </c>
    </row>
    <row r="1874">
      <c r="A1874">
        <f>IF($J1874="","",YEAR($J1874-WEEKDAY($J1874,2)+4)&amp;"-W"&amp;TEXT(WEEKNUM($J1874,21),"00"))</f>
        <v/>
      </c>
      <c r="B1874">
        <f>IF($J1874="","",SUMIFS('Weekly Log'!$C:$C,'Weekly Log'!$A:$A,"&gt;="&amp;$J1874,'Weekly Log'!$A:$A,"&lt;"&amp;$J1874+7))</f>
        <v/>
      </c>
      <c r="C1874">
        <f>IF($J1874="","",IFERROR(COUNTIFS('Weekly Log'!$G:$G,"Y",'Weekly Log'!$A:$A,"&gt;="&amp;$J1874,'Weekly Log'!$A:$A,"&lt;"&amp;$J1874+7)/COUNTIFS('Weekly Log'!$G:$G,"&lt;&gt;",'Weekly Log'!$A:$A,"&gt;="&amp;$J1874,'Weekly Log'!$A:$A,"&lt;"&amp;$J1874+7),0))</f>
        <v/>
      </c>
      <c r="D1874">
        <f>IF($J1874="","",IFERROR(COUNTIFS('Weekly Log'!$H:$H,"Y",'Weekly Log'!$A:$A,"&gt;="&amp;$J1874,'Weekly Log'!$A:$A,"&lt;"&amp;$J1874+7)/COUNTIFS('Weekly Log'!$H:$H,"&lt;&gt;",'Weekly Log'!$A:$A,"&gt;="&amp;$J1874,'Weekly Log'!$A:$A,"&lt;"&amp;$J1874+7),0))</f>
        <v/>
      </c>
      <c r="E1874">
        <f>IF($J1874="","",IFERROR(AVERAGEIFS('Weekly Log'!$F:$F,'Weekly Log'!$A:$A,"&gt;="&amp;$J1874,'Weekly Log'!$A:$A,"&lt;"&amp;$J1874+7),0))</f>
        <v/>
      </c>
      <c r="F1874">
        <f>IF($J1874="","",IFERROR(SUMIFS('Weekly Log'!$F:$F,'Weekly Log'!$A:$A,"&gt;="&amp;$J1874,'Weekly Log'!$A:$A,"&lt;"&amp;$J1874+7)/SUMIFS('Weekly Log'!$E:$E,'Weekly Log'!$A:$A,"&gt;="&amp;$J1874,'Weekly Log'!$A:$A,"&lt;"&amp;$J1874+7),0))</f>
        <v/>
      </c>
      <c r="G1874">
        <f>IF($J1874="","",IFERROR(LOOKUP(2,1/(('Weekly Log'!$A$5:$A$5000&gt;=$J1874)*('Weekly Log'!$A$5:$A$5000&lt;$J1874+7)*('Weekly Log'!$M$5:$M$5000&lt;&gt;"")),'Weekly Log'!$M$5:$M$5000),0))</f>
        <v/>
      </c>
      <c r="J1874">
        <f>IF(COUNT('Weekly Log'!$A$5:$A$5000)=0,"",IF(MIN('Weekly Log'!$A$5:$A$5000)+7*(ROW()-10)&gt;MAX('Weekly Log'!$A$5:$A$5000),"",MIN('Weekly Log'!$A$5:$A$5000)+7*(ROW()-10)))</f>
        <v/>
      </c>
    </row>
    <row r="1875">
      <c r="A1875">
        <f>IF($J1875="","",YEAR($J1875-WEEKDAY($J1875,2)+4)&amp;"-W"&amp;TEXT(WEEKNUM($J1875,21),"00"))</f>
        <v/>
      </c>
      <c r="B1875">
        <f>IF($J1875="","",SUMIFS('Weekly Log'!$C:$C,'Weekly Log'!$A:$A,"&gt;="&amp;$J1875,'Weekly Log'!$A:$A,"&lt;"&amp;$J1875+7))</f>
        <v/>
      </c>
      <c r="C1875">
        <f>IF($J1875="","",IFERROR(COUNTIFS('Weekly Log'!$G:$G,"Y",'Weekly Log'!$A:$A,"&gt;="&amp;$J1875,'Weekly Log'!$A:$A,"&lt;"&amp;$J1875+7)/COUNTIFS('Weekly Log'!$G:$G,"&lt;&gt;",'Weekly Log'!$A:$A,"&gt;="&amp;$J1875,'Weekly Log'!$A:$A,"&lt;"&amp;$J1875+7),0))</f>
        <v/>
      </c>
      <c r="D1875">
        <f>IF($J1875="","",IFERROR(COUNTIFS('Weekly Log'!$H:$H,"Y",'Weekly Log'!$A:$A,"&gt;="&amp;$J1875,'Weekly Log'!$A:$A,"&lt;"&amp;$J1875+7)/COUNTIFS('Weekly Log'!$H:$H,"&lt;&gt;",'Weekly Log'!$A:$A,"&gt;="&amp;$J1875,'Weekly Log'!$A:$A,"&lt;"&amp;$J1875+7),0))</f>
        <v/>
      </c>
      <c r="E1875">
        <f>IF($J1875="","",IFERROR(AVERAGEIFS('Weekly Log'!$F:$F,'Weekly Log'!$A:$A,"&gt;="&amp;$J1875,'Weekly Log'!$A:$A,"&lt;"&amp;$J1875+7),0))</f>
        <v/>
      </c>
      <c r="F1875">
        <f>IF($J1875="","",IFERROR(SUMIFS('Weekly Log'!$F:$F,'Weekly Log'!$A:$A,"&gt;="&amp;$J1875,'Weekly Log'!$A:$A,"&lt;"&amp;$J1875+7)/SUMIFS('Weekly Log'!$E:$E,'Weekly Log'!$A:$A,"&gt;="&amp;$J1875,'Weekly Log'!$A:$A,"&lt;"&amp;$J1875+7),0))</f>
        <v/>
      </c>
      <c r="G1875">
        <f>IF($J1875="","",IFERROR(LOOKUP(2,1/(('Weekly Log'!$A$5:$A$5000&gt;=$J1875)*('Weekly Log'!$A$5:$A$5000&lt;$J1875+7)*('Weekly Log'!$M$5:$M$5000&lt;&gt;"")),'Weekly Log'!$M$5:$M$5000),0))</f>
        <v/>
      </c>
      <c r="J1875">
        <f>IF(COUNT('Weekly Log'!$A$5:$A$5000)=0,"",IF(MIN('Weekly Log'!$A$5:$A$5000)+7*(ROW()-10)&gt;MAX('Weekly Log'!$A$5:$A$5000),"",MIN('Weekly Log'!$A$5:$A$5000)+7*(ROW()-10)))</f>
        <v/>
      </c>
    </row>
    <row r="1876">
      <c r="A1876">
        <f>IF($J1876="","",YEAR($J1876-WEEKDAY($J1876,2)+4)&amp;"-W"&amp;TEXT(WEEKNUM($J1876,21),"00"))</f>
        <v/>
      </c>
      <c r="B1876">
        <f>IF($J1876="","",SUMIFS('Weekly Log'!$C:$C,'Weekly Log'!$A:$A,"&gt;="&amp;$J1876,'Weekly Log'!$A:$A,"&lt;"&amp;$J1876+7))</f>
        <v/>
      </c>
      <c r="C1876">
        <f>IF($J1876="","",IFERROR(COUNTIFS('Weekly Log'!$G:$G,"Y",'Weekly Log'!$A:$A,"&gt;="&amp;$J1876,'Weekly Log'!$A:$A,"&lt;"&amp;$J1876+7)/COUNTIFS('Weekly Log'!$G:$G,"&lt;&gt;",'Weekly Log'!$A:$A,"&gt;="&amp;$J1876,'Weekly Log'!$A:$A,"&lt;"&amp;$J1876+7),0))</f>
        <v/>
      </c>
      <c r="D1876">
        <f>IF($J1876="","",IFERROR(COUNTIFS('Weekly Log'!$H:$H,"Y",'Weekly Log'!$A:$A,"&gt;="&amp;$J1876,'Weekly Log'!$A:$A,"&lt;"&amp;$J1876+7)/COUNTIFS('Weekly Log'!$H:$H,"&lt;&gt;",'Weekly Log'!$A:$A,"&gt;="&amp;$J1876,'Weekly Log'!$A:$A,"&lt;"&amp;$J1876+7),0))</f>
        <v/>
      </c>
      <c r="E1876">
        <f>IF($J1876="","",IFERROR(AVERAGEIFS('Weekly Log'!$F:$F,'Weekly Log'!$A:$A,"&gt;="&amp;$J1876,'Weekly Log'!$A:$A,"&lt;"&amp;$J1876+7),0))</f>
        <v/>
      </c>
      <c r="F1876">
        <f>IF($J1876="","",IFERROR(SUMIFS('Weekly Log'!$F:$F,'Weekly Log'!$A:$A,"&gt;="&amp;$J1876,'Weekly Log'!$A:$A,"&lt;"&amp;$J1876+7)/SUMIFS('Weekly Log'!$E:$E,'Weekly Log'!$A:$A,"&gt;="&amp;$J1876,'Weekly Log'!$A:$A,"&lt;"&amp;$J1876+7),0))</f>
        <v/>
      </c>
      <c r="G1876">
        <f>IF($J1876="","",IFERROR(LOOKUP(2,1/(('Weekly Log'!$A$5:$A$5000&gt;=$J1876)*('Weekly Log'!$A$5:$A$5000&lt;$J1876+7)*('Weekly Log'!$M$5:$M$5000&lt;&gt;"")),'Weekly Log'!$M$5:$M$5000),0))</f>
        <v/>
      </c>
      <c r="J1876">
        <f>IF(COUNT('Weekly Log'!$A$5:$A$5000)=0,"",IF(MIN('Weekly Log'!$A$5:$A$5000)+7*(ROW()-10)&gt;MAX('Weekly Log'!$A$5:$A$5000),"",MIN('Weekly Log'!$A$5:$A$5000)+7*(ROW()-10)))</f>
        <v/>
      </c>
    </row>
    <row r="1877">
      <c r="A1877">
        <f>IF($J1877="","",YEAR($J1877-WEEKDAY($J1877,2)+4)&amp;"-W"&amp;TEXT(WEEKNUM($J1877,21),"00"))</f>
        <v/>
      </c>
      <c r="B1877">
        <f>IF($J1877="","",SUMIFS('Weekly Log'!$C:$C,'Weekly Log'!$A:$A,"&gt;="&amp;$J1877,'Weekly Log'!$A:$A,"&lt;"&amp;$J1877+7))</f>
        <v/>
      </c>
      <c r="C1877">
        <f>IF($J1877="","",IFERROR(COUNTIFS('Weekly Log'!$G:$G,"Y",'Weekly Log'!$A:$A,"&gt;="&amp;$J1877,'Weekly Log'!$A:$A,"&lt;"&amp;$J1877+7)/COUNTIFS('Weekly Log'!$G:$G,"&lt;&gt;",'Weekly Log'!$A:$A,"&gt;="&amp;$J1877,'Weekly Log'!$A:$A,"&lt;"&amp;$J1877+7),0))</f>
        <v/>
      </c>
      <c r="D1877">
        <f>IF($J1877="","",IFERROR(COUNTIFS('Weekly Log'!$H:$H,"Y",'Weekly Log'!$A:$A,"&gt;="&amp;$J1877,'Weekly Log'!$A:$A,"&lt;"&amp;$J1877+7)/COUNTIFS('Weekly Log'!$H:$H,"&lt;&gt;",'Weekly Log'!$A:$A,"&gt;="&amp;$J1877,'Weekly Log'!$A:$A,"&lt;"&amp;$J1877+7),0))</f>
        <v/>
      </c>
      <c r="E1877">
        <f>IF($J1877="","",IFERROR(AVERAGEIFS('Weekly Log'!$F:$F,'Weekly Log'!$A:$A,"&gt;="&amp;$J1877,'Weekly Log'!$A:$A,"&lt;"&amp;$J1877+7),0))</f>
        <v/>
      </c>
      <c r="F1877">
        <f>IF($J1877="","",IFERROR(SUMIFS('Weekly Log'!$F:$F,'Weekly Log'!$A:$A,"&gt;="&amp;$J1877,'Weekly Log'!$A:$A,"&lt;"&amp;$J1877+7)/SUMIFS('Weekly Log'!$E:$E,'Weekly Log'!$A:$A,"&gt;="&amp;$J1877,'Weekly Log'!$A:$A,"&lt;"&amp;$J1877+7),0))</f>
        <v/>
      </c>
      <c r="G1877">
        <f>IF($J1877="","",IFERROR(LOOKUP(2,1/(('Weekly Log'!$A$5:$A$5000&gt;=$J1877)*('Weekly Log'!$A$5:$A$5000&lt;$J1877+7)*('Weekly Log'!$M$5:$M$5000&lt;&gt;"")),'Weekly Log'!$M$5:$M$5000),0))</f>
        <v/>
      </c>
      <c r="J1877">
        <f>IF(COUNT('Weekly Log'!$A$5:$A$5000)=0,"",IF(MIN('Weekly Log'!$A$5:$A$5000)+7*(ROW()-10)&gt;MAX('Weekly Log'!$A$5:$A$5000),"",MIN('Weekly Log'!$A$5:$A$5000)+7*(ROW()-10)))</f>
        <v/>
      </c>
    </row>
    <row r="1878">
      <c r="A1878">
        <f>IF($J1878="","",YEAR($J1878-WEEKDAY($J1878,2)+4)&amp;"-W"&amp;TEXT(WEEKNUM($J1878,21),"00"))</f>
        <v/>
      </c>
      <c r="B1878">
        <f>IF($J1878="","",SUMIFS('Weekly Log'!$C:$C,'Weekly Log'!$A:$A,"&gt;="&amp;$J1878,'Weekly Log'!$A:$A,"&lt;"&amp;$J1878+7))</f>
        <v/>
      </c>
      <c r="C1878">
        <f>IF($J1878="","",IFERROR(COUNTIFS('Weekly Log'!$G:$G,"Y",'Weekly Log'!$A:$A,"&gt;="&amp;$J1878,'Weekly Log'!$A:$A,"&lt;"&amp;$J1878+7)/COUNTIFS('Weekly Log'!$G:$G,"&lt;&gt;",'Weekly Log'!$A:$A,"&gt;="&amp;$J1878,'Weekly Log'!$A:$A,"&lt;"&amp;$J1878+7),0))</f>
        <v/>
      </c>
      <c r="D1878">
        <f>IF($J1878="","",IFERROR(COUNTIFS('Weekly Log'!$H:$H,"Y",'Weekly Log'!$A:$A,"&gt;="&amp;$J1878,'Weekly Log'!$A:$A,"&lt;"&amp;$J1878+7)/COUNTIFS('Weekly Log'!$H:$H,"&lt;&gt;",'Weekly Log'!$A:$A,"&gt;="&amp;$J1878,'Weekly Log'!$A:$A,"&lt;"&amp;$J1878+7),0))</f>
        <v/>
      </c>
      <c r="E1878">
        <f>IF($J1878="","",IFERROR(AVERAGEIFS('Weekly Log'!$F:$F,'Weekly Log'!$A:$A,"&gt;="&amp;$J1878,'Weekly Log'!$A:$A,"&lt;"&amp;$J1878+7),0))</f>
        <v/>
      </c>
      <c r="F1878">
        <f>IF($J1878="","",IFERROR(SUMIFS('Weekly Log'!$F:$F,'Weekly Log'!$A:$A,"&gt;="&amp;$J1878,'Weekly Log'!$A:$A,"&lt;"&amp;$J1878+7)/SUMIFS('Weekly Log'!$E:$E,'Weekly Log'!$A:$A,"&gt;="&amp;$J1878,'Weekly Log'!$A:$A,"&lt;"&amp;$J1878+7),0))</f>
        <v/>
      </c>
      <c r="G1878">
        <f>IF($J1878="","",IFERROR(LOOKUP(2,1/(('Weekly Log'!$A$5:$A$5000&gt;=$J1878)*('Weekly Log'!$A$5:$A$5000&lt;$J1878+7)*('Weekly Log'!$M$5:$M$5000&lt;&gt;"")),'Weekly Log'!$M$5:$M$5000),0))</f>
        <v/>
      </c>
      <c r="J1878">
        <f>IF(COUNT('Weekly Log'!$A$5:$A$5000)=0,"",IF(MIN('Weekly Log'!$A$5:$A$5000)+7*(ROW()-10)&gt;MAX('Weekly Log'!$A$5:$A$5000),"",MIN('Weekly Log'!$A$5:$A$5000)+7*(ROW()-10)))</f>
        <v/>
      </c>
    </row>
    <row r="1879">
      <c r="A1879">
        <f>IF($J1879="","",YEAR($J1879-WEEKDAY($J1879,2)+4)&amp;"-W"&amp;TEXT(WEEKNUM($J1879,21),"00"))</f>
        <v/>
      </c>
      <c r="B1879">
        <f>IF($J1879="","",SUMIFS('Weekly Log'!$C:$C,'Weekly Log'!$A:$A,"&gt;="&amp;$J1879,'Weekly Log'!$A:$A,"&lt;"&amp;$J1879+7))</f>
        <v/>
      </c>
      <c r="C1879">
        <f>IF($J1879="","",IFERROR(COUNTIFS('Weekly Log'!$G:$G,"Y",'Weekly Log'!$A:$A,"&gt;="&amp;$J1879,'Weekly Log'!$A:$A,"&lt;"&amp;$J1879+7)/COUNTIFS('Weekly Log'!$G:$G,"&lt;&gt;",'Weekly Log'!$A:$A,"&gt;="&amp;$J1879,'Weekly Log'!$A:$A,"&lt;"&amp;$J1879+7),0))</f>
        <v/>
      </c>
      <c r="D1879">
        <f>IF($J1879="","",IFERROR(COUNTIFS('Weekly Log'!$H:$H,"Y",'Weekly Log'!$A:$A,"&gt;="&amp;$J1879,'Weekly Log'!$A:$A,"&lt;"&amp;$J1879+7)/COUNTIFS('Weekly Log'!$H:$H,"&lt;&gt;",'Weekly Log'!$A:$A,"&gt;="&amp;$J1879,'Weekly Log'!$A:$A,"&lt;"&amp;$J1879+7),0))</f>
        <v/>
      </c>
      <c r="E1879">
        <f>IF($J1879="","",IFERROR(AVERAGEIFS('Weekly Log'!$F:$F,'Weekly Log'!$A:$A,"&gt;="&amp;$J1879,'Weekly Log'!$A:$A,"&lt;"&amp;$J1879+7),0))</f>
        <v/>
      </c>
      <c r="F1879">
        <f>IF($J1879="","",IFERROR(SUMIFS('Weekly Log'!$F:$F,'Weekly Log'!$A:$A,"&gt;="&amp;$J1879,'Weekly Log'!$A:$A,"&lt;"&amp;$J1879+7)/SUMIFS('Weekly Log'!$E:$E,'Weekly Log'!$A:$A,"&gt;="&amp;$J1879,'Weekly Log'!$A:$A,"&lt;"&amp;$J1879+7),0))</f>
        <v/>
      </c>
      <c r="G1879">
        <f>IF($J1879="","",IFERROR(LOOKUP(2,1/(('Weekly Log'!$A$5:$A$5000&gt;=$J1879)*('Weekly Log'!$A$5:$A$5000&lt;$J1879+7)*('Weekly Log'!$M$5:$M$5000&lt;&gt;"")),'Weekly Log'!$M$5:$M$5000),0))</f>
        <v/>
      </c>
      <c r="J1879">
        <f>IF(COUNT('Weekly Log'!$A$5:$A$5000)=0,"",IF(MIN('Weekly Log'!$A$5:$A$5000)+7*(ROW()-10)&gt;MAX('Weekly Log'!$A$5:$A$5000),"",MIN('Weekly Log'!$A$5:$A$5000)+7*(ROW()-10)))</f>
        <v/>
      </c>
    </row>
    <row r="1880">
      <c r="A1880">
        <f>IF($J1880="","",YEAR($J1880-WEEKDAY($J1880,2)+4)&amp;"-W"&amp;TEXT(WEEKNUM($J1880,21),"00"))</f>
        <v/>
      </c>
      <c r="B1880">
        <f>IF($J1880="","",SUMIFS('Weekly Log'!$C:$C,'Weekly Log'!$A:$A,"&gt;="&amp;$J1880,'Weekly Log'!$A:$A,"&lt;"&amp;$J1880+7))</f>
        <v/>
      </c>
      <c r="C1880">
        <f>IF($J1880="","",IFERROR(COUNTIFS('Weekly Log'!$G:$G,"Y",'Weekly Log'!$A:$A,"&gt;="&amp;$J1880,'Weekly Log'!$A:$A,"&lt;"&amp;$J1880+7)/COUNTIFS('Weekly Log'!$G:$G,"&lt;&gt;",'Weekly Log'!$A:$A,"&gt;="&amp;$J1880,'Weekly Log'!$A:$A,"&lt;"&amp;$J1880+7),0))</f>
        <v/>
      </c>
      <c r="D1880">
        <f>IF($J1880="","",IFERROR(COUNTIFS('Weekly Log'!$H:$H,"Y",'Weekly Log'!$A:$A,"&gt;="&amp;$J1880,'Weekly Log'!$A:$A,"&lt;"&amp;$J1880+7)/COUNTIFS('Weekly Log'!$H:$H,"&lt;&gt;",'Weekly Log'!$A:$A,"&gt;="&amp;$J1880,'Weekly Log'!$A:$A,"&lt;"&amp;$J1880+7),0))</f>
        <v/>
      </c>
      <c r="E1880">
        <f>IF($J1880="","",IFERROR(AVERAGEIFS('Weekly Log'!$F:$F,'Weekly Log'!$A:$A,"&gt;="&amp;$J1880,'Weekly Log'!$A:$A,"&lt;"&amp;$J1880+7),0))</f>
        <v/>
      </c>
      <c r="F1880">
        <f>IF($J1880="","",IFERROR(SUMIFS('Weekly Log'!$F:$F,'Weekly Log'!$A:$A,"&gt;="&amp;$J1880,'Weekly Log'!$A:$A,"&lt;"&amp;$J1880+7)/SUMIFS('Weekly Log'!$E:$E,'Weekly Log'!$A:$A,"&gt;="&amp;$J1880,'Weekly Log'!$A:$A,"&lt;"&amp;$J1880+7),0))</f>
        <v/>
      </c>
      <c r="G1880">
        <f>IF($J1880="","",IFERROR(LOOKUP(2,1/(('Weekly Log'!$A$5:$A$5000&gt;=$J1880)*('Weekly Log'!$A$5:$A$5000&lt;$J1880+7)*('Weekly Log'!$M$5:$M$5000&lt;&gt;"")),'Weekly Log'!$M$5:$M$5000),0))</f>
        <v/>
      </c>
      <c r="J1880">
        <f>IF(COUNT('Weekly Log'!$A$5:$A$5000)=0,"",IF(MIN('Weekly Log'!$A$5:$A$5000)+7*(ROW()-10)&gt;MAX('Weekly Log'!$A$5:$A$5000),"",MIN('Weekly Log'!$A$5:$A$5000)+7*(ROW()-10)))</f>
        <v/>
      </c>
    </row>
    <row r="1881">
      <c r="A1881">
        <f>IF($J1881="","",YEAR($J1881-WEEKDAY($J1881,2)+4)&amp;"-W"&amp;TEXT(WEEKNUM($J1881,21),"00"))</f>
        <v/>
      </c>
      <c r="B1881">
        <f>IF($J1881="","",SUMIFS('Weekly Log'!$C:$C,'Weekly Log'!$A:$A,"&gt;="&amp;$J1881,'Weekly Log'!$A:$A,"&lt;"&amp;$J1881+7))</f>
        <v/>
      </c>
      <c r="C1881">
        <f>IF($J1881="","",IFERROR(COUNTIFS('Weekly Log'!$G:$G,"Y",'Weekly Log'!$A:$A,"&gt;="&amp;$J1881,'Weekly Log'!$A:$A,"&lt;"&amp;$J1881+7)/COUNTIFS('Weekly Log'!$G:$G,"&lt;&gt;",'Weekly Log'!$A:$A,"&gt;="&amp;$J1881,'Weekly Log'!$A:$A,"&lt;"&amp;$J1881+7),0))</f>
        <v/>
      </c>
      <c r="D1881">
        <f>IF($J1881="","",IFERROR(COUNTIFS('Weekly Log'!$H:$H,"Y",'Weekly Log'!$A:$A,"&gt;="&amp;$J1881,'Weekly Log'!$A:$A,"&lt;"&amp;$J1881+7)/COUNTIFS('Weekly Log'!$H:$H,"&lt;&gt;",'Weekly Log'!$A:$A,"&gt;="&amp;$J1881,'Weekly Log'!$A:$A,"&lt;"&amp;$J1881+7),0))</f>
        <v/>
      </c>
      <c r="E1881">
        <f>IF($J1881="","",IFERROR(AVERAGEIFS('Weekly Log'!$F:$F,'Weekly Log'!$A:$A,"&gt;="&amp;$J1881,'Weekly Log'!$A:$A,"&lt;"&amp;$J1881+7),0))</f>
        <v/>
      </c>
      <c r="F1881">
        <f>IF($J1881="","",IFERROR(SUMIFS('Weekly Log'!$F:$F,'Weekly Log'!$A:$A,"&gt;="&amp;$J1881,'Weekly Log'!$A:$A,"&lt;"&amp;$J1881+7)/SUMIFS('Weekly Log'!$E:$E,'Weekly Log'!$A:$A,"&gt;="&amp;$J1881,'Weekly Log'!$A:$A,"&lt;"&amp;$J1881+7),0))</f>
        <v/>
      </c>
      <c r="G1881">
        <f>IF($J1881="","",IFERROR(LOOKUP(2,1/(('Weekly Log'!$A$5:$A$5000&gt;=$J1881)*('Weekly Log'!$A$5:$A$5000&lt;$J1881+7)*('Weekly Log'!$M$5:$M$5000&lt;&gt;"")),'Weekly Log'!$M$5:$M$5000),0))</f>
        <v/>
      </c>
      <c r="J1881">
        <f>IF(COUNT('Weekly Log'!$A$5:$A$5000)=0,"",IF(MIN('Weekly Log'!$A$5:$A$5000)+7*(ROW()-10)&gt;MAX('Weekly Log'!$A$5:$A$5000),"",MIN('Weekly Log'!$A$5:$A$5000)+7*(ROW()-10)))</f>
        <v/>
      </c>
    </row>
    <row r="1882">
      <c r="A1882">
        <f>IF($J1882="","",YEAR($J1882-WEEKDAY($J1882,2)+4)&amp;"-W"&amp;TEXT(WEEKNUM($J1882,21),"00"))</f>
        <v/>
      </c>
      <c r="B1882">
        <f>IF($J1882="","",SUMIFS('Weekly Log'!$C:$C,'Weekly Log'!$A:$A,"&gt;="&amp;$J1882,'Weekly Log'!$A:$A,"&lt;"&amp;$J1882+7))</f>
        <v/>
      </c>
      <c r="C1882">
        <f>IF($J1882="","",IFERROR(COUNTIFS('Weekly Log'!$G:$G,"Y",'Weekly Log'!$A:$A,"&gt;="&amp;$J1882,'Weekly Log'!$A:$A,"&lt;"&amp;$J1882+7)/COUNTIFS('Weekly Log'!$G:$G,"&lt;&gt;",'Weekly Log'!$A:$A,"&gt;="&amp;$J1882,'Weekly Log'!$A:$A,"&lt;"&amp;$J1882+7),0))</f>
        <v/>
      </c>
      <c r="D1882">
        <f>IF($J1882="","",IFERROR(COUNTIFS('Weekly Log'!$H:$H,"Y",'Weekly Log'!$A:$A,"&gt;="&amp;$J1882,'Weekly Log'!$A:$A,"&lt;"&amp;$J1882+7)/COUNTIFS('Weekly Log'!$H:$H,"&lt;&gt;",'Weekly Log'!$A:$A,"&gt;="&amp;$J1882,'Weekly Log'!$A:$A,"&lt;"&amp;$J1882+7),0))</f>
        <v/>
      </c>
      <c r="E1882">
        <f>IF($J1882="","",IFERROR(AVERAGEIFS('Weekly Log'!$F:$F,'Weekly Log'!$A:$A,"&gt;="&amp;$J1882,'Weekly Log'!$A:$A,"&lt;"&amp;$J1882+7),0))</f>
        <v/>
      </c>
      <c r="F1882">
        <f>IF($J1882="","",IFERROR(SUMIFS('Weekly Log'!$F:$F,'Weekly Log'!$A:$A,"&gt;="&amp;$J1882,'Weekly Log'!$A:$A,"&lt;"&amp;$J1882+7)/SUMIFS('Weekly Log'!$E:$E,'Weekly Log'!$A:$A,"&gt;="&amp;$J1882,'Weekly Log'!$A:$A,"&lt;"&amp;$J1882+7),0))</f>
        <v/>
      </c>
      <c r="G1882">
        <f>IF($J1882="","",IFERROR(LOOKUP(2,1/(('Weekly Log'!$A$5:$A$5000&gt;=$J1882)*('Weekly Log'!$A$5:$A$5000&lt;$J1882+7)*('Weekly Log'!$M$5:$M$5000&lt;&gt;"")),'Weekly Log'!$M$5:$M$5000),0))</f>
        <v/>
      </c>
      <c r="J1882">
        <f>IF(COUNT('Weekly Log'!$A$5:$A$5000)=0,"",IF(MIN('Weekly Log'!$A$5:$A$5000)+7*(ROW()-10)&gt;MAX('Weekly Log'!$A$5:$A$5000),"",MIN('Weekly Log'!$A$5:$A$5000)+7*(ROW()-10)))</f>
        <v/>
      </c>
    </row>
    <row r="1883">
      <c r="A1883">
        <f>IF($J1883="","",YEAR($J1883-WEEKDAY($J1883,2)+4)&amp;"-W"&amp;TEXT(WEEKNUM($J1883,21),"00"))</f>
        <v/>
      </c>
      <c r="B1883">
        <f>IF($J1883="","",SUMIFS('Weekly Log'!$C:$C,'Weekly Log'!$A:$A,"&gt;="&amp;$J1883,'Weekly Log'!$A:$A,"&lt;"&amp;$J1883+7))</f>
        <v/>
      </c>
      <c r="C1883">
        <f>IF($J1883="","",IFERROR(COUNTIFS('Weekly Log'!$G:$G,"Y",'Weekly Log'!$A:$A,"&gt;="&amp;$J1883,'Weekly Log'!$A:$A,"&lt;"&amp;$J1883+7)/COUNTIFS('Weekly Log'!$G:$G,"&lt;&gt;",'Weekly Log'!$A:$A,"&gt;="&amp;$J1883,'Weekly Log'!$A:$A,"&lt;"&amp;$J1883+7),0))</f>
        <v/>
      </c>
      <c r="D1883">
        <f>IF($J1883="","",IFERROR(COUNTIFS('Weekly Log'!$H:$H,"Y",'Weekly Log'!$A:$A,"&gt;="&amp;$J1883,'Weekly Log'!$A:$A,"&lt;"&amp;$J1883+7)/COUNTIFS('Weekly Log'!$H:$H,"&lt;&gt;",'Weekly Log'!$A:$A,"&gt;="&amp;$J1883,'Weekly Log'!$A:$A,"&lt;"&amp;$J1883+7),0))</f>
        <v/>
      </c>
      <c r="E1883">
        <f>IF($J1883="","",IFERROR(AVERAGEIFS('Weekly Log'!$F:$F,'Weekly Log'!$A:$A,"&gt;="&amp;$J1883,'Weekly Log'!$A:$A,"&lt;"&amp;$J1883+7),0))</f>
        <v/>
      </c>
      <c r="F1883">
        <f>IF($J1883="","",IFERROR(SUMIFS('Weekly Log'!$F:$F,'Weekly Log'!$A:$A,"&gt;="&amp;$J1883,'Weekly Log'!$A:$A,"&lt;"&amp;$J1883+7)/SUMIFS('Weekly Log'!$E:$E,'Weekly Log'!$A:$A,"&gt;="&amp;$J1883,'Weekly Log'!$A:$A,"&lt;"&amp;$J1883+7),0))</f>
        <v/>
      </c>
      <c r="G1883">
        <f>IF($J1883="","",IFERROR(LOOKUP(2,1/(('Weekly Log'!$A$5:$A$5000&gt;=$J1883)*('Weekly Log'!$A$5:$A$5000&lt;$J1883+7)*('Weekly Log'!$M$5:$M$5000&lt;&gt;"")),'Weekly Log'!$M$5:$M$5000),0))</f>
        <v/>
      </c>
      <c r="J1883">
        <f>IF(COUNT('Weekly Log'!$A$5:$A$5000)=0,"",IF(MIN('Weekly Log'!$A$5:$A$5000)+7*(ROW()-10)&gt;MAX('Weekly Log'!$A$5:$A$5000),"",MIN('Weekly Log'!$A$5:$A$5000)+7*(ROW()-10)))</f>
        <v/>
      </c>
    </row>
    <row r="1884">
      <c r="A1884">
        <f>IF($J1884="","",YEAR($J1884-WEEKDAY($J1884,2)+4)&amp;"-W"&amp;TEXT(WEEKNUM($J1884,21),"00"))</f>
        <v/>
      </c>
      <c r="B1884">
        <f>IF($J1884="","",SUMIFS('Weekly Log'!$C:$C,'Weekly Log'!$A:$A,"&gt;="&amp;$J1884,'Weekly Log'!$A:$A,"&lt;"&amp;$J1884+7))</f>
        <v/>
      </c>
      <c r="C1884">
        <f>IF($J1884="","",IFERROR(COUNTIFS('Weekly Log'!$G:$G,"Y",'Weekly Log'!$A:$A,"&gt;="&amp;$J1884,'Weekly Log'!$A:$A,"&lt;"&amp;$J1884+7)/COUNTIFS('Weekly Log'!$G:$G,"&lt;&gt;",'Weekly Log'!$A:$A,"&gt;="&amp;$J1884,'Weekly Log'!$A:$A,"&lt;"&amp;$J1884+7),0))</f>
        <v/>
      </c>
      <c r="D1884">
        <f>IF($J1884="","",IFERROR(COUNTIFS('Weekly Log'!$H:$H,"Y",'Weekly Log'!$A:$A,"&gt;="&amp;$J1884,'Weekly Log'!$A:$A,"&lt;"&amp;$J1884+7)/COUNTIFS('Weekly Log'!$H:$H,"&lt;&gt;",'Weekly Log'!$A:$A,"&gt;="&amp;$J1884,'Weekly Log'!$A:$A,"&lt;"&amp;$J1884+7),0))</f>
        <v/>
      </c>
      <c r="E1884">
        <f>IF($J1884="","",IFERROR(AVERAGEIFS('Weekly Log'!$F:$F,'Weekly Log'!$A:$A,"&gt;="&amp;$J1884,'Weekly Log'!$A:$A,"&lt;"&amp;$J1884+7),0))</f>
        <v/>
      </c>
      <c r="F1884">
        <f>IF($J1884="","",IFERROR(SUMIFS('Weekly Log'!$F:$F,'Weekly Log'!$A:$A,"&gt;="&amp;$J1884,'Weekly Log'!$A:$A,"&lt;"&amp;$J1884+7)/SUMIFS('Weekly Log'!$E:$E,'Weekly Log'!$A:$A,"&gt;="&amp;$J1884,'Weekly Log'!$A:$A,"&lt;"&amp;$J1884+7),0))</f>
        <v/>
      </c>
      <c r="G1884">
        <f>IF($J1884="","",IFERROR(LOOKUP(2,1/(('Weekly Log'!$A$5:$A$5000&gt;=$J1884)*('Weekly Log'!$A$5:$A$5000&lt;$J1884+7)*('Weekly Log'!$M$5:$M$5000&lt;&gt;"")),'Weekly Log'!$M$5:$M$5000),0))</f>
        <v/>
      </c>
      <c r="J1884">
        <f>IF(COUNT('Weekly Log'!$A$5:$A$5000)=0,"",IF(MIN('Weekly Log'!$A$5:$A$5000)+7*(ROW()-10)&gt;MAX('Weekly Log'!$A$5:$A$5000),"",MIN('Weekly Log'!$A$5:$A$5000)+7*(ROW()-10)))</f>
        <v/>
      </c>
    </row>
    <row r="1885">
      <c r="A1885">
        <f>IF($J1885="","",YEAR($J1885-WEEKDAY($J1885,2)+4)&amp;"-W"&amp;TEXT(WEEKNUM($J1885,21),"00"))</f>
        <v/>
      </c>
      <c r="B1885">
        <f>IF($J1885="","",SUMIFS('Weekly Log'!$C:$C,'Weekly Log'!$A:$A,"&gt;="&amp;$J1885,'Weekly Log'!$A:$A,"&lt;"&amp;$J1885+7))</f>
        <v/>
      </c>
      <c r="C1885">
        <f>IF($J1885="","",IFERROR(COUNTIFS('Weekly Log'!$G:$G,"Y",'Weekly Log'!$A:$A,"&gt;="&amp;$J1885,'Weekly Log'!$A:$A,"&lt;"&amp;$J1885+7)/COUNTIFS('Weekly Log'!$G:$G,"&lt;&gt;",'Weekly Log'!$A:$A,"&gt;="&amp;$J1885,'Weekly Log'!$A:$A,"&lt;"&amp;$J1885+7),0))</f>
        <v/>
      </c>
      <c r="D1885">
        <f>IF($J1885="","",IFERROR(COUNTIFS('Weekly Log'!$H:$H,"Y",'Weekly Log'!$A:$A,"&gt;="&amp;$J1885,'Weekly Log'!$A:$A,"&lt;"&amp;$J1885+7)/COUNTIFS('Weekly Log'!$H:$H,"&lt;&gt;",'Weekly Log'!$A:$A,"&gt;="&amp;$J1885,'Weekly Log'!$A:$A,"&lt;"&amp;$J1885+7),0))</f>
        <v/>
      </c>
      <c r="E1885">
        <f>IF($J1885="","",IFERROR(AVERAGEIFS('Weekly Log'!$F:$F,'Weekly Log'!$A:$A,"&gt;="&amp;$J1885,'Weekly Log'!$A:$A,"&lt;"&amp;$J1885+7),0))</f>
        <v/>
      </c>
      <c r="F1885">
        <f>IF($J1885="","",IFERROR(SUMIFS('Weekly Log'!$F:$F,'Weekly Log'!$A:$A,"&gt;="&amp;$J1885,'Weekly Log'!$A:$A,"&lt;"&amp;$J1885+7)/SUMIFS('Weekly Log'!$E:$E,'Weekly Log'!$A:$A,"&gt;="&amp;$J1885,'Weekly Log'!$A:$A,"&lt;"&amp;$J1885+7),0))</f>
        <v/>
      </c>
      <c r="G1885">
        <f>IF($J1885="","",IFERROR(LOOKUP(2,1/(('Weekly Log'!$A$5:$A$5000&gt;=$J1885)*('Weekly Log'!$A$5:$A$5000&lt;$J1885+7)*('Weekly Log'!$M$5:$M$5000&lt;&gt;"")),'Weekly Log'!$M$5:$M$5000),0))</f>
        <v/>
      </c>
      <c r="J1885">
        <f>IF(COUNT('Weekly Log'!$A$5:$A$5000)=0,"",IF(MIN('Weekly Log'!$A$5:$A$5000)+7*(ROW()-10)&gt;MAX('Weekly Log'!$A$5:$A$5000),"",MIN('Weekly Log'!$A$5:$A$5000)+7*(ROW()-10)))</f>
        <v/>
      </c>
    </row>
    <row r="1886">
      <c r="A1886">
        <f>IF($J1886="","",YEAR($J1886-WEEKDAY($J1886,2)+4)&amp;"-W"&amp;TEXT(WEEKNUM($J1886,21),"00"))</f>
        <v/>
      </c>
      <c r="B1886">
        <f>IF($J1886="","",SUMIFS('Weekly Log'!$C:$C,'Weekly Log'!$A:$A,"&gt;="&amp;$J1886,'Weekly Log'!$A:$A,"&lt;"&amp;$J1886+7))</f>
        <v/>
      </c>
      <c r="C1886">
        <f>IF($J1886="","",IFERROR(COUNTIFS('Weekly Log'!$G:$G,"Y",'Weekly Log'!$A:$A,"&gt;="&amp;$J1886,'Weekly Log'!$A:$A,"&lt;"&amp;$J1886+7)/COUNTIFS('Weekly Log'!$G:$G,"&lt;&gt;",'Weekly Log'!$A:$A,"&gt;="&amp;$J1886,'Weekly Log'!$A:$A,"&lt;"&amp;$J1886+7),0))</f>
        <v/>
      </c>
      <c r="D1886">
        <f>IF($J1886="","",IFERROR(COUNTIFS('Weekly Log'!$H:$H,"Y",'Weekly Log'!$A:$A,"&gt;="&amp;$J1886,'Weekly Log'!$A:$A,"&lt;"&amp;$J1886+7)/COUNTIFS('Weekly Log'!$H:$H,"&lt;&gt;",'Weekly Log'!$A:$A,"&gt;="&amp;$J1886,'Weekly Log'!$A:$A,"&lt;"&amp;$J1886+7),0))</f>
        <v/>
      </c>
      <c r="E1886">
        <f>IF($J1886="","",IFERROR(AVERAGEIFS('Weekly Log'!$F:$F,'Weekly Log'!$A:$A,"&gt;="&amp;$J1886,'Weekly Log'!$A:$A,"&lt;"&amp;$J1886+7),0))</f>
        <v/>
      </c>
      <c r="F1886">
        <f>IF($J1886="","",IFERROR(SUMIFS('Weekly Log'!$F:$F,'Weekly Log'!$A:$A,"&gt;="&amp;$J1886,'Weekly Log'!$A:$A,"&lt;"&amp;$J1886+7)/SUMIFS('Weekly Log'!$E:$E,'Weekly Log'!$A:$A,"&gt;="&amp;$J1886,'Weekly Log'!$A:$A,"&lt;"&amp;$J1886+7),0))</f>
        <v/>
      </c>
      <c r="G1886">
        <f>IF($J1886="","",IFERROR(LOOKUP(2,1/(('Weekly Log'!$A$5:$A$5000&gt;=$J1886)*('Weekly Log'!$A$5:$A$5000&lt;$J1886+7)*('Weekly Log'!$M$5:$M$5000&lt;&gt;"")),'Weekly Log'!$M$5:$M$5000),0))</f>
        <v/>
      </c>
      <c r="J1886">
        <f>IF(COUNT('Weekly Log'!$A$5:$A$5000)=0,"",IF(MIN('Weekly Log'!$A$5:$A$5000)+7*(ROW()-10)&gt;MAX('Weekly Log'!$A$5:$A$5000),"",MIN('Weekly Log'!$A$5:$A$5000)+7*(ROW()-10)))</f>
        <v/>
      </c>
    </row>
    <row r="1887">
      <c r="A1887">
        <f>IF($J1887="","",YEAR($J1887-WEEKDAY($J1887,2)+4)&amp;"-W"&amp;TEXT(WEEKNUM($J1887,21),"00"))</f>
        <v/>
      </c>
      <c r="B1887">
        <f>IF($J1887="","",SUMIFS('Weekly Log'!$C:$C,'Weekly Log'!$A:$A,"&gt;="&amp;$J1887,'Weekly Log'!$A:$A,"&lt;"&amp;$J1887+7))</f>
        <v/>
      </c>
      <c r="C1887">
        <f>IF($J1887="","",IFERROR(COUNTIFS('Weekly Log'!$G:$G,"Y",'Weekly Log'!$A:$A,"&gt;="&amp;$J1887,'Weekly Log'!$A:$A,"&lt;"&amp;$J1887+7)/COUNTIFS('Weekly Log'!$G:$G,"&lt;&gt;",'Weekly Log'!$A:$A,"&gt;="&amp;$J1887,'Weekly Log'!$A:$A,"&lt;"&amp;$J1887+7),0))</f>
        <v/>
      </c>
      <c r="D1887">
        <f>IF($J1887="","",IFERROR(COUNTIFS('Weekly Log'!$H:$H,"Y",'Weekly Log'!$A:$A,"&gt;="&amp;$J1887,'Weekly Log'!$A:$A,"&lt;"&amp;$J1887+7)/COUNTIFS('Weekly Log'!$H:$H,"&lt;&gt;",'Weekly Log'!$A:$A,"&gt;="&amp;$J1887,'Weekly Log'!$A:$A,"&lt;"&amp;$J1887+7),0))</f>
        <v/>
      </c>
      <c r="E1887">
        <f>IF($J1887="","",IFERROR(AVERAGEIFS('Weekly Log'!$F:$F,'Weekly Log'!$A:$A,"&gt;="&amp;$J1887,'Weekly Log'!$A:$A,"&lt;"&amp;$J1887+7),0))</f>
        <v/>
      </c>
      <c r="F1887">
        <f>IF($J1887="","",IFERROR(SUMIFS('Weekly Log'!$F:$F,'Weekly Log'!$A:$A,"&gt;="&amp;$J1887,'Weekly Log'!$A:$A,"&lt;"&amp;$J1887+7)/SUMIFS('Weekly Log'!$E:$E,'Weekly Log'!$A:$A,"&gt;="&amp;$J1887,'Weekly Log'!$A:$A,"&lt;"&amp;$J1887+7),0))</f>
        <v/>
      </c>
      <c r="G1887">
        <f>IF($J1887="","",IFERROR(LOOKUP(2,1/(('Weekly Log'!$A$5:$A$5000&gt;=$J1887)*('Weekly Log'!$A$5:$A$5000&lt;$J1887+7)*('Weekly Log'!$M$5:$M$5000&lt;&gt;"")),'Weekly Log'!$M$5:$M$5000),0))</f>
        <v/>
      </c>
      <c r="J1887">
        <f>IF(COUNT('Weekly Log'!$A$5:$A$5000)=0,"",IF(MIN('Weekly Log'!$A$5:$A$5000)+7*(ROW()-10)&gt;MAX('Weekly Log'!$A$5:$A$5000),"",MIN('Weekly Log'!$A$5:$A$5000)+7*(ROW()-10)))</f>
        <v/>
      </c>
    </row>
    <row r="1888">
      <c r="A1888">
        <f>IF($J1888="","",YEAR($J1888-WEEKDAY($J1888,2)+4)&amp;"-W"&amp;TEXT(WEEKNUM($J1888,21),"00"))</f>
        <v/>
      </c>
      <c r="B1888">
        <f>IF($J1888="","",SUMIFS('Weekly Log'!$C:$C,'Weekly Log'!$A:$A,"&gt;="&amp;$J1888,'Weekly Log'!$A:$A,"&lt;"&amp;$J1888+7))</f>
        <v/>
      </c>
      <c r="C1888">
        <f>IF($J1888="","",IFERROR(COUNTIFS('Weekly Log'!$G:$G,"Y",'Weekly Log'!$A:$A,"&gt;="&amp;$J1888,'Weekly Log'!$A:$A,"&lt;"&amp;$J1888+7)/COUNTIFS('Weekly Log'!$G:$G,"&lt;&gt;",'Weekly Log'!$A:$A,"&gt;="&amp;$J1888,'Weekly Log'!$A:$A,"&lt;"&amp;$J1888+7),0))</f>
        <v/>
      </c>
      <c r="D1888">
        <f>IF($J1888="","",IFERROR(COUNTIFS('Weekly Log'!$H:$H,"Y",'Weekly Log'!$A:$A,"&gt;="&amp;$J1888,'Weekly Log'!$A:$A,"&lt;"&amp;$J1888+7)/COUNTIFS('Weekly Log'!$H:$H,"&lt;&gt;",'Weekly Log'!$A:$A,"&gt;="&amp;$J1888,'Weekly Log'!$A:$A,"&lt;"&amp;$J1888+7),0))</f>
        <v/>
      </c>
      <c r="E1888">
        <f>IF($J1888="","",IFERROR(AVERAGEIFS('Weekly Log'!$F:$F,'Weekly Log'!$A:$A,"&gt;="&amp;$J1888,'Weekly Log'!$A:$A,"&lt;"&amp;$J1888+7),0))</f>
        <v/>
      </c>
      <c r="F1888">
        <f>IF($J1888="","",IFERROR(SUMIFS('Weekly Log'!$F:$F,'Weekly Log'!$A:$A,"&gt;="&amp;$J1888,'Weekly Log'!$A:$A,"&lt;"&amp;$J1888+7)/SUMIFS('Weekly Log'!$E:$E,'Weekly Log'!$A:$A,"&gt;="&amp;$J1888,'Weekly Log'!$A:$A,"&lt;"&amp;$J1888+7),0))</f>
        <v/>
      </c>
      <c r="G1888">
        <f>IF($J1888="","",IFERROR(LOOKUP(2,1/(('Weekly Log'!$A$5:$A$5000&gt;=$J1888)*('Weekly Log'!$A$5:$A$5000&lt;$J1888+7)*('Weekly Log'!$M$5:$M$5000&lt;&gt;"")),'Weekly Log'!$M$5:$M$5000),0))</f>
        <v/>
      </c>
      <c r="J1888">
        <f>IF(COUNT('Weekly Log'!$A$5:$A$5000)=0,"",IF(MIN('Weekly Log'!$A$5:$A$5000)+7*(ROW()-10)&gt;MAX('Weekly Log'!$A$5:$A$5000),"",MIN('Weekly Log'!$A$5:$A$5000)+7*(ROW()-10)))</f>
        <v/>
      </c>
    </row>
    <row r="1889">
      <c r="A1889">
        <f>IF($J1889="","",YEAR($J1889-WEEKDAY($J1889,2)+4)&amp;"-W"&amp;TEXT(WEEKNUM($J1889,21),"00"))</f>
        <v/>
      </c>
      <c r="B1889">
        <f>IF($J1889="","",SUMIFS('Weekly Log'!$C:$C,'Weekly Log'!$A:$A,"&gt;="&amp;$J1889,'Weekly Log'!$A:$A,"&lt;"&amp;$J1889+7))</f>
        <v/>
      </c>
      <c r="C1889">
        <f>IF($J1889="","",IFERROR(COUNTIFS('Weekly Log'!$G:$G,"Y",'Weekly Log'!$A:$A,"&gt;="&amp;$J1889,'Weekly Log'!$A:$A,"&lt;"&amp;$J1889+7)/COUNTIFS('Weekly Log'!$G:$G,"&lt;&gt;",'Weekly Log'!$A:$A,"&gt;="&amp;$J1889,'Weekly Log'!$A:$A,"&lt;"&amp;$J1889+7),0))</f>
        <v/>
      </c>
      <c r="D1889">
        <f>IF($J1889="","",IFERROR(COUNTIFS('Weekly Log'!$H:$H,"Y",'Weekly Log'!$A:$A,"&gt;="&amp;$J1889,'Weekly Log'!$A:$A,"&lt;"&amp;$J1889+7)/COUNTIFS('Weekly Log'!$H:$H,"&lt;&gt;",'Weekly Log'!$A:$A,"&gt;="&amp;$J1889,'Weekly Log'!$A:$A,"&lt;"&amp;$J1889+7),0))</f>
        <v/>
      </c>
      <c r="E1889">
        <f>IF($J1889="","",IFERROR(AVERAGEIFS('Weekly Log'!$F:$F,'Weekly Log'!$A:$A,"&gt;="&amp;$J1889,'Weekly Log'!$A:$A,"&lt;"&amp;$J1889+7),0))</f>
        <v/>
      </c>
      <c r="F1889">
        <f>IF($J1889="","",IFERROR(SUMIFS('Weekly Log'!$F:$F,'Weekly Log'!$A:$A,"&gt;="&amp;$J1889,'Weekly Log'!$A:$A,"&lt;"&amp;$J1889+7)/SUMIFS('Weekly Log'!$E:$E,'Weekly Log'!$A:$A,"&gt;="&amp;$J1889,'Weekly Log'!$A:$A,"&lt;"&amp;$J1889+7),0))</f>
        <v/>
      </c>
      <c r="G1889">
        <f>IF($J1889="","",IFERROR(LOOKUP(2,1/(('Weekly Log'!$A$5:$A$5000&gt;=$J1889)*('Weekly Log'!$A$5:$A$5000&lt;$J1889+7)*('Weekly Log'!$M$5:$M$5000&lt;&gt;"")),'Weekly Log'!$M$5:$M$5000),0))</f>
        <v/>
      </c>
      <c r="J1889">
        <f>IF(COUNT('Weekly Log'!$A$5:$A$5000)=0,"",IF(MIN('Weekly Log'!$A$5:$A$5000)+7*(ROW()-10)&gt;MAX('Weekly Log'!$A$5:$A$5000),"",MIN('Weekly Log'!$A$5:$A$5000)+7*(ROW()-10)))</f>
        <v/>
      </c>
    </row>
    <row r="1890">
      <c r="A1890">
        <f>IF($J1890="","",YEAR($J1890-WEEKDAY($J1890,2)+4)&amp;"-W"&amp;TEXT(WEEKNUM($J1890,21),"00"))</f>
        <v/>
      </c>
      <c r="B1890">
        <f>IF($J1890="","",SUMIFS('Weekly Log'!$C:$C,'Weekly Log'!$A:$A,"&gt;="&amp;$J1890,'Weekly Log'!$A:$A,"&lt;"&amp;$J1890+7))</f>
        <v/>
      </c>
      <c r="C1890">
        <f>IF($J1890="","",IFERROR(COUNTIFS('Weekly Log'!$G:$G,"Y",'Weekly Log'!$A:$A,"&gt;="&amp;$J1890,'Weekly Log'!$A:$A,"&lt;"&amp;$J1890+7)/COUNTIFS('Weekly Log'!$G:$G,"&lt;&gt;",'Weekly Log'!$A:$A,"&gt;="&amp;$J1890,'Weekly Log'!$A:$A,"&lt;"&amp;$J1890+7),0))</f>
        <v/>
      </c>
      <c r="D1890">
        <f>IF($J1890="","",IFERROR(COUNTIFS('Weekly Log'!$H:$H,"Y",'Weekly Log'!$A:$A,"&gt;="&amp;$J1890,'Weekly Log'!$A:$A,"&lt;"&amp;$J1890+7)/COUNTIFS('Weekly Log'!$H:$H,"&lt;&gt;",'Weekly Log'!$A:$A,"&gt;="&amp;$J1890,'Weekly Log'!$A:$A,"&lt;"&amp;$J1890+7),0))</f>
        <v/>
      </c>
      <c r="E1890">
        <f>IF($J1890="","",IFERROR(AVERAGEIFS('Weekly Log'!$F:$F,'Weekly Log'!$A:$A,"&gt;="&amp;$J1890,'Weekly Log'!$A:$A,"&lt;"&amp;$J1890+7),0))</f>
        <v/>
      </c>
      <c r="F1890">
        <f>IF($J1890="","",IFERROR(SUMIFS('Weekly Log'!$F:$F,'Weekly Log'!$A:$A,"&gt;="&amp;$J1890,'Weekly Log'!$A:$A,"&lt;"&amp;$J1890+7)/SUMIFS('Weekly Log'!$E:$E,'Weekly Log'!$A:$A,"&gt;="&amp;$J1890,'Weekly Log'!$A:$A,"&lt;"&amp;$J1890+7),0))</f>
        <v/>
      </c>
      <c r="G1890">
        <f>IF($J1890="","",IFERROR(LOOKUP(2,1/(('Weekly Log'!$A$5:$A$5000&gt;=$J1890)*('Weekly Log'!$A$5:$A$5000&lt;$J1890+7)*('Weekly Log'!$M$5:$M$5000&lt;&gt;"")),'Weekly Log'!$M$5:$M$5000),0))</f>
        <v/>
      </c>
      <c r="J1890">
        <f>IF(COUNT('Weekly Log'!$A$5:$A$5000)=0,"",IF(MIN('Weekly Log'!$A$5:$A$5000)+7*(ROW()-10)&gt;MAX('Weekly Log'!$A$5:$A$5000),"",MIN('Weekly Log'!$A$5:$A$5000)+7*(ROW()-10)))</f>
        <v/>
      </c>
    </row>
    <row r="1891">
      <c r="A1891">
        <f>IF($J1891="","",YEAR($J1891-WEEKDAY($J1891,2)+4)&amp;"-W"&amp;TEXT(WEEKNUM($J1891,21),"00"))</f>
        <v/>
      </c>
      <c r="B1891">
        <f>IF($J1891="","",SUMIFS('Weekly Log'!$C:$C,'Weekly Log'!$A:$A,"&gt;="&amp;$J1891,'Weekly Log'!$A:$A,"&lt;"&amp;$J1891+7))</f>
        <v/>
      </c>
      <c r="C1891">
        <f>IF($J1891="","",IFERROR(COUNTIFS('Weekly Log'!$G:$G,"Y",'Weekly Log'!$A:$A,"&gt;="&amp;$J1891,'Weekly Log'!$A:$A,"&lt;"&amp;$J1891+7)/COUNTIFS('Weekly Log'!$G:$G,"&lt;&gt;",'Weekly Log'!$A:$A,"&gt;="&amp;$J1891,'Weekly Log'!$A:$A,"&lt;"&amp;$J1891+7),0))</f>
        <v/>
      </c>
      <c r="D1891">
        <f>IF($J1891="","",IFERROR(COUNTIFS('Weekly Log'!$H:$H,"Y",'Weekly Log'!$A:$A,"&gt;="&amp;$J1891,'Weekly Log'!$A:$A,"&lt;"&amp;$J1891+7)/COUNTIFS('Weekly Log'!$H:$H,"&lt;&gt;",'Weekly Log'!$A:$A,"&gt;="&amp;$J1891,'Weekly Log'!$A:$A,"&lt;"&amp;$J1891+7),0))</f>
        <v/>
      </c>
      <c r="E1891">
        <f>IF($J1891="","",IFERROR(AVERAGEIFS('Weekly Log'!$F:$F,'Weekly Log'!$A:$A,"&gt;="&amp;$J1891,'Weekly Log'!$A:$A,"&lt;"&amp;$J1891+7),0))</f>
        <v/>
      </c>
      <c r="F1891">
        <f>IF($J1891="","",IFERROR(SUMIFS('Weekly Log'!$F:$F,'Weekly Log'!$A:$A,"&gt;="&amp;$J1891,'Weekly Log'!$A:$A,"&lt;"&amp;$J1891+7)/SUMIFS('Weekly Log'!$E:$E,'Weekly Log'!$A:$A,"&gt;="&amp;$J1891,'Weekly Log'!$A:$A,"&lt;"&amp;$J1891+7),0))</f>
        <v/>
      </c>
      <c r="G1891">
        <f>IF($J1891="","",IFERROR(LOOKUP(2,1/(('Weekly Log'!$A$5:$A$5000&gt;=$J1891)*('Weekly Log'!$A$5:$A$5000&lt;$J1891+7)*('Weekly Log'!$M$5:$M$5000&lt;&gt;"")),'Weekly Log'!$M$5:$M$5000),0))</f>
        <v/>
      </c>
      <c r="J1891">
        <f>IF(COUNT('Weekly Log'!$A$5:$A$5000)=0,"",IF(MIN('Weekly Log'!$A$5:$A$5000)+7*(ROW()-10)&gt;MAX('Weekly Log'!$A$5:$A$5000),"",MIN('Weekly Log'!$A$5:$A$5000)+7*(ROW()-10)))</f>
        <v/>
      </c>
    </row>
    <row r="1892">
      <c r="A1892">
        <f>IF($J1892="","",YEAR($J1892-WEEKDAY($J1892,2)+4)&amp;"-W"&amp;TEXT(WEEKNUM($J1892,21),"00"))</f>
        <v/>
      </c>
      <c r="B1892">
        <f>IF($J1892="","",SUMIFS('Weekly Log'!$C:$C,'Weekly Log'!$A:$A,"&gt;="&amp;$J1892,'Weekly Log'!$A:$A,"&lt;"&amp;$J1892+7))</f>
        <v/>
      </c>
      <c r="C1892">
        <f>IF($J1892="","",IFERROR(COUNTIFS('Weekly Log'!$G:$G,"Y",'Weekly Log'!$A:$A,"&gt;="&amp;$J1892,'Weekly Log'!$A:$A,"&lt;"&amp;$J1892+7)/COUNTIFS('Weekly Log'!$G:$G,"&lt;&gt;",'Weekly Log'!$A:$A,"&gt;="&amp;$J1892,'Weekly Log'!$A:$A,"&lt;"&amp;$J1892+7),0))</f>
        <v/>
      </c>
      <c r="D1892">
        <f>IF($J1892="","",IFERROR(COUNTIFS('Weekly Log'!$H:$H,"Y",'Weekly Log'!$A:$A,"&gt;="&amp;$J1892,'Weekly Log'!$A:$A,"&lt;"&amp;$J1892+7)/COUNTIFS('Weekly Log'!$H:$H,"&lt;&gt;",'Weekly Log'!$A:$A,"&gt;="&amp;$J1892,'Weekly Log'!$A:$A,"&lt;"&amp;$J1892+7),0))</f>
        <v/>
      </c>
      <c r="E1892">
        <f>IF($J1892="","",IFERROR(AVERAGEIFS('Weekly Log'!$F:$F,'Weekly Log'!$A:$A,"&gt;="&amp;$J1892,'Weekly Log'!$A:$A,"&lt;"&amp;$J1892+7),0))</f>
        <v/>
      </c>
      <c r="F1892">
        <f>IF($J1892="","",IFERROR(SUMIFS('Weekly Log'!$F:$F,'Weekly Log'!$A:$A,"&gt;="&amp;$J1892,'Weekly Log'!$A:$A,"&lt;"&amp;$J1892+7)/SUMIFS('Weekly Log'!$E:$E,'Weekly Log'!$A:$A,"&gt;="&amp;$J1892,'Weekly Log'!$A:$A,"&lt;"&amp;$J1892+7),0))</f>
        <v/>
      </c>
      <c r="G1892">
        <f>IF($J1892="","",IFERROR(LOOKUP(2,1/(('Weekly Log'!$A$5:$A$5000&gt;=$J1892)*('Weekly Log'!$A$5:$A$5000&lt;$J1892+7)*('Weekly Log'!$M$5:$M$5000&lt;&gt;"")),'Weekly Log'!$M$5:$M$5000),0))</f>
        <v/>
      </c>
      <c r="J1892">
        <f>IF(COUNT('Weekly Log'!$A$5:$A$5000)=0,"",IF(MIN('Weekly Log'!$A$5:$A$5000)+7*(ROW()-10)&gt;MAX('Weekly Log'!$A$5:$A$5000),"",MIN('Weekly Log'!$A$5:$A$5000)+7*(ROW()-10)))</f>
        <v/>
      </c>
    </row>
    <row r="1893">
      <c r="A1893">
        <f>IF($J1893="","",YEAR($J1893-WEEKDAY($J1893,2)+4)&amp;"-W"&amp;TEXT(WEEKNUM($J1893,21),"00"))</f>
        <v/>
      </c>
      <c r="B1893">
        <f>IF($J1893="","",SUMIFS('Weekly Log'!$C:$C,'Weekly Log'!$A:$A,"&gt;="&amp;$J1893,'Weekly Log'!$A:$A,"&lt;"&amp;$J1893+7))</f>
        <v/>
      </c>
      <c r="C1893">
        <f>IF($J1893="","",IFERROR(COUNTIFS('Weekly Log'!$G:$G,"Y",'Weekly Log'!$A:$A,"&gt;="&amp;$J1893,'Weekly Log'!$A:$A,"&lt;"&amp;$J1893+7)/COUNTIFS('Weekly Log'!$G:$G,"&lt;&gt;",'Weekly Log'!$A:$A,"&gt;="&amp;$J1893,'Weekly Log'!$A:$A,"&lt;"&amp;$J1893+7),0))</f>
        <v/>
      </c>
      <c r="D1893">
        <f>IF($J1893="","",IFERROR(COUNTIFS('Weekly Log'!$H:$H,"Y",'Weekly Log'!$A:$A,"&gt;="&amp;$J1893,'Weekly Log'!$A:$A,"&lt;"&amp;$J1893+7)/COUNTIFS('Weekly Log'!$H:$H,"&lt;&gt;",'Weekly Log'!$A:$A,"&gt;="&amp;$J1893,'Weekly Log'!$A:$A,"&lt;"&amp;$J1893+7),0))</f>
        <v/>
      </c>
      <c r="E1893">
        <f>IF($J1893="","",IFERROR(AVERAGEIFS('Weekly Log'!$F:$F,'Weekly Log'!$A:$A,"&gt;="&amp;$J1893,'Weekly Log'!$A:$A,"&lt;"&amp;$J1893+7),0))</f>
        <v/>
      </c>
      <c r="F1893">
        <f>IF($J1893="","",IFERROR(SUMIFS('Weekly Log'!$F:$F,'Weekly Log'!$A:$A,"&gt;="&amp;$J1893,'Weekly Log'!$A:$A,"&lt;"&amp;$J1893+7)/SUMIFS('Weekly Log'!$E:$E,'Weekly Log'!$A:$A,"&gt;="&amp;$J1893,'Weekly Log'!$A:$A,"&lt;"&amp;$J1893+7),0))</f>
        <v/>
      </c>
      <c r="G1893">
        <f>IF($J1893="","",IFERROR(LOOKUP(2,1/(('Weekly Log'!$A$5:$A$5000&gt;=$J1893)*('Weekly Log'!$A$5:$A$5000&lt;$J1893+7)*('Weekly Log'!$M$5:$M$5000&lt;&gt;"")),'Weekly Log'!$M$5:$M$5000),0))</f>
        <v/>
      </c>
      <c r="J1893">
        <f>IF(COUNT('Weekly Log'!$A$5:$A$5000)=0,"",IF(MIN('Weekly Log'!$A$5:$A$5000)+7*(ROW()-10)&gt;MAX('Weekly Log'!$A$5:$A$5000),"",MIN('Weekly Log'!$A$5:$A$5000)+7*(ROW()-10)))</f>
        <v/>
      </c>
    </row>
    <row r="1894">
      <c r="A1894">
        <f>IF($J1894="","",YEAR($J1894-WEEKDAY($J1894,2)+4)&amp;"-W"&amp;TEXT(WEEKNUM($J1894,21),"00"))</f>
        <v/>
      </c>
      <c r="B1894">
        <f>IF($J1894="","",SUMIFS('Weekly Log'!$C:$C,'Weekly Log'!$A:$A,"&gt;="&amp;$J1894,'Weekly Log'!$A:$A,"&lt;"&amp;$J1894+7))</f>
        <v/>
      </c>
      <c r="C1894">
        <f>IF($J1894="","",IFERROR(COUNTIFS('Weekly Log'!$G:$G,"Y",'Weekly Log'!$A:$A,"&gt;="&amp;$J1894,'Weekly Log'!$A:$A,"&lt;"&amp;$J1894+7)/COUNTIFS('Weekly Log'!$G:$G,"&lt;&gt;",'Weekly Log'!$A:$A,"&gt;="&amp;$J1894,'Weekly Log'!$A:$A,"&lt;"&amp;$J1894+7),0))</f>
        <v/>
      </c>
      <c r="D1894">
        <f>IF($J1894="","",IFERROR(COUNTIFS('Weekly Log'!$H:$H,"Y",'Weekly Log'!$A:$A,"&gt;="&amp;$J1894,'Weekly Log'!$A:$A,"&lt;"&amp;$J1894+7)/COUNTIFS('Weekly Log'!$H:$H,"&lt;&gt;",'Weekly Log'!$A:$A,"&gt;="&amp;$J1894,'Weekly Log'!$A:$A,"&lt;"&amp;$J1894+7),0))</f>
        <v/>
      </c>
      <c r="E1894">
        <f>IF($J1894="","",IFERROR(AVERAGEIFS('Weekly Log'!$F:$F,'Weekly Log'!$A:$A,"&gt;="&amp;$J1894,'Weekly Log'!$A:$A,"&lt;"&amp;$J1894+7),0))</f>
        <v/>
      </c>
      <c r="F1894">
        <f>IF($J1894="","",IFERROR(SUMIFS('Weekly Log'!$F:$F,'Weekly Log'!$A:$A,"&gt;="&amp;$J1894,'Weekly Log'!$A:$A,"&lt;"&amp;$J1894+7)/SUMIFS('Weekly Log'!$E:$E,'Weekly Log'!$A:$A,"&gt;="&amp;$J1894,'Weekly Log'!$A:$A,"&lt;"&amp;$J1894+7),0))</f>
        <v/>
      </c>
      <c r="G1894">
        <f>IF($J1894="","",IFERROR(LOOKUP(2,1/(('Weekly Log'!$A$5:$A$5000&gt;=$J1894)*('Weekly Log'!$A$5:$A$5000&lt;$J1894+7)*('Weekly Log'!$M$5:$M$5000&lt;&gt;"")),'Weekly Log'!$M$5:$M$5000),0))</f>
        <v/>
      </c>
      <c r="J1894">
        <f>IF(COUNT('Weekly Log'!$A$5:$A$5000)=0,"",IF(MIN('Weekly Log'!$A$5:$A$5000)+7*(ROW()-10)&gt;MAX('Weekly Log'!$A$5:$A$5000),"",MIN('Weekly Log'!$A$5:$A$5000)+7*(ROW()-10)))</f>
        <v/>
      </c>
    </row>
    <row r="1895">
      <c r="A1895">
        <f>IF($J1895="","",YEAR($J1895-WEEKDAY($J1895,2)+4)&amp;"-W"&amp;TEXT(WEEKNUM($J1895,21),"00"))</f>
        <v/>
      </c>
      <c r="B1895">
        <f>IF($J1895="","",SUMIFS('Weekly Log'!$C:$C,'Weekly Log'!$A:$A,"&gt;="&amp;$J1895,'Weekly Log'!$A:$A,"&lt;"&amp;$J1895+7))</f>
        <v/>
      </c>
      <c r="C1895">
        <f>IF($J1895="","",IFERROR(COUNTIFS('Weekly Log'!$G:$G,"Y",'Weekly Log'!$A:$A,"&gt;="&amp;$J1895,'Weekly Log'!$A:$A,"&lt;"&amp;$J1895+7)/COUNTIFS('Weekly Log'!$G:$G,"&lt;&gt;",'Weekly Log'!$A:$A,"&gt;="&amp;$J1895,'Weekly Log'!$A:$A,"&lt;"&amp;$J1895+7),0))</f>
        <v/>
      </c>
      <c r="D1895">
        <f>IF($J1895="","",IFERROR(COUNTIFS('Weekly Log'!$H:$H,"Y",'Weekly Log'!$A:$A,"&gt;="&amp;$J1895,'Weekly Log'!$A:$A,"&lt;"&amp;$J1895+7)/COUNTIFS('Weekly Log'!$H:$H,"&lt;&gt;",'Weekly Log'!$A:$A,"&gt;="&amp;$J1895,'Weekly Log'!$A:$A,"&lt;"&amp;$J1895+7),0))</f>
        <v/>
      </c>
      <c r="E1895">
        <f>IF($J1895="","",IFERROR(AVERAGEIFS('Weekly Log'!$F:$F,'Weekly Log'!$A:$A,"&gt;="&amp;$J1895,'Weekly Log'!$A:$A,"&lt;"&amp;$J1895+7),0))</f>
        <v/>
      </c>
      <c r="F1895">
        <f>IF($J1895="","",IFERROR(SUMIFS('Weekly Log'!$F:$F,'Weekly Log'!$A:$A,"&gt;="&amp;$J1895,'Weekly Log'!$A:$A,"&lt;"&amp;$J1895+7)/SUMIFS('Weekly Log'!$E:$E,'Weekly Log'!$A:$A,"&gt;="&amp;$J1895,'Weekly Log'!$A:$A,"&lt;"&amp;$J1895+7),0))</f>
        <v/>
      </c>
      <c r="G1895">
        <f>IF($J1895="","",IFERROR(LOOKUP(2,1/(('Weekly Log'!$A$5:$A$5000&gt;=$J1895)*('Weekly Log'!$A$5:$A$5000&lt;$J1895+7)*('Weekly Log'!$M$5:$M$5000&lt;&gt;"")),'Weekly Log'!$M$5:$M$5000),0))</f>
        <v/>
      </c>
      <c r="J1895">
        <f>IF(COUNT('Weekly Log'!$A$5:$A$5000)=0,"",IF(MIN('Weekly Log'!$A$5:$A$5000)+7*(ROW()-10)&gt;MAX('Weekly Log'!$A$5:$A$5000),"",MIN('Weekly Log'!$A$5:$A$5000)+7*(ROW()-10)))</f>
        <v/>
      </c>
    </row>
    <row r="1896">
      <c r="A1896">
        <f>IF($J1896="","",YEAR($J1896-WEEKDAY($J1896,2)+4)&amp;"-W"&amp;TEXT(WEEKNUM($J1896,21),"00"))</f>
        <v/>
      </c>
      <c r="B1896">
        <f>IF($J1896="","",SUMIFS('Weekly Log'!$C:$C,'Weekly Log'!$A:$A,"&gt;="&amp;$J1896,'Weekly Log'!$A:$A,"&lt;"&amp;$J1896+7))</f>
        <v/>
      </c>
      <c r="C1896">
        <f>IF($J1896="","",IFERROR(COUNTIFS('Weekly Log'!$G:$G,"Y",'Weekly Log'!$A:$A,"&gt;="&amp;$J1896,'Weekly Log'!$A:$A,"&lt;"&amp;$J1896+7)/COUNTIFS('Weekly Log'!$G:$G,"&lt;&gt;",'Weekly Log'!$A:$A,"&gt;="&amp;$J1896,'Weekly Log'!$A:$A,"&lt;"&amp;$J1896+7),0))</f>
        <v/>
      </c>
      <c r="D1896">
        <f>IF($J1896="","",IFERROR(COUNTIFS('Weekly Log'!$H:$H,"Y",'Weekly Log'!$A:$A,"&gt;="&amp;$J1896,'Weekly Log'!$A:$A,"&lt;"&amp;$J1896+7)/COUNTIFS('Weekly Log'!$H:$H,"&lt;&gt;",'Weekly Log'!$A:$A,"&gt;="&amp;$J1896,'Weekly Log'!$A:$A,"&lt;"&amp;$J1896+7),0))</f>
        <v/>
      </c>
      <c r="E1896">
        <f>IF($J1896="","",IFERROR(AVERAGEIFS('Weekly Log'!$F:$F,'Weekly Log'!$A:$A,"&gt;="&amp;$J1896,'Weekly Log'!$A:$A,"&lt;"&amp;$J1896+7),0))</f>
        <v/>
      </c>
      <c r="F1896">
        <f>IF($J1896="","",IFERROR(SUMIFS('Weekly Log'!$F:$F,'Weekly Log'!$A:$A,"&gt;="&amp;$J1896,'Weekly Log'!$A:$A,"&lt;"&amp;$J1896+7)/SUMIFS('Weekly Log'!$E:$E,'Weekly Log'!$A:$A,"&gt;="&amp;$J1896,'Weekly Log'!$A:$A,"&lt;"&amp;$J1896+7),0))</f>
        <v/>
      </c>
      <c r="G1896">
        <f>IF($J1896="","",IFERROR(LOOKUP(2,1/(('Weekly Log'!$A$5:$A$5000&gt;=$J1896)*('Weekly Log'!$A$5:$A$5000&lt;$J1896+7)*('Weekly Log'!$M$5:$M$5000&lt;&gt;"")),'Weekly Log'!$M$5:$M$5000),0))</f>
        <v/>
      </c>
      <c r="J1896">
        <f>IF(COUNT('Weekly Log'!$A$5:$A$5000)=0,"",IF(MIN('Weekly Log'!$A$5:$A$5000)+7*(ROW()-10)&gt;MAX('Weekly Log'!$A$5:$A$5000),"",MIN('Weekly Log'!$A$5:$A$5000)+7*(ROW()-10)))</f>
        <v/>
      </c>
    </row>
    <row r="1897">
      <c r="A1897">
        <f>IF($J1897="","",YEAR($J1897-WEEKDAY($J1897,2)+4)&amp;"-W"&amp;TEXT(WEEKNUM($J1897,21),"00"))</f>
        <v/>
      </c>
      <c r="B1897">
        <f>IF($J1897="","",SUMIFS('Weekly Log'!$C:$C,'Weekly Log'!$A:$A,"&gt;="&amp;$J1897,'Weekly Log'!$A:$A,"&lt;"&amp;$J1897+7))</f>
        <v/>
      </c>
      <c r="C1897">
        <f>IF($J1897="","",IFERROR(COUNTIFS('Weekly Log'!$G:$G,"Y",'Weekly Log'!$A:$A,"&gt;="&amp;$J1897,'Weekly Log'!$A:$A,"&lt;"&amp;$J1897+7)/COUNTIFS('Weekly Log'!$G:$G,"&lt;&gt;",'Weekly Log'!$A:$A,"&gt;="&amp;$J1897,'Weekly Log'!$A:$A,"&lt;"&amp;$J1897+7),0))</f>
        <v/>
      </c>
      <c r="D1897">
        <f>IF($J1897="","",IFERROR(COUNTIFS('Weekly Log'!$H:$H,"Y",'Weekly Log'!$A:$A,"&gt;="&amp;$J1897,'Weekly Log'!$A:$A,"&lt;"&amp;$J1897+7)/COUNTIFS('Weekly Log'!$H:$H,"&lt;&gt;",'Weekly Log'!$A:$A,"&gt;="&amp;$J1897,'Weekly Log'!$A:$A,"&lt;"&amp;$J1897+7),0))</f>
        <v/>
      </c>
      <c r="E1897">
        <f>IF($J1897="","",IFERROR(AVERAGEIFS('Weekly Log'!$F:$F,'Weekly Log'!$A:$A,"&gt;="&amp;$J1897,'Weekly Log'!$A:$A,"&lt;"&amp;$J1897+7),0))</f>
        <v/>
      </c>
      <c r="F1897">
        <f>IF($J1897="","",IFERROR(SUMIFS('Weekly Log'!$F:$F,'Weekly Log'!$A:$A,"&gt;="&amp;$J1897,'Weekly Log'!$A:$A,"&lt;"&amp;$J1897+7)/SUMIFS('Weekly Log'!$E:$E,'Weekly Log'!$A:$A,"&gt;="&amp;$J1897,'Weekly Log'!$A:$A,"&lt;"&amp;$J1897+7),0))</f>
        <v/>
      </c>
      <c r="G1897">
        <f>IF($J1897="","",IFERROR(LOOKUP(2,1/(('Weekly Log'!$A$5:$A$5000&gt;=$J1897)*('Weekly Log'!$A$5:$A$5000&lt;$J1897+7)*('Weekly Log'!$M$5:$M$5000&lt;&gt;"")),'Weekly Log'!$M$5:$M$5000),0))</f>
        <v/>
      </c>
      <c r="J1897">
        <f>IF(COUNT('Weekly Log'!$A$5:$A$5000)=0,"",IF(MIN('Weekly Log'!$A$5:$A$5000)+7*(ROW()-10)&gt;MAX('Weekly Log'!$A$5:$A$5000),"",MIN('Weekly Log'!$A$5:$A$5000)+7*(ROW()-10)))</f>
        <v/>
      </c>
    </row>
    <row r="1898">
      <c r="A1898">
        <f>IF($J1898="","",YEAR($J1898-WEEKDAY($J1898,2)+4)&amp;"-W"&amp;TEXT(WEEKNUM($J1898,21),"00"))</f>
        <v/>
      </c>
      <c r="B1898">
        <f>IF($J1898="","",SUMIFS('Weekly Log'!$C:$C,'Weekly Log'!$A:$A,"&gt;="&amp;$J1898,'Weekly Log'!$A:$A,"&lt;"&amp;$J1898+7))</f>
        <v/>
      </c>
      <c r="C1898">
        <f>IF($J1898="","",IFERROR(COUNTIFS('Weekly Log'!$G:$G,"Y",'Weekly Log'!$A:$A,"&gt;="&amp;$J1898,'Weekly Log'!$A:$A,"&lt;"&amp;$J1898+7)/COUNTIFS('Weekly Log'!$G:$G,"&lt;&gt;",'Weekly Log'!$A:$A,"&gt;="&amp;$J1898,'Weekly Log'!$A:$A,"&lt;"&amp;$J1898+7),0))</f>
        <v/>
      </c>
      <c r="D1898">
        <f>IF($J1898="","",IFERROR(COUNTIFS('Weekly Log'!$H:$H,"Y",'Weekly Log'!$A:$A,"&gt;="&amp;$J1898,'Weekly Log'!$A:$A,"&lt;"&amp;$J1898+7)/COUNTIFS('Weekly Log'!$H:$H,"&lt;&gt;",'Weekly Log'!$A:$A,"&gt;="&amp;$J1898,'Weekly Log'!$A:$A,"&lt;"&amp;$J1898+7),0))</f>
        <v/>
      </c>
      <c r="E1898">
        <f>IF($J1898="","",IFERROR(AVERAGEIFS('Weekly Log'!$F:$F,'Weekly Log'!$A:$A,"&gt;="&amp;$J1898,'Weekly Log'!$A:$A,"&lt;"&amp;$J1898+7),0))</f>
        <v/>
      </c>
      <c r="F1898">
        <f>IF($J1898="","",IFERROR(SUMIFS('Weekly Log'!$F:$F,'Weekly Log'!$A:$A,"&gt;="&amp;$J1898,'Weekly Log'!$A:$A,"&lt;"&amp;$J1898+7)/SUMIFS('Weekly Log'!$E:$E,'Weekly Log'!$A:$A,"&gt;="&amp;$J1898,'Weekly Log'!$A:$A,"&lt;"&amp;$J1898+7),0))</f>
        <v/>
      </c>
      <c r="G1898">
        <f>IF($J1898="","",IFERROR(LOOKUP(2,1/(('Weekly Log'!$A$5:$A$5000&gt;=$J1898)*('Weekly Log'!$A$5:$A$5000&lt;$J1898+7)*('Weekly Log'!$M$5:$M$5000&lt;&gt;"")),'Weekly Log'!$M$5:$M$5000),0))</f>
        <v/>
      </c>
      <c r="J1898">
        <f>IF(COUNT('Weekly Log'!$A$5:$A$5000)=0,"",IF(MIN('Weekly Log'!$A$5:$A$5000)+7*(ROW()-10)&gt;MAX('Weekly Log'!$A$5:$A$5000),"",MIN('Weekly Log'!$A$5:$A$5000)+7*(ROW()-10)))</f>
        <v/>
      </c>
    </row>
    <row r="1899">
      <c r="A1899">
        <f>IF($J1899="","",YEAR($J1899-WEEKDAY($J1899,2)+4)&amp;"-W"&amp;TEXT(WEEKNUM($J1899,21),"00"))</f>
        <v/>
      </c>
      <c r="B1899">
        <f>IF($J1899="","",SUMIFS('Weekly Log'!$C:$C,'Weekly Log'!$A:$A,"&gt;="&amp;$J1899,'Weekly Log'!$A:$A,"&lt;"&amp;$J1899+7))</f>
        <v/>
      </c>
      <c r="C1899">
        <f>IF($J1899="","",IFERROR(COUNTIFS('Weekly Log'!$G:$G,"Y",'Weekly Log'!$A:$A,"&gt;="&amp;$J1899,'Weekly Log'!$A:$A,"&lt;"&amp;$J1899+7)/COUNTIFS('Weekly Log'!$G:$G,"&lt;&gt;",'Weekly Log'!$A:$A,"&gt;="&amp;$J1899,'Weekly Log'!$A:$A,"&lt;"&amp;$J1899+7),0))</f>
        <v/>
      </c>
      <c r="D1899">
        <f>IF($J1899="","",IFERROR(COUNTIFS('Weekly Log'!$H:$H,"Y",'Weekly Log'!$A:$A,"&gt;="&amp;$J1899,'Weekly Log'!$A:$A,"&lt;"&amp;$J1899+7)/COUNTIFS('Weekly Log'!$H:$H,"&lt;&gt;",'Weekly Log'!$A:$A,"&gt;="&amp;$J1899,'Weekly Log'!$A:$A,"&lt;"&amp;$J1899+7),0))</f>
        <v/>
      </c>
      <c r="E1899">
        <f>IF($J1899="","",IFERROR(AVERAGEIFS('Weekly Log'!$F:$F,'Weekly Log'!$A:$A,"&gt;="&amp;$J1899,'Weekly Log'!$A:$A,"&lt;"&amp;$J1899+7),0))</f>
        <v/>
      </c>
      <c r="F1899">
        <f>IF($J1899="","",IFERROR(SUMIFS('Weekly Log'!$F:$F,'Weekly Log'!$A:$A,"&gt;="&amp;$J1899,'Weekly Log'!$A:$A,"&lt;"&amp;$J1899+7)/SUMIFS('Weekly Log'!$E:$E,'Weekly Log'!$A:$A,"&gt;="&amp;$J1899,'Weekly Log'!$A:$A,"&lt;"&amp;$J1899+7),0))</f>
        <v/>
      </c>
      <c r="G1899">
        <f>IF($J1899="","",IFERROR(LOOKUP(2,1/(('Weekly Log'!$A$5:$A$5000&gt;=$J1899)*('Weekly Log'!$A$5:$A$5000&lt;$J1899+7)*('Weekly Log'!$M$5:$M$5000&lt;&gt;"")),'Weekly Log'!$M$5:$M$5000),0))</f>
        <v/>
      </c>
      <c r="J1899">
        <f>IF(COUNT('Weekly Log'!$A$5:$A$5000)=0,"",IF(MIN('Weekly Log'!$A$5:$A$5000)+7*(ROW()-10)&gt;MAX('Weekly Log'!$A$5:$A$5000),"",MIN('Weekly Log'!$A$5:$A$5000)+7*(ROW()-10)))</f>
        <v/>
      </c>
    </row>
    <row r="1900">
      <c r="A1900">
        <f>IF($J1900="","",YEAR($J1900-WEEKDAY($J1900,2)+4)&amp;"-W"&amp;TEXT(WEEKNUM($J1900,21),"00"))</f>
        <v/>
      </c>
      <c r="B1900">
        <f>IF($J1900="","",SUMIFS('Weekly Log'!$C:$C,'Weekly Log'!$A:$A,"&gt;="&amp;$J1900,'Weekly Log'!$A:$A,"&lt;"&amp;$J1900+7))</f>
        <v/>
      </c>
      <c r="C1900">
        <f>IF($J1900="","",IFERROR(COUNTIFS('Weekly Log'!$G:$G,"Y",'Weekly Log'!$A:$A,"&gt;="&amp;$J1900,'Weekly Log'!$A:$A,"&lt;"&amp;$J1900+7)/COUNTIFS('Weekly Log'!$G:$G,"&lt;&gt;",'Weekly Log'!$A:$A,"&gt;="&amp;$J1900,'Weekly Log'!$A:$A,"&lt;"&amp;$J1900+7),0))</f>
        <v/>
      </c>
      <c r="D1900">
        <f>IF($J1900="","",IFERROR(COUNTIFS('Weekly Log'!$H:$H,"Y",'Weekly Log'!$A:$A,"&gt;="&amp;$J1900,'Weekly Log'!$A:$A,"&lt;"&amp;$J1900+7)/COUNTIFS('Weekly Log'!$H:$H,"&lt;&gt;",'Weekly Log'!$A:$A,"&gt;="&amp;$J1900,'Weekly Log'!$A:$A,"&lt;"&amp;$J1900+7),0))</f>
        <v/>
      </c>
      <c r="E1900">
        <f>IF($J1900="","",IFERROR(AVERAGEIFS('Weekly Log'!$F:$F,'Weekly Log'!$A:$A,"&gt;="&amp;$J1900,'Weekly Log'!$A:$A,"&lt;"&amp;$J1900+7),0))</f>
        <v/>
      </c>
      <c r="F1900">
        <f>IF($J1900="","",IFERROR(SUMIFS('Weekly Log'!$F:$F,'Weekly Log'!$A:$A,"&gt;="&amp;$J1900,'Weekly Log'!$A:$A,"&lt;"&amp;$J1900+7)/SUMIFS('Weekly Log'!$E:$E,'Weekly Log'!$A:$A,"&gt;="&amp;$J1900,'Weekly Log'!$A:$A,"&lt;"&amp;$J1900+7),0))</f>
        <v/>
      </c>
      <c r="G1900">
        <f>IF($J1900="","",IFERROR(LOOKUP(2,1/(('Weekly Log'!$A$5:$A$5000&gt;=$J1900)*('Weekly Log'!$A$5:$A$5000&lt;$J1900+7)*('Weekly Log'!$M$5:$M$5000&lt;&gt;"")),'Weekly Log'!$M$5:$M$5000),0))</f>
        <v/>
      </c>
      <c r="J1900">
        <f>IF(COUNT('Weekly Log'!$A$5:$A$5000)=0,"",IF(MIN('Weekly Log'!$A$5:$A$5000)+7*(ROW()-10)&gt;MAX('Weekly Log'!$A$5:$A$5000),"",MIN('Weekly Log'!$A$5:$A$5000)+7*(ROW()-10)))</f>
        <v/>
      </c>
    </row>
    <row r="1901">
      <c r="A1901">
        <f>IF($J1901="","",YEAR($J1901-WEEKDAY($J1901,2)+4)&amp;"-W"&amp;TEXT(WEEKNUM($J1901,21),"00"))</f>
        <v/>
      </c>
      <c r="B1901">
        <f>IF($J1901="","",SUMIFS('Weekly Log'!$C:$C,'Weekly Log'!$A:$A,"&gt;="&amp;$J1901,'Weekly Log'!$A:$A,"&lt;"&amp;$J1901+7))</f>
        <v/>
      </c>
      <c r="C1901">
        <f>IF($J1901="","",IFERROR(COUNTIFS('Weekly Log'!$G:$G,"Y",'Weekly Log'!$A:$A,"&gt;="&amp;$J1901,'Weekly Log'!$A:$A,"&lt;"&amp;$J1901+7)/COUNTIFS('Weekly Log'!$G:$G,"&lt;&gt;",'Weekly Log'!$A:$A,"&gt;="&amp;$J1901,'Weekly Log'!$A:$A,"&lt;"&amp;$J1901+7),0))</f>
        <v/>
      </c>
      <c r="D1901">
        <f>IF($J1901="","",IFERROR(COUNTIFS('Weekly Log'!$H:$H,"Y",'Weekly Log'!$A:$A,"&gt;="&amp;$J1901,'Weekly Log'!$A:$A,"&lt;"&amp;$J1901+7)/COUNTIFS('Weekly Log'!$H:$H,"&lt;&gt;",'Weekly Log'!$A:$A,"&gt;="&amp;$J1901,'Weekly Log'!$A:$A,"&lt;"&amp;$J1901+7),0))</f>
        <v/>
      </c>
      <c r="E1901">
        <f>IF($J1901="","",IFERROR(AVERAGEIFS('Weekly Log'!$F:$F,'Weekly Log'!$A:$A,"&gt;="&amp;$J1901,'Weekly Log'!$A:$A,"&lt;"&amp;$J1901+7),0))</f>
        <v/>
      </c>
      <c r="F1901">
        <f>IF($J1901="","",IFERROR(SUMIFS('Weekly Log'!$F:$F,'Weekly Log'!$A:$A,"&gt;="&amp;$J1901,'Weekly Log'!$A:$A,"&lt;"&amp;$J1901+7)/SUMIFS('Weekly Log'!$E:$E,'Weekly Log'!$A:$A,"&gt;="&amp;$J1901,'Weekly Log'!$A:$A,"&lt;"&amp;$J1901+7),0))</f>
        <v/>
      </c>
      <c r="G1901">
        <f>IF($J1901="","",IFERROR(LOOKUP(2,1/(('Weekly Log'!$A$5:$A$5000&gt;=$J1901)*('Weekly Log'!$A$5:$A$5000&lt;$J1901+7)*('Weekly Log'!$M$5:$M$5000&lt;&gt;"")),'Weekly Log'!$M$5:$M$5000),0))</f>
        <v/>
      </c>
      <c r="J1901">
        <f>IF(COUNT('Weekly Log'!$A$5:$A$5000)=0,"",IF(MIN('Weekly Log'!$A$5:$A$5000)+7*(ROW()-10)&gt;MAX('Weekly Log'!$A$5:$A$5000),"",MIN('Weekly Log'!$A$5:$A$5000)+7*(ROW()-10)))</f>
        <v/>
      </c>
    </row>
    <row r="1902">
      <c r="A1902">
        <f>IF($J1902="","",YEAR($J1902-WEEKDAY($J1902,2)+4)&amp;"-W"&amp;TEXT(WEEKNUM($J1902,21),"00"))</f>
        <v/>
      </c>
      <c r="B1902">
        <f>IF($J1902="","",SUMIFS('Weekly Log'!$C:$C,'Weekly Log'!$A:$A,"&gt;="&amp;$J1902,'Weekly Log'!$A:$A,"&lt;"&amp;$J1902+7))</f>
        <v/>
      </c>
      <c r="C1902">
        <f>IF($J1902="","",IFERROR(COUNTIFS('Weekly Log'!$G:$G,"Y",'Weekly Log'!$A:$A,"&gt;="&amp;$J1902,'Weekly Log'!$A:$A,"&lt;"&amp;$J1902+7)/COUNTIFS('Weekly Log'!$G:$G,"&lt;&gt;",'Weekly Log'!$A:$A,"&gt;="&amp;$J1902,'Weekly Log'!$A:$A,"&lt;"&amp;$J1902+7),0))</f>
        <v/>
      </c>
      <c r="D1902">
        <f>IF($J1902="","",IFERROR(COUNTIFS('Weekly Log'!$H:$H,"Y",'Weekly Log'!$A:$A,"&gt;="&amp;$J1902,'Weekly Log'!$A:$A,"&lt;"&amp;$J1902+7)/COUNTIFS('Weekly Log'!$H:$H,"&lt;&gt;",'Weekly Log'!$A:$A,"&gt;="&amp;$J1902,'Weekly Log'!$A:$A,"&lt;"&amp;$J1902+7),0))</f>
        <v/>
      </c>
      <c r="E1902">
        <f>IF($J1902="","",IFERROR(AVERAGEIFS('Weekly Log'!$F:$F,'Weekly Log'!$A:$A,"&gt;="&amp;$J1902,'Weekly Log'!$A:$A,"&lt;"&amp;$J1902+7),0))</f>
        <v/>
      </c>
      <c r="F1902">
        <f>IF($J1902="","",IFERROR(SUMIFS('Weekly Log'!$F:$F,'Weekly Log'!$A:$A,"&gt;="&amp;$J1902,'Weekly Log'!$A:$A,"&lt;"&amp;$J1902+7)/SUMIFS('Weekly Log'!$E:$E,'Weekly Log'!$A:$A,"&gt;="&amp;$J1902,'Weekly Log'!$A:$A,"&lt;"&amp;$J1902+7),0))</f>
        <v/>
      </c>
      <c r="G1902">
        <f>IF($J1902="","",IFERROR(LOOKUP(2,1/(('Weekly Log'!$A$5:$A$5000&gt;=$J1902)*('Weekly Log'!$A$5:$A$5000&lt;$J1902+7)*('Weekly Log'!$M$5:$M$5000&lt;&gt;"")),'Weekly Log'!$M$5:$M$5000),0))</f>
        <v/>
      </c>
      <c r="J1902">
        <f>IF(COUNT('Weekly Log'!$A$5:$A$5000)=0,"",IF(MIN('Weekly Log'!$A$5:$A$5000)+7*(ROW()-10)&gt;MAX('Weekly Log'!$A$5:$A$5000),"",MIN('Weekly Log'!$A$5:$A$5000)+7*(ROW()-10)))</f>
        <v/>
      </c>
    </row>
    <row r="1903">
      <c r="A1903">
        <f>IF($J1903="","",YEAR($J1903-WEEKDAY($J1903,2)+4)&amp;"-W"&amp;TEXT(WEEKNUM($J1903,21),"00"))</f>
        <v/>
      </c>
      <c r="B1903">
        <f>IF($J1903="","",SUMIFS('Weekly Log'!$C:$C,'Weekly Log'!$A:$A,"&gt;="&amp;$J1903,'Weekly Log'!$A:$A,"&lt;"&amp;$J1903+7))</f>
        <v/>
      </c>
      <c r="C1903">
        <f>IF($J1903="","",IFERROR(COUNTIFS('Weekly Log'!$G:$G,"Y",'Weekly Log'!$A:$A,"&gt;="&amp;$J1903,'Weekly Log'!$A:$A,"&lt;"&amp;$J1903+7)/COUNTIFS('Weekly Log'!$G:$G,"&lt;&gt;",'Weekly Log'!$A:$A,"&gt;="&amp;$J1903,'Weekly Log'!$A:$A,"&lt;"&amp;$J1903+7),0))</f>
        <v/>
      </c>
      <c r="D1903">
        <f>IF($J1903="","",IFERROR(COUNTIFS('Weekly Log'!$H:$H,"Y",'Weekly Log'!$A:$A,"&gt;="&amp;$J1903,'Weekly Log'!$A:$A,"&lt;"&amp;$J1903+7)/COUNTIFS('Weekly Log'!$H:$H,"&lt;&gt;",'Weekly Log'!$A:$A,"&gt;="&amp;$J1903,'Weekly Log'!$A:$A,"&lt;"&amp;$J1903+7),0))</f>
        <v/>
      </c>
      <c r="E1903">
        <f>IF($J1903="","",IFERROR(AVERAGEIFS('Weekly Log'!$F:$F,'Weekly Log'!$A:$A,"&gt;="&amp;$J1903,'Weekly Log'!$A:$A,"&lt;"&amp;$J1903+7),0))</f>
        <v/>
      </c>
      <c r="F1903">
        <f>IF($J1903="","",IFERROR(SUMIFS('Weekly Log'!$F:$F,'Weekly Log'!$A:$A,"&gt;="&amp;$J1903,'Weekly Log'!$A:$A,"&lt;"&amp;$J1903+7)/SUMIFS('Weekly Log'!$E:$E,'Weekly Log'!$A:$A,"&gt;="&amp;$J1903,'Weekly Log'!$A:$A,"&lt;"&amp;$J1903+7),0))</f>
        <v/>
      </c>
      <c r="G1903">
        <f>IF($J1903="","",IFERROR(LOOKUP(2,1/(('Weekly Log'!$A$5:$A$5000&gt;=$J1903)*('Weekly Log'!$A$5:$A$5000&lt;$J1903+7)*('Weekly Log'!$M$5:$M$5000&lt;&gt;"")),'Weekly Log'!$M$5:$M$5000),0))</f>
        <v/>
      </c>
      <c r="J1903">
        <f>IF(COUNT('Weekly Log'!$A$5:$A$5000)=0,"",IF(MIN('Weekly Log'!$A$5:$A$5000)+7*(ROW()-10)&gt;MAX('Weekly Log'!$A$5:$A$5000),"",MIN('Weekly Log'!$A$5:$A$5000)+7*(ROW()-10)))</f>
        <v/>
      </c>
    </row>
    <row r="1904">
      <c r="A1904">
        <f>IF($J1904="","",YEAR($J1904-WEEKDAY($J1904,2)+4)&amp;"-W"&amp;TEXT(WEEKNUM($J1904,21),"00"))</f>
        <v/>
      </c>
      <c r="B1904">
        <f>IF($J1904="","",SUMIFS('Weekly Log'!$C:$C,'Weekly Log'!$A:$A,"&gt;="&amp;$J1904,'Weekly Log'!$A:$A,"&lt;"&amp;$J1904+7))</f>
        <v/>
      </c>
      <c r="C1904">
        <f>IF($J1904="","",IFERROR(COUNTIFS('Weekly Log'!$G:$G,"Y",'Weekly Log'!$A:$A,"&gt;="&amp;$J1904,'Weekly Log'!$A:$A,"&lt;"&amp;$J1904+7)/COUNTIFS('Weekly Log'!$G:$G,"&lt;&gt;",'Weekly Log'!$A:$A,"&gt;="&amp;$J1904,'Weekly Log'!$A:$A,"&lt;"&amp;$J1904+7),0))</f>
        <v/>
      </c>
      <c r="D1904">
        <f>IF($J1904="","",IFERROR(COUNTIFS('Weekly Log'!$H:$H,"Y",'Weekly Log'!$A:$A,"&gt;="&amp;$J1904,'Weekly Log'!$A:$A,"&lt;"&amp;$J1904+7)/COUNTIFS('Weekly Log'!$H:$H,"&lt;&gt;",'Weekly Log'!$A:$A,"&gt;="&amp;$J1904,'Weekly Log'!$A:$A,"&lt;"&amp;$J1904+7),0))</f>
        <v/>
      </c>
      <c r="E1904">
        <f>IF($J1904="","",IFERROR(AVERAGEIFS('Weekly Log'!$F:$F,'Weekly Log'!$A:$A,"&gt;="&amp;$J1904,'Weekly Log'!$A:$A,"&lt;"&amp;$J1904+7),0))</f>
        <v/>
      </c>
      <c r="F1904">
        <f>IF($J1904="","",IFERROR(SUMIFS('Weekly Log'!$F:$F,'Weekly Log'!$A:$A,"&gt;="&amp;$J1904,'Weekly Log'!$A:$A,"&lt;"&amp;$J1904+7)/SUMIFS('Weekly Log'!$E:$E,'Weekly Log'!$A:$A,"&gt;="&amp;$J1904,'Weekly Log'!$A:$A,"&lt;"&amp;$J1904+7),0))</f>
        <v/>
      </c>
      <c r="G1904">
        <f>IF($J1904="","",IFERROR(LOOKUP(2,1/(('Weekly Log'!$A$5:$A$5000&gt;=$J1904)*('Weekly Log'!$A$5:$A$5000&lt;$J1904+7)*('Weekly Log'!$M$5:$M$5000&lt;&gt;"")),'Weekly Log'!$M$5:$M$5000),0))</f>
        <v/>
      </c>
      <c r="J1904">
        <f>IF(COUNT('Weekly Log'!$A$5:$A$5000)=0,"",IF(MIN('Weekly Log'!$A$5:$A$5000)+7*(ROW()-10)&gt;MAX('Weekly Log'!$A$5:$A$5000),"",MIN('Weekly Log'!$A$5:$A$5000)+7*(ROW()-10)))</f>
        <v/>
      </c>
    </row>
    <row r="1905">
      <c r="A1905">
        <f>IF($J1905="","",YEAR($J1905-WEEKDAY($J1905,2)+4)&amp;"-W"&amp;TEXT(WEEKNUM($J1905,21),"00"))</f>
        <v/>
      </c>
      <c r="B1905">
        <f>IF($J1905="","",SUMIFS('Weekly Log'!$C:$C,'Weekly Log'!$A:$A,"&gt;="&amp;$J1905,'Weekly Log'!$A:$A,"&lt;"&amp;$J1905+7))</f>
        <v/>
      </c>
      <c r="C1905">
        <f>IF($J1905="","",IFERROR(COUNTIFS('Weekly Log'!$G:$G,"Y",'Weekly Log'!$A:$A,"&gt;="&amp;$J1905,'Weekly Log'!$A:$A,"&lt;"&amp;$J1905+7)/COUNTIFS('Weekly Log'!$G:$G,"&lt;&gt;",'Weekly Log'!$A:$A,"&gt;="&amp;$J1905,'Weekly Log'!$A:$A,"&lt;"&amp;$J1905+7),0))</f>
        <v/>
      </c>
      <c r="D1905">
        <f>IF($J1905="","",IFERROR(COUNTIFS('Weekly Log'!$H:$H,"Y",'Weekly Log'!$A:$A,"&gt;="&amp;$J1905,'Weekly Log'!$A:$A,"&lt;"&amp;$J1905+7)/COUNTIFS('Weekly Log'!$H:$H,"&lt;&gt;",'Weekly Log'!$A:$A,"&gt;="&amp;$J1905,'Weekly Log'!$A:$A,"&lt;"&amp;$J1905+7),0))</f>
        <v/>
      </c>
      <c r="E1905">
        <f>IF($J1905="","",IFERROR(AVERAGEIFS('Weekly Log'!$F:$F,'Weekly Log'!$A:$A,"&gt;="&amp;$J1905,'Weekly Log'!$A:$A,"&lt;"&amp;$J1905+7),0))</f>
        <v/>
      </c>
      <c r="F1905">
        <f>IF($J1905="","",IFERROR(SUMIFS('Weekly Log'!$F:$F,'Weekly Log'!$A:$A,"&gt;="&amp;$J1905,'Weekly Log'!$A:$A,"&lt;"&amp;$J1905+7)/SUMIFS('Weekly Log'!$E:$E,'Weekly Log'!$A:$A,"&gt;="&amp;$J1905,'Weekly Log'!$A:$A,"&lt;"&amp;$J1905+7),0))</f>
        <v/>
      </c>
      <c r="G1905">
        <f>IF($J1905="","",IFERROR(LOOKUP(2,1/(('Weekly Log'!$A$5:$A$5000&gt;=$J1905)*('Weekly Log'!$A$5:$A$5000&lt;$J1905+7)*('Weekly Log'!$M$5:$M$5000&lt;&gt;"")),'Weekly Log'!$M$5:$M$5000),0))</f>
        <v/>
      </c>
      <c r="J1905">
        <f>IF(COUNT('Weekly Log'!$A$5:$A$5000)=0,"",IF(MIN('Weekly Log'!$A$5:$A$5000)+7*(ROW()-10)&gt;MAX('Weekly Log'!$A$5:$A$5000),"",MIN('Weekly Log'!$A$5:$A$5000)+7*(ROW()-10)))</f>
        <v/>
      </c>
    </row>
    <row r="1906">
      <c r="A1906">
        <f>IF($J1906="","",YEAR($J1906-WEEKDAY($J1906,2)+4)&amp;"-W"&amp;TEXT(WEEKNUM($J1906,21),"00"))</f>
        <v/>
      </c>
      <c r="B1906">
        <f>IF($J1906="","",SUMIFS('Weekly Log'!$C:$C,'Weekly Log'!$A:$A,"&gt;="&amp;$J1906,'Weekly Log'!$A:$A,"&lt;"&amp;$J1906+7))</f>
        <v/>
      </c>
      <c r="C1906">
        <f>IF($J1906="","",IFERROR(COUNTIFS('Weekly Log'!$G:$G,"Y",'Weekly Log'!$A:$A,"&gt;="&amp;$J1906,'Weekly Log'!$A:$A,"&lt;"&amp;$J1906+7)/COUNTIFS('Weekly Log'!$G:$G,"&lt;&gt;",'Weekly Log'!$A:$A,"&gt;="&amp;$J1906,'Weekly Log'!$A:$A,"&lt;"&amp;$J1906+7),0))</f>
        <v/>
      </c>
      <c r="D1906">
        <f>IF($J1906="","",IFERROR(COUNTIFS('Weekly Log'!$H:$H,"Y",'Weekly Log'!$A:$A,"&gt;="&amp;$J1906,'Weekly Log'!$A:$A,"&lt;"&amp;$J1906+7)/COUNTIFS('Weekly Log'!$H:$H,"&lt;&gt;",'Weekly Log'!$A:$A,"&gt;="&amp;$J1906,'Weekly Log'!$A:$A,"&lt;"&amp;$J1906+7),0))</f>
        <v/>
      </c>
      <c r="E1906">
        <f>IF($J1906="","",IFERROR(AVERAGEIFS('Weekly Log'!$F:$F,'Weekly Log'!$A:$A,"&gt;="&amp;$J1906,'Weekly Log'!$A:$A,"&lt;"&amp;$J1906+7),0))</f>
        <v/>
      </c>
      <c r="F1906">
        <f>IF($J1906="","",IFERROR(SUMIFS('Weekly Log'!$F:$F,'Weekly Log'!$A:$A,"&gt;="&amp;$J1906,'Weekly Log'!$A:$A,"&lt;"&amp;$J1906+7)/SUMIFS('Weekly Log'!$E:$E,'Weekly Log'!$A:$A,"&gt;="&amp;$J1906,'Weekly Log'!$A:$A,"&lt;"&amp;$J1906+7),0))</f>
        <v/>
      </c>
      <c r="G1906">
        <f>IF($J1906="","",IFERROR(LOOKUP(2,1/(('Weekly Log'!$A$5:$A$5000&gt;=$J1906)*('Weekly Log'!$A$5:$A$5000&lt;$J1906+7)*('Weekly Log'!$M$5:$M$5000&lt;&gt;"")),'Weekly Log'!$M$5:$M$5000),0))</f>
        <v/>
      </c>
      <c r="J1906">
        <f>IF(COUNT('Weekly Log'!$A$5:$A$5000)=0,"",IF(MIN('Weekly Log'!$A$5:$A$5000)+7*(ROW()-10)&gt;MAX('Weekly Log'!$A$5:$A$5000),"",MIN('Weekly Log'!$A$5:$A$5000)+7*(ROW()-10)))</f>
        <v/>
      </c>
    </row>
    <row r="1907">
      <c r="A1907">
        <f>IF($J1907="","",YEAR($J1907-WEEKDAY($J1907,2)+4)&amp;"-W"&amp;TEXT(WEEKNUM($J1907,21),"00"))</f>
        <v/>
      </c>
      <c r="B1907">
        <f>IF($J1907="","",SUMIFS('Weekly Log'!$C:$C,'Weekly Log'!$A:$A,"&gt;="&amp;$J1907,'Weekly Log'!$A:$A,"&lt;"&amp;$J1907+7))</f>
        <v/>
      </c>
      <c r="C1907">
        <f>IF($J1907="","",IFERROR(COUNTIFS('Weekly Log'!$G:$G,"Y",'Weekly Log'!$A:$A,"&gt;="&amp;$J1907,'Weekly Log'!$A:$A,"&lt;"&amp;$J1907+7)/COUNTIFS('Weekly Log'!$G:$G,"&lt;&gt;",'Weekly Log'!$A:$A,"&gt;="&amp;$J1907,'Weekly Log'!$A:$A,"&lt;"&amp;$J1907+7),0))</f>
        <v/>
      </c>
      <c r="D1907">
        <f>IF($J1907="","",IFERROR(COUNTIFS('Weekly Log'!$H:$H,"Y",'Weekly Log'!$A:$A,"&gt;="&amp;$J1907,'Weekly Log'!$A:$A,"&lt;"&amp;$J1907+7)/COUNTIFS('Weekly Log'!$H:$H,"&lt;&gt;",'Weekly Log'!$A:$A,"&gt;="&amp;$J1907,'Weekly Log'!$A:$A,"&lt;"&amp;$J1907+7),0))</f>
        <v/>
      </c>
      <c r="E1907">
        <f>IF($J1907="","",IFERROR(AVERAGEIFS('Weekly Log'!$F:$F,'Weekly Log'!$A:$A,"&gt;="&amp;$J1907,'Weekly Log'!$A:$A,"&lt;"&amp;$J1907+7),0))</f>
        <v/>
      </c>
      <c r="F1907">
        <f>IF($J1907="","",IFERROR(SUMIFS('Weekly Log'!$F:$F,'Weekly Log'!$A:$A,"&gt;="&amp;$J1907,'Weekly Log'!$A:$A,"&lt;"&amp;$J1907+7)/SUMIFS('Weekly Log'!$E:$E,'Weekly Log'!$A:$A,"&gt;="&amp;$J1907,'Weekly Log'!$A:$A,"&lt;"&amp;$J1907+7),0))</f>
        <v/>
      </c>
      <c r="G1907">
        <f>IF($J1907="","",IFERROR(LOOKUP(2,1/(('Weekly Log'!$A$5:$A$5000&gt;=$J1907)*('Weekly Log'!$A$5:$A$5000&lt;$J1907+7)*('Weekly Log'!$M$5:$M$5000&lt;&gt;"")),'Weekly Log'!$M$5:$M$5000),0))</f>
        <v/>
      </c>
      <c r="J1907">
        <f>IF(COUNT('Weekly Log'!$A$5:$A$5000)=0,"",IF(MIN('Weekly Log'!$A$5:$A$5000)+7*(ROW()-10)&gt;MAX('Weekly Log'!$A$5:$A$5000),"",MIN('Weekly Log'!$A$5:$A$5000)+7*(ROW()-10)))</f>
        <v/>
      </c>
    </row>
    <row r="1908">
      <c r="A1908">
        <f>IF($J1908="","",YEAR($J1908-WEEKDAY($J1908,2)+4)&amp;"-W"&amp;TEXT(WEEKNUM($J1908,21),"00"))</f>
        <v/>
      </c>
      <c r="B1908">
        <f>IF($J1908="","",SUMIFS('Weekly Log'!$C:$C,'Weekly Log'!$A:$A,"&gt;="&amp;$J1908,'Weekly Log'!$A:$A,"&lt;"&amp;$J1908+7))</f>
        <v/>
      </c>
      <c r="C1908">
        <f>IF($J1908="","",IFERROR(COUNTIFS('Weekly Log'!$G:$G,"Y",'Weekly Log'!$A:$A,"&gt;="&amp;$J1908,'Weekly Log'!$A:$A,"&lt;"&amp;$J1908+7)/COUNTIFS('Weekly Log'!$G:$G,"&lt;&gt;",'Weekly Log'!$A:$A,"&gt;="&amp;$J1908,'Weekly Log'!$A:$A,"&lt;"&amp;$J1908+7),0))</f>
        <v/>
      </c>
      <c r="D1908">
        <f>IF($J1908="","",IFERROR(COUNTIFS('Weekly Log'!$H:$H,"Y",'Weekly Log'!$A:$A,"&gt;="&amp;$J1908,'Weekly Log'!$A:$A,"&lt;"&amp;$J1908+7)/COUNTIFS('Weekly Log'!$H:$H,"&lt;&gt;",'Weekly Log'!$A:$A,"&gt;="&amp;$J1908,'Weekly Log'!$A:$A,"&lt;"&amp;$J1908+7),0))</f>
        <v/>
      </c>
      <c r="E1908">
        <f>IF($J1908="","",IFERROR(AVERAGEIFS('Weekly Log'!$F:$F,'Weekly Log'!$A:$A,"&gt;="&amp;$J1908,'Weekly Log'!$A:$A,"&lt;"&amp;$J1908+7),0))</f>
        <v/>
      </c>
      <c r="F1908">
        <f>IF($J1908="","",IFERROR(SUMIFS('Weekly Log'!$F:$F,'Weekly Log'!$A:$A,"&gt;="&amp;$J1908,'Weekly Log'!$A:$A,"&lt;"&amp;$J1908+7)/SUMIFS('Weekly Log'!$E:$E,'Weekly Log'!$A:$A,"&gt;="&amp;$J1908,'Weekly Log'!$A:$A,"&lt;"&amp;$J1908+7),0))</f>
        <v/>
      </c>
      <c r="G1908">
        <f>IF($J1908="","",IFERROR(LOOKUP(2,1/(('Weekly Log'!$A$5:$A$5000&gt;=$J1908)*('Weekly Log'!$A$5:$A$5000&lt;$J1908+7)*('Weekly Log'!$M$5:$M$5000&lt;&gt;"")),'Weekly Log'!$M$5:$M$5000),0))</f>
        <v/>
      </c>
      <c r="J1908">
        <f>IF(COUNT('Weekly Log'!$A$5:$A$5000)=0,"",IF(MIN('Weekly Log'!$A$5:$A$5000)+7*(ROW()-10)&gt;MAX('Weekly Log'!$A$5:$A$5000),"",MIN('Weekly Log'!$A$5:$A$5000)+7*(ROW()-10)))</f>
        <v/>
      </c>
    </row>
    <row r="1909">
      <c r="A1909">
        <f>IF($J1909="","",YEAR($J1909-WEEKDAY($J1909,2)+4)&amp;"-W"&amp;TEXT(WEEKNUM($J1909,21),"00"))</f>
        <v/>
      </c>
      <c r="B1909">
        <f>IF($J1909="","",SUMIFS('Weekly Log'!$C:$C,'Weekly Log'!$A:$A,"&gt;="&amp;$J1909,'Weekly Log'!$A:$A,"&lt;"&amp;$J1909+7))</f>
        <v/>
      </c>
      <c r="C1909">
        <f>IF($J1909="","",IFERROR(COUNTIFS('Weekly Log'!$G:$G,"Y",'Weekly Log'!$A:$A,"&gt;="&amp;$J1909,'Weekly Log'!$A:$A,"&lt;"&amp;$J1909+7)/COUNTIFS('Weekly Log'!$G:$G,"&lt;&gt;",'Weekly Log'!$A:$A,"&gt;="&amp;$J1909,'Weekly Log'!$A:$A,"&lt;"&amp;$J1909+7),0))</f>
        <v/>
      </c>
      <c r="D1909">
        <f>IF($J1909="","",IFERROR(COUNTIFS('Weekly Log'!$H:$H,"Y",'Weekly Log'!$A:$A,"&gt;="&amp;$J1909,'Weekly Log'!$A:$A,"&lt;"&amp;$J1909+7)/COUNTIFS('Weekly Log'!$H:$H,"&lt;&gt;",'Weekly Log'!$A:$A,"&gt;="&amp;$J1909,'Weekly Log'!$A:$A,"&lt;"&amp;$J1909+7),0))</f>
        <v/>
      </c>
      <c r="E1909">
        <f>IF($J1909="","",IFERROR(AVERAGEIFS('Weekly Log'!$F:$F,'Weekly Log'!$A:$A,"&gt;="&amp;$J1909,'Weekly Log'!$A:$A,"&lt;"&amp;$J1909+7),0))</f>
        <v/>
      </c>
      <c r="F1909">
        <f>IF($J1909="","",IFERROR(SUMIFS('Weekly Log'!$F:$F,'Weekly Log'!$A:$A,"&gt;="&amp;$J1909,'Weekly Log'!$A:$A,"&lt;"&amp;$J1909+7)/SUMIFS('Weekly Log'!$E:$E,'Weekly Log'!$A:$A,"&gt;="&amp;$J1909,'Weekly Log'!$A:$A,"&lt;"&amp;$J1909+7),0))</f>
        <v/>
      </c>
      <c r="G1909">
        <f>IF($J1909="","",IFERROR(LOOKUP(2,1/(('Weekly Log'!$A$5:$A$5000&gt;=$J1909)*('Weekly Log'!$A$5:$A$5000&lt;$J1909+7)*('Weekly Log'!$M$5:$M$5000&lt;&gt;"")),'Weekly Log'!$M$5:$M$5000),0))</f>
        <v/>
      </c>
      <c r="J1909">
        <f>IF(COUNT('Weekly Log'!$A$5:$A$5000)=0,"",IF(MIN('Weekly Log'!$A$5:$A$5000)+7*(ROW()-10)&gt;MAX('Weekly Log'!$A$5:$A$5000),"",MIN('Weekly Log'!$A$5:$A$5000)+7*(ROW()-10)))</f>
        <v/>
      </c>
    </row>
    <row r="1910">
      <c r="A1910">
        <f>IF($J1910="","",YEAR($J1910-WEEKDAY($J1910,2)+4)&amp;"-W"&amp;TEXT(WEEKNUM($J1910,21),"00"))</f>
        <v/>
      </c>
      <c r="B1910">
        <f>IF($J1910="","",SUMIFS('Weekly Log'!$C:$C,'Weekly Log'!$A:$A,"&gt;="&amp;$J1910,'Weekly Log'!$A:$A,"&lt;"&amp;$J1910+7))</f>
        <v/>
      </c>
      <c r="C1910">
        <f>IF($J1910="","",IFERROR(COUNTIFS('Weekly Log'!$G:$G,"Y",'Weekly Log'!$A:$A,"&gt;="&amp;$J1910,'Weekly Log'!$A:$A,"&lt;"&amp;$J1910+7)/COUNTIFS('Weekly Log'!$G:$G,"&lt;&gt;",'Weekly Log'!$A:$A,"&gt;="&amp;$J1910,'Weekly Log'!$A:$A,"&lt;"&amp;$J1910+7),0))</f>
        <v/>
      </c>
      <c r="D1910">
        <f>IF($J1910="","",IFERROR(COUNTIFS('Weekly Log'!$H:$H,"Y",'Weekly Log'!$A:$A,"&gt;="&amp;$J1910,'Weekly Log'!$A:$A,"&lt;"&amp;$J1910+7)/COUNTIFS('Weekly Log'!$H:$H,"&lt;&gt;",'Weekly Log'!$A:$A,"&gt;="&amp;$J1910,'Weekly Log'!$A:$A,"&lt;"&amp;$J1910+7),0))</f>
        <v/>
      </c>
      <c r="E1910">
        <f>IF($J1910="","",IFERROR(AVERAGEIFS('Weekly Log'!$F:$F,'Weekly Log'!$A:$A,"&gt;="&amp;$J1910,'Weekly Log'!$A:$A,"&lt;"&amp;$J1910+7),0))</f>
        <v/>
      </c>
      <c r="F1910">
        <f>IF($J1910="","",IFERROR(SUMIFS('Weekly Log'!$F:$F,'Weekly Log'!$A:$A,"&gt;="&amp;$J1910,'Weekly Log'!$A:$A,"&lt;"&amp;$J1910+7)/SUMIFS('Weekly Log'!$E:$E,'Weekly Log'!$A:$A,"&gt;="&amp;$J1910,'Weekly Log'!$A:$A,"&lt;"&amp;$J1910+7),0))</f>
        <v/>
      </c>
      <c r="G1910">
        <f>IF($J1910="","",IFERROR(LOOKUP(2,1/(('Weekly Log'!$A$5:$A$5000&gt;=$J1910)*('Weekly Log'!$A$5:$A$5000&lt;$J1910+7)*('Weekly Log'!$M$5:$M$5000&lt;&gt;"")),'Weekly Log'!$M$5:$M$5000),0))</f>
        <v/>
      </c>
      <c r="J1910">
        <f>IF(COUNT('Weekly Log'!$A$5:$A$5000)=0,"",IF(MIN('Weekly Log'!$A$5:$A$5000)+7*(ROW()-10)&gt;MAX('Weekly Log'!$A$5:$A$5000),"",MIN('Weekly Log'!$A$5:$A$5000)+7*(ROW()-10)))</f>
        <v/>
      </c>
    </row>
    <row r="1911">
      <c r="A1911">
        <f>IF($J1911="","",YEAR($J1911-WEEKDAY($J1911,2)+4)&amp;"-W"&amp;TEXT(WEEKNUM($J1911,21),"00"))</f>
        <v/>
      </c>
      <c r="B1911">
        <f>IF($J1911="","",SUMIFS('Weekly Log'!$C:$C,'Weekly Log'!$A:$A,"&gt;="&amp;$J1911,'Weekly Log'!$A:$A,"&lt;"&amp;$J1911+7))</f>
        <v/>
      </c>
      <c r="C1911">
        <f>IF($J1911="","",IFERROR(COUNTIFS('Weekly Log'!$G:$G,"Y",'Weekly Log'!$A:$A,"&gt;="&amp;$J1911,'Weekly Log'!$A:$A,"&lt;"&amp;$J1911+7)/COUNTIFS('Weekly Log'!$G:$G,"&lt;&gt;",'Weekly Log'!$A:$A,"&gt;="&amp;$J1911,'Weekly Log'!$A:$A,"&lt;"&amp;$J1911+7),0))</f>
        <v/>
      </c>
      <c r="D1911">
        <f>IF($J1911="","",IFERROR(COUNTIFS('Weekly Log'!$H:$H,"Y",'Weekly Log'!$A:$A,"&gt;="&amp;$J1911,'Weekly Log'!$A:$A,"&lt;"&amp;$J1911+7)/COUNTIFS('Weekly Log'!$H:$H,"&lt;&gt;",'Weekly Log'!$A:$A,"&gt;="&amp;$J1911,'Weekly Log'!$A:$A,"&lt;"&amp;$J1911+7),0))</f>
        <v/>
      </c>
      <c r="E1911">
        <f>IF($J1911="","",IFERROR(AVERAGEIFS('Weekly Log'!$F:$F,'Weekly Log'!$A:$A,"&gt;="&amp;$J1911,'Weekly Log'!$A:$A,"&lt;"&amp;$J1911+7),0))</f>
        <v/>
      </c>
      <c r="F1911">
        <f>IF($J1911="","",IFERROR(SUMIFS('Weekly Log'!$F:$F,'Weekly Log'!$A:$A,"&gt;="&amp;$J1911,'Weekly Log'!$A:$A,"&lt;"&amp;$J1911+7)/SUMIFS('Weekly Log'!$E:$E,'Weekly Log'!$A:$A,"&gt;="&amp;$J1911,'Weekly Log'!$A:$A,"&lt;"&amp;$J1911+7),0))</f>
        <v/>
      </c>
      <c r="G1911">
        <f>IF($J1911="","",IFERROR(LOOKUP(2,1/(('Weekly Log'!$A$5:$A$5000&gt;=$J1911)*('Weekly Log'!$A$5:$A$5000&lt;$J1911+7)*('Weekly Log'!$M$5:$M$5000&lt;&gt;"")),'Weekly Log'!$M$5:$M$5000),0))</f>
        <v/>
      </c>
      <c r="J1911">
        <f>IF(COUNT('Weekly Log'!$A$5:$A$5000)=0,"",IF(MIN('Weekly Log'!$A$5:$A$5000)+7*(ROW()-10)&gt;MAX('Weekly Log'!$A$5:$A$5000),"",MIN('Weekly Log'!$A$5:$A$5000)+7*(ROW()-10)))</f>
        <v/>
      </c>
    </row>
    <row r="1912">
      <c r="A1912">
        <f>IF($J1912="","",YEAR($J1912-WEEKDAY($J1912,2)+4)&amp;"-W"&amp;TEXT(WEEKNUM($J1912,21),"00"))</f>
        <v/>
      </c>
      <c r="B1912">
        <f>IF($J1912="","",SUMIFS('Weekly Log'!$C:$C,'Weekly Log'!$A:$A,"&gt;="&amp;$J1912,'Weekly Log'!$A:$A,"&lt;"&amp;$J1912+7))</f>
        <v/>
      </c>
      <c r="C1912">
        <f>IF($J1912="","",IFERROR(COUNTIFS('Weekly Log'!$G:$G,"Y",'Weekly Log'!$A:$A,"&gt;="&amp;$J1912,'Weekly Log'!$A:$A,"&lt;"&amp;$J1912+7)/COUNTIFS('Weekly Log'!$G:$G,"&lt;&gt;",'Weekly Log'!$A:$A,"&gt;="&amp;$J1912,'Weekly Log'!$A:$A,"&lt;"&amp;$J1912+7),0))</f>
        <v/>
      </c>
      <c r="D1912">
        <f>IF($J1912="","",IFERROR(COUNTIFS('Weekly Log'!$H:$H,"Y",'Weekly Log'!$A:$A,"&gt;="&amp;$J1912,'Weekly Log'!$A:$A,"&lt;"&amp;$J1912+7)/COUNTIFS('Weekly Log'!$H:$H,"&lt;&gt;",'Weekly Log'!$A:$A,"&gt;="&amp;$J1912,'Weekly Log'!$A:$A,"&lt;"&amp;$J1912+7),0))</f>
        <v/>
      </c>
      <c r="E1912">
        <f>IF($J1912="","",IFERROR(AVERAGEIFS('Weekly Log'!$F:$F,'Weekly Log'!$A:$A,"&gt;="&amp;$J1912,'Weekly Log'!$A:$A,"&lt;"&amp;$J1912+7),0))</f>
        <v/>
      </c>
      <c r="F1912">
        <f>IF($J1912="","",IFERROR(SUMIFS('Weekly Log'!$F:$F,'Weekly Log'!$A:$A,"&gt;="&amp;$J1912,'Weekly Log'!$A:$A,"&lt;"&amp;$J1912+7)/SUMIFS('Weekly Log'!$E:$E,'Weekly Log'!$A:$A,"&gt;="&amp;$J1912,'Weekly Log'!$A:$A,"&lt;"&amp;$J1912+7),0))</f>
        <v/>
      </c>
      <c r="G1912">
        <f>IF($J1912="","",IFERROR(LOOKUP(2,1/(('Weekly Log'!$A$5:$A$5000&gt;=$J1912)*('Weekly Log'!$A$5:$A$5000&lt;$J1912+7)*('Weekly Log'!$M$5:$M$5000&lt;&gt;"")),'Weekly Log'!$M$5:$M$5000),0))</f>
        <v/>
      </c>
      <c r="J1912">
        <f>IF(COUNT('Weekly Log'!$A$5:$A$5000)=0,"",IF(MIN('Weekly Log'!$A$5:$A$5000)+7*(ROW()-10)&gt;MAX('Weekly Log'!$A$5:$A$5000),"",MIN('Weekly Log'!$A$5:$A$5000)+7*(ROW()-10)))</f>
        <v/>
      </c>
    </row>
    <row r="1913">
      <c r="A1913">
        <f>IF($J1913="","",YEAR($J1913-WEEKDAY($J1913,2)+4)&amp;"-W"&amp;TEXT(WEEKNUM($J1913,21),"00"))</f>
        <v/>
      </c>
      <c r="B1913">
        <f>IF($J1913="","",SUMIFS('Weekly Log'!$C:$C,'Weekly Log'!$A:$A,"&gt;="&amp;$J1913,'Weekly Log'!$A:$A,"&lt;"&amp;$J1913+7))</f>
        <v/>
      </c>
      <c r="C1913">
        <f>IF($J1913="","",IFERROR(COUNTIFS('Weekly Log'!$G:$G,"Y",'Weekly Log'!$A:$A,"&gt;="&amp;$J1913,'Weekly Log'!$A:$A,"&lt;"&amp;$J1913+7)/COUNTIFS('Weekly Log'!$G:$G,"&lt;&gt;",'Weekly Log'!$A:$A,"&gt;="&amp;$J1913,'Weekly Log'!$A:$A,"&lt;"&amp;$J1913+7),0))</f>
        <v/>
      </c>
      <c r="D1913">
        <f>IF($J1913="","",IFERROR(COUNTIFS('Weekly Log'!$H:$H,"Y",'Weekly Log'!$A:$A,"&gt;="&amp;$J1913,'Weekly Log'!$A:$A,"&lt;"&amp;$J1913+7)/COUNTIFS('Weekly Log'!$H:$H,"&lt;&gt;",'Weekly Log'!$A:$A,"&gt;="&amp;$J1913,'Weekly Log'!$A:$A,"&lt;"&amp;$J1913+7),0))</f>
        <v/>
      </c>
      <c r="E1913">
        <f>IF($J1913="","",IFERROR(AVERAGEIFS('Weekly Log'!$F:$F,'Weekly Log'!$A:$A,"&gt;="&amp;$J1913,'Weekly Log'!$A:$A,"&lt;"&amp;$J1913+7),0))</f>
        <v/>
      </c>
      <c r="F1913">
        <f>IF($J1913="","",IFERROR(SUMIFS('Weekly Log'!$F:$F,'Weekly Log'!$A:$A,"&gt;="&amp;$J1913,'Weekly Log'!$A:$A,"&lt;"&amp;$J1913+7)/SUMIFS('Weekly Log'!$E:$E,'Weekly Log'!$A:$A,"&gt;="&amp;$J1913,'Weekly Log'!$A:$A,"&lt;"&amp;$J1913+7),0))</f>
        <v/>
      </c>
      <c r="G1913">
        <f>IF($J1913="","",IFERROR(LOOKUP(2,1/(('Weekly Log'!$A$5:$A$5000&gt;=$J1913)*('Weekly Log'!$A$5:$A$5000&lt;$J1913+7)*('Weekly Log'!$M$5:$M$5000&lt;&gt;"")),'Weekly Log'!$M$5:$M$5000),0))</f>
        <v/>
      </c>
      <c r="J1913">
        <f>IF(COUNT('Weekly Log'!$A$5:$A$5000)=0,"",IF(MIN('Weekly Log'!$A$5:$A$5000)+7*(ROW()-10)&gt;MAX('Weekly Log'!$A$5:$A$5000),"",MIN('Weekly Log'!$A$5:$A$5000)+7*(ROW()-10)))</f>
        <v/>
      </c>
    </row>
    <row r="1914">
      <c r="A1914">
        <f>IF($J1914="","",YEAR($J1914-WEEKDAY($J1914,2)+4)&amp;"-W"&amp;TEXT(WEEKNUM($J1914,21),"00"))</f>
        <v/>
      </c>
      <c r="B1914">
        <f>IF($J1914="","",SUMIFS('Weekly Log'!$C:$C,'Weekly Log'!$A:$A,"&gt;="&amp;$J1914,'Weekly Log'!$A:$A,"&lt;"&amp;$J1914+7))</f>
        <v/>
      </c>
      <c r="C1914">
        <f>IF($J1914="","",IFERROR(COUNTIFS('Weekly Log'!$G:$G,"Y",'Weekly Log'!$A:$A,"&gt;="&amp;$J1914,'Weekly Log'!$A:$A,"&lt;"&amp;$J1914+7)/COUNTIFS('Weekly Log'!$G:$G,"&lt;&gt;",'Weekly Log'!$A:$A,"&gt;="&amp;$J1914,'Weekly Log'!$A:$A,"&lt;"&amp;$J1914+7),0))</f>
        <v/>
      </c>
      <c r="D1914">
        <f>IF($J1914="","",IFERROR(COUNTIFS('Weekly Log'!$H:$H,"Y",'Weekly Log'!$A:$A,"&gt;="&amp;$J1914,'Weekly Log'!$A:$A,"&lt;"&amp;$J1914+7)/COUNTIFS('Weekly Log'!$H:$H,"&lt;&gt;",'Weekly Log'!$A:$A,"&gt;="&amp;$J1914,'Weekly Log'!$A:$A,"&lt;"&amp;$J1914+7),0))</f>
        <v/>
      </c>
      <c r="E1914">
        <f>IF($J1914="","",IFERROR(AVERAGEIFS('Weekly Log'!$F:$F,'Weekly Log'!$A:$A,"&gt;="&amp;$J1914,'Weekly Log'!$A:$A,"&lt;"&amp;$J1914+7),0))</f>
        <v/>
      </c>
      <c r="F1914">
        <f>IF($J1914="","",IFERROR(SUMIFS('Weekly Log'!$F:$F,'Weekly Log'!$A:$A,"&gt;="&amp;$J1914,'Weekly Log'!$A:$A,"&lt;"&amp;$J1914+7)/SUMIFS('Weekly Log'!$E:$E,'Weekly Log'!$A:$A,"&gt;="&amp;$J1914,'Weekly Log'!$A:$A,"&lt;"&amp;$J1914+7),0))</f>
        <v/>
      </c>
      <c r="G1914">
        <f>IF($J1914="","",IFERROR(LOOKUP(2,1/(('Weekly Log'!$A$5:$A$5000&gt;=$J1914)*('Weekly Log'!$A$5:$A$5000&lt;$J1914+7)*('Weekly Log'!$M$5:$M$5000&lt;&gt;"")),'Weekly Log'!$M$5:$M$5000),0))</f>
        <v/>
      </c>
      <c r="J1914">
        <f>IF(COUNT('Weekly Log'!$A$5:$A$5000)=0,"",IF(MIN('Weekly Log'!$A$5:$A$5000)+7*(ROW()-10)&gt;MAX('Weekly Log'!$A$5:$A$5000),"",MIN('Weekly Log'!$A$5:$A$5000)+7*(ROW()-10)))</f>
        <v/>
      </c>
    </row>
    <row r="1915">
      <c r="A1915">
        <f>IF($J1915="","",YEAR($J1915-WEEKDAY($J1915,2)+4)&amp;"-W"&amp;TEXT(WEEKNUM($J1915,21),"00"))</f>
        <v/>
      </c>
      <c r="B1915">
        <f>IF($J1915="","",SUMIFS('Weekly Log'!$C:$C,'Weekly Log'!$A:$A,"&gt;="&amp;$J1915,'Weekly Log'!$A:$A,"&lt;"&amp;$J1915+7))</f>
        <v/>
      </c>
      <c r="C1915">
        <f>IF($J1915="","",IFERROR(COUNTIFS('Weekly Log'!$G:$G,"Y",'Weekly Log'!$A:$A,"&gt;="&amp;$J1915,'Weekly Log'!$A:$A,"&lt;"&amp;$J1915+7)/COUNTIFS('Weekly Log'!$G:$G,"&lt;&gt;",'Weekly Log'!$A:$A,"&gt;="&amp;$J1915,'Weekly Log'!$A:$A,"&lt;"&amp;$J1915+7),0))</f>
        <v/>
      </c>
      <c r="D1915">
        <f>IF($J1915="","",IFERROR(COUNTIFS('Weekly Log'!$H:$H,"Y",'Weekly Log'!$A:$A,"&gt;="&amp;$J1915,'Weekly Log'!$A:$A,"&lt;"&amp;$J1915+7)/COUNTIFS('Weekly Log'!$H:$H,"&lt;&gt;",'Weekly Log'!$A:$A,"&gt;="&amp;$J1915,'Weekly Log'!$A:$A,"&lt;"&amp;$J1915+7),0))</f>
        <v/>
      </c>
      <c r="E1915">
        <f>IF($J1915="","",IFERROR(AVERAGEIFS('Weekly Log'!$F:$F,'Weekly Log'!$A:$A,"&gt;="&amp;$J1915,'Weekly Log'!$A:$A,"&lt;"&amp;$J1915+7),0))</f>
        <v/>
      </c>
      <c r="F1915">
        <f>IF($J1915="","",IFERROR(SUMIFS('Weekly Log'!$F:$F,'Weekly Log'!$A:$A,"&gt;="&amp;$J1915,'Weekly Log'!$A:$A,"&lt;"&amp;$J1915+7)/SUMIFS('Weekly Log'!$E:$E,'Weekly Log'!$A:$A,"&gt;="&amp;$J1915,'Weekly Log'!$A:$A,"&lt;"&amp;$J1915+7),0))</f>
        <v/>
      </c>
      <c r="G1915">
        <f>IF($J1915="","",IFERROR(LOOKUP(2,1/(('Weekly Log'!$A$5:$A$5000&gt;=$J1915)*('Weekly Log'!$A$5:$A$5000&lt;$J1915+7)*('Weekly Log'!$M$5:$M$5000&lt;&gt;"")),'Weekly Log'!$M$5:$M$5000),0))</f>
        <v/>
      </c>
      <c r="J1915">
        <f>IF(COUNT('Weekly Log'!$A$5:$A$5000)=0,"",IF(MIN('Weekly Log'!$A$5:$A$5000)+7*(ROW()-10)&gt;MAX('Weekly Log'!$A$5:$A$5000),"",MIN('Weekly Log'!$A$5:$A$5000)+7*(ROW()-10)))</f>
        <v/>
      </c>
    </row>
    <row r="1916">
      <c r="A1916">
        <f>IF($J1916="","",YEAR($J1916-WEEKDAY($J1916,2)+4)&amp;"-W"&amp;TEXT(WEEKNUM($J1916,21),"00"))</f>
        <v/>
      </c>
      <c r="B1916">
        <f>IF($J1916="","",SUMIFS('Weekly Log'!$C:$C,'Weekly Log'!$A:$A,"&gt;="&amp;$J1916,'Weekly Log'!$A:$A,"&lt;"&amp;$J1916+7))</f>
        <v/>
      </c>
      <c r="C1916">
        <f>IF($J1916="","",IFERROR(COUNTIFS('Weekly Log'!$G:$G,"Y",'Weekly Log'!$A:$A,"&gt;="&amp;$J1916,'Weekly Log'!$A:$A,"&lt;"&amp;$J1916+7)/COUNTIFS('Weekly Log'!$G:$G,"&lt;&gt;",'Weekly Log'!$A:$A,"&gt;="&amp;$J1916,'Weekly Log'!$A:$A,"&lt;"&amp;$J1916+7),0))</f>
        <v/>
      </c>
      <c r="D1916">
        <f>IF($J1916="","",IFERROR(COUNTIFS('Weekly Log'!$H:$H,"Y",'Weekly Log'!$A:$A,"&gt;="&amp;$J1916,'Weekly Log'!$A:$A,"&lt;"&amp;$J1916+7)/COUNTIFS('Weekly Log'!$H:$H,"&lt;&gt;",'Weekly Log'!$A:$A,"&gt;="&amp;$J1916,'Weekly Log'!$A:$A,"&lt;"&amp;$J1916+7),0))</f>
        <v/>
      </c>
      <c r="E1916">
        <f>IF($J1916="","",IFERROR(AVERAGEIFS('Weekly Log'!$F:$F,'Weekly Log'!$A:$A,"&gt;="&amp;$J1916,'Weekly Log'!$A:$A,"&lt;"&amp;$J1916+7),0))</f>
        <v/>
      </c>
      <c r="F1916">
        <f>IF($J1916="","",IFERROR(SUMIFS('Weekly Log'!$F:$F,'Weekly Log'!$A:$A,"&gt;="&amp;$J1916,'Weekly Log'!$A:$A,"&lt;"&amp;$J1916+7)/SUMIFS('Weekly Log'!$E:$E,'Weekly Log'!$A:$A,"&gt;="&amp;$J1916,'Weekly Log'!$A:$A,"&lt;"&amp;$J1916+7),0))</f>
        <v/>
      </c>
      <c r="G1916">
        <f>IF($J1916="","",IFERROR(LOOKUP(2,1/(('Weekly Log'!$A$5:$A$5000&gt;=$J1916)*('Weekly Log'!$A$5:$A$5000&lt;$J1916+7)*('Weekly Log'!$M$5:$M$5000&lt;&gt;"")),'Weekly Log'!$M$5:$M$5000),0))</f>
        <v/>
      </c>
      <c r="J1916">
        <f>IF(COUNT('Weekly Log'!$A$5:$A$5000)=0,"",IF(MIN('Weekly Log'!$A$5:$A$5000)+7*(ROW()-10)&gt;MAX('Weekly Log'!$A$5:$A$5000),"",MIN('Weekly Log'!$A$5:$A$5000)+7*(ROW()-10)))</f>
        <v/>
      </c>
    </row>
    <row r="1917">
      <c r="A1917">
        <f>IF($J1917="","",YEAR($J1917-WEEKDAY($J1917,2)+4)&amp;"-W"&amp;TEXT(WEEKNUM($J1917,21),"00"))</f>
        <v/>
      </c>
      <c r="B1917">
        <f>IF($J1917="","",SUMIFS('Weekly Log'!$C:$C,'Weekly Log'!$A:$A,"&gt;="&amp;$J1917,'Weekly Log'!$A:$A,"&lt;"&amp;$J1917+7))</f>
        <v/>
      </c>
      <c r="C1917">
        <f>IF($J1917="","",IFERROR(COUNTIFS('Weekly Log'!$G:$G,"Y",'Weekly Log'!$A:$A,"&gt;="&amp;$J1917,'Weekly Log'!$A:$A,"&lt;"&amp;$J1917+7)/COUNTIFS('Weekly Log'!$G:$G,"&lt;&gt;",'Weekly Log'!$A:$A,"&gt;="&amp;$J1917,'Weekly Log'!$A:$A,"&lt;"&amp;$J1917+7),0))</f>
        <v/>
      </c>
      <c r="D1917">
        <f>IF($J1917="","",IFERROR(COUNTIFS('Weekly Log'!$H:$H,"Y",'Weekly Log'!$A:$A,"&gt;="&amp;$J1917,'Weekly Log'!$A:$A,"&lt;"&amp;$J1917+7)/COUNTIFS('Weekly Log'!$H:$H,"&lt;&gt;",'Weekly Log'!$A:$A,"&gt;="&amp;$J1917,'Weekly Log'!$A:$A,"&lt;"&amp;$J1917+7),0))</f>
        <v/>
      </c>
      <c r="E1917">
        <f>IF($J1917="","",IFERROR(AVERAGEIFS('Weekly Log'!$F:$F,'Weekly Log'!$A:$A,"&gt;="&amp;$J1917,'Weekly Log'!$A:$A,"&lt;"&amp;$J1917+7),0))</f>
        <v/>
      </c>
      <c r="F1917">
        <f>IF($J1917="","",IFERROR(SUMIFS('Weekly Log'!$F:$F,'Weekly Log'!$A:$A,"&gt;="&amp;$J1917,'Weekly Log'!$A:$A,"&lt;"&amp;$J1917+7)/SUMIFS('Weekly Log'!$E:$E,'Weekly Log'!$A:$A,"&gt;="&amp;$J1917,'Weekly Log'!$A:$A,"&lt;"&amp;$J1917+7),0))</f>
        <v/>
      </c>
      <c r="G1917">
        <f>IF($J1917="","",IFERROR(LOOKUP(2,1/(('Weekly Log'!$A$5:$A$5000&gt;=$J1917)*('Weekly Log'!$A$5:$A$5000&lt;$J1917+7)*('Weekly Log'!$M$5:$M$5000&lt;&gt;"")),'Weekly Log'!$M$5:$M$5000),0))</f>
        <v/>
      </c>
      <c r="J1917">
        <f>IF(COUNT('Weekly Log'!$A$5:$A$5000)=0,"",IF(MIN('Weekly Log'!$A$5:$A$5000)+7*(ROW()-10)&gt;MAX('Weekly Log'!$A$5:$A$5000),"",MIN('Weekly Log'!$A$5:$A$5000)+7*(ROW()-10)))</f>
        <v/>
      </c>
    </row>
    <row r="1918">
      <c r="A1918">
        <f>IF($J1918="","",YEAR($J1918-WEEKDAY($J1918,2)+4)&amp;"-W"&amp;TEXT(WEEKNUM($J1918,21),"00"))</f>
        <v/>
      </c>
      <c r="B1918">
        <f>IF($J1918="","",SUMIFS('Weekly Log'!$C:$C,'Weekly Log'!$A:$A,"&gt;="&amp;$J1918,'Weekly Log'!$A:$A,"&lt;"&amp;$J1918+7))</f>
        <v/>
      </c>
      <c r="C1918">
        <f>IF($J1918="","",IFERROR(COUNTIFS('Weekly Log'!$G:$G,"Y",'Weekly Log'!$A:$A,"&gt;="&amp;$J1918,'Weekly Log'!$A:$A,"&lt;"&amp;$J1918+7)/COUNTIFS('Weekly Log'!$G:$G,"&lt;&gt;",'Weekly Log'!$A:$A,"&gt;="&amp;$J1918,'Weekly Log'!$A:$A,"&lt;"&amp;$J1918+7),0))</f>
        <v/>
      </c>
      <c r="D1918">
        <f>IF($J1918="","",IFERROR(COUNTIFS('Weekly Log'!$H:$H,"Y",'Weekly Log'!$A:$A,"&gt;="&amp;$J1918,'Weekly Log'!$A:$A,"&lt;"&amp;$J1918+7)/COUNTIFS('Weekly Log'!$H:$H,"&lt;&gt;",'Weekly Log'!$A:$A,"&gt;="&amp;$J1918,'Weekly Log'!$A:$A,"&lt;"&amp;$J1918+7),0))</f>
        <v/>
      </c>
      <c r="E1918">
        <f>IF($J1918="","",IFERROR(AVERAGEIFS('Weekly Log'!$F:$F,'Weekly Log'!$A:$A,"&gt;="&amp;$J1918,'Weekly Log'!$A:$A,"&lt;"&amp;$J1918+7),0))</f>
        <v/>
      </c>
      <c r="F1918">
        <f>IF($J1918="","",IFERROR(SUMIFS('Weekly Log'!$F:$F,'Weekly Log'!$A:$A,"&gt;="&amp;$J1918,'Weekly Log'!$A:$A,"&lt;"&amp;$J1918+7)/SUMIFS('Weekly Log'!$E:$E,'Weekly Log'!$A:$A,"&gt;="&amp;$J1918,'Weekly Log'!$A:$A,"&lt;"&amp;$J1918+7),0))</f>
        <v/>
      </c>
      <c r="G1918">
        <f>IF($J1918="","",IFERROR(LOOKUP(2,1/(('Weekly Log'!$A$5:$A$5000&gt;=$J1918)*('Weekly Log'!$A$5:$A$5000&lt;$J1918+7)*('Weekly Log'!$M$5:$M$5000&lt;&gt;"")),'Weekly Log'!$M$5:$M$5000),0))</f>
        <v/>
      </c>
      <c r="J1918">
        <f>IF(COUNT('Weekly Log'!$A$5:$A$5000)=0,"",IF(MIN('Weekly Log'!$A$5:$A$5000)+7*(ROW()-10)&gt;MAX('Weekly Log'!$A$5:$A$5000),"",MIN('Weekly Log'!$A$5:$A$5000)+7*(ROW()-10)))</f>
        <v/>
      </c>
    </row>
    <row r="1919">
      <c r="A1919">
        <f>IF($J1919="","",YEAR($J1919-WEEKDAY($J1919,2)+4)&amp;"-W"&amp;TEXT(WEEKNUM($J1919,21),"00"))</f>
        <v/>
      </c>
      <c r="B1919">
        <f>IF($J1919="","",SUMIFS('Weekly Log'!$C:$C,'Weekly Log'!$A:$A,"&gt;="&amp;$J1919,'Weekly Log'!$A:$A,"&lt;"&amp;$J1919+7))</f>
        <v/>
      </c>
      <c r="C1919">
        <f>IF($J1919="","",IFERROR(COUNTIFS('Weekly Log'!$G:$G,"Y",'Weekly Log'!$A:$A,"&gt;="&amp;$J1919,'Weekly Log'!$A:$A,"&lt;"&amp;$J1919+7)/COUNTIFS('Weekly Log'!$G:$G,"&lt;&gt;",'Weekly Log'!$A:$A,"&gt;="&amp;$J1919,'Weekly Log'!$A:$A,"&lt;"&amp;$J1919+7),0))</f>
        <v/>
      </c>
      <c r="D1919">
        <f>IF($J1919="","",IFERROR(COUNTIFS('Weekly Log'!$H:$H,"Y",'Weekly Log'!$A:$A,"&gt;="&amp;$J1919,'Weekly Log'!$A:$A,"&lt;"&amp;$J1919+7)/COUNTIFS('Weekly Log'!$H:$H,"&lt;&gt;",'Weekly Log'!$A:$A,"&gt;="&amp;$J1919,'Weekly Log'!$A:$A,"&lt;"&amp;$J1919+7),0))</f>
        <v/>
      </c>
      <c r="E1919">
        <f>IF($J1919="","",IFERROR(AVERAGEIFS('Weekly Log'!$F:$F,'Weekly Log'!$A:$A,"&gt;="&amp;$J1919,'Weekly Log'!$A:$A,"&lt;"&amp;$J1919+7),0))</f>
        <v/>
      </c>
      <c r="F1919">
        <f>IF($J1919="","",IFERROR(SUMIFS('Weekly Log'!$F:$F,'Weekly Log'!$A:$A,"&gt;="&amp;$J1919,'Weekly Log'!$A:$A,"&lt;"&amp;$J1919+7)/SUMIFS('Weekly Log'!$E:$E,'Weekly Log'!$A:$A,"&gt;="&amp;$J1919,'Weekly Log'!$A:$A,"&lt;"&amp;$J1919+7),0))</f>
        <v/>
      </c>
      <c r="G1919">
        <f>IF($J1919="","",IFERROR(LOOKUP(2,1/(('Weekly Log'!$A$5:$A$5000&gt;=$J1919)*('Weekly Log'!$A$5:$A$5000&lt;$J1919+7)*('Weekly Log'!$M$5:$M$5000&lt;&gt;"")),'Weekly Log'!$M$5:$M$5000),0))</f>
        <v/>
      </c>
      <c r="J1919">
        <f>IF(COUNT('Weekly Log'!$A$5:$A$5000)=0,"",IF(MIN('Weekly Log'!$A$5:$A$5000)+7*(ROW()-10)&gt;MAX('Weekly Log'!$A$5:$A$5000),"",MIN('Weekly Log'!$A$5:$A$5000)+7*(ROW()-10)))</f>
        <v/>
      </c>
    </row>
    <row r="1920">
      <c r="A1920">
        <f>IF($J1920="","",YEAR($J1920-WEEKDAY($J1920,2)+4)&amp;"-W"&amp;TEXT(WEEKNUM($J1920,21),"00"))</f>
        <v/>
      </c>
      <c r="B1920">
        <f>IF($J1920="","",SUMIFS('Weekly Log'!$C:$C,'Weekly Log'!$A:$A,"&gt;="&amp;$J1920,'Weekly Log'!$A:$A,"&lt;"&amp;$J1920+7))</f>
        <v/>
      </c>
      <c r="C1920">
        <f>IF($J1920="","",IFERROR(COUNTIFS('Weekly Log'!$G:$G,"Y",'Weekly Log'!$A:$A,"&gt;="&amp;$J1920,'Weekly Log'!$A:$A,"&lt;"&amp;$J1920+7)/COUNTIFS('Weekly Log'!$G:$G,"&lt;&gt;",'Weekly Log'!$A:$A,"&gt;="&amp;$J1920,'Weekly Log'!$A:$A,"&lt;"&amp;$J1920+7),0))</f>
        <v/>
      </c>
      <c r="D1920">
        <f>IF($J1920="","",IFERROR(COUNTIFS('Weekly Log'!$H:$H,"Y",'Weekly Log'!$A:$A,"&gt;="&amp;$J1920,'Weekly Log'!$A:$A,"&lt;"&amp;$J1920+7)/COUNTIFS('Weekly Log'!$H:$H,"&lt;&gt;",'Weekly Log'!$A:$A,"&gt;="&amp;$J1920,'Weekly Log'!$A:$A,"&lt;"&amp;$J1920+7),0))</f>
        <v/>
      </c>
      <c r="E1920">
        <f>IF($J1920="","",IFERROR(AVERAGEIFS('Weekly Log'!$F:$F,'Weekly Log'!$A:$A,"&gt;="&amp;$J1920,'Weekly Log'!$A:$A,"&lt;"&amp;$J1920+7),0))</f>
        <v/>
      </c>
      <c r="F1920">
        <f>IF($J1920="","",IFERROR(SUMIFS('Weekly Log'!$F:$F,'Weekly Log'!$A:$A,"&gt;="&amp;$J1920,'Weekly Log'!$A:$A,"&lt;"&amp;$J1920+7)/SUMIFS('Weekly Log'!$E:$E,'Weekly Log'!$A:$A,"&gt;="&amp;$J1920,'Weekly Log'!$A:$A,"&lt;"&amp;$J1920+7),0))</f>
        <v/>
      </c>
      <c r="G1920">
        <f>IF($J1920="","",IFERROR(LOOKUP(2,1/(('Weekly Log'!$A$5:$A$5000&gt;=$J1920)*('Weekly Log'!$A$5:$A$5000&lt;$J1920+7)*('Weekly Log'!$M$5:$M$5000&lt;&gt;"")),'Weekly Log'!$M$5:$M$5000),0))</f>
        <v/>
      </c>
      <c r="J1920">
        <f>IF(COUNT('Weekly Log'!$A$5:$A$5000)=0,"",IF(MIN('Weekly Log'!$A$5:$A$5000)+7*(ROW()-10)&gt;MAX('Weekly Log'!$A$5:$A$5000),"",MIN('Weekly Log'!$A$5:$A$5000)+7*(ROW()-10)))</f>
        <v/>
      </c>
    </row>
    <row r="1921">
      <c r="A1921">
        <f>IF($J1921="","",YEAR($J1921-WEEKDAY($J1921,2)+4)&amp;"-W"&amp;TEXT(WEEKNUM($J1921,21),"00"))</f>
        <v/>
      </c>
      <c r="B1921">
        <f>IF($J1921="","",SUMIFS('Weekly Log'!$C:$C,'Weekly Log'!$A:$A,"&gt;="&amp;$J1921,'Weekly Log'!$A:$A,"&lt;"&amp;$J1921+7))</f>
        <v/>
      </c>
      <c r="C1921">
        <f>IF($J1921="","",IFERROR(COUNTIFS('Weekly Log'!$G:$G,"Y",'Weekly Log'!$A:$A,"&gt;="&amp;$J1921,'Weekly Log'!$A:$A,"&lt;"&amp;$J1921+7)/COUNTIFS('Weekly Log'!$G:$G,"&lt;&gt;",'Weekly Log'!$A:$A,"&gt;="&amp;$J1921,'Weekly Log'!$A:$A,"&lt;"&amp;$J1921+7),0))</f>
        <v/>
      </c>
      <c r="D1921">
        <f>IF($J1921="","",IFERROR(COUNTIFS('Weekly Log'!$H:$H,"Y",'Weekly Log'!$A:$A,"&gt;="&amp;$J1921,'Weekly Log'!$A:$A,"&lt;"&amp;$J1921+7)/COUNTIFS('Weekly Log'!$H:$H,"&lt;&gt;",'Weekly Log'!$A:$A,"&gt;="&amp;$J1921,'Weekly Log'!$A:$A,"&lt;"&amp;$J1921+7),0))</f>
        <v/>
      </c>
      <c r="E1921">
        <f>IF($J1921="","",IFERROR(AVERAGEIFS('Weekly Log'!$F:$F,'Weekly Log'!$A:$A,"&gt;="&amp;$J1921,'Weekly Log'!$A:$A,"&lt;"&amp;$J1921+7),0))</f>
        <v/>
      </c>
      <c r="F1921">
        <f>IF($J1921="","",IFERROR(SUMIFS('Weekly Log'!$F:$F,'Weekly Log'!$A:$A,"&gt;="&amp;$J1921,'Weekly Log'!$A:$A,"&lt;"&amp;$J1921+7)/SUMIFS('Weekly Log'!$E:$E,'Weekly Log'!$A:$A,"&gt;="&amp;$J1921,'Weekly Log'!$A:$A,"&lt;"&amp;$J1921+7),0))</f>
        <v/>
      </c>
      <c r="G1921">
        <f>IF($J1921="","",IFERROR(LOOKUP(2,1/(('Weekly Log'!$A$5:$A$5000&gt;=$J1921)*('Weekly Log'!$A$5:$A$5000&lt;$J1921+7)*('Weekly Log'!$M$5:$M$5000&lt;&gt;"")),'Weekly Log'!$M$5:$M$5000),0))</f>
        <v/>
      </c>
      <c r="J1921">
        <f>IF(COUNT('Weekly Log'!$A$5:$A$5000)=0,"",IF(MIN('Weekly Log'!$A$5:$A$5000)+7*(ROW()-10)&gt;MAX('Weekly Log'!$A$5:$A$5000),"",MIN('Weekly Log'!$A$5:$A$5000)+7*(ROW()-10)))</f>
        <v/>
      </c>
    </row>
    <row r="1922">
      <c r="A1922">
        <f>IF($J1922="","",YEAR($J1922-WEEKDAY($J1922,2)+4)&amp;"-W"&amp;TEXT(WEEKNUM($J1922,21),"00"))</f>
        <v/>
      </c>
      <c r="B1922">
        <f>IF($J1922="","",SUMIFS('Weekly Log'!$C:$C,'Weekly Log'!$A:$A,"&gt;="&amp;$J1922,'Weekly Log'!$A:$A,"&lt;"&amp;$J1922+7))</f>
        <v/>
      </c>
      <c r="C1922">
        <f>IF($J1922="","",IFERROR(COUNTIFS('Weekly Log'!$G:$G,"Y",'Weekly Log'!$A:$A,"&gt;="&amp;$J1922,'Weekly Log'!$A:$A,"&lt;"&amp;$J1922+7)/COUNTIFS('Weekly Log'!$G:$G,"&lt;&gt;",'Weekly Log'!$A:$A,"&gt;="&amp;$J1922,'Weekly Log'!$A:$A,"&lt;"&amp;$J1922+7),0))</f>
        <v/>
      </c>
      <c r="D1922">
        <f>IF($J1922="","",IFERROR(COUNTIFS('Weekly Log'!$H:$H,"Y",'Weekly Log'!$A:$A,"&gt;="&amp;$J1922,'Weekly Log'!$A:$A,"&lt;"&amp;$J1922+7)/COUNTIFS('Weekly Log'!$H:$H,"&lt;&gt;",'Weekly Log'!$A:$A,"&gt;="&amp;$J1922,'Weekly Log'!$A:$A,"&lt;"&amp;$J1922+7),0))</f>
        <v/>
      </c>
      <c r="E1922">
        <f>IF($J1922="","",IFERROR(AVERAGEIFS('Weekly Log'!$F:$F,'Weekly Log'!$A:$A,"&gt;="&amp;$J1922,'Weekly Log'!$A:$A,"&lt;"&amp;$J1922+7),0))</f>
        <v/>
      </c>
      <c r="F1922">
        <f>IF($J1922="","",IFERROR(SUMIFS('Weekly Log'!$F:$F,'Weekly Log'!$A:$A,"&gt;="&amp;$J1922,'Weekly Log'!$A:$A,"&lt;"&amp;$J1922+7)/SUMIFS('Weekly Log'!$E:$E,'Weekly Log'!$A:$A,"&gt;="&amp;$J1922,'Weekly Log'!$A:$A,"&lt;"&amp;$J1922+7),0))</f>
        <v/>
      </c>
      <c r="G1922">
        <f>IF($J1922="","",IFERROR(LOOKUP(2,1/(('Weekly Log'!$A$5:$A$5000&gt;=$J1922)*('Weekly Log'!$A$5:$A$5000&lt;$J1922+7)*('Weekly Log'!$M$5:$M$5000&lt;&gt;"")),'Weekly Log'!$M$5:$M$5000),0))</f>
        <v/>
      </c>
      <c r="J1922">
        <f>IF(COUNT('Weekly Log'!$A$5:$A$5000)=0,"",IF(MIN('Weekly Log'!$A$5:$A$5000)+7*(ROW()-10)&gt;MAX('Weekly Log'!$A$5:$A$5000),"",MIN('Weekly Log'!$A$5:$A$5000)+7*(ROW()-10)))</f>
        <v/>
      </c>
    </row>
    <row r="1923">
      <c r="A1923">
        <f>IF($J1923="","",YEAR($J1923-WEEKDAY($J1923,2)+4)&amp;"-W"&amp;TEXT(WEEKNUM($J1923,21),"00"))</f>
        <v/>
      </c>
      <c r="B1923">
        <f>IF($J1923="","",SUMIFS('Weekly Log'!$C:$C,'Weekly Log'!$A:$A,"&gt;="&amp;$J1923,'Weekly Log'!$A:$A,"&lt;"&amp;$J1923+7))</f>
        <v/>
      </c>
      <c r="C1923">
        <f>IF($J1923="","",IFERROR(COUNTIFS('Weekly Log'!$G:$G,"Y",'Weekly Log'!$A:$A,"&gt;="&amp;$J1923,'Weekly Log'!$A:$A,"&lt;"&amp;$J1923+7)/COUNTIFS('Weekly Log'!$G:$G,"&lt;&gt;",'Weekly Log'!$A:$A,"&gt;="&amp;$J1923,'Weekly Log'!$A:$A,"&lt;"&amp;$J1923+7),0))</f>
        <v/>
      </c>
      <c r="D1923">
        <f>IF($J1923="","",IFERROR(COUNTIFS('Weekly Log'!$H:$H,"Y",'Weekly Log'!$A:$A,"&gt;="&amp;$J1923,'Weekly Log'!$A:$A,"&lt;"&amp;$J1923+7)/COUNTIFS('Weekly Log'!$H:$H,"&lt;&gt;",'Weekly Log'!$A:$A,"&gt;="&amp;$J1923,'Weekly Log'!$A:$A,"&lt;"&amp;$J1923+7),0))</f>
        <v/>
      </c>
      <c r="E1923">
        <f>IF($J1923="","",IFERROR(AVERAGEIFS('Weekly Log'!$F:$F,'Weekly Log'!$A:$A,"&gt;="&amp;$J1923,'Weekly Log'!$A:$A,"&lt;"&amp;$J1923+7),0))</f>
        <v/>
      </c>
      <c r="F1923">
        <f>IF($J1923="","",IFERROR(SUMIFS('Weekly Log'!$F:$F,'Weekly Log'!$A:$A,"&gt;="&amp;$J1923,'Weekly Log'!$A:$A,"&lt;"&amp;$J1923+7)/SUMIFS('Weekly Log'!$E:$E,'Weekly Log'!$A:$A,"&gt;="&amp;$J1923,'Weekly Log'!$A:$A,"&lt;"&amp;$J1923+7),0))</f>
        <v/>
      </c>
      <c r="G1923">
        <f>IF($J1923="","",IFERROR(LOOKUP(2,1/(('Weekly Log'!$A$5:$A$5000&gt;=$J1923)*('Weekly Log'!$A$5:$A$5000&lt;$J1923+7)*('Weekly Log'!$M$5:$M$5000&lt;&gt;"")),'Weekly Log'!$M$5:$M$5000),0))</f>
        <v/>
      </c>
      <c r="J1923">
        <f>IF(COUNT('Weekly Log'!$A$5:$A$5000)=0,"",IF(MIN('Weekly Log'!$A$5:$A$5000)+7*(ROW()-10)&gt;MAX('Weekly Log'!$A$5:$A$5000),"",MIN('Weekly Log'!$A$5:$A$5000)+7*(ROW()-10)))</f>
        <v/>
      </c>
    </row>
    <row r="1924">
      <c r="A1924">
        <f>IF($J1924="","",YEAR($J1924-WEEKDAY($J1924,2)+4)&amp;"-W"&amp;TEXT(WEEKNUM($J1924,21),"00"))</f>
        <v/>
      </c>
      <c r="B1924">
        <f>IF($J1924="","",SUMIFS('Weekly Log'!$C:$C,'Weekly Log'!$A:$A,"&gt;="&amp;$J1924,'Weekly Log'!$A:$A,"&lt;"&amp;$J1924+7))</f>
        <v/>
      </c>
      <c r="C1924">
        <f>IF($J1924="","",IFERROR(COUNTIFS('Weekly Log'!$G:$G,"Y",'Weekly Log'!$A:$A,"&gt;="&amp;$J1924,'Weekly Log'!$A:$A,"&lt;"&amp;$J1924+7)/COUNTIFS('Weekly Log'!$G:$G,"&lt;&gt;",'Weekly Log'!$A:$A,"&gt;="&amp;$J1924,'Weekly Log'!$A:$A,"&lt;"&amp;$J1924+7),0))</f>
        <v/>
      </c>
      <c r="D1924">
        <f>IF($J1924="","",IFERROR(COUNTIFS('Weekly Log'!$H:$H,"Y",'Weekly Log'!$A:$A,"&gt;="&amp;$J1924,'Weekly Log'!$A:$A,"&lt;"&amp;$J1924+7)/COUNTIFS('Weekly Log'!$H:$H,"&lt;&gt;",'Weekly Log'!$A:$A,"&gt;="&amp;$J1924,'Weekly Log'!$A:$A,"&lt;"&amp;$J1924+7),0))</f>
        <v/>
      </c>
      <c r="E1924">
        <f>IF($J1924="","",IFERROR(AVERAGEIFS('Weekly Log'!$F:$F,'Weekly Log'!$A:$A,"&gt;="&amp;$J1924,'Weekly Log'!$A:$A,"&lt;"&amp;$J1924+7),0))</f>
        <v/>
      </c>
      <c r="F1924">
        <f>IF($J1924="","",IFERROR(SUMIFS('Weekly Log'!$F:$F,'Weekly Log'!$A:$A,"&gt;="&amp;$J1924,'Weekly Log'!$A:$A,"&lt;"&amp;$J1924+7)/SUMIFS('Weekly Log'!$E:$E,'Weekly Log'!$A:$A,"&gt;="&amp;$J1924,'Weekly Log'!$A:$A,"&lt;"&amp;$J1924+7),0))</f>
        <v/>
      </c>
      <c r="G1924">
        <f>IF($J1924="","",IFERROR(LOOKUP(2,1/(('Weekly Log'!$A$5:$A$5000&gt;=$J1924)*('Weekly Log'!$A$5:$A$5000&lt;$J1924+7)*('Weekly Log'!$M$5:$M$5000&lt;&gt;"")),'Weekly Log'!$M$5:$M$5000),0))</f>
        <v/>
      </c>
      <c r="J1924">
        <f>IF(COUNT('Weekly Log'!$A$5:$A$5000)=0,"",IF(MIN('Weekly Log'!$A$5:$A$5000)+7*(ROW()-10)&gt;MAX('Weekly Log'!$A$5:$A$5000),"",MIN('Weekly Log'!$A$5:$A$5000)+7*(ROW()-10)))</f>
        <v/>
      </c>
    </row>
    <row r="1925">
      <c r="A1925">
        <f>IF($J1925="","",YEAR($J1925-WEEKDAY($J1925,2)+4)&amp;"-W"&amp;TEXT(WEEKNUM($J1925,21),"00"))</f>
        <v/>
      </c>
      <c r="B1925">
        <f>IF($J1925="","",SUMIFS('Weekly Log'!$C:$C,'Weekly Log'!$A:$A,"&gt;="&amp;$J1925,'Weekly Log'!$A:$A,"&lt;"&amp;$J1925+7))</f>
        <v/>
      </c>
      <c r="C1925">
        <f>IF($J1925="","",IFERROR(COUNTIFS('Weekly Log'!$G:$G,"Y",'Weekly Log'!$A:$A,"&gt;="&amp;$J1925,'Weekly Log'!$A:$A,"&lt;"&amp;$J1925+7)/COUNTIFS('Weekly Log'!$G:$G,"&lt;&gt;",'Weekly Log'!$A:$A,"&gt;="&amp;$J1925,'Weekly Log'!$A:$A,"&lt;"&amp;$J1925+7),0))</f>
        <v/>
      </c>
      <c r="D1925">
        <f>IF($J1925="","",IFERROR(COUNTIFS('Weekly Log'!$H:$H,"Y",'Weekly Log'!$A:$A,"&gt;="&amp;$J1925,'Weekly Log'!$A:$A,"&lt;"&amp;$J1925+7)/COUNTIFS('Weekly Log'!$H:$H,"&lt;&gt;",'Weekly Log'!$A:$A,"&gt;="&amp;$J1925,'Weekly Log'!$A:$A,"&lt;"&amp;$J1925+7),0))</f>
        <v/>
      </c>
      <c r="E1925">
        <f>IF($J1925="","",IFERROR(AVERAGEIFS('Weekly Log'!$F:$F,'Weekly Log'!$A:$A,"&gt;="&amp;$J1925,'Weekly Log'!$A:$A,"&lt;"&amp;$J1925+7),0))</f>
        <v/>
      </c>
      <c r="F1925">
        <f>IF($J1925="","",IFERROR(SUMIFS('Weekly Log'!$F:$F,'Weekly Log'!$A:$A,"&gt;="&amp;$J1925,'Weekly Log'!$A:$A,"&lt;"&amp;$J1925+7)/SUMIFS('Weekly Log'!$E:$E,'Weekly Log'!$A:$A,"&gt;="&amp;$J1925,'Weekly Log'!$A:$A,"&lt;"&amp;$J1925+7),0))</f>
        <v/>
      </c>
      <c r="G1925">
        <f>IF($J1925="","",IFERROR(LOOKUP(2,1/(('Weekly Log'!$A$5:$A$5000&gt;=$J1925)*('Weekly Log'!$A$5:$A$5000&lt;$J1925+7)*('Weekly Log'!$M$5:$M$5000&lt;&gt;"")),'Weekly Log'!$M$5:$M$5000),0))</f>
        <v/>
      </c>
      <c r="J1925">
        <f>IF(COUNT('Weekly Log'!$A$5:$A$5000)=0,"",IF(MIN('Weekly Log'!$A$5:$A$5000)+7*(ROW()-10)&gt;MAX('Weekly Log'!$A$5:$A$5000),"",MIN('Weekly Log'!$A$5:$A$5000)+7*(ROW()-10)))</f>
        <v/>
      </c>
    </row>
    <row r="1926">
      <c r="A1926">
        <f>IF($J1926="","",YEAR($J1926-WEEKDAY($J1926,2)+4)&amp;"-W"&amp;TEXT(WEEKNUM($J1926,21),"00"))</f>
        <v/>
      </c>
      <c r="B1926">
        <f>IF($J1926="","",SUMIFS('Weekly Log'!$C:$C,'Weekly Log'!$A:$A,"&gt;="&amp;$J1926,'Weekly Log'!$A:$A,"&lt;"&amp;$J1926+7))</f>
        <v/>
      </c>
      <c r="C1926">
        <f>IF($J1926="","",IFERROR(COUNTIFS('Weekly Log'!$G:$G,"Y",'Weekly Log'!$A:$A,"&gt;="&amp;$J1926,'Weekly Log'!$A:$A,"&lt;"&amp;$J1926+7)/COUNTIFS('Weekly Log'!$G:$G,"&lt;&gt;",'Weekly Log'!$A:$A,"&gt;="&amp;$J1926,'Weekly Log'!$A:$A,"&lt;"&amp;$J1926+7),0))</f>
        <v/>
      </c>
      <c r="D1926">
        <f>IF($J1926="","",IFERROR(COUNTIFS('Weekly Log'!$H:$H,"Y",'Weekly Log'!$A:$A,"&gt;="&amp;$J1926,'Weekly Log'!$A:$A,"&lt;"&amp;$J1926+7)/COUNTIFS('Weekly Log'!$H:$H,"&lt;&gt;",'Weekly Log'!$A:$A,"&gt;="&amp;$J1926,'Weekly Log'!$A:$A,"&lt;"&amp;$J1926+7),0))</f>
        <v/>
      </c>
      <c r="E1926">
        <f>IF($J1926="","",IFERROR(AVERAGEIFS('Weekly Log'!$F:$F,'Weekly Log'!$A:$A,"&gt;="&amp;$J1926,'Weekly Log'!$A:$A,"&lt;"&amp;$J1926+7),0))</f>
        <v/>
      </c>
      <c r="F1926">
        <f>IF($J1926="","",IFERROR(SUMIFS('Weekly Log'!$F:$F,'Weekly Log'!$A:$A,"&gt;="&amp;$J1926,'Weekly Log'!$A:$A,"&lt;"&amp;$J1926+7)/SUMIFS('Weekly Log'!$E:$E,'Weekly Log'!$A:$A,"&gt;="&amp;$J1926,'Weekly Log'!$A:$A,"&lt;"&amp;$J1926+7),0))</f>
        <v/>
      </c>
      <c r="G1926">
        <f>IF($J1926="","",IFERROR(LOOKUP(2,1/(('Weekly Log'!$A$5:$A$5000&gt;=$J1926)*('Weekly Log'!$A$5:$A$5000&lt;$J1926+7)*('Weekly Log'!$M$5:$M$5000&lt;&gt;"")),'Weekly Log'!$M$5:$M$5000),0))</f>
        <v/>
      </c>
      <c r="J1926">
        <f>IF(COUNT('Weekly Log'!$A$5:$A$5000)=0,"",IF(MIN('Weekly Log'!$A$5:$A$5000)+7*(ROW()-10)&gt;MAX('Weekly Log'!$A$5:$A$5000),"",MIN('Weekly Log'!$A$5:$A$5000)+7*(ROW()-10)))</f>
        <v/>
      </c>
    </row>
    <row r="1927">
      <c r="A1927">
        <f>IF($J1927="","",YEAR($J1927-WEEKDAY($J1927,2)+4)&amp;"-W"&amp;TEXT(WEEKNUM($J1927,21),"00"))</f>
        <v/>
      </c>
      <c r="B1927">
        <f>IF($J1927="","",SUMIFS('Weekly Log'!$C:$C,'Weekly Log'!$A:$A,"&gt;="&amp;$J1927,'Weekly Log'!$A:$A,"&lt;"&amp;$J1927+7))</f>
        <v/>
      </c>
      <c r="C1927">
        <f>IF($J1927="","",IFERROR(COUNTIFS('Weekly Log'!$G:$G,"Y",'Weekly Log'!$A:$A,"&gt;="&amp;$J1927,'Weekly Log'!$A:$A,"&lt;"&amp;$J1927+7)/COUNTIFS('Weekly Log'!$G:$G,"&lt;&gt;",'Weekly Log'!$A:$A,"&gt;="&amp;$J1927,'Weekly Log'!$A:$A,"&lt;"&amp;$J1927+7),0))</f>
        <v/>
      </c>
      <c r="D1927">
        <f>IF($J1927="","",IFERROR(COUNTIFS('Weekly Log'!$H:$H,"Y",'Weekly Log'!$A:$A,"&gt;="&amp;$J1927,'Weekly Log'!$A:$A,"&lt;"&amp;$J1927+7)/COUNTIFS('Weekly Log'!$H:$H,"&lt;&gt;",'Weekly Log'!$A:$A,"&gt;="&amp;$J1927,'Weekly Log'!$A:$A,"&lt;"&amp;$J1927+7),0))</f>
        <v/>
      </c>
      <c r="E1927">
        <f>IF($J1927="","",IFERROR(AVERAGEIFS('Weekly Log'!$F:$F,'Weekly Log'!$A:$A,"&gt;="&amp;$J1927,'Weekly Log'!$A:$A,"&lt;"&amp;$J1927+7),0))</f>
        <v/>
      </c>
      <c r="F1927">
        <f>IF($J1927="","",IFERROR(SUMIFS('Weekly Log'!$F:$F,'Weekly Log'!$A:$A,"&gt;="&amp;$J1927,'Weekly Log'!$A:$A,"&lt;"&amp;$J1927+7)/SUMIFS('Weekly Log'!$E:$E,'Weekly Log'!$A:$A,"&gt;="&amp;$J1927,'Weekly Log'!$A:$A,"&lt;"&amp;$J1927+7),0))</f>
        <v/>
      </c>
      <c r="G1927">
        <f>IF($J1927="","",IFERROR(LOOKUP(2,1/(('Weekly Log'!$A$5:$A$5000&gt;=$J1927)*('Weekly Log'!$A$5:$A$5000&lt;$J1927+7)*('Weekly Log'!$M$5:$M$5000&lt;&gt;"")),'Weekly Log'!$M$5:$M$5000),0))</f>
        <v/>
      </c>
      <c r="J1927">
        <f>IF(COUNT('Weekly Log'!$A$5:$A$5000)=0,"",IF(MIN('Weekly Log'!$A$5:$A$5000)+7*(ROW()-10)&gt;MAX('Weekly Log'!$A$5:$A$5000),"",MIN('Weekly Log'!$A$5:$A$5000)+7*(ROW()-10)))</f>
        <v/>
      </c>
    </row>
    <row r="1928">
      <c r="A1928">
        <f>IF($J1928="","",YEAR($J1928-WEEKDAY($J1928,2)+4)&amp;"-W"&amp;TEXT(WEEKNUM($J1928,21),"00"))</f>
        <v/>
      </c>
      <c r="B1928">
        <f>IF($J1928="","",SUMIFS('Weekly Log'!$C:$C,'Weekly Log'!$A:$A,"&gt;="&amp;$J1928,'Weekly Log'!$A:$A,"&lt;"&amp;$J1928+7))</f>
        <v/>
      </c>
      <c r="C1928">
        <f>IF($J1928="","",IFERROR(COUNTIFS('Weekly Log'!$G:$G,"Y",'Weekly Log'!$A:$A,"&gt;="&amp;$J1928,'Weekly Log'!$A:$A,"&lt;"&amp;$J1928+7)/COUNTIFS('Weekly Log'!$G:$G,"&lt;&gt;",'Weekly Log'!$A:$A,"&gt;="&amp;$J1928,'Weekly Log'!$A:$A,"&lt;"&amp;$J1928+7),0))</f>
        <v/>
      </c>
      <c r="D1928">
        <f>IF($J1928="","",IFERROR(COUNTIFS('Weekly Log'!$H:$H,"Y",'Weekly Log'!$A:$A,"&gt;="&amp;$J1928,'Weekly Log'!$A:$A,"&lt;"&amp;$J1928+7)/COUNTIFS('Weekly Log'!$H:$H,"&lt;&gt;",'Weekly Log'!$A:$A,"&gt;="&amp;$J1928,'Weekly Log'!$A:$A,"&lt;"&amp;$J1928+7),0))</f>
        <v/>
      </c>
      <c r="E1928">
        <f>IF($J1928="","",IFERROR(AVERAGEIFS('Weekly Log'!$F:$F,'Weekly Log'!$A:$A,"&gt;="&amp;$J1928,'Weekly Log'!$A:$A,"&lt;"&amp;$J1928+7),0))</f>
        <v/>
      </c>
      <c r="F1928">
        <f>IF($J1928="","",IFERROR(SUMIFS('Weekly Log'!$F:$F,'Weekly Log'!$A:$A,"&gt;="&amp;$J1928,'Weekly Log'!$A:$A,"&lt;"&amp;$J1928+7)/SUMIFS('Weekly Log'!$E:$E,'Weekly Log'!$A:$A,"&gt;="&amp;$J1928,'Weekly Log'!$A:$A,"&lt;"&amp;$J1928+7),0))</f>
        <v/>
      </c>
      <c r="G1928">
        <f>IF($J1928="","",IFERROR(LOOKUP(2,1/(('Weekly Log'!$A$5:$A$5000&gt;=$J1928)*('Weekly Log'!$A$5:$A$5000&lt;$J1928+7)*('Weekly Log'!$M$5:$M$5000&lt;&gt;"")),'Weekly Log'!$M$5:$M$5000),0))</f>
        <v/>
      </c>
      <c r="J1928">
        <f>IF(COUNT('Weekly Log'!$A$5:$A$5000)=0,"",IF(MIN('Weekly Log'!$A$5:$A$5000)+7*(ROW()-10)&gt;MAX('Weekly Log'!$A$5:$A$5000),"",MIN('Weekly Log'!$A$5:$A$5000)+7*(ROW()-10)))</f>
        <v/>
      </c>
    </row>
    <row r="1929">
      <c r="A1929">
        <f>IF($J1929="","",YEAR($J1929-WEEKDAY($J1929,2)+4)&amp;"-W"&amp;TEXT(WEEKNUM($J1929,21),"00"))</f>
        <v/>
      </c>
      <c r="B1929">
        <f>IF($J1929="","",SUMIFS('Weekly Log'!$C:$C,'Weekly Log'!$A:$A,"&gt;="&amp;$J1929,'Weekly Log'!$A:$A,"&lt;"&amp;$J1929+7))</f>
        <v/>
      </c>
      <c r="C1929">
        <f>IF($J1929="","",IFERROR(COUNTIFS('Weekly Log'!$G:$G,"Y",'Weekly Log'!$A:$A,"&gt;="&amp;$J1929,'Weekly Log'!$A:$A,"&lt;"&amp;$J1929+7)/COUNTIFS('Weekly Log'!$G:$G,"&lt;&gt;",'Weekly Log'!$A:$A,"&gt;="&amp;$J1929,'Weekly Log'!$A:$A,"&lt;"&amp;$J1929+7),0))</f>
        <v/>
      </c>
      <c r="D1929">
        <f>IF($J1929="","",IFERROR(COUNTIFS('Weekly Log'!$H:$H,"Y",'Weekly Log'!$A:$A,"&gt;="&amp;$J1929,'Weekly Log'!$A:$A,"&lt;"&amp;$J1929+7)/COUNTIFS('Weekly Log'!$H:$H,"&lt;&gt;",'Weekly Log'!$A:$A,"&gt;="&amp;$J1929,'Weekly Log'!$A:$A,"&lt;"&amp;$J1929+7),0))</f>
        <v/>
      </c>
      <c r="E1929">
        <f>IF($J1929="","",IFERROR(AVERAGEIFS('Weekly Log'!$F:$F,'Weekly Log'!$A:$A,"&gt;="&amp;$J1929,'Weekly Log'!$A:$A,"&lt;"&amp;$J1929+7),0))</f>
        <v/>
      </c>
      <c r="F1929">
        <f>IF($J1929="","",IFERROR(SUMIFS('Weekly Log'!$F:$F,'Weekly Log'!$A:$A,"&gt;="&amp;$J1929,'Weekly Log'!$A:$A,"&lt;"&amp;$J1929+7)/SUMIFS('Weekly Log'!$E:$E,'Weekly Log'!$A:$A,"&gt;="&amp;$J1929,'Weekly Log'!$A:$A,"&lt;"&amp;$J1929+7),0))</f>
        <v/>
      </c>
      <c r="G1929">
        <f>IF($J1929="","",IFERROR(LOOKUP(2,1/(('Weekly Log'!$A$5:$A$5000&gt;=$J1929)*('Weekly Log'!$A$5:$A$5000&lt;$J1929+7)*('Weekly Log'!$M$5:$M$5000&lt;&gt;"")),'Weekly Log'!$M$5:$M$5000),0))</f>
        <v/>
      </c>
      <c r="J1929">
        <f>IF(COUNT('Weekly Log'!$A$5:$A$5000)=0,"",IF(MIN('Weekly Log'!$A$5:$A$5000)+7*(ROW()-10)&gt;MAX('Weekly Log'!$A$5:$A$5000),"",MIN('Weekly Log'!$A$5:$A$5000)+7*(ROW()-10)))</f>
        <v/>
      </c>
    </row>
    <row r="1930">
      <c r="A1930">
        <f>IF($J1930="","",YEAR($J1930-WEEKDAY($J1930,2)+4)&amp;"-W"&amp;TEXT(WEEKNUM($J1930,21),"00"))</f>
        <v/>
      </c>
      <c r="B1930">
        <f>IF($J1930="","",SUMIFS('Weekly Log'!$C:$C,'Weekly Log'!$A:$A,"&gt;="&amp;$J1930,'Weekly Log'!$A:$A,"&lt;"&amp;$J1930+7))</f>
        <v/>
      </c>
      <c r="C1930">
        <f>IF($J1930="","",IFERROR(COUNTIFS('Weekly Log'!$G:$G,"Y",'Weekly Log'!$A:$A,"&gt;="&amp;$J1930,'Weekly Log'!$A:$A,"&lt;"&amp;$J1930+7)/COUNTIFS('Weekly Log'!$G:$G,"&lt;&gt;",'Weekly Log'!$A:$A,"&gt;="&amp;$J1930,'Weekly Log'!$A:$A,"&lt;"&amp;$J1930+7),0))</f>
        <v/>
      </c>
      <c r="D1930">
        <f>IF($J1930="","",IFERROR(COUNTIFS('Weekly Log'!$H:$H,"Y",'Weekly Log'!$A:$A,"&gt;="&amp;$J1930,'Weekly Log'!$A:$A,"&lt;"&amp;$J1930+7)/COUNTIFS('Weekly Log'!$H:$H,"&lt;&gt;",'Weekly Log'!$A:$A,"&gt;="&amp;$J1930,'Weekly Log'!$A:$A,"&lt;"&amp;$J1930+7),0))</f>
        <v/>
      </c>
      <c r="E1930">
        <f>IF($J1930="","",IFERROR(AVERAGEIFS('Weekly Log'!$F:$F,'Weekly Log'!$A:$A,"&gt;="&amp;$J1930,'Weekly Log'!$A:$A,"&lt;"&amp;$J1930+7),0))</f>
        <v/>
      </c>
      <c r="F1930">
        <f>IF($J1930="","",IFERROR(SUMIFS('Weekly Log'!$F:$F,'Weekly Log'!$A:$A,"&gt;="&amp;$J1930,'Weekly Log'!$A:$A,"&lt;"&amp;$J1930+7)/SUMIFS('Weekly Log'!$E:$E,'Weekly Log'!$A:$A,"&gt;="&amp;$J1930,'Weekly Log'!$A:$A,"&lt;"&amp;$J1930+7),0))</f>
        <v/>
      </c>
      <c r="G1930">
        <f>IF($J1930="","",IFERROR(LOOKUP(2,1/(('Weekly Log'!$A$5:$A$5000&gt;=$J1930)*('Weekly Log'!$A$5:$A$5000&lt;$J1930+7)*('Weekly Log'!$M$5:$M$5000&lt;&gt;"")),'Weekly Log'!$M$5:$M$5000),0))</f>
        <v/>
      </c>
      <c r="J1930">
        <f>IF(COUNT('Weekly Log'!$A$5:$A$5000)=0,"",IF(MIN('Weekly Log'!$A$5:$A$5000)+7*(ROW()-10)&gt;MAX('Weekly Log'!$A$5:$A$5000),"",MIN('Weekly Log'!$A$5:$A$5000)+7*(ROW()-10)))</f>
        <v/>
      </c>
    </row>
    <row r="1931">
      <c r="A1931">
        <f>IF($J1931="","",YEAR($J1931-WEEKDAY($J1931,2)+4)&amp;"-W"&amp;TEXT(WEEKNUM($J1931,21),"00"))</f>
        <v/>
      </c>
      <c r="B1931">
        <f>IF($J1931="","",SUMIFS('Weekly Log'!$C:$C,'Weekly Log'!$A:$A,"&gt;="&amp;$J1931,'Weekly Log'!$A:$A,"&lt;"&amp;$J1931+7))</f>
        <v/>
      </c>
      <c r="C1931">
        <f>IF($J1931="","",IFERROR(COUNTIFS('Weekly Log'!$G:$G,"Y",'Weekly Log'!$A:$A,"&gt;="&amp;$J1931,'Weekly Log'!$A:$A,"&lt;"&amp;$J1931+7)/COUNTIFS('Weekly Log'!$G:$G,"&lt;&gt;",'Weekly Log'!$A:$A,"&gt;="&amp;$J1931,'Weekly Log'!$A:$A,"&lt;"&amp;$J1931+7),0))</f>
        <v/>
      </c>
      <c r="D1931">
        <f>IF($J1931="","",IFERROR(COUNTIFS('Weekly Log'!$H:$H,"Y",'Weekly Log'!$A:$A,"&gt;="&amp;$J1931,'Weekly Log'!$A:$A,"&lt;"&amp;$J1931+7)/COUNTIFS('Weekly Log'!$H:$H,"&lt;&gt;",'Weekly Log'!$A:$A,"&gt;="&amp;$J1931,'Weekly Log'!$A:$A,"&lt;"&amp;$J1931+7),0))</f>
        <v/>
      </c>
      <c r="E1931">
        <f>IF($J1931="","",IFERROR(AVERAGEIFS('Weekly Log'!$F:$F,'Weekly Log'!$A:$A,"&gt;="&amp;$J1931,'Weekly Log'!$A:$A,"&lt;"&amp;$J1931+7),0))</f>
        <v/>
      </c>
      <c r="F1931">
        <f>IF($J1931="","",IFERROR(SUMIFS('Weekly Log'!$F:$F,'Weekly Log'!$A:$A,"&gt;="&amp;$J1931,'Weekly Log'!$A:$A,"&lt;"&amp;$J1931+7)/SUMIFS('Weekly Log'!$E:$E,'Weekly Log'!$A:$A,"&gt;="&amp;$J1931,'Weekly Log'!$A:$A,"&lt;"&amp;$J1931+7),0))</f>
        <v/>
      </c>
      <c r="G1931">
        <f>IF($J1931="","",IFERROR(LOOKUP(2,1/(('Weekly Log'!$A$5:$A$5000&gt;=$J1931)*('Weekly Log'!$A$5:$A$5000&lt;$J1931+7)*('Weekly Log'!$M$5:$M$5000&lt;&gt;"")),'Weekly Log'!$M$5:$M$5000),0))</f>
        <v/>
      </c>
      <c r="J1931">
        <f>IF(COUNT('Weekly Log'!$A$5:$A$5000)=0,"",IF(MIN('Weekly Log'!$A$5:$A$5000)+7*(ROW()-10)&gt;MAX('Weekly Log'!$A$5:$A$5000),"",MIN('Weekly Log'!$A$5:$A$5000)+7*(ROW()-10)))</f>
        <v/>
      </c>
    </row>
    <row r="1932">
      <c r="A1932">
        <f>IF($J1932="","",YEAR($J1932-WEEKDAY($J1932,2)+4)&amp;"-W"&amp;TEXT(WEEKNUM($J1932,21),"00"))</f>
        <v/>
      </c>
      <c r="B1932">
        <f>IF($J1932="","",SUMIFS('Weekly Log'!$C:$C,'Weekly Log'!$A:$A,"&gt;="&amp;$J1932,'Weekly Log'!$A:$A,"&lt;"&amp;$J1932+7))</f>
        <v/>
      </c>
      <c r="C1932">
        <f>IF($J1932="","",IFERROR(COUNTIFS('Weekly Log'!$G:$G,"Y",'Weekly Log'!$A:$A,"&gt;="&amp;$J1932,'Weekly Log'!$A:$A,"&lt;"&amp;$J1932+7)/COUNTIFS('Weekly Log'!$G:$G,"&lt;&gt;",'Weekly Log'!$A:$A,"&gt;="&amp;$J1932,'Weekly Log'!$A:$A,"&lt;"&amp;$J1932+7),0))</f>
        <v/>
      </c>
      <c r="D1932">
        <f>IF($J1932="","",IFERROR(COUNTIFS('Weekly Log'!$H:$H,"Y",'Weekly Log'!$A:$A,"&gt;="&amp;$J1932,'Weekly Log'!$A:$A,"&lt;"&amp;$J1932+7)/COUNTIFS('Weekly Log'!$H:$H,"&lt;&gt;",'Weekly Log'!$A:$A,"&gt;="&amp;$J1932,'Weekly Log'!$A:$A,"&lt;"&amp;$J1932+7),0))</f>
        <v/>
      </c>
      <c r="E1932">
        <f>IF($J1932="","",IFERROR(AVERAGEIFS('Weekly Log'!$F:$F,'Weekly Log'!$A:$A,"&gt;="&amp;$J1932,'Weekly Log'!$A:$A,"&lt;"&amp;$J1932+7),0))</f>
        <v/>
      </c>
      <c r="F1932">
        <f>IF($J1932="","",IFERROR(SUMIFS('Weekly Log'!$F:$F,'Weekly Log'!$A:$A,"&gt;="&amp;$J1932,'Weekly Log'!$A:$A,"&lt;"&amp;$J1932+7)/SUMIFS('Weekly Log'!$E:$E,'Weekly Log'!$A:$A,"&gt;="&amp;$J1932,'Weekly Log'!$A:$A,"&lt;"&amp;$J1932+7),0))</f>
        <v/>
      </c>
      <c r="G1932">
        <f>IF($J1932="","",IFERROR(LOOKUP(2,1/(('Weekly Log'!$A$5:$A$5000&gt;=$J1932)*('Weekly Log'!$A$5:$A$5000&lt;$J1932+7)*('Weekly Log'!$M$5:$M$5000&lt;&gt;"")),'Weekly Log'!$M$5:$M$5000),0))</f>
        <v/>
      </c>
      <c r="J1932">
        <f>IF(COUNT('Weekly Log'!$A$5:$A$5000)=0,"",IF(MIN('Weekly Log'!$A$5:$A$5000)+7*(ROW()-10)&gt;MAX('Weekly Log'!$A$5:$A$5000),"",MIN('Weekly Log'!$A$5:$A$5000)+7*(ROW()-10)))</f>
        <v/>
      </c>
    </row>
    <row r="1933">
      <c r="A1933">
        <f>IF($J1933="","",YEAR($J1933-WEEKDAY($J1933,2)+4)&amp;"-W"&amp;TEXT(WEEKNUM($J1933,21),"00"))</f>
        <v/>
      </c>
      <c r="B1933">
        <f>IF($J1933="","",SUMIFS('Weekly Log'!$C:$C,'Weekly Log'!$A:$A,"&gt;="&amp;$J1933,'Weekly Log'!$A:$A,"&lt;"&amp;$J1933+7))</f>
        <v/>
      </c>
      <c r="C1933">
        <f>IF($J1933="","",IFERROR(COUNTIFS('Weekly Log'!$G:$G,"Y",'Weekly Log'!$A:$A,"&gt;="&amp;$J1933,'Weekly Log'!$A:$A,"&lt;"&amp;$J1933+7)/COUNTIFS('Weekly Log'!$G:$G,"&lt;&gt;",'Weekly Log'!$A:$A,"&gt;="&amp;$J1933,'Weekly Log'!$A:$A,"&lt;"&amp;$J1933+7),0))</f>
        <v/>
      </c>
      <c r="D1933">
        <f>IF($J1933="","",IFERROR(COUNTIFS('Weekly Log'!$H:$H,"Y",'Weekly Log'!$A:$A,"&gt;="&amp;$J1933,'Weekly Log'!$A:$A,"&lt;"&amp;$J1933+7)/COUNTIFS('Weekly Log'!$H:$H,"&lt;&gt;",'Weekly Log'!$A:$A,"&gt;="&amp;$J1933,'Weekly Log'!$A:$A,"&lt;"&amp;$J1933+7),0))</f>
        <v/>
      </c>
      <c r="E1933">
        <f>IF($J1933="","",IFERROR(AVERAGEIFS('Weekly Log'!$F:$F,'Weekly Log'!$A:$A,"&gt;="&amp;$J1933,'Weekly Log'!$A:$A,"&lt;"&amp;$J1933+7),0))</f>
        <v/>
      </c>
      <c r="F1933">
        <f>IF($J1933="","",IFERROR(SUMIFS('Weekly Log'!$F:$F,'Weekly Log'!$A:$A,"&gt;="&amp;$J1933,'Weekly Log'!$A:$A,"&lt;"&amp;$J1933+7)/SUMIFS('Weekly Log'!$E:$E,'Weekly Log'!$A:$A,"&gt;="&amp;$J1933,'Weekly Log'!$A:$A,"&lt;"&amp;$J1933+7),0))</f>
        <v/>
      </c>
      <c r="G1933">
        <f>IF($J1933="","",IFERROR(LOOKUP(2,1/(('Weekly Log'!$A$5:$A$5000&gt;=$J1933)*('Weekly Log'!$A$5:$A$5000&lt;$J1933+7)*('Weekly Log'!$M$5:$M$5000&lt;&gt;"")),'Weekly Log'!$M$5:$M$5000),0))</f>
        <v/>
      </c>
      <c r="J1933">
        <f>IF(COUNT('Weekly Log'!$A$5:$A$5000)=0,"",IF(MIN('Weekly Log'!$A$5:$A$5000)+7*(ROW()-10)&gt;MAX('Weekly Log'!$A$5:$A$5000),"",MIN('Weekly Log'!$A$5:$A$5000)+7*(ROW()-10)))</f>
        <v/>
      </c>
    </row>
    <row r="1934">
      <c r="A1934">
        <f>IF($J1934="","",YEAR($J1934-WEEKDAY($J1934,2)+4)&amp;"-W"&amp;TEXT(WEEKNUM($J1934,21),"00"))</f>
        <v/>
      </c>
      <c r="B1934">
        <f>IF($J1934="","",SUMIFS('Weekly Log'!$C:$C,'Weekly Log'!$A:$A,"&gt;="&amp;$J1934,'Weekly Log'!$A:$A,"&lt;"&amp;$J1934+7))</f>
        <v/>
      </c>
      <c r="C1934">
        <f>IF($J1934="","",IFERROR(COUNTIFS('Weekly Log'!$G:$G,"Y",'Weekly Log'!$A:$A,"&gt;="&amp;$J1934,'Weekly Log'!$A:$A,"&lt;"&amp;$J1934+7)/COUNTIFS('Weekly Log'!$G:$G,"&lt;&gt;",'Weekly Log'!$A:$A,"&gt;="&amp;$J1934,'Weekly Log'!$A:$A,"&lt;"&amp;$J1934+7),0))</f>
        <v/>
      </c>
      <c r="D1934">
        <f>IF($J1934="","",IFERROR(COUNTIFS('Weekly Log'!$H:$H,"Y",'Weekly Log'!$A:$A,"&gt;="&amp;$J1934,'Weekly Log'!$A:$A,"&lt;"&amp;$J1934+7)/COUNTIFS('Weekly Log'!$H:$H,"&lt;&gt;",'Weekly Log'!$A:$A,"&gt;="&amp;$J1934,'Weekly Log'!$A:$A,"&lt;"&amp;$J1934+7),0))</f>
        <v/>
      </c>
      <c r="E1934">
        <f>IF($J1934="","",IFERROR(AVERAGEIFS('Weekly Log'!$F:$F,'Weekly Log'!$A:$A,"&gt;="&amp;$J1934,'Weekly Log'!$A:$A,"&lt;"&amp;$J1934+7),0))</f>
        <v/>
      </c>
      <c r="F1934">
        <f>IF($J1934="","",IFERROR(SUMIFS('Weekly Log'!$F:$F,'Weekly Log'!$A:$A,"&gt;="&amp;$J1934,'Weekly Log'!$A:$A,"&lt;"&amp;$J1934+7)/SUMIFS('Weekly Log'!$E:$E,'Weekly Log'!$A:$A,"&gt;="&amp;$J1934,'Weekly Log'!$A:$A,"&lt;"&amp;$J1934+7),0))</f>
        <v/>
      </c>
      <c r="G1934">
        <f>IF($J1934="","",IFERROR(LOOKUP(2,1/(('Weekly Log'!$A$5:$A$5000&gt;=$J1934)*('Weekly Log'!$A$5:$A$5000&lt;$J1934+7)*('Weekly Log'!$M$5:$M$5000&lt;&gt;"")),'Weekly Log'!$M$5:$M$5000),0))</f>
        <v/>
      </c>
      <c r="J1934">
        <f>IF(COUNT('Weekly Log'!$A$5:$A$5000)=0,"",IF(MIN('Weekly Log'!$A$5:$A$5000)+7*(ROW()-10)&gt;MAX('Weekly Log'!$A$5:$A$5000),"",MIN('Weekly Log'!$A$5:$A$5000)+7*(ROW()-10)))</f>
        <v/>
      </c>
    </row>
    <row r="1935">
      <c r="A1935">
        <f>IF($J1935="","",YEAR($J1935-WEEKDAY($J1935,2)+4)&amp;"-W"&amp;TEXT(WEEKNUM($J1935,21),"00"))</f>
        <v/>
      </c>
      <c r="B1935">
        <f>IF($J1935="","",SUMIFS('Weekly Log'!$C:$C,'Weekly Log'!$A:$A,"&gt;="&amp;$J1935,'Weekly Log'!$A:$A,"&lt;"&amp;$J1935+7))</f>
        <v/>
      </c>
      <c r="C1935">
        <f>IF($J1935="","",IFERROR(COUNTIFS('Weekly Log'!$G:$G,"Y",'Weekly Log'!$A:$A,"&gt;="&amp;$J1935,'Weekly Log'!$A:$A,"&lt;"&amp;$J1935+7)/COUNTIFS('Weekly Log'!$G:$G,"&lt;&gt;",'Weekly Log'!$A:$A,"&gt;="&amp;$J1935,'Weekly Log'!$A:$A,"&lt;"&amp;$J1935+7),0))</f>
        <v/>
      </c>
      <c r="D1935">
        <f>IF($J1935="","",IFERROR(COUNTIFS('Weekly Log'!$H:$H,"Y",'Weekly Log'!$A:$A,"&gt;="&amp;$J1935,'Weekly Log'!$A:$A,"&lt;"&amp;$J1935+7)/COUNTIFS('Weekly Log'!$H:$H,"&lt;&gt;",'Weekly Log'!$A:$A,"&gt;="&amp;$J1935,'Weekly Log'!$A:$A,"&lt;"&amp;$J1935+7),0))</f>
        <v/>
      </c>
      <c r="E1935">
        <f>IF($J1935="","",IFERROR(AVERAGEIFS('Weekly Log'!$F:$F,'Weekly Log'!$A:$A,"&gt;="&amp;$J1935,'Weekly Log'!$A:$A,"&lt;"&amp;$J1935+7),0))</f>
        <v/>
      </c>
      <c r="F1935">
        <f>IF($J1935="","",IFERROR(SUMIFS('Weekly Log'!$F:$F,'Weekly Log'!$A:$A,"&gt;="&amp;$J1935,'Weekly Log'!$A:$A,"&lt;"&amp;$J1935+7)/SUMIFS('Weekly Log'!$E:$E,'Weekly Log'!$A:$A,"&gt;="&amp;$J1935,'Weekly Log'!$A:$A,"&lt;"&amp;$J1935+7),0))</f>
        <v/>
      </c>
      <c r="G1935">
        <f>IF($J1935="","",IFERROR(LOOKUP(2,1/(('Weekly Log'!$A$5:$A$5000&gt;=$J1935)*('Weekly Log'!$A$5:$A$5000&lt;$J1935+7)*('Weekly Log'!$M$5:$M$5000&lt;&gt;"")),'Weekly Log'!$M$5:$M$5000),0))</f>
        <v/>
      </c>
      <c r="J1935">
        <f>IF(COUNT('Weekly Log'!$A$5:$A$5000)=0,"",IF(MIN('Weekly Log'!$A$5:$A$5000)+7*(ROW()-10)&gt;MAX('Weekly Log'!$A$5:$A$5000),"",MIN('Weekly Log'!$A$5:$A$5000)+7*(ROW()-10)))</f>
        <v/>
      </c>
    </row>
    <row r="1936">
      <c r="A1936">
        <f>IF($J1936="","",YEAR($J1936-WEEKDAY($J1936,2)+4)&amp;"-W"&amp;TEXT(WEEKNUM($J1936,21),"00"))</f>
        <v/>
      </c>
      <c r="B1936">
        <f>IF($J1936="","",SUMIFS('Weekly Log'!$C:$C,'Weekly Log'!$A:$A,"&gt;="&amp;$J1936,'Weekly Log'!$A:$A,"&lt;"&amp;$J1936+7))</f>
        <v/>
      </c>
      <c r="C1936">
        <f>IF($J1936="","",IFERROR(COUNTIFS('Weekly Log'!$G:$G,"Y",'Weekly Log'!$A:$A,"&gt;="&amp;$J1936,'Weekly Log'!$A:$A,"&lt;"&amp;$J1936+7)/COUNTIFS('Weekly Log'!$G:$G,"&lt;&gt;",'Weekly Log'!$A:$A,"&gt;="&amp;$J1936,'Weekly Log'!$A:$A,"&lt;"&amp;$J1936+7),0))</f>
        <v/>
      </c>
      <c r="D1936">
        <f>IF($J1936="","",IFERROR(COUNTIFS('Weekly Log'!$H:$H,"Y",'Weekly Log'!$A:$A,"&gt;="&amp;$J1936,'Weekly Log'!$A:$A,"&lt;"&amp;$J1936+7)/COUNTIFS('Weekly Log'!$H:$H,"&lt;&gt;",'Weekly Log'!$A:$A,"&gt;="&amp;$J1936,'Weekly Log'!$A:$A,"&lt;"&amp;$J1936+7),0))</f>
        <v/>
      </c>
      <c r="E1936">
        <f>IF($J1936="","",IFERROR(AVERAGEIFS('Weekly Log'!$F:$F,'Weekly Log'!$A:$A,"&gt;="&amp;$J1936,'Weekly Log'!$A:$A,"&lt;"&amp;$J1936+7),0))</f>
        <v/>
      </c>
      <c r="F1936">
        <f>IF($J1936="","",IFERROR(SUMIFS('Weekly Log'!$F:$F,'Weekly Log'!$A:$A,"&gt;="&amp;$J1936,'Weekly Log'!$A:$A,"&lt;"&amp;$J1936+7)/SUMIFS('Weekly Log'!$E:$E,'Weekly Log'!$A:$A,"&gt;="&amp;$J1936,'Weekly Log'!$A:$A,"&lt;"&amp;$J1936+7),0))</f>
        <v/>
      </c>
      <c r="G1936">
        <f>IF($J1936="","",IFERROR(LOOKUP(2,1/(('Weekly Log'!$A$5:$A$5000&gt;=$J1936)*('Weekly Log'!$A$5:$A$5000&lt;$J1936+7)*('Weekly Log'!$M$5:$M$5000&lt;&gt;"")),'Weekly Log'!$M$5:$M$5000),0))</f>
        <v/>
      </c>
      <c r="J1936">
        <f>IF(COUNT('Weekly Log'!$A$5:$A$5000)=0,"",IF(MIN('Weekly Log'!$A$5:$A$5000)+7*(ROW()-10)&gt;MAX('Weekly Log'!$A$5:$A$5000),"",MIN('Weekly Log'!$A$5:$A$5000)+7*(ROW()-10)))</f>
        <v/>
      </c>
    </row>
    <row r="1937">
      <c r="A1937">
        <f>IF($J1937="","",YEAR($J1937-WEEKDAY($J1937,2)+4)&amp;"-W"&amp;TEXT(WEEKNUM($J1937,21),"00"))</f>
        <v/>
      </c>
      <c r="B1937">
        <f>IF($J1937="","",SUMIFS('Weekly Log'!$C:$C,'Weekly Log'!$A:$A,"&gt;="&amp;$J1937,'Weekly Log'!$A:$A,"&lt;"&amp;$J1937+7))</f>
        <v/>
      </c>
      <c r="C1937">
        <f>IF($J1937="","",IFERROR(COUNTIFS('Weekly Log'!$G:$G,"Y",'Weekly Log'!$A:$A,"&gt;="&amp;$J1937,'Weekly Log'!$A:$A,"&lt;"&amp;$J1937+7)/COUNTIFS('Weekly Log'!$G:$G,"&lt;&gt;",'Weekly Log'!$A:$A,"&gt;="&amp;$J1937,'Weekly Log'!$A:$A,"&lt;"&amp;$J1937+7),0))</f>
        <v/>
      </c>
      <c r="D1937">
        <f>IF($J1937="","",IFERROR(COUNTIFS('Weekly Log'!$H:$H,"Y",'Weekly Log'!$A:$A,"&gt;="&amp;$J1937,'Weekly Log'!$A:$A,"&lt;"&amp;$J1937+7)/COUNTIFS('Weekly Log'!$H:$H,"&lt;&gt;",'Weekly Log'!$A:$A,"&gt;="&amp;$J1937,'Weekly Log'!$A:$A,"&lt;"&amp;$J1937+7),0))</f>
        <v/>
      </c>
      <c r="E1937">
        <f>IF($J1937="","",IFERROR(AVERAGEIFS('Weekly Log'!$F:$F,'Weekly Log'!$A:$A,"&gt;="&amp;$J1937,'Weekly Log'!$A:$A,"&lt;"&amp;$J1937+7),0))</f>
        <v/>
      </c>
      <c r="F1937">
        <f>IF($J1937="","",IFERROR(SUMIFS('Weekly Log'!$F:$F,'Weekly Log'!$A:$A,"&gt;="&amp;$J1937,'Weekly Log'!$A:$A,"&lt;"&amp;$J1937+7)/SUMIFS('Weekly Log'!$E:$E,'Weekly Log'!$A:$A,"&gt;="&amp;$J1937,'Weekly Log'!$A:$A,"&lt;"&amp;$J1937+7),0))</f>
        <v/>
      </c>
      <c r="G1937">
        <f>IF($J1937="","",IFERROR(LOOKUP(2,1/(('Weekly Log'!$A$5:$A$5000&gt;=$J1937)*('Weekly Log'!$A$5:$A$5000&lt;$J1937+7)*('Weekly Log'!$M$5:$M$5000&lt;&gt;"")),'Weekly Log'!$M$5:$M$5000),0))</f>
        <v/>
      </c>
      <c r="J1937">
        <f>IF(COUNT('Weekly Log'!$A$5:$A$5000)=0,"",IF(MIN('Weekly Log'!$A$5:$A$5000)+7*(ROW()-10)&gt;MAX('Weekly Log'!$A$5:$A$5000),"",MIN('Weekly Log'!$A$5:$A$5000)+7*(ROW()-10)))</f>
        <v/>
      </c>
    </row>
    <row r="1938">
      <c r="A1938">
        <f>IF($J1938="","",YEAR($J1938-WEEKDAY($J1938,2)+4)&amp;"-W"&amp;TEXT(WEEKNUM($J1938,21),"00"))</f>
        <v/>
      </c>
      <c r="B1938">
        <f>IF($J1938="","",SUMIFS('Weekly Log'!$C:$C,'Weekly Log'!$A:$A,"&gt;="&amp;$J1938,'Weekly Log'!$A:$A,"&lt;"&amp;$J1938+7))</f>
        <v/>
      </c>
      <c r="C1938">
        <f>IF($J1938="","",IFERROR(COUNTIFS('Weekly Log'!$G:$G,"Y",'Weekly Log'!$A:$A,"&gt;="&amp;$J1938,'Weekly Log'!$A:$A,"&lt;"&amp;$J1938+7)/COUNTIFS('Weekly Log'!$G:$G,"&lt;&gt;",'Weekly Log'!$A:$A,"&gt;="&amp;$J1938,'Weekly Log'!$A:$A,"&lt;"&amp;$J1938+7),0))</f>
        <v/>
      </c>
      <c r="D1938">
        <f>IF($J1938="","",IFERROR(COUNTIFS('Weekly Log'!$H:$H,"Y",'Weekly Log'!$A:$A,"&gt;="&amp;$J1938,'Weekly Log'!$A:$A,"&lt;"&amp;$J1938+7)/COUNTIFS('Weekly Log'!$H:$H,"&lt;&gt;",'Weekly Log'!$A:$A,"&gt;="&amp;$J1938,'Weekly Log'!$A:$A,"&lt;"&amp;$J1938+7),0))</f>
        <v/>
      </c>
      <c r="E1938">
        <f>IF($J1938="","",IFERROR(AVERAGEIFS('Weekly Log'!$F:$F,'Weekly Log'!$A:$A,"&gt;="&amp;$J1938,'Weekly Log'!$A:$A,"&lt;"&amp;$J1938+7),0))</f>
        <v/>
      </c>
      <c r="F1938">
        <f>IF($J1938="","",IFERROR(SUMIFS('Weekly Log'!$F:$F,'Weekly Log'!$A:$A,"&gt;="&amp;$J1938,'Weekly Log'!$A:$A,"&lt;"&amp;$J1938+7)/SUMIFS('Weekly Log'!$E:$E,'Weekly Log'!$A:$A,"&gt;="&amp;$J1938,'Weekly Log'!$A:$A,"&lt;"&amp;$J1938+7),0))</f>
        <v/>
      </c>
      <c r="G1938">
        <f>IF($J1938="","",IFERROR(LOOKUP(2,1/(('Weekly Log'!$A$5:$A$5000&gt;=$J1938)*('Weekly Log'!$A$5:$A$5000&lt;$J1938+7)*('Weekly Log'!$M$5:$M$5000&lt;&gt;"")),'Weekly Log'!$M$5:$M$5000),0))</f>
        <v/>
      </c>
      <c r="J1938">
        <f>IF(COUNT('Weekly Log'!$A$5:$A$5000)=0,"",IF(MIN('Weekly Log'!$A$5:$A$5000)+7*(ROW()-10)&gt;MAX('Weekly Log'!$A$5:$A$5000),"",MIN('Weekly Log'!$A$5:$A$5000)+7*(ROW()-10)))</f>
        <v/>
      </c>
    </row>
    <row r="1939">
      <c r="A1939">
        <f>IF($J1939="","",YEAR($J1939-WEEKDAY($J1939,2)+4)&amp;"-W"&amp;TEXT(WEEKNUM($J1939,21),"00"))</f>
        <v/>
      </c>
      <c r="B1939">
        <f>IF($J1939="","",SUMIFS('Weekly Log'!$C:$C,'Weekly Log'!$A:$A,"&gt;="&amp;$J1939,'Weekly Log'!$A:$A,"&lt;"&amp;$J1939+7))</f>
        <v/>
      </c>
      <c r="C1939">
        <f>IF($J1939="","",IFERROR(COUNTIFS('Weekly Log'!$G:$G,"Y",'Weekly Log'!$A:$A,"&gt;="&amp;$J1939,'Weekly Log'!$A:$A,"&lt;"&amp;$J1939+7)/COUNTIFS('Weekly Log'!$G:$G,"&lt;&gt;",'Weekly Log'!$A:$A,"&gt;="&amp;$J1939,'Weekly Log'!$A:$A,"&lt;"&amp;$J1939+7),0))</f>
        <v/>
      </c>
      <c r="D1939">
        <f>IF($J1939="","",IFERROR(COUNTIFS('Weekly Log'!$H:$H,"Y",'Weekly Log'!$A:$A,"&gt;="&amp;$J1939,'Weekly Log'!$A:$A,"&lt;"&amp;$J1939+7)/COUNTIFS('Weekly Log'!$H:$H,"&lt;&gt;",'Weekly Log'!$A:$A,"&gt;="&amp;$J1939,'Weekly Log'!$A:$A,"&lt;"&amp;$J1939+7),0))</f>
        <v/>
      </c>
      <c r="E1939">
        <f>IF($J1939="","",IFERROR(AVERAGEIFS('Weekly Log'!$F:$F,'Weekly Log'!$A:$A,"&gt;="&amp;$J1939,'Weekly Log'!$A:$A,"&lt;"&amp;$J1939+7),0))</f>
        <v/>
      </c>
      <c r="F1939">
        <f>IF($J1939="","",IFERROR(SUMIFS('Weekly Log'!$F:$F,'Weekly Log'!$A:$A,"&gt;="&amp;$J1939,'Weekly Log'!$A:$A,"&lt;"&amp;$J1939+7)/SUMIFS('Weekly Log'!$E:$E,'Weekly Log'!$A:$A,"&gt;="&amp;$J1939,'Weekly Log'!$A:$A,"&lt;"&amp;$J1939+7),0))</f>
        <v/>
      </c>
      <c r="G1939">
        <f>IF($J1939="","",IFERROR(LOOKUP(2,1/(('Weekly Log'!$A$5:$A$5000&gt;=$J1939)*('Weekly Log'!$A$5:$A$5000&lt;$J1939+7)*('Weekly Log'!$M$5:$M$5000&lt;&gt;"")),'Weekly Log'!$M$5:$M$5000),0))</f>
        <v/>
      </c>
      <c r="J1939">
        <f>IF(COUNT('Weekly Log'!$A$5:$A$5000)=0,"",IF(MIN('Weekly Log'!$A$5:$A$5000)+7*(ROW()-10)&gt;MAX('Weekly Log'!$A$5:$A$5000),"",MIN('Weekly Log'!$A$5:$A$5000)+7*(ROW()-10)))</f>
        <v/>
      </c>
    </row>
    <row r="1940">
      <c r="A1940">
        <f>IF($J1940="","",YEAR($J1940-WEEKDAY($J1940,2)+4)&amp;"-W"&amp;TEXT(WEEKNUM($J1940,21),"00"))</f>
        <v/>
      </c>
      <c r="B1940">
        <f>IF($J1940="","",SUMIFS('Weekly Log'!$C:$C,'Weekly Log'!$A:$A,"&gt;="&amp;$J1940,'Weekly Log'!$A:$A,"&lt;"&amp;$J1940+7))</f>
        <v/>
      </c>
      <c r="C1940">
        <f>IF($J1940="","",IFERROR(COUNTIFS('Weekly Log'!$G:$G,"Y",'Weekly Log'!$A:$A,"&gt;="&amp;$J1940,'Weekly Log'!$A:$A,"&lt;"&amp;$J1940+7)/COUNTIFS('Weekly Log'!$G:$G,"&lt;&gt;",'Weekly Log'!$A:$A,"&gt;="&amp;$J1940,'Weekly Log'!$A:$A,"&lt;"&amp;$J1940+7),0))</f>
        <v/>
      </c>
      <c r="D1940">
        <f>IF($J1940="","",IFERROR(COUNTIFS('Weekly Log'!$H:$H,"Y",'Weekly Log'!$A:$A,"&gt;="&amp;$J1940,'Weekly Log'!$A:$A,"&lt;"&amp;$J1940+7)/COUNTIFS('Weekly Log'!$H:$H,"&lt;&gt;",'Weekly Log'!$A:$A,"&gt;="&amp;$J1940,'Weekly Log'!$A:$A,"&lt;"&amp;$J1940+7),0))</f>
        <v/>
      </c>
      <c r="E1940">
        <f>IF($J1940="","",IFERROR(AVERAGEIFS('Weekly Log'!$F:$F,'Weekly Log'!$A:$A,"&gt;="&amp;$J1940,'Weekly Log'!$A:$A,"&lt;"&amp;$J1940+7),0))</f>
        <v/>
      </c>
      <c r="F1940">
        <f>IF($J1940="","",IFERROR(SUMIFS('Weekly Log'!$F:$F,'Weekly Log'!$A:$A,"&gt;="&amp;$J1940,'Weekly Log'!$A:$A,"&lt;"&amp;$J1940+7)/SUMIFS('Weekly Log'!$E:$E,'Weekly Log'!$A:$A,"&gt;="&amp;$J1940,'Weekly Log'!$A:$A,"&lt;"&amp;$J1940+7),0))</f>
        <v/>
      </c>
      <c r="G1940">
        <f>IF($J1940="","",IFERROR(LOOKUP(2,1/(('Weekly Log'!$A$5:$A$5000&gt;=$J1940)*('Weekly Log'!$A$5:$A$5000&lt;$J1940+7)*('Weekly Log'!$M$5:$M$5000&lt;&gt;"")),'Weekly Log'!$M$5:$M$5000),0))</f>
        <v/>
      </c>
      <c r="J1940">
        <f>IF(COUNT('Weekly Log'!$A$5:$A$5000)=0,"",IF(MIN('Weekly Log'!$A$5:$A$5000)+7*(ROW()-10)&gt;MAX('Weekly Log'!$A$5:$A$5000),"",MIN('Weekly Log'!$A$5:$A$5000)+7*(ROW()-10)))</f>
        <v/>
      </c>
    </row>
    <row r="1941">
      <c r="A1941">
        <f>IF($J1941="","",YEAR($J1941-WEEKDAY($J1941,2)+4)&amp;"-W"&amp;TEXT(WEEKNUM($J1941,21),"00"))</f>
        <v/>
      </c>
      <c r="B1941">
        <f>IF($J1941="","",SUMIFS('Weekly Log'!$C:$C,'Weekly Log'!$A:$A,"&gt;="&amp;$J1941,'Weekly Log'!$A:$A,"&lt;"&amp;$J1941+7))</f>
        <v/>
      </c>
      <c r="C1941">
        <f>IF($J1941="","",IFERROR(COUNTIFS('Weekly Log'!$G:$G,"Y",'Weekly Log'!$A:$A,"&gt;="&amp;$J1941,'Weekly Log'!$A:$A,"&lt;"&amp;$J1941+7)/COUNTIFS('Weekly Log'!$G:$G,"&lt;&gt;",'Weekly Log'!$A:$A,"&gt;="&amp;$J1941,'Weekly Log'!$A:$A,"&lt;"&amp;$J1941+7),0))</f>
        <v/>
      </c>
      <c r="D1941">
        <f>IF($J1941="","",IFERROR(COUNTIFS('Weekly Log'!$H:$H,"Y",'Weekly Log'!$A:$A,"&gt;="&amp;$J1941,'Weekly Log'!$A:$A,"&lt;"&amp;$J1941+7)/COUNTIFS('Weekly Log'!$H:$H,"&lt;&gt;",'Weekly Log'!$A:$A,"&gt;="&amp;$J1941,'Weekly Log'!$A:$A,"&lt;"&amp;$J1941+7),0))</f>
        <v/>
      </c>
      <c r="E1941">
        <f>IF($J1941="","",IFERROR(AVERAGEIFS('Weekly Log'!$F:$F,'Weekly Log'!$A:$A,"&gt;="&amp;$J1941,'Weekly Log'!$A:$A,"&lt;"&amp;$J1941+7),0))</f>
        <v/>
      </c>
      <c r="F1941">
        <f>IF($J1941="","",IFERROR(SUMIFS('Weekly Log'!$F:$F,'Weekly Log'!$A:$A,"&gt;="&amp;$J1941,'Weekly Log'!$A:$A,"&lt;"&amp;$J1941+7)/SUMIFS('Weekly Log'!$E:$E,'Weekly Log'!$A:$A,"&gt;="&amp;$J1941,'Weekly Log'!$A:$A,"&lt;"&amp;$J1941+7),0))</f>
        <v/>
      </c>
      <c r="G1941">
        <f>IF($J1941="","",IFERROR(LOOKUP(2,1/(('Weekly Log'!$A$5:$A$5000&gt;=$J1941)*('Weekly Log'!$A$5:$A$5000&lt;$J1941+7)*('Weekly Log'!$M$5:$M$5000&lt;&gt;"")),'Weekly Log'!$M$5:$M$5000),0))</f>
        <v/>
      </c>
      <c r="J1941">
        <f>IF(COUNT('Weekly Log'!$A$5:$A$5000)=0,"",IF(MIN('Weekly Log'!$A$5:$A$5000)+7*(ROW()-10)&gt;MAX('Weekly Log'!$A$5:$A$5000),"",MIN('Weekly Log'!$A$5:$A$5000)+7*(ROW()-10)))</f>
        <v/>
      </c>
    </row>
    <row r="1942">
      <c r="A1942">
        <f>IF($J1942="","",YEAR($J1942-WEEKDAY($J1942,2)+4)&amp;"-W"&amp;TEXT(WEEKNUM($J1942,21),"00"))</f>
        <v/>
      </c>
      <c r="B1942">
        <f>IF($J1942="","",SUMIFS('Weekly Log'!$C:$C,'Weekly Log'!$A:$A,"&gt;="&amp;$J1942,'Weekly Log'!$A:$A,"&lt;"&amp;$J1942+7))</f>
        <v/>
      </c>
      <c r="C1942">
        <f>IF($J1942="","",IFERROR(COUNTIFS('Weekly Log'!$G:$G,"Y",'Weekly Log'!$A:$A,"&gt;="&amp;$J1942,'Weekly Log'!$A:$A,"&lt;"&amp;$J1942+7)/COUNTIFS('Weekly Log'!$G:$G,"&lt;&gt;",'Weekly Log'!$A:$A,"&gt;="&amp;$J1942,'Weekly Log'!$A:$A,"&lt;"&amp;$J1942+7),0))</f>
        <v/>
      </c>
      <c r="D1942">
        <f>IF($J1942="","",IFERROR(COUNTIFS('Weekly Log'!$H:$H,"Y",'Weekly Log'!$A:$A,"&gt;="&amp;$J1942,'Weekly Log'!$A:$A,"&lt;"&amp;$J1942+7)/COUNTIFS('Weekly Log'!$H:$H,"&lt;&gt;",'Weekly Log'!$A:$A,"&gt;="&amp;$J1942,'Weekly Log'!$A:$A,"&lt;"&amp;$J1942+7),0))</f>
        <v/>
      </c>
      <c r="E1942">
        <f>IF($J1942="","",IFERROR(AVERAGEIFS('Weekly Log'!$F:$F,'Weekly Log'!$A:$A,"&gt;="&amp;$J1942,'Weekly Log'!$A:$A,"&lt;"&amp;$J1942+7),0))</f>
        <v/>
      </c>
      <c r="F1942">
        <f>IF($J1942="","",IFERROR(SUMIFS('Weekly Log'!$F:$F,'Weekly Log'!$A:$A,"&gt;="&amp;$J1942,'Weekly Log'!$A:$A,"&lt;"&amp;$J1942+7)/SUMIFS('Weekly Log'!$E:$E,'Weekly Log'!$A:$A,"&gt;="&amp;$J1942,'Weekly Log'!$A:$A,"&lt;"&amp;$J1942+7),0))</f>
        <v/>
      </c>
      <c r="G1942">
        <f>IF($J1942="","",IFERROR(LOOKUP(2,1/(('Weekly Log'!$A$5:$A$5000&gt;=$J1942)*('Weekly Log'!$A$5:$A$5000&lt;$J1942+7)*('Weekly Log'!$M$5:$M$5000&lt;&gt;"")),'Weekly Log'!$M$5:$M$5000),0))</f>
        <v/>
      </c>
      <c r="J1942">
        <f>IF(COUNT('Weekly Log'!$A$5:$A$5000)=0,"",IF(MIN('Weekly Log'!$A$5:$A$5000)+7*(ROW()-10)&gt;MAX('Weekly Log'!$A$5:$A$5000),"",MIN('Weekly Log'!$A$5:$A$5000)+7*(ROW()-10)))</f>
        <v/>
      </c>
    </row>
    <row r="1943">
      <c r="A1943">
        <f>IF($J1943="","",YEAR($J1943-WEEKDAY($J1943,2)+4)&amp;"-W"&amp;TEXT(WEEKNUM($J1943,21),"00"))</f>
        <v/>
      </c>
      <c r="B1943">
        <f>IF($J1943="","",SUMIFS('Weekly Log'!$C:$C,'Weekly Log'!$A:$A,"&gt;="&amp;$J1943,'Weekly Log'!$A:$A,"&lt;"&amp;$J1943+7))</f>
        <v/>
      </c>
      <c r="C1943">
        <f>IF($J1943="","",IFERROR(COUNTIFS('Weekly Log'!$G:$G,"Y",'Weekly Log'!$A:$A,"&gt;="&amp;$J1943,'Weekly Log'!$A:$A,"&lt;"&amp;$J1943+7)/COUNTIFS('Weekly Log'!$G:$G,"&lt;&gt;",'Weekly Log'!$A:$A,"&gt;="&amp;$J1943,'Weekly Log'!$A:$A,"&lt;"&amp;$J1943+7),0))</f>
        <v/>
      </c>
      <c r="D1943">
        <f>IF($J1943="","",IFERROR(COUNTIFS('Weekly Log'!$H:$H,"Y",'Weekly Log'!$A:$A,"&gt;="&amp;$J1943,'Weekly Log'!$A:$A,"&lt;"&amp;$J1943+7)/COUNTIFS('Weekly Log'!$H:$H,"&lt;&gt;",'Weekly Log'!$A:$A,"&gt;="&amp;$J1943,'Weekly Log'!$A:$A,"&lt;"&amp;$J1943+7),0))</f>
        <v/>
      </c>
      <c r="E1943">
        <f>IF($J1943="","",IFERROR(AVERAGEIFS('Weekly Log'!$F:$F,'Weekly Log'!$A:$A,"&gt;="&amp;$J1943,'Weekly Log'!$A:$A,"&lt;"&amp;$J1943+7),0))</f>
        <v/>
      </c>
      <c r="F1943">
        <f>IF($J1943="","",IFERROR(SUMIFS('Weekly Log'!$F:$F,'Weekly Log'!$A:$A,"&gt;="&amp;$J1943,'Weekly Log'!$A:$A,"&lt;"&amp;$J1943+7)/SUMIFS('Weekly Log'!$E:$E,'Weekly Log'!$A:$A,"&gt;="&amp;$J1943,'Weekly Log'!$A:$A,"&lt;"&amp;$J1943+7),0))</f>
        <v/>
      </c>
      <c r="G1943">
        <f>IF($J1943="","",IFERROR(LOOKUP(2,1/(('Weekly Log'!$A$5:$A$5000&gt;=$J1943)*('Weekly Log'!$A$5:$A$5000&lt;$J1943+7)*('Weekly Log'!$M$5:$M$5000&lt;&gt;"")),'Weekly Log'!$M$5:$M$5000),0))</f>
        <v/>
      </c>
      <c r="J1943">
        <f>IF(COUNT('Weekly Log'!$A$5:$A$5000)=0,"",IF(MIN('Weekly Log'!$A$5:$A$5000)+7*(ROW()-10)&gt;MAX('Weekly Log'!$A$5:$A$5000),"",MIN('Weekly Log'!$A$5:$A$5000)+7*(ROW()-10)))</f>
        <v/>
      </c>
    </row>
    <row r="1944">
      <c r="A1944">
        <f>IF($J1944="","",YEAR($J1944-WEEKDAY($J1944,2)+4)&amp;"-W"&amp;TEXT(WEEKNUM($J1944,21),"00"))</f>
        <v/>
      </c>
      <c r="B1944">
        <f>IF($J1944="","",SUMIFS('Weekly Log'!$C:$C,'Weekly Log'!$A:$A,"&gt;="&amp;$J1944,'Weekly Log'!$A:$A,"&lt;"&amp;$J1944+7))</f>
        <v/>
      </c>
      <c r="C1944">
        <f>IF($J1944="","",IFERROR(COUNTIFS('Weekly Log'!$G:$G,"Y",'Weekly Log'!$A:$A,"&gt;="&amp;$J1944,'Weekly Log'!$A:$A,"&lt;"&amp;$J1944+7)/COUNTIFS('Weekly Log'!$G:$G,"&lt;&gt;",'Weekly Log'!$A:$A,"&gt;="&amp;$J1944,'Weekly Log'!$A:$A,"&lt;"&amp;$J1944+7),0))</f>
        <v/>
      </c>
      <c r="D1944">
        <f>IF($J1944="","",IFERROR(COUNTIFS('Weekly Log'!$H:$H,"Y",'Weekly Log'!$A:$A,"&gt;="&amp;$J1944,'Weekly Log'!$A:$A,"&lt;"&amp;$J1944+7)/COUNTIFS('Weekly Log'!$H:$H,"&lt;&gt;",'Weekly Log'!$A:$A,"&gt;="&amp;$J1944,'Weekly Log'!$A:$A,"&lt;"&amp;$J1944+7),0))</f>
        <v/>
      </c>
      <c r="E1944">
        <f>IF($J1944="","",IFERROR(AVERAGEIFS('Weekly Log'!$F:$F,'Weekly Log'!$A:$A,"&gt;="&amp;$J1944,'Weekly Log'!$A:$A,"&lt;"&amp;$J1944+7),0))</f>
        <v/>
      </c>
      <c r="F1944">
        <f>IF($J1944="","",IFERROR(SUMIFS('Weekly Log'!$F:$F,'Weekly Log'!$A:$A,"&gt;="&amp;$J1944,'Weekly Log'!$A:$A,"&lt;"&amp;$J1944+7)/SUMIFS('Weekly Log'!$E:$E,'Weekly Log'!$A:$A,"&gt;="&amp;$J1944,'Weekly Log'!$A:$A,"&lt;"&amp;$J1944+7),0))</f>
        <v/>
      </c>
      <c r="G1944">
        <f>IF($J1944="","",IFERROR(LOOKUP(2,1/(('Weekly Log'!$A$5:$A$5000&gt;=$J1944)*('Weekly Log'!$A$5:$A$5000&lt;$J1944+7)*('Weekly Log'!$M$5:$M$5000&lt;&gt;"")),'Weekly Log'!$M$5:$M$5000),0))</f>
        <v/>
      </c>
      <c r="J1944">
        <f>IF(COUNT('Weekly Log'!$A$5:$A$5000)=0,"",IF(MIN('Weekly Log'!$A$5:$A$5000)+7*(ROW()-10)&gt;MAX('Weekly Log'!$A$5:$A$5000),"",MIN('Weekly Log'!$A$5:$A$5000)+7*(ROW()-10)))</f>
        <v/>
      </c>
    </row>
    <row r="1945">
      <c r="A1945">
        <f>IF($J1945="","",YEAR($J1945-WEEKDAY($J1945,2)+4)&amp;"-W"&amp;TEXT(WEEKNUM($J1945,21),"00"))</f>
        <v/>
      </c>
      <c r="B1945">
        <f>IF($J1945="","",SUMIFS('Weekly Log'!$C:$C,'Weekly Log'!$A:$A,"&gt;="&amp;$J1945,'Weekly Log'!$A:$A,"&lt;"&amp;$J1945+7))</f>
        <v/>
      </c>
      <c r="C1945">
        <f>IF($J1945="","",IFERROR(COUNTIFS('Weekly Log'!$G:$G,"Y",'Weekly Log'!$A:$A,"&gt;="&amp;$J1945,'Weekly Log'!$A:$A,"&lt;"&amp;$J1945+7)/COUNTIFS('Weekly Log'!$G:$G,"&lt;&gt;",'Weekly Log'!$A:$A,"&gt;="&amp;$J1945,'Weekly Log'!$A:$A,"&lt;"&amp;$J1945+7),0))</f>
        <v/>
      </c>
      <c r="D1945">
        <f>IF($J1945="","",IFERROR(COUNTIFS('Weekly Log'!$H:$H,"Y",'Weekly Log'!$A:$A,"&gt;="&amp;$J1945,'Weekly Log'!$A:$A,"&lt;"&amp;$J1945+7)/COUNTIFS('Weekly Log'!$H:$H,"&lt;&gt;",'Weekly Log'!$A:$A,"&gt;="&amp;$J1945,'Weekly Log'!$A:$A,"&lt;"&amp;$J1945+7),0))</f>
        <v/>
      </c>
      <c r="E1945">
        <f>IF($J1945="","",IFERROR(AVERAGEIFS('Weekly Log'!$F:$F,'Weekly Log'!$A:$A,"&gt;="&amp;$J1945,'Weekly Log'!$A:$A,"&lt;"&amp;$J1945+7),0))</f>
        <v/>
      </c>
      <c r="F1945">
        <f>IF($J1945="","",IFERROR(SUMIFS('Weekly Log'!$F:$F,'Weekly Log'!$A:$A,"&gt;="&amp;$J1945,'Weekly Log'!$A:$A,"&lt;"&amp;$J1945+7)/SUMIFS('Weekly Log'!$E:$E,'Weekly Log'!$A:$A,"&gt;="&amp;$J1945,'Weekly Log'!$A:$A,"&lt;"&amp;$J1945+7),0))</f>
        <v/>
      </c>
      <c r="G1945">
        <f>IF($J1945="","",IFERROR(LOOKUP(2,1/(('Weekly Log'!$A$5:$A$5000&gt;=$J1945)*('Weekly Log'!$A$5:$A$5000&lt;$J1945+7)*('Weekly Log'!$M$5:$M$5000&lt;&gt;"")),'Weekly Log'!$M$5:$M$5000),0))</f>
        <v/>
      </c>
      <c r="J1945">
        <f>IF(COUNT('Weekly Log'!$A$5:$A$5000)=0,"",IF(MIN('Weekly Log'!$A$5:$A$5000)+7*(ROW()-10)&gt;MAX('Weekly Log'!$A$5:$A$5000),"",MIN('Weekly Log'!$A$5:$A$5000)+7*(ROW()-10)))</f>
        <v/>
      </c>
    </row>
    <row r="1946">
      <c r="A1946">
        <f>IF($J1946="","",YEAR($J1946-WEEKDAY($J1946,2)+4)&amp;"-W"&amp;TEXT(WEEKNUM($J1946,21),"00"))</f>
        <v/>
      </c>
      <c r="B1946">
        <f>IF($J1946="","",SUMIFS('Weekly Log'!$C:$C,'Weekly Log'!$A:$A,"&gt;="&amp;$J1946,'Weekly Log'!$A:$A,"&lt;"&amp;$J1946+7))</f>
        <v/>
      </c>
      <c r="C1946">
        <f>IF($J1946="","",IFERROR(COUNTIFS('Weekly Log'!$G:$G,"Y",'Weekly Log'!$A:$A,"&gt;="&amp;$J1946,'Weekly Log'!$A:$A,"&lt;"&amp;$J1946+7)/COUNTIFS('Weekly Log'!$G:$G,"&lt;&gt;",'Weekly Log'!$A:$A,"&gt;="&amp;$J1946,'Weekly Log'!$A:$A,"&lt;"&amp;$J1946+7),0))</f>
        <v/>
      </c>
      <c r="D1946">
        <f>IF($J1946="","",IFERROR(COUNTIFS('Weekly Log'!$H:$H,"Y",'Weekly Log'!$A:$A,"&gt;="&amp;$J1946,'Weekly Log'!$A:$A,"&lt;"&amp;$J1946+7)/COUNTIFS('Weekly Log'!$H:$H,"&lt;&gt;",'Weekly Log'!$A:$A,"&gt;="&amp;$J1946,'Weekly Log'!$A:$A,"&lt;"&amp;$J1946+7),0))</f>
        <v/>
      </c>
      <c r="E1946">
        <f>IF($J1946="","",IFERROR(AVERAGEIFS('Weekly Log'!$F:$F,'Weekly Log'!$A:$A,"&gt;="&amp;$J1946,'Weekly Log'!$A:$A,"&lt;"&amp;$J1946+7),0))</f>
        <v/>
      </c>
      <c r="F1946">
        <f>IF($J1946="","",IFERROR(SUMIFS('Weekly Log'!$F:$F,'Weekly Log'!$A:$A,"&gt;="&amp;$J1946,'Weekly Log'!$A:$A,"&lt;"&amp;$J1946+7)/SUMIFS('Weekly Log'!$E:$E,'Weekly Log'!$A:$A,"&gt;="&amp;$J1946,'Weekly Log'!$A:$A,"&lt;"&amp;$J1946+7),0))</f>
        <v/>
      </c>
      <c r="G1946">
        <f>IF($J1946="","",IFERROR(LOOKUP(2,1/(('Weekly Log'!$A$5:$A$5000&gt;=$J1946)*('Weekly Log'!$A$5:$A$5000&lt;$J1946+7)*('Weekly Log'!$M$5:$M$5000&lt;&gt;"")),'Weekly Log'!$M$5:$M$5000),0))</f>
        <v/>
      </c>
      <c r="J1946">
        <f>IF(COUNT('Weekly Log'!$A$5:$A$5000)=0,"",IF(MIN('Weekly Log'!$A$5:$A$5000)+7*(ROW()-10)&gt;MAX('Weekly Log'!$A$5:$A$5000),"",MIN('Weekly Log'!$A$5:$A$5000)+7*(ROW()-10)))</f>
        <v/>
      </c>
    </row>
    <row r="1947">
      <c r="A1947">
        <f>IF($J1947="","",YEAR($J1947-WEEKDAY($J1947,2)+4)&amp;"-W"&amp;TEXT(WEEKNUM($J1947,21),"00"))</f>
        <v/>
      </c>
      <c r="B1947">
        <f>IF($J1947="","",SUMIFS('Weekly Log'!$C:$C,'Weekly Log'!$A:$A,"&gt;="&amp;$J1947,'Weekly Log'!$A:$A,"&lt;"&amp;$J1947+7))</f>
        <v/>
      </c>
      <c r="C1947">
        <f>IF($J1947="","",IFERROR(COUNTIFS('Weekly Log'!$G:$G,"Y",'Weekly Log'!$A:$A,"&gt;="&amp;$J1947,'Weekly Log'!$A:$A,"&lt;"&amp;$J1947+7)/COUNTIFS('Weekly Log'!$G:$G,"&lt;&gt;",'Weekly Log'!$A:$A,"&gt;="&amp;$J1947,'Weekly Log'!$A:$A,"&lt;"&amp;$J1947+7),0))</f>
        <v/>
      </c>
      <c r="D1947">
        <f>IF($J1947="","",IFERROR(COUNTIFS('Weekly Log'!$H:$H,"Y",'Weekly Log'!$A:$A,"&gt;="&amp;$J1947,'Weekly Log'!$A:$A,"&lt;"&amp;$J1947+7)/COUNTIFS('Weekly Log'!$H:$H,"&lt;&gt;",'Weekly Log'!$A:$A,"&gt;="&amp;$J1947,'Weekly Log'!$A:$A,"&lt;"&amp;$J1947+7),0))</f>
        <v/>
      </c>
      <c r="E1947">
        <f>IF($J1947="","",IFERROR(AVERAGEIFS('Weekly Log'!$F:$F,'Weekly Log'!$A:$A,"&gt;="&amp;$J1947,'Weekly Log'!$A:$A,"&lt;"&amp;$J1947+7),0))</f>
        <v/>
      </c>
      <c r="F1947">
        <f>IF($J1947="","",IFERROR(SUMIFS('Weekly Log'!$F:$F,'Weekly Log'!$A:$A,"&gt;="&amp;$J1947,'Weekly Log'!$A:$A,"&lt;"&amp;$J1947+7)/SUMIFS('Weekly Log'!$E:$E,'Weekly Log'!$A:$A,"&gt;="&amp;$J1947,'Weekly Log'!$A:$A,"&lt;"&amp;$J1947+7),0))</f>
        <v/>
      </c>
      <c r="G1947">
        <f>IF($J1947="","",IFERROR(LOOKUP(2,1/(('Weekly Log'!$A$5:$A$5000&gt;=$J1947)*('Weekly Log'!$A$5:$A$5000&lt;$J1947+7)*('Weekly Log'!$M$5:$M$5000&lt;&gt;"")),'Weekly Log'!$M$5:$M$5000),0))</f>
        <v/>
      </c>
      <c r="J1947">
        <f>IF(COUNT('Weekly Log'!$A$5:$A$5000)=0,"",IF(MIN('Weekly Log'!$A$5:$A$5000)+7*(ROW()-10)&gt;MAX('Weekly Log'!$A$5:$A$5000),"",MIN('Weekly Log'!$A$5:$A$5000)+7*(ROW()-10)))</f>
        <v/>
      </c>
    </row>
    <row r="1948">
      <c r="A1948">
        <f>IF($J1948="","",YEAR($J1948-WEEKDAY($J1948,2)+4)&amp;"-W"&amp;TEXT(WEEKNUM($J1948,21),"00"))</f>
        <v/>
      </c>
      <c r="B1948">
        <f>IF($J1948="","",SUMIFS('Weekly Log'!$C:$C,'Weekly Log'!$A:$A,"&gt;="&amp;$J1948,'Weekly Log'!$A:$A,"&lt;"&amp;$J1948+7))</f>
        <v/>
      </c>
      <c r="C1948">
        <f>IF($J1948="","",IFERROR(COUNTIFS('Weekly Log'!$G:$G,"Y",'Weekly Log'!$A:$A,"&gt;="&amp;$J1948,'Weekly Log'!$A:$A,"&lt;"&amp;$J1948+7)/COUNTIFS('Weekly Log'!$G:$G,"&lt;&gt;",'Weekly Log'!$A:$A,"&gt;="&amp;$J1948,'Weekly Log'!$A:$A,"&lt;"&amp;$J1948+7),0))</f>
        <v/>
      </c>
      <c r="D1948">
        <f>IF($J1948="","",IFERROR(COUNTIFS('Weekly Log'!$H:$H,"Y",'Weekly Log'!$A:$A,"&gt;="&amp;$J1948,'Weekly Log'!$A:$A,"&lt;"&amp;$J1948+7)/COUNTIFS('Weekly Log'!$H:$H,"&lt;&gt;",'Weekly Log'!$A:$A,"&gt;="&amp;$J1948,'Weekly Log'!$A:$A,"&lt;"&amp;$J1948+7),0))</f>
        <v/>
      </c>
      <c r="E1948">
        <f>IF($J1948="","",IFERROR(AVERAGEIFS('Weekly Log'!$F:$F,'Weekly Log'!$A:$A,"&gt;="&amp;$J1948,'Weekly Log'!$A:$A,"&lt;"&amp;$J1948+7),0))</f>
        <v/>
      </c>
      <c r="F1948">
        <f>IF($J1948="","",IFERROR(SUMIFS('Weekly Log'!$F:$F,'Weekly Log'!$A:$A,"&gt;="&amp;$J1948,'Weekly Log'!$A:$A,"&lt;"&amp;$J1948+7)/SUMIFS('Weekly Log'!$E:$E,'Weekly Log'!$A:$A,"&gt;="&amp;$J1948,'Weekly Log'!$A:$A,"&lt;"&amp;$J1948+7),0))</f>
        <v/>
      </c>
      <c r="G1948">
        <f>IF($J1948="","",IFERROR(LOOKUP(2,1/(('Weekly Log'!$A$5:$A$5000&gt;=$J1948)*('Weekly Log'!$A$5:$A$5000&lt;$J1948+7)*('Weekly Log'!$M$5:$M$5000&lt;&gt;"")),'Weekly Log'!$M$5:$M$5000),0))</f>
        <v/>
      </c>
      <c r="J1948">
        <f>IF(COUNT('Weekly Log'!$A$5:$A$5000)=0,"",IF(MIN('Weekly Log'!$A$5:$A$5000)+7*(ROW()-10)&gt;MAX('Weekly Log'!$A$5:$A$5000),"",MIN('Weekly Log'!$A$5:$A$5000)+7*(ROW()-10)))</f>
        <v/>
      </c>
    </row>
    <row r="1949">
      <c r="A1949">
        <f>IF($J1949="","",YEAR($J1949-WEEKDAY($J1949,2)+4)&amp;"-W"&amp;TEXT(WEEKNUM($J1949,21),"00"))</f>
        <v/>
      </c>
      <c r="B1949">
        <f>IF($J1949="","",SUMIFS('Weekly Log'!$C:$C,'Weekly Log'!$A:$A,"&gt;="&amp;$J1949,'Weekly Log'!$A:$A,"&lt;"&amp;$J1949+7))</f>
        <v/>
      </c>
      <c r="C1949">
        <f>IF($J1949="","",IFERROR(COUNTIFS('Weekly Log'!$G:$G,"Y",'Weekly Log'!$A:$A,"&gt;="&amp;$J1949,'Weekly Log'!$A:$A,"&lt;"&amp;$J1949+7)/COUNTIFS('Weekly Log'!$G:$G,"&lt;&gt;",'Weekly Log'!$A:$A,"&gt;="&amp;$J1949,'Weekly Log'!$A:$A,"&lt;"&amp;$J1949+7),0))</f>
        <v/>
      </c>
      <c r="D1949">
        <f>IF($J1949="","",IFERROR(COUNTIFS('Weekly Log'!$H:$H,"Y",'Weekly Log'!$A:$A,"&gt;="&amp;$J1949,'Weekly Log'!$A:$A,"&lt;"&amp;$J1949+7)/COUNTIFS('Weekly Log'!$H:$H,"&lt;&gt;",'Weekly Log'!$A:$A,"&gt;="&amp;$J1949,'Weekly Log'!$A:$A,"&lt;"&amp;$J1949+7),0))</f>
        <v/>
      </c>
      <c r="E1949">
        <f>IF($J1949="","",IFERROR(AVERAGEIFS('Weekly Log'!$F:$F,'Weekly Log'!$A:$A,"&gt;="&amp;$J1949,'Weekly Log'!$A:$A,"&lt;"&amp;$J1949+7),0))</f>
        <v/>
      </c>
      <c r="F1949">
        <f>IF($J1949="","",IFERROR(SUMIFS('Weekly Log'!$F:$F,'Weekly Log'!$A:$A,"&gt;="&amp;$J1949,'Weekly Log'!$A:$A,"&lt;"&amp;$J1949+7)/SUMIFS('Weekly Log'!$E:$E,'Weekly Log'!$A:$A,"&gt;="&amp;$J1949,'Weekly Log'!$A:$A,"&lt;"&amp;$J1949+7),0))</f>
        <v/>
      </c>
      <c r="G1949">
        <f>IF($J1949="","",IFERROR(LOOKUP(2,1/(('Weekly Log'!$A$5:$A$5000&gt;=$J1949)*('Weekly Log'!$A$5:$A$5000&lt;$J1949+7)*('Weekly Log'!$M$5:$M$5000&lt;&gt;"")),'Weekly Log'!$M$5:$M$5000),0))</f>
        <v/>
      </c>
      <c r="J1949">
        <f>IF(COUNT('Weekly Log'!$A$5:$A$5000)=0,"",IF(MIN('Weekly Log'!$A$5:$A$5000)+7*(ROW()-10)&gt;MAX('Weekly Log'!$A$5:$A$5000),"",MIN('Weekly Log'!$A$5:$A$5000)+7*(ROW()-10)))</f>
        <v/>
      </c>
    </row>
    <row r="1950">
      <c r="A1950">
        <f>IF($J1950="","",YEAR($J1950-WEEKDAY($J1950,2)+4)&amp;"-W"&amp;TEXT(WEEKNUM($J1950,21),"00"))</f>
        <v/>
      </c>
      <c r="B1950">
        <f>IF($J1950="","",SUMIFS('Weekly Log'!$C:$C,'Weekly Log'!$A:$A,"&gt;="&amp;$J1950,'Weekly Log'!$A:$A,"&lt;"&amp;$J1950+7))</f>
        <v/>
      </c>
      <c r="C1950">
        <f>IF($J1950="","",IFERROR(COUNTIFS('Weekly Log'!$G:$G,"Y",'Weekly Log'!$A:$A,"&gt;="&amp;$J1950,'Weekly Log'!$A:$A,"&lt;"&amp;$J1950+7)/COUNTIFS('Weekly Log'!$G:$G,"&lt;&gt;",'Weekly Log'!$A:$A,"&gt;="&amp;$J1950,'Weekly Log'!$A:$A,"&lt;"&amp;$J1950+7),0))</f>
        <v/>
      </c>
      <c r="D1950">
        <f>IF($J1950="","",IFERROR(COUNTIFS('Weekly Log'!$H:$H,"Y",'Weekly Log'!$A:$A,"&gt;="&amp;$J1950,'Weekly Log'!$A:$A,"&lt;"&amp;$J1950+7)/COUNTIFS('Weekly Log'!$H:$H,"&lt;&gt;",'Weekly Log'!$A:$A,"&gt;="&amp;$J1950,'Weekly Log'!$A:$A,"&lt;"&amp;$J1950+7),0))</f>
        <v/>
      </c>
      <c r="E1950">
        <f>IF($J1950="","",IFERROR(AVERAGEIFS('Weekly Log'!$F:$F,'Weekly Log'!$A:$A,"&gt;="&amp;$J1950,'Weekly Log'!$A:$A,"&lt;"&amp;$J1950+7),0))</f>
        <v/>
      </c>
      <c r="F1950">
        <f>IF($J1950="","",IFERROR(SUMIFS('Weekly Log'!$F:$F,'Weekly Log'!$A:$A,"&gt;="&amp;$J1950,'Weekly Log'!$A:$A,"&lt;"&amp;$J1950+7)/SUMIFS('Weekly Log'!$E:$E,'Weekly Log'!$A:$A,"&gt;="&amp;$J1950,'Weekly Log'!$A:$A,"&lt;"&amp;$J1950+7),0))</f>
        <v/>
      </c>
      <c r="G1950">
        <f>IF($J1950="","",IFERROR(LOOKUP(2,1/(('Weekly Log'!$A$5:$A$5000&gt;=$J1950)*('Weekly Log'!$A$5:$A$5000&lt;$J1950+7)*('Weekly Log'!$M$5:$M$5000&lt;&gt;"")),'Weekly Log'!$M$5:$M$5000),0))</f>
        <v/>
      </c>
      <c r="J1950">
        <f>IF(COUNT('Weekly Log'!$A$5:$A$5000)=0,"",IF(MIN('Weekly Log'!$A$5:$A$5000)+7*(ROW()-10)&gt;MAX('Weekly Log'!$A$5:$A$5000),"",MIN('Weekly Log'!$A$5:$A$5000)+7*(ROW()-10)))</f>
        <v/>
      </c>
    </row>
    <row r="1951">
      <c r="A1951">
        <f>IF($J1951="","",YEAR($J1951-WEEKDAY($J1951,2)+4)&amp;"-W"&amp;TEXT(WEEKNUM($J1951,21),"00"))</f>
        <v/>
      </c>
      <c r="B1951">
        <f>IF($J1951="","",SUMIFS('Weekly Log'!$C:$C,'Weekly Log'!$A:$A,"&gt;="&amp;$J1951,'Weekly Log'!$A:$A,"&lt;"&amp;$J1951+7))</f>
        <v/>
      </c>
      <c r="C1951">
        <f>IF($J1951="","",IFERROR(COUNTIFS('Weekly Log'!$G:$G,"Y",'Weekly Log'!$A:$A,"&gt;="&amp;$J1951,'Weekly Log'!$A:$A,"&lt;"&amp;$J1951+7)/COUNTIFS('Weekly Log'!$G:$G,"&lt;&gt;",'Weekly Log'!$A:$A,"&gt;="&amp;$J1951,'Weekly Log'!$A:$A,"&lt;"&amp;$J1951+7),0))</f>
        <v/>
      </c>
      <c r="D1951">
        <f>IF($J1951="","",IFERROR(COUNTIFS('Weekly Log'!$H:$H,"Y",'Weekly Log'!$A:$A,"&gt;="&amp;$J1951,'Weekly Log'!$A:$A,"&lt;"&amp;$J1951+7)/COUNTIFS('Weekly Log'!$H:$H,"&lt;&gt;",'Weekly Log'!$A:$A,"&gt;="&amp;$J1951,'Weekly Log'!$A:$A,"&lt;"&amp;$J1951+7),0))</f>
        <v/>
      </c>
      <c r="E1951">
        <f>IF($J1951="","",IFERROR(AVERAGEIFS('Weekly Log'!$F:$F,'Weekly Log'!$A:$A,"&gt;="&amp;$J1951,'Weekly Log'!$A:$A,"&lt;"&amp;$J1951+7),0))</f>
        <v/>
      </c>
      <c r="F1951">
        <f>IF($J1951="","",IFERROR(SUMIFS('Weekly Log'!$F:$F,'Weekly Log'!$A:$A,"&gt;="&amp;$J1951,'Weekly Log'!$A:$A,"&lt;"&amp;$J1951+7)/SUMIFS('Weekly Log'!$E:$E,'Weekly Log'!$A:$A,"&gt;="&amp;$J1951,'Weekly Log'!$A:$A,"&lt;"&amp;$J1951+7),0))</f>
        <v/>
      </c>
      <c r="G1951">
        <f>IF($J1951="","",IFERROR(LOOKUP(2,1/(('Weekly Log'!$A$5:$A$5000&gt;=$J1951)*('Weekly Log'!$A$5:$A$5000&lt;$J1951+7)*('Weekly Log'!$M$5:$M$5000&lt;&gt;"")),'Weekly Log'!$M$5:$M$5000),0))</f>
        <v/>
      </c>
      <c r="J1951">
        <f>IF(COUNT('Weekly Log'!$A$5:$A$5000)=0,"",IF(MIN('Weekly Log'!$A$5:$A$5000)+7*(ROW()-10)&gt;MAX('Weekly Log'!$A$5:$A$5000),"",MIN('Weekly Log'!$A$5:$A$5000)+7*(ROW()-10)))</f>
        <v/>
      </c>
    </row>
    <row r="1952">
      <c r="A1952">
        <f>IF($J1952="","",YEAR($J1952-WEEKDAY($J1952,2)+4)&amp;"-W"&amp;TEXT(WEEKNUM($J1952,21),"00"))</f>
        <v/>
      </c>
      <c r="B1952">
        <f>IF($J1952="","",SUMIFS('Weekly Log'!$C:$C,'Weekly Log'!$A:$A,"&gt;="&amp;$J1952,'Weekly Log'!$A:$A,"&lt;"&amp;$J1952+7))</f>
        <v/>
      </c>
      <c r="C1952">
        <f>IF($J1952="","",IFERROR(COUNTIFS('Weekly Log'!$G:$G,"Y",'Weekly Log'!$A:$A,"&gt;="&amp;$J1952,'Weekly Log'!$A:$A,"&lt;"&amp;$J1952+7)/COUNTIFS('Weekly Log'!$G:$G,"&lt;&gt;",'Weekly Log'!$A:$A,"&gt;="&amp;$J1952,'Weekly Log'!$A:$A,"&lt;"&amp;$J1952+7),0))</f>
        <v/>
      </c>
      <c r="D1952">
        <f>IF($J1952="","",IFERROR(COUNTIFS('Weekly Log'!$H:$H,"Y",'Weekly Log'!$A:$A,"&gt;="&amp;$J1952,'Weekly Log'!$A:$A,"&lt;"&amp;$J1952+7)/COUNTIFS('Weekly Log'!$H:$H,"&lt;&gt;",'Weekly Log'!$A:$A,"&gt;="&amp;$J1952,'Weekly Log'!$A:$A,"&lt;"&amp;$J1952+7),0))</f>
        <v/>
      </c>
      <c r="E1952">
        <f>IF($J1952="","",IFERROR(AVERAGEIFS('Weekly Log'!$F:$F,'Weekly Log'!$A:$A,"&gt;="&amp;$J1952,'Weekly Log'!$A:$A,"&lt;"&amp;$J1952+7),0))</f>
        <v/>
      </c>
      <c r="F1952">
        <f>IF($J1952="","",IFERROR(SUMIFS('Weekly Log'!$F:$F,'Weekly Log'!$A:$A,"&gt;="&amp;$J1952,'Weekly Log'!$A:$A,"&lt;"&amp;$J1952+7)/SUMIFS('Weekly Log'!$E:$E,'Weekly Log'!$A:$A,"&gt;="&amp;$J1952,'Weekly Log'!$A:$A,"&lt;"&amp;$J1952+7),0))</f>
        <v/>
      </c>
      <c r="G1952">
        <f>IF($J1952="","",IFERROR(LOOKUP(2,1/(('Weekly Log'!$A$5:$A$5000&gt;=$J1952)*('Weekly Log'!$A$5:$A$5000&lt;$J1952+7)*('Weekly Log'!$M$5:$M$5000&lt;&gt;"")),'Weekly Log'!$M$5:$M$5000),0))</f>
        <v/>
      </c>
      <c r="J1952">
        <f>IF(COUNT('Weekly Log'!$A$5:$A$5000)=0,"",IF(MIN('Weekly Log'!$A$5:$A$5000)+7*(ROW()-10)&gt;MAX('Weekly Log'!$A$5:$A$5000),"",MIN('Weekly Log'!$A$5:$A$5000)+7*(ROW()-10)))</f>
        <v/>
      </c>
    </row>
    <row r="1953">
      <c r="A1953">
        <f>IF($J1953="","",YEAR($J1953-WEEKDAY($J1953,2)+4)&amp;"-W"&amp;TEXT(WEEKNUM($J1953,21),"00"))</f>
        <v/>
      </c>
      <c r="B1953">
        <f>IF($J1953="","",SUMIFS('Weekly Log'!$C:$C,'Weekly Log'!$A:$A,"&gt;="&amp;$J1953,'Weekly Log'!$A:$A,"&lt;"&amp;$J1953+7))</f>
        <v/>
      </c>
      <c r="C1953">
        <f>IF($J1953="","",IFERROR(COUNTIFS('Weekly Log'!$G:$G,"Y",'Weekly Log'!$A:$A,"&gt;="&amp;$J1953,'Weekly Log'!$A:$A,"&lt;"&amp;$J1953+7)/COUNTIFS('Weekly Log'!$G:$G,"&lt;&gt;",'Weekly Log'!$A:$A,"&gt;="&amp;$J1953,'Weekly Log'!$A:$A,"&lt;"&amp;$J1953+7),0))</f>
        <v/>
      </c>
      <c r="D1953">
        <f>IF($J1953="","",IFERROR(COUNTIFS('Weekly Log'!$H:$H,"Y",'Weekly Log'!$A:$A,"&gt;="&amp;$J1953,'Weekly Log'!$A:$A,"&lt;"&amp;$J1953+7)/COUNTIFS('Weekly Log'!$H:$H,"&lt;&gt;",'Weekly Log'!$A:$A,"&gt;="&amp;$J1953,'Weekly Log'!$A:$A,"&lt;"&amp;$J1953+7),0))</f>
        <v/>
      </c>
      <c r="E1953">
        <f>IF($J1953="","",IFERROR(AVERAGEIFS('Weekly Log'!$F:$F,'Weekly Log'!$A:$A,"&gt;="&amp;$J1953,'Weekly Log'!$A:$A,"&lt;"&amp;$J1953+7),0))</f>
        <v/>
      </c>
      <c r="F1953">
        <f>IF($J1953="","",IFERROR(SUMIFS('Weekly Log'!$F:$F,'Weekly Log'!$A:$A,"&gt;="&amp;$J1953,'Weekly Log'!$A:$A,"&lt;"&amp;$J1953+7)/SUMIFS('Weekly Log'!$E:$E,'Weekly Log'!$A:$A,"&gt;="&amp;$J1953,'Weekly Log'!$A:$A,"&lt;"&amp;$J1953+7),0))</f>
        <v/>
      </c>
      <c r="G1953">
        <f>IF($J1953="","",IFERROR(LOOKUP(2,1/(('Weekly Log'!$A$5:$A$5000&gt;=$J1953)*('Weekly Log'!$A$5:$A$5000&lt;$J1953+7)*('Weekly Log'!$M$5:$M$5000&lt;&gt;"")),'Weekly Log'!$M$5:$M$5000),0))</f>
        <v/>
      </c>
      <c r="J1953">
        <f>IF(COUNT('Weekly Log'!$A$5:$A$5000)=0,"",IF(MIN('Weekly Log'!$A$5:$A$5000)+7*(ROW()-10)&gt;MAX('Weekly Log'!$A$5:$A$5000),"",MIN('Weekly Log'!$A$5:$A$5000)+7*(ROW()-10)))</f>
        <v/>
      </c>
    </row>
    <row r="1954">
      <c r="A1954">
        <f>IF($J1954="","",YEAR($J1954-WEEKDAY($J1954,2)+4)&amp;"-W"&amp;TEXT(WEEKNUM($J1954,21),"00"))</f>
        <v/>
      </c>
      <c r="B1954">
        <f>IF($J1954="","",SUMIFS('Weekly Log'!$C:$C,'Weekly Log'!$A:$A,"&gt;="&amp;$J1954,'Weekly Log'!$A:$A,"&lt;"&amp;$J1954+7))</f>
        <v/>
      </c>
      <c r="C1954">
        <f>IF($J1954="","",IFERROR(COUNTIFS('Weekly Log'!$G:$G,"Y",'Weekly Log'!$A:$A,"&gt;="&amp;$J1954,'Weekly Log'!$A:$A,"&lt;"&amp;$J1954+7)/COUNTIFS('Weekly Log'!$G:$G,"&lt;&gt;",'Weekly Log'!$A:$A,"&gt;="&amp;$J1954,'Weekly Log'!$A:$A,"&lt;"&amp;$J1954+7),0))</f>
        <v/>
      </c>
      <c r="D1954">
        <f>IF($J1954="","",IFERROR(COUNTIFS('Weekly Log'!$H:$H,"Y",'Weekly Log'!$A:$A,"&gt;="&amp;$J1954,'Weekly Log'!$A:$A,"&lt;"&amp;$J1954+7)/COUNTIFS('Weekly Log'!$H:$H,"&lt;&gt;",'Weekly Log'!$A:$A,"&gt;="&amp;$J1954,'Weekly Log'!$A:$A,"&lt;"&amp;$J1954+7),0))</f>
        <v/>
      </c>
      <c r="E1954">
        <f>IF($J1954="","",IFERROR(AVERAGEIFS('Weekly Log'!$F:$F,'Weekly Log'!$A:$A,"&gt;="&amp;$J1954,'Weekly Log'!$A:$A,"&lt;"&amp;$J1954+7),0))</f>
        <v/>
      </c>
      <c r="F1954">
        <f>IF($J1954="","",IFERROR(SUMIFS('Weekly Log'!$F:$F,'Weekly Log'!$A:$A,"&gt;="&amp;$J1954,'Weekly Log'!$A:$A,"&lt;"&amp;$J1954+7)/SUMIFS('Weekly Log'!$E:$E,'Weekly Log'!$A:$A,"&gt;="&amp;$J1954,'Weekly Log'!$A:$A,"&lt;"&amp;$J1954+7),0))</f>
        <v/>
      </c>
      <c r="G1954">
        <f>IF($J1954="","",IFERROR(LOOKUP(2,1/(('Weekly Log'!$A$5:$A$5000&gt;=$J1954)*('Weekly Log'!$A$5:$A$5000&lt;$J1954+7)*('Weekly Log'!$M$5:$M$5000&lt;&gt;"")),'Weekly Log'!$M$5:$M$5000),0))</f>
        <v/>
      </c>
      <c r="J1954">
        <f>IF(COUNT('Weekly Log'!$A$5:$A$5000)=0,"",IF(MIN('Weekly Log'!$A$5:$A$5000)+7*(ROW()-10)&gt;MAX('Weekly Log'!$A$5:$A$5000),"",MIN('Weekly Log'!$A$5:$A$5000)+7*(ROW()-10)))</f>
        <v/>
      </c>
    </row>
    <row r="1955">
      <c r="A1955">
        <f>IF($J1955="","",YEAR($J1955-WEEKDAY($J1955,2)+4)&amp;"-W"&amp;TEXT(WEEKNUM($J1955,21),"00"))</f>
        <v/>
      </c>
      <c r="B1955">
        <f>IF($J1955="","",SUMIFS('Weekly Log'!$C:$C,'Weekly Log'!$A:$A,"&gt;="&amp;$J1955,'Weekly Log'!$A:$A,"&lt;"&amp;$J1955+7))</f>
        <v/>
      </c>
      <c r="C1955">
        <f>IF($J1955="","",IFERROR(COUNTIFS('Weekly Log'!$G:$G,"Y",'Weekly Log'!$A:$A,"&gt;="&amp;$J1955,'Weekly Log'!$A:$A,"&lt;"&amp;$J1955+7)/COUNTIFS('Weekly Log'!$G:$G,"&lt;&gt;",'Weekly Log'!$A:$A,"&gt;="&amp;$J1955,'Weekly Log'!$A:$A,"&lt;"&amp;$J1955+7),0))</f>
        <v/>
      </c>
      <c r="D1955">
        <f>IF($J1955="","",IFERROR(COUNTIFS('Weekly Log'!$H:$H,"Y",'Weekly Log'!$A:$A,"&gt;="&amp;$J1955,'Weekly Log'!$A:$A,"&lt;"&amp;$J1955+7)/COUNTIFS('Weekly Log'!$H:$H,"&lt;&gt;",'Weekly Log'!$A:$A,"&gt;="&amp;$J1955,'Weekly Log'!$A:$A,"&lt;"&amp;$J1955+7),0))</f>
        <v/>
      </c>
      <c r="E1955">
        <f>IF($J1955="","",IFERROR(AVERAGEIFS('Weekly Log'!$F:$F,'Weekly Log'!$A:$A,"&gt;="&amp;$J1955,'Weekly Log'!$A:$A,"&lt;"&amp;$J1955+7),0))</f>
        <v/>
      </c>
      <c r="F1955">
        <f>IF($J1955="","",IFERROR(SUMIFS('Weekly Log'!$F:$F,'Weekly Log'!$A:$A,"&gt;="&amp;$J1955,'Weekly Log'!$A:$A,"&lt;"&amp;$J1955+7)/SUMIFS('Weekly Log'!$E:$E,'Weekly Log'!$A:$A,"&gt;="&amp;$J1955,'Weekly Log'!$A:$A,"&lt;"&amp;$J1955+7),0))</f>
        <v/>
      </c>
      <c r="G1955">
        <f>IF($J1955="","",IFERROR(LOOKUP(2,1/(('Weekly Log'!$A$5:$A$5000&gt;=$J1955)*('Weekly Log'!$A$5:$A$5000&lt;$J1955+7)*('Weekly Log'!$M$5:$M$5000&lt;&gt;"")),'Weekly Log'!$M$5:$M$5000),0))</f>
        <v/>
      </c>
      <c r="J1955">
        <f>IF(COUNT('Weekly Log'!$A$5:$A$5000)=0,"",IF(MIN('Weekly Log'!$A$5:$A$5000)+7*(ROW()-10)&gt;MAX('Weekly Log'!$A$5:$A$5000),"",MIN('Weekly Log'!$A$5:$A$5000)+7*(ROW()-10)))</f>
        <v/>
      </c>
    </row>
    <row r="1956">
      <c r="A1956">
        <f>IF($J1956="","",YEAR($J1956-WEEKDAY($J1956,2)+4)&amp;"-W"&amp;TEXT(WEEKNUM($J1956,21),"00"))</f>
        <v/>
      </c>
      <c r="B1956">
        <f>IF($J1956="","",SUMIFS('Weekly Log'!$C:$C,'Weekly Log'!$A:$A,"&gt;="&amp;$J1956,'Weekly Log'!$A:$A,"&lt;"&amp;$J1956+7))</f>
        <v/>
      </c>
      <c r="C1956">
        <f>IF($J1956="","",IFERROR(COUNTIFS('Weekly Log'!$G:$G,"Y",'Weekly Log'!$A:$A,"&gt;="&amp;$J1956,'Weekly Log'!$A:$A,"&lt;"&amp;$J1956+7)/COUNTIFS('Weekly Log'!$G:$G,"&lt;&gt;",'Weekly Log'!$A:$A,"&gt;="&amp;$J1956,'Weekly Log'!$A:$A,"&lt;"&amp;$J1956+7),0))</f>
        <v/>
      </c>
      <c r="D1956">
        <f>IF($J1956="","",IFERROR(COUNTIFS('Weekly Log'!$H:$H,"Y",'Weekly Log'!$A:$A,"&gt;="&amp;$J1956,'Weekly Log'!$A:$A,"&lt;"&amp;$J1956+7)/COUNTIFS('Weekly Log'!$H:$H,"&lt;&gt;",'Weekly Log'!$A:$A,"&gt;="&amp;$J1956,'Weekly Log'!$A:$A,"&lt;"&amp;$J1956+7),0))</f>
        <v/>
      </c>
      <c r="E1956">
        <f>IF($J1956="","",IFERROR(AVERAGEIFS('Weekly Log'!$F:$F,'Weekly Log'!$A:$A,"&gt;="&amp;$J1956,'Weekly Log'!$A:$A,"&lt;"&amp;$J1956+7),0))</f>
        <v/>
      </c>
      <c r="F1956">
        <f>IF($J1956="","",IFERROR(SUMIFS('Weekly Log'!$F:$F,'Weekly Log'!$A:$A,"&gt;="&amp;$J1956,'Weekly Log'!$A:$A,"&lt;"&amp;$J1956+7)/SUMIFS('Weekly Log'!$E:$E,'Weekly Log'!$A:$A,"&gt;="&amp;$J1956,'Weekly Log'!$A:$A,"&lt;"&amp;$J1956+7),0))</f>
        <v/>
      </c>
      <c r="G1956">
        <f>IF($J1956="","",IFERROR(LOOKUP(2,1/(('Weekly Log'!$A$5:$A$5000&gt;=$J1956)*('Weekly Log'!$A$5:$A$5000&lt;$J1956+7)*('Weekly Log'!$M$5:$M$5000&lt;&gt;"")),'Weekly Log'!$M$5:$M$5000),0))</f>
        <v/>
      </c>
      <c r="J1956">
        <f>IF(COUNT('Weekly Log'!$A$5:$A$5000)=0,"",IF(MIN('Weekly Log'!$A$5:$A$5000)+7*(ROW()-10)&gt;MAX('Weekly Log'!$A$5:$A$5000),"",MIN('Weekly Log'!$A$5:$A$5000)+7*(ROW()-10)))</f>
        <v/>
      </c>
    </row>
    <row r="1957">
      <c r="A1957">
        <f>IF($J1957="","",YEAR($J1957-WEEKDAY($J1957,2)+4)&amp;"-W"&amp;TEXT(WEEKNUM($J1957,21),"00"))</f>
        <v/>
      </c>
      <c r="B1957">
        <f>IF($J1957="","",SUMIFS('Weekly Log'!$C:$C,'Weekly Log'!$A:$A,"&gt;="&amp;$J1957,'Weekly Log'!$A:$A,"&lt;"&amp;$J1957+7))</f>
        <v/>
      </c>
      <c r="C1957">
        <f>IF($J1957="","",IFERROR(COUNTIFS('Weekly Log'!$G:$G,"Y",'Weekly Log'!$A:$A,"&gt;="&amp;$J1957,'Weekly Log'!$A:$A,"&lt;"&amp;$J1957+7)/COUNTIFS('Weekly Log'!$G:$G,"&lt;&gt;",'Weekly Log'!$A:$A,"&gt;="&amp;$J1957,'Weekly Log'!$A:$A,"&lt;"&amp;$J1957+7),0))</f>
        <v/>
      </c>
      <c r="D1957">
        <f>IF($J1957="","",IFERROR(COUNTIFS('Weekly Log'!$H:$H,"Y",'Weekly Log'!$A:$A,"&gt;="&amp;$J1957,'Weekly Log'!$A:$A,"&lt;"&amp;$J1957+7)/COUNTIFS('Weekly Log'!$H:$H,"&lt;&gt;",'Weekly Log'!$A:$A,"&gt;="&amp;$J1957,'Weekly Log'!$A:$A,"&lt;"&amp;$J1957+7),0))</f>
        <v/>
      </c>
      <c r="E1957">
        <f>IF($J1957="","",IFERROR(AVERAGEIFS('Weekly Log'!$F:$F,'Weekly Log'!$A:$A,"&gt;="&amp;$J1957,'Weekly Log'!$A:$A,"&lt;"&amp;$J1957+7),0))</f>
        <v/>
      </c>
      <c r="F1957">
        <f>IF($J1957="","",IFERROR(SUMIFS('Weekly Log'!$F:$F,'Weekly Log'!$A:$A,"&gt;="&amp;$J1957,'Weekly Log'!$A:$A,"&lt;"&amp;$J1957+7)/SUMIFS('Weekly Log'!$E:$E,'Weekly Log'!$A:$A,"&gt;="&amp;$J1957,'Weekly Log'!$A:$A,"&lt;"&amp;$J1957+7),0))</f>
        <v/>
      </c>
      <c r="G1957">
        <f>IF($J1957="","",IFERROR(LOOKUP(2,1/(('Weekly Log'!$A$5:$A$5000&gt;=$J1957)*('Weekly Log'!$A$5:$A$5000&lt;$J1957+7)*('Weekly Log'!$M$5:$M$5000&lt;&gt;"")),'Weekly Log'!$M$5:$M$5000),0))</f>
        <v/>
      </c>
      <c r="J1957">
        <f>IF(COUNT('Weekly Log'!$A$5:$A$5000)=0,"",IF(MIN('Weekly Log'!$A$5:$A$5000)+7*(ROW()-10)&gt;MAX('Weekly Log'!$A$5:$A$5000),"",MIN('Weekly Log'!$A$5:$A$5000)+7*(ROW()-10)))</f>
        <v/>
      </c>
    </row>
    <row r="1958">
      <c r="A1958">
        <f>IF($J1958="","",YEAR($J1958-WEEKDAY($J1958,2)+4)&amp;"-W"&amp;TEXT(WEEKNUM($J1958,21),"00"))</f>
        <v/>
      </c>
      <c r="B1958">
        <f>IF($J1958="","",SUMIFS('Weekly Log'!$C:$C,'Weekly Log'!$A:$A,"&gt;="&amp;$J1958,'Weekly Log'!$A:$A,"&lt;"&amp;$J1958+7))</f>
        <v/>
      </c>
      <c r="C1958">
        <f>IF($J1958="","",IFERROR(COUNTIFS('Weekly Log'!$G:$G,"Y",'Weekly Log'!$A:$A,"&gt;="&amp;$J1958,'Weekly Log'!$A:$A,"&lt;"&amp;$J1958+7)/COUNTIFS('Weekly Log'!$G:$G,"&lt;&gt;",'Weekly Log'!$A:$A,"&gt;="&amp;$J1958,'Weekly Log'!$A:$A,"&lt;"&amp;$J1958+7),0))</f>
        <v/>
      </c>
      <c r="D1958">
        <f>IF($J1958="","",IFERROR(COUNTIFS('Weekly Log'!$H:$H,"Y",'Weekly Log'!$A:$A,"&gt;="&amp;$J1958,'Weekly Log'!$A:$A,"&lt;"&amp;$J1958+7)/COUNTIFS('Weekly Log'!$H:$H,"&lt;&gt;",'Weekly Log'!$A:$A,"&gt;="&amp;$J1958,'Weekly Log'!$A:$A,"&lt;"&amp;$J1958+7),0))</f>
        <v/>
      </c>
      <c r="E1958">
        <f>IF($J1958="","",IFERROR(AVERAGEIFS('Weekly Log'!$F:$F,'Weekly Log'!$A:$A,"&gt;="&amp;$J1958,'Weekly Log'!$A:$A,"&lt;"&amp;$J1958+7),0))</f>
        <v/>
      </c>
      <c r="F1958">
        <f>IF($J1958="","",IFERROR(SUMIFS('Weekly Log'!$F:$F,'Weekly Log'!$A:$A,"&gt;="&amp;$J1958,'Weekly Log'!$A:$A,"&lt;"&amp;$J1958+7)/SUMIFS('Weekly Log'!$E:$E,'Weekly Log'!$A:$A,"&gt;="&amp;$J1958,'Weekly Log'!$A:$A,"&lt;"&amp;$J1958+7),0))</f>
        <v/>
      </c>
      <c r="G1958">
        <f>IF($J1958="","",IFERROR(LOOKUP(2,1/(('Weekly Log'!$A$5:$A$5000&gt;=$J1958)*('Weekly Log'!$A$5:$A$5000&lt;$J1958+7)*('Weekly Log'!$M$5:$M$5000&lt;&gt;"")),'Weekly Log'!$M$5:$M$5000),0))</f>
        <v/>
      </c>
      <c r="J1958">
        <f>IF(COUNT('Weekly Log'!$A$5:$A$5000)=0,"",IF(MIN('Weekly Log'!$A$5:$A$5000)+7*(ROW()-10)&gt;MAX('Weekly Log'!$A$5:$A$5000),"",MIN('Weekly Log'!$A$5:$A$5000)+7*(ROW()-10)))</f>
        <v/>
      </c>
    </row>
    <row r="1959">
      <c r="A1959">
        <f>IF($J1959="","",YEAR($J1959-WEEKDAY($J1959,2)+4)&amp;"-W"&amp;TEXT(WEEKNUM($J1959,21),"00"))</f>
        <v/>
      </c>
      <c r="B1959">
        <f>IF($J1959="","",SUMIFS('Weekly Log'!$C:$C,'Weekly Log'!$A:$A,"&gt;="&amp;$J1959,'Weekly Log'!$A:$A,"&lt;"&amp;$J1959+7))</f>
        <v/>
      </c>
      <c r="C1959">
        <f>IF($J1959="","",IFERROR(COUNTIFS('Weekly Log'!$G:$G,"Y",'Weekly Log'!$A:$A,"&gt;="&amp;$J1959,'Weekly Log'!$A:$A,"&lt;"&amp;$J1959+7)/COUNTIFS('Weekly Log'!$G:$G,"&lt;&gt;",'Weekly Log'!$A:$A,"&gt;="&amp;$J1959,'Weekly Log'!$A:$A,"&lt;"&amp;$J1959+7),0))</f>
        <v/>
      </c>
      <c r="D1959">
        <f>IF($J1959="","",IFERROR(COUNTIFS('Weekly Log'!$H:$H,"Y",'Weekly Log'!$A:$A,"&gt;="&amp;$J1959,'Weekly Log'!$A:$A,"&lt;"&amp;$J1959+7)/COUNTIFS('Weekly Log'!$H:$H,"&lt;&gt;",'Weekly Log'!$A:$A,"&gt;="&amp;$J1959,'Weekly Log'!$A:$A,"&lt;"&amp;$J1959+7),0))</f>
        <v/>
      </c>
      <c r="E1959">
        <f>IF($J1959="","",IFERROR(AVERAGEIFS('Weekly Log'!$F:$F,'Weekly Log'!$A:$A,"&gt;="&amp;$J1959,'Weekly Log'!$A:$A,"&lt;"&amp;$J1959+7),0))</f>
        <v/>
      </c>
      <c r="F1959">
        <f>IF($J1959="","",IFERROR(SUMIFS('Weekly Log'!$F:$F,'Weekly Log'!$A:$A,"&gt;="&amp;$J1959,'Weekly Log'!$A:$A,"&lt;"&amp;$J1959+7)/SUMIFS('Weekly Log'!$E:$E,'Weekly Log'!$A:$A,"&gt;="&amp;$J1959,'Weekly Log'!$A:$A,"&lt;"&amp;$J1959+7),0))</f>
        <v/>
      </c>
      <c r="G1959">
        <f>IF($J1959="","",IFERROR(LOOKUP(2,1/(('Weekly Log'!$A$5:$A$5000&gt;=$J1959)*('Weekly Log'!$A$5:$A$5000&lt;$J1959+7)*('Weekly Log'!$M$5:$M$5000&lt;&gt;"")),'Weekly Log'!$M$5:$M$5000),0))</f>
        <v/>
      </c>
      <c r="J1959">
        <f>IF(COUNT('Weekly Log'!$A$5:$A$5000)=0,"",IF(MIN('Weekly Log'!$A$5:$A$5000)+7*(ROW()-10)&gt;MAX('Weekly Log'!$A$5:$A$5000),"",MIN('Weekly Log'!$A$5:$A$5000)+7*(ROW()-10)))</f>
        <v/>
      </c>
    </row>
    <row r="1960">
      <c r="A1960">
        <f>IF($J1960="","",YEAR($J1960-WEEKDAY($J1960,2)+4)&amp;"-W"&amp;TEXT(WEEKNUM($J1960,21),"00"))</f>
        <v/>
      </c>
      <c r="B1960">
        <f>IF($J1960="","",SUMIFS('Weekly Log'!$C:$C,'Weekly Log'!$A:$A,"&gt;="&amp;$J1960,'Weekly Log'!$A:$A,"&lt;"&amp;$J1960+7))</f>
        <v/>
      </c>
      <c r="C1960">
        <f>IF($J1960="","",IFERROR(COUNTIFS('Weekly Log'!$G:$G,"Y",'Weekly Log'!$A:$A,"&gt;="&amp;$J1960,'Weekly Log'!$A:$A,"&lt;"&amp;$J1960+7)/COUNTIFS('Weekly Log'!$G:$G,"&lt;&gt;",'Weekly Log'!$A:$A,"&gt;="&amp;$J1960,'Weekly Log'!$A:$A,"&lt;"&amp;$J1960+7),0))</f>
        <v/>
      </c>
      <c r="D1960">
        <f>IF($J1960="","",IFERROR(COUNTIFS('Weekly Log'!$H:$H,"Y",'Weekly Log'!$A:$A,"&gt;="&amp;$J1960,'Weekly Log'!$A:$A,"&lt;"&amp;$J1960+7)/COUNTIFS('Weekly Log'!$H:$H,"&lt;&gt;",'Weekly Log'!$A:$A,"&gt;="&amp;$J1960,'Weekly Log'!$A:$A,"&lt;"&amp;$J1960+7),0))</f>
        <v/>
      </c>
      <c r="E1960">
        <f>IF($J1960="","",IFERROR(AVERAGEIFS('Weekly Log'!$F:$F,'Weekly Log'!$A:$A,"&gt;="&amp;$J1960,'Weekly Log'!$A:$A,"&lt;"&amp;$J1960+7),0))</f>
        <v/>
      </c>
      <c r="F1960">
        <f>IF($J1960="","",IFERROR(SUMIFS('Weekly Log'!$F:$F,'Weekly Log'!$A:$A,"&gt;="&amp;$J1960,'Weekly Log'!$A:$A,"&lt;"&amp;$J1960+7)/SUMIFS('Weekly Log'!$E:$E,'Weekly Log'!$A:$A,"&gt;="&amp;$J1960,'Weekly Log'!$A:$A,"&lt;"&amp;$J1960+7),0))</f>
        <v/>
      </c>
      <c r="G1960">
        <f>IF($J1960="","",IFERROR(LOOKUP(2,1/(('Weekly Log'!$A$5:$A$5000&gt;=$J1960)*('Weekly Log'!$A$5:$A$5000&lt;$J1960+7)*('Weekly Log'!$M$5:$M$5000&lt;&gt;"")),'Weekly Log'!$M$5:$M$5000),0))</f>
        <v/>
      </c>
      <c r="J1960">
        <f>IF(COUNT('Weekly Log'!$A$5:$A$5000)=0,"",IF(MIN('Weekly Log'!$A$5:$A$5000)+7*(ROW()-10)&gt;MAX('Weekly Log'!$A$5:$A$5000),"",MIN('Weekly Log'!$A$5:$A$5000)+7*(ROW()-10)))</f>
        <v/>
      </c>
    </row>
    <row r="1961">
      <c r="A1961">
        <f>IF($J1961="","",YEAR($J1961-WEEKDAY($J1961,2)+4)&amp;"-W"&amp;TEXT(WEEKNUM($J1961,21),"00"))</f>
        <v/>
      </c>
      <c r="B1961">
        <f>IF($J1961="","",SUMIFS('Weekly Log'!$C:$C,'Weekly Log'!$A:$A,"&gt;="&amp;$J1961,'Weekly Log'!$A:$A,"&lt;"&amp;$J1961+7))</f>
        <v/>
      </c>
      <c r="C1961">
        <f>IF($J1961="","",IFERROR(COUNTIFS('Weekly Log'!$G:$G,"Y",'Weekly Log'!$A:$A,"&gt;="&amp;$J1961,'Weekly Log'!$A:$A,"&lt;"&amp;$J1961+7)/COUNTIFS('Weekly Log'!$G:$G,"&lt;&gt;",'Weekly Log'!$A:$A,"&gt;="&amp;$J1961,'Weekly Log'!$A:$A,"&lt;"&amp;$J1961+7),0))</f>
        <v/>
      </c>
      <c r="D1961">
        <f>IF($J1961="","",IFERROR(COUNTIFS('Weekly Log'!$H:$H,"Y",'Weekly Log'!$A:$A,"&gt;="&amp;$J1961,'Weekly Log'!$A:$A,"&lt;"&amp;$J1961+7)/COUNTIFS('Weekly Log'!$H:$H,"&lt;&gt;",'Weekly Log'!$A:$A,"&gt;="&amp;$J1961,'Weekly Log'!$A:$A,"&lt;"&amp;$J1961+7),0))</f>
        <v/>
      </c>
      <c r="E1961">
        <f>IF($J1961="","",IFERROR(AVERAGEIFS('Weekly Log'!$F:$F,'Weekly Log'!$A:$A,"&gt;="&amp;$J1961,'Weekly Log'!$A:$A,"&lt;"&amp;$J1961+7),0))</f>
        <v/>
      </c>
      <c r="F1961">
        <f>IF($J1961="","",IFERROR(SUMIFS('Weekly Log'!$F:$F,'Weekly Log'!$A:$A,"&gt;="&amp;$J1961,'Weekly Log'!$A:$A,"&lt;"&amp;$J1961+7)/SUMIFS('Weekly Log'!$E:$E,'Weekly Log'!$A:$A,"&gt;="&amp;$J1961,'Weekly Log'!$A:$A,"&lt;"&amp;$J1961+7),0))</f>
        <v/>
      </c>
      <c r="G1961">
        <f>IF($J1961="","",IFERROR(LOOKUP(2,1/(('Weekly Log'!$A$5:$A$5000&gt;=$J1961)*('Weekly Log'!$A$5:$A$5000&lt;$J1961+7)*('Weekly Log'!$M$5:$M$5000&lt;&gt;"")),'Weekly Log'!$M$5:$M$5000),0))</f>
        <v/>
      </c>
      <c r="J1961">
        <f>IF(COUNT('Weekly Log'!$A$5:$A$5000)=0,"",IF(MIN('Weekly Log'!$A$5:$A$5000)+7*(ROW()-10)&gt;MAX('Weekly Log'!$A$5:$A$5000),"",MIN('Weekly Log'!$A$5:$A$5000)+7*(ROW()-10)))</f>
        <v/>
      </c>
    </row>
    <row r="1962">
      <c r="A1962">
        <f>IF($J1962="","",YEAR($J1962-WEEKDAY($J1962,2)+4)&amp;"-W"&amp;TEXT(WEEKNUM($J1962,21),"00"))</f>
        <v/>
      </c>
      <c r="B1962">
        <f>IF($J1962="","",SUMIFS('Weekly Log'!$C:$C,'Weekly Log'!$A:$A,"&gt;="&amp;$J1962,'Weekly Log'!$A:$A,"&lt;"&amp;$J1962+7))</f>
        <v/>
      </c>
      <c r="C1962">
        <f>IF($J1962="","",IFERROR(COUNTIFS('Weekly Log'!$G:$G,"Y",'Weekly Log'!$A:$A,"&gt;="&amp;$J1962,'Weekly Log'!$A:$A,"&lt;"&amp;$J1962+7)/COUNTIFS('Weekly Log'!$G:$G,"&lt;&gt;",'Weekly Log'!$A:$A,"&gt;="&amp;$J1962,'Weekly Log'!$A:$A,"&lt;"&amp;$J1962+7),0))</f>
        <v/>
      </c>
      <c r="D1962">
        <f>IF($J1962="","",IFERROR(COUNTIFS('Weekly Log'!$H:$H,"Y",'Weekly Log'!$A:$A,"&gt;="&amp;$J1962,'Weekly Log'!$A:$A,"&lt;"&amp;$J1962+7)/COUNTIFS('Weekly Log'!$H:$H,"&lt;&gt;",'Weekly Log'!$A:$A,"&gt;="&amp;$J1962,'Weekly Log'!$A:$A,"&lt;"&amp;$J1962+7),0))</f>
        <v/>
      </c>
      <c r="E1962">
        <f>IF($J1962="","",IFERROR(AVERAGEIFS('Weekly Log'!$F:$F,'Weekly Log'!$A:$A,"&gt;="&amp;$J1962,'Weekly Log'!$A:$A,"&lt;"&amp;$J1962+7),0))</f>
        <v/>
      </c>
      <c r="F1962">
        <f>IF($J1962="","",IFERROR(SUMIFS('Weekly Log'!$F:$F,'Weekly Log'!$A:$A,"&gt;="&amp;$J1962,'Weekly Log'!$A:$A,"&lt;"&amp;$J1962+7)/SUMIFS('Weekly Log'!$E:$E,'Weekly Log'!$A:$A,"&gt;="&amp;$J1962,'Weekly Log'!$A:$A,"&lt;"&amp;$J1962+7),0))</f>
        <v/>
      </c>
      <c r="G1962">
        <f>IF($J1962="","",IFERROR(LOOKUP(2,1/(('Weekly Log'!$A$5:$A$5000&gt;=$J1962)*('Weekly Log'!$A$5:$A$5000&lt;$J1962+7)*('Weekly Log'!$M$5:$M$5000&lt;&gt;"")),'Weekly Log'!$M$5:$M$5000),0))</f>
        <v/>
      </c>
      <c r="J1962">
        <f>IF(COUNT('Weekly Log'!$A$5:$A$5000)=0,"",IF(MIN('Weekly Log'!$A$5:$A$5000)+7*(ROW()-10)&gt;MAX('Weekly Log'!$A$5:$A$5000),"",MIN('Weekly Log'!$A$5:$A$5000)+7*(ROW()-10)))</f>
        <v/>
      </c>
    </row>
    <row r="1963">
      <c r="A1963">
        <f>IF($J1963="","",YEAR($J1963-WEEKDAY($J1963,2)+4)&amp;"-W"&amp;TEXT(WEEKNUM($J1963,21),"00"))</f>
        <v/>
      </c>
      <c r="B1963">
        <f>IF($J1963="","",SUMIFS('Weekly Log'!$C:$C,'Weekly Log'!$A:$A,"&gt;="&amp;$J1963,'Weekly Log'!$A:$A,"&lt;"&amp;$J1963+7))</f>
        <v/>
      </c>
      <c r="C1963">
        <f>IF($J1963="","",IFERROR(COUNTIFS('Weekly Log'!$G:$G,"Y",'Weekly Log'!$A:$A,"&gt;="&amp;$J1963,'Weekly Log'!$A:$A,"&lt;"&amp;$J1963+7)/COUNTIFS('Weekly Log'!$G:$G,"&lt;&gt;",'Weekly Log'!$A:$A,"&gt;="&amp;$J1963,'Weekly Log'!$A:$A,"&lt;"&amp;$J1963+7),0))</f>
        <v/>
      </c>
      <c r="D1963">
        <f>IF($J1963="","",IFERROR(COUNTIFS('Weekly Log'!$H:$H,"Y",'Weekly Log'!$A:$A,"&gt;="&amp;$J1963,'Weekly Log'!$A:$A,"&lt;"&amp;$J1963+7)/COUNTIFS('Weekly Log'!$H:$H,"&lt;&gt;",'Weekly Log'!$A:$A,"&gt;="&amp;$J1963,'Weekly Log'!$A:$A,"&lt;"&amp;$J1963+7),0))</f>
        <v/>
      </c>
      <c r="E1963">
        <f>IF($J1963="","",IFERROR(AVERAGEIFS('Weekly Log'!$F:$F,'Weekly Log'!$A:$A,"&gt;="&amp;$J1963,'Weekly Log'!$A:$A,"&lt;"&amp;$J1963+7),0))</f>
        <v/>
      </c>
      <c r="F1963">
        <f>IF($J1963="","",IFERROR(SUMIFS('Weekly Log'!$F:$F,'Weekly Log'!$A:$A,"&gt;="&amp;$J1963,'Weekly Log'!$A:$A,"&lt;"&amp;$J1963+7)/SUMIFS('Weekly Log'!$E:$E,'Weekly Log'!$A:$A,"&gt;="&amp;$J1963,'Weekly Log'!$A:$A,"&lt;"&amp;$J1963+7),0))</f>
        <v/>
      </c>
      <c r="G1963">
        <f>IF($J1963="","",IFERROR(LOOKUP(2,1/(('Weekly Log'!$A$5:$A$5000&gt;=$J1963)*('Weekly Log'!$A$5:$A$5000&lt;$J1963+7)*('Weekly Log'!$M$5:$M$5000&lt;&gt;"")),'Weekly Log'!$M$5:$M$5000),0))</f>
        <v/>
      </c>
      <c r="J1963">
        <f>IF(COUNT('Weekly Log'!$A$5:$A$5000)=0,"",IF(MIN('Weekly Log'!$A$5:$A$5000)+7*(ROW()-10)&gt;MAX('Weekly Log'!$A$5:$A$5000),"",MIN('Weekly Log'!$A$5:$A$5000)+7*(ROW()-10)))</f>
        <v/>
      </c>
    </row>
    <row r="1964">
      <c r="A1964">
        <f>IF($J1964="","",YEAR($J1964-WEEKDAY($J1964,2)+4)&amp;"-W"&amp;TEXT(WEEKNUM($J1964,21),"00"))</f>
        <v/>
      </c>
      <c r="B1964">
        <f>IF($J1964="","",SUMIFS('Weekly Log'!$C:$C,'Weekly Log'!$A:$A,"&gt;="&amp;$J1964,'Weekly Log'!$A:$A,"&lt;"&amp;$J1964+7))</f>
        <v/>
      </c>
      <c r="C1964">
        <f>IF($J1964="","",IFERROR(COUNTIFS('Weekly Log'!$G:$G,"Y",'Weekly Log'!$A:$A,"&gt;="&amp;$J1964,'Weekly Log'!$A:$A,"&lt;"&amp;$J1964+7)/COUNTIFS('Weekly Log'!$G:$G,"&lt;&gt;",'Weekly Log'!$A:$A,"&gt;="&amp;$J1964,'Weekly Log'!$A:$A,"&lt;"&amp;$J1964+7),0))</f>
        <v/>
      </c>
      <c r="D1964">
        <f>IF($J1964="","",IFERROR(COUNTIFS('Weekly Log'!$H:$H,"Y",'Weekly Log'!$A:$A,"&gt;="&amp;$J1964,'Weekly Log'!$A:$A,"&lt;"&amp;$J1964+7)/COUNTIFS('Weekly Log'!$H:$H,"&lt;&gt;",'Weekly Log'!$A:$A,"&gt;="&amp;$J1964,'Weekly Log'!$A:$A,"&lt;"&amp;$J1964+7),0))</f>
        <v/>
      </c>
      <c r="E1964">
        <f>IF($J1964="","",IFERROR(AVERAGEIFS('Weekly Log'!$F:$F,'Weekly Log'!$A:$A,"&gt;="&amp;$J1964,'Weekly Log'!$A:$A,"&lt;"&amp;$J1964+7),0))</f>
        <v/>
      </c>
      <c r="F1964">
        <f>IF($J1964="","",IFERROR(SUMIFS('Weekly Log'!$F:$F,'Weekly Log'!$A:$A,"&gt;="&amp;$J1964,'Weekly Log'!$A:$A,"&lt;"&amp;$J1964+7)/SUMIFS('Weekly Log'!$E:$E,'Weekly Log'!$A:$A,"&gt;="&amp;$J1964,'Weekly Log'!$A:$A,"&lt;"&amp;$J1964+7),0))</f>
        <v/>
      </c>
      <c r="G1964">
        <f>IF($J1964="","",IFERROR(LOOKUP(2,1/(('Weekly Log'!$A$5:$A$5000&gt;=$J1964)*('Weekly Log'!$A$5:$A$5000&lt;$J1964+7)*('Weekly Log'!$M$5:$M$5000&lt;&gt;"")),'Weekly Log'!$M$5:$M$5000),0))</f>
        <v/>
      </c>
      <c r="J1964">
        <f>IF(COUNT('Weekly Log'!$A$5:$A$5000)=0,"",IF(MIN('Weekly Log'!$A$5:$A$5000)+7*(ROW()-10)&gt;MAX('Weekly Log'!$A$5:$A$5000),"",MIN('Weekly Log'!$A$5:$A$5000)+7*(ROW()-10)))</f>
        <v/>
      </c>
    </row>
    <row r="1965">
      <c r="A1965">
        <f>IF($J1965="","",YEAR($J1965-WEEKDAY($J1965,2)+4)&amp;"-W"&amp;TEXT(WEEKNUM($J1965,21),"00"))</f>
        <v/>
      </c>
      <c r="B1965">
        <f>IF($J1965="","",SUMIFS('Weekly Log'!$C:$C,'Weekly Log'!$A:$A,"&gt;="&amp;$J1965,'Weekly Log'!$A:$A,"&lt;"&amp;$J1965+7))</f>
        <v/>
      </c>
      <c r="C1965">
        <f>IF($J1965="","",IFERROR(COUNTIFS('Weekly Log'!$G:$G,"Y",'Weekly Log'!$A:$A,"&gt;="&amp;$J1965,'Weekly Log'!$A:$A,"&lt;"&amp;$J1965+7)/COUNTIFS('Weekly Log'!$G:$G,"&lt;&gt;",'Weekly Log'!$A:$A,"&gt;="&amp;$J1965,'Weekly Log'!$A:$A,"&lt;"&amp;$J1965+7),0))</f>
        <v/>
      </c>
      <c r="D1965">
        <f>IF($J1965="","",IFERROR(COUNTIFS('Weekly Log'!$H:$H,"Y",'Weekly Log'!$A:$A,"&gt;="&amp;$J1965,'Weekly Log'!$A:$A,"&lt;"&amp;$J1965+7)/COUNTIFS('Weekly Log'!$H:$H,"&lt;&gt;",'Weekly Log'!$A:$A,"&gt;="&amp;$J1965,'Weekly Log'!$A:$A,"&lt;"&amp;$J1965+7),0))</f>
        <v/>
      </c>
      <c r="E1965">
        <f>IF($J1965="","",IFERROR(AVERAGEIFS('Weekly Log'!$F:$F,'Weekly Log'!$A:$A,"&gt;="&amp;$J1965,'Weekly Log'!$A:$A,"&lt;"&amp;$J1965+7),0))</f>
        <v/>
      </c>
      <c r="F1965">
        <f>IF($J1965="","",IFERROR(SUMIFS('Weekly Log'!$F:$F,'Weekly Log'!$A:$A,"&gt;="&amp;$J1965,'Weekly Log'!$A:$A,"&lt;"&amp;$J1965+7)/SUMIFS('Weekly Log'!$E:$E,'Weekly Log'!$A:$A,"&gt;="&amp;$J1965,'Weekly Log'!$A:$A,"&lt;"&amp;$J1965+7),0))</f>
        <v/>
      </c>
      <c r="G1965">
        <f>IF($J1965="","",IFERROR(LOOKUP(2,1/(('Weekly Log'!$A$5:$A$5000&gt;=$J1965)*('Weekly Log'!$A$5:$A$5000&lt;$J1965+7)*('Weekly Log'!$M$5:$M$5000&lt;&gt;"")),'Weekly Log'!$M$5:$M$5000),0))</f>
        <v/>
      </c>
      <c r="J1965">
        <f>IF(COUNT('Weekly Log'!$A$5:$A$5000)=0,"",IF(MIN('Weekly Log'!$A$5:$A$5000)+7*(ROW()-10)&gt;MAX('Weekly Log'!$A$5:$A$5000),"",MIN('Weekly Log'!$A$5:$A$5000)+7*(ROW()-10)))</f>
        <v/>
      </c>
    </row>
    <row r="1966">
      <c r="A1966">
        <f>IF($J1966="","",YEAR($J1966-WEEKDAY($J1966,2)+4)&amp;"-W"&amp;TEXT(WEEKNUM($J1966,21),"00"))</f>
        <v/>
      </c>
      <c r="B1966">
        <f>IF($J1966="","",SUMIFS('Weekly Log'!$C:$C,'Weekly Log'!$A:$A,"&gt;="&amp;$J1966,'Weekly Log'!$A:$A,"&lt;"&amp;$J1966+7))</f>
        <v/>
      </c>
      <c r="C1966">
        <f>IF($J1966="","",IFERROR(COUNTIFS('Weekly Log'!$G:$G,"Y",'Weekly Log'!$A:$A,"&gt;="&amp;$J1966,'Weekly Log'!$A:$A,"&lt;"&amp;$J1966+7)/COUNTIFS('Weekly Log'!$G:$G,"&lt;&gt;",'Weekly Log'!$A:$A,"&gt;="&amp;$J1966,'Weekly Log'!$A:$A,"&lt;"&amp;$J1966+7),0))</f>
        <v/>
      </c>
      <c r="D1966">
        <f>IF($J1966="","",IFERROR(COUNTIFS('Weekly Log'!$H:$H,"Y",'Weekly Log'!$A:$A,"&gt;="&amp;$J1966,'Weekly Log'!$A:$A,"&lt;"&amp;$J1966+7)/COUNTIFS('Weekly Log'!$H:$H,"&lt;&gt;",'Weekly Log'!$A:$A,"&gt;="&amp;$J1966,'Weekly Log'!$A:$A,"&lt;"&amp;$J1966+7),0))</f>
        <v/>
      </c>
      <c r="E1966">
        <f>IF($J1966="","",IFERROR(AVERAGEIFS('Weekly Log'!$F:$F,'Weekly Log'!$A:$A,"&gt;="&amp;$J1966,'Weekly Log'!$A:$A,"&lt;"&amp;$J1966+7),0))</f>
        <v/>
      </c>
      <c r="F1966">
        <f>IF($J1966="","",IFERROR(SUMIFS('Weekly Log'!$F:$F,'Weekly Log'!$A:$A,"&gt;="&amp;$J1966,'Weekly Log'!$A:$A,"&lt;"&amp;$J1966+7)/SUMIFS('Weekly Log'!$E:$E,'Weekly Log'!$A:$A,"&gt;="&amp;$J1966,'Weekly Log'!$A:$A,"&lt;"&amp;$J1966+7),0))</f>
        <v/>
      </c>
      <c r="G1966">
        <f>IF($J1966="","",IFERROR(LOOKUP(2,1/(('Weekly Log'!$A$5:$A$5000&gt;=$J1966)*('Weekly Log'!$A$5:$A$5000&lt;$J1966+7)*('Weekly Log'!$M$5:$M$5000&lt;&gt;"")),'Weekly Log'!$M$5:$M$5000),0))</f>
        <v/>
      </c>
      <c r="J1966">
        <f>IF(COUNT('Weekly Log'!$A$5:$A$5000)=0,"",IF(MIN('Weekly Log'!$A$5:$A$5000)+7*(ROW()-10)&gt;MAX('Weekly Log'!$A$5:$A$5000),"",MIN('Weekly Log'!$A$5:$A$5000)+7*(ROW()-10)))</f>
        <v/>
      </c>
    </row>
    <row r="1967">
      <c r="A1967">
        <f>IF($J1967="","",YEAR($J1967-WEEKDAY($J1967,2)+4)&amp;"-W"&amp;TEXT(WEEKNUM($J1967,21),"00"))</f>
        <v/>
      </c>
      <c r="B1967">
        <f>IF($J1967="","",SUMIFS('Weekly Log'!$C:$C,'Weekly Log'!$A:$A,"&gt;="&amp;$J1967,'Weekly Log'!$A:$A,"&lt;"&amp;$J1967+7))</f>
        <v/>
      </c>
      <c r="C1967">
        <f>IF($J1967="","",IFERROR(COUNTIFS('Weekly Log'!$G:$G,"Y",'Weekly Log'!$A:$A,"&gt;="&amp;$J1967,'Weekly Log'!$A:$A,"&lt;"&amp;$J1967+7)/COUNTIFS('Weekly Log'!$G:$G,"&lt;&gt;",'Weekly Log'!$A:$A,"&gt;="&amp;$J1967,'Weekly Log'!$A:$A,"&lt;"&amp;$J1967+7),0))</f>
        <v/>
      </c>
      <c r="D1967">
        <f>IF($J1967="","",IFERROR(COUNTIFS('Weekly Log'!$H:$H,"Y",'Weekly Log'!$A:$A,"&gt;="&amp;$J1967,'Weekly Log'!$A:$A,"&lt;"&amp;$J1967+7)/COUNTIFS('Weekly Log'!$H:$H,"&lt;&gt;",'Weekly Log'!$A:$A,"&gt;="&amp;$J1967,'Weekly Log'!$A:$A,"&lt;"&amp;$J1967+7),0))</f>
        <v/>
      </c>
      <c r="E1967">
        <f>IF($J1967="","",IFERROR(AVERAGEIFS('Weekly Log'!$F:$F,'Weekly Log'!$A:$A,"&gt;="&amp;$J1967,'Weekly Log'!$A:$A,"&lt;"&amp;$J1967+7),0))</f>
        <v/>
      </c>
      <c r="F1967">
        <f>IF($J1967="","",IFERROR(SUMIFS('Weekly Log'!$F:$F,'Weekly Log'!$A:$A,"&gt;="&amp;$J1967,'Weekly Log'!$A:$A,"&lt;"&amp;$J1967+7)/SUMIFS('Weekly Log'!$E:$E,'Weekly Log'!$A:$A,"&gt;="&amp;$J1967,'Weekly Log'!$A:$A,"&lt;"&amp;$J1967+7),0))</f>
        <v/>
      </c>
      <c r="G1967">
        <f>IF($J1967="","",IFERROR(LOOKUP(2,1/(('Weekly Log'!$A$5:$A$5000&gt;=$J1967)*('Weekly Log'!$A$5:$A$5000&lt;$J1967+7)*('Weekly Log'!$M$5:$M$5000&lt;&gt;"")),'Weekly Log'!$M$5:$M$5000),0))</f>
        <v/>
      </c>
      <c r="J1967">
        <f>IF(COUNT('Weekly Log'!$A$5:$A$5000)=0,"",IF(MIN('Weekly Log'!$A$5:$A$5000)+7*(ROW()-10)&gt;MAX('Weekly Log'!$A$5:$A$5000),"",MIN('Weekly Log'!$A$5:$A$5000)+7*(ROW()-10)))</f>
        <v/>
      </c>
    </row>
    <row r="1968">
      <c r="A1968">
        <f>IF($J1968="","",YEAR($J1968-WEEKDAY($J1968,2)+4)&amp;"-W"&amp;TEXT(WEEKNUM($J1968,21),"00"))</f>
        <v/>
      </c>
      <c r="B1968">
        <f>IF($J1968="","",SUMIFS('Weekly Log'!$C:$C,'Weekly Log'!$A:$A,"&gt;="&amp;$J1968,'Weekly Log'!$A:$A,"&lt;"&amp;$J1968+7))</f>
        <v/>
      </c>
      <c r="C1968">
        <f>IF($J1968="","",IFERROR(COUNTIFS('Weekly Log'!$G:$G,"Y",'Weekly Log'!$A:$A,"&gt;="&amp;$J1968,'Weekly Log'!$A:$A,"&lt;"&amp;$J1968+7)/COUNTIFS('Weekly Log'!$G:$G,"&lt;&gt;",'Weekly Log'!$A:$A,"&gt;="&amp;$J1968,'Weekly Log'!$A:$A,"&lt;"&amp;$J1968+7),0))</f>
        <v/>
      </c>
      <c r="D1968">
        <f>IF($J1968="","",IFERROR(COUNTIFS('Weekly Log'!$H:$H,"Y",'Weekly Log'!$A:$A,"&gt;="&amp;$J1968,'Weekly Log'!$A:$A,"&lt;"&amp;$J1968+7)/COUNTIFS('Weekly Log'!$H:$H,"&lt;&gt;",'Weekly Log'!$A:$A,"&gt;="&amp;$J1968,'Weekly Log'!$A:$A,"&lt;"&amp;$J1968+7),0))</f>
        <v/>
      </c>
      <c r="E1968">
        <f>IF($J1968="","",IFERROR(AVERAGEIFS('Weekly Log'!$F:$F,'Weekly Log'!$A:$A,"&gt;="&amp;$J1968,'Weekly Log'!$A:$A,"&lt;"&amp;$J1968+7),0))</f>
        <v/>
      </c>
      <c r="F1968">
        <f>IF($J1968="","",IFERROR(SUMIFS('Weekly Log'!$F:$F,'Weekly Log'!$A:$A,"&gt;="&amp;$J1968,'Weekly Log'!$A:$A,"&lt;"&amp;$J1968+7)/SUMIFS('Weekly Log'!$E:$E,'Weekly Log'!$A:$A,"&gt;="&amp;$J1968,'Weekly Log'!$A:$A,"&lt;"&amp;$J1968+7),0))</f>
        <v/>
      </c>
      <c r="G1968">
        <f>IF($J1968="","",IFERROR(LOOKUP(2,1/(('Weekly Log'!$A$5:$A$5000&gt;=$J1968)*('Weekly Log'!$A$5:$A$5000&lt;$J1968+7)*('Weekly Log'!$M$5:$M$5000&lt;&gt;"")),'Weekly Log'!$M$5:$M$5000),0))</f>
        <v/>
      </c>
      <c r="J1968">
        <f>IF(COUNT('Weekly Log'!$A$5:$A$5000)=0,"",IF(MIN('Weekly Log'!$A$5:$A$5000)+7*(ROW()-10)&gt;MAX('Weekly Log'!$A$5:$A$5000),"",MIN('Weekly Log'!$A$5:$A$5000)+7*(ROW()-10)))</f>
        <v/>
      </c>
    </row>
    <row r="1969">
      <c r="A1969">
        <f>IF($J1969="","",YEAR($J1969-WEEKDAY($J1969,2)+4)&amp;"-W"&amp;TEXT(WEEKNUM($J1969,21),"00"))</f>
        <v/>
      </c>
      <c r="B1969">
        <f>IF($J1969="","",SUMIFS('Weekly Log'!$C:$C,'Weekly Log'!$A:$A,"&gt;="&amp;$J1969,'Weekly Log'!$A:$A,"&lt;"&amp;$J1969+7))</f>
        <v/>
      </c>
      <c r="C1969">
        <f>IF($J1969="","",IFERROR(COUNTIFS('Weekly Log'!$G:$G,"Y",'Weekly Log'!$A:$A,"&gt;="&amp;$J1969,'Weekly Log'!$A:$A,"&lt;"&amp;$J1969+7)/COUNTIFS('Weekly Log'!$G:$G,"&lt;&gt;",'Weekly Log'!$A:$A,"&gt;="&amp;$J1969,'Weekly Log'!$A:$A,"&lt;"&amp;$J1969+7),0))</f>
        <v/>
      </c>
      <c r="D1969">
        <f>IF($J1969="","",IFERROR(COUNTIFS('Weekly Log'!$H:$H,"Y",'Weekly Log'!$A:$A,"&gt;="&amp;$J1969,'Weekly Log'!$A:$A,"&lt;"&amp;$J1969+7)/COUNTIFS('Weekly Log'!$H:$H,"&lt;&gt;",'Weekly Log'!$A:$A,"&gt;="&amp;$J1969,'Weekly Log'!$A:$A,"&lt;"&amp;$J1969+7),0))</f>
        <v/>
      </c>
      <c r="E1969">
        <f>IF($J1969="","",IFERROR(AVERAGEIFS('Weekly Log'!$F:$F,'Weekly Log'!$A:$A,"&gt;="&amp;$J1969,'Weekly Log'!$A:$A,"&lt;"&amp;$J1969+7),0))</f>
        <v/>
      </c>
      <c r="F1969">
        <f>IF($J1969="","",IFERROR(SUMIFS('Weekly Log'!$F:$F,'Weekly Log'!$A:$A,"&gt;="&amp;$J1969,'Weekly Log'!$A:$A,"&lt;"&amp;$J1969+7)/SUMIFS('Weekly Log'!$E:$E,'Weekly Log'!$A:$A,"&gt;="&amp;$J1969,'Weekly Log'!$A:$A,"&lt;"&amp;$J1969+7),0))</f>
        <v/>
      </c>
      <c r="G1969">
        <f>IF($J1969="","",IFERROR(LOOKUP(2,1/(('Weekly Log'!$A$5:$A$5000&gt;=$J1969)*('Weekly Log'!$A$5:$A$5000&lt;$J1969+7)*('Weekly Log'!$M$5:$M$5000&lt;&gt;"")),'Weekly Log'!$M$5:$M$5000),0))</f>
        <v/>
      </c>
      <c r="J1969">
        <f>IF(COUNT('Weekly Log'!$A$5:$A$5000)=0,"",IF(MIN('Weekly Log'!$A$5:$A$5000)+7*(ROW()-10)&gt;MAX('Weekly Log'!$A$5:$A$5000),"",MIN('Weekly Log'!$A$5:$A$5000)+7*(ROW()-10)))</f>
        <v/>
      </c>
    </row>
    <row r="1970">
      <c r="A1970">
        <f>IF($J1970="","",YEAR($J1970-WEEKDAY($J1970,2)+4)&amp;"-W"&amp;TEXT(WEEKNUM($J1970,21),"00"))</f>
        <v/>
      </c>
      <c r="B1970">
        <f>IF($J1970="","",SUMIFS('Weekly Log'!$C:$C,'Weekly Log'!$A:$A,"&gt;="&amp;$J1970,'Weekly Log'!$A:$A,"&lt;"&amp;$J1970+7))</f>
        <v/>
      </c>
      <c r="C1970">
        <f>IF($J1970="","",IFERROR(COUNTIFS('Weekly Log'!$G:$G,"Y",'Weekly Log'!$A:$A,"&gt;="&amp;$J1970,'Weekly Log'!$A:$A,"&lt;"&amp;$J1970+7)/COUNTIFS('Weekly Log'!$G:$G,"&lt;&gt;",'Weekly Log'!$A:$A,"&gt;="&amp;$J1970,'Weekly Log'!$A:$A,"&lt;"&amp;$J1970+7),0))</f>
        <v/>
      </c>
      <c r="D1970">
        <f>IF($J1970="","",IFERROR(COUNTIFS('Weekly Log'!$H:$H,"Y",'Weekly Log'!$A:$A,"&gt;="&amp;$J1970,'Weekly Log'!$A:$A,"&lt;"&amp;$J1970+7)/COUNTIFS('Weekly Log'!$H:$H,"&lt;&gt;",'Weekly Log'!$A:$A,"&gt;="&amp;$J1970,'Weekly Log'!$A:$A,"&lt;"&amp;$J1970+7),0))</f>
        <v/>
      </c>
      <c r="E1970">
        <f>IF($J1970="","",IFERROR(AVERAGEIFS('Weekly Log'!$F:$F,'Weekly Log'!$A:$A,"&gt;="&amp;$J1970,'Weekly Log'!$A:$A,"&lt;"&amp;$J1970+7),0))</f>
        <v/>
      </c>
      <c r="F1970">
        <f>IF($J1970="","",IFERROR(SUMIFS('Weekly Log'!$F:$F,'Weekly Log'!$A:$A,"&gt;="&amp;$J1970,'Weekly Log'!$A:$A,"&lt;"&amp;$J1970+7)/SUMIFS('Weekly Log'!$E:$E,'Weekly Log'!$A:$A,"&gt;="&amp;$J1970,'Weekly Log'!$A:$A,"&lt;"&amp;$J1970+7),0))</f>
        <v/>
      </c>
      <c r="G1970">
        <f>IF($J1970="","",IFERROR(LOOKUP(2,1/(('Weekly Log'!$A$5:$A$5000&gt;=$J1970)*('Weekly Log'!$A$5:$A$5000&lt;$J1970+7)*('Weekly Log'!$M$5:$M$5000&lt;&gt;"")),'Weekly Log'!$M$5:$M$5000),0))</f>
        <v/>
      </c>
      <c r="J1970">
        <f>IF(COUNT('Weekly Log'!$A$5:$A$5000)=0,"",IF(MIN('Weekly Log'!$A$5:$A$5000)+7*(ROW()-10)&gt;MAX('Weekly Log'!$A$5:$A$5000),"",MIN('Weekly Log'!$A$5:$A$5000)+7*(ROW()-10)))</f>
        <v/>
      </c>
    </row>
    <row r="1971">
      <c r="A1971">
        <f>IF($J1971="","",YEAR($J1971-WEEKDAY($J1971,2)+4)&amp;"-W"&amp;TEXT(WEEKNUM($J1971,21),"00"))</f>
        <v/>
      </c>
      <c r="B1971">
        <f>IF($J1971="","",SUMIFS('Weekly Log'!$C:$C,'Weekly Log'!$A:$A,"&gt;="&amp;$J1971,'Weekly Log'!$A:$A,"&lt;"&amp;$J1971+7))</f>
        <v/>
      </c>
      <c r="C1971">
        <f>IF($J1971="","",IFERROR(COUNTIFS('Weekly Log'!$G:$G,"Y",'Weekly Log'!$A:$A,"&gt;="&amp;$J1971,'Weekly Log'!$A:$A,"&lt;"&amp;$J1971+7)/COUNTIFS('Weekly Log'!$G:$G,"&lt;&gt;",'Weekly Log'!$A:$A,"&gt;="&amp;$J1971,'Weekly Log'!$A:$A,"&lt;"&amp;$J1971+7),0))</f>
        <v/>
      </c>
      <c r="D1971">
        <f>IF($J1971="","",IFERROR(COUNTIFS('Weekly Log'!$H:$H,"Y",'Weekly Log'!$A:$A,"&gt;="&amp;$J1971,'Weekly Log'!$A:$A,"&lt;"&amp;$J1971+7)/COUNTIFS('Weekly Log'!$H:$H,"&lt;&gt;",'Weekly Log'!$A:$A,"&gt;="&amp;$J1971,'Weekly Log'!$A:$A,"&lt;"&amp;$J1971+7),0))</f>
        <v/>
      </c>
      <c r="E1971">
        <f>IF($J1971="","",IFERROR(AVERAGEIFS('Weekly Log'!$F:$F,'Weekly Log'!$A:$A,"&gt;="&amp;$J1971,'Weekly Log'!$A:$A,"&lt;"&amp;$J1971+7),0))</f>
        <v/>
      </c>
      <c r="F1971">
        <f>IF($J1971="","",IFERROR(SUMIFS('Weekly Log'!$F:$F,'Weekly Log'!$A:$A,"&gt;="&amp;$J1971,'Weekly Log'!$A:$A,"&lt;"&amp;$J1971+7)/SUMIFS('Weekly Log'!$E:$E,'Weekly Log'!$A:$A,"&gt;="&amp;$J1971,'Weekly Log'!$A:$A,"&lt;"&amp;$J1971+7),0))</f>
        <v/>
      </c>
      <c r="G1971">
        <f>IF($J1971="","",IFERROR(LOOKUP(2,1/(('Weekly Log'!$A$5:$A$5000&gt;=$J1971)*('Weekly Log'!$A$5:$A$5000&lt;$J1971+7)*('Weekly Log'!$M$5:$M$5000&lt;&gt;"")),'Weekly Log'!$M$5:$M$5000),0))</f>
        <v/>
      </c>
      <c r="J1971">
        <f>IF(COUNT('Weekly Log'!$A$5:$A$5000)=0,"",IF(MIN('Weekly Log'!$A$5:$A$5000)+7*(ROW()-10)&gt;MAX('Weekly Log'!$A$5:$A$5000),"",MIN('Weekly Log'!$A$5:$A$5000)+7*(ROW()-10)))</f>
        <v/>
      </c>
    </row>
    <row r="1972">
      <c r="A1972">
        <f>IF($J1972="","",YEAR($J1972-WEEKDAY($J1972,2)+4)&amp;"-W"&amp;TEXT(WEEKNUM($J1972,21),"00"))</f>
        <v/>
      </c>
      <c r="B1972">
        <f>IF($J1972="","",SUMIFS('Weekly Log'!$C:$C,'Weekly Log'!$A:$A,"&gt;="&amp;$J1972,'Weekly Log'!$A:$A,"&lt;"&amp;$J1972+7))</f>
        <v/>
      </c>
      <c r="C1972">
        <f>IF($J1972="","",IFERROR(COUNTIFS('Weekly Log'!$G:$G,"Y",'Weekly Log'!$A:$A,"&gt;="&amp;$J1972,'Weekly Log'!$A:$A,"&lt;"&amp;$J1972+7)/COUNTIFS('Weekly Log'!$G:$G,"&lt;&gt;",'Weekly Log'!$A:$A,"&gt;="&amp;$J1972,'Weekly Log'!$A:$A,"&lt;"&amp;$J1972+7),0))</f>
        <v/>
      </c>
      <c r="D1972">
        <f>IF($J1972="","",IFERROR(COUNTIFS('Weekly Log'!$H:$H,"Y",'Weekly Log'!$A:$A,"&gt;="&amp;$J1972,'Weekly Log'!$A:$A,"&lt;"&amp;$J1972+7)/COUNTIFS('Weekly Log'!$H:$H,"&lt;&gt;",'Weekly Log'!$A:$A,"&gt;="&amp;$J1972,'Weekly Log'!$A:$A,"&lt;"&amp;$J1972+7),0))</f>
        <v/>
      </c>
      <c r="E1972">
        <f>IF($J1972="","",IFERROR(AVERAGEIFS('Weekly Log'!$F:$F,'Weekly Log'!$A:$A,"&gt;="&amp;$J1972,'Weekly Log'!$A:$A,"&lt;"&amp;$J1972+7),0))</f>
        <v/>
      </c>
      <c r="F1972">
        <f>IF($J1972="","",IFERROR(SUMIFS('Weekly Log'!$F:$F,'Weekly Log'!$A:$A,"&gt;="&amp;$J1972,'Weekly Log'!$A:$A,"&lt;"&amp;$J1972+7)/SUMIFS('Weekly Log'!$E:$E,'Weekly Log'!$A:$A,"&gt;="&amp;$J1972,'Weekly Log'!$A:$A,"&lt;"&amp;$J1972+7),0))</f>
        <v/>
      </c>
      <c r="G1972">
        <f>IF($J1972="","",IFERROR(LOOKUP(2,1/(('Weekly Log'!$A$5:$A$5000&gt;=$J1972)*('Weekly Log'!$A$5:$A$5000&lt;$J1972+7)*('Weekly Log'!$M$5:$M$5000&lt;&gt;"")),'Weekly Log'!$M$5:$M$5000),0))</f>
        <v/>
      </c>
      <c r="J1972">
        <f>IF(COUNT('Weekly Log'!$A$5:$A$5000)=0,"",IF(MIN('Weekly Log'!$A$5:$A$5000)+7*(ROW()-10)&gt;MAX('Weekly Log'!$A$5:$A$5000),"",MIN('Weekly Log'!$A$5:$A$5000)+7*(ROW()-10)))</f>
        <v/>
      </c>
    </row>
    <row r="1973">
      <c r="A1973">
        <f>IF($J1973="","",YEAR($J1973-WEEKDAY($J1973,2)+4)&amp;"-W"&amp;TEXT(WEEKNUM($J1973,21),"00"))</f>
        <v/>
      </c>
      <c r="B1973">
        <f>IF($J1973="","",SUMIFS('Weekly Log'!$C:$C,'Weekly Log'!$A:$A,"&gt;="&amp;$J1973,'Weekly Log'!$A:$A,"&lt;"&amp;$J1973+7))</f>
        <v/>
      </c>
      <c r="C1973">
        <f>IF($J1973="","",IFERROR(COUNTIFS('Weekly Log'!$G:$G,"Y",'Weekly Log'!$A:$A,"&gt;="&amp;$J1973,'Weekly Log'!$A:$A,"&lt;"&amp;$J1973+7)/COUNTIFS('Weekly Log'!$G:$G,"&lt;&gt;",'Weekly Log'!$A:$A,"&gt;="&amp;$J1973,'Weekly Log'!$A:$A,"&lt;"&amp;$J1973+7),0))</f>
        <v/>
      </c>
      <c r="D1973">
        <f>IF($J1973="","",IFERROR(COUNTIFS('Weekly Log'!$H:$H,"Y",'Weekly Log'!$A:$A,"&gt;="&amp;$J1973,'Weekly Log'!$A:$A,"&lt;"&amp;$J1973+7)/COUNTIFS('Weekly Log'!$H:$H,"&lt;&gt;",'Weekly Log'!$A:$A,"&gt;="&amp;$J1973,'Weekly Log'!$A:$A,"&lt;"&amp;$J1973+7),0))</f>
        <v/>
      </c>
      <c r="E1973">
        <f>IF($J1973="","",IFERROR(AVERAGEIFS('Weekly Log'!$F:$F,'Weekly Log'!$A:$A,"&gt;="&amp;$J1973,'Weekly Log'!$A:$A,"&lt;"&amp;$J1973+7),0))</f>
        <v/>
      </c>
      <c r="F1973">
        <f>IF($J1973="","",IFERROR(SUMIFS('Weekly Log'!$F:$F,'Weekly Log'!$A:$A,"&gt;="&amp;$J1973,'Weekly Log'!$A:$A,"&lt;"&amp;$J1973+7)/SUMIFS('Weekly Log'!$E:$E,'Weekly Log'!$A:$A,"&gt;="&amp;$J1973,'Weekly Log'!$A:$A,"&lt;"&amp;$J1973+7),0))</f>
        <v/>
      </c>
      <c r="G1973">
        <f>IF($J1973="","",IFERROR(LOOKUP(2,1/(('Weekly Log'!$A$5:$A$5000&gt;=$J1973)*('Weekly Log'!$A$5:$A$5000&lt;$J1973+7)*('Weekly Log'!$M$5:$M$5000&lt;&gt;"")),'Weekly Log'!$M$5:$M$5000),0))</f>
        <v/>
      </c>
      <c r="J1973">
        <f>IF(COUNT('Weekly Log'!$A$5:$A$5000)=0,"",IF(MIN('Weekly Log'!$A$5:$A$5000)+7*(ROW()-10)&gt;MAX('Weekly Log'!$A$5:$A$5000),"",MIN('Weekly Log'!$A$5:$A$5000)+7*(ROW()-10)))</f>
        <v/>
      </c>
    </row>
    <row r="1974">
      <c r="A1974">
        <f>IF($J1974="","",YEAR($J1974-WEEKDAY($J1974,2)+4)&amp;"-W"&amp;TEXT(WEEKNUM($J1974,21),"00"))</f>
        <v/>
      </c>
      <c r="B1974">
        <f>IF($J1974="","",SUMIFS('Weekly Log'!$C:$C,'Weekly Log'!$A:$A,"&gt;="&amp;$J1974,'Weekly Log'!$A:$A,"&lt;"&amp;$J1974+7))</f>
        <v/>
      </c>
      <c r="C1974">
        <f>IF($J1974="","",IFERROR(COUNTIFS('Weekly Log'!$G:$G,"Y",'Weekly Log'!$A:$A,"&gt;="&amp;$J1974,'Weekly Log'!$A:$A,"&lt;"&amp;$J1974+7)/COUNTIFS('Weekly Log'!$G:$G,"&lt;&gt;",'Weekly Log'!$A:$A,"&gt;="&amp;$J1974,'Weekly Log'!$A:$A,"&lt;"&amp;$J1974+7),0))</f>
        <v/>
      </c>
      <c r="D1974">
        <f>IF($J1974="","",IFERROR(COUNTIFS('Weekly Log'!$H:$H,"Y",'Weekly Log'!$A:$A,"&gt;="&amp;$J1974,'Weekly Log'!$A:$A,"&lt;"&amp;$J1974+7)/COUNTIFS('Weekly Log'!$H:$H,"&lt;&gt;",'Weekly Log'!$A:$A,"&gt;="&amp;$J1974,'Weekly Log'!$A:$A,"&lt;"&amp;$J1974+7),0))</f>
        <v/>
      </c>
      <c r="E1974">
        <f>IF($J1974="","",IFERROR(AVERAGEIFS('Weekly Log'!$F:$F,'Weekly Log'!$A:$A,"&gt;="&amp;$J1974,'Weekly Log'!$A:$A,"&lt;"&amp;$J1974+7),0))</f>
        <v/>
      </c>
      <c r="F1974">
        <f>IF($J1974="","",IFERROR(SUMIFS('Weekly Log'!$F:$F,'Weekly Log'!$A:$A,"&gt;="&amp;$J1974,'Weekly Log'!$A:$A,"&lt;"&amp;$J1974+7)/SUMIFS('Weekly Log'!$E:$E,'Weekly Log'!$A:$A,"&gt;="&amp;$J1974,'Weekly Log'!$A:$A,"&lt;"&amp;$J1974+7),0))</f>
        <v/>
      </c>
      <c r="G1974">
        <f>IF($J1974="","",IFERROR(LOOKUP(2,1/(('Weekly Log'!$A$5:$A$5000&gt;=$J1974)*('Weekly Log'!$A$5:$A$5000&lt;$J1974+7)*('Weekly Log'!$M$5:$M$5000&lt;&gt;"")),'Weekly Log'!$M$5:$M$5000),0))</f>
        <v/>
      </c>
      <c r="J1974">
        <f>IF(COUNT('Weekly Log'!$A$5:$A$5000)=0,"",IF(MIN('Weekly Log'!$A$5:$A$5000)+7*(ROW()-10)&gt;MAX('Weekly Log'!$A$5:$A$5000),"",MIN('Weekly Log'!$A$5:$A$5000)+7*(ROW()-10)))</f>
        <v/>
      </c>
    </row>
    <row r="1975">
      <c r="A1975">
        <f>IF($J1975="","",YEAR($J1975-WEEKDAY($J1975,2)+4)&amp;"-W"&amp;TEXT(WEEKNUM($J1975,21),"00"))</f>
        <v/>
      </c>
      <c r="B1975">
        <f>IF($J1975="","",SUMIFS('Weekly Log'!$C:$C,'Weekly Log'!$A:$A,"&gt;="&amp;$J1975,'Weekly Log'!$A:$A,"&lt;"&amp;$J1975+7))</f>
        <v/>
      </c>
      <c r="C1975">
        <f>IF($J1975="","",IFERROR(COUNTIFS('Weekly Log'!$G:$G,"Y",'Weekly Log'!$A:$A,"&gt;="&amp;$J1975,'Weekly Log'!$A:$A,"&lt;"&amp;$J1975+7)/COUNTIFS('Weekly Log'!$G:$G,"&lt;&gt;",'Weekly Log'!$A:$A,"&gt;="&amp;$J1975,'Weekly Log'!$A:$A,"&lt;"&amp;$J1975+7),0))</f>
        <v/>
      </c>
      <c r="D1975">
        <f>IF($J1975="","",IFERROR(COUNTIFS('Weekly Log'!$H:$H,"Y",'Weekly Log'!$A:$A,"&gt;="&amp;$J1975,'Weekly Log'!$A:$A,"&lt;"&amp;$J1975+7)/COUNTIFS('Weekly Log'!$H:$H,"&lt;&gt;",'Weekly Log'!$A:$A,"&gt;="&amp;$J1975,'Weekly Log'!$A:$A,"&lt;"&amp;$J1975+7),0))</f>
        <v/>
      </c>
      <c r="E1975">
        <f>IF($J1975="","",IFERROR(AVERAGEIFS('Weekly Log'!$F:$F,'Weekly Log'!$A:$A,"&gt;="&amp;$J1975,'Weekly Log'!$A:$A,"&lt;"&amp;$J1975+7),0))</f>
        <v/>
      </c>
      <c r="F1975">
        <f>IF($J1975="","",IFERROR(SUMIFS('Weekly Log'!$F:$F,'Weekly Log'!$A:$A,"&gt;="&amp;$J1975,'Weekly Log'!$A:$A,"&lt;"&amp;$J1975+7)/SUMIFS('Weekly Log'!$E:$E,'Weekly Log'!$A:$A,"&gt;="&amp;$J1975,'Weekly Log'!$A:$A,"&lt;"&amp;$J1975+7),0))</f>
        <v/>
      </c>
      <c r="G1975">
        <f>IF($J1975="","",IFERROR(LOOKUP(2,1/(('Weekly Log'!$A$5:$A$5000&gt;=$J1975)*('Weekly Log'!$A$5:$A$5000&lt;$J1975+7)*('Weekly Log'!$M$5:$M$5000&lt;&gt;"")),'Weekly Log'!$M$5:$M$5000),0))</f>
        <v/>
      </c>
      <c r="J1975">
        <f>IF(COUNT('Weekly Log'!$A$5:$A$5000)=0,"",IF(MIN('Weekly Log'!$A$5:$A$5000)+7*(ROW()-10)&gt;MAX('Weekly Log'!$A$5:$A$5000),"",MIN('Weekly Log'!$A$5:$A$5000)+7*(ROW()-10)))</f>
        <v/>
      </c>
    </row>
    <row r="1976">
      <c r="A1976">
        <f>IF($J1976="","",YEAR($J1976-WEEKDAY($J1976,2)+4)&amp;"-W"&amp;TEXT(WEEKNUM($J1976,21),"00"))</f>
        <v/>
      </c>
      <c r="B1976">
        <f>IF($J1976="","",SUMIFS('Weekly Log'!$C:$C,'Weekly Log'!$A:$A,"&gt;="&amp;$J1976,'Weekly Log'!$A:$A,"&lt;"&amp;$J1976+7))</f>
        <v/>
      </c>
      <c r="C1976">
        <f>IF($J1976="","",IFERROR(COUNTIFS('Weekly Log'!$G:$G,"Y",'Weekly Log'!$A:$A,"&gt;="&amp;$J1976,'Weekly Log'!$A:$A,"&lt;"&amp;$J1976+7)/COUNTIFS('Weekly Log'!$G:$G,"&lt;&gt;",'Weekly Log'!$A:$A,"&gt;="&amp;$J1976,'Weekly Log'!$A:$A,"&lt;"&amp;$J1976+7),0))</f>
        <v/>
      </c>
      <c r="D1976">
        <f>IF($J1976="","",IFERROR(COUNTIFS('Weekly Log'!$H:$H,"Y",'Weekly Log'!$A:$A,"&gt;="&amp;$J1976,'Weekly Log'!$A:$A,"&lt;"&amp;$J1976+7)/COUNTIFS('Weekly Log'!$H:$H,"&lt;&gt;",'Weekly Log'!$A:$A,"&gt;="&amp;$J1976,'Weekly Log'!$A:$A,"&lt;"&amp;$J1976+7),0))</f>
        <v/>
      </c>
      <c r="E1976">
        <f>IF($J1976="","",IFERROR(AVERAGEIFS('Weekly Log'!$F:$F,'Weekly Log'!$A:$A,"&gt;="&amp;$J1976,'Weekly Log'!$A:$A,"&lt;"&amp;$J1976+7),0))</f>
        <v/>
      </c>
      <c r="F1976">
        <f>IF($J1976="","",IFERROR(SUMIFS('Weekly Log'!$F:$F,'Weekly Log'!$A:$A,"&gt;="&amp;$J1976,'Weekly Log'!$A:$A,"&lt;"&amp;$J1976+7)/SUMIFS('Weekly Log'!$E:$E,'Weekly Log'!$A:$A,"&gt;="&amp;$J1976,'Weekly Log'!$A:$A,"&lt;"&amp;$J1976+7),0))</f>
        <v/>
      </c>
      <c r="G1976">
        <f>IF($J1976="","",IFERROR(LOOKUP(2,1/(('Weekly Log'!$A$5:$A$5000&gt;=$J1976)*('Weekly Log'!$A$5:$A$5000&lt;$J1976+7)*('Weekly Log'!$M$5:$M$5000&lt;&gt;"")),'Weekly Log'!$M$5:$M$5000),0))</f>
        <v/>
      </c>
      <c r="J1976">
        <f>IF(COUNT('Weekly Log'!$A$5:$A$5000)=0,"",IF(MIN('Weekly Log'!$A$5:$A$5000)+7*(ROW()-10)&gt;MAX('Weekly Log'!$A$5:$A$5000),"",MIN('Weekly Log'!$A$5:$A$5000)+7*(ROW()-10)))</f>
        <v/>
      </c>
    </row>
    <row r="1977">
      <c r="A1977">
        <f>IF($J1977="","",YEAR($J1977-WEEKDAY($J1977,2)+4)&amp;"-W"&amp;TEXT(WEEKNUM($J1977,21),"00"))</f>
        <v/>
      </c>
      <c r="B1977">
        <f>IF($J1977="","",SUMIFS('Weekly Log'!$C:$C,'Weekly Log'!$A:$A,"&gt;="&amp;$J1977,'Weekly Log'!$A:$A,"&lt;"&amp;$J1977+7))</f>
        <v/>
      </c>
      <c r="C1977">
        <f>IF($J1977="","",IFERROR(COUNTIFS('Weekly Log'!$G:$G,"Y",'Weekly Log'!$A:$A,"&gt;="&amp;$J1977,'Weekly Log'!$A:$A,"&lt;"&amp;$J1977+7)/COUNTIFS('Weekly Log'!$G:$G,"&lt;&gt;",'Weekly Log'!$A:$A,"&gt;="&amp;$J1977,'Weekly Log'!$A:$A,"&lt;"&amp;$J1977+7),0))</f>
        <v/>
      </c>
      <c r="D1977">
        <f>IF($J1977="","",IFERROR(COUNTIFS('Weekly Log'!$H:$H,"Y",'Weekly Log'!$A:$A,"&gt;="&amp;$J1977,'Weekly Log'!$A:$A,"&lt;"&amp;$J1977+7)/COUNTIFS('Weekly Log'!$H:$H,"&lt;&gt;",'Weekly Log'!$A:$A,"&gt;="&amp;$J1977,'Weekly Log'!$A:$A,"&lt;"&amp;$J1977+7),0))</f>
        <v/>
      </c>
      <c r="E1977">
        <f>IF($J1977="","",IFERROR(AVERAGEIFS('Weekly Log'!$F:$F,'Weekly Log'!$A:$A,"&gt;="&amp;$J1977,'Weekly Log'!$A:$A,"&lt;"&amp;$J1977+7),0))</f>
        <v/>
      </c>
      <c r="F1977">
        <f>IF($J1977="","",IFERROR(SUMIFS('Weekly Log'!$F:$F,'Weekly Log'!$A:$A,"&gt;="&amp;$J1977,'Weekly Log'!$A:$A,"&lt;"&amp;$J1977+7)/SUMIFS('Weekly Log'!$E:$E,'Weekly Log'!$A:$A,"&gt;="&amp;$J1977,'Weekly Log'!$A:$A,"&lt;"&amp;$J1977+7),0))</f>
        <v/>
      </c>
      <c r="G1977">
        <f>IF($J1977="","",IFERROR(LOOKUP(2,1/(('Weekly Log'!$A$5:$A$5000&gt;=$J1977)*('Weekly Log'!$A$5:$A$5000&lt;$J1977+7)*('Weekly Log'!$M$5:$M$5000&lt;&gt;"")),'Weekly Log'!$M$5:$M$5000),0))</f>
        <v/>
      </c>
      <c r="J1977">
        <f>IF(COUNT('Weekly Log'!$A$5:$A$5000)=0,"",IF(MIN('Weekly Log'!$A$5:$A$5000)+7*(ROW()-10)&gt;MAX('Weekly Log'!$A$5:$A$5000),"",MIN('Weekly Log'!$A$5:$A$5000)+7*(ROW()-10)))</f>
        <v/>
      </c>
    </row>
    <row r="1978">
      <c r="A1978">
        <f>IF($J1978="","",YEAR($J1978-WEEKDAY($J1978,2)+4)&amp;"-W"&amp;TEXT(WEEKNUM($J1978,21),"00"))</f>
        <v/>
      </c>
      <c r="B1978">
        <f>IF($J1978="","",SUMIFS('Weekly Log'!$C:$C,'Weekly Log'!$A:$A,"&gt;="&amp;$J1978,'Weekly Log'!$A:$A,"&lt;"&amp;$J1978+7))</f>
        <v/>
      </c>
      <c r="C1978">
        <f>IF($J1978="","",IFERROR(COUNTIFS('Weekly Log'!$G:$G,"Y",'Weekly Log'!$A:$A,"&gt;="&amp;$J1978,'Weekly Log'!$A:$A,"&lt;"&amp;$J1978+7)/COUNTIFS('Weekly Log'!$G:$G,"&lt;&gt;",'Weekly Log'!$A:$A,"&gt;="&amp;$J1978,'Weekly Log'!$A:$A,"&lt;"&amp;$J1978+7),0))</f>
        <v/>
      </c>
      <c r="D1978">
        <f>IF($J1978="","",IFERROR(COUNTIFS('Weekly Log'!$H:$H,"Y",'Weekly Log'!$A:$A,"&gt;="&amp;$J1978,'Weekly Log'!$A:$A,"&lt;"&amp;$J1978+7)/COUNTIFS('Weekly Log'!$H:$H,"&lt;&gt;",'Weekly Log'!$A:$A,"&gt;="&amp;$J1978,'Weekly Log'!$A:$A,"&lt;"&amp;$J1978+7),0))</f>
        <v/>
      </c>
      <c r="E1978">
        <f>IF($J1978="","",IFERROR(AVERAGEIFS('Weekly Log'!$F:$F,'Weekly Log'!$A:$A,"&gt;="&amp;$J1978,'Weekly Log'!$A:$A,"&lt;"&amp;$J1978+7),0))</f>
        <v/>
      </c>
      <c r="F1978">
        <f>IF($J1978="","",IFERROR(SUMIFS('Weekly Log'!$F:$F,'Weekly Log'!$A:$A,"&gt;="&amp;$J1978,'Weekly Log'!$A:$A,"&lt;"&amp;$J1978+7)/SUMIFS('Weekly Log'!$E:$E,'Weekly Log'!$A:$A,"&gt;="&amp;$J1978,'Weekly Log'!$A:$A,"&lt;"&amp;$J1978+7),0))</f>
        <v/>
      </c>
      <c r="G1978">
        <f>IF($J1978="","",IFERROR(LOOKUP(2,1/(('Weekly Log'!$A$5:$A$5000&gt;=$J1978)*('Weekly Log'!$A$5:$A$5000&lt;$J1978+7)*('Weekly Log'!$M$5:$M$5000&lt;&gt;"")),'Weekly Log'!$M$5:$M$5000),0))</f>
        <v/>
      </c>
      <c r="J1978">
        <f>IF(COUNT('Weekly Log'!$A$5:$A$5000)=0,"",IF(MIN('Weekly Log'!$A$5:$A$5000)+7*(ROW()-10)&gt;MAX('Weekly Log'!$A$5:$A$5000),"",MIN('Weekly Log'!$A$5:$A$5000)+7*(ROW()-10)))</f>
        <v/>
      </c>
    </row>
    <row r="1979">
      <c r="A1979">
        <f>IF($J1979="","",YEAR($J1979-WEEKDAY($J1979,2)+4)&amp;"-W"&amp;TEXT(WEEKNUM($J1979,21),"00"))</f>
        <v/>
      </c>
      <c r="B1979">
        <f>IF($J1979="","",SUMIFS('Weekly Log'!$C:$C,'Weekly Log'!$A:$A,"&gt;="&amp;$J1979,'Weekly Log'!$A:$A,"&lt;"&amp;$J1979+7))</f>
        <v/>
      </c>
      <c r="C1979">
        <f>IF($J1979="","",IFERROR(COUNTIFS('Weekly Log'!$G:$G,"Y",'Weekly Log'!$A:$A,"&gt;="&amp;$J1979,'Weekly Log'!$A:$A,"&lt;"&amp;$J1979+7)/COUNTIFS('Weekly Log'!$G:$G,"&lt;&gt;",'Weekly Log'!$A:$A,"&gt;="&amp;$J1979,'Weekly Log'!$A:$A,"&lt;"&amp;$J1979+7),0))</f>
        <v/>
      </c>
      <c r="D1979">
        <f>IF($J1979="","",IFERROR(COUNTIFS('Weekly Log'!$H:$H,"Y",'Weekly Log'!$A:$A,"&gt;="&amp;$J1979,'Weekly Log'!$A:$A,"&lt;"&amp;$J1979+7)/COUNTIFS('Weekly Log'!$H:$H,"&lt;&gt;",'Weekly Log'!$A:$A,"&gt;="&amp;$J1979,'Weekly Log'!$A:$A,"&lt;"&amp;$J1979+7),0))</f>
        <v/>
      </c>
      <c r="E1979">
        <f>IF($J1979="","",IFERROR(AVERAGEIFS('Weekly Log'!$F:$F,'Weekly Log'!$A:$A,"&gt;="&amp;$J1979,'Weekly Log'!$A:$A,"&lt;"&amp;$J1979+7),0))</f>
        <v/>
      </c>
      <c r="F1979">
        <f>IF($J1979="","",IFERROR(SUMIFS('Weekly Log'!$F:$F,'Weekly Log'!$A:$A,"&gt;="&amp;$J1979,'Weekly Log'!$A:$A,"&lt;"&amp;$J1979+7)/SUMIFS('Weekly Log'!$E:$E,'Weekly Log'!$A:$A,"&gt;="&amp;$J1979,'Weekly Log'!$A:$A,"&lt;"&amp;$J1979+7),0))</f>
        <v/>
      </c>
      <c r="G1979">
        <f>IF($J1979="","",IFERROR(LOOKUP(2,1/(('Weekly Log'!$A$5:$A$5000&gt;=$J1979)*('Weekly Log'!$A$5:$A$5000&lt;$J1979+7)*('Weekly Log'!$M$5:$M$5000&lt;&gt;"")),'Weekly Log'!$M$5:$M$5000),0))</f>
        <v/>
      </c>
      <c r="J1979">
        <f>IF(COUNT('Weekly Log'!$A$5:$A$5000)=0,"",IF(MIN('Weekly Log'!$A$5:$A$5000)+7*(ROW()-10)&gt;MAX('Weekly Log'!$A$5:$A$5000),"",MIN('Weekly Log'!$A$5:$A$5000)+7*(ROW()-10)))</f>
        <v/>
      </c>
    </row>
    <row r="1980">
      <c r="A1980">
        <f>IF($J1980="","",YEAR($J1980-WEEKDAY($J1980,2)+4)&amp;"-W"&amp;TEXT(WEEKNUM($J1980,21),"00"))</f>
        <v/>
      </c>
      <c r="B1980">
        <f>IF($J1980="","",SUMIFS('Weekly Log'!$C:$C,'Weekly Log'!$A:$A,"&gt;="&amp;$J1980,'Weekly Log'!$A:$A,"&lt;"&amp;$J1980+7))</f>
        <v/>
      </c>
      <c r="C1980">
        <f>IF($J1980="","",IFERROR(COUNTIFS('Weekly Log'!$G:$G,"Y",'Weekly Log'!$A:$A,"&gt;="&amp;$J1980,'Weekly Log'!$A:$A,"&lt;"&amp;$J1980+7)/COUNTIFS('Weekly Log'!$G:$G,"&lt;&gt;",'Weekly Log'!$A:$A,"&gt;="&amp;$J1980,'Weekly Log'!$A:$A,"&lt;"&amp;$J1980+7),0))</f>
        <v/>
      </c>
      <c r="D1980">
        <f>IF($J1980="","",IFERROR(COUNTIFS('Weekly Log'!$H:$H,"Y",'Weekly Log'!$A:$A,"&gt;="&amp;$J1980,'Weekly Log'!$A:$A,"&lt;"&amp;$J1980+7)/COUNTIFS('Weekly Log'!$H:$H,"&lt;&gt;",'Weekly Log'!$A:$A,"&gt;="&amp;$J1980,'Weekly Log'!$A:$A,"&lt;"&amp;$J1980+7),0))</f>
        <v/>
      </c>
      <c r="E1980">
        <f>IF($J1980="","",IFERROR(AVERAGEIFS('Weekly Log'!$F:$F,'Weekly Log'!$A:$A,"&gt;="&amp;$J1980,'Weekly Log'!$A:$A,"&lt;"&amp;$J1980+7),0))</f>
        <v/>
      </c>
      <c r="F1980">
        <f>IF($J1980="","",IFERROR(SUMIFS('Weekly Log'!$F:$F,'Weekly Log'!$A:$A,"&gt;="&amp;$J1980,'Weekly Log'!$A:$A,"&lt;"&amp;$J1980+7)/SUMIFS('Weekly Log'!$E:$E,'Weekly Log'!$A:$A,"&gt;="&amp;$J1980,'Weekly Log'!$A:$A,"&lt;"&amp;$J1980+7),0))</f>
        <v/>
      </c>
      <c r="G1980">
        <f>IF($J1980="","",IFERROR(LOOKUP(2,1/(('Weekly Log'!$A$5:$A$5000&gt;=$J1980)*('Weekly Log'!$A$5:$A$5000&lt;$J1980+7)*('Weekly Log'!$M$5:$M$5000&lt;&gt;"")),'Weekly Log'!$M$5:$M$5000),0))</f>
        <v/>
      </c>
      <c r="J1980">
        <f>IF(COUNT('Weekly Log'!$A$5:$A$5000)=0,"",IF(MIN('Weekly Log'!$A$5:$A$5000)+7*(ROW()-10)&gt;MAX('Weekly Log'!$A$5:$A$5000),"",MIN('Weekly Log'!$A$5:$A$5000)+7*(ROW()-10)))</f>
        <v/>
      </c>
    </row>
    <row r="1981">
      <c r="A1981">
        <f>IF($J1981="","",YEAR($J1981-WEEKDAY($J1981,2)+4)&amp;"-W"&amp;TEXT(WEEKNUM($J1981,21),"00"))</f>
        <v/>
      </c>
      <c r="B1981">
        <f>IF($J1981="","",SUMIFS('Weekly Log'!$C:$C,'Weekly Log'!$A:$A,"&gt;="&amp;$J1981,'Weekly Log'!$A:$A,"&lt;"&amp;$J1981+7))</f>
        <v/>
      </c>
      <c r="C1981">
        <f>IF($J1981="","",IFERROR(COUNTIFS('Weekly Log'!$G:$G,"Y",'Weekly Log'!$A:$A,"&gt;="&amp;$J1981,'Weekly Log'!$A:$A,"&lt;"&amp;$J1981+7)/COUNTIFS('Weekly Log'!$G:$G,"&lt;&gt;",'Weekly Log'!$A:$A,"&gt;="&amp;$J1981,'Weekly Log'!$A:$A,"&lt;"&amp;$J1981+7),0))</f>
        <v/>
      </c>
      <c r="D1981">
        <f>IF($J1981="","",IFERROR(COUNTIFS('Weekly Log'!$H:$H,"Y",'Weekly Log'!$A:$A,"&gt;="&amp;$J1981,'Weekly Log'!$A:$A,"&lt;"&amp;$J1981+7)/COUNTIFS('Weekly Log'!$H:$H,"&lt;&gt;",'Weekly Log'!$A:$A,"&gt;="&amp;$J1981,'Weekly Log'!$A:$A,"&lt;"&amp;$J1981+7),0))</f>
        <v/>
      </c>
      <c r="E1981">
        <f>IF($J1981="","",IFERROR(AVERAGEIFS('Weekly Log'!$F:$F,'Weekly Log'!$A:$A,"&gt;="&amp;$J1981,'Weekly Log'!$A:$A,"&lt;"&amp;$J1981+7),0))</f>
        <v/>
      </c>
      <c r="F1981">
        <f>IF($J1981="","",IFERROR(SUMIFS('Weekly Log'!$F:$F,'Weekly Log'!$A:$A,"&gt;="&amp;$J1981,'Weekly Log'!$A:$A,"&lt;"&amp;$J1981+7)/SUMIFS('Weekly Log'!$E:$E,'Weekly Log'!$A:$A,"&gt;="&amp;$J1981,'Weekly Log'!$A:$A,"&lt;"&amp;$J1981+7),0))</f>
        <v/>
      </c>
      <c r="G1981">
        <f>IF($J1981="","",IFERROR(LOOKUP(2,1/(('Weekly Log'!$A$5:$A$5000&gt;=$J1981)*('Weekly Log'!$A$5:$A$5000&lt;$J1981+7)*('Weekly Log'!$M$5:$M$5000&lt;&gt;"")),'Weekly Log'!$M$5:$M$5000),0))</f>
        <v/>
      </c>
      <c r="J1981">
        <f>IF(COUNT('Weekly Log'!$A$5:$A$5000)=0,"",IF(MIN('Weekly Log'!$A$5:$A$5000)+7*(ROW()-10)&gt;MAX('Weekly Log'!$A$5:$A$5000),"",MIN('Weekly Log'!$A$5:$A$5000)+7*(ROW()-10)))</f>
        <v/>
      </c>
    </row>
    <row r="1982">
      <c r="A1982">
        <f>IF($J1982="","",YEAR($J1982-WEEKDAY($J1982,2)+4)&amp;"-W"&amp;TEXT(WEEKNUM($J1982,21),"00"))</f>
        <v/>
      </c>
      <c r="B1982">
        <f>IF($J1982="","",SUMIFS('Weekly Log'!$C:$C,'Weekly Log'!$A:$A,"&gt;="&amp;$J1982,'Weekly Log'!$A:$A,"&lt;"&amp;$J1982+7))</f>
        <v/>
      </c>
      <c r="C1982">
        <f>IF($J1982="","",IFERROR(COUNTIFS('Weekly Log'!$G:$G,"Y",'Weekly Log'!$A:$A,"&gt;="&amp;$J1982,'Weekly Log'!$A:$A,"&lt;"&amp;$J1982+7)/COUNTIFS('Weekly Log'!$G:$G,"&lt;&gt;",'Weekly Log'!$A:$A,"&gt;="&amp;$J1982,'Weekly Log'!$A:$A,"&lt;"&amp;$J1982+7),0))</f>
        <v/>
      </c>
      <c r="D1982">
        <f>IF($J1982="","",IFERROR(COUNTIFS('Weekly Log'!$H:$H,"Y",'Weekly Log'!$A:$A,"&gt;="&amp;$J1982,'Weekly Log'!$A:$A,"&lt;"&amp;$J1982+7)/COUNTIFS('Weekly Log'!$H:$H,"&lt;&gt;",'Weekly Log'!$A:$A,"&gt;="&amp;$J1982,'Weekly Log'!$A:$A,"&lt;"&amp;$J1982+7),0))</f>
        <v/>
      </c>
      <c r="E1982">
        <f>IF($J1982="","",IFERROR(AVERAGEIFS('Weekly Log'!$F:$F,'Weekly Log'!$A:$A,"&gt;="&amp;$J1982,'Weekly Log'!$A:$A,"&lt;"&amp;$J1982+7),0))</f>
        <v/>
      </c>
      <c r="F1982">
        <f>IF($J1982="","",IFERROR(SUMIFS('Weekly Log'!$F:$F,'Weekly Log'!$A:$A,"&gt;="&amp;$J1982,'Weekly Log'!$A:$A,"&lt;"&amp;$J1982+7)/SUMIFS('Weekly Log'!$E:$E,'Weekly Log'!$A:$A,"&gt;="&amp;$J1982,'Weekly Log'!$A:$A,"&lt;"&amp;$J1982+7),0))</f>
        <v/>
      </c>
      <c r="G1982">
        <f>IF($J1982="","",IFERROR(LOOKUP(2,1/(('Weekly Log'!$A$5:$A$5000&gt;=$J1982)*('Weekly Log'!$A$5:$A$5000&lt;$J1982+7)*('Weekly Log'!$M$5:$M$5000&lt;&gt;"")),'Weekly Log'!$M$5:$M$5000),0))</f>
        <v/>
      </c>
      <c r="J1982">
        <f>IF(COUNT('Weekly Log'!$A$5:$A$5000)=0,"",IF(MIN('Weekly Log'!$A$5:$A$5000)+7*(ROW()-10)&gt;MAX('Weekly Log'!$A$5:$A$5000),"",MIN('Weekly Log'!$A$5:$A$5000)+7*(ROW()-10)))</f>
        <v/>
      </c>
    </row>
    <row r="1983">
      <c r="A1983">
        <f>IF($J1983="","",YEAR($J1983-WEEKDAY($J1983,2)+4)&amp;"-W"&amp;TEXT(WEEKNUM($J1983,21),"00"))</f>
        <v/>
      </c>
      <c r="B1983">
        <f>IF($J1983="","",SUMIFS('Weekly Log'!$C:$C,'Weekly Log'!$A:$A,"&gt;="&amp;$J1983,'Weekly Log'!$A:$A,"&lt;"&amp;$J1983+7))</f>
        <v/>
      </c>
      <c r="C1983">
        <f>IF($J1983="","",IFERROR(COUNTIFS('Weekly Log'!$G:$G,"Y",'Weekly Log'!$A:$A,"&gt;="&amp;$J1983,'Weekly Log'!$A:$A,"&lt;"&amp;$J1983+7)/COUNTIFS('Weekly Log'!$G:$G,"&lt;&gt;",'Weekly Log'!$A:$A,"&gt;="&amp;$J1983,'Weekly Log'!$A:$A,"&lt;"&amp;$J1983+7),0))</f>
        <v/>
      </c>
      <c r="D1983">
        <f>IF($J1983="","",IFERROR(COUNTIFS('Weekly Log'!$H:$H,"Y",'Weekly Log'!$A:$A,"&gt;="&amp;$J1983,'Weekly Log'!$A:$A,"&lt;"&amp;$J1983+7)/COUNTIFS('Weekly Log'!$H:$H,"&lt;&gt;",'Weekly Log'!$A:$A,"&gt;="&amp;$J1983,'Weekly Log'!$A:$A,"&lt;"&amp;$J1983+7),0))</f>
        <v/>
      </c>
      <c r="E1983">
        <f>IF($J1983="","",IFERROR(AVERAGEIFS('Weekly Log'!$F:$F,'Weekly Log'!$A:$A,"&gt;="&amp;$J1983,'Weekly Log'!$A:$A,"&lt;"&amp;$J1983+7),0))</f>
        <v/>
      </c>
      <c r="F1983">
        <f>IF($J1983="","",IFERROR(SUMIFS('Weekly Log'!$F:$F,'Weekly Log'!$A:$A,"&gt;="&amp;$J1983,'Weekly Log'!$A:$A,"&lt;"&amp;$J1983+7)/SUMIFS('Weekly Log'!$E:$E,'Weekly Log'!$A:$A,"&gt;="&amp;$J1983,'Weekly Log'!$A:$A,"&lt;"&amp;$J1983+7),0))</f>
        <v/>
      </c>
      <c r="G1983">
        <f>IF($J1983="","",IFERROR(LOOKUP(2,1/(('Weekly Log'!$A$5:$A$5000&gt;=$J1983)*('Weekly Log'!$A$5:$A$5000&lt;$J1983+7)*('Weekly Log'!$M$5:$M$5000&lt;&gt;"")),'Weekly Log'!$M$5:$M$5000),0))</f>
        <v/>
      </c>
      <c r="J1983">
        <f>IF(COUNT('Weekly Log'!$A$5:$A$5000)=0,"",IF(MIN('Weekly Log'!$A$5:$A$5000)+7*(ROW()-10)&gt;MAX('Weekly Log'!$A$5:$A$5000),"",MIN('Weekly Log'!$A$5:$A$5000)+7*(ROW()-10)))</f>
        <v/>
      </c>
    </row>
    <row r="1984">
      <c r="A1984">
        <f>IF($J1984="","",YEAR($J1984-WEEKDAY($J1984,2)+4)&amp;"-W"&amp;TEXT(WEEKNUM($J1984,21),"00"))</f>
        <v/>
      </c>
      <c r="B1984">
        <f>IF($J1984="","",SUMIFS('Weekly Log'!$C:$C,'Weekly Log'!$A:$A,"&gt;="&amp;$J1984,'Weekly Log'!$A:$A,"&lt;"&amp;$J1984+7))</f>
        <v/>
      </c>
      <c r="C1984">
        <f>IF($J1984="","",IFERROR(COUNTIFS('Weekly Log'!$G:$G,"Y",'Weekly Log'!$A:$A,"&gt;="&amp;$J1984,'Weekly Log'!$A:$A,"&lt;"&amp;$J1984+7)/COUNTIFS('Weekly Log'!$G:$G,"&lt;&gt;",'Weekly Log'!$A:$A,"&gt;="&amp;$J1984,'Weekly Log'!$A:$A,"&lt;"&amp;$J1984+7),0))</f>
        <v/>
      </c>
      <c r="D1984">
        <f>IF($J1984="","",IFERROR(COUNTIFS('Weekly Log'!$H:$H,"Y",'Weekly Log'!$A:$A,"&gt;="&amp;$J1984,'Weekly Log'!$A:$A,"&lt;"&amp;$J1984+7)/COUNTIFS('Weekly Log'!$H:$H,"&lt;&gt;",'Weekly Log'!$A:$A,"&gt;="&amp;$J1984,'Weekly Log'!$A:$A,"&lt;"&amp;$J1984+7),0))</f>
        <v/>
      </c>
      <c r="E1984">
        <f>IF($J1984="","",IFERROR(AVERAGEIFS('Weekly Log'!$F:$F,'Weekly Log'!$A:$A,"&gt;="&amp;$J1984,'Weekly Log'!$A:$A,"&lt;"&amp;$J1984+7),0))</f>
        <v/>
      </c>
      <c r="F1984">
        <f>IF($J1984="","",IFERROR(SUMIFS('Weekly Log'!$F:$F,'Weekly Log'!$A:$A,"&gt;="&amp;$J1984,'Weekly Log'!$A:$A,"&lt;"&amp;$J1984+7)/SUMIFS('Weekly Log'!$E:$E,'Weekly Log'!$A:$A,"&gt;="&amp;$J1984,'Weekly Log'!$A:$A,"&lt;"&amp;$J1984+7),0))</f>
        <v/>
      </c>
      <c r="G1984">
        <f>IF($J1984="","",IFERROR(LOOKUP(2,1/(('Weekly Log'!$A$5:$A$5000&gt;=$J1984)*('Weekly Log'!$A$5:$A$5000&lt;$J1984+7)*('Weekly Log'!$M$5:$M$5000&lt;&gt;"")),'Weekly Log'!$M$5:$M$5000),0))</f>
        <v/>
      </c>
      <c r="J1984">
        <f>IF(COUNT('Weekly Log'!$A$5:$A$5000)=0,"",IF(MIN('Weekly Log'!$A$5:$A$5000)+7*(ROW()-10)&gt;MAX('Weekly Log'!$A$5:$A$5000),"",MIN('Weekly Log'!$A$5:$A$5000)+7*(ROW()-10)))</f>
        <v/>
      </c>
    </row>
    <row r="1985">
      <c r="A1985">
        <f>IF($J1985="","",YEAR($J1985-WEEKDAY($J1985,2)+4)&amp;"-W"&amp;TEXT(WEEKNUM($J1985,21),"00"))</f>
        <v/>
      </c>
      <c r="B1985">
        <f>IF($J1985="","",SUMIFS('Weekly Log'!$C:$C,'Weekly Log'!$A:$A,"&gt;="&amp;$J1985,'Weekly Log'!$A:$A,"&lt;"&amp;$J1985+7))</f>
        <v/>
      </c>
      <c r="C1985">
        <f>IF($J1985="","",IFERROR(COUNTIFS('Weekly Log'!$G:$G,"Y",'Weekly Log'!$A:$A,"&gt;="&amp;$J1985,'Weekly Log'!$A:$A,"&lt;"&amp;$J1985+7)/COUNTIFS('Weekly Log'!$G:$G,"&lt;&gt;",'Weekly Log'!$A:$A,"&gt;="&amp;$J1985,'Weekly Log'!$A:$A,"&lt;"&amp;$J1985+7),0))</f>
        <v/>
      </c>
      <c r="D1985">
        <f>IF($J1985="","",IFERROR(COUNTIFS('Weekly Log'!$H:$H,"Y",'Weekly Log'!$A:$A,"&gt;="&amp;$J1985,'Weekly Log'!$A:$A,"&lt;"&amp;$J1985+7)/COUNTIFS('Weekly Log'!$H:$H,"&lt;&gt;",'Weekly Log'!$A:$A,"&gt;="&amp;$J1985,'Weekly Log'!$A:$A,"&lt;"&amp;$J1985+7),0))</f>
        <v/>
      </c>
      <c r="E1985">
        <f>IF($J1985="","",IFERROR(AVERAGEIFS('Weekly Log'!$F:$F,'Weekly Log'!$A:$A,"&gt;="&amp;$J1985,'Weekly Log'!$A:$A,"&lt;"&amp;$J1985+7),0))</f>
        <v/>
      </c>
      <c r="F1985">
        <f>IF($J1985="","",IFERROR(SUMIFS('Weekly Log'!$F:$F,'Weekly Log'!$A:$A,"&gt;="&amp;$J1985,'Weekly Log'!$A:$A,"&lt;"&amp;$J1985+7)/SUMIFS('Weekly Log'!$E:$E,'Weekly Log'!$A:$A,"&gt;="&amp;$J1985,'Weekly Log'!$A:$A,"&lt;"&amp;$J1985+7),0))</f>
        <v/>
      </c>
      <c r="G1985">
        <f>IF($J1985="","",IFERROR(LOOKUP(2,1/(('Weekly Log'!$A$5:$A$5000&gt;=$J1985)*('Weekly Log'!$A$5:$A$5000&lt;$J1985+7)*('Weekly Log'!$M$5:$M$5000&lt;&gt;"")),'Weekly Log'!$M$5:$M$5000),0))</f>
        <v/>
      </c>
      <c r="J1985">
        <f>IF(COUNT('Weekly Log'!$A$5:$A$5000)=0,"",IF(MIN('Weekly Log'!$A$5:$A$5000)+7*(ROW()-10)&gt;MAX('Weekly Log'!$A$5:$A$5000),"",MIN('Weekly Log'!$A$5:$A$5000)+7*(ROW()-10)))</f>
        <v/>
      </c>
    </row>
    <row r="1986">
      <c r="A1986">
        <f>IF($J1986="","",YEAR($J1986-WEEKDAY($J1986,2)+4)&amp;"-W"&amp;TEXT(WEEKNUM($J1986,21),"00"))</f>
        <v/>
      </c>
      <c r="B1986">
        <f>IF($J1986="","",SUMIFS('Weekly Log'!$C:$C,'Weekly Log'!$A:$A,"&gt;="&amp;$J1986,'Weekly Log'!$A:$A,"&lt;"&amp;$J1986+7))</f>
        <v/>
      </c>
      <c r="C1986">
        <f>IF($J1986="","",IFERROR(COUNTIFS('Weekly Log'!$G:$G,"Y",'Weekly Log'!$A:$A,"&gt;="&amp;$J1986,'Weekly Log'!$A:$A,"&lt;"&amp;$J1986+7)/COUNTIFS('Weekly Log'!$G:$G,"&lt;&gt;",'Weekly Log'!$A:$A,"&gt;="&amp;$J1986,'Weekly Log'!$A:$A,"&lt;"&amp;$J1986+7),0))</f>
        <v/>
      </c>
      <c r="D1986">
        <f>IF($J1986="","",IFERROR(COUNTIFS('Weekly Log'!$H:$H,"Y",'Weekly Log'!$A:$A,"&gt;="&amp;$J1986,'Weekly Log'!$A:$A,"&lt;"&amp;$J1986+7)/COUNTIFS('Weekly Log'!$H:$H,"&lt;&gt;",'Weekly Log'!$A:$A,"&gt;="&amp;$J1986,'Weekly Log'!$A:$A,"&lt;"&amp;$J1986+7),0))</f>
        <v/>
      </c>
      <c r="E1986">
        <f>IF($J1986="","",IFERROR(AVERAGEIFS('Weekly Log'!$F:$F,'Weekly Log'!$A:$A,"&gt;="&amp;$J1986,'Weekly Log'!$A:$A,"&lt;"&amp;$J1986+7),0))</f>
        <v/>
      </c>
      <c r="F1986">
        <f>IF($J1986="","",IFERROR(SUMIFS('Weekly Log'!$F:$F,'Weekly Log'!$A:$A,"&gt;="&amp;$J1986,'Weekly Log'!$A:$A,"&lt;"&amp;$J1986+7)/SUMIFS('Weekly Log'!$E:$E,'Weekly Log'!$A:$A,"&gt;="&amp;$J1986,'Weekly Log'!$A:$A,"&lt;"&amp;$J1986+7),0))</f>
        <v/>
      </c>
      <c r="G1986">
        <f>IF($J1986="","",IFERROR(LOOKUP(2,1/(('Weekly Log'!$A$5:$A$5000&gt;=$J1986)*('Weekly Log'!$A$5:$A$5000&lt;$J1986+7)*('Weekly Log'!$M$5:$M$5000&lt;&gt;"")),'Weekly Log'!$M$5:$M$5000),0))</f>
        <v/>
      </c>
      <c r="J1986">
        <f>IF(COUNT('Weekly Log'!$A$5:$A$5000)=0,"",IF(MIN('Weekly Log'!$A$5:$A$5000)+7*(ROW()-10)&gt;MAX('Weekly Log'!$A$5:$A$5000),"",MIN('Weekly Log'!$A$5:$A$5000)+7*(ROW()-10)))</f>
        <v/>
      </c>
    </row>
    <row r="1987">
      <c r="A1987">
        <f>IF($J1987="","",YEAR($J1987-WEEKDAY($J1987,2)+4)&amp;"-W"&amp;TEXT(WEEKNUM($J1987,21),"00"))</f>
        <v/>
      </c>
      <c r="B1987">
        <f>IF($J1987="","",SUMIFS('Weekly Log'!$C:$C,'Weekly Log'!$A:$A,"&gt;="&amp;$J1987,'Weekly Log'!$A:$A,"&lt;"&amp;$J1987+7))</f>
        <v/>
      </c>
      <c r="C1987">
        <f>IF($J1987="","",IFERROR(COUNTIFS('Weekly Log'!$G:$G,"Y",'Weekly Log'!$A:$A,"&gt;="&amp;$J1987,'Weekly Log'!$A:$A,"&lt;"&amp;$J1987+7)/COUNTIFS('Weekly Log'!$G:$G,"&lt;&gt;",'Weekly Log'!$A:$A,"&gt;="&amp;$J1987,'Weekly Log'!$A:$A,"&lt;"&amp;$J1987+7),0))</f>
        <v/>
      </c>
      <c r="D1987">
        <f>IF($J1987="","",IFERROR(COUNTIFS('Weekly Log'!$H:$H,"Y",'Weekly Log'!$A:$A,"&gt;="&amp;$J1987,'Weekly Log'!$A:$A,"&lt;"&amp;$J1987+7)/COUNTIFS('Weekly Log'!$H:$H,"&lt;&gt;",'Weekly Log'!$A:$A,"&gt;="&amp;$J1987,'Weekly Log'!$A:$A,"&lt;"&amp;$J1987+7),0))</f>
        <v/>
      </c>
      <c r="E1987">
        <f>IF($J1987="","",IFERROR(AVERAGEIFS('Weekly Log'!$F:$F,'Weekly Log'!$A:$A,"&gt;="&amp;$J1987,'Weekly Log'!$A:$A,"&lt;"&amp;$J1987+7),0))</f>
        <v/>
      </c>
      <c r="F1987">
        <f>IF($J1987="","",IFERROR(SUMIFS('Weekly Log'!$F:$F,'Weekly Log'!$A:$A,"&gt;="&amp;$J1987,'Weekly Log'!$A:$A,"&lt;"&amp;$J1987+7)/SUMIFS('Weekly Log'!$E:$E,'Weekly Log'!$A:$A,"&gt;="&amp;$J1987,'Weekly Log'!$A:$A,"&lt;"&amp;$J1987+7),0))</f>
        <v/>
      </c>
      <c r="G1987">
        <f>IF($J1987="","",IFERROR(LOOKUP(2,1/(('Weekly Log'!$A$5:$A$5000&gt;=$J1987)*('Weekly Log'!$A$5:$A$5000&lt;$J1987+7)*('Weekly Log'!$M$5:$M$5000&lt;&gt;"")),'Weekly Log'!$M$5:$M$5000),0))</f>
        <v/>
      </c>
      <c r="J1987">
        <f>IF(COUNT('Weekly Log'!$A$5:$A$5000)=0,"",IF(MIN('Weekly Log'!$A$5:$A$5000)+7*(ROW()-10)&gt;MAX('Weekly Log'!$A$5:$A$5000),"",MIN('Weekly Log'!$A$5:$A$5000)+7*(ROW()-10)))</f>
        <v/>
      </c>
    </row>
    <row r="1988">
      <c r="A1988">
        <f>IF($J1988="","",YEAR($J1988-WEEKDAY($J1988,2)+4)&amp;"-W"&amp;TEXT(WEEKNUM($J1988,21),"00"))</f>
        <v/>
      </c>
      <c r="B1988">
        <f>IF($J1988="","",SUMIFS('Weekly Log'!$C:$C,'Weekly Log'!$A:$A,"&gt;="&amp;$J1988,'Weekly Log'!$A:$A,"&lt;"&amp;$J1988+7))</f>
        <v/>
      </c>
      <c r="C1988">
        <f>IF($J1988="","",IFERROR(COUNTIFS('Weekly Log'!$G:$G,"Y",'Weekly Log'!$A:$A,"&gt;="&amp;$J1988,'Weekly Log'!$A:$A,"&lt;"&amp;$J1988+7)/COUNTIFS('Weekly Log'!$G:$G,"&lt;&gt;",'Weekly Log'!$A:$A,"&gt;="&amp;$J1988,'Weekly Log'!$A:$A,"&lt;"&amp;$J1988+7),0))</f>
        <v/>
      </c>
      <c r="D1988">
        <f>IF($J1988="","",IFERROR(COUNTIFS('Weekly Log'!$H:$H,"Y",'Weekly Log'!$A:$A,"&gt;="&amp;$J1988,'Weekly Log'!$A:$A,"&lt;"&amp;$J1988+7)/COUNTIFS('Weekly Log'!$H:$H,"&lt;&gt;",'Weekly Log'!$A:$A,"&gt;="&amp;$J1988,'Weekly Log'!$A:$A,"&lt;"&amp;$J1988+7),0))</f>
        <v/>
      </c>
      <c r="E1988">
        <f>IF($J1988="","",IFERROR(AVERAGEIFS('Weekly Log'!$F:$F,'Weekly Log'!$A:$A,"&gt;="&amp;$J1988,'Weekly Log'!$A:$A,"&lt;"&amp;$J1988+7),0))</f>
        <v/>
      </c>
      <c r="F1988">
        <f>IF($J1988="","",IFERROR(SUMIFS('Weekly Log'!$F:$F,'Weekly Log'!$A:$A,"&gt;="&amp;$J1988,'Weekly Log'!$A:$A,"&lt;"&amp;$J1988+7)/SUMIFS('Weekly Log'!$E:$E,'Weekly Log'!$A:$A,"&gt;="&amp;$J1988,'Weekly Log'!$A:$A,"&lt;"&amp;$J1988+7),0))</f>
        <v/>
      </c>
      <c r="G1988">
        <f>IF($J1988="","",IFERROR(LOOKUP(2,1/(('Weekly Log'!$A$5:$A$5000&gt;=$J1988)*('Weekly Log'!$A$5:$A$5000&lt;$J1988+7)*('Weekly Log'!$M$5:$M$5000&lt;&gt;"")),'Weekly Log'!$M$5:$M$5000),0))</f>
        <v/>
      </c>
      <c r="J1988">
        <f>IF(COUNT('Weekly Log'!$A$5:$A$5000)=0,"",IF(MIN('Weekly Log'!$A$5:$A$5000)+7*(ROW()-10)&gt;MAX('Weekly Log'!$A$5:$A$5000),"",MIN('Weekly Log'!$A$5:$A$5000)+7*(ROW()-10)))</f>
        <v/>
      </c>
    </row>
    <row r="1989">
      <c r="A1989">
        <f>IF($J1989="","",YEAR($J1989-WEEKDAY($J1989,2)+4)&amp;"-W"&amp;TEXT(WEEKNUM($J1989,21),"00"))</f>
        <v/>
      </c>
      <c r="B1989">
        <f>IF($J1989="","",SUMIFS('Weekly Log'!$C:$C,'Weekly Log'!$A:$A,"&gt;="&amp;$J1989,'Weekly Log'!$A:$A,"&lt;"&amp;$J1989+7))</f>
        <v/>
      </c>
      <c r="C1989">
        <f>IF($J1989="","",IFERROR(COUNTIFS('Weekly Log'!$G:$G,"Y",'Weekly Log'!$A:$A,"&gt;="&amp;$J1989,'Weekly Log'!$A:$A,"&lt;"&amp;$J1989+7)/COUNTIFS('Weekly Log'!$G:$G,"&lt;&gt;",'Weekly Log'!$A:$A,"&gt;="&amp;$J1989,'Weekly Log'!$A:$A,"&lt;"&amp;$J1989+7),0))</f>
        <v/>
      </c>
      <c r="D1989">
        <f>IF($J1989="","",IFERROR(COUNTIFS('Weekly Log'!$H:$H,"Y",'Weekly Log'!$A:$A,"&gt;="&amp;$J1989,'Weekly Log'!$A:$A,"&lt;"&amp;$J1989+7)/COUNTIFS('Weekly Log'!$H:$H,"&lt;&gt;",'Weekly Log'!$A:$A,"&gt;="&amp;$J1989,'Weekly Log'!$A:$A,"&lt;"&amp;$J1989+7),0))</f>
        <v/>
      </c>
      <c r="E1989">
        <f>IF($J1989="","",IFERROR(AVERAGEIFS('Weekly Log'!$F:$F,'Weekly Log'!$A:$A,"&gt;="&amp;$J1989,'Weekly Log'!$A:$A,"&lt;"&amp;$J1989+7),0))</f>
        <v/>
      </c>
      <c r="F1989">
        <f>IF($J1989="","",IFERROR(SUMIFS('Weekly Log'!$F:$F,'Weekly Log'!$A:$A,"&gt;="&amp;$J1989,'Weekly Log'!$A:$A,"&lt;"&amp;$J1989+7)/SUMIFS('Weekly Log'!$E:$E,'Weekly Log'!$A:$A,"&gt;="&amp;$J1989,'Weekly Log'!$A:$A,"&lt;"&amp;$J1989+7),0))</f>
        <v/>
      </c>
      <c r="G1989">
        <f>IF($J1989="","",IFERROR(LOOKUP(2,1/(('Weekly Log'!$A$5:$A$5000&gt;=$J1989)*('Weekly Log'!$A$5:$A$5000&lt;$J1989+7)*('Weekly Log'!$M$5:$M$5000&lt;&gt;"")),'Weekly Log'!$M$5:$M$5000),0))</f>
        <v/>
      </c>
      <c r="J1989">
        <f>IF(COUNT('Weekly Log'!$A$5:$A$5000)=0,"",IF(MIN('Weekly Log'!$A$5:$A$5000)+7*(ROW()-10)&gt;MAX('Weekly Log'!$A$5:$A$5000),"",MIN('Weekly Log'!$A$5:$A$5000)+7*(ROW()-10)))</f>
        <v/>
      </c>
    </row>
    <row r="1990">
      <c r="A1990">
        <f>IF($J1990="","",YEAR($J1990-WEEKDAY($J1990,2)+4)&amp;"-W"&amp;TEXT(WEEKNUM($J1990,21),"00"))</f>
        <v/>
      </c>
      <c r="B1990">
        <f>IF($J1990="","",SUMIFS('Weekly Log'!$C:$C,'Weekly Log'!$A:$A,"&gt;="&amp;$J1990,'Weekly Log'!$A:$A,"&lt;"&amp;$J1990+7))</f>
        <v/>
      </c>
      <c r="C1990">
        <f>IF($J1990="","",IFERROR(COUNTIFS('Weekly Log'!$G:$G,"Y",'Weekly Log'!$A:$A,"&gt;="&amp;$J1990,'Weekly Log'!$A:$A,"&lt;"&amp;$J1990+7)/COUNTIFS('Weekly Log'!$G:$G,"&lt;&gt;",'Weekly Log'!$A:$A,"&gt;="&amp;$J1990,'Weekly Log'!$A:$A,"&lt;"&amp;$J1990+7),0))</f>
        <v/>
      </c>
      <c r="D1990">
        <f>IF($J1990="","",IFERROR(COUNTIFS('Weekly Log'!$H:$H,"Y",'Weekly Log'!$A:$A,"&gt;="&amp;$J1990,'Weekly Log'!$A:$A,"&lt;"&amp;$J1990+7)/COUNTIFS('Weekly Log'!$H:$H,"&lt;&gt;",'Weekly Log'!$A:$A,"&gt;="&amp;$J1990,'Weekly Log'!$A:$A,"&lt;"&amp;$J1990+7),0))</f>
        <v/>
      </c>
      <c r="E1990">
        <f>IF($J1990="","",IFERROR(AVERAGEIFS('Weekly Log'!$F:$F,'Weekly Log'!$A:$A,"&gt;="&amp;$J1990,'Weekly Log'!$A:$A,"&lt;"&amp;$J1990+7),0))</f>
        <v/>
      </c>
      <c r="F1990">
        <f>IF($J1990="","",IFERROR(SUMIFS('Weekly Log'!$F:$F,'Weekly Log'!$A:$A,"&gt;="&amp;$J1990,'Weekly Log'!$A:$A,"&lt;"&amp;$J1990+7)/SUMIFS('Weekly Log'!$E:$E,'Weekly Log'!$A:$A,"&gt;="&amp;$J1990,'Weekly Log'!$A:$A,"&lt;"&amp;$J1990+7),0))</f>
        <v/>
      </c>
      <c r="G1990">
        <f>IF($J1990="","",IFERROR(LOOKUP(2,1/(('Weekly Log'!$A$5:$A$5000&gt;=$J1990)*('Weekly Log'!$A$5:$A$5000&lt;$J1990+7)*('Weekly Log'!$M$5:$M$5000&lt;&gt;"")),'Weekly Log'!$M$5:$M$5000),0))</f>
        <v/>
      </c>
      <c r="J1990">
        <f>IF(COUNT('Weekly Log'!$A$5:$A$5000)=0,"",IF(MIN('Weekly Log'!$A$5:$A$5000)+7*(ROW()-10)&gt;MAX('Weekly Log'!$A$5:$A$5000),"",MIN('Weekly Log'!$A$5:$A$5000)+7*(ROW()-10)))</f>
        <v/>
      </c>
    </row>
    <row r="1991">
      <c r="A1991">
        <f>IF($J1991="","",YEAR($J1991-WEEKDAY($J1991,2)+4)&amp;"-W"&amp;TEXT(WEEKNUM($J1991,21),"00"))</f>
        <v/>
      </c>
      <c r="B1991">
        <f>IF($J1991="","",SUMIFS('Weekly Log'!$C:$C,'Weekly Log'!$A:$A,"&gt;="&amp;$J1991,'Weekly Log'!$A:$A,"&lt;"&amp;$J1991+7))</f>
        <v/>
      </c>
      <c r="C1991">
        <f>IF($J1991="","",IFERROR(COUNTIFS('Weekly Log'!$G:$G,"Y",'Weekly Log'!$A:$A,"&gt;="&amp;$J1991,'Weekly Log'!$A:$A,"&lt;"&amp;$J1991+7)/COUNTIFS('Weekly Log'!$G:$G,"&lt;&gt;",'Weekly Log'!$A:$A,"&gt;="&amp;$J1991,'Weekly Log'!$A:$A,"&lt;"&amp;$J1991+7),0))</f>
        <v/>
      </c>
      <c r="D1991">
        <f>IF($J1991="","",IFERROR(COUNTIFS('Weekly Log'!$H:$H,"Y",'Weekly Log'!$A:$A,"&gt;="&amp;$J1991,'Weekly Log'!$A:$A,"&lt;"&amp;$J1991+7)/COUNTIFS('Weekly Log'!$H:$H,"&lt;&gt;",'Weekly Log'!$A:$A,"&gt;="&amp;$J1991,'Weekly Log'!$A:$A,"&lt;"&amp;$J1991+7),0))</f>
        <v/>
      </c>
      <c r="E1991">
        <f>IF($J1991="","",IFERROR(AVERAGEIFS('Weekly Log'!$F:$F,'Weekly Log'!$A:$A,"&gt;="&amp;$J1991,'Weekly Log'!$A:$A,"&lt;"&amp;$J1991+7),0))</f>
        <v/>
      </c>
      <c r="F1991">
        <f>IF($J1991="","",IFERROR(SUMIFS('Weekly Log'!$F:$F,'Weekly Log'!$A:$A,"&gt;="&amp;$J1991,'Weekly Log'!$A:$A,"&lt;"&amp;$J1991+7)/SUMIFS('Weekly Log'!$E:$E,'Weekly Log'!$A:$A,"&gt;="&amp;$J1991,'Weekly Log'!$A:$A,"&lt;"&amp;$J1991+7),0))</f>
        <v/>
      </c>
      <c r="G1991">
        <f>IF($J1991="","",IFERROR(LOOKUP(2,1/(('Weekly Log'!$A$5:$A$5000&gt;=$J1991)*('Weekly Log'!$A$5:$A$5000&lt;$J1991+7)*('Weekly Log'!$M$5:$M$5000&lt;&gt;"")),'Weekly Log'!$M$5:$M$5000),0))</f>
        <v/>
      </c>
      <c r="J1991">
        <f>IF(COUNT('Weekly Log'!$A$5:$A$5000)=0,"",IF(MIN('Weekly Log'!$A$5:$A$5000)+7*(ROW()-10)&gt;MAX('Weekly Log'!$A$5:$A$5000),"",MIN('Weekly Log'!$A$5:$A$5000)+7*(ROW()-10)))</f>
        <v/>
      </c>
    </row>
    <row r="1992">
      <c r="A1992">
        <f>IF($J1992="","",YEAR($J1992-WEEKDAY($J1992,2)+4)&amp;"-W"&amp;TEXT(WEEKNUM($J1992,21),"00"))</f>
        <v/>
      </c>
      <c r="B1992">
        <f>IF($J1992="","",SUMIFS('Weekly Log'!$C:$C,'Weekly Log'!$A:$A,"&gt;="&amp;$J1992,'Weekly Log'!$A:$A,"&lt;"&amp;$J1992+7))</f>
        <v/>
      </c>
      <c r="C1992">
        <f>IF($J1992="","",IFERROR(COUNTIFS('Weekly Log'!$G:$G,"Y",'Weekly Log'!$A:$A,"&gt;="&amp;$J1992,'Weekly Log'!$A:$A,"&lt;"&amp;$J1992+7)/COUNTIFS('Weekly Log'!$G:$G,"&lt;&gt;",'Weekly Log'!$A:$A,"&gt;="&amp;$J1992,'Weekly Log'!$A:$A,"&lt;"&amp;$J1992+7),0))</f>
        <v/>
      </c>
      <c r="D1992">
        <f>IF($J1992="","",IFERROR(COUNTIFS('Weekly Log'!$H:$H,"Y",'Weekly Log'!$A:$A,"&gt;="&amp;$J1992,'Weekly Log'!$A:$A,"&lt;"&amp;$J1992+7)/COUNTIFS('Weekly Log'!$H:$H,"&lt;&gt;",'Weekly Log'!$A:$A,"&gt;="&amp;$J1992,'Weekly Log'!$A:$A,"&lt;"&amp;$J1992+7),0))</f>
        <v/>
      </c>
      <c r="E1992">
        <f>IF($J1992="","",IFERROR(AVERAGEIFS('Weekly Log'!$F:$F,'Weekly Log'!$A:$A,"&gt;="&amp;$J1992,'Weekly Log'!$A:$A,"&lt;"&amp;$J1992+7),0))</f>
        <v/>
      </c>
      <c r="F1992">
        <f>IF($J1992="","",IFERROR(SUMIFS('Weekly Log'!$F:$F,'Weekly Log'!$A:$A,"&gt;="&amp;$J1992,'Weekly Log'!$A:$A,"&lt;"&amp;$J1992+7)/SUMIFS('Weekly Log'!$E:$E,'Weekly Log'!$A:$A,"&gt;="&amp;$J1992,'Weekly Log'!$A:$A,"&lt;"&amp;$J1992+7),0))</f>
        <v/>
      </c>
      <c r="G1992">
        <f>IF($J1992="","",IFERROR(LOOKUP(2,1/(('Weekly Log'!$A$5:$A$5000&gt;=$J1992)*('Weekly Log'!$A$5:$A$5000&lt;$J1992+7)*('Weekly Log'!$M$5:$M$5000&lt;&gt;"")),'Weekly Log'!$M$5:$M$5000),0))</f>
        <v/>
      </c>
      <c r="J1992">
        <f>IF(COUNT('Weekly Log'!$A$5:$A$5000)=0,"",IF(MIN('Weekly Log'!$A$5:$A$5000)+7*(ROW()-10)&gt;MAX('Weekly Log'!$A$5:$A$5000),"",MIN('Weekly Log'!$A$5:$A$5000)+7*(ROW()-10)))</f>
        <v/>
      </c>
    </row>
    <row r="1993">
      <c r="A1993">
        <f>IF($J1993="","",YEAR($J1993-WEEKDAY($J1993,2)+4)&amp;"-W"&amp;TEXT(WEEKNUM($J1993,21),"00"))</f>
        <v/>
      </c>
      <c r="B1993">
        <f>IF($J1993="","",SUMIFS('Weekly Log'!$C:$C,'Weekly Log'!$A:$A,"&gt;="&amp;$J1993,'Weekly Log'!$A:$A,"&lt;"&amp;$J1993+7))</f>
        <v/>
      </c>
      <c r="C1993">
        <f>IF($J1993="","",IFERROR(COUNTIFS('Weekly Log'!$G:$G,"Y",'Weekly Log'!$A:$A,"&gt;="&amp;$J1993,'Weekly Log'!$A:$A,"&lt;"&amp;$J1993+7)/COUNTIFS('Weekly Log'!$G:$G,"&lt;&gt;",'Weekly Log'!$A:$A,"&gt;="&amp;$J1993,'Weekly Log'!$A:$A,"&lt;"&amp;$J1993+7),0))</f>
        <v/>
      </c>
      <c r="D1993">
        <f>IF($J1993="","",IFERROR(COUNTIFS('Weekly Log'!$H:$H,"Y",'Weekly Log'!$A:$A,"&gt;="&amp;$J1993,'Weekly Log'!$A:$A,"&lt;"&amp;$J1993+7)/COUNTIFS('Weekly Log'!$H:$H,"&lt;&gt;",'Weekly Log'!$A:$A,"&gt;="&amp;$J1993,'Weekly Log'!$A:$A,"&lt;"&amp;$J1993+7),0))</f>
        <v/>
      </c>
      <c r="E1993">
        <f>IF($J1993="","",IFERROR(AVERAGEIFS('Weekly Log'!$F:$F,'Weekly Log'!$A:$A,"&gt;="&amp;$J1993,'Weekly Log'!$A:$A,"&lt;"&amp;$J1993+7),0))</f>
        <v/>
      </c>
      <c r="F1993">
        <f>IF($J1993="","",IFERROR(SUMIFS('Weekly Log'!$F:$F,'Weekly Log'!$A:$A,"&gt;="&amp;$J1993,'Weekly Log'!$A:$A,"&lt;"&amp;$J1993+7)/SUMIFS('Weekly Log'!$E:$E,'Weekly Log'!$A:$A,"&gt;="&amp;$J1993,'Weekly Log'!$A:$A,"&lt;"&amp;$J1993+7),0))</f>
        <v/>
      </c>
      <c r="G1993">
        <f>IF($J1993="","",IFERROR(LOOKUP(2,1/(('Weekly Log'!$A$5:$A$5000&gt;=$J1993)*('Weekly Log'!$A$5:$A$5000&lt;$J1993+7)*('Weekly Log'!$M$5:$M$5000&lt;&gt;"")),'Weekly Log'!$M$5:$M$5000),0))</f>
        <v/>
      </c>
      <c r="J1993">
        <f>IF(COUNT('Weekly Log'!$A$5:$A$5000)=0,"",IF(MIN('Weekly Log'!$A$5:$A$5000)+7*(ROW()-10)&gt;MAX('Weekly Log'!$A$5:$A$5000),"",MIN('Weekly Log'!$A$5:$A$5000)+7*(ROW()-10)))</f>
        <v/>
      </c>
    </row>
    <row r="1994">
      <c r="A1994">
        <f>IF($J1994="","",YEAR($J1994-WEEKDAY($J1994,2)+4)&amp;"-W"&amp;TEXT(WEEKNUM($J1994,21),"00"))</f>
        <v/>
      </c>
      <c r="B1994">
        <f>IF($J1994="","",SUMIFS('Weekly Log'!$C:$C,'Weekly Log'!$A:$A,"&gt;="&amp;$J1994,'Weekly Log'!$A:$A,"&lt;"&amp;$J1994+7))</f>
        <v/>
      </c>
      <c r="C1994">
        <f>IF($J1994="","",IFERROR(COUNTIFS('Weekly Log'!$G:$G,"Y",'Weekly Log'!$A:$A,"&gt;="&amp;$J1994,'Weekly Log'!$A:$A,"&lt;"&amp;$J1994+7)/COUNTIFS('Weekly Log'!$G:$G,"&lt;&gt;",'Weekly Log'!$A:$A,"&gt;="&amp;$J1994,'Weekly Log'!$A:$A,"&lt;"&amp;$J1994+7),0))</f>
        <v/>
      </c>
      <c r="D1994">
        <f>IF($J1994="","",IFERROR(COUNTIFS('Weekly Log'!$H:$H,"Y",'Weekly Log'!$A:$A,"&gt;="&amp;$J1994,'Weekly Log'!$A:$A,"&lt;"&amp;$J1994+7)/COUNTIFS('Weekly Log'!$H:$H,"&lt;&gt;",'Weekly Log'!$A:$A,"&gt;="&amp;$J1994,'Weekly Log'!$A:$A,"&lt;"&amp;$J1994+7),0))</f>
        <v/>
      </c>
      <c r="E1994">
        <f>IF($J1994="","",IFERROR(AVERAGEIFS('Weekly Log'!$F:$F,'Weekly Log'!$A:$A,"&gt;="&amp;$J1994,'Weekly Log'!$A:$A,"&lt;"&amp;$J1994+7),0))</f>
        <v/>
      </c>
      <c r="F1994">
        <f>IF($J1994="","",IFERROR(SUMIFS('Weekly Log'!$F:$F,'Weekly Log'!$A:$A,"&gt;="&amp;$J1994,'Weekly Log'!$A:$A,"&lt;"&amp;$J1994+7)/SUMIFS('Weekly Log'!$E:$E,'Weekly Log'!$A:$A,"&gt;="&amp;$J1994,'Weekly Log'!$A:$A,"&lt;"&amp;$J1994+7),0))</f>
        <v/>
      </c>
      <c r="G1994">
        <f>IF($J1994="","",IFERROR(LOOKUP(2,1/(('Weekly Log'!$A$5:$A$5000&gt;=$J1994)*('Weekly Log'!$A$5:$A$5000&lt;$J1994+7)*('Weekly Log'!$M$5:$M$5000&lt;&gt;"")),'Weekly Log'!$M$5:$M$5000),0))</f>
        <v/>
      </c>
      <c r="J1994">
        <f>IF(COUNT('Weekly Log'!$A$5:$A$5000)=0,"",IF(MIN('Weekly Log'!$A$5:$A$5000)+7*(ROW()-10)&gt;MAX('Weekly Log'!$A$5:$A$5000),"",MIN('Weekly Log'!$A$5:$A$5000)+7*(ROW()-10)))</f>
        <v/>
      </c>
    </row>
    <row r="1995">
      <c r="A1995">
        <f>IF($J1995="","",YEAR($J1995-WEEKDAY($J1995,2)+4)&amp;"-W"&amp;TEXT(WEEKNUM($J1995,21),"00"))</f>
        <v/>
      </c>
      <c r="B1995">
        <f>IF($J1995="","",SUMIFS('Weekly Log'!$C:$C,'Weekly Log'!$A:$A,"&gt;="&amp;$J1995,'Weekly Log'!$A:$A,"&lt;"&amp;$J1995+7))</f>
        <v/>
      </c>
      <c r="C1995">
        <f>IF($J1995="","",IFERROR(COUNTIFS('Weekly Log'!$G:$G,"Y",'Weekly Log'!$A:$A,"&gt;="&amp;$J1995,'Weekly Log'!$A:$A,"&lt;"&amp;$J1995+7)/COUNTIFS('Weekly Log'!$G:$G,"&lt;&gt;",'Weekly Log'!$A:$A,"&gt;="&amp;$J1995,'Weekly Log'!$A:$A,"&lt;"&amp;$J1995+7),0))</f>
        <v/>
      </c>
      <c r="D1995">
        <f>IF($J1995="","",IFERROR(COUNTIFS('Weekly Log'!$H:$H,"Y",'Weekly Log'!$A:$A,"&gt;="&amp;$J1995,'Weekly Log'!$A:$A,"&lt;"&amp;$J1995+7)/COUNTIFS('Weekly Log'!$H:$H,"&lt;&gt;",'Weekly Log'!$A:$A,"&gt;="&amp;$J1995,'Weekly Log'!$A:$A,"&lt;"&amp;$J1995+7),0))</f>
        <v/>
      </c>
      <c r="E1995">
        <f>IF($J1995="","",IFERROR(AVERAGEIFS('Weekly Log'!$F:$F,'Weekly Log'!$A:$A,"&gt;="&amp;$J1995,'Weekly Log'!$A:$A,"&lt;"&amp;$J1995+7),0))</f>
        <v/>
      </c>
      <c r="F1995">
        <f>IF($J1995="","",IFERROR(SUMIFS('Weekly Log'!$F:$F,'Weekly Log'!$A:$A,"&gt;="&amp;$J1995,'Weekly Log'!$A:$A,"&lt;"&amp;$J1995+7)/SUMIFS('Weekly Log'!$E:$E,'Weekly Log'!$A:$A,"&gt;="&amp;$J1995,'Weekly Log'!$A:$A,"&lt;"&amp;$J1995+7),0))</f>
        <v/>
      </c>
      <c r="G1995">
        <f>IF($J1995="","",IFERROR(LOOKUP(2,1/(('Weekly Log'!$A$5:$A$5000&gt;=$J1995)*('Weekly Log'!$A$5:$A$5000&lt;$J1995+7)*('Weekly Log'!$M$5:$M$5000&lt;&gt;"")),'Weekly Log'!$M$5:$M$5000),0))</f>
        <v/>
      </c>
      <c r="J1995">
        <f>IF(COUNT('Weekly Log'!$A$5:$A$5000)=0,"",IF(MIN('Weekly Log'!$A$5:$A$5000)+7*(ROW()-10)&gt;MAX('Weekly Log'!$A$5:$A$5000),"",MIN('Weekly Log'!$A$5:$A$5000)+7*(ROW()-10)))</f>
        <v/>
      </c>
    </row>
    <row r="1996">
      <c r="A1996">
        <f>IF($J1996="","",YEAR($J1996-WEEKDAY($J1996,2)+4)&amp;"-W"&amp;TEXT(WEEKNUM($J1996,21),"00"))</f>
        <v/>
      </c>
      <c r="B1996">
        <f>IF($J1996="","",SUMIFS('Weekly Log'!$C:$C,'Weekly Log'!$A:$A,"&gt;="&amp;$J1996,'Weekly Log'!$A:$A,"&lt;"&amp;$J1996+7))</f>
        <v/>
      </c>
      <c r="C1996">
        <f>IF($J1996="","",IFERROR(COUNTIFS('Weekly Log'!$G:$G,"Y",'Weekly Log'!$A:$A,"&gt;="&amp;$J1996,'Weekly Log'!$A:$A,"&lt;"&amp;$J1996+7)/COUNTIFS('Weekly Log'!$G:$G,"&lt;&gt;",'Weekly Log'!$A:$A,"&gt;="&amp;$J1996,'Weekly Log'!$A:$A,"&lt;"&amp;$J1996+7),0))</f>
        <v/>
      </c>
      <c r="D1996">
        <f>IF($J1996="","",IFERROR(COUNTIFS('Weekly Log'!$H:$H,"Y",'Weekly Log'!$A:$A,"&gt;="&amp;$J1996,'Weekly Log'!$A:$A,"&lt;"&amp;$J1996+7)/COUNTIFS('Weekly Log'!$H:$H,"&lt;&gt;",'Weekly Log'!$A:$A,"&gt;="&amp;$J1996,'Weekly Log'!$A:$A,"&lt;"&amp;$J1996+7),0))</f>
        <v/>
      </c>
      <c r="E1996">
        <f>IF($J1996="","",IFERROR(AVERAGEIFS('Weekly Log'!$F:$F,'Weekly Log'!$A:$A,"&gt;="&amp;$J1996,'Weekly Log'!$A:$A,"&lt;"&amp;$J1996+7),0))</f>
        <v/>
      </c>
      <c r="F1996">
        <f>IF($J1996="","",IFERROR(SUMIFS('Weekly Log'!$F:$F,'Weekly Log'!$A:$A,"&gt;="&amp;$J1996,'Weekly Log'!$A:$A,"&lt;"&amp;$J1996+7)/SUMIFS('Weekly Log'!$E:$E,'Weekly Log'!$A:$A,"&gt;="&amp;$J1996,'Weekly Log'!$A:$A,"&lt;"&amp;$J1996+7),0))</f>
        <v/>
      </c>
      <c r="G1996">
        <f>IF($J1996="","",IFERROR(LOOKUP(2,1/(('Weekly Log'!$A$5:$A$5000&gt;=$J1996)*('Weekly Log'!$A$5:$A$5000&lt;$J1996+7)*('Weekly Log'!$M$5:$M$5000&lt;&gt;"")),'Weekly Log'!$M$5:$M$5000),0))</f>
        <v/>
      </c>
      <c r="J1996">
        <f>IF(COUNT('Weekly Log'!$A$5:$A$5000)=0,"",IF(MIN('Weekly Log'!$A$5:$A$5000)+7*(ROW()-10)&gt;MAX('Weekly Log'!$A$5:$A$5000),"",MIN('Weekly Log'!$A$5:$A$5000)+7*(ROW()-10)))</f>
        <v/>
      </c>
    </row>
    <row r="1997">
      <c r="A1997">
        <f>IF($J1997="","",YEAR($J1997-WEEKDAY($J1997,2)+4)&amp;"-W"&amp;TEXT(WEEKNUM($J1997,21),"00"))</f>
        <v/>
      </c>
      <c r="B1997">
        <f>IF($J1997="","",SUMIFS('Weekly Log'!$C:$C,'Weekly Log'!$A:$A,"&gt;="&amp;$J1997,'Weekly Log'!$A:$A,"&lt;"&amp;$J1997+7))</f>
        <v/>
      </c>
      <c r="C1997">
        <f>IF($J1997="","",IFERROR(COUNTIFS('Weekly Log'!$G:$G,"Y",'Weekly Log'!$A:$A,"&gt;="&amp;$J1997,'Weekly Log'!$A:$A,"&lt;"&amp;$J1997+7)/COUNTIFS('Weekly Log'!$G:$G,"&lt;&gt;",'Weekly Log'!$A:$A,"&gt;="&amp;$J1997,'Weekly Log'!$A:$A,"&lt;"&amp;$J1997+7),0))</f>
        <v/>
      </c>
      <c r="D1997">
        <f>IF($J1997="","",IFERROR(COUNTIFS('Weekly Log'!$H:$H,"Y",'Weekly Log'!$A:$A,"&gt;="&amp;$J1997,'Weekly Log'!$A:$A,"&lt;"&amp;$J1997+7)/COUNTIFS('Weekly Log'!$H:$H,"&lt;&gt;",'Weekly Log'!$A:$A,"&gt;="&amp;$J1997,'Weekly Log'!$A:$A,"&lt;"&amp;$J1997+7),0))</f>
        <v/>
      </c>
      <c r="E1997">
        <f>IF($J1997="","",IFERROR(AVERAGEIFS('Weekly Log'!$F:$F,'Weekly Log'!$A:$A,"&gt;="&amp;$J1997,'Weekly Log'!$A:$A,"&lt;"&amp;$J1997+7),0))</f>
        <v/>
      </c>
      <c r="F1997">
        <f>IF($J1997="","",IFERROR(SUMIFS('Weekly Log'!$F:$F,'Weekly Log'!$A:$A,"&gt;="&amp;$J1997,'Weekly Log'!$A:$A,"&lt;"&amp;$J1997+7)/SUMIFS('Weekly Log'!$E:$E,'Weekly Log'!$A:$A,"&gt;="&amp;$J1997,'Weekly Log'!$A:$A,"&lt;"&amp;$J1997+7),0))</f>
        <v/>
      </c>
      <c r="G1997">
        <f>IF($J1997="","",IFERROR(LOOKUP(2,1/(('Weekly Log'!$A$5:$A$5000&gt;=$J1997)*('Weekly Log'!$A$5:$A$5000&lt;$J1997+7)*('Weekly Log'!$M$5:$M$5000&lt;&gt;"")),'Weekly Log'!$M$5:$M$5000),0))</f>
        <v/>
      </c>
      <c r="J1997">
        <f>IF(COUNT('Weekly Log'!$A$5:$A$5000)=0,"",IF(MIN('Weekly Log'!$A$5:$A$5000)+7*(ROW()-10)&gt;MAX('Weekly Log'!$A$5:$A$5000),"",MIN('Weekly Log'!$A$5:$A$5000)+7*(ROW()-10)))</f>
        <v/>
      </c>
    </row>
    <row r="1998">
      <c r="A1998">
        <f>IF($J1998="","",YEAR($J1998-WEEKDAY($J1998,2)+4)&amp;"-W"&amp;TEXT(WEEKNUM($J1998,21),"00"))</f>
        <v/>
      </c>
      <c r="B1998">
        <f>IF($J1998="","",SUMIFS('Weekly Log'!$C:$C,'Weekly Log'!$A:$A,"&gt;="&amp;$J1998,'Weekly Log'!$A:$A,"&lt;"&amp;$J1998+7))</f>
        <v/>
      </c>
      <c r="C1998">
        <f>IF($J1998="","",IFERROR(COUNTIFS('Weekly Log'!$G:$G,"Y",'Weekly Log'!$A:$A,"&gt;="&amp;$J1998,'Weekly Log'!$A:$A,"&lt;"&amp;$J1998+7)/COUNTIFS('Weekly Log'!$G:$G,"&lt;&gt;",'Weekly Log'!$A:$A,"&gt;="&amp;$J1998,'Weekly Log'!$A:$A,"&lt;"&amp;$J1998+7),0))</f>
        <v/>
      </c>
      <c r="D1998">
        <f>IF($J1998="","",IFERROR(COUNTIFS('Weekly Log'!$H:$H,"Y",'Weekly Log'!$A:$A,"&gt;="&amp;$J1998,'Weekly Log'!$A:$A,"&lt;"&amp;$J1998+7)/COUNTIFS('Weekly Log'!$H:$H,"&lt;&gt;",'Weekly Log'!$A:$A,"&gt;="&amp;$J1998,'Weekly Log'!$A:$A,"&lt;"&amp;$J1998+7),0))</f>
        <v/>
      </c>
      <c r="E1998">
        <f>IF($J1998="","",IFERROR(AVERAGEIFS('Weekly Log'!$F:$F,'Weekly Log'!$A:$A,"&gt;="&amp;$J1998,'Weekly Log'!$A:$A,"&lt;"&amp;$J1998+7),0))</f>
        <v/>
      </c>
      <c r="F1998">
        <f>IF($J1998="","",IFERROR(SUMIFS('Weekly Log'!$F:$F,'Weekly Log'!$A:$A,"&gt;="&amp;$J1998,'Weekly Log'!$A:$A,"&lt;"&amp;$J1998+7)/SUMIFS('Weekly Log'!$E:$E,'Weekly Log'!$A:$A,"&gt;="&amp;$J1998,'Weekly Log'!$A:$A,"&lt;"&amp;$J1998+7),0))</f>
        <v/>
      </c>
      <c r="G1998">
        <f>IF($J1998="","",IFERROR(LOOKUP(2,1/(('Weekly Log'!$A$5:$A$5000&gt;=$J1998)*('Weekly Log'!$A$5:$A$5000&lt;$J1998+7)*('Weekly Log'!$M$5:$M$5000&lt;&gt;"")),'Weekly Log'!$M$5:$M$5000),0))</f>
        <v/>
      </c>
      <c r="J1998">
        <f>IF(COUNT('Weekly Log'!$A$5:$A$5000)=0,"",IF(MIN('Weekly Log'!$A$5:$A$5000)+7*(ROW()-10)&gt;MAX('Weekly Log'!$A$5:$A$5000),"",MIN('Weekly Log'!$A$5:$A$5000)+7*(ROW()-10)))</f>
        <v/>
      </c>
    </row>
    <row r="1999">
      <c r="A1999">
        <f>IF($J1999="","",YEAR($J1999-WEEKDAY($J1999,2)+4)&amp;"-W"&amp;TEXT(WEEKNUM($J1999,21),"00"))</f>
        <v/>
      </c>
      <c r="B1999">
        <f>IF($J1999="","",SUMIFS('Weekly Log'!$C:$C,'Weekly Log'!$A:$A,"&gt;="&amp;$J1999,'Weekly Log'!$A:$A,"&lt;"&amp;$J1999+7))</f>
        <v/>
      </c>
      <c r="C1999">
        <f>IF($J1999="","",IFERROR(COUNTIFS('Weekly Log'!$G:$G,"Y",'Weekly Log'!$A:$A,"&gt;="&amp;$J1999,'Weekly Log'!$A:$A,"&lt;"&amp;$J1999+7)/COUNTIFS('Weekly Log'!$G:$G,"&lt;&gt;",'Weekly Log'!$A:$A,"&gt;="&amp;$J1999,'Weekly Log'!$A:$A,"&lt;"&amp;$J1999+7),0))</f>
        <v/>
      </c>
      <c r="D1999">
        <f>IF($J1999="","",IFERROR(COUNTIFS('Weekly Log'!$H:$H,"Y",'Weekly Log'!$A:$A,"&gt;="&amp;$J1999,'Weekly Log'!$A:$A,"&lt;"&amp;$J1999+7)/COUNTIFS('Weekly Log'!$H:$H,"&lt;&gt;",'Weekly Log'!$A:$A,"&gt;="&amp;$J1999,'Weekly Log'!$A:$A,"&lt;"&amp;$J1999+7),0))</f>
        <v/>
      </c>
      <c r="E1999">
        <f>IF($J1999="","",IFERROR(AVERAGEIFS('Weekly Log'!$F:$F,'Weekly Log'!$A:$A,"&gt;="&amp;$J1999,'Weekly Log'!$A:$A,"&lt;"&amp;$J1999+7),0))</f>
        <v/>
      </c>
      <c r="F1999">
        <f>IF($J1999="","",IFERROR(SUMIFS('Weekly Log'!$F:$F,'Weekly Log'!$A:$A,"&gt;="&amp;$J1999,'Weekly Log'!$A:$A,"&lt;"&amp;$J1999+7)/SUMIFS('Weekly Log'!$E:$E,'Weekly Log'!$A:$A,"&gt;="&amp;$J1999,'Weekly Log'!$A:$A,"&lt;"&amp;$J1999+7),0))</f>
        <v/>
      </c>
      <c r="G1999">
        <f>IF($J1999="","",IFERROR(LOOKUP(2,1/(('Weekly Log'!$A$5:$A$5000&gt;=$J1999)*('Weekly Log'!$A$5:$A$5000&lt;$J1999+7)*('Weekly Log'!$M$5:$M$5000&lt;&gt;"")),'Weekly Log'!$M$5:$M$5000),0))</f>
        <v/>
      </c>
      <c r="J1999">
        <f>IF(COUNT('Weekly Log'!$A$5:$A$5000)=0,"",IF(MIN('Weekly Log'!$A$5:$A$5000)+7*(ROW()-10)&gt;MAX('Weekly Log'!$A$5:$A$5000),"",MIN('Weekly Log'!$A$5:$A$5000)+7*(ROW()-10)))</f>
        <v/>
      </c>
    </row>
    <row r="2000">
      <c r="A2000">
        <f>IF($J2000="","",YEAR($J2000-WEEKDAY($J2000,2)+4)&amp;"-W"&amp;TEXT(WEEKNUM($J2000,21),"00"))</f>
        <v/>
      </c>
      <c r="B2000">
        <f>IF($J2000="","",SUMIFS('Weekly Log'!$C:$C,'Weekly Log'!$A:$A,"&gt;="&amp;$J2000,'Weekly Log'!$A:$A,"&lt;"&amp;$J2000+7))</f>
        <v/>
      </c>
      <c r="C2000">
        <f>IF($J2000="","",IFERROR(COUNTIFS('Weekly Log'!$G:$G,"Y",'Weekly Log'!$A:$A,"&gt;="&amp;$J2000,'Weekly Log'!$A:$A,"&lt;"&amp;$J2000+7)/COUNTIFS('Weekly Log'!$G:$G,"&lt;&gt;",'Weekly Log'!$A:$A,"&gt;="&amp;$J2000,'Weekly Log'!$A:$A,"&lt;"&amp;$J2000+7),0))</f>
        <v/>
      </c>
      <c r="D2000">
        <f>IF($J2000="","",IFERROR(COUNTIFS('Weekly Log'!$H:$H,"Y",'Weekly Log'!$A:$A,"&gt;="&amp;$J2000,'Weekly Log'!$A:$A,"&lt;"&amp;$J2000+7)/COUNTIFS('Weekly Log'!$H:$H,"&lt;&gt;",'Weekly Log'!$A:$A,"&gt;="&amp;$J2000,'Weekly Log'!$A:$A,"&lt;"&amp;$J2000+7),0))</f>
        <v/>
      </c>
      <c r="E2000">
        <f>IF($J2000="","",IFERROR(AVERAGEIFS('Weekly Log'!$F:$F,'Weekly Log'!$A:$A,"&gt;="&amp;$J2000,'Weekly Log'!$A:$A,"&lt;"&amp;$J2000+7),0))</f>
        <v/>
      </c>
      <c r="F2000">
        <f>IF($J2000="","",IFERROR(SUMIFS('Weekly Log'!$F:$F,'Weekly Log'!$A:$A,"&gt;="&amp;$J2000,'Weekly Log'!$A:$A,"&lt;"&amp;$J2000+7)/SUMIFS('Weekly Log'!$E:$E,'Weekly Log'!$A:$A,"&gt;="&amp;$J2000,'Weekly Log'!$A:$A,"&lt;"&amp;$J2000+7),0))</f>
        <v/>
      </c>
      <c r="G2000">
        <f>IF($J2000="","",IFERROR(LOOKUP(2,1/(('Weekly Log'!$A$5:$A$5000&gt;=$J2000)*('Weekly Log'!$A$5:$A$5000&lt;$J2000+7)*('Weekly Log'!$M$5:$M$5000&lt;&gt;"")),'Weekly Log'!$M$5:$M$5000),0))</f>
        <v/>
      </c>
      <c r="J2000">
        <f>IF(COUNT('Weekly Log'!$A$5:$A$5000)=0,"",IF(MIN('Weekly Log'!$A$5:$A$5000)+7*(ROW()-10)&gt;MAX('Weekly Log'!$A$5:$A$5000),"",MIN('Weekly Log'!$A$5:$A$5000)+7*(ROW()-10)))</f>
        <v/>
      </c>
    </row>
  </sheetData>
  <mergeCells count="4">
    <mergeCell ref="A1:J1"/>
    <mergeCell ref="A4:J4"/>
    <mergeCell ref="A8:J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54"/>
  <sheetViews>
    <sheetView zoomScaleNormal="10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style="26" min="1" max="1"/>
    <col width="12" customWidth="1" style="37" min="2" max="2"/>
    <col width="10" customWidth="1" style="37" min="3" max="3"/>
    <col width="14" customWidth="1" style="37" min="4" max="4"/>
    <col width="12" customWidth="1" style="37" min="5" max="6"/>
    <col width="10" customWidth="1" style="37" min="7" max="8"/>
    <col width="12" customWidth="1" style="37" min="9" max="11"/>
    <col width="14" customWidth="1" style="37" min="12" max="12"/>
    <col width="10" customWidth="1" style="37" min="13" max="13"/>
    <col width="9.140625" customWidth="1" style="37" min="14" max="15"/>
    <col width="9.140625" customWidth="1" style="37" min="16" max="16384"/>
  </cols>
  <sheetData>
    <row r="1" ht="30" customHeight="1" s="38">
      <c r="A1" s="36" t="inlineStr">
        <is>
          <t>SignalStack | Ops Pulse — Weekly Job Log</t>
        </is>
      </c>
    </row>
    <row r="2" ht="15.95" customHeight="1" s="38">
      <c r="A2" s="42" t="inlineStr">
        <is>
          <t xml:space="preserve">  Enter one row per job. All Dashboard KPIs pull from this sheet.</t>
        </is>
      </c>
    </row>
    <row r="3" ht="39.95" customHeight="1" s="38">
      <c r="A3" s="5" t="inlineStr">
        <is>
          <t>Date</t>
        </is>
      </c>
      <c r="B3" s="5" t="inlineStr">
        <is>
          <t>Job ID</t>
        </is>
      </c>
      <c r="C3" s="5" t="inlineStr">
        <is>
          <t>Jobs
Completed</t>
        </is>
      </c>
      <c r="D3" s="5" t="inlineStr">
        <is>
          <t>Technician</t>
        </is>
      </c>
      <c r="E3" s="5" t="inlineStr">
        <is>
          <t>Scheduled
Time (h)</t>
        </is>
      </c>
      <c r="F3" s="5" t="inlineStr">
        <is>
          <t>Actual
Time (h)</t>
        </is>
      </c>
      <c r="G3" s="5" t="inlineStr">
        <is>
          <t>On Time?
(Y/N)</t>
        </is>
      </c>
      <c r="H3" s="5" t="inlineStr">
        <is>
          <t>Callback?
(Y/N)</t>
        </is>
      </c>
      <c r="I3" s="5" t="inlineStr">
        <is>
          <t>On-Time
Rate</t>
        </is>
      </c>
      <c r="J3" s="5" t="inlineStr">
        <is>
          <t>Callback
Rate</t>
        </is>
      </c>
      <c r="K3" s="5" t="inlineStr">
        <is>
          <t>Avg
Duration</t>
        </is>
      </c>
      <c r="L3" s="5" t="inlineStr">
        <is>
          <t>Utilization
%</t>
        </is>
      </c>
      <c r="M3" s="5" t="inlineStr">
        <is>
          <t>Open
WOs</t>
        </is>
      </c>
    </row>
    <row r="4" ht="21.95" customHeight="1" s="38">
      <c r="A4" s="37" t="n"/>
      <c r="I4" s="43" t="inlineStr">
        <is>
          <t>AUTO-CALCULATED — DO NOT EDIT</t>
        </is>
      </c>
      <c r="J4" s="40" t="n"/>
      <c r="K4" s="40" t="n"/>
      <c r="L4" s="40" t="n"/>
      <c r="M4" s="41" t="n"/>
    </row>
    <row r="5">
      <c r="A5" s="27" t="n">
        <v>45614</v>
      </c>
      <c r="B5" s="17" t="inlineStr">
        <is>
          <t>JOB-1001</t>
        </is>
      </c>
      <c r="C5" s="30" t="n">
        <v>1</v>
      </c>
      <c r="D5" s="17" t="inlineStr">
        <is>
          <t>Tech D</t>
        </is>
      </c>
      <c r="E5" s="31" t="n">
        <v>3.4</v>
      </c>
      <c r="F5" s="31" t="n">
        <v>2.9</v>
      </c>
      <c r="G5" s="17" t="inlineStr">
        <is>
          <t>Y</t>
        </is>
      </c>
      <c r="H5" s="17" t="inlineStr">
        <is>
          <t>N</t>
        </is>
      </c>
      <c r="I5" s="19">
        <f>COUNTIF(G$5:G5,"Y")/COUNTA(G$5:G5)</f>
        <v/>
      </c>
      <c r="J5" s="19">
        <f>COUNTIF(H$5:H5,"Y")/COUNTA(H$5:H5)</f>
        <v/>
      </c>
      <c r="K5" s="20">
        <f>AVERAGE(F$5:F5)</f>
        <v/>
      </c>
      <c r="L5" s="19">
        <f>SUM(F$5:F5)/SUM(E$5:E5)</f>
        <v/>
      </c>
      <c r="M5" s="21" t="n"/>
    </row>
    <row r="6">
      <c r="A6" s="28" t="n">
        <v>45615</v>
      </c>
      <c r="B6" s="22" t="inlineStr">
        <is>
          <t>JOB-1002</t>
        </is>
      </c>
      <c r="C6" s="32" t="n">
        <v>1</v>
      </c>
      <c r="D6" s="22" t="inlineStr">
        <is>
          <t>Tech A</t>
        </is>
      </c>
      <c r="E6" s="33" t="n">
        <v>2.4</v>
      </c>
      <c r="F6" s="33" t="n">
        <v>1.9</v>
      </c>
      <c r="G6" s="22" t="inlineStr">
        <is>
          <t>Y</t>
        </is>
      </c>
      <c r="H6" s="22" t="inlineStr">
        <is>
          <t>N</t>
        </is>
      </c>
      <c r="I6" s="19">
        <f>COUNTIF(G$5:G6,"Y")/COUNTA(G$5:G6)</f>
        <v/>
      </c>
      <c r="J6" s="19">
        <f>COUNTIF(H$5:H6,"Y")/COUNTA(H$5:H6)</f>
        <v/>
      </c>
      <c r="K6" s="20">
        <f>AVERAGE(F$5:F6)</f>
        <v/>
      </c>
      <c r="L6" s="19">
        <f>SUM(F$5:F6)/SUM(E$5:E6)</f>
        <v/>
      </c>
      <c r="M6" s="21" t="n"/>
    </row>
    <row r="7">
      <c r="A7" s="27" t="n">
        <v>45616</v>
      </c>
      <c r="B7" s="17" t="inlineStr">
        <is>
          <t>JOB-1003</t>
        </is>
      </c>
      <c r="C7" s="30" t="n">
        <v>1</v>
      </c>
      <c r="D7" s="17" t="inlineStr">
        <is>
          <t>Tech A</t>
        </is>
      </c>
      <c r="E7" s="31" t="n">
        <v>4.5</v>
      </c>
      <c r="F7" s="31" t="n">
        <v>3.2</v>
      </c>
      <c r="G7" s="17" t="inlineStr">
        <is>
          <t>Y</t>
        </is>
      </c>
      <c r="H7" s="17" t="inlineStr">
        <is>
          <t>N</t>
        </is>
      </c>
      <c r="I7" s="19">
        <f>COUNTIF(G$5:G7,"Y")/COUNTA(G$5:G7)</f>
        <v/>
      </c>
      <c r="J7" s="19">
        <f>COUNTIF(H$5:H7,"Y")/COUNTA(H$5:H7)</f>
        <v/>
      </c>
      <c r="K7" s="20">
        <f>AVERAGE(F$5:F7)</f>
        <v/>
      </c>
      <c r="L7" s="19">
        <f>SUM(F$5:F7)/SUM(E$5:E7)</f>
        <v/>
      </c>
      <c r="M7" s="21" t="n"/>
    </row>
    <row r="8">
      <c r="A8" s="28" t="n">
        <v>45617</v>
      </c>
      <c r="B8" s="22" t="inlineStr">
        <is>
          <t>JOB-1004</t>
        </is>
      </c>
      <c r="C8" s="32" t="n">
        <v>1</v>
      </c>
      <c r="D8" s="22" t="inlineStr">
        <is>
          <t>Tech C</t>
        </is>
      </c>
      <c r="E8" s="33" t="n">
        <v>4.4</v>
      </c>
      <c r="F8" s="33" t="n">
        <v>3.7</v>
      </c>
      <c r="G8" s="22" t="inlineStr">
        <is>
          <t>Y</t>
        </is>
      </c>
      <c r="H8" s="22" t="inlineStr">
        <is>
          <t>N</t>
        </is>
      </c>
      <c r="I8" s="19">
        <f>COUNTIF(G$5:G8,"Y")/COUNTA(G$5:G8)</f>
        <v/>
      </c>
      <c r="J8" s="19">
        <f>COUNTIF(H$5:H8,"Y")/COUNTA(H$5:H8)</f>
        <v/>
      </c>
      <c r="K8" s="20">
        <f>AVERAGE(F$5:F8)</f>
        <v/>
      </c>
      <c r="L8" s="19">
        <f>SUM(F$5:F8)/SUM(E$5:E8)</f>
        <v/>
      </c>
      <c r="M8" s="21" t="n"/>
    </row>
    <row r="9">
      <c r="A9" s="27" t="n">
        <v>45618</v>
      </c>
      <c r="B9" s="17" t="inlineStr">
        <is>
          <t>JOB-1005</t>
        </is>
      </c>
      <c r="C9" s="30" t="n">
        <v>1</v>
      </c>
      <c r="D9" s="17" t="inlineStr">
        <is>
          <t>Tech G</t>
        </is>
      </c>
      <c r="E9" s="31" t="n">
        <v>2.7</v>
      </c>
      <c r="F9" s="31" t="n">
        <v>2.3</v>
      </c>
      <c r="G9" s="17" t="inlineStr">
        <is>
          <t>Y</t>
        </is>
      </c>
      <c r="H9" s="17" t="inlineStr">
        <is>
          <t>N</t>
        </is>
      </c>
      <c r="I9" s="19">
        <f>COUNTIF(G$5:G9,"Y")/COUNTA(G$5:G9)</f>
        <v/>
      </c>
      <c r="J9" s="19">
        <f>COUNTIF(H$5:H9,"Y")/COUNTA(H$5:H9)</f>
        <v/>
      </c>
      <c r="K9" s="20">
        <f>AVERAGE(F$5:F9)</f>
        <v/>
      </c>
      <c r="L9" s="19">
        <f>SUM(F$5:F9)/SUM(E$5:E9)</f>
        <v/>
      </c>
      <c r="M9" s="21" t="n"/>
    </row>
    <row r="10">
      <c r="A10" s="28" t="n">
        <v>45614</v>
      </c>
      <c r="B10" s="22" t="inlineStr">
        <is>
          <t>JOB-1006</t>
        </is>
      </c>
      <c r="C10" s="32" t="n">
        <v>1</v>
      </c>
      <c r="D10" s="22" t="inlineStr">
        <is>
          <t>Tech G</t>
        </is>
      </c>
      <c r="E10" s="33" t="n">
        <v>2.3</v>
      </c>
      <c r="F10" s="33" t="n">
        <v>1.7</v>
      </c>
      <c r="G10" s="22" t="inlineStr">
        <is>
          <t>Y</t>
        </is>
      </c>
      <c r="H10" s="22" t="inlineStr">
        <is>
          <t>N</t>
        </is>
      </c>
      <c r="I10" s="19">
        <f>COUNTIF(G$5:G10,"Y")/COUNTA(G$5:G10)</f>
        <v/>
      </c>
      <c r="J10" s="19">
        <f>COUNTIF(H$5:H10,"Y")/COUNTA(H$5:H10)</f>
        <v/>
      </c>
      <c r="K10" s="20">
        <f>AVERAGE(F$5:F10)</f>
        <v/>
      </c>
      <c r="L10" s="19">
        <f>SUM(F$5:F10)/SUM(E$5:E10)</f>
        <v/>
      </c>
      <c r="M10" s="21" t="n"/>
    </row>
    <row r="11">
      <c r="A11" s="27" t="n">
        <v>45615</v>
      </c>
      <c r="B11" s="17" t="inlineStr">
        <is>
          <t>JOB-1007</t>
        </is>
      </c>
      <c r="C11" s="30" t="n">
        <v>1</v>
      </c>
      <c r="D11" s="17" t="inlineStr">
        <is>
          <t>Tech C</t>
        </is>
      </c>
      <c r="E11" s="31" t="n">
        <v>1.5</v>
      </c>
      <c r="F11" s="31" t="n">
        <v>1.2</v>
      </c>
      <c r="G11" s="17" t="inlineStr">
        <is>
          <t>Y</t>
        </is>
      </c>
      <c r="H11" s="17" t="inlineStr">
        <is>
          <t>N</t>
        </is>
      </c>
      <c r="I11" s="19">
        <f>COUNTIF(G$5:G11,"Y")/COUNTA(G$5:G11)</f>
        <v/>
      </c>
      <c r="J11" s="19">
        <f>COUNTIF(H$5:H11,"Y")/COUNTA(H$5:H11)</f>
        <v/>
      </c>
      <c r="K11" s="20">
        <f>AVERAGE(F$5:F11)</f>
        <v/>
      </c>
      <c r="L11" s="19">
        <f>SUM(F$5:F11)/SUM(E$5:E11)</f>
        <v/>
      </c>
      <c r="M11" s="21" t="n"/>
    </row>
    <row r="12">
      <c r="A12" s="28" t="n">
        <v>45616</v>
      </c>
      <c r="B12" s="22" t="inlineStr">
        <is>
          <t>JOB-1008</t>
        </is>
      </c>
      <c r="C12" s="32" t="n">
        <v>1</v>
      </c>
      <c r="D12" s="22" t="inlineStr">
        <is>
          <t>Tech B</t>
        </is>
      </c>
      <c r="E12" s="33" t="n">
        <v>4.1</v>
      </c>
      <c r="F12" s="33" t="n">
        <v>3</v>
      </c>
      <c r="G12" s="22" t="inlineStr">
        <is>
          <t>Y</t>
        </is>
      </c>
      <c r="H12" s="22" t="inlineStr">
        <is>
          <t>N</t>
        </is>
      </c>
      <c r="I12" s="19">
        <f>COUNTIF(G$5:G12,"Y")/COUNTA(G$5:G12)</f>
        <v/>
      </c>
      <c r="J12" s="19">
        <f>COUNTIF(H$5:H12,"Y")/COUNTA(H$5:H12)</f>
        <v/>
      </c>
      <c r="K12" s="20">
        <f>AVERAGE(F$5:F12)</f>
        <v/>
      </c>
      <c r="L12" s="19">
        <f>SUM(F$5:F12)/SUM(E$5:E12)</f>
        <v/>
      </c>
      <c r="M12" s="21" t="n"/>
    </row>
    <row r="13">
      <c r="A13" s="29" t="n">
        <v>45617</v>
      </c>
      <c r="B13" s="37" t="inlineStr">
        <is>
          <t>JOB-1009</t>
        </is>
      </c>
      <c r="C13" s="34" t="n">
        <v>1</v>
      </c>
      <c r="D13" s="37" t="inlineStr">
        <is>
          <t>Tech A</t>
        </is>
      </c>
      <c r="E13" s="35" t="n">
        <v>2.4</v>
      </c>
      <c r="F13" s="35" t="n">
        <v>1.7</v>
      </c>
      <c r="G13" s="37" t="inlineStr">
        <is>
          <t>Y</t>
        </is>
      </c>
      <c r="H13" s="37" t="inlineStr">
        <is>
          <t>N</t>
        </is>
      </c>
      <c r="I13" s="37">
        <f>COUNTIF(G$5:G13,"Y")/COUNTA(G$5:G13)</f>
        <v/>
      </c>
      <c r="J13" s="37">
        <f>COUNTIF(H$5:H13,"Y")/COUNTA(H$5:H13)</f>
        <v/>
      </c>
      <c r="K13" s="37">
        <f>AVERAGE(F$5:F13)</f>
        <v/>
      </c>
      <c r="L13" s="37">
        <f>SUM(F$5:F13)/SUM(E$5:E13)</f>
        <v/>
      </c>
    </row>
    <row r="14">
      <c r="A14" s="29" t="n">
        <v>45618</v>
      </c>
      <c r="B14" s="37" t="inlineStr">
        <is>
          <t>JOB-1010</t>
        </is>
      </c>
      <c r="C14" s="34" t="n">
        <v>1</v>
      </c>
      <c r="D14" s="37" t="inlineStr">
        <is>
          <t>Tech B</t>
        </is>
      </c>
      <c r="E14" s="35" t="n">
        <v>3.9</v>
      </c>
      <c r="F14" s="35" t="n">
        <v>3.4</v>
      </c>
      <c r="G14" s="37" t="inlineStr">
        <is>
          <t>Y</t>
        </is>
      </c>
      <c r="H14" s="37" t="inlineStr">
        <is>
          <t>N</t>
        </is>
      </c>
      <c r="I14" s="37">
        <f>COUNTIF(G$5:G14,"Y")/COUNTA(G$5:G14)</f>
        <v/>
      </c>
      <c r="J14" s="37">
        <f>COUNTIF(H$5:H14,"Y")/COUNTA(H$5:H14)</f>
        <v/>
      </c>
      <c r="K14" s="37">
        <f>AVERAGE(F$5:F14)</f>
        <v/>
      </c>
      <c r="L14" s="37">
        <f>SUM(F$5:F14)/SUM(E$5:E14)</f>
        <v/>
      </c>
    </row>
    <row r="15">
      <c r="A15" s="29" t="n">
        <v>45614</v>
      </c>
      <c r="B15" s="37" t="inlineStr">
        <is>
          <t>JOB-1011</t>
        </is>
      </c>
      <c r="C15" s="34" t="n">
        <v>1</v>
      </c>
      <c r="D15" s="37" t="inlineStr">
        <is>
          <t>Tech F</t>
        </is>
      </c>
      <c r="E15" s="35" t="n">
        <v>4.9</v>
      </c>
      <c r="F15" s="35" t="n">
        <v>3.4</v>
      </c>
      <c r="G15" s="37" t="inlineStr">
        <is>
          <t>Y</t>
        </is>
      </c>
      <c r="H15" s="37" t="inlineStr">
        <is>
          <t>N</t>
        </is>
      </c>
      <c r="I15" s="37">
        <f>COUNTIF(G$5:G15,"Y")/COUNTA(G$5:G15)</f>
        <v/>
      </c>
      <c r="J15" s="37">
        <f>COUNTIF(H$5:H15,"Y")/COUNTA(H$5:H15)</f>
        <v/>
      </c>
      <c r="K15" s="37">
        <f>AVERAGE(F$5:F15)</f>
        <v/>
      </c>
      <c r="L15" s="37">
        <f>SUM(F$5:F15)/SUM(E$5:E15)</f>
        <v/>
      </c>
    </row>
    <row r="16">
      <c r="A16" s="29" t="n">
        <v>45615</v>
      </c>
      <c r="B16" s="37" t="inlineStr">
        <is>
          <t>JOB-1012</t>
        </is>
      </c>
      <c r="C16" s="34" t="n">
        <v>1</v>
      </c>
      <c r="D16" s="37" t="inlineStr">
        <is>
          <t>Tech A</t>
        </is>
      </c>
      <c r="E16" s="35" t="n">
        <v>2.5</v>
      </c>
      <c r="F16" s="35" t="n">
        <v>2.1</v>
      </c>
      <c r="G16" s="37" t="inlineStr">
        <is>
          <t>Y</t>
        </is>
      </c>
      <c r="H16" s="37" t="inlineStr">
        <is>
          <t>N</t>
        </is>
      </c>
      <c r="I16" s="37">
        <f>COUNTIF(G$5:G16,"Y")/COUNTA(G$5:G16)</f>
        <v/>
      </c>
      <c r="J16" s="37">
        <f>COUNTIF(H$5:H16,"Y")/COUNTA(H$5:H16)</f>
        <v/>
      </c>
      <c r="K16" s="37">
        <f>AVERAGE(F$5:F16)</f>
        <v/>
      </c>
      <c r="L16" s="37">
        <f>SUM(F$5:F16)/SUM(E$5:E16)</f>
        <v/>
      </c>
    </row>
    <row r="17">
      <c r="A17" s="29" t="n">
        <v>45616</v>
      </c>
      <c r="B17" s="37" t="inlineStr">
        <is>
          <t>JOB-1013</t>
        </is>
      </c>
      <c r="C17" s="34" t="n">
        <v>1</v>
      </c>
      <c r="D17" s="37" t="inlineStr">
        <is>
          <t>Tech A</t>
        </is>
      </c>
      <c r="E17" s="35" t="n">
        <v>4.9</v>
      </c>
      <c r="F17" s="35" t="n">
        <v>3.8</v>
      </c>
      <c r="G17" s="37" t="inlineStr">
        <is>
          <t>Y</t>
        </is>
      </c>
      <c r="H17" s="37" t="inlineStr">
        <is>
          <t>N</t>
        </is>
      </c>
      <c r="I17" s="37">
        <f>COUNTIF(G$5:G17,"Y")/COUNTA(G$5:G17)</f>
        <v/>
      </c>
      <c r="J17" s="37">
        <f>COUNTIF(H$5:H17,"Y")/COUNTA(H$5:H17)</f>
        <v/>
      </c>
      <c r="K17" s="37">
        <f>AVERAGE(F$5:F17)</f>
        <v/>
      </c>
      <c r="L17" s="37">
        <f>SUM(F$5:F17)/SUM(E$5:E17)</f>
        <v/>
      </c>
    </row>
    <row r="18">
      <c r="A18" s="29" t="n">
        <v>45617</v>
      </c>
      <c r="B18" s="37" t="inlineStr">
        <is>
          <t>JOB-1014</t>
        </is>
      </c>
      <c r="C18" s="34" t="n">
        <v>1</v>
      </c>
      <c r="D18" s="37" t="inlineStr">
        <is>
          <t>Tech H</t>
        </is>
      </c>
      <c r="E18" s="35" t="n">
        <v>1.7</v>
      </c>
      <c r="F18" s="35" t="n">
        <v>1.4</v>
      </c>
      <c r="G18" s="37" t="inlineStr">
        <is>
          <t>Y</t>
        </is>
      </c>
      <c r="H18" s="37" t="inlineStr">
        <is>
          <t>Y</t>
        </is>
      </c>
      <c r="I18" s="37">
        <f>COUNTIF(G$5:G18,"Y")/COUNTA(G$5:G18)</f>
        <v/>
      </c>
      <c r="J18" s="23">
        <f>COUNTIF(H$5:H18,"Y")/COUNTA(H$5:H18)</f>
        <v/>
      </c>
      <c r="K18" s="37">
        <f>AVERAGE(F$5:F18)</f>
        <v/>
      </c>
      <c r="L18" s="37">
        <f>SUM(F$5:F18)/SUM(E$5:E18)</f>
        <v/>
      </c>
    </row>
    <row r="19">
      <c r="A19" s="29" t="n">
        <v>45618</v>
      </c>
      <c r="B19" s="37" t="inlineStr">
        <is>
          <t>JOB-1015</t>
        </is>
      </c>
      <c r="C19" s="34" t="n">
        <v>1</v>
      </c>
      <c r="D19" s="37" t="inlineStr">
        <is>
          <t>Tech D</t>
        </is>
      </c>
      <c r="E19" s="35" t="n">
        <v>4.9</v>
      </c>
      <c r="F19" s="35" t="n">
        <v>3.5</v>
      </c>
      <c r="G19" s="37" t="inlineStr">
        <is>
          <t>Y</t>
        </is>
      </c>
      <c r="H19" s="37" t="inlineStr">
        <is>
          <t>N</t>
        </is>
      </c>
      <c r="I19" s="37">
        <f>COUNTIF(G$5:G19,"Y")/COUNTA(G$5:G19)</f>
        <v/>
      </c>
      <c r="J19" s="37">
        <f>COUNTIF(H$5:H19,"Y")/COUNTA(H$5:H19)</f>
        <v/>
      </c>
      <c r="K19" s="37">
        <f>AVERAGE(F$5:F19)</f>
        <v/>
      </c>
      <c r="L19" s="37">
        <f>SUM(F$5:F19)/SUM(E$5:E19)</f>
        <v/>
      </c>
    </row>
    <row r="20">
      <c r="A20" s="29" t="n">
        <v>45614</v>
      </c>
      <c r="B20" s="37" t="inlineStr">
        <is>
          <t>JOB-1016</t>
        </is>
      </c>
      <c r="C20" s="34" t="n">
        <v>1</v>
      </c>
      <c r="D20" s="37" t="inlineStr">
        <is>
          <t>Tech G</t>
        </is>
      </c>
      <c r="E20" s="35" t="n">
        <v>4.9</v>
      </c>
      <c r="F20" s="35" t="n">
        <v>3.4</v>
      </c>
      <c r="G20" s="37" t="inlineStr">
        <is>
          <t>Y</t>
        </is>
      </c>
      <c r="H20" s="37" t="inlineStr">
        <is>
          <t>N</t>
        </is>
      </c>
      <c r="I20" s="37">
        <f>COUNTIF(G$5:G20,"Y")/COUNTA(G$5:G20)</f>
        <v/>
      </c>
      <c r="J20" s="37">
        <f>COUNTIF(H$5:H20,"Y")/COUNTA(H$5:H20)</f>
        <v/>
      </c>
      <c r="K20" s="37">
        <f>AVERAGE(F$5:F20)</f>
        <v/>
      </c>
      <c r="L20" s="37">
        <f>SUM(F$5:F20)/SUM(E$5:E20)</f>
        <v/>
      </c>
    </row>
    <row r="21">
      <c r="A21" s="29" t="n">
        <v>45615</v>
      </c>
      <c r="B21" s="37" t="inlineStr">
        <is>
          <t>JOB-1017</t>
        </is>
      </c>
      <c r="C21" s="34" t="n">
        <v>1</v>
      </c>
      <c r="D21" s="37" t="inlineStr">
        <is>
          <t>Tech A</t>
        </is>
      </c>
      <c r="E21" s="35" t="n">
        <v>4</v>
      </c>
      <c r="F21" s="35" t="n">
        <v>2.6</v>
      </c>
      <c r="G21" s="37" t="inlineStr">
        <is>
          <t>Y</t>
        </is>
      </c>
      <c r="H21" s="37" t="inlineStr">
        <is>
          <t>N</t>
        </is>
      </c>
      <c r="I21" s="37">
        <f>COUNTIF(G$5:G21,"Y")/COUNTA(G$5:G21)</f>
        <v/>
      </c>
      <c r="J21" s="37">
        <f>COUNTIF(H$5:H21,"Y")/COUNTA(H$5:H21)</f>
        <v/>
      </c>
      <c r="K21" s="37">
        <f>AVERAGE(F$5:F21)</f>
        <v/>
      </c>
      <c r="L21" s="37">
        <f>SUM(F$5:F21)/SUM(E$5:E21)</f>
        <v/>
      </c>
    </row>
    <row r="22">
      <c r="A22" s="29" t="n">
        <v>45616</v>
      </c>
      <c r="B22" s="37" t="inlineStr">
        <is>
          <t>JOB-1018</t>
        </is>
      </c>
      <c r="C22" s="34" t="n">
        <v>1</v>
      </c>
      <c r="D22" s="37" t="inlineStr">
        <is>
          <t>Tech G</t>
        </is>
      </c>
      <c r="E22" s="35" t="n">
        <v>3</v>
      </c>
      <c r="F22" s="35" t="n">
        <v>2.2</v>
      </c>
      <c r="G22" s="37" t="inlineStr">
        <is>
          <t>Y</t>
        </is>
      </c>
      <c r="H22" s="37" t="inlineStr">
        <is>
          <t>N</t>
        </is>
      </c>
      <c r="I22" s="37">
        <f>COUNTIF(G$5:G22,"Y")/COUNTA(G$5:G22)</f>
        <v/>
      </c>
      <c r="J22" s="37">
        <f>COUNTIF(H$5:H22,"Y")/COUNTA(H$5:H22)</f>
        <v/>
      </c>
      <c r="K22" s="37">
        <f>AVERAGE(F$5:F22)</f>
        <v/>
      </c>
      <c r="L22" s="37">
        <f>SUM(F$5:F22)/SUM(E$5:E22)</f>
        <v/>
      </c>
    </row>
    <row r="23">
      <c r="A23" s="29" t="n">
        <v>45617</v>
      </c>
      <c r="B23" s="37" t="inlineStr">
        <is>
          <t>JOB-1019</t>
        </is>
      </c>
      <c r="C23" s="34" t="n">
        <v>1</v>
      </c>
      <c r="D23" s="37" t="inlineStr">
        <is>
          <t>Tech F</t>
        </is>
      </c>
      <c r="E23" s="35" t="n">
        <v>4.9</v>
      </c>
      <c r="F23" s="35" t="n">
        <v>3.5</v>
      </c>
      <c r="G23" s="37" t="inlineStr">
        <is>
          <t>N</t>
        </is>
      </c>
      <c r="H23" s="37" t="inlineStr">
        <is>
          <t>N</t>
        </is>
      </c>
      <c r="I23" s="37">
        <f>COUNTIF(G$5:G23,"Y")/COUNTA(G$5:G23)</f>
        <v/>
      </c>
      <c r="J23" s="37">
        <f>COUNTIF(H$5:H23,"Y")/COUNTA(H$5:H23)</f>
        <v/>
      </c>
      <c r="K23" s="37">
        <f>AVERAGE(F$5:F23)</f>
        <v/>
      </c>
      <c r="L23" s="37">
        <f>SUM(F$5:F23)/SUM(E$5:E23)</f>
        <v/>
      </c>
    </row>
    <row r="24">
      <c r="A24" s="29" t="n">
        <v>45618</v>
      </c>
      <c r="B24" s="37" t="inlineStr">
        <is>
          <t>JOB-1020</t>
        </is>
      </c>
      <c r="C24" s="34" t="n">
        <v>1</v>
      </c>
      <c r="D24" s="37" t="inlineStr">
        <is>
          <t>Tech G</t>
        </is>
      </c>
      <c r="E24" s="35" t="n">
        <v>5</v>
      </c>
      <c r="F24" s="35" t="n">
        <v>3.6</v>
      </c>
      <c r="G24" s="37" t="inlineStr">
        <is>
          <t>Y</t>
        </is>
      </c>
      <c r="H24" s="37" t="inlineStr">
        <is>
          <t>N</t>
        </is>
      </c>
      <c r="I24" s="37">
        <f>COUNTIF(G$5:G24,"Y")/COUNTA(G$5:G24)</f>
        <v/>
      </c>
      <c r="J24" s="37">
        <f>COUNTIF(H$5:H24,"Y")/COUNTA(H$5:H24)</f>
        <v/>
      </c>
      <c r="K24" s="37">
        <f>AVERAGE(F$5:F24)</f>
        <v/>
      </c>
      <c r="L24" s="37">
        <f>SUM(F$5:F24)/SUM(E$5:E24)</f>
        <v/>
      </c>
    </row>
    <row r="25">
      <c r="A25" s="29" t="n">
        <v>45614</v>
      </c>
      <c r="B25" s="37" t="inlineStr">
        <is>
          <t>JOB-1021</t>
        </is>
      </c>
      <c r="C25" s="34" t="n">
        <v>1</v>
      </c>
      <c r="D25" s="37" t="inlineStr">
        <is>
          <t>Tech B</t>
        </is>
      </c>
      <c r="E25" s="35" t="n">
        <v>3.6</v>
      </c>
      <c r="F25" s="35" t="n">
        <v>3.1</v>
      </c>
      <c r="G25" s="37" t="inlineStr">
        <is>
          <t>N</t>
        </is>
      </c>
      <c r="H25" s="37" t="inlineStr">
        <is>
          <t>N</t>
        </is>
      </c>
      <c r="I25" s="37">
        <f>COUNTIF(G$5:G25,"Y")/COUNTA(G$5:G25)</f>
        <v/>
      </c>
      <c r="J25" s="37">
        <f>COUNTIF(H$5:H25,"Y")/COUNTA(H$5:H25)</f>
        <v/>
      </c>
      <c r="K25" s="37">
        <f>AVERAGE(F$5:F25)</f>
        <v/>
      </c>
      <c r="L25" s="37">
        <f>SUM(F$5:F25)/SUM(E$5:E25)</f>
        <v/>
      </c>
    </row>
    <row r="26">
      <c r="A26" s="29" t="n">
        <v>45615</v>
      </c>
      <c r="B26" s="37" t="inlineStr">
        <is>
          <t>JOB-1022</t>
        </is>
      </c>
      <c r="C26" s="34" t="n">
        <v>1</v>
      </c>
      <c r="D26" s="37" t="inlineStr">
        <is>
          <t>Tech B</t>
        </is>
      </c>
      <c r="E26" s="35" t="n">
        <v>2.3</v>
      </c>
      <c r="F26" s="35" t="n">
        <v>1.8</v>
      </c>
      <c r="G26" s="37" t="inlineStr">
        <is>
          <t>Y</t>
        </is>
      </c>
      <c r="H26" s="37" t="inlineStr">
        <is>
          <t>N</t>
        </is>
      </c>
      <c r="I26" s="37">
        <f>COUNTIF(G$5:G26,"Y")/COUNTA(G$5:G26)</f>
        <v/>
      </c>
      <c r="J26" s="37">
        <f>COUNTIF(H$5:H26,"Y")/COUNTA(H$5:H26)</f>
        <v/>
      </c>
      <c r="K26" s="37">
        <f>AVERAGE(F$5:F26)</f>
        <v/>
      </c>
      <c r="L26" s="37">
        <f>SUM(F$5:F26)/SUM(E$5:E26)</f>
        <v/>
      </c>
    </row>
    <row r="27">
      <c r="A27" s="29" t="n">
        <v>45616</v>
      </c>
      <c r="B27" s="37" t="inlineStr">
        <is>
          <t>JOB-1023</t>
        </is>
      </c>
      <c r="C27" s="34" t="n">
        <v>1</v>
      </c>
      <c r="D27" s="37" t="inlineStr">
        <is>
          <t>Tech H</t>
        </is>
      </c>
      <c r="E27" s="35" t="n">
        <v>1.6</v>
      </c>
      <c r="F27" s="35" t="n">
        <v>1.3</v>
      </c>
      <c r="G27" s="37" t="inlineStr">
        <is>
          <t>Y</t>
        </is>
      </c>
      <c r="H27" s="37" t="inlineStr">
        <is>
          <t>N</t>
        </is>
      </c>
      <c r="I27" s="37">
        <f>COUNTIF(G$5:G27,"Y")/COUNTA(G$5:G27)</f>
        <v/>
      </c>
      <c r="J27" s="37">
        <f>COUNTIF(H$5:H27,"Y")/COUNTA(H$5:H27)</f>
        <v/>
      </c>
      <c r="K27" s="37">
        <f>AVERAGE(F$5:F27)</f>
        <v/>
      </c>
      <c r="L27" s="37">
        <f>SUM(F$5:F27)/SUM(E$5:E27)</f>
        <v/>
      </c>
    </row>
    <row r="28">
      <c r="A28" s="29" t="n">
        <v>45617</v>
      </c>
      <c r="B28" s="37" t="inlineStr">
        <is>
          <t>JOB-1024</t>
        </is>
      </c>
      <c r="C28" s="34" t="n">
        <v>1</v>
      </c>
      <c r="D28" s="37" t="inlineStr">
        <is>
          <t>Tech D</t>
        </is>
      </c>
      <c r="E28" s="35" t="n">
        <v>1.8</v>
      </c>
      <c r="F28" s="35" t="n">
        <v>1.4</v>
      </c>
      <c r="G28" s="37" t="inlineStr">
        <is>
          <t>Y</t>
        </is>
      </c>
      <c r="H28" s="37" t="inlineStr">
        <is>
          <t>N</t>
        </is>
      </c>
      <c r="I28" s="37">
        <f>COUNTIF(G$5:G28,"Y")/COUNTA(G$5:G28)</f>
        <v/>
      </c>
      <c r="J28" s="37">
        <f>COUNTIF(H$5:H28,"Y")/COUNTA(H$5:H28)</f>
        <v/>
      </c>
      <c r="K28" s="37">
        <f>AVERAGE(F$5:F28)</f>
        <v/>
      </c>
      <c r="L28" s="37">
        <f>SUM(F$5:F28)/SUM(E$5:E28)</f>
        <v/>
      </c>
    </row>
    <row r="29">
      <c r="A29" s="29" t="n">
        <v>45618</v>
      </c>
      <c r="B29" s="37" t="inlineStr">
        <is>
          <t>JOB-1025</t>
        </is>
      </c>
      <c r="C29" s="34" t="n">
        <v>1</v>
      </c>
      <c r="D29" s="37" t="inlineStr">
        <is>
          <t>Tech F</t>
        </is>
      </c>
      <c r="E29" s="35" t="n">
        <v>3.8</v>
      </c>
      <c r="F29" s="35" t="n">
        <v>2.9</v>
      </c>
      <c r="G29" s="37" t="inlineStr">
        <is>
          <t>Y</t>
        </is>
      </c>
      <c r="H29" s="37" t="inlineStr">
        <is>
          <t>N</t>
        </is>
      </c>
      <c r="I29" s="37">
        <f>COUNTIF(G$5:G29,"Y")/COUNTA(G$5:G29)</f>
        <v/>
      </c>
      <c r="J29" s="37">
        <f>COUNTIF(H$5:H29,"Y")/COUNTA(H$5:H29)</f>
        <v/>
      </c>
      <c r="K29" s="37">
        <f>AVERAGE(F$5:F29)</f>
        <v/>
      </c>
      <c r="L29" s="37">
        <f>SUM(F$5:F29)/SUM(E$5:E29)</f>
        <v/>
      </c>
    </row>
    <row r="30">
      <c r="A30" s="29" t="n">
        <v>45614</v>
      </c>
      <c r="B30" s="37" t="inlineStr">
        <is>
          <t>JOB-1026</t>
        </is>
      </c>
      <c r="C30" s="34" t="n">
        <v>1</v>
      </c>
      <c r="D30" s="37" t="inlineStr">
        <is>
          <t>Tech B</t>
        </is>
      </c>
      <c r="E30" s="35" t="n">
        <v>2.7</v>
      </c>
      <c r="F30" s="35" t="n">
        <v>2.2</v>
      </c>
      <c r="G30" s="37" t="inlineStr">
        <is>
          <t>Y</t>
        </is>
      </c>
      <c r="H30" s="37" t="inlineStr">
        <is>
          <t>N</t>
        </is>
      </c>
      <c r="I30" s="37">
        <f>COUNTIF(G$5:G30,"Y")/COUNTA(G$5:G30)</f>
        <v/>
      </c>
      <c r="J30" s="37">
        <f>COUNTIF(H$5:H30,"Y")/COUNTA(H$5:H30)</f>
        <v/>
      </c>
      <c r="K30" s="37">
        <f>AVERAGE(F$5:F30)</f>
        <v/>
      </c>
      <c r="L30" s="37">
        <f>SUM(F$5:F30)/SUM(E$5:E30)</f>
        <v/>
      </c>
    </row>
    <row r="31">
      <c r="A31" s="29" t="n">
        <v>45615</v>
      </c>
      <c r="B31" s="37" t="inlineStr">
        <is>
          <t>JOB-1027</t>
        </is>
      </c>
      <c r="C31" s="34" t="n">
        <v>1</v>
      </c>
      <c r="D31" s="37" t="inlineStr">
        <is>
          <t>Tech C</t>
        </is>
      </c>
      <c r="E31" s="35" t="n">
        <v>2.9</v>
      </c>
      <c r="F31" s="35" t="n">
        <v>1.9</v>
      </c>
      <c r="G31" s="37" t="inlineStr">
        <is>
          <t>Y</t>
        </is>
      </c>
      <c r="H31" s="37" t="inlineStr">
        <is>
          <t>N</t>
        </is>
      </c>
      <c r="I31" s="37">
        <f>COUNTIF(G$5:G31,"Y")/COUNTA(G$5:G31)</f>
        <v/>
      </c>
      <c r="J31" s="37">
        <f>COUNTIF(H$5:H31,"Y")/COUNTA(H$5:H31)</f>
        <v/>
      </c>
      <c r="K31" s="37">
        <f>AVERAGE(F$5:F31)</f>
        <v/>
      </c>
      <c r="L31" s="37">
        <f>SUM(F$5:F31)/SUM(E$5:E31)</f>
        <v/>
      </c>
    </row>
    <row r="32">
      <c r="A32" s="29" t="n">
        <v>45616</v>
      </c>
      <c r="B32" s="37" t="inlineStr">
        <is>
          <t>JOB-1028</t>
        </is>
      </c>
      <c r="C32" s="34" t="n">
        <v>1</v>
      </c>
      <c r="D32" s="37" t="inlineStr">
        <is>
          <t>Tech F</t>
        </is>
      </c>
      <c r="E32" s="35" t="n">
        <v>4.2</v>
      </c>
      <c r="F32" s="35" t="n">
        <v>3</v>
      </c>
      <c r="G32" s="37" t="inlineStr">
        <is>
          <t>Y</t>
        </is>
      </c>
      <c r="H32" s="37" t="inlineStr">
        <is>
          <t>N</t>
        </is>
      </c>
      <c r="I32" s="37">
        <f>COUNTIF(G$5:G32,"Y")/COUNTA(G$5:G32)</f>
        <v/>
      </c>
      <c r="J32" s="37">
        <f>COUNTIF(H$5:H32,"Y")/COUNTA(H$5:H32)</f>
        <v/>
      </c>
      <c r="K32" s="37">
        <f>AVERAGE(F$5:F32)</f>
        <v/>
      </c>
      <c r="L32" s="37">
        <f>SUM(F$5:F32)/SUM(E$5:E32)</f>
        <v/>
      </c>
    </row>
    <row r="33">
      <c r="A33" s="29" t="n">
        <v>45617</v>
      </c>
      <c r="B33" s="37" t="inlineStr">
        <is>
          <t>JOB-1029</t>
        </is>
      </c>
      <c r="C33" s="34" t="n">
        <v>1</v>
      </c>
      <c r="D33" s="37" t="inlineStr">
        <is>
          <t>Tech G</t>
        </is>
      </c>
      <c r="E33" s="35" t="n">
        <v>2.3</v>
      </c>
      <c r="F33" s="35" t="n">
        <v>1.6</v>
      </c>
      <c r="G33" s="37" t="inlineStr">
        <is>
          <t>N</t>
        </is>
      </c>
      <c r="H33" s="37" t="inlineStr">
        <is>
          <t>N</t>
        </is>
      </c>
      <c r="I33" s="37">
        <f>COUNTIF(G$5:G33,"Y")/COUNTA(G$5:G33)</f>
        <v/>
      </c>
      <c r="J33" s="37">
        <f>COUNTIF(H$5:H33,"Y")/COUNTA(H$5:H33)</f>
        <v/>
      </c>
      <c r="K33" s="37">
        <f>AVERAGE(F$5:F33)</f>
        <v/>
      </c>
      <c r="L33" s="37">
        <f>SUM(F$5:F33)/SUM(E$5:E33)</f>
        <v/>
      </c>
    </row>
    <row r="34">
      <c r="A34" s="29" t="n">
        <v>45618</v>
      </c>
      <c r="B34" s="37" t="inlineStr">
        <is>
          <t>JOB-1030</t>
        </is>
      </c>
      <c r="C34" s="34" t="n">
        <v>1</v>
      </c>
      <c r="D34" s="37" t="inlineStr">
        <is>
          <t>Tech F</t>
        </is>
      </c>
      <c r="E34" s="35" t="n">
        <v>2.1</v>
      </c>
      <c r="F34" s="35" t="n">
        <v>1.6</v>
      </c>
      <c r="G34" s="37" t="inlineStr">
        <is>
          <t>Y</t>
        </is>
      </c>
      <c r="H34" s="37" t="inlineStr">
        <is>
          <t>N</t>
        </is>
      </c>
      <c r="I34" s="37">
        <f>COUNTIF(G$5:G34,"Y")/COUNTA(G$5:G34)</f>
        <v/>
      </c>
      <c r="J34" s="37">
        <f>COUNTIF(H$5:H34,"Y")/COUNTA(H$5:H34)</f>
        <v/>
      </c>
      <c r="K34" s="37">
        <f>AVERAGE(F$5:F34)</f>
        <v/>
      </c>
      <c r="L34" s="37">
        <f>SUM(F$5:F34)/SUM(E$5:E34)</f>
        <v/>
      </c>
    </row>
    <row r="35">
      <c r="A35" s="29" t="n">
        <v>45614</v>
      </c>
      <c r="B35" s="37" t="inlineStr">
        <is>
          <t>JOB-1031</t>
        </is>
      </c>
      <c r="C35" s="34" t="n">
        <v>1</v>
      </c>
      <c r="D35" s="37" t="inlineStr">
        <is>
          <t>Tech D</t>
        </is>
      </c>
      <c r="E35" s="35" t="n">
        <v>2</v>
      </c>
      <c r="F35" s="35" t="n">
        <v>1.4</v>
      </c>
      <c r="G35" s="37" t="inlineStr">
        <is>
          <t>Y</t>
        </is>
      </c>
      <c r="H35" s="37" t="inlineStr">
        <is>
          <t>N</t>
        </is>
      </c>
      <c r="I35" s="37">
        <f>COUNTIF(G$5:G35,"Y")/COUNTA(G$5:G35)</f>
        <v/>
      </c>
      <c r="J35" s="37">
        <f>COUNTIF(H$5:H35,"Y")/COUNTA(H$5:H35)</f>
        <v/>
      </c>
      <c r="K35" s="37">
        <f>AVERAGE(F$5:F35)</f>
        <v/>
      </c>
      <c r="L35" s="37">
        <f>SUM(F$5:F35)/SUM(E$5:E35)</f>
        <v/>
      </c>
    </row>
    <row r="36">
      <c r="A36" s="29" t="n">
        <v>45615</v>
      </c>
      <c r="B36" s="37" t="inlineStr">
        <is>
          <t>JOB-1032</t>
        </is>
      </c>
      <c r="C36" s="34" t="n">
        <v>1</v>
      </c>
      <c r="D36" s="37" t="inlineStr">
        <is>
          <t>Tech B</t>
        </is>
      </c>
      <c r="E36" s="35" t="n">
        <v>0.7</v>
      </c>
      <c r="F36" s="35" t="n">
        <v>0.5</v>
      </c>
      <c r="G36" s="37" t="inlineStr">
        <is>
          <t>Y</t>
        </is>
      </c>
      <c r="H36" s="37" t="inlineStr">
        <is>
          <t>N</t>
        </is>
      </c>
      <c r="I36" s="37">
        <f>COUNTIF(G$5:G36,"Y")/COUNTA(G$5:G36)</f>
        <v/>
      </c>
      <c r="J36" s="37">
        <f>COUNTIF(H$5:H36,"Y")/COUNTA(H$5:H36)</f>
        <v/>
      </c>
      <c r="K36" s="37">
        <f>AVERAGE(F$5:F36)</f>
        <v/>
      </c>
      <c r="L36" s="37">
        <f>SUM(F$5:F36)/SUM(E$5:E36)</f>
        <v/>
      </c>
    </row>
    <row r="37">
      <c r="A37" s="29" t="n">
        <v>45616</v>
      </c>
      <c r="B37" s="37" t="inlineStr">
        <is>
          <t>JOB-1033</t>
        </is>
      </c>
      <c r="C37" s="34" t="n">
        <v>1</v>
      </c>
      <c r="D37" s="37" t="inlineStr">
        <is>
          <t>Tech F</t>
        </is>
      </c>
      <c r="E37" s="35" t="n">
        <v>0.7</v>
      </c>
      <c r="F37" s="35" t="n">
        <v>0.5</v>
      </c>
      <c r="G37" s="37" t="inlineStr">
        <is>
          <t>N</t>
        </is>
      </c>
      <c r="H37" s="37" t="inlineStr">
        <is>
          <t>Y</t>
        </is>
      </c>
      <c r="I37" s="37">
        <f>COUNTIF(G$5:G37,"Y")/COUNTA(G$5:G37)</f>
        <v/>
      </c>
      <c r="J37" s="37">
        <f>COUNTIF(H$5:H37,"Y")/COUNTA(H$5:H37)</f>
        <v/>
      </c>
      <c r="K37" s="37">
        <f>AVERAGE(F$5:F37)</f>
        <v/>
      </c>
      <c r="L37" s="37">
        <f>SUM(F$5:F37)/SUM(E$5:E37)</f>
        <v/>
      </c>
    </row>
    <row r="38">
      <c r="A38" s="29" t="n">
        <v>45617</v>
      </c>
      <c r="B38" s="37" t="inlineStr">
        <is>
          <t>JOB-1034</t>
        </is>
      </c>
      <c r="C38" s="34" t="n">
        <v>1</v>
      </c>
      <c r="D38" s="37" t="inlineStr">
        <is>
          <t>Tech G</t>
        </is>
      </c>
      <c r="E38" s="35" t="n">
        <v>0.6</v>
      </c>
      <c r="F38" s="35" t="n">
        <v>0.5</v>
      </c>
      <c r="G38" s="37" t="inlineStr">
        <is>
          <t>N</t>
        </is>
      </c>
      <c r="H38" s="37" t="inlineStr">
        <is>
          <t>N</t>
        </is>
      </c>
      <c r="I38" s="37">
        <f>COUNTIF(G$5:G38,"Y")/COUNTA(G$5:G38)</f>
        <v/>
      </c>
      <c r="J38" s="37">
        <f>COUNTIF(H$5:H38,"Y")/COUNTA(H$5:H38)</f>
        <v/>
      </c>
      <c r="K38" s="37">
        <f>AVERAGE(F$5:F38)</f>
        <v/>
      </c>
      <c r="L38" s="37">
        <f>SUM(F$5:F38)/SUM(E$5:E38)</f>
        <v/>
      </c>
    </row>
    <row r="39">
      <c r="A39" s="29" t="n">
        <v>45618</v>
      </c>
      <c r="B39" s="37" t="inlineStr">
        <is>
          <t>JOB-1035</t>
        </is>
      </c>
      <c r="C39" s="34" t="n">
        <v>1</v>
      </c>
      <c r="D39" s="37" t="inlineStr">
        <is>
          <t>Tech H</t>
        </is>
      </c>
      <c r="E39" s="35" t="n">
        <v>0.6</v>
      </c>
      <c r="F39" s="35" t="n">
        <v>0.5</v>
      </c>
      <c r="G39" s="37" t="inlineStr">
        <is>
          <t>Y</t>
        </is>
      </c>
      <c r="H39" s="37" t="inlineStr">
        <is>
          <t>N</t>
        </is>
      </c>
      <c r="I39" s="37">
        <f>COUNTIF(G$5:G39,"Y")/COUNTA(G$5:G39)</f>
        <v/>
      </c>
      <c r="J39" s="37">
        <f>COUNTIF(H$5:H39,"Y")/COUNTA(H$5:H39)</f>
        <v/>
      </c>
      <c r="K39" s="37">
        <f>AVERAGE(F$5:F39)</f>
        <v/>
      </c>
      <c r="L39" s="37">
        <f>SUM(F$5:F39)/SUM(E$5:E39)</f>
        <v/>
      </c>
    </row>
    <row r="40">
      <c r="A40" s="29" t="n">
        <v>45614</v>
      </c>
      <c r="B40" s="37" t="inlineStr">
        <is>
          <t>JOB-1036</t>
        </is>
      </c>
      <c r="C40" s="34" t="n">
        <v>1</v>
      </c>
      <c r="D40" s="37" t="inlineStr">
        <is>
          <t>Tech H</t>
        </is>
      </c>
      <c r="E40" s="35" t="n">
        <v>2.7</v>
      </c>
      <c r="F40" s="35" t="n">
        <v>0.5</v>
      </c>
      <c r="G40" s="37" t="inlineStr">
        <is>
          <t>Y</t>
        </is>
      </c>
      <c r="H40" s="37" t="inlineStr">
        <is>
          <t>N</t>
        </is>
      </c>
      <c r="I40" s="37">
        <f>COUNTIF(G$5:G40,"Y")/COUNTA(G$5:G40)</f>
        <v/>
      </c>
      <c r="J40" s="37">
        <f>COUNTIF(H$5:H40,"Y")/COUNTA(H$5:H40)</f>
        <v/>
      </c>
      <c r="K40" s="37">
        <f>AVERAGE(F$5:F40)</f>
        <v/>
      </c>
      <c r="L40" s="37">
        <f>SUM(F$5:F40)/SUM(E$5:E40)</f>
        <v/>
      </c>
      <c r="M40" s="37" t="n">
        <v>16</v>
      </c>
    </row>
    <row r="41">
      <c r="A41" s="29" t="n">
        <v>45621</v>
      </c>
      <c r="B41" s="37" t="inlineStr">
        <is>
          <t>JOB-1037</t>
        </is>
      </c>
      <c r="C41" s="34" t="n">
        <v>1</v>
      </c>
      <c r="D41" s="37" t="inlineStr">
        <is>
          <t>Tech H</t>
        </is>
      </c>
      <c r="E41" s="35" t="n">
        <v>2</v>
      </c>
      <c r="F41" s="35" t="n">
        <v>1.6</v>
      </c>
      <c r="G41" s="37" t="inlineStr">
        <is>
          <t>Y</t>
        </is>
      </c>
      <c r="H41" s="37" t="inlineStr">
        <is>
          <t>N</t>
        </is>
      </c>
      <c r="I41" s="37">
        <f>COUNTIF(G$5:G41,"Y")/COUNTA(G$5:G41)</f>
        <v/>
      </c>
      <c r="J41" s="37">
        <f>COUNTIF(H$5:H41,"Y")/COUNTA(H$5:H41)</f>
        <v/>
      </c>
      <c r="K41" s="37">
        <f>AVERAGE(F$5:F41)</f>
        <v/>
      </c>
      <c r="L41" s="37">
        <f>SUM(F$5:F41)/SUM(E$5:E41)</f>
        <v/>
      </c>
    </row>
    <row r="42">
      <c r="A42" s="29" t="n">
        <v>45622</v>
      </c>
      <c r="B42" s="37" t="inlineStr">
        <is>
          <t>JOB-1038</t>
        </is>
      </c>
      <c r="C42" s="34" t="n">
        <v>1</v>
      </c>
      <c r="D42" s="37" t="inlineStr">
        <is>
          <t>Tech F</t>
        </is>
      </c>
      <c r="E42" s="35" t="n">
        <v>5.3</v>
      </c>
      <c r="F42" s="35" t="n">
        <v>3.8</v>
      </c>
      <c r="G42" s="37" t="inlineStr">
        <is>
          <t>Y</t>
        </is>
      </c>
      <c r="H42" s="37" t="inlineStr">
        <is>
          <t>N</t>
        </is>
      </c>
      <c r="I42" s="37">
        <f>COUNTIF(G$5:G42,"Y")/COUNTA(G$5:G42)</f>
        <v/>
      </c>
      <c r="J42" s="37">
        <f>COUNTIF(H$5:H42,"Y")/COUNTA(H$5:H42)</f>
        <v/>
      </c>
      <c r="K42" s="37">
        <f>AVERAGE(F$5:F42)</f>
        <v/>
      </c>
      <c r="L42" s="37">
        <f>SUM(F$5:F42)/SUM(E$5:E42)</f>
        <v/>
      </c>
    </row>
    <row r="43">
      <c r="A43" s="29" t="n">
        <v>45623</v>
      </c>
      <c r="B43" s="37" t="inlineStr">
        <is>
          <t>JOB-1039</t>
        </is>
      </c>
      <c r="C43" s="34" t="n">
        <v>1</v>
      </c>
      <c r="D43" s="37" t="inlineStr">
        <is>
          <t>Tech B</t>
        </is>
      </c>
      <c r="E43" s="35" t="n">
        <v>3</v>
      </c>
      <c r="F43" s="35" t="n">
        <v>2.2</v>
      </c>
      <c r="G43" s="37" t="inlineStr">
        <is>
          <t>Y</t>
        </is>
      </c>
      <c r="H43" s="37" t="inlineStr">
        <is>
          <t>N</t>
        </is>
      </c>
      <c r="I43" s="37">
        <f>COUNTIF(G$5:G43,"Y")/COUNTA(G$5:G43)</f>
        <v/>
      </c>
      <c r="J43" s="37">
        <f>COUNTIF(H$5:H43,"Y")/COUNTA(H$5:H43)</f>
        <v/>
      </c>
      <c r="K43" s="37">
        <f>AVERAGE(F$5:F43)</f>
        <v/>
      </c>
      <c r="L43" s="37">
        <f>SUM(F$5:F43)/SUM(E$5:E43)</f>
        <v/>
      </c>
    </row>
    <row r="44">
      <c r="A44" s="29" t="n">
        <v>45624</v>
      </c>
      <c r="B44" s="37" t="inlineStr">
        <is>
          <t>JOB-1040</t>
        </is>
      </c>
      <c r="C44" s="34" t="n">
        <v>1</v>
      </c>
      <c r="D44" s="37" t="inlineStr">
        <is>
          <t>Tech C</t>
        </is>
      </c>
      <c r="E44" s="35" t="n">
        <v>1.7</v>
      </c>
      <c r="F44" s="35" t="n">
        <v>1.4</v>
      </c>
      <c r="G44" s="37" t="inlineStr">
        <is>
          <t>Y</t>
        </is>
      </c>
      <c r="H44" s="37" t="inlineStr">
        <is>
          <t>N</t>
        </is>
      </c>
      <c r="I44" s="37">
        <f>COUNTIF(G$5:G44,"Y")/COUNTA(G$5:G44)</f>
        <v/>
      </c>
      <c r="J44" s="37">
        <f>COUNTIF(H$5:H44,"Y")/COUNTA(H$5:H44)</f>
        <v/>
      </c>
      <c r="K44" s="37">
        <f>AVERAGE(F$5:F44)</f>
        <v/>
      </c>
      <c r="L44" s="37">
        <f>SUM(F$5:F44)/SUM(E$5:E44)</f>
        <v/>
      </c>
    </row>
    <row r="45">
      <c r="A45" s="29" t="n">
        <v>45625</v>
      </c>
      <c r="B45" s="37" t="inlineStr">
        <is>
          <t>JOB-1041</t>
        </is>
      </c>
      <c r="C45" s="34" t="n">
        <v>1</v>
      </c>
      <c r="D45" s="37" t="inlineStr">
        <is>
          <t>Tech C</t>
        </is>
      </c>
      <c r="E45" s="35" t="n">
        <v>2.7</v>
      </c>
      <c r="F45" s="35" t="n">
        <v>2</v>
      </c>
      <c r="G45" s="37" t="inlineStr">
        <is>
          <t>Y</t>
        </is>
      </c>
      <c r="H45" s="37" t="inlineStr">
        <is>
          <t>Y</t>
        </is>
      </c>
      <c r="I45" s="37">
        <f>COUNTIF(G$5:G45,"Y")/COUNTA(G$5:G45)</f>
        <v/>
      </c>
      <c r="J45" s="37">
        <f>COUNTIF(H$5:H45,"Y")/COUNTA(H$5:H45)</f>
        <v/>
      </c>
      <c r="K45" s="37">
        <f>AVERAGE(F$5:F45)</f>
        <v/>
      </c>
      <c r="L45" s="37">
        <f>SUM(F$5:F45)/SUM(E$5:E45)</f>
        <v/>
      </c>
    </row>
    <row r="46">
      <c r="A46" s="29" t="n">
        <v>45621</v>
      </c>
      <c r="B46" s="37" t="inlineStr">
        <is>
          <t>JOB-1042</t>
        </is>
      </c>
      <c r="C46" s="34" t="n">
        <v>1</v>
      </c>
      <c r="D46" s="37" t="inlineStr">
        <is>
          <t>Tech F</t>
        </is>
      </c>
      <c r="E46" s="35" t="n">
        <v>2.1</v>
      </c>
      <c r="F46" s="35" t="n">
        <v>1.7</v>
      </c>
      <c r="G46" s="37" t="inlineStr">
        <is>
          <t>Y</t>
        </is>
      </c>
      <c r="H46" s="37" t="inlineStr">
        <is>
          <t>N</t>
        </is>
      </c>
      <c r="I46" s="37">
        <f>COUNTIF(G$5:G46,"Y")/COUNTA(G$5:G46)</f>
        <v/>
      </c>
      <c r="J46" s="37">
        <f>COUNTIF(H$5:H46,"Y")/COUNTA(H$5:H46)</f>
        <v/>
      </c>
      <c r="K46" s="37">
        <f>AVERAGE(F$5:F46)</f>
        <v/>
      </c>
      <c r="L46" s="37">
        <f>SUM(F$5:F46)/SUM(E$5:E46)</f>
        <v/>
      </c>
    </row>
    <row r="47">
      <c r="A47" s="29" t="n">
        <v>45622</v>
      </c>
      <c r="B47" s="37" t="inlineStr">
        <is>
          <t>JOB-1043</t>
        </is>
      </c>
      <c r="C47" s="34" t="n">
        <v>1</v>
      </c>
      <c r="D47" s="37" t="inlineStr">
        <is>
          <t>Tech B</t>
        </is>
      </c>
      <c r="E47" s="35" t="n">
        <v>1.7</v>
      </c>
      <c r="F47" s="35" t="n">
        <v>1.2</v>
      </c>
      <c r="G47" s="37" t="inlineStr">
        <is>
          <t>Y</t>
        </is>
      </c>
      <c r="H47" s="37" t="inlineStr">
        <is>
          <t>N</t>
        </is>
      </c>
      <c r="I47" s="37">
        <f>COUNTIF(G$5:G47,"Y")/COUNTA(G$5:G47)</f>
        <v/>
      </c>
      <c r="J47" s="37">
        <f>COUNTIF(H$5:H47,"Y")/COUNTA(H$5:H47)</f>
        <v/>
      </c>
      <c r="K47" s="37">
        <f>AVERAGE(F$5:F47)</f>
        <v/>
      </c>
      <c r="L47" s="37">
        <f>SUM(F$5:F47)/SUM(E$5:E47)</f>
        <v/>
      </c>
    </row>
    <row r="48">
      <c r="A48" s="29" t="n">
        <v>45623</v>
      </c>
      <c r="B48" s="37" t="inlineStr">
        <is>
          <t>JOB-1044</t>
        </is>
      </c>
      <c r="C48" s="34" t="n">
        <v>1</v>
      </c>
      <c r="D48" s="37" t="inlineStr">
        <is>
          <t>Tech H</t>
        </is>
      </c>
      <c r="E48" s="35" t="n">
        <v>2.5</v>
      </c>
      <c r="F48" s="35" t="n">
        <v>1.7</v>
      </c>
      <c r="G48" s="37" t="inlineStr">
        <is>
          <t>Y</t>
        </is>
      </c>
      <c r="H48" s="37" t="inlineStr">
        <is>
          <t>N</t>
        </is>
      </c>
      <c r="I48" s="37">
        <f>COUNTIF(G$5:G48,"Y")/COUNTA(G$5:G48)</f>
        <v/>
      </c>
      <c r="J48" s="37">
        <f>COUNTIF(H$5:H48,"Y")/COUNTA(H$5:H48)</f>
        <v/>
      </c>
      <c r="K48" s="37">
        <f>AVERAGE(F$5:F48)</f>
        <v/>
      </c>
      <c r="L48" s="37">
        <f>SUM(F$5:F48)/SUM(E$5:E48)</f>
        <v/>
      </c>
    </row>
    <row r="49">
      <c r="A49" s="29" t="n">
        <v>45624</v>
      </c>
      <c r="B49" s="37" t="inlineStr">
        <is>
          <t>JOB-1045</t>
        </is>
      </c>
      <c r="C49" s="34" t="n">
        <v>1</v>
      </c>
      <c r="D49" s="37" t="inlineStr">
        <is>
          <t>Tech C</t>
        </is>
      </c>
      <c r="E49" s="35" t="n">
        <v>4</v>
      </c>
      <c r="F49" s="35" t="n">
        <v>3.4</v>
      </c>
      <c r="G49" s="37" t="inlineStr">
        <is>
          <t>Y</t>
        </is>
      </c>
      <c r="H49" s="37" t="inlineStr">
        <is>
          <t>N</t>
        </is>
      </c>
      <c r="I49" s="37">
        <f>COUNTIF(G$5:G49,"Y")/COUNTA(G$5:G49)</f>
        <v/>
      </c>
      <c r="J49" s="37">
        <f>COUNTIF(H$5:H49,"Y")/COUNTA(H$5:H49)</f>
        <v/>
      </c>
      <c r="K49" s="37">
        <f>AVERAGE(F$5:F49)</f>
        <v/>
      </c>
      <c r="L49" s="37">
        <f>SUM(F$5:F49)/SUM(E$5:E49)</f>
        <v/>
      </c>
    </row>
    <row r="50">
      <c r="A50" s="29" t="n">
        <v>45625</v>
      </c>
      <c r="B50" s="37" t="inlineStr">
        <is>
          <t>JOB-1046</t>
        </is>
      </c>
      <c r="C50" s="34" t="n">
        <v>1</v>
      </c>
      <c r="D50" s="37" t="inlineStr">
        <is>
          <t>Tech B</t>
        </is>
      </c>
      <c r="E50" s="35" t="n">
        <v>2.4</v>
      </c>
      <c r="F50" s="35" t="n">
        <v>1.7</v>
      </c>
      <c r="G50" s="37" t="inlineStr">
        <is>
          <t>Y</t>
        </is>
      </c>
      <c r="H50" s="37" t="inlineStr">
        <is>
          <t>N</t>
        </is>
      </c>
      <c r="I50" s="37">
        <f>COUNTIF(G$5:G50,"Y")/COUNTA(G$5:G50)</f>
        <v/>
      </c>
      <c r="J50" s="37">
        <f>COUNTIF(H$5:H50,"Y")/COUNTA(H$5:H50)</f>
        <v/>
      </c>
      <c r="K50" s="37">
        <f>AVERAGE(F$5:F50)</f>
        <v/>
      </c>
      <c r="L50" s="37">
        <f>SUM(F$5:F50)/SUM(E$5:E50)</f>
        <v/>
      </c>
    </row>
    <row r="51">
      <c r="A51" s="29" t="n">
        <v>45621</v>
      </c>
      <c r="B51" s="37" t="inlineStr">
        <is>
          <t>JOB-1047</t>
        </is>
      </c>
      <c r="C51" s="34" t="n">
        <v>1</v>
      </c>
      <c r="D51" s="37" t="inlineStr">
        <is>
          <t>Tech H</t>
        </is>
      </c>
      <c r="E51" s="35" t="n">
        <v>1.9</v>
      </c>
      <c r="F51" s="35" t="n">
        <v>1.6</v>
      </c>
      <c r="G51" s="37" t="inlineStr">
        <is>
          <t>Y</t>
        </is>
      </c>
      <c r="H51" s="37" t="inlineStr">
        <is>
          <t>N</t>
        </is>
      </c>
      <c r="I51" s="37">
        <f>COUNTIF(G$5:G51,"Y")/COUNTA(G$5:G51)</f>
        <v/>
      </c>
      <c r="J51" s="37">
        <f>COUNTIF(H$5:H51,"Y")/COUNTA(H$5:H51)</f>
        <v/>
      </c>
      <c r="K51" s="37">
        <f>AVERAGE(F$5:F51)</f>
        <v/>
      </c>
      <c r="L51" s="37">
        <f>SUM(F$5:F51)/SUM(E$5:E51)</f>
        <v/>
      </c>
    </row>
    <row r="52">
      <c r="A52" s="29" t="n">
        <v>45622</v>
      </c>
      <c r="B52" s="37" t="inlineStr">
        <is>
          <t>JOB-1048</t>
        </is>
      </c>
      <c r="C52" s="34" t="n">
        <v>1</v>
      </c>
      <c r="D52" s="37" t="inlineStr">
        <is>
          <t>Tech H</t>
        </is>
      </c>
      <c r="E52" s="35" t="n">
        <v>4.9</v>
      </c>
      <c r="F52" s="35" t="n">
        <v>3.6</v>
      </c>
      <c r="G52" s="37" t="inlineStr">
        <is>
          <t>N</t>
        </is>
      </c>
      <c r="H52" s="37" t="inlineStr">
        <is>
          <t>N</t>
        </is>
      </c>
      <c r="I52" s="37">
        <f>COUNTIF(G$5:G52,"Y")/COUNTA(G$5:G52)</f>
        <v/>
      </c>
      <c r="J52" s="37">
        <f>COUNTIF(H$5:H52,"Y")/COUNTA(H$5:H52)</f>
        <v/>
      </c>
      <c r="K52" s="37">
        <f>AVERAGE(F$5:F52)</f>
        <v/>
      </c>
      <c r="L52" s="37">
        <f>SUM(F$5:F52)/SUM(E$5:E52)</f>
        <v/>
      </c>
    </row>
    <row r="53">
      <c r="A53" s="29" t="n">
        <v>45623</v>
      </c>
      <c r="B53" s="37" t="inlineStr">
        <is>
          <t>JOB-1049</t>
        </is>
      </c>
      <c r="C53" s="34" t="n">
        <v>1</v>
      </c>
      <c r="D53" s="37" t="inlineStr">
        <is>
          <t>Tech G</t>
        </is>
      </c>
      <c r="E53" s="35" t="n">
        <v>3.3</v>
      </c>
      <c r="F53" s="35" t="n">
        <v>2.3</v>
      </c>
      <c r="G53" s="37" t="inlineStr">
        <is>
          <t>Y</t>
        </is>
      </c>
      <c r="H53" s="37" t="inlineStr">
        <is>
          <t>N</t>
        </is>
      </c>
      <c r="I53" s="37">
        <f>COUNTIF(G$5:G53,"Y")/COUNTA(G$5:G53)</f>
        <v/>
      </c>
      <c r="J53" s="37">
        <f>COUNTIF(H$5:H53,"Y")/COUNTA(H$5:H53)</f>
        <v/>
      </c>
      <c r="K53" s="37">
        <f>AVERAGE(F$5:F53)</f>
        <v/>
      </c>
      <c r="L53" s="37">
        <f>SUM(F$5:F53)/SUM(E$5:E53)</f>
        <v/>
      </c>
    </row>
    <row r="54">
      <c r="A54" s="29" t="n">
        <v>45624</v>
      </c>
      <c r="B54" s="37" t="inlineStr">
        <is>
          <t>JOB-1050</t>
        </is>
      </c>
      <c r="C54" s="34" t="n">
        <v>1</v>
      </c>
      <c r="D54" s="37" t="inlineStr">
        <is>
          <t>Tech C</t>
        </is>
      </c>
      <c r="E54" s="35" t="n">
        <v>4</v>
      </c>
      <c r="F54" s="35" t="n">
        <v>3.3</v>
      </c>
      <c r="G54" s="37" t="inlineStr">
        <is>
          <t>Y</t>
        </is>
      </c>
      <c r="H54" s="37" t="inlineStr">
        <is>
          <t>N</t>
        </is>
      </c>
      <c r="I54" s="37">
        <f>COUNTIF(G$5:G54,"Y")/COUNTA(G$5:G54)</f>
        <v/>
      </c>
      <c r="J54" s="37">
        <f>COUNTIF(H$5:H54,"Y")/COUNTA(H$5:H54)</f>
        <v/>
      </c>
      <c r="K54" s="37">
        <f>AVERAGE(F$5:F54)</f>
        <v/>
      </c>
      <c r="L54" s="37">
        <f>SUM(F$5:F54)/SUM(E$5:E54)</f>
        <v/>
      </c>
    </row>
    <row r="55">
      <c r="A55" s="29" t="n">
        <v>45625</v>
      </c>
      <c r="B55" s="37" t="inlineStr">
        <is>
          <t>JOB-1051</t>
        </is>
      </c>
      <c r="C55" s="34" t="n">
        <v>1</v>
      </c>
      <c r="D55" s="37" t="inlineStr">
        <is>
          <t>Tech F</t>
        </is>
      </c>
      <c r="E55" s="35" t="n">
        <v>1.7</v>
      </c>
      <c r="F55" s="35" t="n">
        <v>1.3</v>
      </c>
      <c r="G55" s="37" t="inlineStr">
        <is>
          <t>Y</t>
        </is>
      </c>
      <c r="H55" s="37" t="inlineStr">
        <is>
          <t>N</t>
        </is>
      </c>
      <c r="I55" s="37">
        <f>COUNTIF(G$5:G55,"Y")/COUNTA(G$5:G55)</f>
        <v/>
      </c>
      <c r="J55" s="37">
        <f>COUNTIF(H$5:H55,"Y")/COUNTA(H$5:H55)</f>
        <v/>
      </c>
      <c r="K55" s="37">
        <f>AVERAGE(F$5:F55)</f>
        <v/>
      </c>
      <c r="L55" s="37">
        <f>SUM(F$5:F55)/SUM(E$5:E55)</f>
        <v/>
      </c>
    </row>
    <row r="56">
      <c r="A56" s="29" t="n">
        <v>45621</v>
      </c>
      <c r="B56" s="37" t="inlineStr">
        <is>
          <t>JOB-1052</t>
        </is>
      </c>
      <c r="C56" s="34" t="n">
        <v>1</v>
      </c>
      <c r="D56" s="37" t="inlineStr">
        <is>
          <t>Tech D</t>
        </is>
      </c>
      <c r="E56" s="35" t="n">
        <v>2.9</v>
      </c>
      <c r="F56" s="35" t="n">
        <v>2.2</v>
      </c>
      <c r="G56" s="37" t="inlineStr">
        <is>
          <t>Y</t>
        </is>
      </c>
      <c r="H56" s="37" t="inlineStr">
        <is>
          <t>N</t>
        </is>
      </c>
      <c r="I56" s="37">
        <f>COUNTIF(G$5:G56,"Y")/COUNTA(G$5:G56)</f>
        <v/>
      </c>
      <c r="J56" s="37">
        <f>COUNTIF(H$5:H56,"Y")/COUNTA(H$5:H56)</f>
        <v/>
      </c>
      <c r="K56" s="37">
        <f>AVERAGE(F$5:F56)</f>
        <v/>
      </c>
      <c r="L56" s="37">
        <f>SUM(F$5:F56)/SUM(E$5:E56)</f>
        <v/>
      </c>
    </row>
    <row r="57">
      <c r="A57" s="29" t="n">
        <v>45622</v>
      </c>
      <c r="B57" s="37" t="inlineStr">
        <is>
          <t>JOB-1053</t>
        </is>
      </c>
      <c r="C57" s="34" t="n">
        <v>1</v>
      </c>
      <c r="D57" s="37" t="inlineStr">
        <is>
          <t>Tech C</t>
        </is>
      </c>
      <c r="E57" s="35" t="n">
        <v>4.2</v>
      </c>
      <c r="F57" s="35" t="n">
        <v>3</v>
      </c>
      <c r="G57" s="37" t="inlineStr">
        <is>
          <t>Y</t>
        </is>
      </c>
      <c r="H57" s="37" t="inlineStr">
        <is>
          <t>N</t>
        </is>
      </c>
      <c r="I57" s="37">
        <f>COUNTIF(G$5:G57,"Y")/COUNTA(G$5:G57)</f>
        <v/>
      </c>
      <c r="J57" s="37">
        <f>COUNTIF(H$5:H57,"Y")/COUNTA(H$5:H57)</f>
        <v/>
      </c>
      <c r="K57" s="37">
        <f>AVERAGE(F$5:F57)</f>
        <v/>
      </c>
      <c r="L57" s="37">
        <f>SUM(F$5:F57)/SUM(E$5:E57)</f>
        <v/>
      </c>
    </row>
    <row r="58">
      <c r="A58" s="29" t="n">
        <v>45623</v>
      </c>
      <c r="B58" s="37" t="inlineStr">
        <is>
          <t>JOB-1054</t>
        </is>
      </c>
      <c r="C58" s="34" t="n">
        <v>1</v>
      </c>
      <c r="D58" s="37" t="inlineStr">
        <is>
          <t>Tech G</t>
        </is>
      </c>
      <c r="E58" s="35" t="n">
        <v>4.4</v>
      </c>
      <c r="F58" s="35" t="n">
        <v>3.7</v>
      </c>
      <c r="G58" s="37" t="inlineStr">
        <is>
          <t>Y</t>
        </is>
      </c>
      <c r="H58" s="37" t="inlineStr">
        <is>
          <t>N</t>
        </is>
      </c>
      <c r="I58" s="37">
        <f>COUNTIF(G$5:G58,"Y")/COUNTA(G$5:G58)</f>
        <v/>
      </c>
      <c r="J58" s="37">
        <f>COUNTIF(H$5:H58,"Y")/COUNTA(H$5:H58)</f>
        <v/>
      </c>
      <c r="K58" s="37">
        <f>AVERAGE(F$5:F58)</f>
        <v/>
      </c>
      <c r="L58" s="37">
        <f>SUM(F$5:F58)/SUM(E$5:E58)</f>
        <v/>
      </c>
    </row>
    <row r="59">
      <c r="A59" s="29" t="n">
        <v>45624</v>
      </c>
      <c r="B59" s="37" t="inlineStr">
        <is>
          <t>JOB-1055</t>
        </is>
      </c>
      <c r="C59" s="34" t="n">
        <v>1</v>
      </c>
      <c r="D59" s="37" t="inlineStr">
        <is>
          <t>Tech A</t>
        </is>
      </c>
      <c r="E59" s="35" t="n">
        <v>2.7</v>
      </c>
      <c r="F59" s="35" t="n">
        <v>2.1</v>
      </c>
      <c r="G59" s="37" t="inlineStr">
        <is>
          <t>Y</t>
        </is>
      </c>
      <c r="H59" s="37" t="inlineStr">
        <is>
          <t>N</t>
        </is>
      </c>
      <c r="I59" s="37">
        <f>COUNTIF(G$5:G59,"Y")/COUNTA(G$5:G59)</f>
        <v/>
      </c>
      <c r="J59" s="37">
        <f>COUNTIF(H$5:H59,"Y")/COUNTA(H$5:H59)</f>
        <v/>
      </c>
      <c r="K59" s="37">
        <f>AVERAGE(F$5:F59)</f>
        <v/>
      </c>
      <c r="L59" s="37">
        <f>SUM(F$5:F59)/SUM(E$5:E59)</f>
        <v/>
      </c>
    </row>
    <row r="60">
      <c r="A60" s="29" t="n">
        <v>45625</v>
      </c>
      <c r="B60" s="37" t="inlineStr">
        <is>
          <t>JOB-1056</t>
        </is>
      </c>
      <c r="C60" s="34" t="n">
        <v>1</v>
      </c>
      <c r="D60" s="37" t="inlineStr">
        <is>
          <t>Tech A</t>
        </is>
      </c>
      <c r="E60" s="35" t="n">
        <v>4.2</v>
      </c>
      <c r="F60" s="35" t="n">
        <v>3.4</v>
      </c>
      <c r="G60" s="37" t="inlineStr">
        <is>
          <t>N</t>
        </is>
      </c>
      <c r="H60" s="37" t="inlineStr">
        <is>
          <t>N</t>
        </is>
      </c>
      <c r="I60" s="37">
        <f>COUNTIF(G$5:G60,"Y")/COUNTA(G$5:G60)</f>
        <v/>
      </c>
      <c r="J60" s="37">
        <f>COUNTIF(H$5:H60,"Y")/COUNTA(H$5:H60)</f>
        <v/>
      </c>
      <c r="K60" s="37">
        <f>AVERAGE(F$5:F60)</f>
        <v/>
      </c>
      <c r="L60" s="37">
        <f>SUM(F$5:F60)/SUM(E$5:E60)</f>
        <v/>
      </c>
    </row>
    <row r="61">
      <c r="A61" s="29" t="n">
        <v>45621</v>
      </c>
      <c r="B61" s="37" t="inlineStr">
        <is>
          <t>JOB-1057</t>
        </is>
      </c>
      <c r="C61" s="34" t="n">
        <v>1</v>
      </c>
      <c r="D61" s="37" t="inlineStr">
        <is>
          <t>Tech H</t>
        </is>
      </c>
      <c r="E61" s="35" t="n">
        <v>2.1</v>
      </c>
      <c r="F61" s="35" t="n">
        <v>1.6</v>
      </c>
      <c r="G61" s="37" t="inlineStr">
        <is>
          <t>Y</t>
        </is>
      </c>
      <c r="H61" s="37" t="inlineStr">
        <is>
          <t>N</t>
        </is>
      </c>
      <c r="I61" s="37">
        <f>COUNTIF(G$5:G61,"Y")/COUNTA(G$5:G61)</f>
        <v/>
      </c>
      <c r="J61" s="37">
        <f>COUNTIF(H$5:H61,"Y")/COUNTA(H$5:H61)</f>
        <v/>
      </c>
      <c r="K61" s="37">
        <f>AVERAGE(F$5:F61)</f>
        <v/>
      </c>
      <c r="L61" s="37">
        <f>SUM(F$5:F61)/SUM(E$5:E61)</f>
        <v/>
      </c>
    </row>
    <row r="62">
      <c r="A62" s="29" t="n">
        <v>45622</v>
      </c>
      <c r="B62" s="37" t="inlineStr">
        <is>
          <t>JOB-1058</t>
        </is>
      </c>
      <c r="C62" s="34" t="n">
        <v>1</v>
      </c>
      <c r="D62" s="37" t="inlineStr">
        <is>
          <t>Tech D</t>
        </is>
      </c>
      <c r="E62" s="35" t="n">
        <v>2.7</v>
      </c>
      <c r="F62" s="35" t="n">
        <v>2.2</v>
      </c>
      <c r="G62" s="37" t="inlineStr">
        <is>
          <t>Y</t>
        </is>
      </c>
      <c r="H62" s="37" t="inlineStr">
        <is>
          <t>N</t>
        </is>
      </c>
      <c r="I62" s="37">
        <f>COUNTIF(G$5:G62,"Y")/COUNTA(G$5:G62)</f>
        <v/>
      </c>
      <c r="J62" s="37">
        <f>COUNTIF(H$5:H62,"Y")/COUNTA(H$5:H62)</f>
        <v/>
      </c>
      <c r="K62" s="37">
        <f>AVERAGE(F$5:F62)</f>
        <v/>
      </c>
      <c r="L62" s="37">
        <f>SUM(F$5:F62)/SUM(E$5:E62)</f>
        <v/>
      </c>
    </row>
    <row r="63">
      <c r="A63" s="29" t="n">
        <v>45623</v>
      </c>
      <c r="B63" s="37" t="inlineStr">
        <is>
          <t>JOB-1059</t>
        </is>
      </c>
      <c r="C63" s="34" t="n">
        <v>1</v>
      </c>
      <c r="D63" s="37" t="inlineStr">
        <is>
          <t>Tech G</t>
        </is>
      </c>
      <c r="E63" s="35" t="n">
        <v>2.6</v>
      </c>
      <c r="F63" s="35" t="n">
        <v>1.7</v>
      </c>
      <c r="G63" s="37" t="inlineStr">
        <is>
          <t>Y</t>
        </is>
      </c>
      <c r="H63" s="37" t="inlineStr">
        <is>
          <t>N</t>
        </is>
      </c>
      <c r="I63" s="37">
        <f>COUNTIF(G$5:G63,"Y")/COUNTA(G$5:G63)</f>
        <v/>
      </c>
      <c r="J63" s="37">
        <f>COUNTIF(H$5:H63,"Y")/COUNTA(H$5:H63)</f>
        <v/>
      </c>
      <c r="K63" s="37">
        <f>AVERAGE(F$5:F63)</f>
        <v/>
      </c>
      <c r="L63" s="37">
        <f>SUM(F$5:F63)/SUM(E$5:E63)</f>
        <v/>
      </c>
    </row>
    <row r="64">
      <c r="A64" s="29" t="n">
        <v>45624</v>
      </c>
      <c r="B64" s="37" t="inlineStr">
        <is>
          <t>JOB-1060</t>
        </is>
      </c>
      <c r="C64" s="34" t="n">
        <v>1</v>
      </c>
      <c r="D64" s="37" t="inlineStr">
        <is>
          <t>Tech C</t>
        </is>
      </c>
      <c r="E64" s="35" t="n">
        <v>3.4</v>
      </c>
      <c r="F64" s="35" t="n">
        <v>2.3</v>
      </c>
      <c r="G64" s="37" t="inlineStr">
        <is>
          <t>Y</t>
        </is>
      </c>
      <c r="H64" s="37" t="inlineStr">
        <is>
          <t>N</t>
        </is>
      </c>
      <c r="I64" s="37">
        <f>COUNTIF(G$5:G64,"Y")/COUNTA(G$5:G64)</f>
        <v/>
      </c>
      <c r="J64" s="37">
        <f>COUNTIF(H$5:H64,"Y")/COUNTA(H$5:H64)</f>
        <v/>
      </c>
      <c r="K64" s="37">
        <f>AVERAGE(F$5:F64)</f>
        <v/>
      </c>
      <c r="L64" s="37">
        <f>SUM(F$5:F64)/SUM(E$5:E64)</f>
        <v/>
      </c>
    </row>
    <row r="65">
      <c r="A65" s="29" t="n">
        <v>45625</v>
      </c>
      <c r="B65" s="37" t="inlineStr">
        <is>
          <t>JOB-1061</t>
        </is>
      </c>
      <c r="C65" s="34" t="n">
        <v>1</v>
      </c>
      <c r="D65" s="37" t="inlineStr">
        <is>
          <t>Tech A</t>
        </is>
      </c>
      <c r="E65" s="35" t="n">
        <v>3</v>
      </c>
      <c r="F65" s="35" t="n">
        <v>2.6</v>
      </c>
      <c r="G65" s="37" t="inlineStr">
        <is>
          <t>Y</t>
        </is>
      </c>
      <c r="H65" s="37" t="inlineStr">
        <is>
          <t>N</t>
        </is>
      </c>
      <c r="I65" s="37">
        <f>COUNTIF(G$5:G65,"Y")/COUNTA(G$5:G65)</f>
        <v/>
      </c>
      <c r="J65" s="37">
        <f>COUNTIF(H$5:H65,"Y")/COUNTA(H$5:H65)</f>
        <v/>
      </c>
      <c r="K65" s="37">
        <f>AVERAGE(F$5:F65)</f>
        <v/>
      </c>
      <c r="L65" s="37">
        <f>SUM(F$5:F65)/SUM(E$5:E65)</f>
        <v/>
      </c>
    </row>
    <row r="66">
      <c r="A66" s="29" t="n">
        <v>45621</v>
      </c>
      <c r="B66" s="37" t="inlineStr">
        <is>
          <t>JOB-1062</t>
        </is>
      </c>
      <c r="C66" s="34" t="n">
        <v>1</v>
      </c>
      <c r="D66" s="37" t="inlineStr">
        <is>
          <t>Tech A</t>
        </is>
      </c>
      <c r="E66" s="35" t="n">
        <v>5.6</v>
      </c>
      <c r="F66" s="35" t="n">
        <v>3.8</v>
      </c>
      <c r="G66" s="37" t="inlineStr">
        <is>
          <t>Y</t>
        </is>
      </c>
      <c r="H66" s="37" t="inlineStr">
        <is>
          <t>N</t>
        </is>
      </c>
      <c r="I66" s="37">
        <f>COUNTIF(G$5:G66,"Y")/COUNTA(G$5:G66)</f>
        <v/>
      </c>
      <c r="J66" s="37">
        <f>COUNTIF(H$5:H66,"Y")/COUNTA(H$5:H66)</f>
        <v/>
      </c>
      <c r="K66" s="37">
        <f>AVERAGE(F$5:F66)</f>
        <v/>
      </c>
      <c r="L66" s="37">
        <f>SUM(F$5:F66)/SUM(E$5:E66)</f>
        <v/>
      </c>
    </row>
    <row r="67">
      <c r="A67" s="29" t="n">
        <v>45622</v>
      </c>
      <c r="B67" s="37" t="inlineStr">
        <is>
          <t>JOB-1063</t>
        </is>
      </c>
      <c r="C67" s="34" t="n">
        <v>1</v>
      </c>
      <c r="D67" s="37" t="inlineStr">
        <is>
          <t>Tech C</t>
        </is>
      </c>
      <c r="E67" s="35" t="n">
        <v>5.6</v>
      </c>
      <c r="F67" s="35" t="n">
        <v>3.7</v>
      </c>
      <c r="G67" s="37" t="inlineStr">
        <is>
          <t>Y</t>
        </is>
      </c>
      <c r="H67" s="37" t="inlineStr">
        <is>
          <t>N</t>
        </is>
      </c>
      <c r="I67" s="37">
        <f>COUNTIF(G$5:G67,"Y")/COUNTA(G$5:G67)</f>
        <v/>
      </c>
      <c r="J67" s="37">
        <f>COUNTIF(H$5:H67,"Y")/COUNTA(H$5:H67)</f>
        <v/>
      </c>
      <c r="K67" s="37">
        <f>AVERAGE(F$5:F67)</f>
        <v/>
      </c>
      <c r="L67" s="37">
        <f>SUM(F$5:F67)/SUM(E$5:E67)</f>
        <v/>
      </c>
    </row>
    <row r="68">
      <c r="A68" s="29" t="n">
        <v>45623</v>
      </c>
      <c r="B68" s="37" t="inlineStr">
        <is>
          <t>JOB-1064</t>
        </is>
      </c>
      <c r="C68" s="34" t="n">
        <v>1</v>
      </c>
      <c r="D68" s="37" t="inlineStr">
        <is>
          <t>Tech G</t>
        </is>
      </c>
      <c r="E68" s="35" t="n">
        <v>4.1</v>
      </c>
      <c r="F68" s="35" t="n">
        <v>3.4</v>
      </c>
      <c r="G68" s="37" t="inlineStr">
        <is>
          <t>Y</t>
        </is>
      </c>
      <c r="H68" s="37" t="inlineStr">
        <is>
          <t>N</t>
        </is>
      </c>
      <c r="I68" s="37">
        <f>COUNTIF(G$5:G68,"Y")/COUNTA(G$5:G68)</f>
        <v/>
      </c>
      <c r="J68" s="37">
        <f>COUNTIF(H$5:H68,"Y")/COUNTA(H$5:H68)</f>
        <v/>
      </c>
      <c r="K68" s="37">
        <f>AVERAGE(F$5:F68)</f>
        <v/>
      </c>
      <c r="L68" s="37">
        <f>SUM(F$5:F68)/SUM(E$5:E68)</f>
        <v/>
      </c>
    </row>
    <row r="69">
      <c r="A69" s="29" t="n">
        <v>45624</v>
      </c>
      <c r="B69" s="37" t="inlineStr">
        <is>
          <t>JOB-1065</t>
        </is>
      </c>
      <c r="C69" s="34" t="n">
        <v>1</v>
      </c>
      <c r="D69" s="37" t="inlineStr">
        <is>
          <t>Tech B</t>
        </is>
      </c>
      <c r="E69" s="35" t="n">
        <v>2.9</v>
      </c>
      <c r="F69" s="35" t="n">
        <v>2.4</v>
      </c>
      <c r="G69" s="37" t="inlineStr">
        <is>
          <t>Y</t>
        </is>
      </c>
      <c r="H69" s="37" t="inlineStr">
        <is>
          <t>N</t>
        </is>
      </c>
      <c r="I69" s="37">
        <f>COUNTIF(G$5:G69,"Y")/COUNTA(G$5:G69)</f>
        <v/>
      </c>
      <c r="J69" s="37">
        <f>COUNTIF(H$5:H69,"Y")/COUNTA(H$5:H69)</f>
        <v/>
      </c>
      <c r="K69" s="37">
        <f>AVERAGE(F$5:F69)</f>
        <v/>
      </c>
      <c r="L69" s="37">
        <f>SUM(F$5:F69)/SUM(E$5:E69)</f>
        <v/>
      </c>
    </row>
    <row r="70">
      <c r="A70" s="29" t="n">
        <v>45625</v>
      </c>
      <c r="B70" s="37" t="inlineStr">
        <is>
          <t>JOB-1066</t>
        </is>
      </c>
      <c r="C70" s="34" t="n">
        <v>1</v>
      </c>
      <c r="D70" s="37" t="inlineStr">
        <is>
          <t>Tech H</t>
        </is>
      </c>
      <c r="E70" s="35" t="n">
        <v>2.4</v>
      </c>
      <c r="F70" s="35" t="n">
        <v>2.1</v>
      </c>
      <c r="G70" s="37" t="inlineStr">
        <is>
          <t>Y</t>
        </is>
      </c>
      <c r="H70" s="37" t="inlineStr">
        <is>
          <t>N</t>
        </is>
      </c>
      <c r="I70" s="37">
        <f>COUNTIF(G$5:G70,"Y")/COUNTA(G$5:G70)</f>
        <v/>
      </c>
      <c r="J70" s="37">
        <f>COUNTIF(H$5:H70,"Y")/COUNTA(H$5:H70)</f>
        <v/>
      </c>
      <c r="K70" s="37">
        <f>AVERAGE(F$5:F70)</f>
        <v/>
      </c>
      <c r="L70" s="37">
        <f>SUM(F$5:F70)/SUM(E$5:E70)</f>
        <v/>
      </c>
    </row>
    <row r="71">
      <c r="A71" s="29" t="n">
        <v>45621</v>
      </c>
      <c r="B71" s="37" t="inlineStr">
        <is>
          <t>JOB-1067</t>
        </is>
      </c>
      <c r="C71" s="34" t="n">
        <v>1</v>
      </c>
      <c r="D71" s="37" t="inlineStr">
        <is>
          <t>Tech C</t>
        </is>
      </c>
      <c r="E71" s="35" t="n">
        <v>3.2</v>
      </c>
      <c r="F71" s="35" t="n">
        <v>2.1</v>
      </c>
      <c r="G71" s="37" t="inlineStr">
        <is>
          <t>Y</t>
        </is>
      </c>
      <c r="H71" s="37" t="inlineStr">
        <is>
          <t>N</t>
        </is>
      </c>
      <c r="I71" s="37">
        <f>COUNTIF(G$5:G71,"Y")/COUNTA(G$5:G71)</f>
        <v/>
      </c>
      <c r="J71" s="37">
        <f>COUNTIF(H$5:H71,"Y")/COUNTA(H$5:H71)</f>
        <v/>
      </c>
      <c r="K71" s="37">
        <f>AVERAGE(F$5:F71)</f>
        <v/>
      </c>
      <c r="L71" s="37">
        <f>SUM(F$5:F71)/SUM(E$5:E71)</f>
        <v/>
      </c>
    </row>
    <row r="72">
      <c r="A72" s="29" t="n">
        <v>45622</v>
      </c>
      <c r="B72" s="37" t="inlineStr">
        <is>
          <t>JOB-1068</t>
        </is>
      </c>
      <c r="C72" s="34" t="n">
        <v>1</v>
      </c>
      <c r="D72" s="37" t="inlineStr">
        <is>
          <t>Tech B</t>
        </is>
      </c>
      <c r="E72" s="35" t="n">
        <v>2.5</v>
      </c>
      <c r="F72" s="35" t="n">
        <v>1.7</v>
      </c>
      <c r="G72" s="37" t="inlineStr">
        <is>
          <t>Y</t>
        </is>
      </c>
      <c r="H72" s="37" t="inlineStr">
        <is>
          <t>N</t>
        </is>
      </c>
      <c r="I72" s="37">
        <f>COUNTIF(G$5:G72,"Y")/COUNTA(G$5:G72)</f>
        <v/>
      </c>
      <c r="J72" s="37">
        <f>COUNTIF(H$5:H72,"Y")/COUNTA(H$5:H72)</f>
        <v/>
      </c>
      <c r="K72" s="37">
        <f>AVERAGE(F$5:F72)</f>
        <v/>
      </c>
      <c r="L72" s="37">
        <f>SUM(F$5:F72)/SUM(E$5:E72)</f>
        <v/>
      </c>
    </row>
    <row r="73">
      <c r="A73" s="29" t="n">
        <v>45623</v>
      </c>
      <c r="B73" s="37" t="inlineStr">
        <is>
          <t>JOB-1069</t>
        </is>
      </c>
      <c r="C73" s="34" t="n">
        <v>1</v>
      </c>
      <c r="D73" s="37" t="inlineStr">
        <is>
          <t>Tech H</t>
        </is>
      </c>
      <c r="E73" s="35" t="n">
        <v>0.7</v>
      </c>
      <c r="F73" s="35" t="n">
        <v>0.5</v>
      </c>
      <c r="G73" s="37" t="inlineStr">
        <is>
          <t>Y</t>
        </is>
      </c>
      <c r="H73" s="37" t="inlineStr">
        <is>
          <t>Y</t>
        </is>
      </c>
      <c r="I73" s="37">
        <f>COUNTIF(G$5:G73,"Y")/COUNTA(G$5:G73)</f>
        <v/>
      </c>
      <c r="J73" s="37">
        <f>COUNTIF(H$5:H73,"Y")/COUNTA(H$5:H73)</f>
        <v/>
      </c>
      <c r="K73" s="37">
        <f>AVERAGE(F$5:F73)</f>
        <v/>
      </c>
      <c r="L73" s="37">
        <f>SUM(F$5:F73)/SUM(E$5:E73)</f>
        <v/>
      </c>
    </row>
    <row r="74">
      <c r="A74" s="29" t="n">
        <v>45624</v>
      </c>
      <c r="B74" s="37" t="inlineStr">
        <is>
          <t>JOB-1070</t>
        </is>
      </c>
      <c r="C74" s="34" t="n">
        <v>1</v>
      </c>
      <c r="D74" s="37" t="inlineStr">
        <is>
          <t>Tech D</t>
        </is>
      </c>
      <c r="E74" s="35" t="n">
        <v>0.8</v>
      </c>
      <c r="F74" s="35" t="n">
        <v>0.5</v>
      </c>
      <c r="G74" s="37" t="inlineStr">
        <is>
          <t>N</t>
        </is>
      </c>
      <c r="H74" s="37" t="inlineStr">
        <is>
          <t>N</t>
        </is>
      </c>
      <c r="I74" s="37">
        <f>COUNTIF(G$5:G74,"Y")/COUNTA(G$5:G74)</f>
        <v/>
      </c>
      <c r="J74" s="37">
        <f>COUNTIF(H$5:H74,"Y")/COUNTA(H$5:H74)</f>
        <v/>
      </c>
      <c r="K74" s="37">
        <f>AVERAGE(F$5:F74)</f>
        <v/>
      </c>
      <c r="L74" s="37">
        <f>SUM(F$5:F74)/SUM(E$5:E74)</f>
        <v/>
      </c>
    </row>
    <row r="75">
      <c r="A75" s="29" t="n">
        <v>45625</v>
      </c>
      <c r="B75" s="37" t="inlineStr">
        <is>
          <t>JOB-1071</t>
        </is>
      </c>
      <c r="C75" s="34" t="n">
        <v>1</v>
      </c>
      <c r="D75" s="37" t="inlineStr">
        <is>
          <t>Tech F</t>
        </is>
      </c>
      <c r="E75" s="35" t="n">
        <v>0.7</v>
      </c>
      <c r="F75" s="35" t="n">
        <v>0.5</v>
      </c>
      <c r="G75" s="37" t="inlineStr">
        <is>
          <t>N</t>
        </is>
      </c>
      <c r="H75" s="37" t="inlineStr">
        <is>
          <t>N</t>
        </is>
      </c>
      <c r="I75" s="37">
        <f>COUNTIF(G$5:G75,"Y")/COUNTA(G$5:G75)</f>
        <v/>
      </c>
      <c r="J75" s="37">
        <f>COUNTIF(H$5:H75,"Y")/COUNTA(H$5:H75)</f>
        <v/>
      </c>
      <c r="K75" s="37">
        <f>AVERAGE(F$5:F75)</f>
        <v/>
      </c>
      <c r="L75" s="37">
        <f>SUM(F$5:F75)/SUM(E$5:E75)</f>
        <v/>
      </c>
    </row>
    <row r="76">
      <c r="A76" s="29" t="n">
        <v>45621</v>
      </c>
      <c r="B76" s="37" t="inlineStr">
        <is>
          <t>JOB-1072</t>
        </is>
      </c>
      <c r="C76" s="34" t="n">
        <v>1</v>
      </c>
      <c r="D76" s="37" t="inlineStr">
        <is>
          <t>Tech H</t>
        </is>
      </c>
      <c r="E76" s="35" t="n">
        <v>0.6</v>
      </c>
      <c r="F76" s="35" t="n">
        <v>0.5</v>
      </c>
      <c r="G76" s="37" t="inlineStr">
        <is>
          <t>Y</t>
        </is>
      </c>
      <c r="H76" s="37" t="inlineStr">
        <is>
          <t>N</t>
        </is>
      </c>
      <c r="I76" s="37">
        <f>COUNTIF(G$5:G76,"Y")/COUNTA(G$5:G76)</f>
        <v/>
      </c>
      <c r="J76" s="37">
        <f>COUNTIF(H$5:H76,"Y")/COUNTA(H$5:H76)</f>
        <v/>
      </c>
      <c r="K76" s="37">
        <f>AVERAGE(F$5:F76)</f>
        <v/>
      </c>
      <c r="L76" s="37">
        <f>SUM(F$5:F76)/SUM(E$5:E76)</f>
        <v/>
      </c>
    </row>
    <row r="77">
      <c r="A77" s="29" t="n">
        <v>45622</v>
      </c>
      <c r="B77" s="37" t="inlineStr">
        <is>
          <t>JOB-1073</t>
        </is>
      </c>
      <c r="C77" s="34" t="n">
        <v>1</v>
      </c>
      <c r="D77" s="37" t="inlineStr">
        <is>
          <t>Tech D</t>
        </is>
      </c>
      <c r="E77" s="35" t="n">
        <v>0.7</v>
      </c>
      <c r="F77" s="35" t="n">
        <v>0.5</v>
      </c>
      <c r="G77" s="37" t="inlineStr">
        <is>
          <t>Y</t>
        </is>
      </c>
      <c r="H77" s="37" t="inlineStr">
        <is>
          <t>N</t>
        </is>
      </c>
      <c r="I77" s="37">
        <f>COUNTIF(G$5:G77,"Y")/COUNTA(G$5:G77)</f>
        <v/>
      </c>
      <c r="J77" s="37">
        <f>COUNTIF(H$5:H77,"Y")/COUNTA(H$5:H77)</f>
        <v/>
      </c>
      <c r="K77" s="37">
        <f>AVERAGE(F$5:F77)</f>
        <v/>
      </c>
      <c r="L77" s="37">
        <f>SUM(F$5:F77)/SUM(E$5:E77)</f>
        <v/>
      </c>
    </row>
    <row r="78">
      <c r="A78" s="29" t="n">
        <v>45623</v>
      </c>
      <c r="B78" s="37" t="inlineStr">
        <is>
          <t>JOB-1074</t>
        </is>
      </c>
      <c r="C78" s="34" t="n">
        <v>1</v>
      </c>
      <c r="D78" s="37" t="inlineStr">
        <is>
          <t>Tech F</t>
        </is>
      </c>
      <c r="E78" s="35" t="n">
        <v>1.5</v>
      </c>
      <c r="F78" s="35" t="n">
        <v>0.5</v>
      </c>
      <c r="G78" s="37" t="inlineStr">
        <is>
          <t>N</t>
        </is>
      </c>
      <c r="H78" s="37" t="inlineStr">
        <is>
          <t>N</t>
        </is>
      </c>
      <c r="I78" s="37">
        <f>COUNTIF(G$5:G78,"Y")/COUNTA(G$5:G78)</f>
        <v/>
      </c>
      <c r="J78" s="37">
        <f>COUNTIF(H$5:H78,"Y")/COUNTA(H$5:H78)</f>
        <v/>
      </c>
      <c r="K78" s="37">
        <f>AVERAGE(F$5:F78)</f>
        <v/>
      </c>
      <c r="L78" s="37">
        <f>SUM(F$5:F78)/SUM(E$5:E78)</f>
        <v/>
      </c>
      <c r="M78" s="37" t="n">
        <v>15</v>
      </c>
    </row>
    <row r="79">
      <c r="A79" s="29" t="n">
        <v>45628</v>
      </c>
      <c r="B79" s="37" t="inlineStr">
        <is>
          <t>JOB-1075</t>
        </is>
      </c>
      <c r="C79" s="34" t="n">
        <v>1</v>
      </c>
      <c r="D79" s="37" t="inlineStr">
        <is>
          <t>Tech A</t>
        </is>
      </c>
      <c r="E79" s="35" t="n">
        <v>1.4</v>
      </c>
      <c r="F79" s="35" t="n">
        <v>1.2</v>
      </c>
      <c r="G79" s="37" t="inlineStr">
        <is>
          <t>Y</t>
        </is>
      </c>
      <c r="H79" s="37" t="inlineStr">
        <is>
          <t>N</t>
        </is>
      </c>
      <c r="I79" s="37">
        <f>COUNTIF(G$5:G79,"Y")/COUNTA(G$5:G79)</f>
        <v/>
      </c>
      <c r="J79" s="37">
        <f>COUNTIF(H$5:H79,"Y")/COUNTA(H$5:H79)</f>
        <v/>
      </c>
      <c r="K79" s="37">
        <f>AVERAGE(F$5:F79)</f>
        <v/>
      </c>
      <c r="L79" s="37">
        <f>SUM(F$5:F79)/SUM(E$5:E79)</f>
        <v/>
      </c>
    </row>
    <row r="80">
      <c r="A80" s="29" t="n">
        <v>45629</v>
      </c>
      <c r="B80" s="37" t="inlineStr">
        <is>
          <t>JOB-1076</t>
        </is>
      </c>
      <c r="C80" s="34" t="n">
        <v>1</v>
      </c>
      <c r="D80" s="37" t="inlineStr">
        <is>
          <t>Tech A</t>
        </is>
      </c>
      <c r="E80" s="35" t="n">
        <v>5.8</v>
      </c>
      <c r="F80" s="35" t="n">
        <v>3.8</v>
      </c>
      <c r="G80" s="37" t="inlineStr">
        <is>
          <t>Y</t>
        </is>
      </c>
      <c r="H80" s="37" t="inlineStr">
        <is>
          <t>N</t>
        </is>
      </c>
      <c r="I80" s="37">
        <f>COUNTIF(G$5:G80,"Y")/COUNTA(G$5:G80)</f>
        <v/>
      </c>
      <c r="J80" s="37">
        <f>COUNTIF(H$5:H80,"Y")/COUNTA(H$5:H80)</f>
        <v/>
      </c>
      <c r="K80" s="37">
        <f>AVERAGE(F$5:F80)</f>
        <v/>
      </c>
      <c r="L80" s="37">
        <f>SUM(F$5:F80)/SUM(E$5:E80)</f>
        <v/>
      </c>
    </row>
    <row r="81">
      <c r="A81" s="29" t="n">
        <v>45630</v>
      </c>
      <c r="B81" s="37" t="inlineStr">
        <is>
          <t>JOB-1077</t>
        </is>
      </c>
      <c r="C81" s="34" t="n">
        <v>1</v>
      </c>
      <c r="D81" s="37" t="inlineStr">
        <is>
          <t>Tech B</t>
        </is>
      </c>
      <c r="E81" s="35" t="n">
        <v>4.2</v>
      </c>
      <c r="F81" s="35" t="n">
        <v>2.8</v>
      </c>
      <c r="G81" s="37" t="inlineStr">
        <is>
          <t>Y</t>
        </is>
      </c>
      <c r="H81" s="37" t="inlineStr">
        <is>
          <t>N</t>
        </is>
      </c>
      <c r="I81" s="37">
        <f>COUNTIF(G$5:G81,"Y")/COUNTA(G$5:G81)</f>
        <v/>
      </c>
      <c r="J81" s="37">
        <f>COUNTIF(H$5:H81,"Y")/COUNTA(H$5:H81)</f>
        <v/>
      </c>
      <c r="K81" s="37">
        <f>AVERAGE(F$5:F81)</f>
        <v/>
      </c>
      <c r="L81" s="37">
        <f>SUM(F$5:F81)/SUM(E$5:E81)</f>
        <v/>
      </c>
    </row>
    <row r="82">
      <c r="A82" s="29" t="n">
        <v>45631</v>
      </c>
      <c r="B82" s="37" t="inlineStr">
        <is>
          <t>JOB-1078</t>
        </is>
      </c>
      <c r="C82" s="34" t="n">
        <v>1</v>
      </c>
      <c r="D82" s="37" t="inlineStr">
        <is>
          <t>Tech D</t>
        </is>
      </c>
      <c r="E82" s="35" t="n">
        <v>3.5</v>
      </c>
      <c r="F82" s="35" t="n">
        <v>2.9</v>
      </c>
      <c r="G82" s="37" t="inlineStr">
        <is>
          <t>Y</t>
        </is>
      </c>
      <c r="H82" s="37" t="inlineStr">
        <is>
          <t>N</t>
        </is>
      </c>
      <c r="I82" s="37">
        <f>COUNTIF(G$5:G82,"Y")/COUNTA(G$5:G82)</f>
        <v/>
      </c>
      <c r="J82" s="37">
        <f>COUNTIF(H$5:H82,"Y")/COUNTA(H$5:H82)</f>
        <v/>
      </c>
      <c r="K82" s="37">
        <f>AVERAGE(F$5:F82)</f>
        <v/>
      </c>
      <c r="L82" s="37">
        <f>SUM(F$5:F82)/SUM(E$5:E82)</f>
        <v/>
      </c>
    </row>
    <row r="83">
      <c r="A83" s="29" t="n">
        <v>45632</v>
      </c>
      <c r="B83" s="37" t="inlineStr">
        <is>
          <t>JOB-1079</t>
        </is>
      </c>
      <c r="C83" s="34" t="n">
        <v>1</v>
      </c>
      <c r="D83" s="37" t="inlineStr">
        <is>
          <t>Tech F</t>
        </is>
      </c>
      <c r="E83" s="35" t="n">
        <v>1.9</v>
      </c>
      <c r="F83" s="35" t="n">
        <v>1.5</v>
      </c>
      <c r="G83" s="37" t="inlineStr">
        <is>
          <t>N</t>
        </is>
      </c>
      <c r="H83" s="37" t="inlineStr">
        <is>
          <t>N</t>
        </is>
      </c>
      <c r="I83" s="37">
        <f>COUNTIF(G$5:G83,"Y")/COUNTA(G$5:G83)</f>
        <v/>
      </c>
      <c r="J83" s="37">
        <f>COUNTIF(H$5:H83,"Y")/COUNTA(H$5:H83)</f>
        <v/>
      </c>
      <c r="K83" s="37">
        <f>AVERAGE(F$5:F83)</f>
        <v/>
      </c>
      <c r="L83" s="37">
        <f>SUM(F$5:F83)/SUM(E$5:E83)</f>
        <v/>
      </c>
    </row>
    <row r="84">
      <c r="A84" s="29" t="n">
        <v>45628</v>
      </c>
      <c r="B84" s="37" t="inlineStr">
        <is>
          <t>JOB-1080</t>
        </is>
      </c>
      <c r="C84" s="34" t="n">
        <v>1</v>
      </c>
      <c r="D84" s="37" t="inlineStr">
        <is>
          <t>Tech G</t>
        </is>
      </c>
      <c r="E84" s="35" t="n">
        <v>5.6</v>
      </c>
      <c r="F84" s="35" t="n">
        <v>3.8</v>
      </c>
      <c r="G84" s="37" t="inlineStr">
        <is>
          <t>Y</t>
        </is>
      </c>
      <c r="H84" s="37" t="inlineStr">
        <is>
          <t>N</t>
        </is>
      </c>
      <c r="I84" s="37">
        <f>COUNTIF(G$5:G84,"Y")/COUNTA(G$5:G84)</f>
        <v/>
      </c>
      <c r="J84" s="37">
        <f>COUNTIF(H$5:H84,"Y")/COUNTA(H$5:H84)</f>
        <v/>
      </c>
      <c r="K84" s="37">
        <f>AVERAGE(F$5:F84)</f>
        <v/>
      </c>
      <c r="L84" s="37">
        <f>SUM(F$5:F84)/SUM(E$5:E84)</f>
        <v/>
      </c>
    </row>
    <row r="85">
      <c r="A85" s="29" t="n">
        <v>45629</v>
      </c>
      <c r="B85" s="37" t="inlineStr">
        <is>
          <t>JOB-1081</t>
        </is>
      </c>
      <c r="C85" s="34" t="n">
        <v>1</v>
      </c>
      <c r="D85" s="37" t="inlineStr">
        <is>
          <t>Tech G</t>
        </is>
      </c>
      <c r="E85" s="35" t="n">
        <v>5.6</v>
      </c>
      <c r="F85" s="35" t="n">
        <v>3.7</v>
      </c>
      <c r="G85" s="37" t="inlineStr">
        <is>
          <t>Y</t>
        </is>
      </c>
      <c r="H85" s="37" t="inlineStr">
        <is>
          <t>N</t>
        </is>
      </c>
      <c r="I85" s="37">
        <f>COUNTIF(G$5:G85,"Y")/COUNTA(G$5:G85)</f>
        <v/>
      </c>
      <c r="J85" s="37">
        <f>COUNTIF(H$5:H85,"Y")/COUNTA(H$5:H85)</f>
        <v/>
      </c>
      <c r="K85" s="37">
        <f>AVERAGE(F$5:F85)</f>
        <v/>
      </c>
      <c r="L85" s="37">
        <f>SUM(F$5:F85)/SUM(E$5:E85)</f>
        <v/>
      </c>
    </row>
    <row r="86">
      <c r="A86" s="29" t="n">
        <v>45630</v>
      </c>
      <c r="B86" s="37" t="inlineStr">
        <is>
          <t>JOB-1082</t>
        </is>
      </c>
      <c r="C86" s="34" t="n">
        <v>1</v>
      </c>
      <c r="D86" s="37" t="inlineStr">
        <is>
          <t>Tech A</t>
        </is>
      </c>
      <c r="E86" s="35" t="n">
        <v>2.3</v>
      </c>
      <c r="F86" s="35" t="n">
        <v>1.8</v>
      </c>
      <c r="G86" s="37" t="inlineStr">
        <is>
          <t>Y</t>
        </is>
      </c>
      <c r="H86" s="37" t="inlineStr">
        <is>
          <t>N</t>
        </is>
      </c>
      <c r="I86" s="37">
        <f>COUNTIF(G$5:G86,"Y")/COUNTA(G$5:G86)</f>
        <v/>
      </c>
      <c r="J86" s="37">
        <f>COUNTIF(H$5:H86,"Y")/COUNTA(H$5:H86)</f>
        <v/>
      </c>
      <c r="K86" s="37">
        <f>AVERAGE(F$5:F86)</f>
        <v/>
      </c>
      <c r="L86" s="37">
        <f>SUM(F$5:F86)/SUM(E$5:E86)</f>
        <v/>
      </c>
    </row>
    <row r="87">
      <c r="A87" s="29" t="n">
        <v>45631</v>
      </c>
      <c r="B87" s="37" t="inlineStr">
        <is>
          <t>JOB-1083</t>
        </is>
      </c>
      <c r="C87" s="34" t="n">
        <v>1</v>
      </c>
      <c r="D87" s="37" t="inlineStr">
        <is>
          <t>Tech D</t>
        </is>
      </c>
      <c r="E87" s="35" t="n">
        <v>2.2</v>
      </c>
      <c r="F87" s="35" t="n">
        <v>1.5</v>
      </c>
      <c r="G87" s="37" t="inlineStr">
        <is>
          <t>Y</t>
        </is>
      </c>
      <c r="H87" s="37" t="inlineStr">
        <is>
          <t>N</t>
        </is>
      </c>
      <c r="I87" s="37">
        <f>COUNTIF(G$5:G87,"Y")/COUNTA(G$5:G87)</f>
        <v/>
      </c>
      <c r="J87" s="37">
        <f>COUNTIF(H$5:H87,"Y")/COUNTA(H$5:H87)</f>
        <v/>
      </c>
      <c r="K87" s="37">
        <f>AVERAGE(F$5:F87)</f>
        <v/>
      </c>
      <c r="L87" s="37">
        <f>SUM(F$5:F87)/SUM(E$5:E87)</f>
        <v/>
      </c>
    </row>
    <row r="88">
      <c r="A88" s="29" t="n">
        <v>45632</v>
      </c>
      <c r="B88" s="37" t="inlineStr">
        <is>
          <t>JOB-1084</t>
        </is>
      </c>
      <c r="C88" s="34" t="n">
        <v>1</v>
      </c>
      <c r="D88" s="37" t="inlineStr">
        <is>
          <t>Tech D</t>
        </is>
      </c>
      <c r="E88" s="35" t="n">
        <v>5</v>
      </c>
      <c r="F88" s="35" t="n">
        <v>3.8</v>
      </c>
      <c r="G88" s="37" t="inlineStr">
        <is>
          <t>Y</t>
        </is>
      </c>
      <c r="H88" s="37" t="inlineStr">
        <is>
          <t>Y</t>
        </is>
      </c>
      <c r="I88" s="37">
        <f>COUNTIF(G$5:G88,"Y")/COUNTA(G$5:G88)</f>
        <v/>
      </c>
      <c r="J88" s="37">
        <f>COUNTIF(H$5:H88,"Y")/COUNTA(H$5:H88)</f>
        <v/>
      </c>
      <c r="K88" s="37">
        <f>AVERAGE(F$5:F88)</f>
        <v/>
      </c>
      <c r="L88" s="37">
        <f>SUM(F$5:F88)/SUM(E$5:E88)</f>
        <v/>
      </c>
    </row>
    <row r="89">
      <c r="A89" s="29" t="n">
        <v>45628</v>
      </c>
      <c r="B89" s="37" t="inlineStr">
        <is>
          <t>JOB-1085</t>
        </is>
      </c>
      <c r="C89" s="34" t="n">
        <v>1</v>
      </c>
      <c r="D89" s="37" t="inlineStr">
        <is>
          <t>Tech H</t>
        </is>
      </c>
      <c r="E89" s="35" t="n">
        <v>3.7</v>
      </c>
      <c r="F89" s="35" t="n">
        <v>3</v>
      </c>
      <c r="G89" s="37" t="inlineStr">
        <is>
          <t>Y</t>
        </is>
      </c>
      <c r="H89" s="37" t="inlineStr">
        <is>
          <t>N</t>
        </is>
      </c>
      <c r="I89" s="37">
        <f>COUNTIF(G$5:G89,"Y")/COUNTA(G$5:G89)</f>
        <v/>
      </c>
      <c r="J89" s="37">
        <f>COUNTIF(H$5:H89,"Y")/COUNTA(H$5:H89)</f>
        <v/>
      </c>
      <c r="K89" s="37">
        <f>AVERAGE(F$5:F89)</f>
        <v/>
      </c>
      <c r="L89" s="37">
        <f>SUM(F$5:F89)/SUM(E$5:E89)</f>
        <v/>
      </c>
    </row>
    <row r="90">
      <c r="A90" s="29" t="n">
        <v>45629</v>
      </c>
      <c r="B90" s="37" t="inlineStr">
        <is>
          <t>JOB-1086</t>
        </is>
      </c>
      <c r="C90" s="34" t="n">
        <v>1</v>
      </c>
      <c r="D90" s="37" t="inlineStr">
        <is>
          <t>Tech F</t>
        </is>
      </c>
      <c r="E90" s="35" t="n">
        <v>5.9</v>
      </c>
      <c r="F90" s="35" t="n">
        <v>3.9</v>
      </c>
      <c r="G90" s="37" t="inlineStr">
        <is>
          <t>Y</t>
        </is>
      </c>
      <c r="H90" s="37" t="inlineStr">
        <is>
          <t>N</t>
        </is>
      </c>
      <c r="I90" s="37">
        <f>COUNTIF(G$5:G90,"Y")/COUNTA(G$5:G90)</f>
        <v/>
      </c>
      <c r="J90" s="37">
        <f>COUNTIF(H$5:H90,"Y")/COUNTA(H$5:H90)</f>
        <v/>
      </c>
      <c r="K90" s="37">
        <f>AVERAGE(F$5:F90)</f>
        <v/>
      </c>
      <c r="L90" s="37">
        <f>SUM(F$5:F90)/SUM(E$5:E90)</f>
        <v/>
      </c>
    </row>
    <row r="91">
      <c r="A91" s="29" t="n">
        <v>45630</v>
      </c>
      <c r="B91" s="37" t="inlineStr">
        <is>
          <t>JOB-1087</t>
        </is>
      </c>
      <c r="C91" s="34" t="n">
        <v>1</v>
      </c>
      <c r="D91" s="37" t="inlineStr">
        <is>
          <t>Tech B</t>
        </is>
      </c>
      <c r="E91" s="35" t="n">
        <v>6.1</v>
      </c>
      <c r="F91" s="35" t="n">
        <v>4.1</v>
      </c>
      <c r="G91" s="37" t="inlineStr">
        <is>
          <t>Y</t>
        </is>
      </c>
      <c r="H91" s="37" t="inlineStr">
        <is>
          <t>N</t>
        </is>
      </c>
      <c r="I91" s="37">
        <f>COUNTIF(G$5:G91,"Y")/COUNTA(G$5:G91)</f>
        <v/>
      </c>
      <c r="J91" s="37">
        <f>COUNTIF(H$5:H91,"Y")/COUNTA(H$5:H91)</f>
        <v/>
      </c>
      <c r="K91" s="37">
        <f>AVERAGE(F$5:F91)</f>
        <v/>
      </c>
      <c r="L91" s="37">
        <f>SUM(F$5:F91)/SUM(E$5:E91)</f>
        <v/>
      </c>
    </row>
    <row r="92">
      <c r="A92" s="29" t="n">
        <v>45631</v>
      </c>
      <c r="B92" s="37" t="inlineStr">
        <is>
          <t>JOB-1088</t>
        </is>
      </c>
      <c r="C92" s="34" t="n">
        <v>1</v>
      </c>
      <c r="D92" s="37" t="inlineStr">
        <is>
          <t>Tech H</t>
        </is>
      </c>
      <c r="E92" s="35" t="n">
        <v>4.4</v>
      </c>
      <c r="F92" s="35" t="n">
        <v>3.8</v>
      </c>
      <c r="G92" s="37" t="inlineStr">
        <is>
          <t>N</t>
        </is>
      </c>
      <c r="H92" s="37" t="inlineStr">
        <is>
          <t>N</t>
        </is>
      </c>
      <c r="I92" s="37">
        <f>COUNTIF(G$5:G92,"Y")/COUNTA(G$5:G92)</f>
        <v/>
      </c>
      <c r="J92" s="37">
        <f>COUNTIF(H$5:H92,"Y")/COUNTA(H$5:H92)</f>
        <v/>
      </c>
      <c r="K92" s="37">
        <f>AVERAGE(F$5:F92)</f>
        <v/>
      </c>
      <c r="L92" s="37">
        <f>SUM(F$5:F92)/SUM(E$5:E92)</f>
        <v/>
      </c>
    </row>
    <row r="93">
      <c r="A93" s="29" t="n">
        <v>45632</v>
      </c>
      <c r="B93" s="37" t="inlineStr">
        <is>
          <t>JOB-1089</t>
        </is>
      </c>
      <c r="C93" s="34" t="n">
        <v>1</v>
      </c>
      <c r="D93" s="37" t="inlineStr">
        <is>
          <t>Tech H</t>
        </is>
      </c>
      <c r="E93" s="35" t="n">
        <v>4.4</v>
      </c>
      <c r="F93" s="35" t="n">
        <v>3.4</v>
      </c>
      <c r="G93" s="37" t="inlineStr">
        <is>
          <t>Y</t>
        </is>
      </c>
      <c r="H93" s="37" t="inlineStr">
        <is>
          <t>N</t>
        </is>
      </c>
      <c r="I93" s="37">
        <f>COUNTIF(G$5:G93,"Y")/COUNTA(G$5:G93)</f>
        <v/>
      </c>
      <c r="J93" s="37">
        <f>COUNTIF(H$5:H93,"Y")/COUNTA(H$5:H93)</f>
        <v/>
      </c>
      <c r="K93" s="37">
        <f>AVERAGE(F$5:F93)</f>
        <v/>
      </c>
      <c r="L93" s="37">
        <f>SUM(F$5:F93)/SUM(E$5:E93)</f>
        <v/>
      </c>
    </row>
    <row r="94">
      <c r="A94" s="29" t="n">
        <v>45628</v>
      </c>
      <c r="B94" s="37" t="inlineStr">
        <is>
          <t>JOB-1090</t>
        </is>
      </c>
      <c r="C94" s="34" t="n">
        <v>1</v>
      </c>
      <c r="D94" s="37" t="inlineStr">
        <is>
          <t>Tech D</t>
        </is>
      </c>
      <c r="E94" s="35" t="n">
        <v>5.8</v>
      </c>
      <c r="F94" s="35" t="n">
        <v>3.9</v>
      </c>
      <c r="G94" s="37" t="inlineStr">
        <is>
          <t>Y</t>
        </is>
      </c>
      <c r="H94" s="37" t="inlineStr">
        <is>
          <t>N</t>
        </is>
      </c>
      <c r="I94" s="37">
        <f>COUNTIF(G$5:G94,"Y")/COUNTA(G$5:G94)</f>
        <v/>
      </c>
      <c r="J94" s="37">
        <f>COUNTIF(H$5:H94,"Y")/COUNTA(H$5:H94)</f>
        <v/>
      </c>
      <c r="K94" s="37">
        <f>AVERAGE(F$5:F94)</f>
        <v/>
      </c>
      <c r="L94" s="37">
        <f>SUM(F$5:F94)/SUM(E$5:E94)</f>
        <v/>
      </c>
    </row>
    <row r="95">
      <c r="A95" s="29" t="n">
        <v>45629</v>
      </c>
      <c r="B95" s="37" t="inlineStr">
        <is>
          <t>JOB-1091</t>
        </is>
      </c>
      <c r="C95" s="34" t="n">
        <v>1</v>
      </c>
      <c r="D95" s="37" t="inlineStr">
        <is>
          <t>Tech D</t>
        </is>
      </c>
      <c r="E95" s="35" t="n">
        <v>5.5</v>
      </c>
      <c r="F95" s="35" t="n">
        <v>3.7</v>
      </c>
      <c r="G95" s="37" t="inlineStr">
        <is>
          <t>Y</t>
        </is>
      </c>
      <c r="H95" s="37" t="inlineStr">
        <is>
          <t>N</t>
        </is>
      </c>
      <c r="I95" s="37">
        <f>COUNTIF(G$5:G95,"Y")/COUNTA(G$5:G95)</f>
        <v/>
      </c>
      <c r="J95" s="37">
        <f>COUNTIF(H$5:H95,"Y")/COUNTA(H$5:H95)</f>
        <v/>
      </c>
      <c r="K95" s="37">
        <f>AVERAGE(F$5:F95)</f>
        <v/>
      </c>
      <c r="L95" s="37">
        <f>SUM(F$5:F95)/SUM(E$5:E95)</f>
        <v/>
      </c>
    </row>
    <row r="96">
      <c r="A96" s="29" t="n">
        <v>45630</v>
      </c>
      <c r="B96" s="37" t="inlineStr">
        <is>
          <t>JOB-1092</t>
        </is>
      </c>
      <c r="C96" s="34" t="n">
        <v>1</v>
      </c>
      <c r="D96" s="37" t="inlineStr">
        <is>
          <t>Tech D</t>
        </is>
      </c>
      <c r="E96" s="35" t="n">
        <v>2.8</v>
      </c>
      <c r="F96" s="35" t="n">
        <v>1.9</v>
      </c>
      <c r="G96" s="37" t="inlineStr">
        <is>
          <t>Y</t>
        </is>
      </c>
      <c r="H96" s="37" t="inlineStr">
        <is>
          <t>N</t>
        </is>
      </c>
      <c r="I96" s="37">
        <f>COUNTIF(G$5:G96,"Y")/COUNTA(G$5:G96)</f>
        <v/>
      </c>
      <c r="J96" s="37">
        <f>COUNTIF(H$5:H96,"Y")/COUNTA(H$5:H96)</f>
        <v/>
      </c>
      <c r="K96" s="37">
        <f>AVERAGE(F$5:F96)</f>
        <v/>
      </c>
      <c r="L96" s="37">
        <f>SUM(F$5:F96)/SUM(E$5:E96)</f>
        <v/>
      </c>
    </row>
    <row r="97">
      <c r="A97" s="29" t="n">
        <v>45631</v>
      </c>
      <c r="B97" s="37" t="inlineStr">
        <is>
          <t>JOB-1093</t>
        </is>
      </c>
      <c r="C97" s="34" t="n">
        <v>1</v>
      </c>
      <c r="D97" s="37" t="inlineStr">
        <is>
          <t>Tech B</t>
        </is>
      </c>
      <c r="E97" s="35" t="n">
        <v>2.3</v>
      </c>
      <c r="F97" s="35" t="n">
        <v>1.5</v>
      </c>
      <c r="G97" s="37" t="inlineStr">
        <is>
          <t>N</t>
        </is>
      </c>
      <c r="H97" s="37" t="inlineStr">
        <is>
          <t>N</t>
        </is>
      </c>
      <c r="I97" s="37">
        <f>COUNTIF(G$5:G97,"Y")/COUNTA(G$5:G97)</f>
        <v/>
      </c>
      <c r="J97" s="37">
        <f>COUNTIF(H$5:H97,"Y")/COUNTA(H$5:H97)</f>
        <v/>
      </c>
      <c r="K97" s="37">
        <f>AVERAGE(F$5:F97)</f>
        <v/>
      </c>
      <c r="L97" s="37">
        <f>SUM(F$5:F97)/SUM(E$5:E97)</f>
        <v/>
      </c>
    </row>
    <row r="98">
      <c r="A98" s="29" t="n">
        <v>45632</v>
      </c>
      <c r="B98" s="37" t="inlineStr">
        <is>
          <t>JOB-1094</t>
        </is>
      </c>
      <c r="C98" s="34" t="n">
        <v>1</v>
      </c>
      <c r="D98" s="37" t="inlineStr">
        <is>
          <t>Tech B</t>
        </is>
      </c>
      <c r="E98" s="35" t="n">
        <v>4.6</v>
      </c>
      <c r="F98" s="35" t="n">
        <v>3.7</v>
      </c>
      <c r="G98" s="37" t="inlineStr">
        <is>
          <t>Y</t>
        </is>
      </c>
      <c r="H98" s="37" t="inlineStr">
        <is>
          <t>N</t>
        </is>
      </c>
      <c r="I98" s="37">
        <f>COUNTIF(G$5:G98,"Y")/COUNTA(G$5:G98)</f>
        <v/>
      </c>
      <c r="J98" s="37">
        <f>COUNTIF(H$5:H98,"Y")/COUNTA(H$5:H98)</f>
        <v/>
      </c>
      <c r="K98" s="37">
        <f>AVERAGE(F$5:F98)</f>
        <v/>
      </c>
      <c r="L98" s="37">
        <f>SUM(F$5:F98)/SUM(E$5:E98)</f>
        <v/>
      </c>
    </row>
    <row r="99">
      <c r="A99" s="29" t="n">
        <v>45628</v>
      </c>
      <c r="B99" s="37" t="inlineStr">
        <is>
          <t>JOB-1095</t>
        </is>
      </c>
      <c r="C99" s="34" t="n">
        <v>1</v>
      </c>
      <c r="D99" s="37" t="inlineStr">
        <is>
          <t>Tech H</t>
        </is>
      </c>
      <c r="E99" s="35" t="n">
        <v>4.8</v>
      </c>
      <c r="F99" s="35" t="n">
        <v>3.6</v>
      </c>
      <c r="G99" s="37" t="inlineStr">
        <is>
          <t>N</t>
        </is>
      </c>
      <c r="H99" s="37" t="inlineStr">
        <is>
          <t>N</t>
        </is>
      </c>
      <c r="I99" s="37">
        <f>COUNTIF(G$5:G99,"Y")/COUNTA(G$5:G99)</f>
        <v/>
      </c>
      <c r="J99" s="37">
        <f>COUNTIF(H$5:H99,"Y")/COUNTA(H$5:H99)</f>
        <v/>
      </c>
      <c r="K99" s="37">
        <f>AVERAGE(F$5:F99)</f>
        <v/>
      </c>
      <c r="L99" s="37">
        <f>SUM(F$5:F99)/SUM(E$5:E99)</f>
        <v/>
      </c>
    </row>
    <row r="100">
      <c r="A100" s="29" t="n">
        <v>45629</v>
      </c>
      <c r="B100" s="37" t="inlineStr">
        <is>
          <t>JOB-1096</t>
        </is>
      </c>
      <c r="C100" s="34" t="n">
        <v>1</v>
      </c>
      <c r="D100" s="37" t="inlineStr">
        <is>
          <t>Tech H</t>
        </is>
      </c>
      <c r="E100" s="35" t="n">
        <v>3.1</v>
      </c>
      <c r="F100" s="35" t="n">
        <v>2.1</v>
      </c>
      <c r="G100" s="37" t="inlineStr">
        <is>
          <t>Y</t>
        </is>
      </c>
      <c r="H100" s="37" t="inlineStr">
        <is>
          <t>N</t>
        </is>
      </c>
      <c r="I100" s="37">
        <f>COUNTIF(G$5:G100,"Y")/COUNTA(G$5:G100)</f>
        <v/>
      </c>
      <c r="J100" s="37">
        <f>COUNTIF(H$5:H100,"Y")/COUNTA(H$5:H100)</f>
        <v/>
      </c>
      <c r="K100" s="37">
        <f>AVERAGE(F$5:F100)</f>
        <v/>
      </c>
      <c r="L100" s="37">
        <f>SUM(F$5:F100)/SUM(E$5:E100)</f>
        <v/>
      </c>
    </row>
    <row r="101">
      <c r="A101" s="29" t="n">
        <v>45630</v>
      </c>
      <c r="B101" s="37" t="inlineStr">
        <is>
          <t>JOB-1097</t>
        </is>
      </c>
      <c r="C101" s="34" t="n">
        <v>1</v>
      </c>
      <c r="D101" s="37" t="inlineStr">
        <is>
          <t>Tech A</t>
        </is>
      </c>
      <c r="E101" s="35" t="n">
        <v>2.1</v>
      </c>
      <c r="F101" s="35" t="n">
        <v>1.8</v>
      </c>
      <c r="G101" s="37" t="inlineStr">
        <is>
          <t>Y</t>
        </is>
      </c>
      <c r="H101" s="37" t="inlineStr">
        <is>
          <t>N</t>
        </is>
      </c>
      <c r="I101" s="37">
        <f>COUNTIF(G$5:G101,"Y")/COUNTA(G$5:G101)</f>
        <v/>
      </c>
      <c r="J101" s="37">
        <f>COUNTIF(H$5:H101,"Y")/COUNTA(H$5:H101)</f>
        <v/>
      </c>
      <c r="K101" s="37">
        <f>AVERAGE(F$5:F101)</f>
        <v/>
      </c>
      <c r="L101" s="37">
        <f>SUM(F$5:F101)/SUM(E$5:E101)</f>
        <v/>
      </c>
    </row>
    <row r="102">
      <c r="A102" s="29" t="n">
        <v>45631</v>
      </c>
      <c r="B102" s="37" t="inlineStr">
        <is>
          <t>JOB-1098</t>
        </is>
      </c>
      <c r="C102" s="34" t="n">
        <v>1</v>
      </c>
      <c r="D102" s="37" t="inlineStr">
        <is>
          <t>Tech G</t>
        </is>
      </c>
      <c r="E102" s="35" t="n">
        <v>2.2</v>
      </c>
      <c r="F102" s="35" t="n">
        <v>1.7</v>
      </c>
      <c r="G102" s="37" t="inlineStr">
        <is>
          <t>Y</t>
        </is>
      </c>
      <c r="H102" s="37" t="inlineStr">
        <is>
          <t>N</t>
        </is>
      </c>
      <c r="I102" s="37">
        <f>COUNTIF(G$5:G102,"Y")/COUNTA(G$5:G102)</f>
        <v/>
      </c>
      <c r="J102" s="37">
        <f>COUNTIF(H$5:H102,"Y")/COUNTA(H$5:H102)</f>
        <v/>
      </c>
      <c r="K102" s="37">
        <f>AVERAGE(F$5:F102)</f>
        <v/>
      </c>
      <c r="L102" s="37">
        <f>SUM(F$5:F102)/SUM(E$5:E102)</f>
        <v/>
      </c>
    </row>
    <row r="103">
      <c r="A103" s="29" t="n">
        <v>45632</v>
      </c>
      <c r="B103" s="37" t="inlineStr">
        <is>
          <t>JOB-1099</t>
        </is>
      </c>
      <c r="C103" s="34" t="n">
        <v>1</v>
      </c>
      <c r="D103" s="37" t="inlineStr">
        <is>
          <t>Tech G</t>
        </is>
      </c>
      <c r="E103" s="35" t="n">
        <v>5.7</v>
      </c>
      <c r="F103" s="35" t="n">
        <v>3.7</v>
      </c>
      <c r="G103" s="37" t="inlineStr">
        <is>
          <t>Y</t>
        </is>
      </c>
      <c r="H103" s="37" t="inlineStr">
        <is>
          <t>N</t>
        </is>
      </c>
      <c r="I103" s="37">
        <f>COUNTIF(G$5:G103,"Y")/COUNTA(G$5:G103)</f>
        <v/>
      </c>
      <c r="J103" s="37">
        <f>COUNTIF(H$5:H103,"Y")/COUNTA(H$5:H103)</f>
        <v/>
      </c>
      <c r="K103" s="37">
        <f>AVERAGE(F$5:F103)</f>
        <v/>
      </c>
      <c r="L103" s="37">
        <f>SUM(F$5:F103)/SUM(E$5:E103)</f>
        <v/>
      </c>
    </row>
    <row r="104">
      <c r="A104" s="29" t="n">
        <v>45628</v>
      </c>
      <c r="B104" s="37" t="inlineStr">
        <is>
          <t>JOB-1100</t>
        </is>
      </c>
      <c r="C104" s="34" t="n">
        <v>1</v>
      </c>
      <c r="D104" s="37" t="inlineStr">
        <is>
          <t>Tech G</t>
        </is>
      </c>
      <c r="E104" s="35" t="n">
        <v>1.5</v>
      </c>
      <c r="F104" s="35" t="n">
        <v>1.6</v>
      </c>
      <c r="G104" s="37" t="inlineStr">
        <is>
          <t>Y</t>
        </is>
      </c>
      <c r="H104" s="37" t="inlineStr">
        <is>
          <t>N</t>
        </is>
      </c>
      <c r="I104" s="37">
        <f>COUNTIF(G$5:G104,"Y")/COUNTA(G$5:G104)</f>
        <v/>
      </c>
      <c r="J104" s="37">
        <f>COUNTIF(H$5:H104,"Y")/COUNTA(H$5:H104)</f>
        <v/>
      </c>
      <c r="K104" s="37">
        <f>AVERAGE(F$5:F104)</f>
        <v/>
      </c>
      <c r="L104" s="37">
        <f>SUM(F$5:F104)/SUM(E$5:E104)</f>
        <v/>
      </c>
    </row>
    <row r="105">
      <c r="A105" s="29" t="n">
        <v>45629</v>
      </c>
      <c r="B105" s="37" t="inlineStr">
        <is>
          <t>JOB-1101</t>
        </is>
      </c>
      <c r="C105" s="34" t="n">
        <v>1</v>
      </c>
      <c r="D105" s="37" t="inlineStr">
        <is>
          <t>Tech A</t>
        </is>
      </c>
      <c r="E105" s="35" t="n">
        <v>0.5</v>
      </c>
      <c r="F105" s="35" t="n">
        <v>0.5</v>
      </c>
      <c r="G105" s="37" t="inlineStr">
        <is>
          <t>Y</t>
        </is>
      </c>
      <c r="H105" s="37" t="inlineStr">
        <is>
          <t>N</t>
        </is>
      </c>
      <c r="I105" s="37">
        <f>COUNTIF(G$5:G105,"Y")/COUNTA(G$5:G105)</f>
        <v/>
      </c>
      <c r="J105" s="37">
        <f>COUNTIF(H$5:H105,"Y")/COUNTA(H$5:H105)</f>
        <v/>
      </c>
      <c r="K105" s="37">
        <f>AVERAGE(F$5:F105)</f>
        <v/>
      </c>
      <c r="L105" s="37">
        <f>SUM(F$5:F105)/SUM(E$5:E105)</f>
        <v/>
      </c>
    </row>
    <row r="106">
      <c r="A106" s="29" t="n">
        <v>45630</v>
      </c>
      <c r="B106" s="37" t="inlineStr">
        <is>
          <t>JOB-1102</t>
        </is>
      </c>
      <c r="C106" s="34" t="n">
        <v>1</v>
      </c>
      <c r="D106" s="37" t="inlineStr">
        <is>
          <t>Tech G</t>
        </is>
      </c>
      <c r="E106" s="35" t="n">
        <v>0.5</v>
      </c>
      <c r="F106" s="35" t="n">
        <v>0.5</v>
      </c>
      <c r="G106" s="37" t="inlineStr">
        <is>
          <t>Y</t>
        </is>
      </c>
      <c r="H106" s="37" t="inlineStr">
        <is>
          <t>Y</t>
        </is>
      </c>
      <c r="I106" s="37">
        <f>COUNTIF(G$5:G106,"Y")/COUNTA(G$5:G106)</f>
        <v/>
      </c>
      <c r="J106" s="37">
        <f>COUNTIF(H$5:H106,"Y")/COUNTA(H$5:H106)</f>
        <v/>
      </c>
      <c r="K106" s="37">
        <f>AVERAGE(F$5:F106)</f>
        <v/>
      </c>
      <c r="L106" s="37">
        <f>SUM(F$5:F106)/SUM(E$5:E106)</f>
        <v/>
      </c>
    </row>
    <row r="107">
      <c r="A107" s="29" t="n">
        <v>45631</v>
      </c>
      <c r="B107" s="37" t="inlineStr">
        <is>
          <t>JOB-1103</t>
        </is>
      </c>
      <c r="C107" s="34" t="n">
        <v>1</v>
      </c>
      <c r="D107" s="37" t="inlineStr">
        <is>
          <t>Tech D</t>
        </is>
      </c>
      <c r="E107" s="35" t="n">
        <v>0.5</v>
      </c>
      <c r="F107" s="35" t="n">
        <v>0.5</v>
      </c>
      <c r="G107" s="37" t="inlineStr">
        <is>
          <t>Y</t>
        </is>
      </c>
      <c r="H107" s="37" t="inlineStr">
        <is>
          <t>N</t>
        </is>
      </c>
      <c r="I107" s="37">
        <f>COUNTIF(G$5:G107,"Y")/COUNTA(G$5:G107)</f>
        <v/>
      </c>
      <c r="J107" s="37">
        <f>COUNTIF(H$5:H107,"Y")/COUNTA(H$5:H107)</f>
        <v/>
      </c>
      <c r="K107" s="37">
        <f>AVERAGE(F$5:F107)</f>
        <v/>
      </c>
      <c r="L107" s="37">
        <f>SUM(F$5:F107)/SUM(E$5:E107)</f>
        <v/>
      </c>
    </row>
    <row r="108">
      <c r="A108" s="29" t="n">
        <v>45632</v>
      </c>
      <c r="B108" s="37" t="inlineStr">
        <is>
          <t>JOB-1104</t>
        </is>
      </c>
      <c r="C108" s="34" t="n">
        <v>1</v>
      </c>
      <c r="D108" s="37" t="inlineStr">
        <is>
          <t>Tech B</t>
        </is>
      </c>
      <c r="E108" s="35" t="n">
        <v>0.5</v>
      </c>
      <c r="F108" s="35" t="n">
        <v>0.5</v>
      </c>
      <c r="G108" s="37" t="inlineStr">
        <is>
          <t>Y</t>
        </is>
      </c>
      <c r="H108" s="37" t="inlineStr">
        <is>
          <t>N</t>
        </is>
      </c>
      <c r="I108" s="37">
        <f>COUNTIF(G$5:G108,"Y")/COUNTA(G$5:G108)</f>
        <v/>
      </c>
      <c r="J108" s="37">
        <f>COUNTIF(H$5:H108,"Y")/COUNTA(H$5:H108)</f>
        <v/>
      </c>
      <c r="K108" s="37">
        <f>AVERAGE(F$5:F108)</f>
        <v/>
      </c>
      <c r="L108" s="37">
        <f>SUM(F$5:F108)/SUM(E$5:E108)</f>
        <v/>
      </c>
    </row>
    <row r="109">
      <c r="A109" s="29" t="n">
        <v>45628</v>
      </c>
      <c r="B109" s="37" t="inlineStr">
        <is>
          <t>JOB-1105</t>
        </is>
      </c>
      <c r="C109" s="34" t="n">
        <v>1</v>
      </c>
      <c r="D109" s="37" t="inlineStr">
        <is>
          <t>Tech B</t>
        </is>
      </c>
      <c r="E109" s="35" t="n">
        <v>0.5</v>
      </c>
      <c r="F109" s="35" t="n">
        <v>0.5</v>
      </c>
      <c r="G109" s="37" t="inlineStr">
        <is>
          <t>Y</t>
        </is>
      </c>
      <c r="H109" s="37" t="inlineStr">
        <is>
          <t>N</t>
        </is>
      </c>
      <c r="I109" s="37">
        <f>COUNTIF(G$5:G109,"Y")/COUNTA(G$5:G109)</f>
        <v/>
      </c>
      <c r="J109" s="37">
        <f>COUNTIF(H$5:H109,"Y")/COUNTA(H$5:H109)</f>
        <v/>
      </c>
      <c r="K109" s="37">
        <f>AVERAGE(F$5:F109)</f>
        <v/>
      </c>
      <c r="L109" s="37">
        <f>SUM(F$5:F109)/SUM(E$5:E109)</f>
        <v/>
      </c>
    </row>
    <row r="110">
      <c r="A110" s="29" t="n">
        <v>45629</v>
      </c>
      <c r="B110" s="37" t="inlineStr">
        <is>
          <t>JOB-1106</t>
        </is>
      </c>
      <c r="C110" s="34" t="n">
        <v>1</v>
      </c>
      <c r="D110" s="37" t="inlineStr">
        <is>
          <t>Tech G</t>
        </is>
      </c>
      <c r="E110" s="35" t="n">
        <v>0.5</v>
      </c>
      <c r="F110" s="35" t="n">
        <v>0.5</v>
      </c>
      <c r="G110" s="37" t="inlineStr">
        <is>
          <t>Y</t>
        </is>
      </c>
      <c r="H110" s="37" t="inlineStr">
        <is>
          <t>N</t>
        </is>
      </c>
      <c r="I110" s="37">
        <f>COUNTIF(G$5:G110,"Y")/COUNTA(G$5:G110)</f>
        <v/>
      </c>
      <c r="J110" s="37">
        <f>COUNTIF(H$5:H110,"Y")/COUNTA(H$5:H110)</f>
        <v/>
      </c>
      <c r="K110" s="37">
        <f>AVERAGE(F$5:F110)</f>
        <v/>
      </c>
      <c r="L110" s="37">
        <f>SUM(F$5:F110)/SUM(E$5:E110)</f>
        <v/>
      </c>
    </row>
    <row r="111">
      <c r="A111" s="29" t="n">
        <v>45630</v>
      </c>
      <c r="B111" s="37" t="inlineStr">
        <is>
          <t>JOB-1107</t>
        </is>
      </c>
      <c r="C111" s="34" t="n">
        <v>1</v>
      </c>
      <c r="D111" s="37" t="inlineStr">
        <is>
          <t>Tech H</t>
        </is>
      </c>
      <c r="E111" s="35" t="n">
        <v>0.5</v>
      </c>
      <c r="F111" s="35" t="n">
        <v>0.5</v>
      </c>
      <c r="G111" s="37" t="inlineStr">
        <is>
          <t>Y</t>
        </is>
      </c>
      <c r="H111" s="37" t="inlineStr">
        <is>
          <t>N</t>
        </is>
      </c>
      <c r="I111" s="37">
        <f>COUNTIF(G$5:G111,"Y")/COUNTA(G$5:G111)</f>
        <v/>
      </c>
      <c r="J111" s="37">
        <f>COUNTIF(H$5:H111,"Y")/COUNTA(H$5:H111)</f>
        <v/>
      </c>
      <c r="K111" s="37">
        <f>AVERAGE(F$5:F111)</f>
        <v/>
      </c>
      <c r="L111" s="37">
        <f>SUM(F$5:F111)/SUM(E$5:E111)</f>
        <v/>
      </c>
    </row>
    <row r="112">
      <c r="A112" s="29" t="n">
        <v>45631</v>
      </c>
      <c r="B112" s="37" t="inlineStr">
        <is>
          <t>JOB-1108</t>
        </is>
      </c>
      <c r="C112" s="34" t="n">
        <v>1</v>
      </c>
      <c r="D112" s="37" t="inlineStr">
        <is>
          <t>Tech F</t>
        </is>
      </c>
      <c r="E112" s="35" t="n">
        <v>0.5</v>
      </c>
      <c r="F112" s="35" t="n">
        <v>0.5</v>
      </c>
      <c r="G112" s="37" t="inlineStr">
        <is>
          <t>N</t>
        </is>
      </c>
      <c r="H112" s="37" t="inlineStr">
        <is>
          <t>N</t>
        </is>
      </c>
      <c r="I112" s="37">
        <f>COUNTIF(G$5:G112,"Y")/COUNTA(G$5:G112)</f>
        <v/>
      </c>
      <c r="J112" s="37">
        <f>COUNTIF(H$5:H112,"Y")/COUNTA(H$5:H112)</f>
        <v/>
      </c>
      <c r="K112" s="37">
        <f>AVERAGE(F$5:F112)</f>
        <v/>
      </c>
      <c r="L112" s="37">
        <f>SUM(F$5:F112)/SUM(E$5:E112)</f>
        <v/>
      </c>
      <c r="M112" s="37" t="n">
        <v>18</v>
      </c>
    </row>
    <row r="113">
      <c r="A113" s="29" t="n">
        <v>45635</v>
      </c>
      <c r="B113" s="37" t="inlineStr">
        <is>
          <t>JOB-1109</t>
        </is>
      </c>
      <c r="C113" s="34" t="n">
        <v>1</v>
      </c>
      <c r="D113" s="37" t="inlineStr">
        <is>
          <t>Tech G</t>
        </is>
      </c>
      <c r="E113" s="35" t="n">
        <v>3.4</v>
      </c>
      <c r="F113" s="35" t="n">
        <v>2.4</v>
      </c>
      <c r="G113" s="37" t="inlineStr">
        <is>
          <t>Y</t>
        </is>
      </c>
      <c r="H113" s="37" t="inlineStr">
        <is>
          <t>N</t>
        </is>
      </c>
      <c r="I113" s="37">
        <f>COUNTIF(G$5:G113,"Y")/COUNTA(G$5:G113)</f>
        <v/>
      </c>
      <c r="J113" s="37">
        <f>COUNTIF(H$5:H113,"Y")/COUNTA(H$5:H113)</f>
        <v/>
      </c>
      <c r="K113" s="37">
        <f>AVERAGE(F$5:F113)</f>
        <v/>
      </c>
      <c r="L113" s="37">
        <f>SUM(F$5:F113)/SUM(E$5:E113)</f>
        <v/>
      </c>
    </row>
    <row r="114">
      <c r="A114" s="29" t="n">
        <v>45636</v>
      </c>
      <c r="B114" s="37" t="inlineStr">
        <is>
          <t>JOB-1110</t>
        </is>
      </c>
      <c r="C114" s="34" t="n">
        <v>1</v>
      </c>
      <c r="D114" s="37" t="inlineStr">
        <is>
          <t>Tech C</t>
        </is>
      </c>
      <c r="E114" s="35" t="n">
        <v>4.6</v>
      </c>
      <c r="F114" s="35" t="n">
        <v>3.7</v>
      </c>
      <c r="G114" s="37" t="inlineStr">
        <is>
          <t>Y</t>
        </is>
      </c>
      <c r="H114" s="37" t="inlineStr">
        <is>
          <t>N</t>
        </is>
      </c>
      <c r="I114" s="37">
        <f>COUNTIF(G$5:G114,"Y")/COUNTA(G$5:G114)</f>
        <v/>
      </c>
      <c r="J114" s="37">
        <f>COUNTIF(H$5:H114,"Y")/COUNTA(H$5:H114)</f>
        <v/>
      </c>
      <c r="K114" s="37">
        <f>AVERAGE(F$5:F114)</f>
        <v/>
      </c>
      <c r="L114" s="37">
        <f>SUM(F$5:F114)/SUM(E$5:E114)</f>
        <v/>
      </c>
    </row>
    <row r="115">
      <c r="A115" s="29" t="n">
        <v>45637</v>
      </c>
      <c r="B115" s="37" t="inlineStr">
        <is>
          <t>JOB-1111</t>
        </is>
      </c>
      <c r="C115" s="34" t="n">
        <v>1</v>
      </c>
      <c r="D115" s="37" t="inlineStr">
        <is>
          <t>Tech B</t>
        </is>
      </c>
      <c r="E115" s="35" t="n">
        <v>2.1</v>
      </c>
      <c r="F115" s="35" t="n">
        <v>1.5</v>
      </c>
      <c r="G115" s="37" t="inlineStr">
        <is>
          <t>Y</t>
        </is>
      </c>
      <c r="H115" s="37" t="inlineStr">
        <is>
          <t>N</t>
        </is>
      </c>
      <c r="I115" s="37">
        <f>COUNTIF(G$5:G115,"Y")/COUNTA(G$5:G115)</f>
        <v/>
      </c>
      <c r="J115" s="37">
        <f>COUNTIF(H$5:H115,"Y")/COUNTA(H$5:H115)</f>
        <v/>
      </c>
      <c r="K115" s="37">
        <f>AVERAGE(F$5:F115)</f>
        <v/>
      </c>
      <c r="L115" s="37">
        <f>SUM(F$5:F115)/SUM(E$5:E115)</f>
        <v/>
      </c>
    </row>
    <row r="116">
      <c r="A116" s="29" t="n">
        <v>45638</v>
      </c>
      <c r="B116" s="37" t="inlineStr">
        <is>
          <t>JOB-1112</t>
        </is>
      </c>
      <c r="C116" s="34" t="n">
        <v>1</v>
      </c>
      <c r="D116" s="37" t="inlineStr">
        <is>
          <t>Tech F</t>
        </is>
      </c>
      <c r="E116" s="35" t="n">
        <v>3.7</v>
      </c>
      <c r="F116" s="35" t="n">
        <v>2.6</v>
      </c>
      <c r="G116" s="37" t="inlineStr">
        <is>
          <t>Y</t>
        </is>
      </c>
      <c r="H116" s="37" t="inlineStr">
        <is>
          <t>N</t>
        </is>
      </c>
      <c r="I116" s="37">
        <f>COUNTIF(G$5:G116,"Y")/COUNTA(G$5:G116)</f>
        <v/>
      </c>
      <c r="J116" s="37">
        <f>COUNTIF(H$5:H116,"Y")/COUNTA(H$5:H116)</f>
        <v/>
      </c>
      <c r="K116" s="37">
        <f>AVERAGE(F$5:F116)</f>
        <v/>
      </c>
      <c r="L116" s="37">
        <f>SUM(F$5:F116)/SUM(E$5:E116)</f>
        <v/>
      </c>
    </row>
    <row r="117">
      <c r="A117" s="29" t="n">
        <v>45639</v>
      </c>
      <c r="B117" s="37" t="inlineStr">
        <is>
          <t>JOB-1113</t>
        </is>
      </c>
      <c r="C117" s="34" t="n">
        <v>1</v>
      </c>
      <c r="D117" s="37" t="inlineStr">
        <is>
          <t>Tech F</t>
        </is>
      </c>
      <c r="E117" s="35" t="n">
        <v>3</v>
      </c>
      <c r="F117" s="35" t="n">
        <v>2</v>
      </c>
      <c r="G117" s="37" t="inlineStr">
        <is>
          <t>Y</t>
        </is>
      </c>
      <c r="H117" s="37" t="inlineStr">
        <is>
          <t>N</t>
        </is>
      </c>
      <c r="I117" s="37">
        <f>COUNTIF(G$5:G117,"Y")/COUNTA(G$5:G117)</f>
        <v/>
      </c>
      <c r="J117" s="37">
        <f>COUNTIF(H$5:H117,"Y")/COUNTA(H$5:H117)</f>
        <v/>
      </c>
      <c r="K117" s="37">
        <f>AVERAGE(F$5:F117)</f>
        <v/>
      </c>
      <c r="L117" s="37">
        <f>SUM(F$5:F117)/SUM(E$5:E117)</f>
        <v/>
      </c>
    </row>
    <row r="118">
      <c r="A118" s="29" t="n">
        <v>45635</v>
      </c>
      <c r="B118" s="37" t="inlineStr">
        <is>
          <t>JOB-1114</t>
        </is>
      </c>
      <c r="C118" s="34" t="n">
        <v>1</v>
      </c>
      <c r="D118" s="37" t="inlineStr">
        <is>
          <t>Tech H</t>
        </is>
      </c>
      <c r="E118" s="35" t="n">
        <v>3.7</v>
      </c>
      <c r="F118" s="35" t="n">
        <v>2.4</v>
      </c>
      <c r="G118" s="37" t="inlineStr">
        <is>
          <t>Y</t>
        </is>
      </c>
      <c r="H118" s="37" t="inlineStr">
        <is>
          <t>N</t>
        </is>
      </c>
      <c r="I118" s="37">
        <f>COUNTIF(G$5:G118,"Y")/COUNTA(G$5:G118)</f>
        <v/>
      </c>
      <c r="J118" s="37">
        <f>COUNTIF(H$5:H118,"Y")/COUNTA(H$5:H118)</f>
        <v/>
      </c>
      <c r="K118" s="37">
        <f>AVERAGE(F$5:F118)</f>
        <v/>
      </c>
      <c r="L118" s="37">
        <f>SUM(F$5:F118)/SUM(E$5:E118)</f>
        <v/>
      </c>
    </row>
    <row r="119">
      <c r="A119" s="29" t="n">
        <v>45636</v>
      </c>
      <c r="B119" s="37" t="inlineStr">
        <is>
          <t>JOB-1115</t>
        </is>
      </c>
      <c r="C119" s="34" t="n">
        <v>1</v>
      </c>
      <c r="D119" s="37" t="inlineStr">
        <is>
          <t>Tech H</t>
        </is>
      </c>
      <c r="E119" s="35" t="n">
        <v>5</v>
      </c>
      <c r="F119" s="35" t="n">
        <v>3.7</v>
      </c>
      <c r="G119" s="37" t="inlineStr">
        <is>
          <t>Y</t>
        </is>
      </c>
      <c r="H119" s="37" t="inlineStr">
        <is>
          <t>N</t>
        </is>
      </c>
      <c r="I119" s="37">
        <f>COUNTIF(G$5:G119,"Y")/COUNTA(G$5:G119)</f>
        <v/>
      </c>
      <c r="J119" s="37">
        <f>COUNTIF(H$5:H119,"Y")/COUNTA(H$5:H119)</f>
        <v/>
      </c>
      <c r="K119" s="37">
        <f>AVERAGE(F$5:F119)</f>
        <v/>
      </c>
      <c r="L119" s="37">
        <f>SUM(F$5:F119)/SUM(E$5:E119)</f>
        <v/>
      </c>
    </row>
    <row r="120">
      <c r="A120" s="29" t="n">
        <v>45637</v>
      </c>
      <c r="B120" s="37" t="inlineStr">
        <is>
          <t>JOB-1116</t>
        </is>
      </c>
      <c r="C120" s="34" t="n">
        <v>1</v>
      </c>
      <c r="D120" s="37" t="inlineStr">
        <is>
          <t>Tech A</t>
        </is>
      </c>
      <c r="E120" s="35" t="n">
        <v>5.1</v>
      </c>
      <c r="F120" s="35" t="n">
        <v>3.7</v>
      </c>
      <c r="G120" s="37" t="inlineStr">
        <is>
          <t>N</t>
        </is>
      </c>
      <c r="H120" s="37" t="inlineStr">
        <is>
          <t>N</t>
        </is>
      </c>
      <c r="I120" s="37">
        <f>COUNTIF(G$5:G120,"Y")/COUNTA(G$5:G120)</f>
        <v/>
      </c>
      <c r="J120" s="37">
        <f>COUNTIF(H$5:H120,"Y")/COUNTA(H$5:H120)</f>
        <v/>
      </c>
      <c r="K120" s="37">
        <f>AVERAGE(F$5:F120)</f>
        <v/>
      </c>
      <c r="L120" s="37">
        <f>SUM(F$5:F120)/SUM(E$5:E120)</f>
        <v/>
      </c>
    </row>
    <row r="121">
      <c r="A121" s="29" t="n">
        <v>45638</v>
      </c>
      <c r="B121" s="37" t="inlineStr">
        <is>
          <t>JOB-1117</t>
        </is>
      </c>
      <c r="C121" s="34" t="n">
        <v>1</v>
      </c>
      <c r="D121" s="37" t="inlineStr">
        <is>
          <t>Tech G</t>
        </is>
      </c>
      <c r="E121" s="35" t="n">
        <v>2.5</v>
      </c>
      <c r="F121" s="35" t="n">
        <v>1.6</v>
      </c>
      <c r="G121" s="37" t="inlineStr">
        <is>
          <t>Y</t>
        </is>
      </c>
      <c r="H121" s="37" t="inlineStr">
        <is>
          <t>N</t>
        </is>
      </c>
      <c r="I121" s="37">
        <f>COUNTIF(G$5:G121,"Y")/COUNTA(G$5:G121)</f>
        <v/>
      </c>
      <c r="J121" s="37">
        <f>COUNTIF(H$5:H121,"Y")/COUNTA(H$5:H121)</f>
        <v/>
      </c>
      <c r="K121" s="37">
        <f>AVERAGE(F$5:F121)</f>
        <v/>
      </c>
      <c r="L121" s="37">
        <f>SUM(F$5:F121)/SUM(E$5:E121)</f>
        <v/>
      </c>
    </row>
    <row r="122">
      <c r="A122" s="29" t="n">
        <v>45639</v>
      </c>
      <c r="B122" s="37" t="inlineStr">
        <is>
          <t>JOB-1118</t>
        </is>
      </c>
      <c r="C122" s="34" t="n">
        <v>1</v>
      </c>
      <c r="D122" s="37" t="inlineStr">
        <is>
          <t>Tech G</t>
        </is>
      </c>
      <c r="E122" s="35" t="n">
        <v>3.6</v>
      </c>
      <c r="F122" s="35" t="n">
        <v>2.4</v>
      </c>
      <c r="G122" s="37" t="inlineStr">
        <is>
          <t>N</t>
        </is>
      </c>
      <c r="H122" s="37" t="inlineStr">
        <is>
          <t>N</t>
        </is>
      </c>
      <c r="I122" s="37">
        <f>COUNTIF(G$5:G122,"Y")/COUNTA(G$5:G122)</f>
        <v/>
      </c>
      <c r="J122" s="37">
        <f>COUNTIF(H$5:H122,"Y")/COUNTA(H$5:H122)</f>
        <v/>
      </c>
      <c r="K122" s="37">
        <f>AVERAGE(F$5:F122)</f>
        <v/>
      </c>
      <c r="L122" s="37">
        <f>SUM(F$5:F122)/SUM(E$5:E122)</f>
        <v/>
      </c>
    </row>
    <row r="123">
      <c r="A123" s="29" t="n">
        <v>45635</v>
      </c>
      <c r="B123" s="37" t="inlineStr">
        <is>
          <t>JOB-1119</t>
        </is>
      </c>
      <c r="C123" s="34" t="n">
        <v>1</v>
      </c>
      <c r="D123" s="37" t="inlineStr">
        <is>
          <t>Tech B</t>
        </is>
      </c>
      <c r="E123" s="35" t="n">
        <v>4.5</v>
      </c>
      <c r="F123" s="35" t="n">
        <v>3.5</v>
      </c>
      <c r="G123" s="37" t="inlineStr">
        <is>
          <t>N</t>
        </is>
      </c>
      <c r="H123" s="37" t="inlineStr">
        <is>
          <t>N</t>
        </is>
      </c>
      <c r="I123" s="37">
        <f>COUNTIF(G$5:G123,"Y")/COUNTA(G$5:G123)</f>
        <v/>
      </c>
      <c r="J123" s="37">
        <f>COUNTIF(H$5:H123,"Y")/COUNTA(H$5:H123)</f>
        <v/>
      </c>
      <c r="K123" s="37">
        <f>AVERAGE(F$5:F123)</f>
        <v/>
      </c>
      <c r="L123" s="37">
        <f>SUM(F$5:F123)/SUM(E$5:E123)</f>
        <v/>
      </c>
    </row>
    <row r="124">
      <c r="A124" s="29" t="n">
        <v>45636</v>
      </c>
      <c r="B124" s="37" t="inlineStr">
        <is>
          <t>JOB-1120</t>
        </is>
      </c>
      <c r="C124" s="34" t="n">
        <v>1</v>
      </c>
      <c r="D124" s="37" t="inlineStr">
        <is>
          <t>Tech C</t>
        </is>
      </c>
      <c r="E124" s="35" t="n">
        <v>4.6</v>
      </c>
      <c r="F124" s="35" t="n">
        <v>3.3</v>
      </c>
      <c r="G124" s="37" t="inlineStr">
        <is>
          <t>Y</t>
        </is>
      </c>
      <c r="H124" s="37" t="inlineStr">
        <is>
          <t>N</t>
        </is>
      </c>
      <c r="I124" s="37">
        <f>COUNTIF(G$5:G124,"Y")/COUNTA(G$5:G124)</f>
        <v/>
      </c>
      <c r="J124" s="37">
        <f>COUNTIF(H$5:H124,"Y")/COUNTA(H$5:H124)</f>
        <v/>
      </c>
      <c r="K124" s="37">
        <f>AVERAGE(F$5:F124)</f>
        <v/>
      </c>
      <c r="L124" s="37">
        <f>SUM(F$5:F124)/SUM(E$5:E124)</f>
        <v/>
      </c>
    </row>
    <row r="125">
      <c r="A125" s="29" t="n">
        <v>45637</v>
      </c>
      <c r="B125" s="37" t="inlineStr">
        <is>
          <t>JOB-1121</t>
        </is>
      </c>
      <c r="C125" s="34" t="n">
        <v>1</v>
      </c>
      <c r="D125" s="37" t="inlineStr">
        <is>
          <t>Tech A</t>
        </is>
      </c>
      <c r="E125" s="35" t="n">
        <v>2.5</v>
      </c>
      <c r="F125" s="35" t="n">
        <v>1.8</v>
      </c>
      <c r="G125" s="37" t="inlineStr">
        <is>
          <t>Y</t>
        </is>
      </c>
      <c r="H125" s="37" t="inlineStr">
        <is>
          <t>N</t>
        </is>
      </c>
      <c r="I125" s="37">
        <f>COUNTIF(G$5:G125,"Y")/COUNTA(G$5:G125)</f>
        <v/>
      </c>
      <c r="J125" s="37">
        <f>COUNTIF(H$5:H125,"Y")/COUNTA(H$5:H125)</f>
        <v/>
      </c>
      <c r="K125" s="37">
        <f>AVERAGE(F$5:F125)</f>
        <v/>
      </c>
      <c r="L125" s="37">
        <f>SUM(F$5:F125)/SUM(E$5:E125)</f>
        <v/>
      </c>
    </row>
    <row r="126">
      <c r="A126" s="29" t="n">
        <v>45638</v>
      </c>
      <c r="B126" s="37" t="inlineStr">
        <is>
          <t>JOB-1122</t>
        </is>
      </c>
      <c r="C126" s="34" t="n">
        <v>1</v>
      </c>
      <c r="D126" s="37" t="inlineStr">
        <is>
          <t>Tech F</t>
        </is>
      </c>
      <c r="E126" s="35" t="n">
        <v>4</v>
      </c>
      <c r="F126" s="35" t="n">
        <v>3.1</v>
      </c>
      <c r="G126" s="37" t="inlineStr">
        <is>
          <t>Y</t>
        </is>
      </c>
      <c r="H126" s="37" t="inlineStr">
        <is>
          <t>N</t>
        </is>
      </c>
      <c r="I126" s="37">
        <f>COUNTIF(G$5:G126,"Y")/COUNTA(G$5:G126)</f>
        <v/>
      </c>
      <c r="J126" s="37">
        <f>COUNTIF(H$5:H126,"Y")/COUNTA(H$5:H126)</f>
        <v/>
      </c>
      <c r="K126" s="37">
        <f>AVERAGE(F$5:F126)</f>
        <v/>
      </c>
      <c r="L126" s="37">
        <f>SUM(F$5:F126)/SUM(E$5:E126)</f>
        <v/>
      </c>
    </row>
    <row r="127">
      <c r="A127" s="29" t="n">
        <v>45639</v>
      </c>
      <c r="B127" s="37" t="inlineStr">
        <is>
          <t>JOB-1123</t>
        </is>
      </c>
      <c r="C127" s="34" t="n">
        <v>1</v>
      </c>
      <c r="D127" s="37" t="inlineStr">
        <is>
          <t>Tech A</t>
        </is>
      </c>
      <c r="E127" s="35" t="n">
        <v>3.3</v>
      </c>
      <c r="F127" s="35" t="n">
        <v>2.1</v>
      </c>
      <c r="G127" s="37" t="inlineStr">
        <is>
          <t>Y</t>
        </is>
      </c>
      <c r="H127" s="37" t="inlineStr">
        <is>
          <t>N</t>
        </is>
      </c>
      <c r="I127" s="37">
        <f>COUNTIF(G$5:G127,"Y")/COUNTA(G$5:G127)</f>
        <v/>
      </c>
      <c r="J127" s="37">
        <f>COUNTIF(H$5:H127,"Y")/COUNTA(H$5:H127)</f>
        <v/>
      </c>
      <c r="K127" s="37">
        <f>AVERAGE(F$5:F127)</f>
        <v/>
      </c>
      <c r="L127" s="37">
        <f>SUM(F$5:F127)/SUM(E$5:E127)</f>
        <v/>
      </c>
    </row>
    <row r="128">
      <c r="A128" s="29" t="n">
        <v>45635</v>
      </c>
      <c r="B128" s="37" t="inlineStr">
        <is>
          <t>JOB-1124</t>
        </is>
      </c>
      <c r="C128" s="34" t="n">
        <v>1</v>
      </c>
      <c r="D128" s="37" t="inlineStr">
        <is>
          <t>Tech C</t>
        </is>
      </c>
      <c r="E128" s="35" t="n">
        <v>1.6</v>
      </c>
      <c r="F128" s="35" t="n">
        <v>1.3</v>
      </c>
      <c r="G128" s="37" t="inlineStr">
        <is>
          <t>Y</t>
        </is>
      </c>
      <c r="H128" s="37" t="inlineStr">
        <is>
          <t>N</t>
        </is>
      </c>
      <c r="I128" s="37">
        <f>COUNTIF(G$5:G128,"Y")/COUNTA(G$5:G128)</f>
        <v/>
      </c>
      <c r="J128" s="37">
        <f>COUNTIF(H$5:H128,"Y")/COUNTA(H$5:H128)</f>
        <v/>
      </c>
      <c r="K128" s="37">
        <f>AVERAGE(F$5:F128)</f>
        <v/>
      </c>
      <c r="L128" s="37">
        <f>SUM(F$5:F128)/SUM(E$5:E128)</f>
        <v/>
      </c>
    </row>
    <row r="129">
      <c r="A129" s="29" t="n">
        <v>45636</v>
      </c>
      <c r="B129" s="37" t="inlineStr">
        <is>
          <t>JOB-1125</t>
        </is>
      </c>
      <c r="C129" s="34" t="n">
        <v>1</v>
      </c>
      <c r="D129" s="37" t="inlineStr">
        <is>
          <t>Tech F</t>
        </is>
      </c>
      <c r="E129" s="35" t="n">
        <v>2.7</v>
      </c>
      <c r="F129" s="35" t="n">
        <v>2.2</v>
      </c>
      <c r="G129" s="37" t="inlineStr">
        <is>
          <t>Y</t>
        </is>
      </c>
      <c r="H129" s="37" t="inlineStr">
        <is>
          <t>N</t>
        </is>
      </c>
      <c r="I129" s="37">
        <f>COUNTIF(G$5:G129,"Y")/COUNTA(G$5:G129)</f>
        <v/>
      </c>
      <c r="J129" s="37">
        <f>COUNTIF(H$5:H129,"Y")/COUNTA(H$5:H129)</f>
        <v/>
      </c>
      <c r="K129" s="37">
        <f>AVERAGE(F$5:F129)</f>
        <v/>
      </c>
      <c r="L129" s="37">
        <f>SUM(F$5:F129)/SUM(E$5:E129)</f>
        <v/>
      </c>
    </row>
    <row r="130">
      <c r="A130" s="29" t="n">
        <v>45637</v>
      </c>
      <c r="B130" s="37" t="inlineStr">
        <is>
          <t>JOB-1126</t>
        </is>
      </c>
      <c r="C130" s="34" t="n">
        <v>1</v>
      </c>
      <c r="D130" s="37" t="inlineStr">
        <is>
          <t>Tech H</t>
        </is>
      </c>
      <c r="E130" s="35" t="n">
        <v>2.3</v>
      </c>
      <c r="F130" s="35" t="n">
        <v>1.7</v>
      </c>
      <c r="G130" s="37" t="inlineStr">
        <is>
          <t>Y</t>
        </is>
      </c>
      <c r="H130" s="37" t="inlineStr">
        <is>
          <t>N</t>
        </is>
      </c>
      <c r="I130" s="37">
        <f>COUNTIF(G$5:G130,"Y")/COUNTA(G$5:G130)</f>
        <v/>
      </c>
      <c r="J130" s="37">
        <f>COUNTIF(H$5:H130,"Y")/COUNTA(H$5:H130)</f>
        <v/>
      </c>
      <c r="K130" s="37">
        <f>AVERAGE(F$5:F130)</f>
        <v/>
      </c>
      <c r="L130" s="37">
        <f>SUM(F$5:F130)/SUM(E$5:E130)</f>
        <v/>
      </c>
    </row>
    <row r="131">
      <c r="A131" s="29" t="n">
        <v>45638</v>
      </c>
      <c r="B131" s="37" t="inlineStr">
        <is>
          <t>JOB-1127</t>
        </is>
      </c>
      <c r="C131" s="34" t="n">
        <v>1</v>
      </c>
      <c r="D131" s="37" t="inlineStr">
        <is>
          <t>Tech D</t>
        </is>
      </c>
      <c r="E131" s="35" t="n">
        <v>2.8</v>
      </c>
      <c r="F131" s="35" t="n">
        <v>2</v>
      </c>
      <c r="G131" s="37" t="inlineStr">
        <is>
          <t>Y</t>
        </is>
      </c>
      <c r="H131" s="37" t="inlineStr">
        <is>
          <t>N</t>
        </is>
      </c>
      <c r="I131" s="37">
        <f>COUNTIF(G$5:G131,"Y")/COUNTA(G$5:G131)</f>
        <v/>
      </c>
      <c r="J131" s="37">
        <f>COUNTIF(H$5:H131,"Y")/COUNTA(H$5:H131)</f>
        <v/>
      </c>
      <c r="K131" s="37">
        <f>AVERAGE(F$5:F131)</f>
        <v/>
      </c>
      <c r="L131" s="37">
        <f>SUM(F$5:F131)/SUM(E$5:E131)</f>
        <v/>
      </c>
    </row>
    <row r="132">
      <c r="A132" s="29" t="n">
        <v>45639</v>
      </c>
      <c r="B132" s="37" t="inlineStr">
        <is>
          <t>JOB-1128</t>
        </is>
      </c>
      <c r="C132" s="34" t="n">
        <v>1</v>
      </c>
      <c r="D132" s="37" t="inlineStr">
        <is>
          <t>Tech D</t>
        </is>
      </c>
      <c r="E132" s="35" t="n">
        <v>2</v>
      </c>
      <c r="F132" s="35" t="n">
        <v>1.3</v>
      </c>
      <c r="G132" s="37" t="inlineStr">
        <is>
          <t>N</t>
        </is>
      </c>
      <c r="H132" s="37" t="inlineStr">
        <is>
          <t>N</t>
        </is>
      </c>
      <c r="I132" s="37">
        <f>COUNTIF(G$5:G132,"Y")/COUNTA(G$5:G132)</f>
        <v/>
      </c>
      <c r="J132" s="37">
        <f>COUNTIF(H$5:H132,"Y")/COUNTA(H$5:H132)</f>
        <v/>
      </c>
      <c r="K132" s="37">
        <f>AVERAGE(F$5:F132)</f>
        <v/>
      </c>
      <c r="L132" s="37">
        <f>SUM(F$5:F132)/SUM(E$5:E132)</f>
        <v/>
      </c>
    </row>
    <row r="133">
      <c r="A133" s="29" t="n">
        <v>45635</v>
      </c>
      <c r="B133" s="37" t="inlineStr">
        <is>
          <t>JOB-1129</t>
        </is>
      </c>
      <c r="C133" s="34" t="n">
        <v>1</v>
      </c>
      <c r="D133" s="37" t="inlineStr">
        <is>
          <t>Tech H</t>
        </is>
      </c>
      <c r="E133" s="35" t="n">
        <v>3.3</v>
      </c>
      <c r="F133" s="35" t="n">
        <v>2.2</v>
      </c>
      <c r="G133" s="37" t="inlineStr">
        <is>
          <t>Y</t>
        </is>
      </c>
      <c r="H133" s="37" t="inlineStr">
        <is>
          <t>N</t>
        </is>
      </c>
      <c r="I133" s="37">
        <f>COUNTIF(G$5:G133,"Y")/COUNTA(G$5:G133)</f>
        <v/>
      </c>
      <c r="J133" s="37">
        <f>COUNTIF(H$5:H133,"Y")/COUNTA(H$5:H133)</f>
        <v/>
      </c>
      <c r="K133" s="37">
        <f>AVERAGE(F$5:F133)</f>
        <v/>
      </c>
      <c r="L133" s="37">
        <f>SUM(F$5:F133)/SUM(E$5:E133)</f>
        <v/>
      </c>
    </row>
    <row r="134">
      <c r="A134" s="29" t="n">
        <v>45636</v>
      </c>
      <c r="B134" s="37" t="inlineStr">
        <is>
          <t>JOB-1130</t>
        </is>
      </c>
      <c r="C134" s="34" t="n">
        <v>1</v>
      </c>
      <c r="D134" s="37" t="inlineStr">
        <is>
          <t>Tech B</t>
        </is>
      </c>
      <c r="E134" s="35" t="n">
        <v>4.5</v>
      </c>
      <c r="F134" s="35" t="n">
        <v>3.8</v>
      </c>
      <c r="G134" s="37" t="inlineStr">
        <is>
          <t>Y</t>
        </is>
      </c>
      <c r="H134" s="37" t="inlineStr">
        <is>
          <t>Y</t>
        </is>
      </c>
      <c r="I134" s="37">
        <f>COUNTIF(G$5:G134,"Y")/COUNTA(G$5:G134)</f>
        <v/>
      </c>
      <c r="J134" s="37">
        <f>COUNTIF(H$5:H134,"Y")/COUNTA(H$5:H134)</f>
        <v/>
      </c>
      <c r="K134" s="37">
        <f>AVERAGE(F$5:F134)</f>
        <v/>
      </c>
      <c r="L134" s="37">
        <f>SUM(F$5:F134)/SUM(E$5:E134)</f>
        <v/>
      </c>
    </row>
    <row r="135">
      <c r="A135" s="29" t="n">
        <v>45637</v>
      </c>
      <c r="B135" s="37" t="inlineStr">
        <is>
          <t>JOB-1131</t>
        </is>
      </c>
      <c r="C135" s="34" t="n">
        <v>1</v>
      </c>
      <c r="D135" s="37" t="inlineStr">
        <is>
          <t>Tech A</t>
        </is>
      </c>
      <c r="E135" s="35" t="n">
        <v>5.1</v>
      </c>
      <c r="F135" s="35" t="n">
        <v>3.6</v>
      </c>
      <c r="G135" s="37" t="inlineStr">
        <is>
          <t>Y</t>
        </is>
      </c>
      <c r="H135" s="37" t="inlineStr">
        <is>
          <t>N</t>
        </is>
      </c>
      <c r="I135" s="37">
        <f>COUNTIF(G$5:G135,"Y")/COUNTA(G$5:G135)</f>
        <v/>
      </c>
      <c r="J135" s="37">
        <f>COUNTIF(H$5:H135,"Y")/COUNTA(H$5:H135)</f>
        <v/>
      </c>
      <c r="K135" s="37">
        <f>AVERAGE(F$5:F135)</f>
        <v/>
      </c>
      <c r="L135" s="37">
        <f>SUM(F$5:F135)/SUM(E$5:E135)</f>
        <v/>
      </c>
    </row>
    <row r="136">
      <c r="A136" s="29" t="n">
        <v>45638</v>
      </c>
      <c r="B136" s="37" t="inlineStr">
        <is>
          <t>JOB-1132</t>
        </is>
      </c>
      <c r="C136" s="34" t="n">
        <v>1</v>
      </c>
      <c r="D136" s="37" t="inlineStr">
        <is>
          <t>Tech F</t>
        </is>
      </c>
      <c r="E136" s="35" t="n">
        <v>3.9</v>
      </c>
      <c r="F136" s="35" t="n">
        <v>2.5</v>
      </c>
      <c r="G136" s="37" t="inlineStr">
        <is>
          <t>Y</t>
        </is>
      </c>
      <c r="H136" s="37" t="inlineStr">
        <is>
          <t>Y</t>
        </is>
      </c>
      <c r="I136" s="37">
        <f>COUNTIF(G$5:G136,"Y")/COUNTA(G$5:G136)</f>
        <v/>
      </c>
      <c r="J136" s="37">
        <f>COUNTIF(H$5:H136,"Y")/COUNTA(H$5:H136)</f>
        <v/>
      </c>
      <c r="K136" s="37">
        <f>AVERAGE(F$5:F136)</f>
        <v/>
      </c>
      <c r="L136" s="37">
        <f>SUM(F$5:F136)/SUM(E$5:E136)</f>
        <v/>
      </c>
    </row>
    <row r="137">
      <c r="A137" s="29" t="n">
        <v>45639</v>
      </c>
      <c r="B137" s="37" t="inlineStr">
        <is>
          <t>JOB-1133</t>
        </is>
      </c>
      <c r="C137" s="34" t="n">
        <v>1</v>
      </c>
      <c r="D137" s="37" t="inlineStr">
        <is>
          <t>Tech H</t>
        </is>
      </c>
      <c r="E137" s="35" t="n">
        <v>2.7</v>
      </c>
      <c r="F137" s="35" t="n">
        <v>2</v>
      </c>
      <c r="G137" s="37" t="inlineStr">
        <is>
          <t>Y</t>
        </is>
      </c>
      <c r="H137" s="37" t="inlineStr">
        <is>
          <t>N</t>
        </is>
      </c>
      <c r="I137" s="37">
        <f>COUNTIF(G$5:G137,"Y")/COUNTA(G$5:G137)</f>
        <v/>
      </c>
      <c r="J137" s="37">
        <f>COUNTIF(H$5:H137,"Y")/COUNTA(H$5:H137)</f>
        <v/>
      </c>
      <c r="K137" s="37">
        <f>AVERAGE(F$5:F137)</f>
        <v/>
      </c>
      <c r="L137" s="37">
        <f>SUM(F$5:F137)/SUM(E$5:E137)</f>
        <v/>
      </c>
    </row>
    <row r="138">
      <c r="A138" s="29" t="n">
        <v>45635</v>
      </c>
      <c r="B138" s="37" t="inlineStr">
        <is>
          <t>JOB-1134</t>
        </is>
      </c>
      <c r="C138" s="34" t="n">
        <v>1</v>
      </c>
      <c r="D138" s="37" t="inlineStr">
        <is>
          <t>Tech G</t>
        </is>
      </c>
      <c r="E138" s="35" t="n">
        <v>5.1</v>
      </c>
      <c r="F138" s="35" t="n">
        <v>3.3</v>
      </c>
      <c r="G138" s="37" t="inlineStr">
        <is>
          <t>Y</t>
        </is>
      </c>
      <c r="H138" s="37" t="inlineStr">
        <is>
          <t>N</t>
        </is>
      </c>
      <c r="I138" s="37">
        <f>COUNTIF(G$5:G138,"Y")/COUNTA(G$5:G138)</f>
        <v/>
      </c>
      <c r="J138" s="37">
        <f>COUNTIF(H$5:H138,"Y")/COUNTA(H$5:H138)</f>
        <v/>
      </c>
      <c r="K138" s="37">
        <f>AVERAGE(F$5:F138)</f>
        <v/>
      </c>
      <c r="L138" s="37">
        <f>SUM(F$5:F138)/SUM(E$5:E138)</f>
        <v/>
      </c>
    </row>
    <row r="139">
      <c r="A139" s="29" t="n">
        <v>45636</v>
      </c>
      <c r="B139" s="37" t="inlineStr">
        <is>
          <t>JOB-1135</t>
        </is>
      </c>
      <c r="C139" s="34" t="n">
        <v>1</v>
      </c>
      <c r="D139" s="37" t="inlineStr">
        <is>
          <t>Tech H</t>
        </is>
      </c>
      <c r="E139" s="35" t="n">
        <v>0.7</v>
      </c>
      <c r="F139" s="35" t="n">
        <v>0.5</v>
      </c>
      <c r="G139" s="37" t="inlineStr">
        <is>
          <t>Y</t>
        </is>
      </c>
      <c r="H139" s="37" t="inlineStr">
        <is>
          <t>N</t>
        </is>
      </c>
      <c r="I139" s="37">
        <f>COUNTIF(G$5:G139,"Y")/COUNTA(G$5:G139)</f>
        <v/>
      </c>
      <c r="J139" s="37">
        <f>COUNTIF(H$5:H139,"Y")/COUNTA(H$5:H139)</f>
        <v/>
      </c>
      <c r="K139" s="37">
        <f>AVERAGE(F$5:F139)</f>
        <v/>
      </c>
      <c r="L139" s="37">
        <f>SUM(F$5:F139)/SUM(E$5:E139)</f>
        <v/>
      </c>
    </row>
    <row r="140">
      <c r="A140" s="29" t="n">
        <v>45637</v>
      </c>
      <c r="B140" s="37" t="inlineStr">
        <is>
          <t>JOB-1136</t>
        </is>
      </c>
      <c r="C140" s="34" t="n">
        <v>1</v>
      </c>
      <c r="D140" s="37" t="inlineStr">
        <is>
          <t>Tech B</t>
        </is>
      </c>
      <c r="E140" s="35" t="n">
        <v>0.8</v>
      </c>
      <c r="F140" s="35" t="n">
        <v>0.5</v>
      </c>
      <c r="G140" s="37" t="inlineStr">
        <is>
          <t>Y</t>
        </is>
      </c>
      <c r="H140" s="37" t="inlineStr">
        <is>
          <t>N</t>
        </is>
      </c>
      <c r="I140" s="37">
        <f>COUNTIF(G$5:G140,"Y")/COUNTA(G$5:G140)</f>
        <v/>
      </c>
      <c r="J140" s="37">
        <f>COUNTIF(H$5:H140,"Y")/COUNTA(H$5:H140)</f>
        <v/>
      </c>
      <c r="K140" s="37">
        <f>AVERAGE(F$5:F140)</f>
        <v/>
      </c>
      <c r="L140" s="37">
        <f>SUM(F$5:F140)/SUM(E$5:E140)</f>
        <v/>
      </c>
    </row>
    <row r="141">
      <c r="A141" s="29" t="n">
        <v>45638</v>
      </c>
      <c r="B141" s="37" t="inlineStr">
        <is>
          <t>JOB-1137</t>
        </is>
      </c>
      <c r="C141" s="34" t="n">
        <v>1</v>
      </c>
      <c r="D141" s="37" t="inlineStr">
        <is>
          <t>Tech A</t>
        </is>
      </c>
      <c r="E141" s="35" t="n">
        <v>0.6</v>
      </c>
      <c r="F141" s="35" t="n">
        <v>0.5</v>
      </c>
      <c r="G141" s="37" t="inlineStr">
        <is>
          <t>Y</t>
        </is>
      </c>
      <c r="H141" s="37" t="inlineStr">
        <is>
          <t>N</t>
        </is>
      </c>
      <c r="I141" s="37">
        <f>COUNTIF(G$5:G141,"Y")/COUNTA(G$5:G141)</f>
        <v/>
      </c>
      <c r="J141" s="37">
        <f>COUNTIF(H$5:H141,"Y")/COUNTA(H$5:H141)</f>
        <v/>
      </c>
      <c r="K141" s="37">
        <f>AVERAGE(F$5:F141)</f>
        <v/>
      </c>
      <c r="L141" s="37">
        <f>SUM(F$5:F141)/SUM(E$5:E141)</f>
        <v/>
      </c>
    </row>
    <row r="142">
      <c r="A142" s="29" t="n">
        <v>45639</v>
      </c>
      <c r="B142" s="37" t="inlineStr">
        <is>
          <t>JOB-1138</t>
        </is>
      </c>
      <c r="C142" s="34" t="n">
        <v>1</v>
      </c>
      <c r="D142" s="37" t="inlineStr">
        <is>
          <t>Tech H</t>
        </is>
      </c>
      <c r="E142" s="35" t="n">
        <v>0.7</v>
      </c>
      <c r="F142" s="35" t="n">
        <v>0.5</v>
      </c>
      <c r="G142" s="37" t="inlineStr">
        <is>
          <t>N</t>
        </is>
      </c>
      <c r="H142" s="37" t="inlineStr">
        <is>
          <t>N</t>
        </is>
      </c>
      <c r="I142" s="37">
        <f>COUNTIF(G$5:G142,"Y")/COUNTA(G$5:G142)</f>
        <v/>
      </c>
      <c r="J142" s="37">
        <f>COUNTIF(H$5:H142,"Y")/COUNTA(H$5:H142)</f>
        <v/>
      </c>
      <c r="K142" s="37">
        <f>AVERAGE(F$5:F142)</f>
        <v/>
      </c>
      <c r="L142" s="37">
        <f>SUM(F$5:F142)/SUM(E$5:E142)</f>
        <v/>
      </c>
    </row>
    <row r="143">
      <c r="A143" s="29" t="n">
        <v>45635</v>
      </c>
      <c r="B143" s="37" t="inlineStr">
        <is>
          <t>JOB-1139</t>
        </is>
      </c>
      <c r="C143" s="34" t="n">
        <v>1</v>
      </c>
      <c r="D143" s="37" t="inlineStr">
        <is>
          <t>Tech G</t>
        </is>
      </c>
      <c r="E143" s="35" t="n">
        <v>0.6</v>
      </c>
      <c r="F143" s="35" t="n">
        <v>0.5</v>
      </c>
      <c r="G143" s="37" t="inlineStr">
        <is>
          <t>Y</t>
        </is>
      </c>
      <c r="H143" s="37" t="inlineStr">
        <is>
          <t>N</t>
        </is>
      </c>
      <c r="I143" s="37">
        <f>COUNTIF(G$5:G143,"Y")/COUNTA(G$5:G143)</f>
        <v/>
      </c>
      <c r="J143" s="37">
        <f>COUNTIF(H$5:H143,"Y")/COUNTA(H$5:H143)</f>
        <v/>
      </c>
      <c r="K143" s="37">
        <f>AVERAGE(F$5:F143)</f>
        <v/>
      </c>
      <c r="L143" s="37">
        <f>SUM(F$5:F143)/SUM(E$5:E143)</f>
        <v/>
      </c>
      <c r="M143" s="37" t="n">
        <v>20</v>
      </c>
    </row>
    <row r="144">
      <c r="A144" s="29" t="n">
        <v>45642</v>
      </c>
      <c r="B144" s="37" t="inlineStr">
        <is>
          <t>JOB-1140</t>
        </is>
      </c>
      <c r="C144" s="34" t="n">
        <v>1</v>
      </c>
      <c r="D144" s="37" t="inlineStr">
        <is>
          <t>Tech F</t>
        </is>
      </c>
      <c r="E144" s="35" t="n">
        <v>2.7</v>
      </c>
      <c r="F144" s="35" t="n">
        <v>1.8</v>
      </c>
      <c r="G144" s="37" t="inlineStr">
        <is>
          <t>Y</t>
        </is>
      </c>
      <c r="H144" s="37" t="inlineStr">
        <is>
          <t>N</t>
        </is>
      </c>
      <c r="I144" s="37">
        <f>COUNTIF(G$5:G144,"Y")/COUNTA(G$5:G144)</f>
        <v/>
      </c>
      <c r="J144" s="37">
        <f>COUNTIF(H$5:H144,"Y")/COUNTA(H$5:H144)</f>
        <v/>
      </c>
      <c r="K144" s="37">
        <f>AVERAGE(F$5:F144)</f>
        <v/>
      </c>
      <c r="L144" s="37">
        <f>SUM(F$5:F144)/SUM(E$5:E144)</f>
        <v/>
      </c>
    </row>
    <row r="145">
      <c r="A145" s="29" t="n">
        <v>45643</v>
      </c>
      <c r="B145" s="37" t="inlineStr">
        <is>
          <t>JOB-1141</t>
        </is>
      </c>
      <c r="C145" s="34" t="n">
        <v>1</v>
      </c>
      <c r="D145" s="37" t="inlineStr">
        <is>
          <t>Tech C</t>
        </is>
      </c>
      <c r="E145" s="35" t="n">
        <v>4.8</v>
      </c>
      <c r="F145" s="35" t="n">
        <v>3.1</v>
      </c>
      <c r="G145" s="37" t="inlineStr">
        <is>
          <t>Y</t>
        </is>
      </c>
      <c r="H145" s="37" t="inlineStr">
        <is>
          <t>N</t>
        </is>
      </c>
      <c r="I145" s="37">
        <f>COUNTIF(G$5:G145,"Y")/COUNTA(G$5:G145)</f>
        <v/>
      </c>
      <c r="J145" s="37">
        <f>COUNTIF(H$5:H145,"Y")/COUNTA(H$5:H145)</f>
        <v/>
      </c>
      <c r="K145" s="37">
        <f>AVERAGE(F$5:F145)</f>
        <v/>
      </c>
      <c r="L145" s="37">
        <f>SUM(F$5:F145)/SUM(E$5:E145)</f>
        <v/>
      </c>
    </row>
    <row r="146">
      <c r="A146" s="29" t="n">
        <v>45644</v>
      </c>
      <c r="B146" s="37" t="inlineStr">
        <is>
          <t>JOB-1142</t>
        </is>
      </c>
      <c r="C146" s="34" t="n">
        <v>1</v>
      </c>
      <c r="D146" s="37" t="inlineStr">
        <is>
          <t>Tech H</t>
        </is>
      </c>
      <c r="E146" s="35" t="n">
        <v>3.1</v>
      </c>
      <c r="F146" s="35" t="n">
        <v>2.5</v>
      </c>
      <c r="G146" s="37" t="inlineStr">
        <is>
          <t>Y</t>
        </is>
      </c>
      <c r="H146" s="37" t="inlineStr">
        <is>
          <t>N</t>
        </is>
      </c>
      <c r="I146" s="37">
        <f>COUNTIF(G$5:G146,"Y")/COUNTA(G$5:G146)</f>
        <v/>
      </c>
      <c r="J146" s="37">
        <f>COUNTIF(H$5:H146,"Y")/COUNTA(H$5:H146)</f>
        <v/>
      </c>
      <c r="K146" s="37">
        <f>AVERAGE(F$5:F146)</f>
        <v/>
      </c>
      <c r="L146" s="37">
        <f>SUM(F$5:F146)/SUM(E$5:E146)</f>
        <v/>
      </c>
    </row>
    <row r="147">
      <c r="A147" s="29" t="n">
        <v>45645</v>
      </c>
      <c r="B147" s="37" t="inlineStr">
        <is>
          <t>JOB-1143</t>
        </is>
      </c>
      <c r="C147" s="34" t="n">
        <v>1</v>
      </c>
      <c r="D147" s="37" t="inlineStr">
        <is>
          <t>Tech B</t>
        </is>
      </c>
      <c r="E147" s="35" t="n">
        <v>3.6</v>
      </c>
      <c r="F147" s="35" t="n">
        <v>2.4</v>
      </c>
      <c r="G147" s="37" t="inlineStr">
        <is>
          <t>Y</t>
        </is>
      </c>
      <c r="H147" s="37" t="inlineStr">
        <is>
          <t>N</t>
        </is>
      </c>
      <c r="I147" s="37">
        <f>COUNTIF(G$5:G147,"Y")/COUNTA(G$5:G147)</f>
        <v/>
      </c>
      <c r="J147" s="37">
        <f>COUNTIF(H$5:H147,"Y")/COUNTA(H$5:H147)</f>
        <v/>
      </c>
      <c r="K147" s="37">
        <f>AVERAGE(F$5:F147)</f>
        <v/>
      </c>
      <c r="L147" s="37">
        <f>SUM(F$5:F147)/SUM(E$5:E147)</f>
        <v/>
      </c>
    </row>
    <row r="148">
      <c r="A148" s="29" t="n">
        <v>45646</v>
      </c>
      <c r="B148" s="37" t="inlineStr">
        <is>
          <t>JOB-1144</t>
        </is>
      </c>
      <c r="C148" s="34" t="n">
        <v>1</v>
      </c>
      <c r="D148" s="37" t="inlineStr">
        <is>
          <t>Tech H</t>
        </is>
      </c>
      <c r="E148" s="35" t="n">
        <v>1.8</v>
      </c>
      <c r="F148" s="35" t="n">
        <v>1.2</v>
      </c>
      <c r="G148" s="37" t="inlineStr">
        <is>
          <t>N</t>
        </is>
      </c>
      <c r="H148" s="37" t="inlineStr">
        <is>
          <t>Y</t>
        </is>
      </c>
      <c r="I148" s="37">
        <f>COUNTIF(G$5:G148,"Y")/COUNTA(G$5:G148)</f>
        <v/>
      </c>
      <c r="J148" s="37">
        <f>COUNTIF(H$5:H148,"Y")/COUNTA(H$5:H148)</f>
        <v/>
      </c>
      <c r="K148" s="37">
        <f>AVERAGE(F$5:F148)</f>
        <v/>
      </c>
      <c r="L148" s="37">
        <f>SUM(F$5:F148)/SUM(E$5:E148)</f>
        <v/>
      </c>
    </row>
    <row r="149">
      <c r="A149" s="29" t="n">
        <v>45642</v>
      </c>
      <c r="B149" s="37" t="inlineStr">
        <is>
          <t>JOB-1145</t>
        </is>
      </c>
      <c r="C149" s="34" t="n">
        <v>1</v>
      </c>
      <c r="D149" s="37" t="inlineStr">
        <is>
          <t>Tech G</t>
        </is>
      </c>
      <c r="E149" s="35" t="n">
        <v>1.4</v>
      </c>
      <c r="F149" s="35" t="n">
        <v>1</v>
      </c>
      <c r="G149" s="37" t="inlineStr">
        <is>
          <t>Y</t>
        </is>
      </c>
      <c r="H149" s="37" t="inlineStr">
        <is>
          <t>N</t>
        </is>
      </c>
      <c r="I149" s="37">
        <f>COUNTIF(G$5:G149,"Y")/COUNTA(G$5:G149)</f>
        <v/>
      </c>
      <c r="J149" s="37">
        <f>COUNTIF(H$5:H149,"Y")/COUNTA(H$5:H149)</f>
        <v/>
      </c>
      <c r="K149" s="37">
        <f>AVERAGE(F$5:F149)</f>
        <v/>
      </c>
      <c r="L149" s="37">
        <f>SUM(F$5:F149)/SUM(E$5:E149)</f>
        <v/>
      </c>
    </row>
    <row r="150">
      <c r="A150" s="29" t="n">
        <v>45643</v>
      </c>
      <c r="B150" s="37" t="inlineStr">
        <is>
          <t>JOB-1146</t>
        </is>
      </c>
      <c r="C150" s="34" t="n">
        <v>1</v>
      </c>
      <c r="D150" s="37" t="inlineStr">
        <is>
          <t>Tech G</t>
        </is>
      </c>
      <c r="E150" s="35" t="n">
        <v>3.2</v>
      </c>
      <c r="F150" s="35" t="n">
        <v>2.3</v>
      </c>
      <c r="G150" s="37" t="inlineStr">
        <is>
          <t>N</t>
        </is>
      </c>
      <c r="H150" s="37" t="inlineStr">
        <is>
          <t>N</t>
        </is>
      </c>
      <c r="I150" s="37">
        <f>COUNTIF(G$5:G150,"Y")/COUNTA(G$5:G150)</f>
        <v/>
      </c>
      <c r="J150" s="37">
        <f>COUNTIF(H$5:H150,"Y")/COUNTA(H$5:H150)</f>
        <v/>
      </c>
      <c r="K150" s="37">
        <f>AVERAGE(F$5:F150)</f>
        <v/>
      </c>
      <c r="L150" s="37">
        <f>SUM(F$5:F150)/SUM(E$5:E150)</f>
        <v/>
      </c>
    </row>
    <row r="151">
      <c r="A151" s="29" t="n">
        <v>45644</v>
      </c>
      <c r="B151" s="37" t="inlineStr">
        <is>
          <t>JOB-1147</t>
        </is>
      </c>
      <c r="C151" s="34" t="n">
        <v>1</v>
      </c>
      <c r="D151" s="37" t="inlineStr">
        <is>
          <t>Tech D</t>
        </is>
      </c>
      <c r="E151" s="35" t="n">
        <v>3</v>
      </c>
      <c r="F151" s="35" t="n">
        <v>1.9</v>
      </c>
      <c r="G151" s="37" t="inlineStr">
        <is>
          <t>N</t>
        </is>
      </c>
      <c r="H151" s="37" t="inlineStr">
        <is>
          <t>Y</t>
        </is>
      </c>
      <c r="I151" s="37">
        <f>COUNTIF(G$5:G151,"Y")/COUNTA(G$5:G151)</f>
        <v/>
      </c>
      <c r="J151" s="37">
        <f>COUNTIF(H$5:H151,"Y")/COUNTA(H$5:H151)</f>
        <v/>
      </c>
      <c r="K151" s="37">
        <f>AVERAGE(F$5:F151)</f>
        <v/>
      </c>
      <c r="L151" s="37">
        <f>SUM(F$5:F151)/SUM(E$5:E151)</f>
        <v/>
      </c>
    </row>
    <row r="152">
      <c r="A152" s="29" t="n">
        <v>45645</v>
      </c>
      <c r="B152" s="37" t="inlineStr">
        <is>
          <t>JOB-1148</t>
        </is>
      </c>
      <c r="C152" s="34" t="n">
        <v>1</v>
      </c>
      <c r="D152" s="37" t="inlineStr">
        <is>
          <t>Tech A</t>
        </is>
      </c>
      <c r="E152" s="35" t="n">
        <v>2.8</v>
      </c>
      <c r="F152" s="35" t="n">
        <v>2.2</v>
      </c>
      <c r="G152" s="37" t="inlineStr">
        <is>
          <t>Y</t>
        </is>
      </c>
      <c r="H152" s="37" t="inlineStr">
        <is>
          <t>N</t>
        </is>
      </c>
      <c r="I152" s="37">
        <f>COUNTIF(G$5:G152,"Y")/COUNTA(G$5:G152)</f>
        <v/>
      </c>
      <c r="J152" s="37">
        <f>COUNTIF(H$5:H152,"Y")/COUNTA(H$5:H152)</f>
        <v/>
      </c>
      <c r="K152" s="37">
        <f>AVERAGE(F$5:F152)</f>
        <v/>
      </c>
      <c r="L152" s="37">
        <f>SUM(F$5:F152)/SUM(E$5:E152)</f>
        <v/>
      </c>
    </row>
    <row r="153">
      <c r="A153" s="29" t="n">
        <v>45646</v>
      </c>
      <c r="B153" s="37" t="inlineStr">
        <is>
          <t>JOB-1149</t>
        </is>
      </c>
      <c r="C153" s="34" t="n">
        <v>1</v>
      </c>
      <c r="D153" s="37" t="inlineStr">
        <is>
          <t>Tech G</t>
        </is>
      </c>
      <c r="E153" s="35" t="n">
        <v>2.1</v>
      </c>
      <c r="F153" s="35" t="n">
        <v>1.5</v>
      </c>
      <c r="G153" s="37" t="inlineStr">
        <is>
          <t>Y</t>
        </is>
      </c>
      <c r="H153" s="37" t="inlineStr">
        <is>
          <t>N</t>
        </is>
      </c>
      <c r="I153" s="37">
        <f>COUNTIF(G$5:G153,"Y")/COUNTA(G$5:G153)</f>
        <v/>
      </c>
      <c r="J153" s="37">
        <f>COUNTIF(H$5:H153,"Y")/COUNTA(H$5:H153)</f>
        <v/>
      </c>
      <c r="K153" s="37">
        <f>AVERAGE(F$5:F153)</f>
        <v/>
      </c>
      <c r="L153" s="37">
        <f>SUM(F$5:F153)/SUM(E$5:E153)</f>
        <v/>
      </c>
    </row>
    <row r="154">
      <c r="A154" s="29" t="n">
        <v>45642</v>
      </c>
      <c r="B154" s="37" t="inlineStr">
        <is>
          <t>JOB-1150</t>
        </is>
      </c>
      <c r="C154" s="34" t="n">
        <v>1</v>
      </c>
      <c r="D154" s="37" t="inlineStr">
        <is>
          <t>Tech A</t>
        </is>
      </c>
      <c r="E154" s="35" t="n">
        <v>4</v>
      </c>
      <c r="F154" s="35" t="n">
        <v>2.7</v>
      </c>
      <c r="G154" s="37" t="inlineStr">
        <is>
          <t>Y</t>
        </is>
      </c>
      <c r="H154" s="37" t="inlineStr">
        <is>
          <t>N</t>
        </is>
      </c>
      <c r="I154" s="37">
        <f>COUNTIF(G$5:G154,"Y")/COUNTA(G$5:G154)</f>
        <v/>
      </c>
      <c r="J154" s="37">
        <f>COUNTIF(H$5:H154,"Y")/COUNTA(H$5:H154)</f>
        <v/>
      </c>
      <c r="K154" s="37">
        <f>AVERAGE(F$5:F154)</f>
        <v/>
      </c>
      <c r="L154" s="37">
        <f>SUM(F$5:F154)/SUM(E$5:E154)</f>
        <v/>
      </c>
    </row>
    <row r="155">
      <c r="A155" s="29" t="n">
        <v>45643</v>
      </c>
      <c r="B155" s="37" t="inlineStr">
        <is>
          <t>JOB-1151</t>
        </is>
      </c>
      <c r="C155" s="34" t="n">
        <v>1</v>
      </c>
      <c r="D155" s="37" t="inlineStr">
        <is>
          <t>Tech F</t>
        </is>
      </c>
      <c r="E155" s="35" t="n">
        <v>5.2</v>
      </c>
      <c r="F155" s="35" t="n">
        <v>3.4</v>
      </c>
      <c r="G155" s="37" t="inlineStr">
        <is>
          <t>Y</t>
        </is>
      </c>
      <c r="H155" s="37" t="inlineStr">
        <is>
          <t>N</t>
        </is>
      </c>
      <c r="I155" s="37">
        <f>COUNTIF(G$5:G155,"Y")/COUNTA(G$5:G155)</f>
        <v/>
      </c>
      <c r="J155" s="37">
        <f>COUNTIF(H$5:H155,"Y")/COUNTA(H$5:H155)</f>
        <v/>
      </c>
      <c r="K155" s="37">
        <f>AVERAGE(F$5:F155)</f>
        <v/>
      </c>
      <c r="L155" s="37">
        <f>SUM(F$5:F155)/SUM(E$5:E155)</f>
        <v/>
      </c>
    </row>
    <row r="156">
      <c r="A156" s="29" t="n">
        <v>45644</v>
      </c>
      <c r="B156" s="37" t="inlineStr">
        <is>
          <t>JOB-1152</t>
        </is>
      </c>
      <c r="C156" s="34" t="n">
        <v>1</v>
      </c>
      <c r="D156" s="37" t="inlineStr">
        <is>
          <t>Tech C</t>
        </is>
      </c>
      <c r="E156" s="35" t="n">
        <v>3.4</v>
      </c>
      <c r="F156" s="35" t="n">
        <v>2.2</v>
      </c>
      <c r="G156" s="37" t="inlineStr">
        <is>
          <t>Y</t>
        </is>
      </c>
      <c r="H156" s="37" t="inlineStr">
        <is>
          <t>N</t>
        </is>
      </c>
      <c r="I156" s="37">
        <f>COUNTIF(G$5:G156,"Y")/COUNTA(G$5:G156)</f>
        <v/>
      </c>
      <c r="J156" s="37">
        <f>COUNTIF(H$5:H156,"Y")/COUNTA(H$5:H156)</f>
        <v/>
      </c>
      <c r="K156" s="37">
        <f>AVERAGE(F$5:F156)</f>
        <v/>
      </c>
      <c r="L156" s="37">
        <f>SUM(F$5:F156)/SUM(E$5:E156)</f>
        <v/>
      </c>
    </row>
    <row r="157">
      <c r="A157" s="29" t="n">
        <v>45645</v>
      </c>
      <c r="B157" s="37" t="inlineStr">
        <is>
          <t>JOB-1153</t>
        </is>
      </c>
      <c r="C157" s="34" t="n">
        <v>1</v>
      </c>
      <c r="D157" s="37" t="inlineStr">
        <is>
          <t>Tech D</t>
        </is>
      </c>
      <c r="E157" s="35" t="n">
        <v>3.4</v>
      </c>
      <c r="F157" s="35" t="n">
        <v>2.5</v>
      </c>
      <c r="G157" s="37" t="inlineStr">
        <is>
          <t>Y</t>
        </is>
      </c>
      <c r="H157" s="37" t="inlineStr">
        <is>
          <t>N</t>
        </is>
      </c>
      <c r="I157" s="37">
        <f>COUNTIF(G$5:G157,"Y")/COUNTA(G$5:G157)</f>
        <v/>
      </c>
      <c r="J157" s="37">
        <f>COUNTIF(H$5:H157,"Y")/COUNTA(H$5:H157)</f>
        <v/>
      </c>
      <c r="K157" s="37">
        <f>AVERAGE(F$5:F157)</f>
        <v/>
      </c>
      <c r="L157" s="37">
        <f>SUM(F$5:F157)/SUM(E$5:E157)</f>
        <v/>
      </c>
    </row>
    <row r="158">
      <c r="A158" s="29" t="n">
        <v>45646</v>
      </c>
      <c r="B158" s="37" t="inlineStr">
        <is>
          <t>JOB-1154</t>
        </is>
      </c>
      <c r="C158" s="34" t="n">
        <v>1</v>
      </c>
      <c r="D158" s="37" t="inlineStr">
        <is>
          <t>Tech D</t>
        </is>
      </c>
      <c r="E158" s="35" t="n">
        <v>2.6</v>
      </c>
      <c r="F158" s="35" t="n">
        <v>1.6</v>
      </c>
      <c r="G158" s="37" t="inlineStr">
        <is>
          <t>Y</t>
        </is>
      </c>
      <c r="H158" s="37" t="inlineStr">
        <is>
          <t>N</t>
        </is>
      </c>
      <c r="I158" s="37">
        <f>COUNTIF(G$5:G158,"Y")/COUNTA(G$5:G158)</f>
        <v/>
      </c>
      <c r="J158" s="37">
        <f>COUNTIF(H$5:H158,"Y")/COUNTA(H$5:H158)</f>
        <v/>
      </c>
      <c r="K158" s="37">
        <f>AVERAGE(F$5:F158)</f>
        <v/>
      </c>
      <c r="L158" s="37">
        <f>SUM(F$5:F158)/SUM(E$5:E158)</f>
        <v/>
      </c>
    </row>
    <row r="159">
      <c r="A159" s="29" t="n">
        <v>45642</v>
      </c>
      <c r="B159" s="37" t="inlineStr">
        <is>
          <t>JOB-1155</t>
        </is>
      </c>
      <c r="C159" s="34" t="n">
        <v>1</v>
      </c>
      <c r="D159" s="37" t="inlineStr">
        <is>
          <t>Tech D</t>
        </is>
      </c>
      <c r="E159" s="35" t="n">
        <v>2.4</v>
      </c>
      <c r="F159" s="35" t="n">
        <v>1.7</v>
      </c>
      <c r="G159" s="37" t="inlineStr">
        <is>
          <t>Y</t>
        </is>
      </c>
      <c r="H159" s="37" t="inlineStr">
        <is>
          <t>N</t>
        </is>
      </c>
      <c r="I159" s="37">
        <f>COUNTIF(G$5:G159,"Y")/COUNTA(G$5:G159)</f>
        <v/>
      </c>
      <c r="J159" s="37">
        <f>COUNTIF(H$5:H159,"Y")/COUNTA(H$5:H159)</f>
        <v/>
      </c>
      <c r="K159" s="37">
        <f>AVERAGE(F$5:F159)</f>
        <v/>
      </c>
      <c r="L159" s="37">
        <f>SUM(F$5:F159)/SUM(E$5:E159)</f>
        <v/>
      </c>
    </row>
    <row r="160">
      <c r="A160" s="29" t="n">
        <v>45643</v>
      </c>
      <c r="B160" s="37" t="inlineStr">
        <is>
          <t>JOB-1156</t>
        </is>
      </c>
      <c r="C160" s="34" t="n">
        <v>1</v>
      </c>
      <c r="D160" s="37" t="inlineStr">
        <is>
          <t>Tech C</t>
        </is>
      </c>
      <c r="E160" s="35" t="n">
        <v>4.3</v>
      </c>
      <c r="F160" s="35" t="n">
        <v>3</v>
      </c>
      <c r="G160" s="37" t="inlineStr">
        <is>
          <t>Y</t>
        </is>
      </c>
      <c r="H160" s="37" t="inlineStr">
        <is>
          <t>N</t>
        </is>
      </c>
      <c r="I160" s="37">
        <f>COUNTIF(G$5:G160,"Y")/COUNTA(G$5:G160)</f>
        <v/>
      </c>
      <c r="J160" s="37">
        <f>COUNTIF(H$5:H160,"Y")/COUNTA(H$5:H160)</f>
        <v/>
      </c>
      <c r="K160" s="37">
        <f>AVERAGE(F$5:F160)</f>
        <v/>
      </c>
      <c r="L160" s="37">
        <f>SUM(F$5:F160)/SUM(E$5:E160)</f>
        <v/>
      </c>
    </row>
    <row r="161">
      <c r="A161" s="29" t="n">
        <v>45644</v>
      </c>
      <c r="B161" s="37" t="inlineStr">
        <is>
          <t>JOB-1157</t>
        </is>
      </c>
      <c r="C161" s="34" t="n">
        <v>1</v>
      </c>
      <c r="D161" s="37" t="inlineStr">
        <is>
          <t>Tech B</t>
        </is>
      </c>
      <c r="E161" s="35" t="n">
        <v>3.6</v>
      </c>
      <c r="F161" s="35" t="n">
        <v>2.7</v>
      </c>
      <c r="G161" s="37" t="inlineStr">
        <is>
          <t>Y</t>
        </is>
      </c>
      <c r="H161" s="37" t="inlineStr">
        <is>
          <t>N</t>
        </is>
      </c>
      <c r="I161" s="37">
        <f>COUNTIF(G$5:G161,"Y")/COUNTA(G$5:G161)</f>
        <v/>
      </c>
      <c r="J161" s="37">
        <f>COUNTIF(H$5:H161,"Y")/COUNTA(H$5:H161)</f>
        <v/>
      </c>
      <c r="K161" s="37">
        <f>AVERAGE(F$5:F161)</f>
        <v/>
      </c>
      <c r="L161" s="37">
        <f>SUM(F$5:F161)/SUM(E$5:E161)</f>
        <v/>
      </c>
    </row>
    <row r="162">
      <c r="A162" s="29" t="n">
        <v>45645</v>
      </c>
      <c r="B162" s="37" t="inlineStr">
        <is>
          <t>JOB-1158</t>
        </is>
      </c>
      <c r="C162" s="34" t="n">
        <v>1</v>
      </c>
      <c r="D162" s="37" t="inlineStr">
        <is>
          <t>Tech A</t>
        </is>
      </c>
      <c r="E162" s="35" t="n">
        <v>3.1</v>
      </c>
      <c r="F162" s="35" t="n">
        <v>2.3</v>
      </c>
      <c r="G162" s="37" t="inlineStr">
        <is>
          <t>Y</t>
        </is>
      </c>
      <c r="H162" s="37" t="inlineStr">
        <is>
          <t>N</t>
        </is>
      </c>
      <c r="I162" s="37">
        <f>COUNTIF(G$5:G162,"Y")/COUNTA(G$5:G162)</f>
        <v/>
      </c>
      <c r="J162" s="37">
        <f>COUNTIF(H$5:H162,"Y")/COUNTA(H$5:H162)</f>
        <v/>
      </c>
      <c r="K162" s="37">
        <f>AVERAGE(F$5:F162)</f>
        <v/>
      </c>
      <c r="L162" s="37">
        <f>SUM(F$5:F162)/SUM(E$5:E162)</f>
        <v/>
      </c>
    </row>
    <row r="163">
      <c r="A163" s="29" t="n">
        <v>45646</v>
      </c>
      <c r="B163" s="37" t="inlineStr">
        <is>
          <t>JOB-1159</t>
        </is>
      </c>
      <c r="C163" s="34" t="n">
        <v>1</v>
      </c>
      <c r="D163" s="37" t="inlineStr">
        <is>
          <t>Tech C</t>
        </is>
      </c>
      <c r="E163" s="35" t="n">
        <v>3.1</v>
      </c>
      <c r="F163" s="35" t="n">
        <v>2.3</v>
      </c>
      <c r="G163" s="37" t="inlineStr">
        <is>
          <t>Y</t>
        </is>
      </c>
      <c r="H163" s="37" t="inlineStr">
        <is>
          <t>N</t>
        </is>
      </c>
      <c r="I163" s="37">
        <f>COUNTIF(G$5:G163,"Y")/COUNTA(G$5:G163)</f>
        <v/>
      </c>
      <c r="J163" s="37">
        <f>COUNTIF(H$5:H163,"Y")/COUNTA(H$5:H163)</f>
        <v/>
      </c>
      <c r="K163" s="37">
        <f>AVERAGE(F$5:F163)</f>
        <v/>
      </c>
      <c r="L163" s="37">
        <f>SUM(F$5:F163)/SUM(E$5:E163)</f>
        <v/>
      </c>
    </row>
    <row r="164">
      <c r="A164" s="29" t="n">
        <v>45642</v>
      </c>
      <c r="B164" s="37" t="inlineStr">
        <is>
          <t>JOB-1160</t>
        </is>
      </c>
      <c r="C164" s="34" t="n">
        <v>1</v>
      </c>
      <c r="D164" s="37" t="inlineStr">
        <is>
          <t>Tech G</t>
        </is>
      </c>
      <c r="E164" s="35" t="n">
        <v>2.3</v>
      </c>
      <c r="F164" s="35" t="n">
        <v>1.7</v>
      </c>
      <c r="G164" s="37" t="inlineStr">
        <is>
          <t>N</t>
        </is>
      </c>
      <c r="H164" s="37" t="inlineStr">
        <is>
          <t>N</t>
        </is>
      </c>
      <c r="I164" s="37">
        <f>COUNTIF(G$5:G164,"Y")/COUNTA(G$5:G164)</f>
        <v/>
      </c>
      <c r="J164" s="37">
        <f>COUNTIF(H$5:H164,"Y")/COUNTA(H$5:H164)</f>
        <v/>
      </c>
      <c r="K164" s="37">
        <f>AVERAGE(F$5:F164)</f>
        <v/>
      </c>
      <c r="L164" s="37">
        <f>SUM(F$5:F164)/SUM(E$5:E164)</f>
        <v/>
      </c>
    </row>
    <row r="165">
      <c r="A165" s="29" t="n">
        <v>45643</v>
      </c>
      <c r="B165" s="37" t="inlineStr">
        <is>
          <t>JOB-1161</t>
        </is>
      </c>
      <c r="C165" s="34" t="n">
        <v>1</v>
      </c>
      <c r="D165" s="37" t="inlineStr">
        <is>
          <t>Tech D</t>
        </is>
      </c>
      <c r="E165" s="35" t="n">
        <v>4.1</v>
      </c>
      <c r="F165" s="35" t="n">
        <v>2.6</v>
      </c>
      <c r="G165" s="37" t="inlineStr">
        <is>
          <t>N</t>
        </is>
      </c>
      <c r="H165" s="37" t="inlineStr">
        <is>
          <t>N</t>
        </is>
      </c>
      <c r="I165" s="37">
        <f>COUNTIF(G$5:G165,"Y")/COUNTA(G$5:G165)</f>
        <v/>
      </c>
      <c r="J165" s="37">
        <f>COUNTIF(H$5:H165,"Y")/COUNTA(H$5:H165)</f>
        <v/>
      </c>
      <c r="K165" s="37">
        <f>AVERAGE(F$5:F165)</f>
        <v/>
      </c>
      <c r="L165" s="37">
        <f>SUM(F$5:F165)/SUM(E$5:E165)</f>
        <v/>
      </c>
    </row>
    <row r="166">
      <c r="A166" s="29" t="n">
        <v>45644</v>
      </c>
      <c r="B166" s="37" t="inlineStr">
        <is>
          <t>JOB-1162</t>
        </is>
      </c>
      <c r="C166" s="34" t="n">
        <v>1</v>
      </c>
      <c r="D166" s="37" t="inlineStr">
        <is>
          <t>Tech A</t>
        </is>
      </c>
      <c r="E166" s="35" t="n">
        <v>3.4</v>
      </c>
      <c r="F166" s="35" t="n">
        <v>2.4</v>
      </c>
      <c r="G166" s="37" t="inlineStr">
        <is>
          <t>Y</t>
        </is>
      </c>
      <c r="H166" s="37" t="inlineStr">
        <is>
          <t>N</t>
        </is>
      </c>
      <c r="I166" s="37">
        <f>COUNTIF(G$5:G166,"Y")/COUNTA(G$5:G166)</f>
        <v/>
      </c>
      <c r="J166" s="37">
        <f>COUNTIF(H$5:H166,"Y")/COUNTA(H$5:H166)</f>
        <v/>
      </c>
      <c r="K166" s="37">
        <f>AVERAGE(F$5:F166)</f>
        <v/>
      </c>
      <c r="L166" s="37">
        <f>SUM(F$5:F166)/SUM(E$5:E166)</f>
        <v/>
      </c>
    </row>
    <row r="167">
      <c r="A167" s="29" t="n">
        <v>45645</v>
      </c>
      <c r="B167" s="37" t="inlineStr">
        <is>
          <t>JOB-1163</t>
        </is>
      </c>
      <c r="C167" s="34" t="n">
        <v>1</v>
      </c>
      <c r="D167" s="37" t="inlineStr">
        <is>
          <t>Tech G</t>
        </is>
      </c>
      <c r="E167" s="35" t="n">
        <v>2</v>
      </c>
      <c r="F167" s="35" t="n">
        <v>1.5</v>
      </c>
      <c r="G167" s="37" t="inlineStr">
        <is>
          <t>Y</t>
        </is>
      </c>
      <c r="H167" s="37" t="inlineStr">
        <is>
          <t>N</t>
        </is>
      </c>
      <c r="I167" s="37">
        <f>COUNTIF(G$5:G167,"Y")/COUNTA(G$5:G167)</f>
        <v/>
      </c>
      <c r="J167" s="37">
        <f>COUNTIF(H$5:H167,"Y")/COUNTA(H$5:H167)</f>
        <v/>
      </c>
      <c r="K167" s="37">
        <f>AVERAGE(F$5:F167)</f>
        <v/>
      </c>
      <c r="L167" s="37">
        <f>SUM(F$5:F167)/SUM(E$5:E167)</f>
        <v/>
      </c>
    </row>
    <row r="168">
      <c r="A168" s="29" t="n">
        <v>45646</v>
      </c>
      <c r="B168" s="37" t="inlineStr">
        <is>
          <t>JOB-1164</t>
        </is>
      </c>
      <c r="C168" s="34" t="n">
        <v>1</v>
      </c>
      <c r="D168" s="37" t="inlineStr">
        <is>
          <t>Tech A</t>
        </is>
      </c>
      <c r="E168" s="35" t="n">
        <v>2.6</v>
      </c>
      <c r="F168" s="35" t="n">
        <v>2</v>
      </c>
      <c r="G168" s="37" t="inlineStr">
        <is>
          <t>Y</t>
        </is>
      </c>
      <c r="H168" s="37" t="inlineStr">
        <is>
          <t>N</t>
        </is>
      </c>
      <c r="I168" s="37">
        <f>COUNTIF(G$5:G168,"Y")/COUNTA(G$5:G168)</f>
        <v/>
      </c>
      <c r="J168" s="37">
        <f>COUNTIF(H$5:H168,"Y")/COUNTA(H$5:H168)</f>
        <v/>
      </c>
      <c r="K168" s="37">
        <f>AVERAGE(F$5:F168)</f>
        <v/>
      </c>
      <c r="L168" s="37">
        <f>SUM(F$5:F168)/SUM(E$5:E168)</f>
        <v/>
      </c>
    </row>
    <row r="169">
      <c r="A169" s="29" t="n">
        <v>45642</v>
      </c>
      <c r="B169" s="37" t="inlineStr">
        <is>
          <t>JOB-1165</t>
        </is>
      </c>
      <c r="C169" s="34" t="n">
        <v>1</v>
      </c>
      <c r="D169" s="37" t="inlineStr">
        <is>
          <t>Tech D</t>
        </is>
      </c>
      <c r="E169" s="35" t="n">
        <v>0.5</v>
      </c>
      <c r="F169" s="35" t="n">
        <v>0.5</v>
      </c>
      <c r="G169" s="37" t="inlineStr">
        <is>
          <t>Y</t>
        </is>
      </c>
      <c r="H169" s="37" t="inlineStr">
        <is>
          <t>N</t>
        </is>
      </c>
      <c r="I169" s="37">
        <f>COUNTIF(G$5:G169,"Y")/COUNTA(G$5:G169)</f>
        <v/>
      </c>
      <c r="J169" s="37">
        <f>COUNTIF(H$5:H169,"Y")/COUNTA(H$5:H169)</f>
        <v/>
      </c>
      <c r="K169" s="37">
        <f>AVERAGE(F$5:F169)</f>
        <v/>
      </c>
      <c r="L169" s="37">
        <f>SUM(F$5:F169)/SUM(E$5:E169)</f>
        <v/>
      </c>
    </row>
    <row r="170">
      <c r="A170" s="29" t="n">
        <v>45643</v>
      </c>
      <c r="B170" s="37" t="inlineStr">
        <is>
          <t>JOB-1166</t>
        </is>
      </c>
      <c r="C170" s="34" t="n">
        <v>1</v>
      </c>
      <c r="D170" s="37" t="inlineStr">
        <is>
          <t>Tech D</t>
        </is>
      </c>
      <c r="E170" s="35" t="n">
        <v>0.5</v>
      </c>
      <c r="F170" s="35" t="n">
        <v>0.5</v>
      </c>
      <c r="G170" s="37" t="inlineStr">
        <is>
          <t>Y</t>
        </is>
      </c>
      <c r="H170" s="37" t="inlineStr">
        <is>
          <t>N</t>
        </is>
      </c>
      <c r="I170" s="37">
        <f>COUNTIF(G$5:G170,"Y")/COUNTA(G$5:G170)</f>
        <v/>
      </c>
      <c r="J170" s="37">
        <f>COUNTIF(H$5:H170,"Y")/COUNTA(H$5:H170)</f>
        <v/>
      </c>
      <c r="K170" s="37">
        <f>AVERAGE(F$5:F170)</f>
        <v/>
      </c>
      <c r="L170" s="37">
        <f>SUM(F$5:F170)/SUM(E$5:E170)</f>
        <v/>
      </c>
    </row>
    <row r="171">
      <c r="A171" s="29" t="n">
        <v>45644</v>
      </c>
      <c r="B171" s="37" t="inlineStr">
        <is>
          <t>JOB-1167</t>
        </is>
      </c>
      <c r="C171" s="34" t="n">
        <v>1</v>
      </c>
      <c r="D171" s="37" t="inlineStr">
        <is>
          <t>Tech A</t>
        </is>
      </c>
      <c r="E171" s="35" t="n">
        <v>0.5</v>
      </c>
      <c r="F171" s="35" t="n">
        <v>0.5</v>
      </c>
      <c r="G171" s="37" t="inlineStr">
        <is>
          <t>Y</t>
        </is>
      </c>
      <c r="H171" s="37" t="inlineStr">
        <is>
          <t>N</t>
        </is>
      </c>
      <c r="I171" s="37">
        <f>COUNTIF(G$5:G171,"Y")/COUNTA(G$5:G171)</f>
        <v/>
      </c>
      <c r="J171" s="37">
        <f>COUNTIF(H$5:H171,"Y")/COUNTA(H$5:H171)</f>
        <v/>
      </c>
      <c r="K171" s="37">
        <f>AVERAGE(F$5:F171)</f>
        <v/>
      </c>
      <c r="L171" s="37">
        <f>SUM(F$5:F171)/SUM(E$5:E171)</f>
        <v/>
      </c>
      <c r="M171" s="37" t="n">
        <v>22</v>
      </c>
    </row>
    <row r="172">
      <c r="A172" s="29" t="n">
        <v>45649</v>
      </c>
      <c r="B172" s="37" t="inlineStr">
        <is>
          <t>JOB-1168</t>
        </is>
      </c>
      <c r="C172" s="34" t="n">
        <v>1</v>
      </c>
      <c r="D172" s="37" t="inlineStr">
        <is>
          <t>Tech C</t>
        </is>
      </c>
      <c r="E172" s="35" t="n">
        <v>3.7</v>
      </c>
      <c r="F172" s="35" t="n">
        <v>2.4</v>
      </c>
      <c r="G172" s="37" t="inlineStr">
        <is>
          <t>Y</t>
        </is>
      </c>
      <c r="H172" s="37" t="inlineStr">
        <is>
          <t>N</t>
        </is>
      </c>
      <c r="I172" s="37">
        <f>COUNTIF(G$5:G172,"Y")/COUNTA(G$5:G172)</f>
        <v/>
      </c>
      <c r="J172" s="37">
        <f>COUNTIF(H$5:H172,"Y")/COUNTA(H$5:H172)</f>
        <v/>
      </c>
      <c r="K172" s="37">
        <f>AVERAGE(F$5:F172)</f>
        <v/>
      </c>
      <c r="L172" s="37">
        <f>SUM(F$5:F172)/SUM(E$5:E172)</f>
        <v/>
      </c>
    </row>
    <row r="173">
      <c r="A173" s="29" t="n">
        <v>45650</v>
      </c>
      <c r="B173" s="37" t="inlineStr">
        <is>
          <t>JOB-1169</t>
        </is>
      </c>
      <c r="C173" s="34" t="n">
        <v>1</v>
      </c>
      <c r="D173" s="37" t="inlineStr">
        <is>
          <t>Tech B</t>
        </is>
      </c>
      <c r="E173" s="35" t="n">
        <v>2.1</v>
      </c>
      <c r="F173" s="35" t="n">
        <v>1.3</v>
      </c>
      <c r="G173" s="37" t="inlineStr">
        <is>
          <t>N</t>
        </is>
      </c>
      <c r="H173" s="37" t="inlineStr">
        <is>
          <t>N</t>
        </is>
      </c>
      <c r="I173" s="37">
        <f>COUNTIF(G$5:G173,"Y")/COUNTA(G$5:G173)</f>
        <v/>
      </c>
      <c r="J173" s="37">
        <f>COUNTIF(H$5:H173,"Y")/COUNTA(H$5:H173)</f>
        <v/>
      </c>
      <c r="K173" s="37">
        <f>AVERAGE(F$5:F173)</f>
        <v/>
      </c>
      <c r="L173" s="37">
        <f>SUM(F$5:F173)/SUM(E$5:E173)</f>
        <v/>
      </c>
    </row>
    <row r="174">
      <c r="A174" s="29" t="n">
        <v>45651</v>
      </c>
      <c r="B174" s="37" t="inlineStr">
        <is>
          <t>JOB-1170</t>
        </is>
      </c>
      <c r="C174" s="34" t="n">
        <v>1</v>
      </c>
      <c r="D174" s="37" t="inlineStr">
        <is>
          <t>Tech F</t>
        </is>
      </c>
      <c r="E174" s="35" t="n">
        <v>4.2</v>
      </c>
      <c r="F174" s="35" t="n">
        <v>3.3</v>
      </c>
      <c r="G174" s="37" t="inlineStr">
        <is>
          <t>Y</t>
        </is>
      </c>
      <c r="H174" s="37" t="inlineStr">
        <is>
          <t>N</t>
        </is>
      </c>
      <c r="I174" s="37">
        <f>COUNTIF(G$5:G174,"Y")/COUNTA(G$5:G174)</f>
        <v/>
      </c>
      <c r="J174" s="37">
        <f>COUNTIF(H$5:H174,"Y")/COUNTA(H$5:H174)</f>
        <v/>
      </c>
      <c r="K174" s="37">
        <f>AVERAGE(F$5:F174)</f>
        <v/>
      </c>
      <c r="L174" s="37">
        <f>SUM(F$5:F174)/SUM(E$5:E174)</f>
        <v/>
      </c>
    </row>
    <row r="175">
      <c r="A175" s="29" t="n">
        <v>45652</v>
      </c>
      <c r="B175" s="37" t="inlineStr">
        <is>
          <t>JOB-1171</t>
        </is>
      </c>
      <c r="C175" s="34" t="n">
        <v>1</v>
      </c>
      <c r="D175" s="37" t="inlineStr">
        <is>
          <t>Tech D</t>
        </is>
      </c>
      <c r="E175" s="35" t="n">
        <v>2.4</v>
      </c>
      <c r="F175" s="35" t="n">
        <v>1.6</v>
      </c>
      <c r="G175" s="37" t="inlineStr">
        <is>
          <t>Y</t>
        </is>
      </c>
      <c r="H175" s="37" t="inlineStr">
        <is>
          <t>N</t>
        </is>
      </c>
      <c r="I175" s="37">
        <f>COUNTIF(G$5:G175,"Y")/COUNTA(G$5:G175)</f>
        <v/>
      </c>
      <c r="J175" s="37">
        <f>COUNTIF(H$5:H175,"Y")/COUNTA(H$5:H175)</f>
        <v/>
      </c>
      <c r="K175" s="37">
        <f>AVERAGE(F$5:F175)</f>
        <v/>
      </c>
      <c r="L175" s="37">
        <f>SUM(F$5:F175)/SUM(E$5:E175)</f>
        <v/>
      </c>
    </row>
    <row r="176">
      <c r="A176" s="29" t="n">
        <v>45653</v>
      </c>
      <c r="B176" s="37" t="inlineStr">
        <is>
          <t>JOB-1172</t>
        </is>
      </c>
      <c r="C176" s="34" t="n">
        <v>1</v>
      </c>
      <c r="D176" s="37" t="inlineStr">
        <is>
          <t>Tech H</t>
        </is>
      </c>
      <c r="E176" s="35" t="n">
        <v>3</v>
      </c>
      <c r="F176" s="35" t="n">
        <v>2</v>
      </c>
      <c r="G176" s="37" t="inlineStr">
        <is>
          <t>Y</t>
        </is>
      </c>
      <c r="H176" s="37" t="inlineStr">
        <is>
          <t>N</t>
        </is>
      </c>
      <c r="I176" s="37">
        <f>COUNTIF(G$5:G176,"Y")/COUNTA(G$5:G176)</f>
        <v/>
      </c>
      <c r="J176" s="37">
        <f>COUNTIF(H$5:H176,"Y")/COUNTA(H$5:H176)</f>
        <v/>
      </c>
      <c r="K176" s="37">
        <f>AVERAGE(F$5:F176)</f>
        <v/>
      </c>
      <c r="L176" s="37">
        <f>SUM(F$5:F176)/SUM(E$5:E176)</f>
        <v/>
      </c>
    </row>
    <row r="177">
      <c r="A177" s="29" t="n">
        <v>45649</v>
      </c>
      <c r="B177" s="37" t="inlineStr">
        <is>
          <t>JOB-1173</t>
        </is>
      </c>
      <c r="C177" s="34" t="n">
        <v>1</v>
      </c>
      <c r="D177" s="37" t="inlineStr">
        <is>
          <t>Tech G</t>
        </is>
      </c>
      <c r="E177" s="35" t="n">
        <v>4</v>
      </c>
      <c r="F177" s="35" t="n">
        <v>2.5</v>
      </c>
      <c r="G177" s="37" t="inlineStr">
        <is>
          <t>N</t>
        </is>
      </c>
      <c r="H177" s="37" t="inlineStr">
        <is>
          <t>N</t>
        </is>
      </c>
      <c r="I177" s="37">
        <f>COUNTIF(G$5:G177,"Y")/COUNTA(G$5:G177)</f>
        <v/>
      </c>
      <c r="J177" s="37">
        <f>COUNTIF(H$5:H177,"Y")/COUNTA(H$5:H177)</f>
        <v/>
      </c>
      <c r="K177" s="37">
        <f>AVERAGE(F$5:F177)</f>
        <v/>
      </c>
      <c r="L177" s="37">
        <f>SUM(F$5:F177)/SUM(E$5:E177)</f>
        <v/>
      </c>
    </row>
    <row r="178">
      <c r="A178" s="29" t="n">
        <v>45650</v>
      </c>
      <c r="B178" s="37" t="inlineStr">
        <is>
          <t>JOB-1174</t>
        </is>
      </c>
      <c r="C178" s="34" t="n">
        <v>1</v>
      </c>
      <c r="D178" s="37" t="inlineStr">
        <is>
          <t>Tech D</t>
        </is>
      </c>
      <c r="E178" s="35" t="n">
        <v>3.1</v>
      </c>
      <c r="F178" s="35" t="n">
        <v>1.9</v>
      </c>
      <c r="G178" s="37" t="inlineStr">
        <is>
          <t>Y</t>
        </is>
      </c>
      <c r="H178" s="37" t="inlineStr">
        <is>
          <t>N</t>
        </is>
      </c>
      <c r="I178" s="37">
        <f>COUNTIF(G$5:G178,"Y")/COUNTA(G$5:G178)</f>
        <v/>
      </c>
      <c r="J178" s="37">
        <f>COUNTIF(H$5:H178,"Y")/COUNTA(H$5:H178)</f>
        <v/>
      </c>
      <c r="K178" s="37">
        <f>AVERAGE(F$5:F178)</f>
        <v/>
      </c>
      <c r="L178" s="37">
        <f>SUM(F$5:F178)/SUM(E$5:E178)</f>
        <v/>
      </c>
    </row>
    <row r="179">
      <c r="A179" s="29" t="n">
        <v>45651</v>
      </c>
      <c r="B179" s="37" t="inlineStr">
        <is>
          <t>JOB-1175</t>
        </is>
      </c>
      <c r="C179" s="34" t="n">
        <v>1</v>
      </c>
      <c r="D179" s="37" t="inlineStr">
        <is>
          <t>Tech A</t>
        </is>
      </c>
      <c r="E179" s="35" t="n">
        <v>2.6</v>
      </c>
      <c r="F179" s="35" t="n">
        <v>1.7</v>
      </c>
      <c r="G179" s="37" t="inlineStr">
        <is>
          <t>N</t>
        </is>
      </c>
      <c r="H179" s="37" t="inlineStr">
        <is>
          <t>N</t>
        </is>
      </c>
      <c r="I179" s="37">
        <f>COUNTIF(G$5:G179,"Y")/COUNTA(G$5:G179)</f>
        <v/>
      </c>
      <c r="J179" s="37">
        <f>COUNTIF(H$5:H179,"Y")/COUNTA(H$5:H179)</f>
        <v/>
      </c>
      <c r="K179" s="37">
        <f>AVERAGE(F$5:F179)</f>
        <v/>
      </c>
      <c r="L179" s="37">
        <f>SUM(F$5:F179)/SUM(E$5:E179)</f>
        <v/>
      </c>
    </row>
    <row r="180">
      <c r="A180" s="29" t="n">
        <v>45652</v>
      </c>
      <c r="B180" s="37" t="inlineStr">
        <is>
          <t>JOB-1176</t>
        </is>
      </c>
      <c r="C180" s="34" t="n">
        <v>1</v>
      </c>
      <c r="D180" s="37" t="inlineStr">
        <is>
          <t>Tech D</t>
        </is>
      </c>
      <c r="E180" s="35" t="n">
        <v>3</v>
      </c>
      <c r="F180" s="35" t="n">
        <v>2</v>
      </c>
      <c r="G180" s="37" t="inlineStr">
        <is>
          <t>Y</t>
        </is>
      </c>
      <c r="H180" s="37" t="inlineStr">
        <is>
          <t>N</t>
        </is>
      </c>
      <c r="I180" s="37">
        <f>COUNTIF(G$5:G180,"Y")/COUNTA(G$5:G180)</f>
        <v/>
      </c>
      <c r="J180" s="37">
        <f>COUNTIF(H$5:H180,"Y")/COUNTA(H$5:H180)</f>
        <v/>
      </c>
      <c r="K180" s="37">
        <f>AVERAGE(F$5:F180)</f>
        <v/>
      </c>
      <c r="L180" s="37">
        <f>SUM(F$5:F180)/SUM(E$5:E180)</f>
        <v/>
      </c>
    </row>
    <row r="181">
      <c r="A181" s="29" t="n">
        <v>45653</v>
      </c>
      <c r="B181" s="37" t="inlineStr">
        <is>
          <t>JOB-1177</t>
        </is>
      </c>
      <c r="C181" s="34" t="n">
        <v>1</v>
      </c>
      <c r="D181" s="37" t="inlineStr">
        <is>
          <t>Tech C</t>
        </is>
      </c>
      <c r="E181" s="35" t="n">
        <v>1.8</v>
      </c>
      <c r="F181" s="35" t="n">
        <v>1.1</v>
      </c>
      <c r="G181" s="37" t="inlineStr">
        <is>
          <t>Y</t>
        </is>
      </c>
      <c r="H181" s="37" t="inlineStr">
        <is>
          <t>N</t>
        </is>
      </c>
      <c r="I181" s="37">
        <f>COUNTIF(G$5:G181,"Y")/COUNTA(G$5:G181)</f>
        <v/>
      </c>
      <c r="J181" s="37">
        <f>COUNTIF(H$5:H181,"Y")/COUNTA(H$5:H181)</f>
        <v/>
      </c>
      <c r="K181" s="37">
        <f>AVERAGE(F$5:F181)</f>
        <v/>
      </c>
      <c r="L181" s="37">
        <f>SUM(F$5:F181)/SUM(E$5:E181)</f>
        <v/>
      </c>
    </row>
    <row r="182">
      <c r="A182" s="29" t="n">
        <v>45649</v>
      </c>
      <c r="B182" s="37" t="inlineStr">
        <is>
          <t>JOB-1178</t>
        </is>
      </c>
      <c r="C182" s="34" t="n">
        <v>1</v>
      </c>
      <c r="D182" s="37" t="inlineStr">
        <is>
          <t>Tech D</t>
        </is>
      </c>
      <c r="E182" s="35" t="n">
        <v>1.9</v>
      </c>
      <c r="F182" s="35" t="n">
        <v>1.2</v>
      </c>
      <c r="G182" s="37" t="inlineStr">
        <is>
          <t>Y</t>
        </is>
      </c>
      <c r="H182" s="37" t="inlineStr">
        <is>
          <t>N</t>
        </is>
      </c>
      <c r="I182" s="37">
        <f>COUNTIF(G$5:G182,"Y")/COUNTA(G$5:G182)</f>
        <v/>
      </c>
      <c r="J182" s="37">
        <f>COUNTIF(H$5:H182,"Y")/COUNTA(H$5:H182)</f>
        <v/>
      </c>
      <c r="K182" s="37">
        <f>AVERAGE(F$5:F182)</f>
        <v/>
      </c>
      <c r="L182" s="37">
        <f>SUM(F$5:F182)/SUM(E$5:E182)</f>
        <v/>
      </c>
    </row>
    <row r="183">
      <c r="A183" s="29" t="n">
        <v>45650</v>
      </c>
      <c r="B183" s="37" t="inlineStr">
        <is>
          <t>JOB-1179</t>
        </is>
      </c>
      <c r="C183" s="34" t="n">
        <v>1</v>
      </c>
      <c r="D183" s="37" t="inlineStr">
        <is>
          <t>Tech C</t>
        </is>
      </c>
      <c r="E183" s="35" t="n">
        <v>3.4</v>
      </c>
      <c r="F183" s="35" t="n">
        <v>2.5</v>
      </c>
      <c r="G183" s="37" t="inlineStr">
        <is>
          <t>Y</t>
        </is>
      </c>
      <c r="H183" s="37" t="inlineStr">
        <is>
          <t>N</t>
        </is>
      </c>
      <c r="I183" s="37">
        <f>COUNTIF(G$5:G183,"Y")/COUNTA(G$5:G183)</f>
        <v/>
      </c>
      <c r="J183" s="37">
        <f>COUNTIF(H$5:H183,"Y")/COUNTA(H$5:H183)</f>
        <v/>
      </c>
      <c r="K183" s="37">
        <f>AVERAGE(F$5:F183)</f>
        <v/>
      </c>
      <c r="L183" s="37">
        <f>SUM(F$5:F183)/SUM(E$5:E183)</f>
        <v/>
      </c>
    </row>
    <row r="184">
      <c r="A184" s="29" t="n">
        <v>45651</v>
      </c>
      <c r="B184" s="37" t="inlineStr">
        <is>
          <t>JOB-1180</t>
        </is>
      </c>
      <c r="C184" s="34" t="n">
        <v>1</v>
      </c>
      <c r="D184" s="37" t="inlineStr">
        <is>
          <t>Tech C</t>
        </is>
      </c>
      <c r="E184" s="35" t="n">
        <v>1.6</v>
      </c>
      <c r="F184" s="35" t="n">
        <v>1.2</v>
      </c>
      <c r="G184" s="37" t="inlineStr">
        <is>
          <t>Y</t>
        </is>
      </c>
      <c r="H184" s="37" t="inlineStr">
        <is>
          <t>N</t>
        </is>
      </c>
      <c r="I184" s="37">
        <f>COUNTIF(G$5:G184,"Y")/COUNTA(G$5:G184)</f>
        <v/>
      </c>
      <c r="J184" s="37">
        <f>COUNTIF(H$5:H184,"Y")/COUNTA(H$5:H184)</f>
        <v/>
      </c>
      <c r="K184" s="37">
        <f>AVERAGE(F$5:F184)</f>
        <v/>
      </c>
      <c r="L184" s="37">
        <f>SUM(F$5:F184)/SUM(E$5:E184)</f>
        <v/>
      </c>
    </row>
    <row r="185">
      <c r="A185" s="29" t="n">
        <v>45652</v>
      </c>
      <c r="B185" s="37" t="inlineStr">
        <is>
          <t>JOB-1181</t>
        </is>
      </c>
      <c r="C185" s="34" t="n">
        <v>1</v>
      </c>
      <c r="D185" s="37" t="inlineStr">
        <is>
          <t>Tech H</t>
        </is>
      </c>
      <c r="E185" s="35" t="n">
        <v>3</v>
      </c>
      <c r="F185" s="35" t="n">
        <v>2.3</v>
      </c>
      <c r="G185" s="37" t="inlineStr">
        <is>
          <t>Y</t>
        </is>
      </c>
      <c r="H185" s="37" t="inlineStr">
        <is>
          <t>N</t>
        </is>
      </c>
      <c r="I185" s="37">
        <f>COUNTIF(G$5:G185,"Y")/COUNTA(G$5:G185)</f>
        <v/>
      </c>
      <c r="J185" s="37">
        <f>COUNTIF(H$5:H185,"Y")/COUNTA(H$5:H185)</f>
        <v/>
      </c>
      <c r="K185" s="37">
        <f>AVERAGE(F$5:F185)</f>
        <v/>
      </c>
      <c r="L185" s="37">
        <f>SUM(F$5:F185)/SUM(E$5:E185)</f>
        <v/>
      </c>
    </row>
    <row r="186">
      <c r="A186" s="29" t="n">
        <v>45653</v>
      </c>
      <c r="B186" s="37" t="inlineStr">
        <is>
          <t>JOB-1182</t>
        </is>
      </c>
      <c r="C186" s="34" t="n">
        <v>1</v>
      </c>
      <c r="D186" s="37" t="inlineStr">
        <is>
          <t>Tech A</t>
        </is>
      </c>
      <c r="E186" s="35" t="n">
        <v>3.1</v>
      </c>
      <c r="F186" s="35" t="n">
        <v>2</v>
      </c>
      <c r="G186" s="37" t="inlineStr">
        <is>
          <t>Y</t>
        </is>
      </c>
      <c r="H186" s="37" t="inlineStr">
        <is>
          <t>Y</t>
        </is>
      </c>
      <c r="I186" s="37">
        <f>COUNTIF(G$5:G186,"Y")/COUNTA(G$5:G186)</f>
        <v/>
      </c>
      <c r="J186" s="37">
        <f>COUNTIF(H$5:H186,"Y")/COUNTA(H$5:H186)</f>
        <v/>
      </c>
      <c r="K186" s="37">
        <f>AVERAGE(F$5:F186)</f>
        <v/>
      </c>
      <c r="L186" s="37">
        <f>SUM(F$5:F186)/SUM(E$5:E186)</f>
        <v/>
      </c>
    </row>
    <row r="187">
      <c r="A187" s="29" t="n">
        <v>45649</v>
      </c>
      <c r="B187" s="37" t="inlineStr">
        <is>
          <t>JOB-1183</t>
        </is>
      </c>
      <c r="C187" s="34" t="n">
        <v>1</v>
      </c>
      <c r="D187" s="37" t="inlineStr">
        <is>
          <t>Tech G</t>
        </is>
      </c>
      <c r="E187" s="35" t="n">
        <v>2.7</v>
      </c>
      <c r="F187" s="35" t="n">
        <v>2.1</v>
      </c>
      <c r="G187" s="37" t="inlineStr">
        <is>
          <t>Y</t>
        </is>
      </c>
      <c r="H187" s="37" t="inlineStr">
        <is>
          <t>N</t>
        </is>
      </c>
      <c r="I187" s="37">
        <f>COUNTIF(G$5:G187,"Y")/COUNTA(G$5:G187)</f>
        <v/>
      </c>
      <c r="J187" s="37">
        <f>COUNTIF(H$5:H187,"Y")/COUNTA(H$5:H187)</f>
        <v/>
      </c>
      <c r="K187" s="37">
        <f>AVERAGE(F$5:F187)</f>
        <v/>
      </c>
      <c r="L187" s="37">
        <f>SUM(F$5:F187)/SUM(E$5:E187)</f>
        <v/>
      </c>
    </row>
    <row r="188">
      <c r="A188" s="29" t="n">
        <v>45650</v>
      </c>
      <c r="B188" s="37" t="inlineStr">
        <is>
          <t>JOB-1184</t>
        </is>
      </c>
      <c r="C188" s="34" t="n">
        <v>1</v>
      </c>
      <c r="D188" s="37" t="inlineStr">
        <is>
          <t>Tech B</t>
        </is>
      </c>
      <c r="E188" s="35" t="n">
        <v>2.3</v>
      </c>
      <c r="F188" s="35" t="n">
        <v>1.7</v>
      </c>
      <c r="G188" s="37" t="inlineStr">
        <is>
          <t>N</t>
        </is>
      </c>
      <c r="H188" s="37" t="inlineStr">
        <is>
          <t>N</t>
        </is>
      </c>
      <c r="I188" s="37">
        <f>COUNTIF(G$5:G188,"Y")/COUNTA(G$5:G188)</f>
        <v/>
      </c>
      <c r="J188" s="37">
        <f>COUNTIF(H$5:H188,"Y")/COUNTA(H$5:H188)</f>
        <v/>
      </c>
      <c r="K188" s="37">
        <f>AVERAGE(F$5:F188)</f>
        <v/>
      </c>
      <c r="L188" s="37">
        <f>SUM(F$5:F188)/SUM(E$5:E188)</f>
        <v/>
      </c>
    </row>
    <row r="189">
      <c r="A189" s="29" t="n">
        <v>45651</v>
      </c>
      <c r="B189" s="37" t="inlineStr">
        <is>
          <t>JOB-1185</t>
        </is>
      </c>
      <c r="C189" s="34" t="n">
        <v>1</v>
      </c>
      <c r="D189" s="37" t="inlineStr">
        <is>
          <t>Tech C</t>
        </is>
      </c>
      <c r="E189" s="35" t="n">
        <v>4</v>
      </c>
      <c r="F189" s="35" t="n">
        <v>3.1</v>
      </c>
      <c r="G189" s="37" t="inlineStr">
        <is>
          <t>Y</t>
        </is>
      </c>
      <c r="H189" s="37" t="inlineStr">
        <is>
          <t>N</t>
        </is>
      </c>
      <c r="I189" s="37">
        <f>COUNTIF(G$5:G189,"Y")/COUNTA(G$5:G189)</f>
        <v/>
      </c>
      <c r="J189" s="37">
        <f>COUNTIF(H$5:H189,"Y")/COUNTA(H$5:H189)</f>
        <v/>
      </c>
      <c r="K189" s="37">
        <f>AVERAGE(F$5:F189)</f>
        <v/>
      </c>
      <c r="L189" s="37">
        <f>SUM(F$5:F189)/SUM(E$5:E189)</f>
        <v/>
      </c>
    </row>
    <row r="190">
      <c r="A190" s="29" t="n">
        <v>45652</v>
      </c>
      <c r="B190" s="37" t="inlineStr">
        <is>
          <t>JOB-1186</t>
        </is>
      </c>
      <c r="C190" s="34" t="n">
        <v>1</v>
      </c>
      <c r="D190" s="37" t="inlineStr">
        <is>
          <t>Tech D</t>
        </is>
      </c>
      <c r="E190" s="35" t="n">
        <v>2</v>
      </c>
      <c r="F190" s="35" t="n">
        <v>1.5</v>
      </c>
      <c r="G190" s="37" t="inlineStr">
        <is>
          <t>Y</t>
        </is>
      </c>
      <c r="H190" s="37" t="inlineStr">
        <is>
          <t>Y</t>
        </is>
      </c>
      <c r="I190" s="37">
        <f>COUNTIF(G$5:G190,"Y")/COUNTA(G$5:G190)</f>
        <v/>
      </c>
      <c r="J190" s="37">
        <f>COUNTIF(H$5:H190,"Y")/COUNTA(H$5:H190)</f>
        <v/>
      </c>
      <c r="K190" s="37">
        <f>AVERAGE(F$5:F190)</f>
        <v/>
      </c>
      <c r="L190" s="37">
        <f>SUM(F$5:F190)/SUM(E$5:E190)</f>
        <v/>
      </c>
    </row>
    <row r="191">
      <c r="A191" s="29" t="n">
        <v>45653</v>
      </c>
      <c r="B191" s="37" t="inlineStr">
        <is>
          <t>JOB-1187</t>
        </is>
      </c>
      <c r="C191" s="34" t="n">
        <v>1</v>
      </c>
      <c r="D191" s="37" t="inlineStr">
        <is>
          <t>Tech H</t>
        </is>
      </c>
      <c r="E191" s="35" t="n">
        <v>4.4</v>
      </c>
      <c r="F191" s="35" t="n">
        <v>2.9</v>
      </c>
      <c r="G191" s="37" t="inlineStr">
        <is>
          <t>Y</t>
        </is>
      </c>
      <c r="H191" s="37" t="inlineStr">
        <is>
          <t>N</t>
        </is>
      </c>
      <c r="I191" s="37">
        <f>COUNTIF(G$5:G191,"Y")/COUNTA(G$5:G191)</f>
        <v/>
      </c>
      <c r="J191" s="37">
        <f>COUNTIF(H$5:H191,"Y")/COUNTA(H$5:H191)</f>
        <v/>
      </c>
      <c r="K191" s="37">
        <f>AVERAGE(F$5:F191)</f>
        <v/>
      </c>
      <c r="L191" s="37">
        <f>SUM(F$5:F191)/SUM(E$5:E191)</f>
        <v/>
      </c>
    </row>
    <row r="192">
      <c r="A192" s="29" t="n">
        <v>45649</v>
      </c>
      <c r="B192" s="37" t="inlineStr">
        <is>
          <t>JOB-1188</t>
        </is>
      </c>
      <c r="C192" s="34" t="n">
        <v>1</v>
      </c>
      <c r="D192" s="37" t="inlineStr">
        <is>
          <t>Tech D</t>
        </is>
      </c>
      <c r="E192" s="35" t="n">
        <v>1.3</v>
      </c>
      <c r="F192" s="35" t="n">
        <v>1</v>
      </c>
      <c r="G192" s="37" t="inlineStr">
        <is>
          <t>Y</t>
        </is>
      </c>
      <c r="H192" s="37" t="inlineStr">
        <is>
          <t>N</t>
        </is>
      </c>
      <c r="I192" s="37">
        <f>COUNTIF(G$5:G192,"Y")/COUNTA(G$5:G192)</f>
        <v/>
      </c>
      <c r="J192" s="37">
        <f>COUNTIF(H$5:H192,"Y")/COUNTA(H$5:H192)</f>
        <v/>
      </c>
      <c r="K192" s="37">
        <f>AVERAGE(F$5:F192)</f>
        <v/>
      </c>
      <c r="L192" s="37">
        <f>SUM(F$5:F192)/SUM(E$5:E192)</f>
        <v/>
      </c>
    </row>
    <row r="193">
      <c r="A193" s="29" t="n">
        <v>45650</v>
      </c>
      <c r="B193" s="37" t="inlineStr">
        <is>
          <t>JOB-1189</t>
        </is>
      </c>
      <c r="C193" s="34" t="n">
        <v>1</v>
      </c>
      <c r="D193" s="37" t="inlineStr">
        <is>
          <t>Tech C</t>
        </is>
      </c>
      <c r="E193" s="35" t="n">
        <v>1.8</v>
      </c>
      <c r="F193" s="35" t="n">
        <v>0.5</v>
      </c>
      <c r="G193" s="37" t="inlineStr">
        <is>
          <t>Y</t>
        </is>
      </c>
      <c r="H193" s="37" t="inlineStr">
        <is>
          <t>N</t>
        </is>
      </c>
      <c r="I193" s="37">
        <f>COUNTIF(G$5:G193,"Y")/COUNTA(G$5:G193)</f>
        <v/>
      </c>
      <c r="J193" s="37">
        <f>COUNTIF(H$5:H193,"Y")/COUNTA(H$5:H193)</f>
        <v/>
      </c>
      <c r="K193" s="37">
        <f>AVERAGE(F$5:F193)</f>
        <v/>
      </c>
      <c r="L193" s="37">
        <f>SUM(F$5:F193)/SUM(E$5:E193)</f>
        <v/>
      </c>
      <c r="M193" s="37" t="n">
        <v>24</v>
      </c>
    </row>
    <row r="194">
      <c r="A194" s="29" t="n">
        <v>45656</v>
      </c>
      <c r="B194" s="37" t="inlineStr">
        <is>
          <t>JOB-1190</t>
        </is>
      </c>
      <c r="C194" s="34" t="n">
        <v>1</v>
      </c>
      <c r="D194" s="37" t="inlineStr">
        <is>
          <t>Tech C</t>
        </is>
      </c>
      <c r="E194" s="35" t="n">
        <v>3.8</v>
      </c>
      <c r="F194" s="35" t="n">
        <v>2.9</v>
      </c>
      <c r="G194" s="37" t="inlineStr">
        <is>
          <t>Y</t>
        </is>
      </c>
      <c r="H194" s="37" t="inlineStr">
        <is>
          <t>N</t>
        </is>
      </c>
      <c r="I194" s="37">
        <f>COUNTIF(G$5:G194,"Y")/COUNTA(G$5:G194)</f>
        <v/>
      </c>
      <c r="J194" s="37">
        <f>COUNTIF(H$5:H194,"Y")/COUNTA(H$5:H194)</f>
        <v/>
      </c>
      <c r="K194" s="37">
        <f>AVERAGE(F$5:F194)</f>
        <v/>
      </c>
      <c r="L194" s="37">
        <f>SUM(F$5:F194)/SUM(E$5:E194)</f>
        <v/>
      </c>
    </row>
    <row r="195">
      <c r="A195" s="29" t="n">
        <v>45657</v>
      </c>
      <c r="B195" s="37" t="inlineStr">
        <is>
          <t>JOB-1191</t>
        </is>
      </c>
      <c r="C195" s="34" t="n">
        <v>1</v>
      </c>
      <c r="D195" s="37" t="inlineStr">
        <is>
          <t>Tech C</t>
        </is>
      </c>
      <c r="E195" s="35" t="n">
        <v>3.6</v>
      </c>
      <c r="F195" s="35" t="n">
        <v>3.1</v>
      </c>
      <c r="G195" s="37" t="inlineStr">
        <is>
          <t>Y</t>
        </is>
      </c>
      <c r="H195" s="37" t="inlineStr">
        <is>
          <t>N</t>
        </is>
      </c>
      <c r="I195" s="37">
        <f>COUNTIF(G$5:G195,"Y")/COUNTA(G$5:G195)</f>
        <v/>
      </c>
      <c r="J195" s="37">
        <f>COUNTIF(H$5:H195,"Y")/COUNTA(H$5:H195)</f>
        <v/>
      </c>
      <c r="K195" s="37">
        <f>AVERAGE(F$5:F195)</f>
        <v/>
      </c>
      <c r="L195" s="37">
        <f>SUM(F$5:F195)/SUM(E$5:E195)</f>
        <v/>
      </c>
    </row>
    <row r="196">
      <c r="A196" s="29" t="n">
        <v>45658</v>
      </c>
      <c r="B196" s="37" t="inlineStr">
        <is>
          <t>JOB-1192</t>
        </is>
      </c>
      <c r="C196" s="34" t="n">
        <v>1</v>
      </c>
      <c r="D196" s="37" t="inlineStr">
        <is>
          <t>Tech C</t>
        </is>
      </c>
      <c r="E196" s="35" t="n">
        <v>1.6</v>
      </c>
      <c r="F196" s="35" t="n">
        <v>1.3</v>
      </c>
      <c r="G196" s="37" t="inlineStr">
        <is>
          <t>Y</t>
        </is>
      </c>
      <c r="H196" s="37" t="inlineStr">
        <is>
          <t>N</t>
        </is>
      </c>
      <c r="I196" s="37">
        <f>COUNTIF(G$5:G196,"Y")/COUNTA(G$5:G196)</f>
        <v/>
      </c>
      <c r="J196" s="37">
        <f>COUNTIF(H$5:H196,"Y")/COUNTA(H$5:H196)</f>
        <v/>
      </c>
      <c r="K196" s="37">
        <f>AVERAGE(F$5:F196)</f>
        <v/>
      </c>
      <c r="L196" s="37">
        <f>SUM(F$5:F196)/SUM(E$5:E196)</f>
        <v/>
      </c>
    </row>
    <row r="197">
      <c r="A197" s="29" t="n">
        <v>45659</v>
      </c>
      <c r="B197" s="37" t="inlineStr">
        <is>
          <t>JOB-1193</t>
        </is>
      </c>
      <c r="C197" s="34" t="n">
        <v>1</v>
      </c>
      <c r="D197" s="37" t="inlineStr">
        <is>
          <t>Tech D</t>
        </is>
      </c>
      <c r="E197" s="35" t="n">
        <v>2.1</v>
      </c>
      <c r="F197" s="35" t="n">
        <v>1.4</v>
      </c>
      <c r="G197" s="37" t="inlineStr">
        <is>
          <t>Y</t>
        </is>
      </c>
      <c r="H197" s="37" t="inlineStr">
        <is>
          <t>N</t>
        </is>
      </c>
      <c r="I197" s="37">
        <f>COUNTIF(G$5:G197,"Y")/COUNTA(G$5:G197)</f>
        <v/>
      </c>
      <c r="J197" s="37">
        <f>COUNTIF(H$5:H197,"Y")/COUNTA(H$5:H197)</f>
        <v/>
      </c>
      <c r="K197" s="37">
        <f>AVERAGE(F$5:F197)</f>
        <v/>
      </c>
      <c r="L197" s="37">
        <f>SUM(F$5:F197)/SUM(E$5:E197)</f>
        <v/>
      </c>
    </row>
    <row r="198">
      <c r="A198" s="29" t="n">
        <v>45660</v>
      </c>
      <c r="B198" s="37" t="inlineStr">
        <is>
          <t>JOB-1194</t>
        </is>
      </c>
      <c r="C198" s="34" t="n">
        <v>1</v>
      </c>
      <c r="D198" s="37" t="inlineStr">
        <is>
          <t>Tech B</t>
        </is>
      </c>
      <c r="E198" s="35" t="n">
        <v>5.1</v>
      </c>
      <c r="F198" s="35" t="n">
        <v>3.4</v>
      </c>
      <c r="G198" s="37" t="inlineStr">
        <is>
          <t>Y</t>
        </is>
      </c>
      <c r="H198" s="37" t="inlineStr">
        <is>
          <t>Y</t>
        </is>
      </c>
      <c r="I198" s="37">
        <f>COUNTIF(G$5:G198,"Y")/COUNTA(G$5:G198)</f>
        <v/>
      </c>
      <c r="J198" s="37">
        <f>COUNTIF(H$5:H198,"Y")/COUNTA(H$5:H198)</f>
        <v/>
      </c>
      <c r="K198" s="37">
        <f>AVERAGE(F$5:F198)</f>
        <v/>
      </c>
      <c r="L198" s="37">
        <f>SUM(F$5:F198)/SUM(E$5:E198)</f>
        <v/>
      </c>
    </row>
    <row r="199">
      <c r="A199" s="29" t="n">
        <v>45656</v>
      </c>
      <c r="B199" s="37" t="inlineStr">
        <is>
          <t>JOB-1195</t>
        </is>
      </c>
      <c r="C199" s="34" t="n">
        <v>1</v>
      </c>
      <c r="D199" s="37" t="inlineStr">
        <is>
          <t>Tech B</t>
        </is>
      </c>
      <c r="E199" s="35" t="n">
        <v>1.7</v>
      </c>
      <c r="F199" s="35" t="n">
        <v>1.1</v>
      </c>
      <c r="G199" s="37" t="inlineStr">
        <is>
          <t>Y</t>
        </is>
      </c>
      <c r="H199" s="37" t="inlineStr">
        <is>
          <t>N</t>
        </is>
      </c>
      <c r="I199" s="37">
        <f>COUNTIF(G$5:G199,"Y")/COUNTA(G$5:G199)</f>
        <v/>
      </c>
      <c r="J199" s="37">
        <f>COUNTIF(H$5:H199,"Y")/COUNTA(H$5:H199)</f>
        <v/>
      </c>
      <c r="K199" s="37">
        <f>AVERAGE(F$5:F199)</f>
        <v/>
      </c>
      <c r="L199" s="37">
        <f>SUM(F$5:F199)/SUM(E$5:E199)</f>
        <v/>
      </c>
    </row>
    <row r="200">
      <c r="A200" s="29" t="n">
        <v>45657</v>
      </c>
      <c r="B200" s="37" t="inlineStr">
        <is>
          <t>JOB-1196</t>
        </is>
      </c>
      <c r="C200" s="34" t="n">
        <v>1</v>
      </c>
      <c r="D200" s="37" t="inlineStr">
        <is>
          <t>Tech F</t>
        </is>
      </c>
      <c r="E200" s="35" t="n">
        <v>2.7</v>
      </c>
      <c r="F200" s="35" t="n">
        <v>2.3</v>
      </c>
      <c r="G200" s="37" t="inlineStr">
        <is>
          <t>Y</t>
        </is>
      </c>
      <c r="H200" s="37" t="inlineStr">
        <is>
          <t>N</t>
        </is>
      </c>
      <c r="I200" s="37">
        <f>COUNTIF(G$5:G200,"Y")/COUNTA(G$5:G200)</f>
        <v/>
      </c>
      <c r="J200" s="37">
        <f>COUNTIF(H$5:H200,"Y")/COUNTA(H$5:H200)</f>
        <v/>
      </c>
      <c r="K200" s="37">
        <f>AVERAGE(F$5:F200)</f>
        <v/>
      </c>
      <c r="L200" s="37">
        <f>SUM(F$5:F200)/SUM(E$5:E200)</f>
        <v/>
      </c>
    </row>
    <row r="201">
      <c r="A201" s="29" t="n">
        <v>45658</v>
      </c>
      <c r="B201" s="37" t="inlineStr">
        <is>
          <t>JOB-1197</t>
        </is>
      </c>
      <c r="C201" s="34" t="n">
        <v>1</v>
      </c>
      <c r="D201" s="37" t="inlineStr">
        <is>
          <t>Tech D</t>
        </is>
      </c>
      <c r="E201" s="35" t="n">
        <v>3.5</v>
      </c>
      <c r="F201" s="35" t="n">
        <v>2.5</v>
      </c>
      <c r="G201" s="37" t="inlineStr">
        <is>
          <t>Y</t>
        </is>
      </c>
      <c r="H201" s="37" t="inlineStr">
        <is>
          <t>N</t>
        </is>
      </c>
      <c r="I201" s="37">
        <f>COUNTIF(G$5:G201,"Y")/COUNTA(G$5:G201)</f>
        <v/>
      </c>
      <c r="J201" s="37">
        <f>COUNTIF(H$5:H201,"Y")/COUNTA(H$5:H201)</f>
        <v/>
      </c>
      <c r="K201" s="37">
        <f>AVERAGE(F$5:F201)</f>
        <v/>
      </c>
      <c r="L201" s="37">
        <f>SUM(F$5:F201)/SUM(E$5:E201)</f>
        <v/>
      </c>
    </row>
    <row r="202">
      <c r="A202" s="29" t="n">
        <v>45659</v>
      </c>
      <c r="B202" s="37" t="inlineStr">
        <is>
          <t>JOB-1198</t>
        </is>
      </c>
      <c r="C202" s="34" t="n">
        <v>1</v>
      </c>
      <c r="D202" s="37" t="inlineStr">
        <is>
          <t>Tech F</t>
        </is>
      </c>
      <c r="E202" s="35" t="n">
        <v>3.2</v>
      </c>
      <c r="F202" s="35" t="n">
        <v>2.4</v>
      </c>
      <c r="G202" s="37" t="inlineStr">
        <is>
          <t>Y</t>
        </is>
      </c>
      <c r="H202" s="37" t="inlineStr">
        <is>
          <t>N</t>
        </is>
      </c>
      <c r="I202" s="37">
        <f>COUNTIF(G$5:G202,"Y")/COUNTA(G$5:G202)</f>
        <v/>
      </c>
      <c r="J202" s="37">
        <f>COUNTIF(H$5:H202,"Y")/COUNTA(H$5:H202)</f>
        <v/>
      </c>
      <c r="K202" s="37">
        <f>AVERAGE(F$5:F202)</f>
        <v/>
      </c>
      <c r="L202" s="37">
        <f>SUM(F$5:F202)/SUM(E$5:E202)</f>
        <v/>
      </c>
    </row>
    <row r="203">
      <c r="A203" s="29" t="n">
        <v>45660</v>
      </c>
      <c r="B203" s="37" t="inlineStr">
        <is>
          <t>JOB-1199</t>
        </is>
      </c>
      <c r="C203" s="34" t="n">
        <v>1</v>
      </c>
      <c r="D203" s="37" t="inlineStr">
        <is>
          <t>Tech H</t>
        </is>
      </c>
      <c r="E203" s="35" t="n">
        <v>1.5</v>
      </c>
      <c r="F203" s="35" t="n">
        <v>1.2</v>
      </c>
      <c r="G203" s="37" t="inlineStr">
        <is>
          <t>Y</t>
        </is>
      </c>
      <c r="H203" s="37" t="inlineStr">
        <is>
          <t>N</t>
        </is>
      </c>
      <c r="I203" s="37">
        <f>COUNTIF(G$5:G203,"Y")/COUNTA(G$5:G203)</f>
        <v/>
      </c>
      <c r="J203" s="37">
        <f>COUNTIF(H$5:H203,"Y")/COUNTA(H$5:H203)</f>
        <v/>
      </c>
      <c r="K203" s="37">
        <f>AVERAGE(F$5:F203)</f>
        <v/>
      </c>
      <c r="L203" s="37">
        <f>SUM(F$5:F203)/SUM(E$5:E203)</f>
        <v/>
      </c>
    </row>
    <row r="204">
      <c r="A204" s="29" t="n">
        <v>45656</v>
      </c>
      <c r="B204" s="37" t="inlineStr">
        <is>
          <t>JOB-1200</t>
        </is>
      </c>
      <c r="C204" s="34" t="n">
        <v>1</v>
      </c>
      <c r="D204" s="37" t="inlineStr">
        <is>
          <t>Tech G</t>
        </is>
      </c>
      <c r="E204" s="35" t="n">
        <v>1.8</v>
      </c>
      <c r="F204" s="35" t="n">
        <v>1.4</v>
      </c>
      <c r="G204" s="37" t="inlineStr">
        <is>
          <t>Y</t>
        </is>
      </c>
      <c r="H204" s="37" t="inlineStr">
        <is>
          <t>N</t>
        </is>
      </c>
      <c r="I204" s="37">
        <f>COUNTIF(G$5:G204,"Y")/COUNTA(G$5:G204)</f>
        <v/>
      </c>
      <c r="J204" s="37">
        <f>COUNTIF(H$5:H204,"Y")/COUNTA(H$5:H204)</f>
        <v/>
      </c>
      <c r="K204" s="37">
        <f>AVERAGE(F$5:F204)</f>
        <v/>
      </c>
      <c r="L204" s="37">
        <f>SUM(F$5:F204)/SUM(E$5:E204)</f>
        <v/>
      </c>
    </row>
    <row r="205">
      <c r="A205" s="29" t="n">
        <v>45657</v>
      </c>
      <c r="B205" s="37" t="inlineStr">
        <is>
          <t>JOB-1201</t>
        </is>
      </c>
      <c r="C205" s="34" t="n">
        <v>1</v>
      </c>
      <c r="D205" s="37" t="inlineStr">
        <is>
          <t>Tech B</t>
        </is>
      </c>
      <c r="E205" s="35" t="n">
        <v>4.7</v>
      </c>
      <c r="F205" s="35" t="n">
        <v>3.5</v>
      </c>
      <c r="G205" s="37" t="inlineStr">
        <is>
          <t>N</t>
        </is>
      </c>
      <c r="H205" s="37" t="inlineStr">
        <is>
          <t>N</t>
        </is>
      </c>
      <c r="I205" s="37">
        <f>COUNTIF(G$5:G205,"Y")/COUNTA(G$5:G205)</f>
        <v/>
      </c>
      <c r="J205" s="37">
        <f>COUNTIF(H$5:H205,"Y")/COUNTA(H$5:H205)</f>
        <v/>
      </c>
      <c r="K205" s="37">
        <f>AVERAGE(F$5:F205)</f>
        <v/>
      </c>
      <c r="L205" s="37">
        <f>SUM(F$5:F205)/SUM(E$5:E205)</f>
        <v/>
      </c>
    </row>
    <row r="206">
      <c r="A206" s="29" t="n">
        <v>45658</v>
      </c>
      <c r="B206" s="37" t="inlineStr">
        <is>
          <t>JOB-1202</t>
        </is>
      </c>
      <c r="C206" s="34" t="n">
        <v>1</v>
      </c>
      <c r="D206" s="37" t="inlineStr">
        <is>
          <t>Tech B</t>
        </is>
      </c>
      <c r="E206" s="35" t="n">
        <v>1.5</v>
      </c>
      <c r="F206" s="35" t="n">
        <v>1.1</v>
      </c>
      <c r="G206" s="37" t="inlineStr">
        <is>
          <t>Y</t>
        </is>
      </c>
      <c r="H206" s="37" t="inlineStr">
        <is>
          <t>N</t>
        </is>
      </c>
      <c r="I206" s="37">
        <f>COUNTIF(G$5:G206,"Y")/COUNTA(G$5:G206)</f>
        <v/>
      </c>
      <c r="J206" s="37">
        <f>COUNTIF(H$5:H206,"Y")/COUNTA(H$5:H206)</f>
        <v/>
      </c>
      <c r="K206" s="37">
        <f>AVERAGE(F$5:F206)</f>
        <v/>
      </c>
      <c r="L206" s="37">
        <f>SUM(F$5:F206)/SUM(E$5:E206)</f>
        <v/>
      </c>
    </row>
    <row r="207">
      <c r="A207" s="29" t="n">
        <v>45659</v>
      </c>
      <c r="B207" s="37" t="inlineStr">
        <is>
          <t>JOB-1203</t>
        </is>
      </c>
      <c r="C207" s="34" t="n">
        <v>1</v>
      </c>
      <c r="D207" s="37" t="inlineStr">
        <is>
          <t>Tech B</t>
        </is>
      </c>
      <c r="E207" s="35" t="n">
        <v>4.6</v>
      </c>
      <c r="F207" s="35" t="n">
        <v>3.2</v>
      </c>
      <c r="G207" s="37" t="inlineStr">
        <is>
          <t>Y</t>
        </is>
      </c>
      <c r="H207" s="37" t="inlineStr">
        <is>
          <t>N</t>
        </is>
      </c>
      <c r="I207" s="37">
        <f>COUNTIF(G$5:G207,"Y")/COUNTA(G$5:G207)</f>
        <v/>
      </c>
      <c r="J207" s="37">
        <f>COUNTIF(H$5:H207,"Y")/COUNTA(H$5:H207)</f>
        <v/>
      </c>
      <c r="K207" s="37">
        <f>AVERAGE(F$5:F207)</f>
        <v/>
      </c>
      <c r="L207" s="37">
        <f>SUM(F$5:F207)/SUM(E$5:E207)</f>
        <v/>
      </c>
    </row>
    <row r="208">
      <c r="A208" s="29" t="n">
        <v>45660</v>
      </c>
      <c r="B208" s="37" t="inlineStr">
        <is>
          <t>JOB-1204</t>
        </is>
      </c>
      <c r="C208" s="34" t="n">
        <v>1</v>
      </c>
      <c r="D208" s="37" t="inlineStr">
        <is>
          <t>Tech A</t>
        </is>
      </c>
      <c r="E208" s="35" t="n">
        <v>2.2</v>
      </c>
      <c r="F208" s="35" t="n">
        <v>1.9</v>
      </c>
      <c r="G208" s="37" t="inlineStr">
        <is>
          <t>Y</t>
        </is>
      </c>
      <c r="H208" s="37" t="inlineStr">
        <is>
          <t>N</t>
        </is>
      </c>
      <c r="I208" s="37">
        <f>COUNTIF(G$5:G208,"Y")/COUNTA(G$5:G208)</f>
        <v/>
      </c>
      <c r="J208" s="37">
        <f>COUNTIF(H$5:H208,"Y")/COUNTA(H$5:H208)</f>
        <v/>
      </c>
      <c r="K208" s="37">
        <f>AVERAGE(F$5:F208)</f>
        <v/>
      </c>
      <c r="L208" s="37">
        <f>SUM(F$5:F208)/SUM(E$5:E208)</f>
        <v/>
      </c>
    </row>
    <row r="209">
      <c r="A209" s="29" t="n">
        <v>45656</v>
      </c>
      <c r="B209" s="37" t="inlineStr">
        <is>
          <t>JOB-1205</t>
        </is>
      </c>
      <c r="C209" s="34" t="n">
        <v>1</v>
      </c>
      <c r="D209" s="37" t="inlineStr">
        <is>
          <t>Tech F</t>
        </is>
      </c>
      <c r="E209" s="35" t="n">
        <v>2.7</v>
      </c>
      <c r="F209" s="35" t="n">
        <v>2.2</v>
      </c>
      <c r="G209" s="37" t="inlineStr">
        <is>
          <t>Y</t>
        </is>
      </c>
      <c r="H209" s="37" t="inlineStr">
        <is>
          <t>N</t>
        </is>
      </c>
      <c r="I209" s="37">
        <f>COUNTIF(G$5:G209,"Y")/COUNTA(G$5:G209)</f>
        <v/>
      </c>
      <c r="J209" s="37">
        <f>COUNTIF(H$5:H209,"Y")/COUNTA(H$5:H209)</f>
        <v/>
      </c>
      <c r="K209" s="37">
        <f>AVERAGE(F$5:F209)</f>
        <v/>
      </c>
      <c r="L209" s="37">
        <f>SUM(F$5:F209)/SUM(E$5:E209)</f>
        <v/>
      </c>
    </row>
    <row r="210">
      <c r="A210" s="29" t="n">
        <v>45657</v>
      </c>
      <c r="B210" s="37" t="inlineStr">
        <is>
          <t>JOB-1206</t>
        </is>
      </c>
      <c r="C210" s="34" t="n">
        <v>1</v>
      </c>
      <c r="D210" s="37" t="inlineStr">
        <is>
          <t>Tech G</t>
        </is>
      </c>
      <c r="E210" s="35" t="n">
        <v>4</v>
      </c>
      <c r="F210" s="35" t="n">
        <v>3.3</v>
      </c>
      <c r="G210" s="37" t="inlineStr">
        <is>
          <t>Y</t>
        </is>
      </c>
      <c r="H210" s="37" t="inlineStr">
        <is>
          <t>N</t>
        </is>
      </c>
      <c r="I210" s="37">
        <f>COUNTIF(G$5:G210,"Y")/COUNTA(G$5:G210)</f>
        <v/>
      </c>
      <c r="J210" s="37">
        <f>COUNTIF(H$5:H210,"Y")/COUNTA(H$5:H210)</f>
        <v/>
      </c>
      <c r="K210" s="37">
        <f>AVERAGE(F$5:F210)</f>
        <v/>
      </c>
      <c r="L210" s="37">
        <f>SUM(F$5:F210)/SUM(E$5:E210)</f>
        <v/>
      </c>
    </row>
    <row r="211">
      <c r="A211" s="29" t="n">
        <v>45658</v>
      </c>
      <c r="B211" s="37" t="inlineStr">
        <is>
          <t>JOB-1207</t>
        </is>
      </c>
      <c r="C211" s="34" t="n">
        <v>1</v>
      </c>
      <c r="D211" s="37" t="inlineStr">
        <is>
          <t>Tech D</t>
        </is>
      </c>
      <c r="E211" s="35" t="n">
        <v>5.1</v>
      </c>
      <c r="F211" s="35" t="n">
        <v>3.6</v>
      </c>
      <c r="G211" s="37" t="inlineStr">
        <is>
          <t>N</t>
        </is>
      </c>
      <c r="H211" s="37" t="inlineStr">
        <is>
          <t>N</t>
        </is>
      </c>
      <c r="I211" s="37">
        <f>COUNTIF(G$5:G211,"Y")/COUNTA(G$5:G211)</f>
        <v/>
      </c>
      <c r="J211" s="37">
        <f>COUNTIF(H$5:H211,"Y")/COUNTA(H$5:H211)</f>
        <v/>
      </c>
      <c r="K211" s="37">
        <f>AVERAGE(F$5:F211)</f>
        <v/>
      </c>
      <c r="L211" s="37">
        <f>SUM(F$5:F211)/SUM(E$5:E211)</f>
        <v/>
      </c>
    </row>
    <row r="212">
      <c r="A212" s="29" t="n">
        <v>45659</v>
      </c>
      <c r="B212" s="37" t="inlineStr">
        <is>
          <t>JOB-1208</t>
        </is>
      </c>
      <c r="C212" s="34" t="n">
        <v>1</v>
      </c>
      <c r="D212" s="37" t="inlineStr">
        <is>
          <t>Tech F</t>
        </is>
      </c>
      <c r="E212" s="35" t="n">
        <v>2.3</v>
      </c>
      <c r="F212" s="35" t="n">
        <v>1.5</v>
      </c>
      <c r="G212" s="37" t="inlineStr">
        <is>
          <t>N</t>
        </is>
      </c>
      <c r="H212" s="37" t="inlineStr">
        <is>
          <t>N</t>
        </is>
      </c>
      <c r="I212" s="37">
        <f>COUNTIF(G$5:G212,"Y")/COUNTA(G$5:G212)</f>
        <v/>
      </c>
      <c r="J212" s="37">
        <f>COUNTIF(H$5:H212,"Y")/COUNTA(H$5:H212)</f>
        <v/>
      </c>
      <c r="K212" s="37">
        <f>AVERAGE(F$5:F212)</f>
        <v/>
      </c>
      <c r="L212" s="37">
        <f>SUM(F$5:F212)/SUM(E$5:E212)</f>
        <v/>
      </c>
    </row>
    <row r="213">
      <c r="A213" s="29" t="n">
        <v>45660</v>
      </c>
      <c r="B213" s="37" t="inlineStr">
        <is>
          <t>JOB-1209</t>
        </is>
      </c>
      <c r="C213" s="34" t="n">
        <v>1</v>
      </c>
      <c r="D213" s="37" t="inlineStr">
        <is>
          <t>Tech H</t>
        </is>
      </c>
      <c r="E213" s="35" t="n">
        <v>2.6</v>
      </c>
      <c r="F213" s="35" t="n">
        <v>1.8</v>
      </c>
      <c r="G213" s="37" t="inlineStr">
        <is>
          <t>Y</t>
        </is>
      </c>
      <c r="H213" s="37" t="inlineStr">
        <is>
          <t>N</t>
        </is>
      </c>
      <c r="I213" s="37">
        <f>COUNTIF(G$5:G213,"Y")/COUNTA(G$5:G213)</f>
        <v/>
      </c>
      <c r="J213" s="37">
        <f>COUNTIF(H$5:H213,"Y")/COUNTA(H$5:H213)</f>
        <v/>
      </c>
      <c r="K213" s="37">
        <f>AVERAGE(F$5:F213)</f>
        <v/>
      </c>
      <c r="L213" s="37">
        <f>SUM(F$5:F213)/SUM(E$5:E213)</f>
        <v/>
      </c>
    </row>
    <row r="214">
      <c r="A214" s="29" t="n">
        <v>45656</v>
      </c>
      <c r="B214" s="37" t="inlineStr">
        <is>
          <t>JOB-1210</t>
        </is>
      </c>
      <c r="C214" s="34" t="n">
        <v>1</v>
      </c>
      <c r="D214" s="37" t="inlineStr">
        <is>
          <t>Tech B</t>
        </is>
      </c>
      <c r="E214" s="35" t="n">
        <v>3</v>
      </c>
      <c r="F214" s="35" t="n">
        <v>2.2</v>
      </c>
      <c r="G214" s="37" t="inlineStr">
        <is>
          <t>Y</t>
        </is>
      </c>
      <c r="H214" s="37" t="inlineStr">
        <is>
          <t>Y</t>
        </is>
      </c>
      <c r="I214" s="37">
        <f>COUNTIF(G$5:G214,"Y")/COUNTA(G$5:G214)</f>
        <v/>
      </c>
      <c r="J214" s="37">
        <f>COUNTIF(H$5:H214,"Y")/COUNTA(H$5:H214)</f>
        <v/>
      </c>
      <c r="K214" s="37">
        <f>AVERAGE(F$5:F214)</f>
        <v/>
      </c>
      <c r="L214" s="37">
        <f>SUM(F$5:F214)/SUM(E$5:E214)</f>
        <v/>
      </c>
    </row>
    <row r="215">
      <c r="A215" s="29" t="n">
        <v>45657</v>
      </c>
      <c r="B215" s="37" t="inlineStr">
        <is>
          <t>JOB-1211</t>
        </is>
      </c>
      <c r="C215" s="34" t="n">
        <v>1</v>
      </c>
      <c r="D215" s="37" t="inlineStr">
        <is>
          <t>Tech D</t>
        </is>
      </c>
      <c r="E215" s="35" t="n">
        <v>3.1</v>
      </c>
      <c r="F215" s="35" t="n">
        <v>2.3</v>
      </c>
      <c r="G215" s="37" t="inlineStr">
        <is>
          <t>Y</t>
        </is>
      </c>
      <c r="H215" s="37" t="inlineStr">
        <is>
          <t>N</t>
        </is>
      </c>
      <c r="I215" s="37">
        <f>COUNTIF(G$5:G215,"Y")/COUNTA(G$5:G215)</f>
        <v/>
      </c>
      <c r="J215" s="37">
        <f>COUNTIF(H$5:H215,"Y")/COUNTA(H$5:H215)</f>
        <v/>
      </c>
      <c r="K215" s="37">
        <f>AVERAGE(F$5:F215)</f>
        <v/>
      </c>
      <c r="L215" s="37">
        <f>SUM(F$5:F215)/SUM(E$5:E215)</f>
        <v/>
      </c>
    </row>
    <row r="216">
      <c r="A216" s="29" t="n">
        <v>45658</v>
      </c>
      <c r="B216" s="37" t="inlineStr">
        <is>
          <t>JOB-1212</t>
        </is>
      </c>
      <c r="C216" s="34" t="n">
        <v>1</v>
      </c>
      <c r="D216" s="37" t="inlineStr">
        <is>
          <t>Tech F</t>
        </is>
      </c>
      <c r="E216" s="35" t="n">
        <v>1.7</v>
      </c>
      <c r="F216" s="35" t="n">
        <v>1.4</v>
      </c>
      <c r="G216" s="37" t="inlineStr">
        <is>
          <t>Y</t>
        </is>
      </c>
      <c r="H216" s="37" t="inlineStr">
        <is>
          <t>N</t>
        </is>
      </c>
      <c r="I216" s="37">
        <f>COUNTIF(G$5:G216,"Y")/COUNTA(G$5:G216)</f>
        <v/>
      </c>
      <c r="J216" s="37">
        <f>COUNTIF(H$5:H216,"Y")/COUNTA(H$5:H216)</f>
        <v/>
      </c>
      <c r="K216" s="37">
        <f>AVERAGE(F$5:F216)</f>
        <v/>
      </c>
      <c r="L216" s="37">
        <f>SUM(F$5:F216)/SUM(E$5:E216)</f>
        <v/>
      </c>
    </row>
    <row r="217">
      <c r="A217" s="29" t="n">
        <v>45659</v>
      </c>
      <c r="B217" s="37" t="inlineStr">
        <is>
          <t>JOB-1213</t>
        </is>
      </c>
      <c r="C217" s="34" t="n">
        <v>1</v>
      </c>
      <c r="D217" s="37" t="inlineStr">
        <is>
          <t>Tech B</t>
        </is>
      </c>
      <c r="E217" s="35" t="n">
        <v>3.9</v>
      </c>
      <c r="F217" s="35" t="n">
        <v>2.7</v>
      </c>
      <c r="G217" s="37" t="inlineStr">
        <is>
          <t>N</t>
        </is>
      </c>
      <c r="H217" s="37" t="inlineStr">
        <is>
          <t>N</t>
        </is>
      </c>
      <c r="I217" s="37">
        <f>COUNTIF(G$5:G217,"Y")/COUNTA(G$5:G217)</f>
        <v/>
      </c>
      <c r="J217" s="37">
        <f>COUNTIF(H$5:H217,"Y")/COUNTA(H$5:H217)</f>
        <v/>
      </c>
      <c r="K217" s="37">
        <f>AVERAGE(F$5:F217)</f>
        <v/>
      </c>
      <c r="L217" s="37">
        <f>SUM(F$5:F217)/SUM(E$5:E217)</f>
        <v/>
      </c>
    </row>
    <row r="218">
      <c r="A218" s="29" t="n">
        <v>45660</v>
      </c>
      <c r="B218" s="37" t="inlineStr">
        <is>
          <t>JOB-1214</t>
        </is>
      </c>
      <c r="C218" s="34" t="n">
        <v>1</v>
      </c>
      <c r="D218" s="37" t="inlineStr">
        <is>
          <t>Tech B</t>
        </is>
      </c>
      <c r="E218" s="35" t="n">
        <v>1.7</v>
      </c>
      <c r="F218" s="35" t="n">
        <v>1.4</v>
      </c>
      <c r="G218" s="37" t="inlineStr">
        <is>
          <t>Y</t>
        </is>
      </c>
      <c r="H218" s="37" t="inlineStr">
        <is>
          <t>N</t>
        </is>
      </c>
      <c r="I218" s="37">
        <f>COUNTIF(G$5:G218,"Y")/COUNTA(G$5:G218)</f>
        <v/>
      </c>
      <c r="J218" s="37">
        <f>COUNTIF(H$5:H218,"Y")/COUNTA(H$5:H218)</f>
        <v/>
      </c>
      <c r="K218" s="37">
        <f>AVERAGE(F$5:F218)</f>
        <v/>
      </c>
      <c r="L218" s="37">
        <f>SUM(F$5:F218)/SUM(E$5:E218)</f>
        <v/>
      </c>
    </row>
    <row r="219">
      <c r="A219" s="29" t="n">
        <v>45656</v>
      </c>
      <c r="B219" s="37" t="inlineStr">
        <is>
          <t>JOB-1215</t>
        </is>
      </c>
      <c r="C219" s="34" t="n">
        <v>1</v>
      </c>
      <c r="D219" s="37" t="inlineStr">
        <is>
          <t>Tech D</t>
        </is>
      </c>
      <c r="E219" s="35" t="n">
        <v>4.8</v>
      </c>
      <c r="F219" s="35" t="n">
        <v>3.2</v>
      </c>
      <c r="G219" s="37" t="inlineStr">
        <is>
          <t>Y</t>
        </is>
      </c>
      <c r="H219" s="37" t="inlineStr">
        <is>
          <t>N</t>
        </is>
      </c>
      <c r="I219" s="37">
        <f>COUNTIF(G$5:G219,"Y")/COUNTA(G$5:G219)</f>
        <v/>
      </c>
      <c r="J219" s="37">
        <f>COUNTIF(H$5:H219,"Y")/COUNTA(H$5:H219)</f>
        <v/>
      </c>
      <c r="K219" s="37">
        <f>AVERAGE(F$5:F219)</f>
        <v/>
      </c>
      <c r="L219" s="37">
        <f>SUM(F$5:F219)/SUM(E$5:E219)</f>
        <v/>
      </c>
    </row>
    <row r="220">
      <c r="A220" s="29" t="n">
        <v>45657</v>
      </c>
      <c r="B220" s="37" t="inlineStr">
        <is>
          <t>JOB-1216</t>
        </is>
      </c>
      <c r="C220" s="34" t="n">
        <v>1</v>
      </c>
      <c r="D220" s="37" t="inlineStr">
        <is>
          <t>Tech H</t>
        </is>
      </c>
      <c r="E220" s="35" t="n">
        <v>2.9</v>
      </c>
      <c r="F220" s="35" t="n">
        <v>2</v>
      </c>
      <c r="G220" s="37" t="inlineStr">
        <is>
          <t>Y</t>
        </is>
      </c>
      <c r="H220" s="37" t="inlineStr">
        <is>
          <t>N</t>
        </is>
      </c>
      <c r="I220" s="37">
        <f>COUNTIF(G$5:G220,"Y")/COUNTA(G$5:G220)</f>
        <v/>
      </c>
      <c r="J220" s="37">
        <f>COUNTIF(H$5:H220,"Y")/COUNTA(H$5:H220)</f>
        <v/>
      </c>
      <c r="K220" s="37">
        <f>AVERAGE(F$5:F220)</f>
        <v/>
      </c>
      <c r="L220" s="37">
        <f>SUM(F$5:F220)/SUM(E$5:E220)</f>
        <v/>
      </c>
    </row>
    <row r="221">
      <c r="A221" s="29" t="n">
        <v>45658</v>
      </c>
      <c r="B221" s="37" t="inlineStr">
        <is>
          <t>JOB-1217</t>
        </is>
      </c>
      <c r="C221" s="34" t="n">
        <v>1</v>
      </c>
      <c r="D221" s="37" t="inlineStr">
        <is>
          <t>Tech C</t>
        </is>
      </c>
      <c r="E221" s="35" t="n">
        <v>2.1</v>
      </c>
      <c r="F221" s="35" t="n">
        <v>1.8</v>
      </c>
      <c r="G221" s="37" t="inlineStr">
        <is>
          <t>N</t>
        </is>
      </c>
      <c r="H221" s="37" t="inlineStr">
        <is>
          <t>N</t>
        </is>
      </c>
      <c r="I221" s="37">
        <f>COUNTIF(G$5:G221,"Y")/COUNTA(G$5:G221)</f>
        <v/>
      </c>
      <c r="J221" s="37">
        <f>COUNTIF(H$5:H221,"Y")/COUNTA(H$5:H221)</f>
        <v/>
      </c>
      <c r="K221" s="37">
        <f>AVERAGE(F$5:F221)</f>
        <v/>
      </c>
      <c r="L221" s="37">
        <f>SUM(F$5:F221)/SUM(E$5:E221)</f>
        <v/>
      </c>
    </row>
    <row r="222">
      <c r="A222" s="29" t="n">
        <v>45659</v>
      </c>
      <c r="B222" s="37" t="inlineStr">
        <is>
          <t>JOB-1218</t>
        </is>
      </c>
      <c r="C222" s="34" t="n">
        <v>1</v>
      </c>
      <c r="D222" s="37" t="inlineStr">
        <is>
          <t>Tech D</t>
        </is>
      </c>
      <c r="E222" s="35" t="n">
        <v>4.5</v>
      </c>
      <c r="F222" s="35" t="n">
        <v>3</v>
      </c>
      <c r="G222" s="37" t="inlineStr">
        <is>
          <t>Y</t>
        </is>
      </c>
      <c r="H222" s="37" t="inlineStr">
        <is>
          <t>N</t>
        </is>
      </c>
      <c r="I222" s="37">
        <f>COUNTIF(G$5:G222,"Y")/COUNTA(G$5:G222)</f>
        <v/>
      </c>
      <c r="J222" s="37">
        <f>COUNTIF(H$5:H222,"Y")/COUNTA(H$5:H222)</f>
        <v/>
      </c>
      <c r="K222" s="37">
        <f>AVERAGE(F$5:F222)</f>
        <v/>
      </c>
      <c r="L222" s="37">
        <f>SUM(F$5:F222)/SUM(E$5:E222)</f>
        <v/>
      </c>
    </row>
    <row r="223">
      <c r="A223" s="29" t="n">
        <v>45660</v>
      </c>
      <c r="B223" s="37" t="inlineStr">
        <is>
          <t>JOB-1219</t>
        </is>
      </c>
      <c r="C223" s="34" t="n">
        <v>1</v>
      </c>
      <c r="D223" s="37" t="inlineStr">
        <is>
          <t>Tech C</t>
        </is>
      </c>
      <c r="E223" s="35" t="n">
        <v>3.7</v>
      </c>
      <c r="F223" s="35" t="n">
        <v>2.6</v>
      </c>
      <c r="G223" s="37" t="inlineStr">
        <is>
          <t>Y</t>
        </is>
      </c>
      <c r="H223" s="37" t="inlineStr">
        <is>
          <t>N</t>
        </is>
      </c>
      <c r="I223" s="37">
        <f>COUNTIF(G$5:G223,"Y")/COUNTA(G$5:G223)</f>
        <v/>
      </c>
      <c r="J223" s="37">
        <f>COUNTIF(H$5:H223,"Y")/COUNTA(H$5:H223)</f>
        <v/>
      </c>
      <c r="K223" s="37">
        <f>AVERAGE(F$5:F223)</f>
        <v/>
      </c>
      <c r="L223" s="37">
        <f>SUM(F$5:F223)/SUM(E$5:E223)</f>
        <v/>
      </c>
    </row>
    <row r="224">
      <c r="A224" s="29" t="n">
        <v>45656</v>
      </c>
      <c r="B224" s="37" t="inlineStr">
        <is>
          <t>JOB-1220</t>
        </is>
      </c>
      <c r="C224" s="34" t="n">
        <v>1</v>
      </c>
      <c r="D224" s="37" t="inlineStr">
        <is>
          <t>Tech H</t>
        </is>
      </c>
      <c r="E224" s="35" t="n">
        <v>4.5</v>
      </c>
      <c r="F224" s="35" t="n">
        <v>3.4</v>
      </c>
      <c r="G224" s="37" t="inlineStr">
        <is>
          <t>Y</t>
        </is>
      </c>
      <c r="H224" s="37" t="inlineStr">
        <is>
          <t>N</t>
        </is>
      </c>
      <c r="I224" s="37">
        <f>COUNTIF(G$5:G224,"Y")/COUNTA(G$5:G224)</f>
        <v/>
      </c>
      <c r="J224" s="37">
        <f>COUNTIF(H$5:H224,"Y")/COUNTA(H$5:H224)</f>
        <v/>
      </c>
      <c r="K224" s="37">
        <f>AVERAGE(F$5:F224)</f>
        <v/>
      </c>
      <c r="L224" s="37">
        <f>SUM(F$5:F224)/SUM(E$5:E224)</f>
        <v/>
      </c>
    </row>
    <row r="225">
      <c r="A225" s="29" t="n">
        <v>45657</v>
      </c>
      <c r="B225" s="37" t="inlineStr">
        <is>
          <t>JOB-1221</t>
        </is>
      </c>
      <c r="C225" s="34" t="n">
        <v>1</v>
      </c>
      <c r="D225" s="37" t="inlineStr">
        <is>
          <t>Tech A</t>
        </is>
      </c>
      <c r="E225" s="35" t="n">
        <v>1.2</v>
      </c>
      <c r="F225" s="35" t="n">
        <v>0.9</v>
      </c>
      <c r="G225" s="37" t="inlineStr">
        <is>
          <t>Y</t>
        </is>
      </c>
      <c r="H225" s="37" t="inlineStr">
        <is>
          <t>N</t>
        </is>
      </c>
      <c r="I225" s="37">
        <f>COUNTIF(G$5:G225,"Y")/COUNTA(G$5:G225)</f>
        <v/>
      </c>
      <c r="J225" s="37">
        <f>COUNTIF(H$5:H225,"Y")/COUNTA(H$5:H225)</f>
        <v/>
      </c>
      <c r="K225" s="37">
        <f>AVERAGE(F$5:F225)</f>
        <v/>
      </c>
      <c r="L225" s="37">
        <f>SUM(F$5:F225)/SUM(E$5:E225)</f>
        <v/>
      </c>
    </row>
    <row r="226">
      <c r="A226" s="29" t="n">
        <v>45658</v>
      </c>
      <c r="B226" s="37" t="inlineStr">
        <is>
          <t>JOB-1222</t>
        </is>
      </c>
      <c r="C226" s="34" t="n">
        <v>1</v>
      </c>
      <c r="D226" s="37" t="inlineStr">
        <is>
          <t>Tech G</t>
        </is>
      </c>
      <c r="E226" s="35" t="n">
        <v>0.7</v>
      </c>
      <c r="F226" s="35" t="n">
        <v>0.5</v>
      </c>
      <c r="G226" s="37" t="inlineStr">
        <is>
          <t>Y</t>
        </is>
      </c>
      <c r="H226" s="37" t="inlineStr">
        <is>
          <t>N</t>
        </is>
      </c>
      <c r="I226" s="37">
        <f>COUNTIF(G$5:G226,"Y")/COUNTA(G$5:G226)</f>
        <v/>
      </c>
      <c r="J226" s="37">
        <f>COUNTIF(H$5:H226,"Y")/COUNTA(H$5:H226)</f>
        <v/>
      </c>
      <c r="K226" s="37">
        <f>AVERAGE(F$5:F226)</f>
        <v/>
      </c>
      <c r="L226" s="37">
        <f>SUM(F$5:F226)/SUM(E$5:E226)</f>
        <v/>
      </c>
    </row>
    <row r="227">
      <c r="A227" s="29" t="n">
        <v>45659</v>
      </c>
      <c r="B227" s="37" t="inlineStr">
        <is>
          <t>JOB-1223</t>
        </is>
      </c>
      <c r="C227" s="34" t="n">
        <v>1</v>
      </c>
      <c r="D227" s="37" t="inlineStr">
        <is>
          <t>Tech D</t>
        </is>
      </c>
      <c r="E227" s="35" t="n">
        <v>0.8</v>
      </c>
      <c r="F227" s="35" t="n">
        <v>0.5</v>
      </c>
      <c r="G227" s="37" t="inlineStr">
        <is>
          <t>Y</t>
        </is>
      </c>
      <c r="H227" s="37" t="inlineStr">
        <is>
          <t>N</t>
        </is>
      </c>
      <c r="I227" s="37">
        <f>COUNTIF(G$5:G227,"Y")/COUNTA(G$5:G227)</f>
        <v/>
      </c>
      <c r="J227" s="37">
        <f>COUNTIF(H$5:H227,"Y")/COUNTA(H$5:H227)</f>
        <v/>
      </c>
      <c r="K227" s="37">
        <f>AVERAGE(F$5:F227)</f>
        <v/>
      </c>
      <c r="L227" s="37">
        <f>SUM(F$5:F227)/SUM(E$5:E227)</f>
        <v/>
      </c>
    </row>
    <row r="228">
      <c r="A228" s="29" t="n">
        <v>45660</v>
      </c>
      <c r="B228" s="37" t="inlineStr">
        <is>
          <t>JOB-1224</t>
        </is>
      </c>
      <c r="C228" s="34" t="n">
        <v>1</v>
      </c>
      <c r="D228" s="37" t="inlineStr">
        <is>
          <t>Tech C</t>
        </is>
      </c>
      <c r="E228" s="35" t="n">
        <v>0.7</v>
      </c>
      <c r="F228" s="35" t="n">
        <v>0.5</v>
      </c>
      <c r="G228" s="37" t="inlineStr">
        <is>
          <t>Y</t>
        </is>
      </c>
      <c r="H228" s="37" t="inlineStr">
        <is>
          <t>N</t>
        </is>
      </c>
      <c r="I228" s="37">
        <f>COUNTIF(G$5:G228,"Y")/COUNTA(G$5:G228)</f>
        <v/>
      </c>
      <c r="J228" s="37">
        <f>COUNTIF(H$5:H228,"Y")/COUNTA(H$5:H228)</f>
        <v/>
      </c>
      <c r="K228" s="37">
        <f>AVERAGE(F$5:F228)</f>
        <v/>
      </c>
      <c r="L228" s="37">
        <f>SUM(F$5:F228)/SUM(E$5:E228)</f>
        <v/>
      </c>
      <c r="M228" s="37" t="n">
        <v>17</v>
      </c>
    </row>
    <row r="229">
      <c r="A229" s="29" t="n">
        <v>45663</v>
      </c>
      <c r="B229" s="37" t="inlineStr">
        <is>
          <t>JOB-1225</t>
        </is>
      </c>
      <c r="C229" s="34" t="n">
        <v>1</v>
      </c>
      <c r="D229" s="37" t="inlineStr">
        <is>
          <t>Tech A</t>
        </is>
      </c>
      <c r="E229" s="35" t="n">
        <v>3.6</v>
      </c>
      <c r="F229" s="35" t="n">
        <v>3</v>
      </c>
      <c r="G229" s="37" t="inlineStr">
        <is>
          <t>Y</t>
        </is>
      </c>
      <c r="H229" s="37" t="inlineStr">
        <is>
          <t>N</t>
        </is>
      </c>
      <c r="I229" s="37">
        <f>COUNTIF(G$5:G229,"Y")/COUNTA(G$5:G229)</f>
        <v/>
      </c>
      <c r="J229" s="37">
        <f>COUNTIF(H$5:H229,"Y")/COUNTA(H$5:H229)</f>
        <v/>
      </c>
      <c r="K229" s="37">
        <f>AVERAGE(F$5:F229)</f>
        <v/>
      </c>
      <c r="L229" s="37">
        <f>SUM(F$5:F229)/SUM(E$5:E229)</f>
        <v/>
      </c>
    </row>
    <row r="230">
      <c r="A230" s="29" t="n">
        <v>45664</v>
      </c>
      <c r="B230" s="37" t="inlineStr">
        <is>
          <t>JOB-1226</t>
        </is>
      </c>
      <c r="C230" s="34" t="n">
        <v>1</v>
      </c>
      <c r="D230" s="37" t="inlineStr">
        <is>
          <t>Tech G</t>
        </is>
      </c>
      <c r="E230" s="35" t="n">
        <v>3.1</v>
      </c>
      <c r="F230" s="35" t="n">
        <v>2.4</v>
      </c>
      <c r="G230" s="37" t="inlineStr">
        <is>
          <t>Y</t>
        </is>
      </c>
      <c r="H230" s="37" t="inlineStr">
        <is>
          <t>N</t>
        </is>
      </c>
      <c r="I230" s="37">
        <f>COUNTIF(G$5:G230,"Y")/COUNTA(G$5:G230)</f>
        <v/>
      </c>
      <c r="J230" s="37">
        <f>COUNTIF(H$5:H230,"Y")/COUNTA(H$5:H230)</f>
        <v/>
      </c>
      <c r="K230" s="37">
        <f>AVERAGE(F$5:F230)</f>
        <v/>
      </c>
      <c r="L230" s="37">
        <f>SUM(F$5:F230)/SUM(E$5:E230)</f>
        <v/>
      </c>
    </row>
    <row r="231">
      <c r="A231" s="29" t="n">
        <v>45665</v>
      </c>
      <c r="B231" s="37" t="inlineStr">
        <is>
          <t>JOB-1227</t>
        </is>
      </c>
      <c r="C231" s="34" t="n">
        <v>1</v>
      </c>
      <c r="D231" s="37" t="inlineStr">
        <is>
          <t>Tech G</t>
        </is>
      </c>
      <c r="E231" s="35" t="n">
        <v>3.9</v>
      </c>
      <c r="F231" s="35" t="n">
        <v>2.8</v>
      </c>
      <c r="G231" s="37" t="inlineStr">
        <is>
          <t>Y</t>
        </is>
      </c>
      <c r="H231" s="37" t="inlineStr">
        <is>
          <t>N</t>
        </is>
      </c>
      <c r="I231" s="37">
        <f>COUNTIF(G$5:G231,"Y")/COUNTA(G$5:G231)</f>
        <v/>
      </c>
      <c r="J231" s="37">
        <f>COUNTIF(H$5:H231,"Y")/COUNTA(H$5:H231)</f>
        <v/>
      </c>
      <c r="K231" s="37">
        <f>AVERAGE(F$5:F231)</f>
        <v/>
      </c>
      <c r="L231" s="37">
        <f>SUM(F$5:F231)/SUM(E$5:E231)</f>
        <v/>
      </c>
    </row>
    <row r="232">
      <c r="A232" s="29" t="n">
        <v>45666</v>
      </c>
      <c r="B232" s="37" t="inlineStr">
        <is>
          <t>JOB-1228</t>
        </is>
      </c>
      <c r="C232" s="34" t="n">
        <v>1</v>
      </c>
      <c r="D232" s="37" t="inlineStr">
        <is>
          <t>Tech F</t>
        </is>
      </c>
      <c r="E232" s="35" t="n">
        <v>2.9</v>
      </c>
      <c r="F232" s="35" t="n">
        <v>2.3</v>
      </c>
      <c r="G232" s="37" t="inlineStr">
        <is>
          <t>Y</t>
        </is>
      </c>
      <c r="H232" s="37" t="inlineStr">
        <is>
          <t>N</t>
        </is>
      </c>
      <c r="I232" s="37">
        <f>COUNTIF(G$5:G232,"Y")/COUNTA(G$5:G232)</f>
        <v/>
      </c>
      <c r="J232" s="37">
        <f>COUNTIF(H$5:H232,"Y")/COUNTA(H$5:H232)</f>
        <v/>
      </c>
      <c r="K232" s="37">
        <f>AVERAGE(F$5:F232)</f>
        <v/>
      </c>
      <c r="L232" s="37">
        <f>SUM(F$5:F232)/SUM(E$5:E232)</f>
        <v/>
      </c>
    </row>
    <row r="233">
      <c r="A233" s="29" t="n">
        <v>45667</v>
      </c>
      <c r="B233" s="37" t="inlineStr">
        <is>
          <t>JOB-1229</t>
        </is>
      </c>
      <c r="C233" s="34" t="n">
        <v>1</v>
      </c>
      <c r="D233" s="37" t="inlineStr">
        <is>
          <t>Tech B</t>
        </is>
      </c>
      <c r="E233" s="35" t="n">
        <v>4.3</v>
      </c>
      <c r="F233" s="35" t="n">
        <v>3.5</v>
      </c>
      <c r="G233" s="37" t="inlineStr">
        <is>
          <t>Y</t>
        </is>
      </c>
      <c r="H233" s="37" t="inlineStr">
        <is>
          <t>N</t>
        </is>
      </c>
      <c r="I233" s="37">
        <f>COUNTIF(G$5:G233,"Y")/COUNTA(G$5:G233)</f>
        <v/>
      </c>
      <c r="J233" s="37">
        <f>COUNTIF(H$5:H233,"Y")/COUNTA(H$5:H233)</f>
        <v/>
      </c>
      <c r="K233" s="37">
        <f>AVERAGE(F$5:F233)</f>
        <v/>
      </c>
      <c r="L233" s="37">
        <f>SUM(F$5:F233)/SUM(E$5:E233)</f>
        <v/>
      </c>
    </row>
    <row r="234">
      <c r="A234" s="29" t="n">
        <v>45663</v>
      </c>
      <c r="B234" s="37" t="inlineStr">
        <is>
          <t>JOB-1230</t>
        </is>
      </c>
      <c r="C234" s="34" t="n">
        <v>1</v>
      </c>
      <c r="D234" s="37" t="inlineStr">
        <is>
          <t>Tech F</t>
        </is>
      </c>
      <c r="E234" s="35" t="n">
        <v>2.9</v>
      </c>
      <c r="F234" s="35" t="n">
        <v>2.2</v>
      </c>
      <c r="G234" s="37" t="inlineStr">
        <is>
          <t>Y</t>
        </is>
      </c>
      <c r="H234" s="37" t="inlineStr">
        <is>
          <t>N</t>
        </is>
      </c>
      <c r="I234" s="37">
        <f>COUNTIF(G$5:G234,"Y")/COUNTA(G$5:G234)</f>
        <v/>
      </c>
      <c r="J234" s="37">
        <f>COUNTIF(H$5:H234,"Y")/COUNTA(H$5:H234)</f>
        <v/>
      </c>
      <c r="K234" s="37">
        <f>AVERAGE(F$5:F234)</f>
        <v/>
      </c>
      <c r="L234" s="37">
        <f>SUM(F$5:F234)/SUM(E$5:E234)</f>
        <v/>
      </c>
    </row>
    <row r="235">
      <c r="A235" s="29" t="n">
        <v>45664</v>
      </c>
      <c r="B235" s="37" t="inlineStr">
        <is>
          <t>JOB-1231</t>
        </is>
      </c>
      <c r="C235" s="34" t="n">
        <v>1</v>
      </c>
      <c r="D235" s="37" t="inlineStr">
        <is>
          <t>Tech B</t>
        </is>
      </c>
      <c r="E235" s="35" t="n">
        <v>2.5</v>
      </c>
      <c r="F235" s="35" t="n">
        <v>1.8</v>
      </c>
      <c r="G235" s="37" t="inlineStr">
        <is>
          <t>Y</t>
        </is>
      </c>
      <c r="H235" s="37" t="inlineStr">
        <is>
          <t>N</t>
        </is>
      </c>
      <c r="I235" s="37">
        <f>COUNTIF(G$5:G235,"Y")/COUNTA(G$5:G235)</f>
        <v/>
      </c>
      <c r="J235" s="37">
        <f>COUNTIF(H$5:H235,"Y")/COUNTA(H$5:H235)</f>
        <v/>
      </c>
      <c r="K235" s="37">
        <f>AVERAGE(F$5:F235)</f>
        <v/>
      </c>
      <c r="L235" s="37">
        <f>SUM(F$5:F235)/SUM(E$5:E235)</f>
        <v/>
      </c>
    </row>
    <row r="236">
      <c r="A236" s="29" t="n">
        <v>45665</v>
      </c>
      <c r="B236" s="37" t="inlineStr">
        <is>
          <t>JOB-1232</t>
        </is>
      </c>
      <c r="C236" s="34" t="n">
        <v>1</v>
      </c>
      <c r="D236" s="37" t="inlineStr">
        <is>
          <t>Tech G</t>
        </is>
      </c>
      <c r="E236" s="35" t="n">
        <v>4.2</v>
      </c>
      <c r="F236" s="35" t="n">
        <v>2.7</v>
      </c>
      <c r="G236" s="37" t="inlineStr">
        <is>
          <t>N</t>
        </is>
      </c>
      <c r="H236" s="37" t="inlineStr">
        <is>
          <t>N</t>
        </is>
      </c>
      <c r="I236" s="37">
        <f>COUNTIF(G$5:G236,"Y")/COUNTA(G$5:G236)</f>
        <v/>
      </c>
      <c r="J236" s="37">
        <f>COUNTIF(H$5:H236,"Y")/COUNTA(H$5:H236)</f>
        <v/>
      </c>
      <c r="K236" s="37">
        <f>AVERAGE(F$5:F236)</f>
        <v/>
      </c>
      <c r="L236" s="37">
        <f>SUM(F$5:F236)/SUM(E$5:E236)</f>
        <v/>
      </c>
    </row>
    <row r="237">
      <c r="A237" s="29" t="n">
        <v>45666</v>
      </c>
      <c r="B237" s="37" t="inlineStr">
        <is>
          <t>JOB-1233</t>
        </is>
      </c>
      <c r="C237" s="34" t="n">
        <v>1</v>
      </c>
      <c r="D237" s="37" t="inlineStr">
        <is>
          <t>Tech G</t>
        </is>
      </c>
      <c r="E237" s="35" t="n">
        <v>2.9</v>
      </c>
      <c r="F237" s="35" t="n">
        <v>1.9</v>
      </c>
      <c r="G237" s="37" t="inlineStr">
        <is>
          <t>N</t>
        </is>
      </c>
      <c r="H237" s="37" t="inlineStr">
        <is>
          <t>Y</t>
        </is>
      </c>
      <c r="I237" s="37">
        <f>COUNTIF(G$5:G237,"Y")/COUNTA(G$5:G237)</f>
        <v/>
      </c>
      <c r="J237" s="37">
        <f>COUNTIF(H$5:H237,"Y")/COUNTA(H$5:H237)</f>
        <v/>
      </c>
      <c r="K237" s="37">
        <f>AVERAGE(F$5:F237)</f>
        <v/>
      </c>
      <c r="L237" s="37">
        <f>SUM(F$5:F237)/SUM(E$5:E237)</f>
        <v/>
      </c>
    </row>
    <row r="238">
      <c r="A238" s="29" t="n">
        <v>45667</v>
      </c>
      <c r="B238" s="37" t="inlineStr">
        <is>
          <t>JOB-1234</t>
        </is>
      </c>
      <c r="C238" s="34" t="n">
        <v>1</v>
      </c>
      <c r="D238" s="37" t="inlineStr">
        <is>
          <t>Tech B</t>
        </is>
      </c>
      <c r="E238" s="35" t="n">
        <v>3.8</v>
      </c>
      <c r="F238" s="35" t="n">
        <v>3</v>
      </c>
      <c r="G238" s="37" t="inlineStr">
        <is>
          <t>Y</t>
        </is>
      </c>
      <c r="H238" s="37" t="inlineStr">
        <is>
          <t>N</t>
        </is>
      </c>
      <c r="I238" s="37">
        <f>COUNTIF(G$5:G238,"Y")/COUNTA(G$5:G238)</f>
        <v/>
      </c>
      <c r="J238" s="37">
        <f>COUNTIF(H$5:H238,"Y")/COUNTA(H$5:H238)</f>
        <v/>
      </c>
      <c r="K238" s="37">
        <f>AVERAGE(F$5:F238)</f>
        <v/>
      </c>
      <c r="L238" s="37">
        <f>SUM(F$5:F238)/SUM(E$5:E238)</f>
        <v/>
      </c>
    </row>
    <row r="239">
      <c r="A239" s="29" t="n">
        <v>45663</v>
      </c>
      <c r="B239" s="37" t="inlineStr">
        <is>
          <t>JOB-1235</t>
        </is>
      </c>
      <c r="C239" s="34" t="n">
        <v>1</v>
      </c>
      <c r="D239" s="37" t="inlineStr">
        <is>
          <t>Tech C</t>
        </is>
      </c>
      <c r="E239" s="35" t="n">
        <v>3.8</v>
      </c>
      <c r="F239" s="35" t="n">
        <v>2.7</v>
      </c>
      <c r="G239" s="37" t="inlineStr">
        <is>
          <t>Y</t>
        </is>
      </c>
      <c r="H239" s="37" t="inlineStr">
        <is>
          <t>N</t>
        </is>
      </c>
      <c r="I239" s="37">
        <f>COUNTIF(G$5:G239,"Y")/COUNTA(G$5:G239)</f>
        <v/>
      </c>
      <c r="J239" s="37">
        <f>COUNTIF(H$5:H239,"Y")/COUNTA(H$5:H239)</f>
        <v/>
      </c>
      <c r="K239" s="37">
        <f>AVERAGE(F$5:F239)</f>
        <v/>
      </c>
      <c r="L239" s="37">
        <f>SUM(F$5:F239)/SUM(E$5:E239)</f>
        <v/>
      </c>
    </row>
    <row r="240">
      <c r="A240" s="29" t="n">
        <v>45664</v>
      </c>
      <c r="B240" s="37" t="inlineStr">
        <is>
          <t>JOB-1236</t>
        </is>
      </c>
      <c r="C240" s="34" t="n">
        <v>1</v>
      </c>
      <c r="D240" s="37" t="inlineStr">
        <is>
          <t>Tech G</t>
        </is>
      </c>
      <c r="E240" s="35" t="n">
        <v>3.7</v>
      </c>
      <c r="F240" s="35" t="n">
        <v>3.2</v>
      </c>
      <c r="G240" s="37" t="inlineStr">
        <is>
          <t>Y</t>
        </is>
      </c>
      <c r="H240" s="37" t="inlineStr">
        <is>
          <t>N</t>
        </is>
      </c>
      <c r="I240" s="37">
        <f>COUNTIF(G$5:G240,"Y")/COUNTA(G$5:G240)</f>
        <v/>
      </c>
      <c r="J240" s="37">
        <f>COUNTIF(H$5:H240,"Y")/COUNTA(H$5:H240)</f>
        <v/>
      </c>
      <c r="K240" s="37">
        <f>AVERAGE(F$5:F240)</f>
        <v/>
      </c>
      <c r="L240" s="37">
        <f>SUM(F$5:F240)/SUM(E$5:E240)</f>
        <v/>
      </c>
    </row>
    <row r="241">
      <c r="A241" s="29" t="n">
        <v>45665</v>
      </c>
      <c r="B241" s="37" t="inlineStr">
        <is>
          <t>JOB-1237</t>
        </is>
      </c>
      <c r="C241" s="34" t="n">
        <v>1</v>
      </c>
      <c r="D241" s="37" t="inlineStr">
        <is>
          <t>Tech B</t>
        </is>
      </c>
      <c r="E241" s="35" t="n">
        <v>3.8</v>
      </c>
      <c r="F241" s="35" t="n">
        <v>2.8</v>
      </c>
      <c r="G241" s="37" t="inlineStr">
        <is>
          <t>Y</t>
        </is>
      </c>
      <c r="H241" s="37" t="inlineStr">
        <is>
          <t>N</t>
        </is>
      </c>
      <c r="I241" s="37">
        <f>COUNTIF(G$5:G241,"Y")/COUNTA(G$5:G241)</f>
        <v/>
      </c>
      <c r="J241" s="37">
        <f>COUNTIF(H$5:H241,"Y")/COUNTA(H$5:H241)</f>
        <v/>
      </c>
      <c r="K241" s="37">
        <f>AVERAGE(F$5:F241)</f>
        <v/>
      </c>
      <c r="L241" s="37">
        <f>SUM(F$5:F241)/SUM(E$5:E241)</f>
        <v/>
      </c>
    </row>
    <row r="242">
      <c r="A242" s="29" t="n">
        <v>45666</v>
      </c>
      <c r="B242" s="37" t="inlineStr">
        <is>
          <t>JOB-1238</t>
        </is>
      </c>
      <c r="C242" s="34" t="n">
        <v>1</v>
      </c>
      <c r="D242" s="37" t="inlineStr">
        <is>
          <t>Tech G</t>
        </is>
      </c>
      <c r="E242" s="35" t="n">
        <v>4.6</v>
      </c>
      <c r="F242" s="35" t="n">
        <v>3.7</v>
      </c>
      <c r="G242" s="37" t="inlineStr">
        <is>
          <t>Y</t>
        </is>
      </c>
      <c r="H242" s="37" t="inlineStr">
        <is>
          <t>N</t>
        </is>
      </c>
      <c r="I242" s="37">
        <f>COUNTIF(G$5:G242,"Y")/COUNTA(G$5:G242)</f>
        <v/>
      </c>
      <c r="J242" s="37">
        <f>COUNTIF(H$5:H242,"Y")/COUNTA(H$5:H242)</f>
        <v/>
      </c>
      <c r="K242" s="37">
        <f>AVERAGE(F$5:F242)</f>
        <v/>
      </c>
      <c r="L242" s="37">
        <f>SUM(F$5:F242)/SUM(E$5:E242)</f>
        <v/>
      </c>
    </row>
    <row r="243">
      <c r="A243" s="29" t="n">
        <v>45667</v>
      </c>
      <c r="B243" s="37" t="inlineStr">
        <is>
          <t>JOB-1239</t>
        </is>
      </c>
      <c r="C243" s="34" t="n">
        <v>1</v>
      </c>
      <c r="D243" s="37" t="inlineStr">
        <is>
          <t>Tech F</t>
        </is>
      </c>
      <c r="E243" s="35" t="n">
        <v>4.7</v>
      </c>
      <c r="F243" s="35" t="n">
        <v>3.4</v>
      </c>
      <c r="G243" s="37" t="inlineStr">
        <is>
          <t>Y</t>
        </is>
      </c>
      <c r="H243" s="37" t="inlineStr">
        <is>
          <t>N</t>
        </is>
      </c>
      <c r="I243" s="37">
        <f>COUNTIF(G$5:G243,"Y")/COUNTA(G$5:G243)</f>
        <v/>
      </c>
      <c r="J243" s="37">
        <f>COUNTIF(H$5:H243,"Y")/COUNTA(H$5:H243)</f>
        <v/>
      </c>
      <c r="K243" s="37">
        <f>AVERAGE(F$5:F243)</f>
        <v/>
      </c>
      <c r="L243" s="37">
        <f>SUM(F$5:F243)/SUM(E$5:E243)</f>
        <v/>
      </c>
    </row>
    <row r="244">
      <c r="A244" s="29" t="n">
        <v>45663</v>
      </c>
      <c r="B244" s="37" t="inlineStr">
        <is>
          <t>JOB-1240</t>
        </is>
      </c>
      <c r="C244" s="34" t="n">
        <v>1</v>
      </c>
      <c r="D244" s="37" t="inlineStr">
        <is>
          <t>Tech A</t>
        </is>
      </c>
      <c r="E244" s="35" t="n">
        <v>2.9</v>
      </c>
      <c r="F244" s="35" t="n">
        <v>2.1</v>
      </c>
      <c r="G244" s="37" t="inlineStr">
        <is>
          <t>N</t>
        </is>
      </c>
      <c r="H244" s="37" t="inlineStr">
        <is>
          <t>N</t>
        </is>
      </c>
      <c r="I244" s="37">
        <f>COUNTIF(G$5:G244,"Y")/COUNTA(G$5:G244)</f>
        <v/>
      </c>
      <c r="J244" s="37">
        <f>COUNTIF(H$5:H244,"Y")/COUNTA(H$5:H244)</f>
        <v/>
      </c>
      <c r="K244" s="37">
        <f>AVERAGE(F$5:F244)</f>
        <v/>
      </c>
      <c r="L244" s="37">
        <f>SUM(F$5:F244)/SUM(E$5:E244)</f>
        <v/>
      </c>
    </row>
    <row r="245">
      <c r="A245" s="29" t="n">
        <v>45664</v>
      </c>
      <c r="B245" s="37" t="inlineStr">
        <is>
          <t>JOB-1241</t>
        </is>
      </c>
      <c r="C245" s="34" t="n">
        <v>1</v>
      </c>
      <c r="D245" s="37" t="inlineStr">
        <is>
          <t>Tech C</t>
        </is>
      </c>
      <c r="E245" s="35" t="n">
        <v>4.1</v>
      </c>
      <c r="F245" s="35" t="n">
        <v>2.9</v>
      </c>
      <c r="G245" s="37" t="inlineStr">
        <is>
          <t>Y</t>
        </is>
      </c>
      <c r="H245" s="37" t="inlineStr">
        <is>
          <t>N</t>
        </is>
      </c>
      <c r="I245" s="37">
        <f>COUNTIF(G$5:G245,"Y")/COUNTA(G$5:G245)</f>
        <v/>
      </c>
      <c r="J245" s="37">
        <f>COUNTIF(H$5:H245,"Y")/COUNTA(H$5:H245)</f>
        <v/>
      </c>
      <c r="K245" s="37">
        <f>AVERAGE(F$5:F245)</f>
        <v/>
      </c>
      <c r="L245" s="37">
        <f>SUM(F$5:F245)/SUM(E$5:E245)</f>
        <v/>
      </c>
    </row>
    <row r="246">
      <c r="A246" s="29" t="n">
        <v>45665</v>
      </c>
      <c r="B246" s="37" t="inlineStr">
        <is>
          <t>JOB-1242</t>
        </is>
      </c>
      <c r="C246" s="34" t="n">
        <v>1</v>
      </c>
      <c r="D246" s="37" t="inlineStr">
        <is>
          <t>Tech G</t>
        </is>
      </c>
      <c r="E246" s="35" t="n">
        <v>4.5</v>
      </c>
      <c r="F246" s="35" t="n">
        <v>3.2</v>
      </c>
      <c r="G246" s="37" t="inlineStr">
        <is>
          <t>Y</t>
        </is>
      </c>
      <c r="H246" s="37" t="inlineStr">
        <is>
          <t>N</t>
        </is>
      </c>
      <c r="I246" s="37">
        <f>COUNTIF(G$5:G246,"Y")/COUNTA(G$5:G246)</f>
        <v/>
      </c>
      <c r="J246" s="37">
        <f>COUNTIF(H$5:H246,"Y")/COUNTA(H$5:H246)</f>
        <v/>
      </c>
      <c r="K246" s="37">
        <f>AVERAGE(F$5:F246)</f>
        <v/>
      </c>
      <c r="L246" s="37">
        <f>SUM(F$5:F246)/SUM(E$5:E246)</f>
        <v/>
      </c>
    </row>
    <row r="247">
      <c r="A247" s="29" t="n">
        <v>45666</v>
      </c>
      <c r="B247" s="37" t="inlineStr">
        <is>
          <t>JOB-1243</t>
        </is>
      </c>
      <c r="C247" s="34" t="n">
        <v>1</v>
      </c>
      <c r="D247" s="37" t="inlineStr">
        <is>
          <t>Tech B</t>
        </is>
      </c>
      <c r="E247" s="35" t="n">
        <v>4.9</v>
      </c>
      <c r="F247" s="35" t="n">
        <v>3.5</v>
      </c>
      <c r="G247" s="37" t="inlineStr">
        <is>
          <t>Y</t>
        </is>
      </c>
      <c r="H247" s="37" t="inlineStr">
        <is>
          <t>N</t>
        </is>
      </c>
      <c r="I247" s="37">
        <f>COUNTIF(G$5:G247,"Y")/COUNTA(G$5:G247)</f>
        <v/>
      </c>
      <c r="J247" s="37">
        <f>COUNTIF(H$5:H247,"Y")/COUNTA(H$5:H247)</f>
        <v/>
      </c>
      <c r="K247" s="37">
        <f>AVERAGE(F$5:F247)</f>
        <v/>
      </c>
      <c r="L247" s="37">
        <f>SUM(F$5:F247)/SUM(E$5:E247)</f>
        <v/>
      </c>
    </row>
    <row r="248">
      <c r="A248" s="29" t="n">
        <v>45667</v>
      </c>
      <c r="B248" s="37" t="inlineStr">
        <is>
          <t>JOB-1244</t>
        </is>
      </c>
      <c r="C248" s="34" t="n">
        <v>1</v>
      </c>
      <c r="D248" s="37" t="inlineStr">
        <is>
          <t>Tech B</t>
        </is>
      </c>
      <c r="E248" s="35" t="n">
        <v>5.2</v>
      </c>
      <c r="F248" s="35" t="n">
        <v>3.7</v>
      </c>
      <c r="G248" s="37" t="inlineStr">
        <is>
          <t>Y</t>
        </is>
      </c>
      <c r="H248" s="37" t="inlineStr">
        <is>
          <t>Y</t>
        </is>
      </c>
      <c r="I248" s="37">
        <f>COUNTIF(G$5:G248,"Y")/COUNTA(G$5:G248)</f>
        <v/>
      </c>
      <c r="J248" s="37">
        <f>COUNTIF(H$5:H248,"Y")/COUNTA(H$5:H248)</f>
        <v/>
      </c>
      <c r="K248" s="37">
        <f>AVERAGE(F$5:F248)</f>
        <v/>
      </c>
      <c r="L248" s="37">
        <f>SUM(F$5:F248)/SUM(E$5:E248)</f>
        <v/>
      </c>
    </row>
    <row r="249">
      <c r="A249" s="29" t="n">
        <v>45663</v>
      </c>
      <c r="B249" s="37" t="inlineStr">
        <is>
          <t>JOB-1245</t>
        </is>
      </c>
      <c r="C249" s="34" t="n">
        <v>1</v>
      </c>
      <c r="D249" s="37" t="inlineStr">
        <is>
          <t>Tech F</t>
        </is>
      </c>
      <c r="E249" s="35" t="n">
        <v>2.6</v>
      </c>
      <c r="F249" s="35" t="n">
        <v>2</v>
      </c>
      <c r="G249" s="37" t="inlineStr">
        <is>
          <t>Y</t>
        </is>
      </c>
      <c r="H249" s="37" t="inlineStr">
        <is>
          <t>N</t>
        </is>
      </c>
      <c r="I249" s="37">
        <f>COUNTIF(G$5:G249,"Y")/COUNTA(G$5:G249)</f>
        <v/>
      </c>
      <c r="J249" s="37">
        <f>COUNTIF(H$5:H249,"Y")/COUNTA(H$5:H249)</f>
        <v/>
      </c>
      <c r="K249" s="37">
        <f>AVERAGE(F$5:F249)</f>
        <v/>
      </c>
      <c r="L249" s="37">
        <f>SUM(F$5:F249)/SUM(E$5:E249)</f>
        <v/>
      </c>
    </row>
    <row r="250">
      <c r="A250" s="29" t="n">
        <v>45664</v>
      </c>
      <c r="B250" s="37" t="inlineStr">
        <is>
          <t>JOB-1246</t>
        </is>
      </c>
      <c r="C250" s="34" t="n">
        <v>1</v>
      </c>
      <c r="D250" s="37" t="inlineStr">
        <is>
          <t>Tech C</t>
        </is>
      </c>
      <c r="E250" s="35" t="n">
        <v>4</v>
      </c>
      <c r="F250" s="35" t="n">
        <v>2.8</v>
      </c>
      <c r="G250" s="37" t="inlineStr">
        <is>
          <t>N</t>
        </is>
      </c>
      <c r="H250" s="37" t="inlineStr">
        <is>
          <t>N</t>
        </is>
      </c>
      <c r="I250" s="37">
        <f>COUNTIF(G$5:G250,"Y")/COUNTA(G$5:G250)</f>
        <v/>
      </c>
      <c r="J250" s="37">
        <f>COUNTIF(H$5:H250,"Y")/COUNTA(H$5:H250)</f>
        <v/>
      </c>
      <c r="K250" s="37">
        <f>AVERAGE(F$5:F250)</f>
        <v/>
      </c>
      <c r="L250" s="37">
        <f>SUM(F$5:F250)/SUM(E$5:E250)</f>
        <v/>
      </c>
    </row>
    <row r="251">
      <c r="A251" s="29" t="n">
        <v>45665</v>
      </c>
      <c r="B251" s="37" t="inlineStr">
        <is>
          <t>JOB-1247</t>
        </is>
      </c>
      <c r="C251" s="34" t="n">
        <v>1</v>
      </c>
      <c r="D251" s="37" t="inlineStr">
        <is>
          <t>Tech G</t>
        </is>
      </c>
      <c r="E251" s="35" t="n">
        <v>1.8</v>
      </c>
      <c r="F251" s="35" t="n">
        <v>1.4</v>
      </c>
      <c r="G251" s="37" t="inlineStr">
        <is>
          <t>N</t>
        </is>
      </c>
      <c r="H251" s="37" t="inlineStr">
        <is>
          <t>N</t>
        </is>
      </c>
      <c r="I251" s="37">
        <f>COUNTIF(G$5:G251,"Y")/COUNTA(G$5:G251)</f>
        <v/>
      </c>
      <c r="J251" s="37">
        <f>COUNTIF(H$5:H251,"Y")/COUNTA(H$5:H251)</f>
        <v/>
      </c>
      <c r="K251" s="37">
        <f>AVERAGE(F$5:F251)</f>
        <v/>
      </c>
      <c r="L251" s="37">
        <f>SUM(F$5:F251)/SUM(E$5:E251)</f>
        <v/>
      </c>
    </row>
    <row r="252">
      <c r="A252" s="29" t="n">
        <v>45666</v>
      </c>
      <c r="B252" s="37" t="inlineStr">
        <is>
          <t>JOB-1248</t>
        </is>
      </c>
      <c r="C252" s="34" t="n">
        <v>1</v>
      </c>
      <c r="D252" s="37" t="inlineStr">
        <is>
          <t>Tech B</t>
        </is>
      </c>
      <c r="E252" s="35" t="n">
        <v>3.9</v>
      </c>
      <c r="F252" s="35" t="n">
        <v>3.2</v>
      </c>
      <c r="G252" s="37" t="inlineStr">
        <is>
          <t>Y</t>
        </is>
      </c>
      <c r="H252" s="37" t="inlineStr">
        <is>
          <t>N</t>
        </is>
      </c>
      <c r="I252" s="37">
        <f>COUNTIF(G$5:G252,"Y")/COUNTA(G$5:G252)</f>
        <v/>
      </c>
      <c r="J252" s="37">
        <f>COUNTIF(H$5:H252,"Y")/COUNTA(H$5:H252)</f>
        <v/>
      </c>
      <c r="K252" s="37">
        <f>AVERAGE(F$5:F252)</f>
        <v/>
      </c>
      <c r="L252" s="37">
        <f>SUM(F$5:F252)/SUM(E$5:E252)</f>
        <v/>
      </c>
    </row>
    <row r="253">
      <c r="A253" s="29" t="n">
        <v>45667</v>
      </c>
      <c r="B253" s="37" t="inlineStr">
        <is>
          <t>JOB-1249</t>
        </is>
      </c>
      <c r="C253" s="34" t="n">
        <v>1</v>
      </c>
      <c r="D253" s="37" t="inlineStr">
        <is>
          <t>Tech A</t>
        </is>
      </c>
      <c r="E253" s="35" t="n">
        <v>2</v>
      </c>
      <c r="F253" s="35" t="n">
        <v>1.5</v>
      </c>
      <c r="G253" s="37" t="inlineStr">
        <is>
          <t>Y</t>
        </is>
      </c>
      <c r="H253" s="37" t="inlineStr">
        <is>
          <t>N</t>
        </is>
      </c>
      <c r="I253" s="37">
        <f>COUNTIF(G$5:G253,"Y")/COUNTA(G$5:G253)</f>
        <v/>
      </c>
      <c r="J253" s="37">
        <f>COUNTIF(H$5:H253,"Y")/COUNTA(H$5:H253)</f>
        <v/>
      </c>
      <c r="K253" s="37">
        <f>AVERAGE(F$5:F253)</f>
        <v/>
      </c>
      <c r="L253" s="37">
        <f>SUM(F$5:F253)/SUM(E$5:E253)</f>
        <v/>
      </c>
    </row>
    <row r="254">
      <c r="A254" s="29" t="n">
        <v>45663</v>
      </c>
      <c r="B254" s="37" t="inlineStr">
        <is>
          <t>JOB-1250</t>
        </is>
      </c>
      <c r="C254" s="34" t="n">
        <v>1</v>
      </c>
      <c r="D254" s="37" t="inlineStr">
        <is>
          <t>Tech H</t>
        </is>
      </c>
      <c r="E254" s="35" t="n">
        <v>5.3</v>
      </c>
      <c r="F254" s="35" t="n">
        <v>3.9</v>
      </c>
      <c r="G254" s="37" t="inlineStr">
        <is>
          <t>Y</t>
        </is>
      </c>
      <c r="H254" s="37" t="inlineStr">
        <is>
          <t>N</t>
        </is>
      </c>
      <c r="I254" s="37">
        <f>COUNTIF(G$5:G254,"Y")/COUNTA(G$5:G254)</f>
        <v/>
      </c>
      <c r="J254" s="37">
        <f>COUNTIF(H$5:H254,"Y")/COUNTA(H$5:H254)</f>
        <v/>
      </c>
      <c r="K254" s="37">
        <f>AVERAGE(F$5:F254)</f>
        <v/>
      </c>
      <c r="L254" s="37">
        <f>SUM(F$5:F254)/SUM(E$5:E254)</f>
        <v/>
      </c>
    </row>
    <row r="255">
      <c r="A255" s="29" t="n">
        <v>45664</v>
      </c>
      <c r="B255" s="37" t="inlineStr">
        <is>
          <t>JOB-1251</t>
        </is>
      </c>
      <c r="C255" s="34" t="n">
        <v>1</v>
      </c>
      <c r="D255" s="37" t="inlineStr">
        <is>
          <t>Tech G</t>
        </is>
      </c>
      <c r="E255" s="35" t="n">
        <v>5.5</v>
      </c>
      <c r="F255" s="35" t="n">
        <v>3.7</v>
      </c>
      <c r="G255" s="37" t="inlineStr">
        <is>
          <t>Y</t>
        </is>
      </c>
      <c r="H255" s="37" t="inlineStr">
        <is>
          <t>N</t>
        </is>
      </c>
      <c r="I255" s="37">
        <f>COUNTIF(G$5:G255,"Y")/COUNTA(G$5:G255)</f>
        <v/>
      </c>
      <c r="J255" s="37">
        <f>COUNTIF(H$5:H255,"Y")/COUNTA(H$5:H255)</f>
        <v/>
      </c>
      <c r="K255" s="37">
        <f>AVERAGE(F$5:F255)</f>
        <v/>
      </c>
      <c r="L255" s="37">
        <f>SUM(F$5:F255)/SUM(E$5:E255)</f>
        <v/>
      </c>
    </row>
    <row r="256">
      <c r="A256" s="29" t="n">
        <v>45665</v>
      </c>
      <c r="B256" s="37" t="inlineStr">
        <is>
          <t>JOB-1252</t>
        </is>
      </c>
      <c r="C256" s="34" t="n">
        <v>1</v>
      </c>
      <c r="D256" s="37" t="inlineStr">
        <is>
          <t>Tech A</t>
        </is>
      </c>
      <c r="E256" s="35" t="n">
        <v>2.7</v>
      </c>
      <c r="F256" s="35" t="n">
        <v>1.8</v>
      </c>
      <c r="G256" s="37" t="inlineStr">
        <is>
          <t>Y</t>
        </is>
      </c>
      <c r="H256" s="37" t="inlineStr">
        <is>
          <t>N</t>
        </is>
      </c>
      <c r="I256" s="37">
        <f>COUNTIF(G$5:G256,"Y")/COUNTA(G$5:G256)</f>
        <v/>
      </c>
      <c r="J256" s="37">
        <f>COUNTIF(H$5:H256,"Y")/COUNTA(H$5:H256)</f>
        <v/>
      </c>
      <c r="K256" s="37">
        <f>AVERAGE(F$5:F256)</f>
        <v/>
      </c>
      <c r="L256" s="37">
        <f>SUM(F$5:F256)/SUM(E$5:E256)</f>
        <v/>
      </c>
    </row>
    <row r="257">
      <c r="A257" s="29" t="n">
        <v>45666</v>
      </c>
      <c r="B257" s="37" t="inlineStr">
        <is>
          <t>JOB-1253</t>
        </is>
      </c>
      <c r="C257" s="34" t="n">
        <v>1</v>
      </c>
      <c r="D257" s="37" t="inlineStr">
        <is>
          <t>Tech B</t>
        </is>
      </c>
      <c r="E257" s="35" t="n">
        <v>2.9</v>
      </c>
      <c r="F257" s="35" t="n">
        <v>2</v>
      </c>
      <c r="G257" s="37" t="inlineStr">
        <is>
          <t>Y</t>
        </is>
      </c>
      <c r="H257" s="37" t="inlineStr">
        <is>
          <t>N</t>
        </is>
      </c>
      <c r="I257" s="37">
        <f>COUNTIF(G$5:G257,"Y")/COUNTA(G$5:G257)</f>
        <v/>
      </c>
      <c r="J257" s="37">
        <f>COUNTIF(H$5:H257,"Y")/COUNTA(H$5:H257)</f>
        <v/>
      </c>
      <c r="K257" s="37">
        <f>AVERAGE(F$5:F257)</f>
        <v/>
      </c>
      <c r="L257" s="37">
        <f>SUM(F$5:F257)/SUM(E$5:E257)</f>
        <v/>
      </c>
    </row>
    <row r="258">
      <c r="A258" s="29" t="n">
        <v>45667</v>
      </c>
      <c r="B258" s="37" t="inlineStr">
        <is>
          <t>JOB-1254</t>
        </is>
      </c>
      <c r="C258" s="34" t="n">
        <v>1</v>
      </c>
      <c r="D258" s="37" t="inlineStr">
        <is>
          <t>Tech A</t>
        </is>
      </c>
      <c r="E258" s="35" t="n">
        <v>0.6</v>
      </c>
      <c r="F258" s="35" t="n">
        <v>0.5</v>
      </c>
      <c r="G258" s="37" t="inlineStr">
        <is>
          <t>Y</t>
        </is>
      </c>
      <c r="H258" s="37" t="inlineStr">
        <is>
          <t>N</t>
        </is>
      </c>
      <c r="I258" s="37">
        <f>COUNTIF(G$5:G258,"Y")/COUNTA(G$5:G258)</f>
        <v/>
      </c>
      <c r="J258" s="37">
        <f>COUNTIF(H$5:H258,"Y")/COUNTA(H$5:H258)</f>
        <v/>
      </c>
      <c r="K258" s="37">
        <f>AVERAGE(F$5:F258)</f>
        <v/>
      </c>
      <c r="L258" s="37">
        <f>SUM(F$5:F258)/SUM(E$5:E258)</f>
        <v/>
      </c>
    </row>
    <row r="259">
      <c r="A259" s="29" t="n">
        <v>45663</v>
      </c>
      <c r="B259" s="37" t="inlineStr">
        <is>
          <t>JOB-1255</t>
        </is>
      </c>
      <c r="C259" s="34" t="n">
        <v>1</v>
      </c>
      <c r="D259" s="37" t="inlineStr">
        <is>
          <t>Tech C</t>
        </is>
      </c>
      <c r="E259" s="35" t="n">
        <v>0.8</v>
      </c>
      <c r="F259" s="35" t="n">
        <v>0.5</v>
      </c>
      <c r="G259" s="37" t="inlineStr">
        <is>
          <t>Y</t>
        </is>
      </c>
      <c r="H259" s="37" t="inlineStr">
        <is>
          <t>N</t>
        </is>
      </c>
      <c r="I259" s="37">
        <f>COUNTIF(G$5:G259,"Y")/COUNTA(G$5:G259)</f>
        <v/>
      </c>
      <c r="J259" s="37">
        <f>COUNTIF(H$5:H259,"Y")/COUNTA(H$5:H259)</f>
        <v/>
      </c>
      <c r="K259" s="37">
        <f>AVERAGE(F$5:F259)</f>
        <v/>
      </c>
      <c r="L259" s="37">
        <f>SUM(F$5:F259)/SUM(E$5:E259)</f>
        <v/>
      </c>
    </row>
    <row r="260">
      <c r="A260" s="29" t="n">
        <v>45664</v>
      </c>
      <c r="B260" s="37" t="inlineStr">
        <is>
          <t>JOB-1256</t>
        </is>
      </c>
      <c r="C260" s="34" t="n">
        <v>1</v>
      </c>
      <c r="D260" s="37" t="inlineStr">
        <is>
          <t>Tech G</t>
        </is>
      </c>
      <c r="E260" s="35" t="n">
        <v>0.8</v>
      </c>
      <c r="F260" s="35" t="n">
        <v>0.5</v>
      </c>
      <c r="G260" s="37" t="inlineStr">
        <is>
          <t>Y</t>
        </is>
      </c>
      <c r="H260" s="37" t="inlineStr">
        <is>
          <t>N</t>
        </is>
      </c>
      <c r="I260" s="37">
        <f>COUNTIF(G$5:G260,"Y")/COUNTA(G$5:G260)</f>
        <v/>
      </c>
      <c r="J260" s="37">
        <f>COUNTIF(H$5:H260,"Y")/COUNTA(H$5:H260)</f>
        <v/>
      </c>
      <c r="K260" s="37">
        <f>AVERAGE(F$5:F260)</f>
        <v/>
      </c>
      <c r="L260" s="37">
        <f>SUM(F$5:F260)/SUM(E$5:E260)</f>
        <v/>
      </c>
    </row>
    <row r="261">
      <c r="A261" s="29" t="n">
        <v>45665</v>
      </c>
      <c r="B261" s="37" t="inlineStr">
        <is>
          <t>JOB-1257</t>
        </is>
      </c>
      <c r="C261" s="34" t="n">
        <v>1</v>
      </c>
      <c r="D261" s="37" t="inlineStr">
        <is>
          <t>Tech G</t>
        </is>
      </c>
      <c r="E261" s="35" t="n">
        <v>0.5</v>
      </c>
      <c r="F261" s="35" t="n">
        <v>0.5</v>
      </c>
      <c r="G261" s="37" t="inlineStr">
        <is>
          <t>Y</t>
        </is>
      </c>
      <c r="H261" s="37" t="inlineStr">
        <is>
          <t>N</t>
        </is>
      </c>
      <c r="I261" s="37">
        <f>COUNTIF(G$5:G261,"Y")/COUNTA(G$5:G261)</f>
        <v/>
      </c>
      <c r="J261" s="37">
        <f>COUNTIF(H$5:H261,"Y")/COUNTA(H$5:H261)</f>
        <v/>
      </c>
      <c r="K261" s="37">
        <f>AVERAGE(F$5:F261)</f>
        <v/>
      </c>
      <c r="L261" s="37">
        <f>SUM(F$5:F261)/SUM(E$5:E261)</f>
        <v/>
      </c>
    </row>
    <row r="262">
      <c r="A262" s="29" t="n">
        <v>45666</v>
      </c>
      <c r="B262" s="37" t="inlineStr">
        <is>
          <t>JOB-1258</t>
        </is>
      </c>
      <c r="C262" s="34" t="n">
        <v>1</v>
      </c>
      <c r="D262" s="37" t="inlineStr">
        <is>
          <t>Tech B</t>
        </is>
      </c>
      <c r="E262" s="35" t="n">
        <v>0.5</v>
      </c>
      <c r="F262" s="35" t="n">
        <v>0.5</v>
      </c>
      <c r="G262" s="37" t="inlineStr">
        <is>
          <t>Y</t>
        </is>
      </c>
      <c r="H262" s="37" t="inlineStr">
        <is>
          <t>N</t>
        </is>
      </c>
      <c r="I262" s="37">
        <f>COUNTIF(G$5:G262,"Y")/COUNTA(G$5:G262)</f>
        <v/>
      </c>
      <c r="J262" s="37">
        <f>COUNTIF(H$5:H262,"Y")/COUNTA(H$5:H262)</f>
        <v/>
      </c>
      <c r="K262" s="37">
        <f>AVERAGE(F$5:F262)</f>
        <v/>
      </c>
      <c r="L262" s="37">
        <f>SUM(F$5:F262)/SUM(E$5:E262)</f>
        <v/>
      </c>
    </row>
    <row r="263">
      <c r="A263" s="29" t="n">
        <v>45667</v>
      </c>
      <c r="B263" s="37" t="inlineStr">
        <is>
          <t>JOB-1259</t>
        </is>
      </c>
      <c r="C263" s="34" t="n">
        <v>1</v>
      </c>
      <c r="D263" s="37" t="inlineStr">
        <is>
          <t>Tech F</t>
        </is>
      </c>
      <c r="E263" s="35" t="n">
        <v>0.5</v>
      </c>
      <c r="F263" s="35" t="n">
        <v>0.5</v>
      </c>
      <c r="G263" s="37" t="inlineStr">
        <is>
          <t>Y</t>
        </is>
      </c>
      <c r="H263" s="37" t="inlineStr">
        <is>
          <t>N</t>
        </is>
      </c>
      <c r="I263" s="37">
        <f>COUNTIF(G$5:G263,"Y")/COUNTA(G$5:G263)</f>
        <v/>
      </c>
      <c r="J263" s="37">
        <f>COUNTIF(H$5:H263,"Y")/COUNTA(H$5:H263)</f>
        <v/>
      </c>
      <c r="K263" s="37">
        <f>AVERAGE(F$5:F263)</f>
        <v/>
      </c>
      <c r="L263" s="37">
        <f>SUM(F$5:F263)/SUM(E$5:E263)</f>
        <v/>
      </c>
    </row>
    <row r="264">
      <c r="A264" s="29" t="n">
        <v>45663</v>
      </c>
      <c r="B264" s="37" t="inlineStr">
        <is>
          <t>JOB-1260</t>
        </is>
      </c>
      <c r="C264" s="34" t="n">
        <v>1</v>
      </c>
      <c r="D264" s="37" t="inlineStr">
        <is>
          <t>Tech C</t>
        </is>
      </c>
      <c r="E264" s="35" t="n">
        <v>0.5</v>
      </c>
      <c r="F264" s="35" t="n">
        <v>0.5</v>
      </c>
      <c r="G264" s="37" t="inlineStr">
        <is>
          <t>Y</t>
        </is>
      </c>
      <c r="H264" s="37" t="inlineStr">
        <is>
          <t>N</t>
        </is>
      </c>
      <c r="I264" s="37">
        <f>COUNTIF(G$5:G264,"Y")/COUNTA(G$5:G264)</f>
        <v/>
      </c>
      <c r="J264" s="37">
        <f>COUNTIF(H$5:H264,"Y")/COUNTA(H$5:H264)</f>
        <v/>
      </c>
      <c r="K264" s="37">
        <f>AVERAGE(F$5:F264)</f>
        <v/>
      </c>
      <c r="L264" s="37">
        <f>SUM(F$5:F264)/SUM(E$5:E264)</f>
        <v/>
      </c>
    </row>
    <row r="265">
      <c r="A265" s="29" t="n">
        <v>45664</v>
      </c>
      <c r="B265" s="37" t="inlineStr">
        <is>
          <t>JOB-1261</t>
        </is>
      </c>
      <c r="C265" s="34" t="n">
        <v>1</v>
      </c>
      <c r="D265" s="37" t="inlineStr">
        <is>
          <t>Tech A</t>
        </is>
      </c>
      <c r="E265" s="35" t="n">
        <v>0.5</v>
      </c>
      <c r="F265" s="35" t="n">
        <v>0.5</v>
      </c>
      <c r="G265" s="37" t="inlineStr">
        <is>
          <t>Y</t>
        </is>
      </c>
      <c r="H265" s="37" t="inlineStr">
        <is>
          <t>N</t>
        </is>
      </c>
      <c r="I265" s="37">
        <f>COUNTIF(G$5:G265,"Y")/COUNTA(G$5:G265)</f>
        <v/>
      </c>
      <c r="J265" s="37">
        <f>COUNTIF(H$5:H265,"Y")/COUNTA(H$5:H265)</f>
        <v/>
      </c>
      <c r="K265" s="37">
        <f>AVERAGE(F$5:F265)</f>
        <v/>
      </c>
      <c r="L265" s="37">
        <f>SUM(F$5:F265)/SUM(E$5:E265)</f>
        <v/>
      </c>
    </row>
    <row r="266">
      <c r="A266" s="29" t="n">
        <v>45665</v>
      </c>
      <c r="B266" s="37" t="inlineStr">
        <is>
          <t>JOB-1262</t>
        </is>
      </c>
      <c r="C266" s="34" t="n">
        <v>1</v>
      </c>
      <c r="D266" s="37" t="inlineStr">
        <is>
          <t>Tech B</t>
        </is>
      </c>
      <c r="E266" s="35" t="n">
        <v>0.5</v>
      </c>
      <c r="F266" s="35" t="n">
        <v>0.5</v>
      </c>
      <c r="G266" s="37" t="inlineStr">
        <is>
          <t>Y</t>
        </is>
      </c>
      <c r="H266" s="37" t="inlineStr">
        <is>
          <t>N</t>
        </is>
      </c>
      <c r="I266" s="37">
        <f>COUNTIF(G$5:G266,"Y")/COUNTA(G$5:G266)</f>
        <v/>
      </c>
      <c r="J266" s="37">
        <f>COUNTIF(H$5:H266,"Y")/COUNTA(H$5:H266)</f>
        <v/>
      </c>
      <c r="K266" s="37">
        <f>AVERAGE(F$5:F266)</f>
        <v/>
      </c>
      <c r="L266" s="37">
        <f>SUM(F$5:F266)/SUM(E$5:E266)</f>
        <v/>
      </c>
      <c r="M266" s="37" t="n">
        <v>15</v>
      </c>
    </row>
    <row r="267">
      <c r="A267" s="29" t="n">
        <v>45670</v>
      </c>
      <c r="B267" s="37" t="inlineStr">
        <is>
          <t>JOB-1263</t>
        </is>
      </c>
      <c r="C267" s="34" t="n">
        <v>1</v>
      </c>
      <c r="D267" s="37" t="inlineStr">
        <is>
          <t>Tech D</t>
        </is>
      </c>
      <c r="E267" s="35" t="n">
        <v>2.2</v>
      </c>
      <c r="F267" s="35" t="n">
        <v>1.9</v>
      </c>
      <c r="G267" s="37" t="inlineStr">
        <is>
          <t>Y</t>
        </is>
      </c>
      <c r="H267" s="37" t="inlineStr">
        <is>
          <t>N</t>
        </is>
      </c>
      <c r="I267" s="37">
        <f>COUNTIF(G$5:G267,"Y")/COUNTA(G$5:G267)</f>
        <v/>
      </c>
      <c r="J267" s="37">
        <f>COUNTIF(H$5:H267,"Y")/COUNTA(H$5:H267)</f>
        <v/>
      </c>
      <c r="K267" s="37">
        <f>AVERAGE(F$5:F267)</f>
        <v/>
      </c>
      <c r="L267" s="37">
        <f>SUM(F$5:F267)/SUM(E$5:E267)</f>
        <v/>
      </c>
    </row>
    <row r="268">
      <c r="A268" s="29" t="n">
        <v>45671</v>
      </c>
      <c r="B268" s="37" t="inlineStr">
        <is>
          <t>JOB-1264</t>
        </is>
      </c>
      <c r="C268" s="34" t="n">
        <v>1</v>
      </c>
      <c r="D268" s="37" t="inlineStr">
        <is>
          <t>Tech H</t>
        </is>
      </c>
      <c r="E268" s="35" t="n">
        <v>2.7</v>
      </c>
      <c r="F268" s="35" t="n">
        <v>2.3</v>
      </c>
      <c r="G268" s="37" t="inlineStr">
        <is>
          <t>Y</t>
        </is>
      </c>
      <c r="H268" s="37" t="inlineStr">
        <is>
          <t>N</t>
        </is>
      </c>
      <c r="I268" s="37">
        <f>COUNTIF(G$5:G268,"Y")/COUNTA(G$5:G268)</f>
        <v/>
      </c>
      <c r="J268" s="37">
        <f>COUNTIF(H$5:H268,"Y")/COUNTA(H$5:H268)</f>
        <v/>
      </c>
      <c r="K268" s="37">
        <f>AVERAGE(F$5:F268)</f>
        <v/>
      </c>
      <c r="L268" s="37">
        <f>SUM(F$5:F268)/SUM(E$5:E268)</f>
        <v/>
      </c>
    </row>
    <row r="269">
      <c r="A269" s="29" t="n">
        <v>45672</v>
      </c>
      <c r="B269" s="37" t="inlineStr">
        <is>
          <t>JOB-1265</t>
        </is>
      </c>
      <c r="C269" s="34" t="n">
        <v>1</v>
      </c>
      <c r="D269" s="37" t="inlineStr">
        <is>
          <t>Tech D</t>
        </is>
      </c>
      <c r="E269" s="35" t="n">
        <v>1.7</v>
      </c>
      <c r="F269" s="35" t="n">
        <v>1.3</v>
      </c>
      <c r="G269" s="37" t="inlineStr">
        <is>
          <t>Y</t>
        </is>
      </c>
      <c r="H269" s="37" t="inlineStr">
        <is>
          <t>N</t>
        </is>
      </c>
      <c r="I269" s="37">
        <f>COUNTIF(G$5:G269,"Y")/COUNTA(G$5:G269)</f>
        <v/>
      </c>
      <c r="J269" s="37">
        <f>COUNTIF(H$5:H269,"Y")/COUNTA(H$5:H269)</f>
        <v/>
      </c>
      <c r="K269" s="37">
        <f>AVERAGE(F$5:F269)</f>
        <v/>
      </c>
      <c r="L269" s="37">
        <f>SUM(F$5:F269)/SUM(E$5:E269)</f>
        <v/>
      </c>
    </row>
    <row r="270">
      <c r="A270" s="29" t="n">
        <v>45673</v>
      </c>
      <c r="B270" s="37" t="inlineStr">
        <is>
          <t>JOB-1266</t>
        </is>
      </c>
      <c r="C270" s="34" t="n">
        <v>1</v>
      </c>
      <c r="D270" s="37" t="inlineStr">
        <is>
          <t>Tech B</t>
        </is>
      </c>
      <c r="E270" s="35" t="n">
        <v>2.9</v>
      </c>
      <c r="F270" s="35" t="n">
        <v>2.1</v>
      </c>
      <c r="G270" s="37" t="inlineStr">
        <is>
          <t>Y</t>
        </is>
      </c>
      <c r="H270" s="37" t="inlineStr">
        <is>
          <t>N</t>
        </is>
      </c>
      <c r="I270" s="37">
        <f>COUNTIF(G$5:G270,"Y")/COUNTA(G$5:G270)</f>
        <v/>
      </c>
      <c r="J270" s="37">
        <f>COUNTIF(H$5:H270,"Y")/COUNTA(H$5:H270)</f>
        <v/>
      </c>
      <c r="K270" s="37">
        <f>AVERAGE(F$5:F270)</f>
        <v/>
      </c>
      <c r="L270" s="37">
        <f>SUM(F$5:F270)/SUM(E$5:E270)</f>
        <v/>
      </c>
    </row>
    <row r="271">
      <c r="A271" s="29" t="n">
        <v>45674</v>
      </c>
      <c r="B271" s="37" t="inlineStr">
        <is>
          <t>JOB-1267</t>
        </is>
      </c>
      <c r="C271" s="34" t="n">
        <v>1</v>
      </c>
      <c r="D271" s="37" t="inlineStr">
        <is>
          <t>Tech B</t>
        </is>
      </c>
      <c r="E271" s="35" t="n">
        <v>2.9</v>
      </c>
      <c r="F271" s="35" t="n">
        <v>2.4</v>
      </c>
      <c r="G271" s="37" t="inlineStr">
        <is>
          <t>Y</t>
        </is>
      </c>
      <c r="H271" s="37" t="inlineStr">
        <is>
          <t>N</t>
        </is>
      </c>
      <c r="I271" s="37">
        <f>COUNTIF(G$5:G271,"Y")/COUNTA(G$5:G271)</f>
        <v/>
      </c>
      <c r="J271" s="37">
        <f>COUNTIF(H$5:H271,"Y")/COUNTA(H$5:H271)</f>
        <v/>
      </c>
      <c r="K271" s="37">
        <f>AVERAGE(F$5:F271)</f>
        <v/>
      </c>
      <c r="L271" s="37">
        <f>SUM(F$5:F271)/SUM(E$5:E271)</f>
        <v/>
      </c>
    </row>
    <row r="272">
      <c r="A272" s="29" t="n">
        <v>45670</v>
      </c>
      <c r="B272" s="37" t="inlineStr">
        <is>
          <t>JOB-1268</t>
        </is>
      </c>
      <c r="C272" s="34" t="n">
        <v>1</v>
      </c>
      <c r="D272" s="37" t="inlineStr">
        <is>
          <t>Tech D</t>
        </is>
      </c>
      <c r="E272" s="35" t="n">
        <v>4.1</v>
      </c>
      <c r="F272" s="35" t="n">
        <v>2.9</v>
      </c>
      <c r="G272" s="37" t="inlineStr">
        <is>
          <t>Y</t>
        </is>
      </c>
      <c r="H272" s="37" t="inlineStr">
        <is>
          <t>N</t>
        </is>
      </c>
      <c r="I272" s="37">
        <f>COUNTIF(G$5:G272,"Y")/COUNTA(G$5:G272)</f>
        <v/>
      </c>
      <c r="J272" s="37">
        <f>COUNTIF(H$5:H272,"Y")/COUNTA(H$5:H272)</f>
        <v/>
      </c>
      <c r="K272" s="37">
        <f>AVERAGE(F$5:F272)</f>
        <v/>
      </c>
      <c r="L272" s="37">
        <f>SUM(F$5:F272)/SUM(E$5:E272)</f>
        <v/>
      </c>
    </row>
    <row r="273">
      <c r="A273" s="29" t="n">
        <v>45671</v>
      </c>
      <c r="B273" s="37" t="inlineStr">
        <is>
          <t>JOB-1269</t>
        </is>
      </c>
      <c r="C273" s="34" t="n">
        <v>1</v>
      </c>
      <c r="D273" s="37" t="inlineStr">
        <is>
          <t>Tech F</t>
        </is>
      </c>
      <c r="E273" s="35" t="n">
        <v>5.2</v>
      </c>
      <c r="F273" s="35" t="n">
        <v>3.7</v>
      </c>
      <c r="G273" s="37" t="inlineStr">
        <is>
          <t>Y</t>
        </is>
      </c>
      <c r="H273" s="37" t="inlineStr">
        <is>
          <t>N</t>
        </is>
      </c>
      <c r="I273" s="37">
        <f>COUNTIF(G$5:G273,"Y")/COUNTA(G$5:G273)</f>
        <v/>
      </c>
      <c r="J273" s="37">
        <f>COUNTIF(H$5:H273,"Y")/COUNTA(H$5:H273)</f>
        <v/>
      </c>
      <c r="K273" s="37">
        <f>AVERAGE(F$5:F273)</f>
        <v/>
      </c>
      <c r="L273" s="37">
        <f>SUM(F$5:F273)/SUM(E$5:E273)</f>
        <v/>
      </c>
    </row>
    <row r="274">
      <c r="A274" s="29" t="n">
        <v>45672</v>
      </c>
      <c r="B274" s="37" t="inlineStr">
        <is>
          <t>JOB-1270</t>
        </is>
      </c>
      <c r="C274" s="34" t="n">
        <v>1</v>
      </c>
      <c r="D274" s="37" t="inlineStr">
        <is>
          <t>Tech H</t>
        </is>
      </c>
      <c r="E274" s="35" t="n">
        <v>2.8</v>
      </c>
      <c r="F274" s="35" t="n">
        <v>2</v>
      </c>
      <c r="G274" s="37" t="inlineStr">
        <is>
          <t>N</t>
        </is>
      </c>
      <c r="H274" s="37" t="inlineStr">
        <is>
          <t>N</t>
        </is>
      </c>
      <c r="I274" s="37">
        <f>COUNTIF(G$5:G274,"Y")/COUNTA(G$5:G274)</f>
        <v/>
      </c>
      <c r="J274" s="37">
        <f>COUNTIF(H$5:H274,"Y")/COUNTA(H$5:H274)</f>
        <v/>
      </c>
      <c r="K274" s="37">
        <f>AVERAGE(F$5:F274)</f>
        <v/>
      </c>
      <c r="L274" s="37">
        <f>SUM(F$5:F274)/SUM(E$5:E274)</f>
        <v/>
      </c>
    </row>
    <row r="275">
      <c r="A275" s="29" t="n">
        <v>45673</v>
      </c>
      <c r="B275" s="37" t="inlineStr">
        <is>
          <t>JOB-1271</t>
        </is>
      </c>
      <c r="C275" s="34" t="n">
        <v>1</v>
      </c>
      <c r="D275" s="37" t="inlineStr">
        <is>
          <t>Tech B</t>
        </is>
      </c>
      <c r="E275" s="35" t="n">
        <v>1.8</v>
      </c>
      <c r="F275" s="35" t="n">
        <v>1.2</v>
      </c>
      <c r="G275" s="37" t="inlineStr">
        <is>
          <t>Y</t>
        </is>
      </c>
      <c r="H275" s="37" t="inlineStr">
        <is>
          <t>N</t>
        </is>
      </c>
      <c r="I275" s="37">
        <f>COUNTIF(G$5:G275,"Y")/COUNTA(G$5:G275)</f>
        <v/>
      </c>
      <c r="J275" s="37">
        <f>COUNTIF(H$5:H275,"Y")/COUNTA(H$5:H275)</f>
        <v/>
      </c>
      <c r="K275" s="37">
        <f>AVERAGE(F$5:F275)</f>
        <v/>
      </c>
      <c r="L275" s="37">
        <f>SUM(F$5:F275)/SUM(E$5:E275)</f>
        <v/>
      </c>
    </row>
    <row r="276">
      <c r="A276" s="29" t="n">
        <v>45674</v>
      </c>
      <c r="B276" s="37" t="inlineStr">
        <is>
          <t>JOB-1272</t>
        </is>
      </c>
      <c r="C276" s="34" t="n">
        <v>1</v>
      </c>
      <c r="D276" s="37" t="inlineStr">
        <is>
          <t>Tech F</t>
        </is>
      </c>
      <c r="E276" s="35" t="n">
        <v>4.6</v>
      </c>
      <c r="F276" s="35" t="n">
        <v>3.5</v>
      </c>
      <c r="G276" s="37" t="inlineStr">
        <is>
          <t>Y</t>
        </is>
      </c>
      <c r="H276" s="37" t="inlineStr">
        <is>
          <t>N</t>
        </is>
      </c>
      <c r="I276" s="37">
        <f>COUNTIF(G$5:G276,"Y")/COUNTA(G$5:G276)</f>
        <v/>
      </c>
      <c r="J276" s="37">
        <f>COUNTIF(H$5:H276,"Y")/COUNTA(H$5:H276)</f>
        <v/>
      </c>
      <c r="K276" s="37">
        <f>AVERAGE(F$5:F276)</f>
        <v/>
      </c>
      <c r="L276" s="37">
        <f>SUM(F$5:F276)/SUM(E$5:E276)</f>
        <v/>
      </c>
    </row>
    <row r="277">
      <c r="A277" s="29" t="n">
        <v>45670</v>
      </c>
      <c r="B277" s="37" t="inlineStr">
        <is>
          <t>JOB-1273</t>
        </is>
      </c>
      <c r="C277" s="34" t="n">
        <v>1</v>
      </c>
      <c r="D277" s="37" t="inlineStr">
        <is>
          <t>Tech F</t>
        </is>
      </c>
      <c r="E277" s="35" t="n">
        <v>2</v>
      </c>
      <c r="F277" s="35" t="n">
        <v>1.4</v>
      </c>
      <c r="G277" s="37" t="inlineStr">
        <is>
          <t>Y</t>
        </is>
      </c>
      <c r="H277" s="37" t="inlineStr">
        <is>
          <t>N</t>
        </is>
      </c>
      <c r="I277" s="37">
        <f>COUNTIF(G$5:G277,"Y")/COUNTA(G$5:G277)</f>
        <v/>
      </c>
      <c r="J277" s="37">
        <f>COUNTIF(H$5:H277,"Y")/COUNTA(H$5:H277)</f>
        <v/>
      </c>
      <c r="K277" s="37">
        <f>AVERAGE(F$5:F277)</f>
        <v/>
      </c>
      <c r="L277" s="37">
        <f>SUM(F$5:F277)/SUM(E$5:E277)</f>
        <v/>
      </c>
    </row>
    <row r="278">
      <c r="A278" s="29" t="n">
        <v>45671</v>
      </c>
      <c r="B278" s="37" t="inlineStr">
        <is>
          <t>JOB-1274</t>
        </is>
      </c>
      <c r="C278" s="34" t="n">
        <v>1</v>
      </c>
      <c r="D278" s="37" t="inlineStr">
        <is>
          <t>Tech G</t>
        </is>
      </c>
      <c r="E278" s="35" t="n">
        <v>3.6</v>
      </c>
      <c r="F278" s="35" t="n">
        <v>2.4</v>
      </c>
      <c r="G278" s="37" t="inlineStr">
        <is>
          <t>Y</t>
        </is>
      </c>
      <c r="H278" s="37" t="inlineStr">
        <is>
          <t>N</t>
        </is>
      </c>
      <c r="I278" s="37">
        <f>COUNTIF(G$5:G278,"Y")/COUNTA(G$5:G278)</f>
        <v/>
      </c>
      <c r="J278" s="37">
        <f>COUNTIF(H$5:H278,"Y")/COUNTA(H$5:H278)</f>
        <v/>
      </c>
      <c r="K278" s="37">
        <f>AVERAGE(F$5:F278)</f>
        <v/>
      </c>
      <c r="L278" s="37">
        <f>SUM(F$5:F278)/SUM(E$5:E278)</f>
        <v/>
      </c>
    </row>
    <row r="279">
      <c r="A279" s="29" t="n">
        <v>45672</v>
      </c>
      <c r="B279" s="37" t="inlineStr">
        <is>
          <t>JOB-1275</t>
        </is>
      </c>
      <c r="C279" s="34" t="n">
        <v>1</v>
      </c>
      <c r="D279" s="37" t="inlineStr">
        <is>
          <t>Tech H</t>
        </is>
      </c>
      <c r="E279" s="35" t="n">
        <v>2.4</v>
      </c>
      <c r="F279" s="35" t="n">
        <v>2</v>
      </c>
      <c r="G279" s="37" t="inlineStr">
        <is>
          <t>N</t>
        </is>
      </c>
      <c r="H279" s="37" t="inlineStr">
        <is>
          <t>Y</t>
        </is>
      </c>
      <c r="I279" s="37">
        <f>COUNTIF(G$5:G279,"Y")/COUNTA(G$5:G279)</f>
        <v/>
      </c>
      <c r="J279" s="37">
        <f>COUNTIF(H$5:H279,"Y")/COUNTA(H$5:H279)</f>
        <v/>
      </c>
      <c r="K279" s="37">
        <f>AVERAGE(F$5:F279)</f>
        <v/>
      </c>
      <c r="L279" s="37">
        <f>SUM(F$5:F279)/SUM(E$5:E279)</f>
        <v/>
      </c>
    </row>
    <row r="280">
      <c r="A280" s="29" t="n">
        <v>45673</v>
      </c>
      <c r="B280" s="37" t="inlineStr">
        <is>
          <t>JOB-1276</t>
        </is>
      </c>
      <c r="C280" s="34" t="n">
        <v>1</v>
      </c>
      <c r="D280" s="37" t="inlineStr">
        <is>
          <t>Tech G</t>
        </is>
      </c>
      <c r="E280" s="35" t="n">
        <v>2.1</v>
      </c>
      <c r="F280" s="35" t="n">
        <v>1.5</v>
      </c>
      <c r="G280" s="37" t="inlineStr">
        <is>
          <t>N</t>
        </is>
      </c>
      <c r="H280" s="37" t="inlineStr">
        <is>
          <t>N</t>
        </is>
      </c>
      <c r="I280" s="37">
        <f>COUNTIF(G$5:G280,"Y")/COUNTA(G$5:G280)</f>
        <v/>
      </c>
      <c r="J280" s="37">
        <f>COUNTIF(H$5:H280,"Y")/COUNTA(H$5:H280)</f>
        <v/>
      </c>
      <c r="K280" s="37">
        <f>AVERAGE(F$5:F280)</f>
        <v/>
      </c>
      <c r="L280" s="37">
        <f>SUM(F$5:F280)/SUM(E$5:E280)</f>
        <v/>
      </c>
    </row>
    <row r="281">
      <c r="A281" s="29" t="n">
        <v>45674</v>
      </c>
      <c r="B281" s="37" t="inlineStr">
        <is>
          <t>JOB-1277</t>
        </is>
      </c>
      <c r="C281" s="34" t="n">
        <v>1</v>
      </c>
      <c r="D281" s="37" t="inlineStr">
        <is>
          <t>Tech C</t>
        </is>
      </c>
      <c r="E281" s="35" t="n">
        <v>4</v>
      </c>
      <c r="F281" s="35" t="n">
        <v>2.8</v>
      </c>
      <c r="G281" s="37" t="inlineStr">
        <is>
          <t>Y</t>
        </is>
      </c>
      <c r="H281" s="37" t="inlineStr">
        <is>
          <t>N</t>
        </is>
      </c>
      <c r="I281" s="37">
        <f>COUNTIF(G$5:G281,"Y")/COUNTA(G$5:G281)</f>
        <v/>
      </c>
      <c r="J281" s="37">
        <f>COUNTIF(H$5:H281,"Y")/COUNTA(H$5:H281)</f>
        <v/>
      </c>
      <c r="K281" s="37">
        <f>AVERAGE(F$5:F281)</f>
        <v/>
      </c>
      <c r="L281" s="37">
        <f>SUM(F$5:F281)/SUM(E$5:E281)</f>
        <v/>
      </c>
    </row>
    <row r="282">
      <c r="A282" s="29" t="n">
        <v>45670</v>
      </c>
      <c r="B282" s="37" t="inlineStr">
        <is>
          <t>JOB-1278</t>
        </is>
      </c>
      <c r="C282" s="34" t="n">
        <v>1</v>
      </c>
      <c r="D282" s="37" t="inlineStr">
        <is>
          <t>Tech A</t>
        </is>
      </c>
      <c r="E282" s="35" t="n">
        <v>3</v>
      </c>
      <c r="F282" s="35" t="n">
        <v>2.2</v>
      </c>
      <c r="G282" s="37" t="inlineStr">
        <is>
          <t>Y</t>
        </is>
      </c>
      <c r="H282" s="37" t="inlineStr">
        <is>
          <t>N</t>
        </is>
      </c>
      <c r="I282" s="37">
        <f>COUNTIF(G$5:G282,"Y")/COUNTA(G$5:G282)</f>
        <v/>
      </c>
      <c r="J282" s="37">
        <f>COUNTIF(H$5:H282,"Y")/COUNTA(H$5:H282)</f>
        <v/>
      </c>
      <c r="K282" s="37">
        <f>AVERAGE(F$5:F282)</f>
        <v/>
      </c>
      <c r="L282" s="37">
        <f>SUM(F$5:F282)/SUM(E$5:E282)</f>
        <v/>
      </c>
    </row>
    <row r="283">
      <c r="A283" s="29" t="n">
        <v>45671</v>
      </c>
      <c r="B283" s="37" t="inlineStr">
        <is>
          <t>JOB-1279</t>
        </is>
      </c>
      <c r="C283" s="34" t="n">
        <v>1</v>
      </c>
      <c r="D283" s="37" t="inlineStr">
        <is>
          <t>Tech D</t>
        </is>
      </c>
      <c r="E283" s="35" t="n">
        <v>2.5</v>
      </c>
      <c r="F283" s="35" t="n">
        <v>1.9</v>
      </c>
      <c r="G283" s="37" t="inlineStr">
        <is>
          <t>Y</t>
        </is>
      </c>
      <c r="H283" s="37" t="inlineStr">
        <is>
          <t>Y</t>
        </is>
      </c>
      <c r="I283" s="37">
        <f>COUNTIF(G$5:G283,"Y")/COUNTA(G$5:G283)</f>
        <v/>
      </c>
      <c r="J283" s="37">
        <f>COUNTIF(H$5:H283,"Y")/COUNTA(H$5:H283)</f>
        <v/>
      </c>
      <c r="K283" s="37">
        <f>AVERAGE(F$5:F283)</f>
        <v/>
      </c>
      <c r="L283" s="37">
        <f>SUM(F$5:F283)/SUM(E$5:E283)</f>
        <v/>
      </c>
    </row>
    <row r="284">
      <c r="A284" s="29" t="n">
        <v>45672</v>
      </c>
      <c r="B284" s="37" t="inlineStr">
        <is>
          <t>JOB-1280</t>
        </is>
      </c>
      <c r="C284" s="34" t="n">
        <v>1</v>
      </c>
      <c r="D284" s="37" t="inlineStr">
        <is>
          <t>Tech G</t>
        </is>
      </c>
      <c r="E284" s="35" t="n">
        <v>3.3</v>
      </c>
      <c r="F284" s="35" t="n">
        <v>2.3</v>
      </c>
      <c r="G284" s="37" t="inlineStr">
        <is>
          <t>Y</t>
        </is>
      </c>
      <c r="H284" s="37" t="inlineStr">
        <is>
          <t>N</t>
        </is>
      </c>
      <c r="I284" s="37">
        <f>COUNTIF(G$5:G284,"Y")/COUNTA(G$5:G284)</f>
        <v/>
      </c>
      <c r="J284" s="37">
        <f>COUNTIF(H$5:H284,"Y")/COUNTA(H$5:H284)</f>
        <v/>
      </c>
      <c r="K284" s="37">
        <f>AVERAGE(F$5:F284)</f>
        <v/>
      </c>
      <c r="L284" s="37">
        <f>SUM(F$5:F284)/SUM(E$5:E284)</f>
        <v/>
      </c>
    </row>
    <row r="285">
      <c r="A285" s="29" t="n">
        <v>45673</v>
      </c>
      <c r="B285" s="37" t="inlineStr">
        <is>
          <t>JOB-1281</t>
        </is>
      </c>
      <c r="C285" s="34" t="n">
        <v>1</v>
      </c>
      <c r="D285" s="37" t="inlineStr">
        <is>
          <t>Tech H</t>
        </is>
      </c>
      <c r="E285" s="35" t="n">
        <v>1.9</v>
      </c>
      <c r="F285" s="35" t="n">
        <v>1.4</v>
      </c>
      <c r="G285" s="37" t="inlineStr">
        <is>
          <t>Y</t>
        </is>
      </c>
      <c r="H285" s="37" t="inlineStr">
        <is>
          <t>N</t>
        </is>
      </c>
      <c r="I285" s="37">
        <f>COUNTIF(G$5:G285,"Y")/COUNTA(G$5:G285)</f>
        <v/>
      </c>
      <c r="J285" s="37">
        <f>COUNTIF(H$5:H285,"Y")/COUNTA(H$5:H285)</f>
        <v/>
      </c>
      <c r="K285" s="37">
        <f>AVERAGE(F$5:F285)</f>
        <v/>
      </c>
      <c r="L285" s="37">
        <f>SUM(F$5:F285)/SUM(E$5:E285)</f>
        <v/>
      </c>
    </row>
    <row r="286">
      <c r="A286" s="29" t="n">
        <v>45674</v>
      </c>
      <c r="B286" s="37" t="inlineStr">
        <is>
          <t>JOB-1282</t>
        </is>
      </c>
      <c r="C286" s="34" t="n">
        <v>1</v>
      </c>
      <c r="D286" s="37" t="inlineStr">
        <is>
          <t>Tech A</t>
        </is>
      </c>
      <c r="E286" s="35" t="n">
        <v>4.9</v>
      </c>
      <c r="F286" s="35" t="n">
        <v>3.6</v>
      </c>
      <c r="G286" s="37" t="inlineStr">
        <is>
          <t>Y</t>
        </is>
      </c>
      <c r="H286" s="37" t="inlineStr">
        <is>
          <t>N</t>
        </is>
      </c>
      <c r="I286" s="37">
        <f>COUNTIF(G$5:G286,"Y")/COUNTA(G$5:G286)</f>
        <v/>
      </c>
      <c r="J286" s="37">
        <f>COUNTIF(H$5:H286,"Y")/COUNTA(H$5:H286)</f>
        <v/>
      </c>
      <c r="K286" s="37">
        <f>AVERAGE(F$5:F286)</f>
        <v/>
      </c>
      <c r="L286" s="37">
        <f>SUM(F$5:F286)/SUM(E$5:E286)</f>
        <v/>
      </c>
    </row>
    <row r="287">
      <c r="A287" s="29" t="n">
        <v>45670</v>
      </c>
      <c r="B287" s="37" t="inlineStr">
        <is>
          <t>JOB-1283</t>
        </is>
      </c>
      <c r="C287" s="34" t="n">
        <v>1</v>
      </c>
      <c r="D287" s="37" t="inlineStr">
        <is>
          <t>Tech D</t>
        </is>
      </c>
      <c r="E287" s="35" t="n">
        <v>4.7</v>
      </c>
      <c r="F287" s="35" t="n">
        <v>3.6</v>
      </c>
      <c r="G287" s="37" t="inlineStr">
        <is>
          <t>Y</t>
        </is>
      </c>
      <c r="H287" s="37" t="inlineStr">
        <is>
          <t>N</t>
        </is>
      </c>
      <c r="I287" s="37">
        <f>COUNTIF(G$5:G287,"Y")/COUNTA(G$5:G287)</f>
        <v/>
      </c>
      <c r="J287" s="37">
        <f>COUNTIF(H$5:H287,"Y")/COUNTA(H$5:H287)</f>
        <v/>
      </c>
      <c r="K287" s="37">
        <f>AVERAGE(F$5:F287)</f>
        <v/>
      </c>
      <c r="L287" s="37">
        <f>SUM(F$5:F287)/SUM(E$5:E287)</f>
        <v/>
      </c>
    </row>
    <row r="288">
      <c r="A288" s="29" t="n">
        <v>45671</v>
      </c>
      <c r="B288" s="37" t="inlineStr">
        <is>
          <t>JOB-1284</t>
        </is>
      </c>
      <c r="C288" s="34" t="n">
        <v>1</v>
      </c>
      <c r="D288" s="37" t="inlineStr">
        <is>
          <t>Tech A</t>
        </is>
      </c>
      <c r="E288" s="35" t="n">
        <v>4.7</v>
      </c>
      <c r="F288" s="35" t="n">
        <v>3.6</v>
      </c>
      <c r="G288" s="37" t="inlineStr">
        <is>
          <t>Y</t>
        </is>
      </c>
      <c r="H288" s="37" t="inlineStr">
        <is>
          <t>N</t>
        </is>
      </c>
      <c r="I288" s="37">
        <f>COUNTIF(G$5:G288,"Y")/COUNTA(G$5:G288)</f>
        <v/>
      </c>
      <c r="J288" s="37">
        <f>COUNTIF(H$5:H288,"Y")/COUNTA(H$5:H288)</f>
        <v/>
      </c>
      <c r="K288" s="37">
        <f>AVERAGE(F$5:F288)</f>
        <v/>
      </c>
      <c r="L288" s="37">
        <f>SUM(F$5:F288)/SUM(E$5:E288)</f>
        <v/>
      </c>
    </row>
    <row r="289">
      <c r="A289" s="29" t="n">
        <v>45672</v>
      </c>
      <c r="B289" s="37" t="inlineStr">
        <is>
          <t>JOB-1285</t>
        </is>
      </c>
      <c r="C289" s="34" t="n">
        <v>1</v>
      </c>
      <c r="D289" s="37" t="inlineStr">
        <is>
          <t>Tech D</t>
        </is>
      </c>
      <c r="E289" s="35" t="n">
        <v>4.5</v>
      </c>
      <c r="F289" s="35" t="n">
        <v>3.5</v>
      </c>
      <c r="G289" s="37" t="inlineStr">
        <is>
          <t>Y</t>
        </is>
      </c>
      <c r="H289" s="37" t="inlineStr">
        <is>
          <t>N</t>
        </is>
      </c>
      <c r="I289" s="37">
        <f>COUNTIF(G$5:G289,"Y")/COUNTA(G$5:G289)</f>
        <v/>
      </c>
      <c r="J289" s="37">
        <f>COUNTIF(H$5:H289,"Y")/COUNTA(H$5:H289)</f>
        <v/>
      </c>
      <c r="K289" s="37">
        <f>AVERAGE(F$5:F289)</f>
        <v/>
      </c>
      <c r="L289" s="37">
        <f>SUM(F$5:F289)/SUM(E$5:E289)</f>
        <v/>
      </c>
    </row>
    <row r="290">
      <c r="A290" s="29" t="n">
        <v>45673</v>
      </c>
      <c r="B290" s="37" t="inlineStr">
        <is>
          <t>JOB-1286</t>
        </is>
      </c>
      <c r="C290" s="34" t="n">
        <v>1</v>
      </c>
      <c r="D290" s="37" t="inlineStr">
        <is>
          <t>Tech A</t>
        </is>
      </c>
      <c r="E290" s="35" t="n">
        <v>4</v>
      </c>
      <c r="F290" s="35" t="n">
        <v>3.2</v>
      </c>
      <c r="G290" s="37" t="inlineStr">
        <is>
          <t>Y</t>
        </is>
      </c>
      <c r="H290" s="37" t="inlineStr">
        <is>
          <t>N</t>
        </is>
      </c>
      <c r="I290" s="37">
        <f>COUNTIF(G$5:G290,"Y")/COUNTA(G$5:G290)</f>
        <v/>
      </c>
      <c r="J290" s="37">
        <f>COUNTIF(H$5:H290,"Y")/COUNTA(H$5:H290)</f>
        <v/>
      </c>
      <c r="K290" s="37">
        <f>AVERAGE(F$5:F290)</f>
        <v/>
      </c>
      <c r="L290" s="37">
        <f>SUM(F$5:F290)/SUM(E$5:E290)</f>
        <v/>
      </c>
    </row>
    <row r="291">
      <c r="A291" s="29" t="n">
        <v>45674</v>
      </c>
      <c r="B291" s="37" t="inlineStr">
        <is>
          <t>JOB-1287</t>
        </is>
      </c>
      <c r="C291" s="34" t="n">
        <v>1</v>
      </c>
      <c r="D291" s="37" t="inlineStr">
        <is>
          <t>Tech G</t>
        </is>
      </c>
      <c r="E291" s="35" t="n">
        <v>2.5</v>
      </c>
      <c r="F291" s="35" t="n">
        <v>2</v>
      </c>
      <c r="G291" s="37" t="inlineStr">
        <is>
          <t>Y</t>
        </is>
      </c>
      <c r="H291" s="37" t="inlineStr">
        <is>
          <t>N</t>
        </is>
      </c>
      <c r="I291" s="37">
        <f>COUNTIF(G$5:G291,"Y")/COUNTA(G$5:G291)</f>
        <v/>
      </c>
      <c r="J291" s="37">
        <f>COUNTIF(H$5:H291,"Y")/COUNTA(H$5:H291)</f>
        <v/>
      </c>
      <c r="K291" s="37">
        <f>AVERAGE(F$5:F291)</f>
        <v/>
      </c>
      <c r="L291" s="37">
        <f>SUM(F$5:F291)/SUM(E$5:E291)</f>
        <v/>
      </c>
    </row>
    <row r="292">
      <c r="A292" s="29" t="n">
        <v>45670</v>
      </c>
      <c r="B292" s="37" t="inlineStr">
        <is>
          <t>JOB-1288</t>
        </is>
      </c>
      <c r="C292" s="34" t="n">
        <v>1</v>
      </c>
      <c r="D292" s="37" t="inlineStr">
        <is>
          <t>Tech C</t>
        </is>
      </c>
      <c r="E292" s="35" t="n">
        <v>5.3</v>
      </c>
      <c r="F292" s="35" t="n">
        <v>3.8</v>
      </c>
      <c r="G292" s="37" t="inlineStr">
        <is>
          <t>Y</t>
        </is>
      </c>
      <c r="H292" s="37" t="inlineStr">
        <is>
          <t>N</t>
        </is>
      </c>
      <c r="I292" s="37">
        <f>COUNTIF(G$5:G292,"Y")/COUNTA(G$5:G292)</f>
        <v/>
      </c>
      <c r="J292" s="37">
        <f>COUNTIF(H$5:H292,"Y")/COUNTA(H$5:H292)</f>
        <v/>
      </c>
      <c r="K292" s="37">
        <f>AVERAGE(F$5:F292)</f>
        <v/>
      </c>
      <c r="L292" s="37">
        <f>SUM(F$5:F292)/SUM(E$5:E292)</f>
        <v/>
      </c>
    </row>
    <row r="293">
      <c r="A293" s="29" t="n">
        <v>45671</v>
      </c>
      <c r="B293" s="37" t="inlineStr">
        <is>
          <t>JOB-1289</t>
        </is>
      </c>
      <c r="C293" s="34" t="n">
        <v>1</v>
      </c>
      <c r="D293" s="37" t="inlineStr">
        <is>
          <t>Tech F</t>
        </is>
      </c>
      <c r="E293" s="35" t="n">
        <v>2.9</v>
      </c>
      <c r="F293" s="35" t="n">
        <v>2.5</v>
      </c>
      <c r="G293" s="37" t="inlineStr">
        <is>
          <t>Y</t>
        </is>
      </c>
      <c r="H293" s="37" t="inlineStr">
        <is>
          <t>N</t>
        </is>
      </c>
      <c r="I293" s="37">
        <f>COUNTIF(G$5:G293,"Y")/COUNTA(G$5:G293)</f>
        <v/>
      </c>
      <c r="J293" s="37">
        <f>COUNTIF(H$5:H293,"Y")/COUNTA(H$5:H293)</f>
        <v/>
      </c>
      <c r="K293" s="37">
        <f>AVERAGE(F$5:F293)</f>
        <v/>
      </c>
      <c r="L293" s="37">
        <f>SUM(F$5:F293)/SUM(E$5:E293)</f>
        <v/>
      </c>
    </row>
    <row r="294">
      <c r="A294" s="29" t="n">
        <v>45672</v>
      </c>
      <c r="B294" s="37" t="inlineStr">
        <is>
          <t>JOB-1290</t>
        </is>
      </c>
      <c r="C294" s="34" t="n">
        <v>1</v>
      </c>
      <c r="D294" s="37" t="inlineStr">
        <is>
          <t>Tech D</t>
        </is>
      </c>
      <c r="E294" s="35" t="n">
        <v>1.7</v>
      </c>
      <c r="F294" s="35" t="n">
        <v>1.3</v>
      </c>
      <c r="G294" s="37" t="inlineStr">
        <is>
          <t>Y</t>
        </is>
      </c>
      <c r="H294" s="37" t="inlineStr">
        <is>
          <t>N</t>
        </is>
      </c>
      <c r="I294" s="37">
        <f>COUNTIF(G$5:G294,"Y")/COUNTA(G$5:G294)</f>
        <v/>
      </c>
      <c r="J294" s="37">
        <f>COUNTIF(H$5:H294,"Y")/COUNTA(H$5:H294)</f>
        <v/>
      </c>
      <c r="K294" s="37">
        <f>AVERAGE(F$5:F294)</f>
        <v/>
      </c>
      <c r="L294" s="37">
        <f>SUM(F$5:F294)/SUM(E$5:E294)</f>
        <v/>
      </c>
    </row>
    <row r="295">
      <c r="A295" s="29" t="n">
        <v>45673</v>
      </c>
      <c r="B295" s="37" t="inlineStr">
        <is>
          <t>JOB-1291</t>
        </is>
      </c>
      <c r="C295" s="34" t="n">
        <v>1</v>
      </c>
      <c r="D295" s="37" t="inlineStr">
        <is>
          <t>Tech F</t>
        </is>
      </c>
      <c r="E295" s="35" t="n">
        <v>4.1</v>
      </c>
      <c r="F295" s="35" t="n">
        <v>3.2</v>
      </c>
      <c r="G295" s="37" t="inlineStr">
        <is>
          <t>Y</t>
        </is>
      </c>
      <c r="H295" s="37" t="inlineStr">
        <is>
          <t>N</t>
        </is>
      </c>
      <c r="I295" s="37">
        <f>COUNTIF(G$5:G295,"Y")/COUNTA(G$5:G295)</f>
        <v/>
      </c>
      <c r="J295" s="37">
        <f>COUNTIF(H$5:H295,"Y")/COUNTA(H$5:H295)</f>
        <v/>
      </c>
      <c r="K295" s="37">
        <f>AVERAGE(F$5:F295)</f>
        <v/>
      </c>
      <c r="L295" s="37">
        <f>SUM(F$5:F295)/SUM(E$5:E295)</f>
        <v/>
      </c>
    </row>
    <row r="296">
      <c r="A296" s="29" t="n">
        <v>45674</v>
      </c>
      <c r="B296" s="37" t="inlineStr">
        <is>
          <t>JOB-1292</t>
        </is>
      </c>
      <c r="C296" s="34" t="n">
        <v>1</v>
      </c>
      <c r="D296" s="37" t="inlineStr">
        <is>
          <t>Tech D</t>
        </is>
      </c>
      <c r="E296" s="35" t="n">
        <v>1.7</v>
      </c>
      <c r="F296" s="35" t="n">
        <v>1.5</v>
      </c>
      <c r="G296" s="37" t="inlineStr">
        <is>
          <t>Y</t>
        </is>
      </c>
      <c r="H296" s="37" t="inlineStr">
        <is>
          <t>N</t>
        </is>
      </c>
      <c r="I296" s="37">
        <f>COUNTIF(G$5:G296,"Y")/COUNTA(G$5:G296)</f>
        <v/>
      </c>
      <c r="J296" s="37">
        <f>COUNTIF(H$5:H296,"Y")/COUNTA(H$5:H296)</f>
        <v/>
      </c>
      <c r="K296" s="37">
        <f>AVERAGE(F$5:F296)</f>
        <v/>
      </c>
      <c r="L296" s="37">
        <f>SUM(F$5:F296)/SUM(E$5:E296)</f>
        <v/>
      </c>
    </row>
    <row r="297">
      <c r="A297" s="29" t="n">
        <v>45670</v>
      </c>
      <c r="B297" s="37" t="inlineStr">
        <is>
          <t>JOB-1293</t>
        </is>
      </c>
      <c r="C297" s="34" t="n">
        <v>1</v>
      </c>
      <c r="D297" s="37" t="inlineStr">
        <is>
          <t>Tech H</t>
        </is>
      </c>
      <c r="E297" s="35" t="n">
        <v>5.1</v>
      </c>
      <c r="F297" s="35" t="n">
        <v>3.8</v>
      </c>
      <c r="G297" s="37" t="inlineStr">
        <is>
          <t>Y</t>
        </is>
      </c>
      <c r="H297" s="37" t="inlineStr">
        <is>
          <t>N</t>
        </is>
      </c>
      <c r="I297" s="37">
        <f>COUNTIF(G$5:G297,"Y")/COUNTA(G$5:G297)</f>
        <v/>
      </c>
      <c r="J297" s="37">
        <f>COUNTIF(H$5:H297,"Y")/COUNTA(H$5:H297)</f>
        <v/>
      </c>
      <c r="K297" s="37">
        <f>AVERAGE(F$5:F297)</f>
        <v/>
      </c>
      <c r="L297" s="37">
        <f>SUM(F$5:F297)/SUM(E$5:E297)</f>
        <v/>
      </c>
    </row>
    <row r="298">
      <c r="A298" s="29" t="n">
        <v>45671</v>
      </c>
      <c r="B298" s="37" t="inlineStr">
        <is>
          <t>JOB-1294</t>
        </is>
      </c>
      <c r="C298" s="34" t="n">
        <v>1</v>
      </c>
      <c r="D298" s="37" t="inlineStr">
        <is>
          <t>Tech H</t>
        </is>
      </c>
      <c r="E298" s="35" t="n">
        <v>3.9</v>
      </c>
      <c r="F298" s="35" t="n">
        <v>3</v>
      </c>
      <c r="G298" s="37" t="inlineStr">
        <is>
          <t>Y</t>
        </is>
      </c>
      <c r="H298" s="37" t="inlineStr">
        <is>
          <t>N</t>
        </is>
      </c>
      <c r="I298" s="37">
        <f>COUNTIF(G$5:G298,"Y")/COUNTA(G$5:G298)</f>
        <v/>
      </c>
      <c r="J298" s="37">
        <f>COUNTIF(H$5:H298,"Y")/COUNTA(H$5:H298)</f>
        <v/>
      </c>
      <c r="K298" s="37">
        <f>AVERAGE(F$5:F298)</f>
        <v/>
      </c>
      <c r="L298" s="37">
        <f>SUM(F$5:F298)/SUM(E$5:E298)</f>
        <v/>
      </c>
    </row>
    <row r="299">
      <c r="A299" s="29" t="n">
        <v>45672</v>
      </c>
      <c r="B299" s="37" t="inlineStr">
        <is>
          <t>JOB-1295</t>
        </is>
      </c>
      <c r="C299" s="34" t="n">
        <v>1</v>
      </c>
      <c r="D299" s="37" t="inlineStr">
        <is>
          <t>Tech D</t>
        </is>
      </c>
      <c r="E299" s="35" t="n">
        <v>5.4</v>
      </c>
      <c r="F299" s="35" t="n">
        <v>3.6</v>
      </c>
      <c r="G299" s="37" t="inlineStr">
        <is>
          <t>Y</t>
        </is>
      </c>
      <c r="H299" s="37" t="inlineStr">
        <is>
          <t>N</t>
        </is>
      </c>
      <c r="I299" s="37">
        <f>COUNTIF(G$5:G299,"Y")/COUNTA(G$5:G299)</f>
        <v/>
      </c>
      <c r="J299" s="37">
        <f>COUNTIF(H$5:H299,"Y")/COUNTA(H$5:H299)</f>
        <v/>
      </c>
      <c r="K299" s="37">
        <f>AVERAGE(F$5:F299)</f>
        <v/>
      </c>
      <c r="L299" s="37">
        <f>SUM(F$5:F299)/SUM(E$5:E299)</f>
        <v/>
      </c>
    </row>
    <row r="300">
      <c r="A300" s="29" t="n">
        <v>45673</v>
      </c>
      <c r="B300" s="37" t="inlineStr">
        <is>
          <t>JOB-1296</t>
        </is>
      </c>
      <c r="C300" s="34" t="n">
        <v>1</v>
      </c>
      <c r="D300" s="37" t="inlineStr">
        <is>
          <t>Tech C</t>
        </is>
      </c>
      <c r="E300" s="35" t="n">
        <v>2.4</v>
      </c>
      <c r="F300" s="35" t="n">
        <v>1.6</v>
      </c>
      <c r="G300" s="37" t="inlineStr">
        <is>
          <t>N</t>
        </is>
      </c>
      <c r="H300" s="37" t="inlineStr">
        <is>
          <t>N</t>
        </is>
      </c>
      <c r="I300" s="37">
        <f>COUNTIF(G$5:G300,"Y")/COUNTA(G$5:G300)</f>
        <v/>
      </c>
      <c r="J300" s="37">
        <f>COUNTIF(H$5:H300,"Y")/COUNTA(H$5:H300)</f>
        <v/>
      </c>
      <c r="K300" s="37">
        <f>AVERAGE(F$5:F300)</f>
        <v/>
      </c>
      <c r="L300" s="37">
        <f>SUM(F$5:F300)/SUM(E$5:E300)</f>
        <v/>
      </c>
    </row>
    <row r="301">
      <c r="A301" s="29" t="n">
        <v>45674</v>
      </c>
      <c r="B301" s="37" t="inlineStr">
        <is>
          <t>JOB-1297</t>
        </is>
      </c>
      <c r="C301" s="34" t="n">
        <v>1</v>
      </c>
      <c r="D301" s="37" t="inlineStr">
        <is>
          <t>Tech A</t>
        </is>
      </c>
      <c r="E301" s="35" t="n">
        <v>0.6</v>
      </c>
      <c r="F301" s="35" t="n">
        <v>0.5</v>
      </c>
      <c r="G301" s="37" t="inlineStr">
        <is>
          <t>Y</t>
        </is>
      </c>
      <c r="H301" s="37" t="inlineStr">
        <is>
          <t>N</t>
        </is>
      </c>
      <c r="I301" s="37">
        <f>COUNTIF(G$5:G301,"Y")/COUNTA(G$5:G301)</f>
        <v/>
      </c>
      <c r="J301" s="37">
        <f>COUNTIF(H$5:H301,"Y")/COUNTA(H$5:H301)</f>
        <v/>
      </c>
      <c r="K301" s="37">
        <f>AVERAGE(F$5:F301)</f>
        <v/>
      </c>
      <c r="L301" s="37">
        <f>SUM(F$5:F301)/SUM(E$5:E301)</f>
        <v/>
      </c>
    </row>
    <row r="302">
      <c r="A302" s="29" t="n">
        <v>45670</v>
      </c>
      <c r="B302" s="37" t="inlineStr">
        <is>
          <t>JOB-1298</t>
        </is>
      </c>
      <c r="C302" s="34" t="n">
        <v>1</v>
      </c>
      <c r="D302" s="37" t="inlineStr">
        <is>
          <t>Tech D</t>
        </is>
      </c>
      <c r="E302" s="35" t="n">
        <v>0.6</v>
      </c>
      <c r="F302" s="35" t="n">
        <v>0.5</v>
      </c>
      <c r="G302" s="37" t="inlineStr">
        <is>
          <t>Y</t>
        </is>
      </c>
      <c r="H302" s="37" t="inlineStr">
        <is>
          <t>N</t>
        </is>
      </c>
      <c r="I302" s="37">
        <f>COUNTIF(G$5:G302,"Y")/COUNTA(G$5:G302)</f>
        <v/>
      </c>
      <c r="J302" s="37">
        <f>COUNTIF(H$5:H302,"Y")/COUNTA(H$5:H302)</f>
        <v/>
      </c>
      <c r="K302" s="37">
        <f>AVERAGE(F$5:F302)</f>
        <v/>
      </c>
      <c r="L302" s="37">
        <f>SUM(F$5:F302)/SUM(E$5:E302)</f>
        <v/>
      </c>
    </row>
    <row r="303">
      <c r="A303" s="29" t="n">
        <v>45671</v>
      </c>
      <c r="B303" s="37" t="inlineStr">
        <is>
          <t>JOB-1299</t>
        </is>
      </c>
      <c r="C303" s="34" t="n">
        <v>1</v>
      </c>
      <c r="D303" s="37" t="inlineStr">
        <is>
          <t>Tech A</t>
        </is>
      </c>
      <c r="E303" s="35" t="n">
        <v>0.6</v>
      </c>
      <c r="F303" s="35" t="n">
        <v>0.5</v>
      </c>
      <c r="G303" s="37" t="inlineStr">
        <is>
          <t>Y</t>
        </is>
      </c>
      <c r="H303" s="37" t="inlineStr">
        <is>
          <t>N</t>
        </is>
      </c>
      <c r="I303" s="37">
        <f>COUNTIF(G$5:G303,"Y")/COUNTA(G$5:G303)</f>
        <v/>
      </c>
      <c r="J303" s="37">
        <f>COUNTIF(H$5:H303,"Y")/COUNTA(H$5:H303)</f>
        <v/>
      </c>
      <c r="K303" s="37">
        <f>AVERAGE(F$5:F303)</f>
        <v/>
      </c>
      <c r="L303" s="37">
        <f>SUM(F$5:F303)/SUM(E$5:E303)</f>
        <v/>
      </c>
    </row>
    <row r="304">
      <c r="A304" s="29" t="n">
        <v>45672</v>
      </c>
      <c r="B304" s="37" t="inlineStr">
        <is>
          <t>JOB-1300</t>
        </is>
      </c>
      <c r="C304" s="34" t="n">
        <v>1</v>
      </c>
      <c r="D304" s="37" t="inlineStr">
        <is>
          <t>Tech C</t>
        </is>
      </c>
      <c r="E304" s="35" t="n">
        <v>0.7</v>
      </c>
      <c r="F304" s="35" t="n">
        <v>0.5</v>
      </c>
      <c r="G304" s="37" t="inlineStr">
        <is>
          <t>N</t>
        </is>
      </c>
      <c r="H304" s="37" t="inlineStr">
        <is>
          <t>N</t>
        </is>
      </c>
      <c r="I304" s="37">
        <f>COUNTIF(G$5:G304,"Y")/COUNTA(G$5:G304)</f>
        <v/>
      </c>
      <c r="J304" s="37">
        <f>COUNTIF(H$5:H304,"Y")/COUNTA(H$5:H304)</f>
        <v/>
      </c>
      <c r="K304" s="37">
        <f>AVERAGE(F$5:F304)</f>
        <v/>
      </c>
      <c r="L304" s="37">
        <f>SUM(F$5:F304)/SUM(E$5:E304)</f>
        <v/>
      </c>
    </row>
    <row r="305">
      <c r="A305" s="29" t="n">
        <v>45673</v>
      </c>
      <c r="B305" s="37" t="inlineStr">
        <is>
          <t>JOB-1301</t>
        </is>
      </c>
      <c r="C305" s="34" t="n">
        <v>1</v>
      </c>
      <c r="D305" s="37" t="inlineStr">
        <is>
          <t>Tech B</t>
        </is>
      </c>
      <c r="E305" s="35" t="n">
        <v>0.5</v>
      </c>
      <c r="F305" s="35" t="n">
        <v>0.5</v>
      </c>
      <c r="G305" s="37" t="inlineStr">
        <is>
          <t>Y</t>
        </is>
      </c>
      <c r="H305" s="37" t="inlineStr">
        <is>
          <t>N</t>
        </is>
      </c>
      <c r="I305" s="37">
        <f>COUNTIF(G$5:G305,"Y")/COUNTA(G$5:G305)</f>
        <v/>
      </c>
      <c r="J305" s="37">
        <f>COUNTIF(H$5:H305,"Y")/COUNTA(H$5:H305)</f>
        <v/>
      </c>
      <c r="K305" s="37">
        <f>AVERAGE(F$5:F305)</f>
        <v/>
      </c>
      <c r="L305" s="37">
        <f>SUM(F$5:F305)/SUM(E$5:E305)</f>
        <v/>
      </c>
    </row>
    <row r="306">
      <c r="A306" s="29" t="n">
        <v>45674</v>
      </c>
      <c r="B306" s="37" t="inlineStr">
        <is>
          <t>JOB-1302</t>
        </is>
      </c>
      <c r="C306" s="34" t="n">
        <v>1</v>
      </c>
      <c r="D306" s="37" t="inlineStr">
        <is>
          <t>Tech G</t>
        </is>
      </c>
      <c r="E306" s="35" t="n">
        <v>0.5</v>
      </c>
      <c r="F306" s="35" t="n">
        <v>0.5</v>
      </c>
      <c r="G306" s="37" t="inlineStr">
        <is>
          <t>Y</t>
        </is>
      </c>
      <c r="H306" s="37" t="inlineStr">
        <is>
          <t>N</t>
        </is>
      </c>
      <c r="I306" s="37">
        <f>COUNTIF(G$5:G306,"Y")/COUNTA(G$5:G306)</f>
        <v/>
      </c>
      <c r="J306" s="37">
        <f>COUNTIF(H$5:H306,"Y")/COUNTA(H$5:H306)</f>
        <v/>
      </c>
      <c r="K306" s="37">
        <f>AVERAGE(F$5:F306)</f>
        <v/>
      </c>
      <c r="L306" s="37">
        <f>SUM(F$5:F306)/SUM(E$5:E306)</f>
        <v/>
      </c>
      <c r="M306" s="37" t="n">
        <v>14</v>
      </c>
    </row>
    <row r="307">
      <c r="A307" s="29" t="n">
        <v>45677</v>
      </c>
      <c r="B307" s="37" t="inlineStr">
        <is>
          <t>JOB-1303</t>
        </is>
      </c>
      <c r="C307" s="34" t="n">
        <v>1</v>
      </c>
      <c r="D307" s="37" t="inlineStr">
        <is>
          <t>Tech G</t>
        </is>
      </c>
      <c r="E307" s="35" t="n">
        <v>5.3</v>
      </c>
      <c r="F307" s="35" t="n">
        <v>4</v>
      </c>
      <c r="G307" s="37" t="inlineStr">
        <is>
          <t>Y</t>
        </is>
      </c>
      <c r="H307" s="37" t="inlineStr">
        <is>
          <t>N</t>
        </is>
      </c>
      <c r="I307" s="37">
        <f>COUNTIF(G$5:G307,"Y")/COUNTA(G$5:G307)</f>
        <v/>
      </c>
      <c r="J307" s="37">
        <f>COUNTIF(H$5:H307,"Y")/COUNTA(H$5:H307)</f>
        <v/>
      </c>
      <c r="K307" s="37">
        <f>AVERAGE(F$5:F307)</f>
        <v/>
      </c>
      <c r="L307" s="37">
        <f>SUM(F$5:F307)/SUM(E$5:E307)</f>
        <v/>
      </c>
    </row>
    <row r="308">
      <c r="A308" s="29" t="n">
        <v>45678</v>
      </c>
      <c r="B308" s="37" t="inlineStr">
        <is>
          <t>JOB-1304</t>
        </is>
      </c>
      <c r="C308" s="34" t="n">
        <v>1</v>
      </c>
      <c r="D308" s="37" t="inlineStr">
        <is>
          <t>Tech F</t>
        </is>
      </c>
      <c r="E308" s="35" t="n">
        <v>4.1</v>
      </c>
      <c r="F308" s="35" t="n">
        <v>3.2</v>
      </c>
      <c r="G308" s="37" t="inlineStr">
        <is>
          <t>Y</t>
        </is>
      </c>
      <c r="H308" s="37" t="inlineStr">
        <is>
          <t>Y</t>
        </is>
      </c>
      <c r="I308" s="37">
        <f>COUNTIF(G$5:G308,"Y")/COUNTA(G$5:G308)</f>
        <v/>
      </c>
      <c r="J308" s="37">
        <f>COUNTIF(H$5:H308,"Y")/COUNTA(H$5:H308)</f>
        <v/>
      </c>
      <c r="K308" s="37">
        <f>AVERAGE(F$5:F308)</f>
        <v/>
      </c>
      <c r="L308" s="37">
        <f>SUM(F$5:F308)/SUM(E$5:E308)</f>
        <v/>
      </c>
    </row>
    <row r="309">
      <c r="A309" s="29" t="n">
        <v>45679</v>
      </c>
      <c r="B309" s="37" t="inlineStr">
        <is>
          <t>JOB-1305</t>
        </is>
      </c>
      <c r="C309" s="34" t="n">
        <v>1</v>
      </c>
      <c r="D309" s="37" t="inlineStr">
        <is>
          <t>Tech B</t>
        </is>
      </c>
      <c r="E309" s="35" t="n">
        <v>3</v>
      </c>
      <c r="F309" s="35" t="n">
        <v>2.5</v>
      </c>
      <c r="G309" s="37" t="inlineStr">
        <is>
          <t>Y</t>
        </is>
      </c>
      <c r="H309" s="37" t="inlineStr">
        <is>
          <t>N</t>
        </is>
      </c>
      <c r="I309" s="37">
        <f>COUNTIF(G$5:G309,"Y")/COUNTA(G$5:G309)</f>
        <v/>
      </c>
      <c r="J309" s="37">
        <f>COUNTIF(H$5:H309,"Y")/COUNTA(H$5:H309)</f>
        <v/>
      </c>
      <c r="K309" s="37">
        <f>AVERAGE(F$5:F309)</f>
        <v/>
      </c>
      <c r="L309" s="37">
        <f>SUM(F$5:F309)/SUM(E$5:E309)</f>
        <v/>
      </c>
    </row>
    <row r="310">
      <c r="A310" s="29" t="n">
        <v>45680</v>
      </c>
      <c r="B310" s="37" t="inlineStr">
        <is>
          <t>JOB-1306</t>
        </is>
      </c>
      <c r="C310" s="34" t="n">
        <v>1</v>
      </c>
      <c r="D310" s="37" t="inlineStr">
        <is>
          <t>Tech F</t>
        </is>
      </c>
      <c r="E310" s="35" t="n">
        <v>3.3</v>
      </c>
      <c r="F310" s="35" t="n">
        <v>2.5</v>
      </c>
      <c r="G310" s="37" t="inlineStr">
        <is>
          <t>N</t>
        </is>
      </c>
      <c r="H310" s="37" t="inlineStr">
        <is>
          <t>N</t>
        </is>
      </c>
      <c r="I310" s="37">
        <f>COUNTIF(G$5:G310,"Y")/COUNTA(G$5:G310)</f>
        <v/>
      </c>
      <c r="J310" s="37">
        <f>COUNTIF(H$5:H310,"Y")/COUNTA(H$5:H310)</f>
        <v/>
      </c>
      <c r="K310" s="37">
        <f>AVERAGE(F$5:F310)</f>
        <v/>
      </c>
      <c r="L310" s="37">
        <f>SUM(F$5:F310)/SUM(E$5:E310)</f>
        <v/>
      </c>
    </row>
    <row r="311">
      <c r="A311" s="29" t="n">
        <v>45681</v>
      </c>
      <c r="B311" s="37" t="inlineStr">
        <is>
          <t>JOB-1307</t>
        </is>
      </c>
      <c r="C311" s="34" t="n">
        <v>1</v>
      </c>
      <c r="D311" s="37" t="inlineStr">
        <is>
          <t>Tech D</t>
        </is>
      </c>
      <c r="E311" s="35" t="n">
        <v>2.1</v>
      </c>
      <c r="F311" s="35" t="n">
        <v>1.4</v>
      </c>
      <c r="G311" s="37" t="inlineStr">
        <is>
          <t>Y</t>
        </is>
      </c>
      <c r="H311" s="37" t="inlineStr">
        <is>
          <t>N</t>
        </is>
      </c>
      <c r="I311" s="37">
        <f>COUNTIF(G$5:G311,"Y")/COUNTA(G$5:G311)</f>
        <v/>
      </c>
      <c r="J311" s="37">
        <f>COUNTIF(H$5:H311,"Y")/COUNTA(H$5:H311)</f>
        <v/>
      </c>
      <c r="K311" s="37">
        <f>AVERAGE(F$5:F311)</f>
        <v/>
      </c>
      <c r="L311" s="37">
        <f>SUM(F$5:F311)/SUM(E$5:E311)</f>
        <v/>
      </c>
    </row>
    <row r="312">
      <c r="A312" s="29" t="n">
        <v>45677</v>
      </c>
      <c r="B312" s="37" t="inlineStr">
        <is>
          <t>JOB-1308</t>
        </is>
      </c>
      <c r="C312" s="34" t="n">
        <v>1</v>
      </c>
      <c r="D312" s="37" t="inlineStr">
        <is>
          <t>Tech B</t>
        </is>
      </c>
      <c r="E312" s="35" t="n">
        <v>4.2</v>
      </c>
      <c r="F312" s="35" t="n">
        <v>3.4</v>
      </c>
      <c r="G312" s="37" t="inlineStr">
        <is>
          <t>Y</t>
        </is>
      </c>
      <c r="H312" s="37" t="inlineStr">
        <is>
          <t>N</t>
        </is>
      </c>
      <c r="I312" s="37">
        <f>COUNTIF(G$5:G312,"Y")/COUNTA(G$5:G312)</f>
        <v/>
      </c>
      <c r="J312" s="37">
        <f>COUNTIF(H$5:H312,"Y")/COUNTA(H$5:H312)</f>
        <v/>
      </c>
      <c r="K312" s="37">
        <f>AVERAGE(F$5:F312)</f>
        <v/>
      </c>
      <c r="L312" s="37">
        <f>SUM(F$5:F312)/SUM(E$5:E312)</f>
        <v/>
      </c>
    </row>
    <row r="313">
      <c r="A313" s="29" t="n">
        <v>45678</v>
      </c>
      <c r="B313" s="37" t="inlineStr">
        <is>
          <t>JOB-1309</t>
        </is>
      </c>
      <c r="C313" s="34" t="n">
        <v>1</v>
      </c>
      <c r="D313" s="37" t="inlineStr">
        <is>
          <t>Tech B</t>
        </is>
      </c>
      <c r="E313" s="35" t="n">
        <v>4.1</v>
      </c>
      <c r="F313" s="35" t="n">
        <v>3.5</v>
      </c>
      <c r="G313" s="37" t="inlineStr">
        <is>
          <t>Y</t>
        </is>
      </c>
      <c r="H313" s="37" t="inlineStr">
        <is>
          <t>N</t>
        </is>
      </c>
      <c r="I313" s="37">
        <f>COUNTIF(G$5:G313,"Y")/COUNTA(G$5:G313)</f>
        <v/>
      </c>
      <c r="J313" s="37">
        <f>COUNTIF(H$5:H313,"Y")/COUNTA(H$5:H313)</f>
        <v/>
      </c>
      <c r="K313" s="37">
        <f>AVERAGE(F$5:F313)</f>
        <v/>
      </c>
      <c r="L313" s="37">
        <f>SUM(F$5:F313)/SUM(E$5:E313)</f>
        <v/>
      </c>
    </row>
    <row r="314">
      <c r="A314" s="29" t="n">
        <v>45679</v>
      </c>
      <c r="B314" s="37" t="inlineStr">
        <is>
          <t>JOB-1310</t>
        </is>
      </c>
      <c r="C314" s="34" t="n">
        <v>1</v>
      </c>
      <c r="D314" s="37" t="inlineStr">
        <is>
          <t>Tech B</t>
        </is>
      </c>
      <c r="E314" s="35" t="n">
        <v>4.1</v>
      </c>
      <c r="F314" s="35" t="n">
        <v>3</v>
      </c>
      <c r="G314" s="37" t="inlineStr">
        <is>
          <t>Y</t>
        </is>
      </c>
      <c r="H314" s="37" t="inlineStr">
        <is>
          <t>N</t>
        </is>
      </c>
      <c r="I314" s="37">
        <f>COUNTIF(G$5:G314,"Y")/COUNTA(G$5:G314)</f>
        <v/>
      </c>
      <c r="J314" s="37">
        <f>COUNTIF(H$5:H314,"Y")/COUNTA(H$5:H314)</f>
        <v/>
      </c>
      <c r="K314" s="37">
        <f>AVERAGE(F$5:F314)</f>
        <v/>
      </c>
      <c r="L314" s="37">
        <f>SUM(F$5:F314)/SUM(E$5:E314)</f>
        <v/>
      </c>
    </row>
    <row r="315">
      <c r="A315" s="29" t="n">
        <v>45680</v>
      </c>
      <c r="B315" s="37" t="inlineStr">
        <is>
          <t>JOB-1311</t>
        </is>
      </c>
      <c r="C315" s="34" t="n">
        <v>1</v>
      </c>
      <c r="D315" s="37" t="inlineStr">
        <is>
          <t>Tech G</t>
        </is>
      </c>
      <c r="E315" s="35" t="n">
        <v>2.5</v>
      </c>
      <c r="F315" s="35" t="n">
        <v>1.7</v>
      </c>
      <c r="G315" s="37" t="inlineStr">
        <is>
          <t>Y</t>
        </is>
      </c>
      <c r="H315" s="37" t="inlineStr">
        <is>
          <t>N</t>
        </is>
      </c>
      <c r="I315" s="37">
        <f>COUNTIF(G$5:G315,"Y")/COUNTA(G$5:G315)</f>
        <v/>
      </c>
      <c r="J315" s="37">
        <f>COUNTIF(H$5:H315,"Y")/COUNTA(H$5:H315)</f>
        <v/>
      </c>
      <c r="K315" s="37">
        <f>AVERAGE(F$5:F315)</f>
        <v/>
      </c>
      <c r="L315" s="37">
        <f>SUM(F$5:F315)/SUM(E$5:E315)</f>
        <v/>
      </c>
    </row>
    <row r="316">
      <c r="A316" s="29" t="n">
        <v>45681</v>
      </c>
      <c r="B316" s="37" t="inlineStr">
        <is>
          <t>JOB-1312</t>
        </is>
      </c>
      <c r="C316" s="34" t="n">
        <v>1</v>
      </c>
      <c r="D316" s="37" t="inlineStr">
        <is>
          <t>Tech H</t>
        </is>
      </c>
      <c r="E316" s="35" t="n">
        <v>3.4</v>
      </c>
      <c r="F316" s="35" t="n">
        <v>2.2</v>
      </c>
      <c r="G316" s="37" t="inlineStr">
        <is>
          <t>Y</t>
        </is>
      </c>
      <c r="H316" s="37" t="inlineStr">
        <is>
          <t>N</t>
        </is>
      </c>
      <c r="I316" s="37">
        <f>COUNTIF(G$5:G316,"Y")/COUNTA(G$5:G316)</f>
        <v/>
      </c>
      <c r="J316" s="37">
        <f>COUNTIF(H$5:H316,"Y")/COUNTA(H$5:H316)</f>
        <v/>
      </c>
      <c r="K316" s="37">
        <f>AVERAGE(F$5:F316)</f>
        <v/>
      </c>
      <c r="L316" s="37">
        <f>SUM(F$5:F316)/SUM(E$5:E316)</f>
        <v/>
      </c>
    </row>
    <row r="317">
      <c r="A317" s="29" t="n">
        <v>45677</v>
      </c>
      <c r="B317" s="37" t="inlineStr">
        <is>
          <t>JOB-1313</t>
        </is>
      </c>
      <c r="C317" s="34" t="n">
        <v>1</v>
      </c>
      <c r="D317" s="37" t="inlineStr">
        <is>
          <t>Tech G</t>
        </is>
      </c>
      <c r="E317" s="35" t="n">
        <v>3.7</v>
      </c>
      <c r="F317" s="35" t="n">
        <v>3.1</v>
      </c>
      <c r="G317" s="37" t="inlineStr">
        <is>
          <t>N</t>
        </is>
      </c>
      <c r="H317" s="37" t="inlineStr">
        <is>
          <t>N</t>
        </is>
      </c>
      <c r="I317" s="37">
        <f>COUNTIF(G$5:G317,"Y")/COUNTA(G$5:G317)</f>
        <v/>
      </c>
      <c r="J317" s="37">
        <f>COUNTIF(H$5:H317,"Y")/COUNTA(H$5:H317)</f>
        <v/>
      </c>
      <c r="K317" s="37">
        <f>AVERAGE(F$5:F317)</f>
        <v/>
      </c>
      <c r="L317" s="37">
        <f>SUM(F$5:F317)/SUM(E$5:E317)</f>
        <v/>
      </c>
    </row>
    <row r="318">
      <c r="A318" s="29" t="n">
        <v>45678</v>
      </c>
      <c r="B318" s="37" t="inlineStr">
        <is>
          <t>JOB-1314</t>
        </is>
      </c>
      <c r="C318" s="34" t="n">
        <v>1</v>
      </c>
      <c r="D318" s="37" t="inlineStr">
        <is>
          <t>Tech F</t>
        </is>
      </c>
      <c r="E318" s="35" t="n">
        <v>1.9</v>
      </c>
      <c r="F318" s="35" t="n">
        <v>1.5</v>
      </c>
      <c r="G318" s="37" t="inlineStr">
        <is>
          <t>Y</t>
        </is>
      </c>
      <c r="H318" s="37" t="inlineStr">
        <is>
          <t>N</t>
        </is>
      </c>
      <c r="I318" s="37">
        <f>COUNTIF(G$5:G318,"Y")/COUNTA(G$5:G318)</f>
        <v/>
      </c>
      <c r="J318" s="37">
        <f>COUNTIF(H$5:H318,"Y")/COUNTA(H$5:H318)</f>
        <v/>
      </c>
      <c r="K318" s="37">
        <f>AVERAGE(F$5:F318)</f>
        <v/>
      </c>
      <c r="L318" s="37">
        <f>SUM(F$5:F318)/SUM(E$5:E318)</f>
        <v/>
      </c>
    </row>
    <row r="319">
      <c r="A319" s="29" t="n">
        <v>45679</v>
      </c>
      <c r="B319" s="37" t="inlineStr">
        <is>
          <t>JOB-1315</t>
        </is>
      </c>
      <c r="C319" s="34" t="n">
        <v>1</v>
      </c>
      <c r="D319" s="37" t="inlineStr">
        <is>
          <t>Tech G</t>
        </is>
      </c>
      <c r="E319" s="35" t="n">
        <v>2.1</v>
      </c>
      <c r="F319" s="35" t="n">
        <v>1.7</v>
      </c>
      <c r="G319" s="37" t="inlineStr">
        <is>
          <t>Y</t>
        </is>
      </c>
      <c r="H319" s="37" t="inlineStr">
        <is>
          <t>N</t>
        </is>
      </c>
      <c r="I319" s="37">
        <f>COUNTIF(G$5:G319,"Y")/COUNTA(G$5:G319)</f>
        <v/>
      </c>
      <c r="J319" s="37">
        <f>COUNTIF(H$5:H319,"Y")/COUNTA(H$5:H319)</f>
        <v/>
      </c>
      <c r="K319" s="37">
        <f>AVERAGE(F$5:F319)</f>
        <v/>
      </c>
      <c r="L319" s="37">
        <f>SUM(F$5:F319)/SUM(E$5:E319)</f>
        <v/>
      </c>
    </row>
    <row r="320">
      <c r="A320" s="29" t="n">
        <v>45680</v>
      </c>
      <c r="B320" s="37" t="inlineStr">
        <is>
          <t>JOB-1316</t>
        </is>
      </c>
      <c r="C320" s="34" t="n">
        <v>1</v>
      </c>
      <c r="D320" s="37" t="inlineStr">
        <is>
          <t>Tech B</t>
        </is>
      </c>
      <c r="E320" s="35" t="n">
        <v>4</v>
      </c>
      <c r="F320" s="35" t="n">
        <v>3.4</v>
      </c>
      <c r="G320" s="37" t="inlineStr">
        <is>
          <t>Y</t>
        </is>
      </c>
      <c r="H320" s="37" t="inlineStr">
        <is>
          <t>N</t>
        </is>
      </c>
      <c r="I320" s="37">
        <f>COUNTIF(G$5:G320,"Y")/COUNTA(G$5:G320)</f>
        <v/>
      </c>
      <c r="J320" s="37">
        <f>COUNTIF(H$5:H320,"Y")/COUNTA(H$5:H320)</f>
        <v/>
      </c>
      <c r="K320" s="37">
        <f>AVERAGE(F$5:F320)</f>
        <v/>
      </c>
      <c r="L320" s="37">
        <f>SUM(F$5:F320)/SUM(E$5:E320)</f>
        <v/>
      </c>
    </row>
    <row r="321">
      <c r="A321" s="29" t="n">
        <v>45681</v>
      </c>
      <c r="B321" s="37" t="inlineStr">
        <is>
          <t>JOB-1317</t>
        </is>
      </c>
      <c r="C321" s="34" t="n">
        <v>1</v>
      </c>
      <c r="D321" s="37" t="inlineStr">
        <is>
          <t>Tech H</t>
        </is>
      </c>
      <c r="E321" s="35" t="n">
        <v>5.6</v>
      </c>
      <c r="F321" s="35" t="n">
        <v>4</v>
      </c>
      <c r="G321" s="37" t="inlineStr">
        <is>
          <t>Y</t>
        </is>
      </c>
      <c r="H321" s="37" t="inlineStr">
        <is>
          <t>N</t>
        </is>
      </c>
      <c r="I321" s="37">
        <f>COUNTIF(G$5:G321,"Y")/COUNTA(G$5:G321)</f>
        <v/>
      </c>
      <c r="J321" s="37">
        <f>COUNTIF(H$5:H321,"Y")/COUNTA(H$5:H321)</f>
        <v/>
      </c>
      <c r="K321" s="37">
        <f>AVERAGE(F$5:F321)</f>
        <v/>
      </c>
      <c r="L321" s="37">
        <f>SUM(F$5:F321)/SUM(E$5:E321)</f>
        <v/>
      </c>
    </row>
    <row r="322">
      <c r="A322" s="29" t="n">
        <v>45677</v>
      </c>
      <c r="B322" s="37" t="inlineStr">
        <is>
          <t>JOB-1318</t>
        </is>
      </c>
      <c r="C322" s="34" t="n">
        <v>1</v>
      </c>
      <c r="D322" s="37" t="inlineStr">
        <is>
          <t>Tech D</t>
        </is>
      </c>
      <c r="E322" s="35" t="n">
        <v>3.4</v>
      </c>
      <c r="F322" s="35" t="n">
        <v>2.5</v>
      </c>
      <c r="G322" s="37" t="inlineStr">
        <is>
          <t>Y</t>
        </is>
      </c>
      <c r="H322" s="37" t="inlineStr">
        <is>
          <t>N</t>
        </is>
      </c>
      <c r="I322" s="37">
        <f>COUNTIF(G$5:G322,"Y")/COUNTA(G$5:G322)</f>
        <v/>
      </c>
      <c r="J322" s="37">
        <f>COUNTIF(H$5:H322,"Y")/COUNTA(H$5:H322)</f>
        <v/>
      </c>
      <c r="K322" s="37">
        <f>AVERAGE(F$5:F322)</f>
        <v/>
      </c>
      <c r="L322" s="37">
        <f>SUM(F$5:F322)/SUM(E$5:E322)</f>
        <v/>
      </c>
    </row>
    <row r="323">
      <c r="A323" s="29" t="n">
        <v>45678</v>
      </c>
      <c r="B323" s="37" t="inlineStr">
        <is>
          <t>JOB-1319</t>
        </is>
      </c>
      <c r="C323" s="34" t="n">
        <v>1</v>
      </c>
      <c r="D323" s="37" t="inlineStr">
        <is>
          <t>Tech A</t>
        </is>
      </c>
      <c r="E323" s="35" t="n">
        <v>4.1</v>
      </c>
      <c r="F323" s="35" t="n">
        <v>2.9</v>
      </c>
      <c r="G323" s="37" t="inlineStr">
        <is>
          <t>Y</t>
        </is>
      </c>
      <c r="H323" s="37" t="inlineStr">
        <is>
          <t>N</t>
        </is>
      </c>
      <c r="I323" s="37">
        <f>COUNTIF(G$5:G323,"Y")/COUNTA(G$5:G323)</f>
        <v/>
      </c>
      <c r="J323" s="37">
        <f>COUNTIF(H$5:H323,"Y")/COUNTA(H$5:H323)</f>
        <v/>
      </c>
      <c r="K323" s="37">
        <f>AVERAGE(F$5:F323)</f>
        <v/>
      </c>
      <c r="L323" s="37">
        <f>SUM(F$5:F323)/SUM(E$5:E323)</f>
        <v/>
      </c>
    </row>
    <row r="324">
      <c r="A324" s="29" t="n">
        <v>45679</v>
      </c>
      <c r="B324" s="37" t="inlineStr">
        <is>
          <t>JOB-1320</t>
        </is>
      </c>
      <c r="C324" s="34" t="n">
        <v>1</v>
      </c>
      <c r="D324" s="37" t="inlineStr">
        <is>
          <t>Tech D</t>
        </is>
      </c>
      <c r="E324" s="35" t="n">
        <v>5.3</v>
      </c>
      <c r="F324" s="35" t="n">
        <v>3.8</v>
      </c>
      <c r="G324" s="37" t="inlineStr">
        <is>
          <t>Y</t>
        </is>
      </c>
      <c r="H324" s="37" t="inlineStr">
        <is>
          <t>N</t>
        </is>
      </c>
      <c r="I324" s="37">
        <f>COUNTIF(G$5:G324,"Y")/COUNTA(G$5:G324)</f>
        <v/>
      </c>
      <c r="J324" s="37">
        <f>COUNTIF(H$5:H324,"Y")/COUNTA(H$5:H324)</f>
        <v/>
      </c>
      <c r="K324" s="37">
        <f>AVERAGE(F$5:F324)</f>
        <v/>
      </c>
      <c r="L324" s="37">
        <f>SUM(F$5:F324)/SUM(E$5:E324)</f>
        <v/>
      </c>
    </row>
    <row r="325">
      <c r="A325" s="29" t="n">
        <v>45680</v>
      </c>
      <c r="B325" s="37" t="inlineStr">
        <is>
          <t>JOB-1321</t>
        </is>
      </c>
      <c r="C325" s="34" t="n">
        <v>1</v>
      </c>
      <c r="D325" s="37" t="inlineStr">
        <is>
          <t>Tech C</t>
        </is>
      </c>
      <c r="E325" s="35" t="n">
        <v>5.2</v>
      </c>
      <c r="F325" s="35" t="n">
        <v>4.1</v>
      </c>
      <c r="G325" s="37" t="inlineStr">
        <is>
          <t>N</t>
        </is>
      </c>
      <c r="H325" s="37" t="inlineStr">
        <is>
          <t>Y</t>
        </is>
      </c>
      <c r="I325" s="37">
        <f>COUNTIF(G$5:G325,"Y")/COUNTA(G$5:G325)</f>
        <v/>
      </c>
      <c r="J325" s="37">
        <f>COUNTIF(H$5:H325,"Y")/COUNTA(H$5:H325)</f>
        <v/>
      </c>
      <c r="K325" s="37">
        <f>AVERAGE(F$5:F325)</f>
        <v/>
      </c>
      <c r="L325" s="37">
        <f>SUM(F$5:F325)/SUM(E$5:E325)</f>
        <v/>
      </c>
    </row>
    <row r="326">
      <c r="A326" s="29" t="n">
        <v>45681</v>
      </c>
      <c r="B326" s="37" t="inlineStr">
        <is>
          <t>JOB-1322</t>
        </is>
      </c>
      <c r="C326" s="34" t="n">
        <v>1</v>
      </c>
      <c r="D326" s="37" t="inlineStr">
        <is>
          <t>Tech H</t>
        </is>
      </c>
      <c r="E326" s="35" t="n">
        <v>5.2</v>
      </c>
      <c r="F326" s="35" t="n">
        <v>4.1</v>
      </c>
      <c r="G326" s="37" t="inlineStr">
        <is>
          <t>Y</t>
        </is>
      </c>
      <c r="H326" s="37" t="inlineStr">
        <is>
          <t>N</t>
        </is>
      </c>
      <c r="I326" s="37">
        <f>COUNTIF(G$5:G326,"Y")/COUNTA(G$5:G326)</f>
        <v/>
      </c>
      <c r="J326" s="37">
        <f>COUNTIF(H$5:H326,"Y")/COUNTA(H$5:H326)</f>
        <v/>
      </c>
      <c r="K326" s="37">
        <f>AVERAGE(F$5:F326)</f>
        <v/>
      </c>
      <c r="L326" s="37">
        <f>SUM(F$5:F326)/SUM(E$5:E326)</f>
        <v/>
      </c>
    </row>
    <row r="327">
      <c r="A327" s="29" t="n">
        <v>45677</v>
      </c>
      <c r="B327" s="37" t="inlineStr">
        <is>
          <t>JOB-1323</t>
        </is>
      </c>
      <c r="C327" s="34" t="n">
        <v>1</v>
      </c>
      <c r="D327" s="37" t="inlineStr">
        <is>
          <t>Tech H</t>
        </is>
      </c>
      <c r="E327" s="35" t="n">
        <v>3.3</v>
      </c>
      <c r="F327" s="35" t="n">
        <v>2.5</v>
      </c>
      <c r="G327" s="37" t="inlineStr">
        <is>
          <t>Y</t>
        </is>
      </c>
      <c r="H327" s="37" t="inlineStr">
        <is>
          <t>N</t>
        </is>
      </c>
      <c r="I327" s="37">
        <f>COUNTIF(G$5:G327,"Y")/COUNTA(G$5:G327)</f>
        <v/>
      </c>
      <c r="J327" s="37">
        <f>COUNTIF(H$5:H327,"Y")/COUNTA(H$5:H327)</f>
        <v/>
      </c>
      <c r="K327" s="37">
        <f>AVERAGE(F$5:F327)</f>
        <v/>
      </c>
      <c r="L327" s="37">
        <f>SUM(F$5:F327)/SUM(E$5:E327)</f>
        <v/>
      </c>
    </row>
    <row r="328">
      <c r="A328" s="29" t="n">
        <v>45678</v>
      </c>
      <c r="B328" s="37" t="inlineStr">
        <is>
          <t>JOB-1324</t>
        </is>
      </c>
      <c r="C328" s="34" t="n">
        <v>1</v>
      </c>
      <c r="D328" s="37" t="inlineStr">
        <is>
          <t>Tech B</t>
        </is>
      </c>
      <c r="E328" s="35" t="n">
        <v>4.4</v>
      </c>
      <c r="F328" s="35" t="n">
        <v>3</v>
      </c>
      <c r="G328" s="37" t="inlineStr">
        <is>
          <t>Y</t>
        </is>
      </c>
      <c r="H328" s="37" t="inlineStr">
        <is>
          <t>N</t>
        </is>
      </c>
      <c r="I328" s="37">
        <f>COUNTIF(G$5:G328,"Y")/COUNTA(G$5:G328)</f>
        <v/>
      </c>
      <c r="J328" s="37">
        <f>COUNTIF(H$5:H328,"Y")/COUNTA(H$5:H328)</f>
        <v/>
      </c>
      <c r="K328" s="37">
        <f>AVERAGE(F$5:F328)</f>
        <v/>
      </c>
      <c r="L328" s="37">
        <f>SUM(F$5:F328)/SUM(E$5:E328)</f>
        <v/>
      </c>
    </row>
    <row r="329">
      <c r="A329" s="29" t="n">
        <v>45679</v>
      </c>
      <c r="B329" s="37" t="inlineStr">
        <is>
          <t>JOB-1325</t>
        </is>
      </c>
      <c r="C329" s="34" t="n">
        <v>1</v>
      </c>
      <c r="D329" s="37" t="inlineStr">
        <is>
          <t>Tech D</t>
        </is>
      </c>
      <c r="E329" s="35" t="n">
        <v>3.7</v>
      </c>
      <c r="F329" s="35" t="n">
        <v>2.9</v>
      </c>
      <c r="G329" s="37" t="inlineStr">
        <is>
          <t>Y</t>
        </is>
      </c>
      <c r="H329" s="37" t="inlineStr">
        <is>
          <t>N</t>
        </is>
      </c>
      <c r="I329" s="37">
        <f>COUNTIF(G$5:G329,"Y")/COUNTA(G$5:G329)</f>
        <v/>
      </c>
      <c r="J329" s="37">
        <f>COUNTIF(H$5:H329,"Y")/COUNTA(H$5:H329)</f>
        <v/>
      </c>
      <c r="K329" s="37">
        <f>AVERAGE(F$5:F329)</f>
        <v/>
      </c>
      <c r="L329" s="37">
        <f>SUM(F$5:F329)/SUM(E$5:E329)</f>
        <v/>
      </c>
    </row>
    <row r="330">
      <c r="A330" s="29" t="n">
        <v>45680</v>
      </c>
      <c r="B330" s="37" t="inlineStr">
        <is>
          <t>JOB-1326</t>
        </is>
      </c>
      <c r="C330" s="34" t="n">
        <v>1</v>
      </c>
      <c r="D330" s="37" t="inlineStr">
        <is>
          <t>Tech F</t>
        </is>
      </c>
      <c r="E330" s="35" t="n">
        <v>1.9</v>
      </c>
      <c r="F330" s="35" t="n">
        <v>1.4</v>
      </c>
      <c r="G330" s="37" t="inlineStr">
        <is>
          <t>Y</t>
        </is>
      </c>
      <c r="H330" s="37" t="inlineStr">
        <is>
          <t>N</t>
        </is>
      </c>
      <c r="I330" s="37">
        <f>COUNTIF(G$5:G330,"Y")/COUNTA(G$5:G330)</f>
        <v/>
      </c>
      <c r="J330" s="37">
        <f>COUNTIF(H$5:H330,"Y")/COUNTA(H$5:H330)</f>
        <v/>
      </c>
      <c r="K330" s="37">
        <f>AVERAGE(F$5:F330)</f>
        <v/>
      </c>
      <c r="L330" s="37">
        <f>SUM(F$5:F330)/SUM(E$5:E330)</f>
        <v/>
      </c>
    </row>
    <row r="331">
      <c r="A331" s="29" t="n">
        <v>45681</v>
      </c>
      <c r="B331" s="37" t="inlineStr">
        <is>
          <t>JOB-1327</t>
        </is>
      </c>
      <c r="C331" s="34" t="n">
        <v>1</v>
      </c>
      <c r="D331" s="37" t="inlineStr">
        <is>
          <t>Tech C</t>
        </is>
      </c>
      <c r="E331" s="35" t="n">
        <v>1.7</v>
      </c>
      <c r="F331" s="35" t="n">
        <v>1.3</v>
      </c>
      <c r="G331" s="37" t="inlineStr">
        <is>
          <t>N</t>
        </is>
      </c>
      <c r="H331" s="37" t="inlineStr">
        <is>
          <t>N</t>
        </is>
      </c>
      <c r="I331" s="37">
        <f>COUNTIF(G$5:G331,"Y")/COUNTA(G$5:G331)</f>
        <v/>
      </c>
      <c r="J331" s="37">
        <f>COUNTIF(H$5:H331,"Y")/COUNTA(H$5:H331)</f>
        <v/>
      </c>
      <c r="K331" s="37">
        <f>AVERAGE(F$5:F331)</f>
        <v/>
      </c>
      <c r="L331" s="37">
        <f>SUM(F$5:F331)/SUM(E$5:E331)</f>
        <v/>
      </c>
    </row>
    <row r="332">
      <c r="A332" s="29" t="n">
        <v>45677</v>
      </c>
      <c r="B332" s="37" t="inlineStr">
        <is>
          <t>JOB-1328</t>
        </is>
      </c>
      <c r="C332" s="34" t="n">
        <v>1</v>
      </c>
      <c r="D332" s="37" t="inlineStr">
        <is>
          <t>Tech G</t>
        </is>
      </c>
      <c r="E332" s="35" t="n">
        <v>2.8</v>
      </c>
      <c r="F332" s="35" t="n">
        <v>2</v>
      </c>
      <c r="G332" s="37" t="inlineStr">
        <is>
          <t>Y</t>
        </is>
      </c>
      <c r="H332" s="37" t="inlineStr">
        <is>
          <t>N</t>
        </is>
      </c>
      <c r="I332" s="37">
        <f>COUNTIF(G$5:G332,"Y")/COUNTA(G$5:G332)</f>
        <v/>
      </c>
      <c r="J332" s="37">
        <f>COUNTIF(H$5:H332,"Y")/COUNTA(H$5:H332)</f>
        <v/>
      </c>
      <c r="K332" s="37">
        <f>AVERAGE(F$5:F332)</f>
        <v/>
      </c>
      <c r="L332" s="37">
        <f>SUM(F$5:F332)/SUM(E$5:E332)</f>
        <v/>
      </c>
    </row>
    <row r="333">
      <c r="A333" s="29" t="n">
        <v>45678</v>
      </c>
      <c r="B333" s="37" t="inlineStr">
        <is>
          <t>JOB-1329</t>
        </is>
      </c>
      <c r="C333" s="34" t="n">
        <v>1</v>
      </c>
      <c r="D333" s="37" t="inlineStr">
        <is>
          <t>Tech H</t>
        </is>
      </c>
      <c r="E333" s="35" t="n">
        <v>4.8</v>
      </c>
      <c r="F333" s="35" t="n">
        <v>4.1</v>
      </c>
      <c r="G333" s="37" t="inlineStr">
        <is>
          <t>Y</t>
        </is>
      </c>
      <c r="H333" s="37" t="inlineStr">
        <is>
          <t>N</t>
        </is>
      </c>
      <c r="I333" s="37">
        <f>COUNTIF(G$5:G333,"Y")/COUNTA(G$5:G333)</f>
        <v/>
      </c>
      <c r="J333" s="37">
        <f>COUNTIF(H$5:H333,"Y")/COUNTA(H$5:H333)</f>
        <v/>
      </c>
      <c r="K333" s="37">
        <f>AVERAGE(F$5:F333)</f>
        <v/>
      </c>
      <c r="L333" s="37">
        <f>SUM(F$5:F333)/SUM(E$5:E333)</f>
        <v/>
      </c>
    </row>
    <row r="334">
      <c r="A334" s="29" t="n">
        <v>45679</v>
      </c>
      <c r="B334" s="37" t="inlineStr">
        <is>
          <t>JOB-1330</t>
        </is>
      </c>
      <c r="C334" s="34" t="n">
        <v>1</v>
      </c>
      <c r="D334" s="37" t="inlineStr">
        <is>
          <t>Tech G</t>
        </is>
      </c>
      <c r="E334" s="35" t="n">
        <v>3.8</v>
      </c>
      <c r="F334" s="35" t="n">
        <v>2.9</v>
      </c>
      <c r="G334" s="37" t="inlineStr">
        <is>
          <t>Y</t>
        </is>
      </c>
      <c r="H334" s="37" t="inlineStr">
        <is>
          <t>N</t>
        </is>
      </c>
      <c r="I334" s="37">
        <f>COUNTIF(G$5:G334,"Y")/COUNTA(G$5:G334)</f>
        <v/>
      </c>
      <c r="J334" s="37">
        <f>COUNTIF(H$5:H334,"Y")/COUNTA(H$5:H334)</f>
        <v/>
      </c>
      <c r="K334" s="37">
        <f>AVERAGE(F$5:F334)</f>
        <v/>
      </c>
      <c r="L334" s="37">
        <f>SUM(F$5:F334)/SUM(E$5:E334)</f>
        <v/>
      </c>
    </row>
    <row r="335">
      <c r="A335" s="29" t="n">
        <v>45680</v>
      </c>
      <c r="B335" s="37" t="inlineStr">
        <is>
          <t>JOB-1331</t>
        </is>
      </c>
      <c r="C335" s="34" t="n">
        <v>1</v>
      </c>
      <c r="D335" s="37" t="inlineStr">
        <is>
          <t>Tech D</t>
        </is>
      </c>
      <c r="E335" s="35" t="n">
        <v>3.8</v>
      </c>
      <c r="F335" s="35" t="n">
        <v>2.5</v>
      </c>
      <c r="G335" s="37" t="inlineStr">
        <is>
          <t>Y</t>
        </is>
      </c>
      <c r="H335" s="37" t="inlineStr">
        <is>
          <t>N</t>
        </is>
      </c>
      <c r="I335" s="37">
        <f>COUNTIF(G$5:G335,"Y")/COUNTA(G$5:G335)</f>
        <v/>
      </c>
      <c r="J335" s="37">
        <f>COUNTIF(H$5:H335,"Y")/COUNTA(H$5:H335)</f>
        <v/>
      </c>
      <c r="K335" s="37">
        <f>AVERAGE(F$5:F335)</f>
        <v/>
      </c>
      <c r="L335" s="37">
        <f>SUM(F$5:F335)/SUM(E$5:E335)</f>
        <v/>
      </c>
    </row>
    <row r="336">
      <c r="A336" s="29" t="n">
        <v>45681</v>
      </c>
      <c r="B336" s="37" t="inlineStr">
        <is>
          <t>JOB-1332</t>
        </is>
      </c>
      <c r="C336" s="34" t="n">
        <v>1</v>
      </c>
      <c r="D336" s="37" t="inlineStr">
        <is>
          <t>Tech B</t>
        </is>
      </c>
      <c r="E336" s="35" t="n">
        <v>0.6</v>
      </c>
      <c r="F336" s="35" t="n">
        <v>0.5</v>
      </c>
      <c r="G336" s="37" t="inlineStr">
        <is>
          <t>Y</t>
        </is>
      </c>
      <c r="H336" s="37" t="inlineStr">
        <is>
          <t>N</t>
        </is>
      </c>
      <c r="I336" s="37">
        <f>COUNTIF(G$5:G336,"Y")/COUNTA(G$5:G336)</f>
        <v/>
      </c>
      <c r="J336" s="37">
        <f>COUNTIF(H$5:H336,"Y")/COUNTA(H$5:H336)</f>
        <v/>
      </c>
      <c r="K336" s="37">
        <f>AVERAGE(F$5:F336)</f>
        <v/>
      </c>
      <c r="L336" s="37">
        <f>SUM(F$5:F336)/SUM(E$5:E336)</f>
        <v/>
      </c>
    </row>
    <row r="337">
      <c r="A337" s="29" t="n">
        <v>45677</v>
      </c>
      <c r="B337" s="37" t="inlineStr">
        <is>
          <t>JOB-1333</t>
        </is>
      </c>
      <c r="C337" s="34" t="n">
        <v>1</v>
      </c>
      <c r="D337" s="37" t="inlineStr">
        <is>
          <t>Tech F</t>
        </is>
      </c>
      <c r="E337" s="35" t="n">
        <v>0.7</v>
      </c>
      <c r="F337" s="35" t="n">
        <v>0.5</v>
      </c>
      <c r="G337" s="37" t="inlineStr">
        <is>
          <t>Y</t>
        </is>
      </c>
      <c r="H337" s="37" t="inlineStr">
        <is>
          <t>N</t>
        </is>
      </c>
      <c r="I337" s="37">
        <f>COUNTIF(G$5:G337,"Y")/COUNTA(G$5:G337)</f>
        <v/>
      </c>
      <c r="J337" s="37">
        <f>COUNTIF(H$5:H337,"Y")/COUNTA(H$5:H337)</f>
        <v/>
      </c>
      <c r="K337" s="37">
        <f>AVERAGE(F$5:F337)</f>
        <v/>
      </c>
      <c r="L337" s="37">
        <f>SUM(F$5:F337)/SUM(E$5:E337)</f>
        <v/>
      </c>
    </row>
    <row r="338">
      <c r="A338" s="29" t="n">
        <v>45678</v>
      </c>
      <c r="B338" s="37" t="inlineStr">
        <is>
          <t>JOB-1334</t>
        </is>
      </c>
      <c r="C338" s="34" t="n">
        <v>1</v>
      </c>
      <c r="D338" s="37" t="inlineStr">
        <is>
          <t>Tech B</t>
        </is>
      </c>
      <c r="E338" s="35" t="n">
        <v>0.7</v>
      </c>
      <c r="F338" s="35" t="n">
        <v>0.5</v>
      </c>
      <c r="G338" s="37" t="inlineStr">
        <is>
          <t>Y</t>
        </is>
      </c>
      <c r="H338" s="37" t="inlineStr">
        <is>
          <t>N</t>
        </is>
      </c>
      <c r="I338" s="37">
        <f>COUNTIF(G$5:G338,"Y")/COUNTA(G$5:G338)</f>
        <v/>
      </c>
      <c r="J338" s="37">
        <f>COUNTIF(H$5:H338,"Y")/COUNTA(H$5:H338)</f>
        <v/>
      </c>
      <c r="K338" s="37">
        <f>AVERAGE(F$5:F338)</f>
        <v/>
      </c>
      <c r="L338" s="37">
        <f>SUM(F$5:F338)/SUM(E$5:E338)</f>
        <v/>
      </c>
    </row>
    <row r="339">
      <c r="A339" s="29" t="n">
        <v>45679</v>
      </c>
      <c r="B339" s="37" t="inlineStr">
        <is>
          <t>JOB-1335</t>
        </is>
      </c>
      <c r="C339" s="34" t="n">
        <v>1</v>
      </c>
      <c r="D339" s="37" t="inlineStr">
        <is>
          <t>Tech C</t>
        </is>
      </c>
      <c r="E339" s="35" t="n">
        <v>0.8</v>
      </c>
      <c r="F339" s="35" t="n">
        <v>0.5</v>
      </c>
      <c r="G339" s="37" t="inlineStr">
        <is>
          <t>Y</t>
        </is>
      </c>
      <c r="H339" s="37" t="inlineStr">
        <is>
          <t>N</t>
        </is>
      </c>
      <c r="I339" s="37">
        <f>COUNTIF(G$5:G339,"Y")/COUNTA(G$5:G339)</f>
        <v/>
      </c>
      <c r="J339" s="37">
        <f>COUNTIF(H$5:H339,"Y")/COUNTA(H$5:H339)</f>
        <v/>
      </c>
      <c r="K339" s="37">
        <f>AVERAGE(F$5:F339)</f>
        <v/>
      </c>
      <c r="L339" s="37">
        <f>SUM(F$5:F339)/SUM(E$5:E339)</f>
        <v/>
      </c>
    </row>
    <row r="340">
      <c r="A340" s="29" t="n">
        <v>45680</v>
      </c>
      <c r="B340" s="37" t="inlineStr">
        <is>
          <t>JOB-1336</t>
        </is>
      </c>
      <c r="C340" s="34" t="n">
        <v>1</v>
      </c>
      <c r="D340" s="37" t="inlineStr">
        <is>
          <t>Tech G</t>
        </is>
      </c>
      <c r="E340" s="35" t="n">
        <v>0.7</v>
      </c>
      <c r="F340" s="35" t="n">
        <v>0.5</v>
      </c>
      <c r="G340" s="37" t="inlineStr">
        <is>
          <t>N</t>
        </is>
      </c>
      <c r="H340" s="37" t="inlineStr">
        <is>
          <t>N</t>
        </is>
      </c>
      <c r="I340" s="37">
        <f>COUNTIF(G$5:G340,"Y")/COUNTA(G$5:G340)</f>
        <v/>
      </c>
      <c r="J340" s="37">
        <f>COUNTIF(H$5:H340,"Y")/COUNTA(H$5:H340)</f>
        <v/>
      </c>
      <c r="K340" s="37">
        <f>AVERAGE(F$5:F340)</f>
        <v/>
      </c>
      <c r="L340" s="37">
        <f>SUM(F$5:F340)/SUM(E$5:E340)</f>
        <v/>
      </c>
    </row>
    <row r="341">
      <c r="A341" s="29" t="n">
        <v>45681</v>
      </c>
      <c r="B341" s="37" t="inlineStr">
        <is>
          <t>JOB-1337</t>
        </is>
      </c>
      <c r="C341" s="34" t="n">
        <v>1</v>
      </c>
      <c r="D341" s="37" t="inlineStr">
        <is>
          <t>Tech G</t>
        </is>
      </c>
      <c r="E341" s="35" t="n">
        <v>0.8</v>
      </c>
      <c r="F341" s="35" t="n">
        <v>0.5</v>
      </c>
      <c r="G341" s="37" t="inlineStr">
        <is>
          <t>Y</t>
        </is>
      </c>
      <c r="H341" s="37" t="inlineStr">
        <is>
          <t>N</t>
        </is>
      </c>
      <c r="I341" s="37">
        <f>COUNTIF(G$5:G341,"Y")/COUNTA(G$5:G341)</f>
        <v/>
      </c>
      <c r="J341" s="37">
        <f>COUNTIF(H$5:H341,"Y")/COUNTA(H$5:H341)</f>
        <v/>
      </c>
      <c r="K341" s="37">
        <f>AVERAGE(F$5:F341)</f>
        <v/>
      </c>
      <c r="L341" s="37">
        <f>SUM(F$5:F341)/SUM(E$5:E341)</f>
        <v/>
      </c>
    </row>
    <row r="342">
      <c r="A342" s="29" t="n">
        <v>45677</v>
      </c>
      <c r="B342" s="37" t="inlineStr">
        <is>
          <t>JOB-1338</t>
        </is>
      </c>
      <c r="C342" s="34" t="n">
        <v>1</v>
      </c>
      <c r="D342" s="37" t="inlineStr">
        <is>
          <t>Tech D</t>
        </is>
      </c>
      <c r="E342" s="35" t="n">
        <v>0.7</v>
      </c>
      <c r="F342" s="35" t="n">
        <v>0.5</v>
      </c>
      <c r="G342" s="37" t="inlineStr">
        <is>
          <t>Y</t>
        </is>
      </c>
      <c r="H342" s="37" t="inlineStr">
        <is>
          <t>N</t>
        </is>
      </c>
      <c r="I342" s="37">
        <f>COUNTIF(G$5:G342,"Y")/COUNTA(G$5:G342)</f>
        <v/>
      </c>
      <c r="J342" s="37">
        <f>COUNTIF(H$5:H342,"Y")/COUNTA(H$5:H342)</f>
        <v/>
      </c>
      <c r="K342" s="37">
        <f>AVERAGE(F$5:F342)</f>
        <v/>
      </c>
      <c r="L342" s="37">
        <f>SUM(F$5:F342)/SUM(E$5:E342)</f>
        <v/>
      </c>
    </row>
    <row r="343">
      <c r="A343" s="29" t="n">
        <v>45678</v>
      </c>
      <c r="B343" s="37" t="inlineStr">
        <is>
          <t>JOB-1339</t>
        </is>
      </c>
      <c r="C343" s="34" t="n">
        <v>1</v>
      </c>
      <c r="D343" s="37" t="inlineStr">
        <is>
          <t>Tech G</t>
        </is>
      </c>
      <c r="E343" s="35" t="n">
        <v>2.9</v>
      </c>
      <c r="F343" s="35" t="n">
        <v>0.5</v>
      </c>
      <c r="G343" s="37" t="inlineStr">
        <is>
          <t>Y</t>
        </is>
      </c>
      <c r="H343" s="37" t="inlineStr">
        <is>
          <t>N</t>
        </is>
      </c>
      <c r="I343" s="37">
        <f>COUNTIF(G$5:G343,"Y")/COUNTA(G$5:G343)</f>
        <v/>
      </c>
      <c r="J343" s="37">
        <f>COUNTIF(H$5:H343,"Y")/COUNTA(H$5:H343)</f>
        <v/>
      </c>
      <c r="K343" s="37">
        <f>AVERAGE(F$5:F343)</f>
        <v/>
      </c>
      <c r="L343" s="37">
        <f>SUM(F$5:F343)/SUM(E$5:E343)</f>
        <v/>
      </c>
      <c r="M343" s="37" t="n">
        <v>16</v>
      </c>
    </row>
    <row r="344">
      <c r="A344" s="29" t="n">
        <v>45684</v>
      </c>
      <c r="B344" s="37" t="inlineStr">
        <is>
          <t>JOB-1340</t>
        </is>
      </c>
      <c r="C344" s="34" t="n">
        <v>1</v>
      </c>
      <c r="D344" s="37" t="inlineStr">
        <is>
          <t>Tech A</t>
        </is>
      </c>
      <c r="E344" s="35" t="n">
        <v>2.2</v>
      </c>
      <c r="F344" s="35" t="n">
        <v>1.6</v>
      </c>
      <c r="G344" s="37" t="inlineStr">
        <is>
          <t>Y</t>
        </is>
      </c>
      <c r="H344" s="37" t="inlineStr">
        <is>
          <t>N</t>
        </is>
      </c>
      <c r="I344" s="37">
        <f>COUNTIF(G$5:G344,"Y")/COUNTA(G$5:G344)</f>
        <v/>
      </c>
      <c r="J344" s="37">
        <f>COUNTIF(H$5:H344,"Y")/COUNTA(H$5:H344)</f>
        <v/>
      </c>
      <c r="K344" s="37">
        <f>AVERAGE(F$5:F344)</f>
        <v/>
      </c>
      <c r="L344" s="37">
        <f>SUM(F$5:F344)/SUM(E$5:E344)</f>
        <v/>
      </c>
    </row>
    <row r="345">
      <c r="A345" s="29" t="n">
        <v>45685</v>
      </c>
      <c r="B345" s="37" t="inlineStr">
        <is>
          <t>JOB-1341</t>
        </is>
      </c>
      <c r="C345" s="34" t="n">
        <v>1</v>
      </c>
      <c r="D345" s="37" t="inlineStr">
        <is>
          <t>Tech C</t>
        </is>
      </c>
      <c r="E345" s="35" t="n">
        <v>3.4</v>
      </c>
      <c r="F345" s="35" t="n">
        <v>2.6</v>
      </c>
      <c r="G345" s="37" t="inlineStr">
        <is>
          <t>Y</t>
        </is>
      </c>
      <c r="H345" s="37" t="inlineStr">
        <is>
          <t>Y</t>
        </is>
      </c>
      <c r="I345" s="37">
        <f>COUNTIF(G$5:G345,"Y")/COUNTA(G$5:G345)</f>
        <v/>
      </c>
      <c r="J345" s="37">
        <f>COUNTIF(H$5:H345,"Y")/COUNTA(H$5:H345)</f>
        <v/>
      </c>
      <c r="K345" s="37">
        <f>AVERAGE(F$5:F345)</f>
        <v/>
      </c>
      <c r="L345" s="37">
        <f>SUM(F$5:F345)/SUM(E$5:E345)</f>
        <v/>
      </c>
    </row>
    <row r="346">
      <c r="A346" s="29" t="n">
        <v>45686</v>
      </c>
      <c r="B346" s="37" t="inlineStr">
        <is>
          <t>JOB-1342</t>
        </is>
      </c>
      <c r="C346" s="34" t="n">
        <v>1</v>
      </c>
      <c r="D346" s="37" t="inlineStr">
        <is>
          <t>Tech H</t>
        </is>
      </c>
      <c r="E346" s="35" t="n">
        <v>4.6</v>
      </c>
      <c r="F346" s="35" t="n">
        <v>3.2</v>
      </c>
      <c r="G346" s="37" t="inlineStr">
        <is>
          <t>Y</t>
        </is>
      </c>
      <c r="H346" s="37" t="inlineStr">
        <is>
          <t>N</t>
        </is>
      </c>
      <c r="I346" s="37">
        <f>COUNTIF(G$5:G346,"Y")/COUNTA(G$5:G346)</f>
        <v/>
      </c>
      <c r="J346" s="37">
        <f>COUNTIF(H$5:H346,"Y")/COUNTA(H$5:H346)</f>
        <v/>
      </c>
      <c r="K346" s="37">
        <f>AVERAGE(F$5:F346)</f>
        <v/>
      </c>
      <c r="L346" s="37">
        <f>SUM(F$5:F346)/SUM(E$5:E346)</f>
        <v/>
      </c>
    </row>
    <row r="347">
      <c r="A347" s="29" t="n">
        <v>45687</v>
      </c>
      <c r="B347" s="37" t="inlineStr">
        <is>
          <t>JOB-1343</t>
        </is>
      </c>
      <c r="C347" s="34" t="n">
        <v>1</v>
      </c>
      <c r="D347" s="37" t="inlineStr">
        <is>
          <t>Tech C</t>
        </is>
      </c>
      <c r="E347" s="35" t="n">
        <v>3.1</v>
      </c>
      <c r="F347" s="35" t="n">
        <v>2.4</v>
      </c>
      <c r="G347" s="37" t="inlineStr">
        <is>
          <t>Y</t>
        </is>
      </c>
      <c r="H347" s="37" t="inlineStr">
        <is>
          <t>N</t>
        </is>
      </c>
      <c r="I347" s="37">
        <f>COUNTIF(G$5:G347,"Y")/COUNTA(G$5:G347)</f>
        <v/>
      </c>
      <c r="J347" s="37">
        <f>COUNTIF(H$5:H347,"Y")/COUNTA(H$5:H347)</f>
        <v/>
      </c>
      <c r="K347" s="37">
        <f>AVERAGE(F$5:F347)</f>
        <v/>
      </c>
      <c r="L347" s="37">
        <f>SUM(F$5:F347)/SUM(E$5:E347)</f>
        <v/>
      </c>
    </row>
    <row r="348">
      <c r="A348" s="29" t="n">
        <v>45688</v>
      </c>
      <c r="B348" s="37" t="inlineStr">
        <is>
          <t>JOB-1344</t>
        </is>
      </c>
      <c r="C348" s="34" t="n">
        <v>1</v>
      </c>
      <c r="D348" s="37" t="inlineStr">
        <is>
          <t>Tech C</t>
        </is>
      </c>
      <c r="E348" s="35" t="n">
        <v>1.8</v>
      </c>
      <c r="F348" s="35" t="n">
        <v>1.5</v>
      </c>
      <c r="G348" s="37" t="inlineStr">
        <is>
          <t>Y</t>
        </is>
      </c>
      <c r="H348" s="37" t="inlineStr">
        <is>
          <t>N</t>
        </is>
      </c>
      <c r="I348" s="37">
        <f>COUNTIF(G$5:G348,"Y")/COUNTA(G$5:G348)</f>
        <v/>
      </c>
      <c r="J348" s="37">
        <f>COUNTIF(H$5:H348,"Y")/COUNTA(H$5:H348)</f>
        <v/>
      </c>
      <c r="K348" s="37">
        <f>AVERAGE(F$5:F348)</f>
        <v/>
      </c>
      <c r="L348" s="37">
        <f>SUM(F$5:F348)/SUM(E$5:E348)</f>
        <v/>
      </c>
    </row>
    <row r="349">
      <c r="A349" s="29" t="n">
        <v>45684</v>
      </c>
      <c r="B349" s="37" t="inlineStr">
        <is>
          <t>JOB-1345</t>
        </is>
      </c>
      <c r="C349" s="34" t="n">
        <v>1</v>
      </c>
      <c r="D349" s="37" t="inlineStr">
        <is>
          <t>Tech D</t>
        </is>
      </c>
      <c r="E349" s="35" t="n">
        <v>4</v>
      </c>
      <c r="F349" s="35" t="n">
        <v>2.7</v>
      </c>
      <c r="G349" s="37" t="inlineStr">
        <is>
          <t>Y</t>
        </is>
      </c>
      <c r="H349" s="37" t="inlineStr">
        <is>
          <t>N</t>
        </is>
      </c>
      <c r="I349" s="37">
        <f>COUNTIF(G$5:G349,"Y")/COUNTA(G$5:G349)</f>
        <v/>
      </c>
      <c r="J349" s="37">
        <f>COUNTIF(H$5:H349,"Y")/COUNTA(H$5:H349)</f>
        <v/>
      </c>
      <c r="K349" s="37">
        <f>AVERAGE(F$5:F349)</f>
        <v/>
      </c>
      <c r="L349" s="37">
        <f>SUM(F$5:F349)/SUM(E$5:E349)</f>
        <v/>
      </c>
    </row>
    <row r="350">
      <c r="A350" s="29" t="n">
        <v>45685</v>
      </c>
      <c r="B350" s="37" t="inlineStr">
        <is>
          <t>JOB-1346</t>
        </is>
      </c>
      <c r="C350" s="34" t="n">
        <v>1</v>
      </c>
      <c r="D350" s="37" t="inlineStr">
        <is>
          <t>Tech F</t>
        </is>
      </c>
      <c r="E350" s="35" t="n">
        <v>1.6</v>
      </c>
      <c r="F350" s="35" t="n">
        <v>1.2</v>
      </c>
      <c r="G350" s="37" t="inlineStr">
        <is>
          <t>N</t>
        </is>
      </c>
      <c r="H350" s="37" t="inlineStr">
        <is>
          <t>N</t>
        </is>
      </c>
      <c r="I350" s="37">
        <f>COUNTIF(G$5:G350,"Y")/COUNTA(G$5:G350)</f>
        <v/>
      </c>
      <c r="J350" s="37">
        <f>COUNTIF(H$5:H350,"Y")/COUNTA(H$5:H350)</f>
        <v/>
      </c>
      <c r="K350" s="37">
        <f>AVERAGE(F$5:F350)</f>
        <v/>
      </c>
      <c r="L350" s="37">
        <f>SUM(F$5:F350)/SUM(E$5:E350)</f>
        <v/>
      </c>
    </row>
    <row r="351">
      <c r="A351" s="29" t="n">
        <v>45686</v>
      </c>
      <c r="B351" s="37" t="inlineStr">
        <is>
          <t>JOB-1347</t>
        </is>
      </c>
      <c r="C351" s="34" t="n">
        <v>1</v>
      </c>
      <c r="D351" s="37" t="inlineStr">
        <is>
          <t>Tech H</t>
        </is>
      </c>
      <c r="E351" s="35" t="n">
        <v>3.1</v>
      </c>
      <c r="F351" s="35" t="n">
        <v>2.1</v>
      </c>
      <c r="G351" s="37" t="inlineStr">
        <is>
          <t>Y</t>
        </is>
      </c>
      <c r="H351" s="37" t="inlineStr">
        <is>
          <t>N</t>
        </is>
      </c>
      <c r="I351" s="37">
        <f>COUNTIF(G$5:G351,"Y")/COUNTA(G$5:G351)</f>
        <v/>
      </c>
      <c r="J351" s="37">
        <f>COUNTIF(H$5:H351,"Y")/COUNTA(H$5:H351)</f>
        <v/>
      </c>
      <c r="K351" s="37">
        <f>AVERAGE(F$5:F351)</f>
        <v/>
      </c>
      <c r="L351" s="37">
        <f>SUM(F$5:F351)/SUM(E$5:E351)</f>
        <v/>
      </c>
    </row>
    <row r="352">
      <c r="A352" s="29" t="n">
        <v>45687</v>
      </c>
      <c r="B352" s="37" t="inlineStr">
        <is>
          <t>JOB-1348</t>
        </is>
      </c>
      <c r="C352" s="34" t="n">
        <v>1</v>
      </c>
      <c r="D352" s="37" t="inlineStr">
        <is>
          <t>Tech D</t>
        </is>
      </c>
      <c r="E352" s="35" t="n">
        <v>4</v>
      </c>
      <c r="F352" s="35" t="n">
        <v>3</v>
      </c>
      <c r="G352" s="37" t="inlineStr">
        <is>
          <t>Y</t>
        </is>
      </c>
      <c r="H352" s="37" t="inlineStr">
        <is>
          <t>N</t>
        </is>
      </c>
      <c r="I352" s="37">
        <f>COUNTIF(G$5:G352,"Y")/COUNTA(G$5:G352)</f>
        <v/>
      </c>
      <c r="J352" s="37">
        <f>COUNTIF(H$5:H352,"Y")/COUNTA(H$5:H352)</f>
        <v/>
      </c>
      <c r="K352" s="37">
        <f>AVERAGE(F$5:F352)</f>
        <v/>
      </c>
      <c r="L352" s="37">
        <f>SUM(F$5:F352)/SUM(E$5:E352)</f>
        <v/>
      </c>
    </row>
    <row r="353">
      <c r="A353" s="29" t="n">
        <v>45688</v>
      </c>
      <c r="B353" s="37" t="inlineStr">
        <is>
          <t>JOB-1349</t>
        </is>
      </c>
      <c r="C353" s="34" t="n">
        <v>1</v>
      </c>
      <c r="D353" s="37" t="inlineStr">
        <is>
          <t>Tech B</t>
        </is>
      </c>
      <c r="E353" s="35" t="n">
        <v>1.6</v>
      </c>
      <c r="F353" s="35" t="n">
        <v>1.4</v>
      </c>
      <c r="G353" s="37" t="inlineStr">
        <is>
          <t>Y</t>
        </is>
      </c>
      <c r="H353" s="37" t="inlineStr">
        <is>
          <t>N</t>
        </is>
      </c>
      <c r="I353" s="37">
        <f>COUNTIF(G$5:G353,"Y")/COUNTA(G$5:G353)</f>
        <v/>
      </c>
      <c r="J353" s="37">
        <f>COUNTIF(H$5:H353,"Y")/COUNTA(H$5:H353)</f>
        <v/>
      </c>
      <c r="K353" s="37">
        <f>AVERAGE(F$5:F353)</f>
        <v/>
      </c>
      <c r="L353" s="37">
        <f>SUM(F$5:F353)/SUM(E$5:E353)</f>
        <v/>
      </c>
    </row>
    <row r="354">
      <c r="A354" s="29" t="n">
        <v>45684</v>
      </c>
      <c r="B354" s="37" t="inlineStr">
        <is>
          <t>JOB-1350</t>
        </is>
      </c>
      <c r="C354" s="34" t="n">
        <v>1</v>
      </c>
      <c r="D354" s="37" t="inlineStr">
        <is>
          <t>Tech H</t>
        </is>
      </c>
      <c r="E354" s="35" t="n">
        <v>1.9</v>
      </c>
      <c r="F354" s="35" t="n">
        <v>1.5</v>
      </c>
      <c r="G354" s="37" t="inlineStr">
        <is>
          <t>Y</t>
        </is>
      </c>
      <c r="H354" s="37" t="inlineStr">
        <is>
          <t>Y</t>
        </is>
      </c>
      <c r="I354" s="37">
        <f>COUNTIF(G$5:G354,"Y")/COUNTA(G$5:G354)</f>
        <v/>
      </c>
      <c r="J354" s="37">
        <f>COUNTIF(H$5:H354,"Y")/COUNTA(H$5:H354)</f>
        <v/>
      </c>
      <c r="K354" s="37">
        <f>AVERAGE(F$5:F354)</f>
        <v/>
      </c>
      <c r="L354" s="37">
        <f>SUM(F$5:F354)/SUM(E$5:E354)</f>
        <v/>
      </c>
    </row>
    <row r="355">
      <c r="A355" s="29" t="n">
        <v>45685</v>
      </c>
      <c r="B355" s="37" t="inlineStr">
        <is>
          <t>JOB-1351</t>
        </is>
      </c>
      <c r="C355" s="34" t="n">
        <v>1</v>
      </c>
      <c r="D355" s="37" t="inlineStr">
        <is>
          <t>Tech D</t>
        </is>
      </c>
      <c r="E355" s="35" t="n">
        <v>3.6</v>
      </c>
      <c r="F355" s="35" t="n">
        <v>2.5</v>
      </c>
      <c r="G355" s="37" t="inlineStr">
        <is>
          <t>Y</t>
        </is>
      </c>
      <c r="H355" s="37" t="inlineStr">
        <is>
          <t>N</t>
        </is>
      </c>
      <c r="I355" s="37">
        <f>COUNTIF(G$5:G355,"Y")/COUNTA(G$5:G355)</f>
        <v/>
      </c>
      <c r="J355" s="37">
        <f>COUNTIF(H$5:H355,"Y")/COUNTA(H$5:H355)</f>
        <v/>
      </c>
      <c r="K355" s="37">
        <f>AVERAGE(F$5:F355)</f>
        <v/>
      </c>
      <c r="L355" s="37">
        <f>SUM(F$5:F355)/SUM(E$5:E355)</f>
        <v/>
      </c>
    </row>
    <row r="356">
      <c r="A356" s="29" t="n">
        <v>45686</v>
      </c>
      <c r="B356" s="37" t="inlineStr">
        <is>
          <t>JOB-1352</t>
        </is>
      </c>
      <c r="C356" s="34" t="n">
        <v>1</v>
      </c>
      <c r="D356" s="37" t="inlineStr">
        <is>
          <t>Tech C</t>
        </is>
      </c>
      <c r="E356" s="35" t="n">
        <v>1.9</v>
      </c>
      <c r="F356" s="35" t="n">
        <v>1.3</v>
      </c>
      <c r="G356" s="37" t="inlineStr">
        <is>
          <t>Y</t>
        </is>
      </c>
      <c r="H356" s="37" t="inlineStr">
        <is>
          <t>N</t>
        </is>
      </c>
      <c r="I356" s="37">
        <f>COUNTIF(G$5:G356,"Y")/COUNTA(G$5:G356)</f>
        <v/>
      </c>
      <c r="J356" s="37">
        <f>COUNTIF(H$5:H356,"Y")/COUNTA(H$5:H356)</f>
        <v/>
      </c>
      <c r="K356" s="37">
        <f>AVERAGE(F$5:F356)</f>
        <v/>
      </c>
      <c r="L356" s="37">
        <f>SUM(F$5:F356)/SUM(E$5:E356)</f>
        <v/>
      </c>
    </row>
    <row r="357">
      <c r="A357" s="29" t="n">
        <v>45687</v>
      </c>
      <c r="B357" s="37" t="inlineStr">
        <is>
          <t>JOB-1353</t>
        </is>
      </c>
      <c r="C357" s="34" t="n">
        <v>1</v>
      </c>
      <c r="D357" s="37" t="inlineStr">
        <is>
          <t>Tech D</t>
        </is>
      </c>
      <c r="E357" s="35" t="n">
        <v>4.9</v>
      </c>
      <c r="F357" s="35" t="n">
        <v>3.3</v>
      </c>
      <c r="G357" s="37" t="inlineStr">
        <is>
          <t>N</t>
        </is>
      </c>
      <c r="H357" s="37" t="inlineStr">
        <is>
          <t>N</t>
        </is>
      </c>
      <c r="I357" s="37">
        <f>COUNTIF(G$5:G357,"Y")/COUNTA(G$5:G357)</f>
        <v/>
      </c>
      <c r="J357" s="37">
        <f>COUNTIF(H$5:H357,"Y")/COUNTA(H$5:H357)</f>
        <v/>
      </c>
      <c r="K357" s="37">
        <f>AVERAGE(F$5:F357)</f>
        <v/>
      </c>
      <c r="L357" s="37">
        <f>SUM(F$5:F357)/SUM(E$5:E357)</f>
        <v/>
      </c>
    </row>
    <row r="358">
      <c r="A358" s="29" t="n">
        <v>45688</v>
      </c>
      <c r="B358" s="37" t="inlineStr">
        <is>
          <t>JOB-1354</t>
        </is>
      </c>
      <c r="C358" s="34" t="n">
        <v>1</v>
      </c>
      <c r="D358" s="37" t="inlineStr">
        <is>
          <t>Tech A</t>
        </is>
      </c>
      <c r="E358" s="35" t="n">
        <v>4.6</v>
      </c>
      <c r="F358" s="35" t="n">
        <v>3.6</v>
      </c>
      <c r="G358" s="37" t="inlineStr">
        <is>
          <t>Y</t>
        </is>
      </c>
      <c r="H358" s="37" t="inlineStr">
        <is>
          <t>N</t>
        </is>
      </c>
      <c r="I358" s="37">
        <f>COUNTIF(G$5:G358,"Y")/COUNTA(G$5:G358)</f>
        <v/>
      </c>
      <c r="J358" s="37">
        <f>COUNTIF(H$5:H358,"Y")/COUNTA(H$5:H358)</f>
        <v/>
      </c>
      <c r="K358" s="37">
        <f>AVERAGE(F$5:F358)</f>
        <v/>
      </c>
      <c r="L358" s="37">
        <f>SUM(F$5:F358)/SUM(E$5:E358)</f>
        <v/>
      </c>
    </row>
    <row r="359">
      <c r="A359" s="29" t="n">
        <v>45684</v>
      </c>
      <c r="B359" s="37" t="inlineStr">
        <is>
          <t>JOB-1355</t>
        </is>
      </c>
      <c r="C359" s="34" t="n">
        <v>1</v>
      </c>
      <c r="D359" s="37" t="inlineStr">
        <is>
          <t>Tech H</t>
        </is>
      </c>
      <c r="E359" s="35" t="n">
        <v>2.7</v>
      </c>
      <c r="F359" s="35" t="n">
        <v>2.1</v>
      </c>
      <c r="G359" s="37" t="inlineStr">
        <is>
          <t>Y</t>
        </is>
      </c>
      <c r="H359" s="37" t="inlineStr">
        <is>
          <t>N</t>
        </is>
      </c>
      <c r="I359" s="37">
        <f>COUNTIF(G$5:G359,"Y")/COUNTA(G$5:G359)</f>
        <v/>
      </c>
      <c r="J359" s="37">
        <f>COUNTIF(H$5:H359,"Y")/COUNTA(H$5:H359)</f>
        <v/>
      </c>
      <c r="K359" s="37">
        <f>AVERAGE(F$5:F359)</f>
        <v/>
      </c>
      <c r="L359" s="37">
        <f>SUM(F$5:F359)/SUM(E$5:E359)</f>
        <v/>
      </c>
    </row>
    <row r="360">
      <c r="A360" s="29" t="n">
        <v>45685</v>
      </c>
      <c r="B360" s="37" t="inlineStr">
        <is>
          <t>JOB-1356</t>
        </is>
      </c>
      <c r="C360" s="34" t="n">
        <v>1</v>
      </c>
      <c r="D360" s="37" t="inlineStr">
        <is>
          <t>Tech G</t>
        </is>
      </c>
      <c r="E360" s="35" t="n">
        <v>2.4</v>
      </c>
      <c r="F360" s="35" t="n">
        <v>2.1</v>
      </c>
      <c r="G360" s="37" t="inlineStr">
        <is>
          <t>Y</t>
        </is>
      </c>
      <c r="H360" s="37" t="inlineStr">
        <is>
          <t>N</t>
        </is>
      </c>
      <c r="I360" s="37">
        <f>COUNTIF(G$5:G360,"Y")/COUNTA(G$5:G360)</f>
        <v/>
      </c>
      <c r="J360" s="37">
        <f>COUNTIF(H$5:H360,"Y")/COUNTA(H$5:H360)</f>
        <v/>
      </c>
      <c r="K360" s="37">
        <f>AVERAGE(F$5:F360)</f>
        <v/>
      </c>
      <c r="L360" s="37">
        <f>SUM(F$5:F360)/SUM(E$5:E360)</f>
        <v/>
      </c>
    </row>
    <row r="361">
      <c r="A361" s="29" t="n">
        <v>45686</v>
      </c>
      <c r="B361" s="37" t="inlineStr">
        <is>
          <t>JOB-1357</t>
        </is>
      </c>
      <c r="C361" s="34" t="n">
        <v>1</v>
      </c>
      <c r="D361" s="37" t="inlineStr">
        <is>
          <t>Tech C</t>
        </is>
      </c>
      <c r="E361" s="35" t="n">
        <v>2.1</v>
      </c>
      <c r="F361" s="35" t="n">
        <v>1.7</v>
      </c>
      <c r="G361" s="37" t="inlineStr">
        <is>
          <t>Y</t>
        </is>
      </c>
      <c r="H361" s="37" t="inlineStr">
        <is>
          <t>N</t>
        </is>
      </c>
      <c r="I361" s="37">
        <f>COUNTIF(G$5:G361,"Y")/COUNTA(G$5:G361)</f>
        <v/>
      </c>
      <c r="J361" s="37">
        <f>COUNTIF(H$5:H361,"Y")/COUNTA(H$5:H361)</f>
        <v/>
      </c>
      <c r="K361" s="37">
        <f>AVERAGE(F$5:F361)</f>
        <v/>
      </c>
      <c r="L361" s="37">
        <f>SUM(F$5:F361)/SUM(E$5:E361)</f>
        <v/>
      </c>
    </row>
    <row r="362">
      <c r="A362" s="29" t="n">
        <v>45687</v>
      </c>
      <c r="B362" s="37" t="inlineStr">
        <is>
          <t>JOB-1358</t>
        </is>
      </c>
      <c r="C362" s="34" t="n">
        <v>1</v>
      </c>
      <c r="D362" s="37" t="inlineStr">
        <is>
          <t>Tech F</t>
        </is>
      </c>
      <c r="E362" s="35" t="n">
        <v>1.8</v>
      </c>
      <c r="F362" s="35" t="n">
        <v>1.3</v>
      </c>
      <c r="G362" s="37" t="inlineStr">
        <is>
          <t>Y</t>
        </is>
      </c>
      <c r="H362" s="37" t="inlineStr">
        <is>
          <t>N</t>
        </is>
      </c>
      <c r="I362" s="37">
        <f>COUNTIF(G$5:G362,"Y")/COUNTA(G$5:G362)</f>
        <v/>
      </c>
      <c r="J362" s="37">
        <f>COUNTIF(H$5:H362,"Y")/COUNTA(H$5:H362)</f>
        <v/>
      </c>
      <c r="K362" s="37">
        <f>AVERAGE(F$5:F362)</f>
        <v/>
      </c>
      <c r="L362" s="37">
        <f>SUM(F$5:F362)/SUM(E$5:E362)</f>
        <v/>
      </c>
    </row>
    <row r="363">
      <c r="A363" s="29" t="n">
        <v>45688</v>
      </c>
      <c r="B363" s="37" t="inlineStr">
        <is>
          <t>JOB-1359</t>
        </is>
      </c>
      <c r="C363" s="34" t="n">
        <v>1</v>
      </c>
      <c r="D363" s="37" t="inlineStr">
        <is>
          <t>Tech D</t>
        </is>
      </c>
      <c r="E363" s="35" t="n">
        <v>2.4</v>
      </c>
      <c r="F363" s="35" t="n">
        <v>2</v>
      </c>
      <c r="G363" s="37" t="inlineStr">
        <is>
          <t>Y</t>
        </is>
      </c>
      <c r="H363" s="37" t="inlineStr">
        <is>
          <t>N</t>
        </is>
      </c>
      <c r="I363" s="37">
        <f>COUNTIF(G$5:G363,"Y")/COUNTA(G$5:G363)</f>
        <v/>
      </c>
      <c r="J363" s="37">
        <f>COUNTIF(H$5:H363,"Y")/COUNTA(H$5:H363)</f>
        <v/>
      </c>
      <c r="K363" s="37">
        <f>AVERAGE(F$5:F363)</f>
        <v/>
      </c>
      <c r="L363" s="37">
        <f>SUM(F$5:F363)/SUM(E$5:E363)</f>
        <v/>
      </c>
    </row>
    <row r="364">
      <c r="A364" s="29" t="n">
        <v>45684</v>
      </c>
      <c r="B364" s="37" t="inlineStr">
        <is>
          <t>JOB-1360</t>
        </is>
      </c>
      <c r="C364" s="34" t="n">
        <v>1</v>
      </c>
      <c r="D364" s="37" t="inlineStr">
        <is>
          <t>Tech C</t>
        </is>
      </c>
      <c r="E364" s="35" t="n">
        <v>1.8</v>
      </c>
      <c r="F364" s="35" t="n">
        <v>1.2</v>
      </c>
      <c r="G364" s="37" t="inlineStr">
        <is>
          <t>Y</t>
        </is>
      </c>
      <c r="H364" s="37" t="inlineStr">
        <is>
          <t>N</t>
        </is>
      </c>
      <c r="I364" s="37">
        <f>COUNTIF(G$5:G364,"Y")/COUNTA(G$5:G364)</f>
        <v/>
      </c>
      <c r="J364" s="37">
        <f>COUNTIF(H$5:H364,"Y")/COUNTA(H$5:H364)</f>
        <v/>
      </c>
      <c r="K364" s="37">
        <f>AVERAGE(F$5:F364)</f>
        <v/>
      </c>
      <c r="L364" s="37">
        <f>SUM(F$5:F364)/SUM(E$5:E364)</f>
        <v/>
      </c>
    </row>
    <row r="365">
      <c r="A365" s="29" t="n">
        <v>45685</v>
      </c>
      <c r="B365" s="37" t="inlineStr">
        <is>
          <t>JOB-1361</t>
        </is>
      </c>
      <c r="C365" s="34" t="n">
        <v>1</v>
      </c>
      <c r="D365" s="37" t="inlineStr">
        <is>
          <t>Tech H</t>
        </is>
      </c>
      <c r="E365" s="35" t="n">
        <v>3.3</v>
      </c>
      <c r="F365" s="35" t="n">
        <v>2.3</v>
      </c>
      <c r="G365" s="37" t="inlineStr">
        <is>
          <t>Y</t>
        </is>
      </c>
      <c r="H365" s="37" t="inlineStr">
        <is>
          <t>N</t>
        </is>
      </c>
      <c r="I365" s="37">
        <f>COUNTIF(G$5:G365,"Y")/COUNTA(G$5:G365)</f>
        <v/>
      </c>
      <c r="J365" s="37">
        <f>COUNTIF(H$5:H365,"Y")/COUNTA(H$5:H365)</f>
        <v/>
      </c>
      <c r="K365" s="37">
        <f>AVERAGE(F$5:F365)</f>
        <v/>
      </c>
      <c r="L365" s="37">
        <f>SUM(F$5:F365)/SUM(E$5:E365)</f>
        <v/>
      </c>
    </row>
    <row r="366">
      <c r="A366" s="29" t="n">
        <v>45686</v>
      </c>
      <c r="B366" s="37" t="inlineStr">
        <is>
          <t>JOB-1362</t>
        </is>
      </c>
      <c r="C366" s="34" t="n">
        <v>1</v>
      </c>
      <c r="D366" s="37" t="inlineStr">
        <is>
          <t>Tech G</t>
        </is>
      </c>
      <c r="E366" s="35" t="n">
        <v>4.1</v>
      </c>
      <c r="F366" s="35" t="n">
        <v>3.1</v>
      </c>
      <c r="G366" s="37" t="inlineStr">
        <is>
          <t>Y</t>
        </is>
      </c>
      <c r="H366" s="37" t="inlineStr">
        <is>
          <t>N</t>
        </is>
      </c>
      <c r="I366" s="37">
        <f>COUNTIF(G$5:G366,"Y")/COUNTA(G$5:G366)</f>
        <v/>
      </c>
      <c r="J366" s="37">
        <f>COUNTIF(H$5:H366,"Y")/COUNTA(H$5:H366)</f>
        <v/>
      </c>
      <c r="K366" s="37">
        <f>AVERAGE(F$5:F366)</f>
        <v/>
      </c>
      <c r="L366" s="37">
        <f>SUM(F$5:F366)/SUM(E$5:E366)</f>
        <v/>
      </c>
    </row>
    <row r="367">
      <c r="A367" s="29" t="n">
        <v>45687</v>
      </c>
      <c r="B367" s="37" t="inlineStr">
        <is>
          <t>JOB-1363</t>
        </is>
      </c>
      <c r="C367" s="34" t="n">
        <v>1</v>
      </c>
      <c r="D367" s="37" t="inlineStr">
        <is>
          <t>Tech A</t>
        </is>
      </c>
      <c r="E367" s="35" t="n">
        <v>4</v>
      </c>
      <c r="F367" s="35" t="n">
        <v>2.7</v>
      </c>
      <c r="G367" s="37" t="inlineStr">
        <is>
          <t>Y</t>
        </is>
      </c>
      <c r="H367" s="37" t="inlineStr">
        <is>
          <t>N</t>
        </is>
      </c>
      <c r="I367" s="37">
        <f>COUNTIF(G$5:G367,"Y")/COUNTA(G$5:G367)</f>
        <v/>
      </c>
      <c r="J367" s="37">
        <f>COUNTIF(H$5:H367,"Y")/COUNTA(H$5:H367)</f>
        <v/>
      </c>
      <c r="K367" s="37">
        <f>AVERAGE(F$5:F367)</f>
        <v/>
      </c>
      <c r="L367" s="37">
        <f>SUM(F$5:F367)/SUM(E$5:E367)</f>
        <v/>
      </c>
    </row>
    <row r="368">
      <c r="A368" s="29" t="n">
        <v>45688</v>
      </c>
      <c r="B368" s="37" t="inlineStr">
        <is>
          <t>JOB-1364</t>
        </is>
      </c>
      <c r="C368" s="34" t="n">
        <v>1</v>
      </c>
      <c r="D368" s="37" t="inlineStr">
        <is>
          <t>Tech A</t>
        </is>
      </c>
      <c r="E368" s="35" t="n">
        <v>1.3</v>
      </c>
      <c r="F368" s="35" t="n">
        <v>1.1</v>
      </c>
      <c r="G368" s="37" t="inlineStr">
        <is>
          <t>N</t>
        </is>
      </c>
      <c r="H368" s="37" t="inlineStr">
        <is>
          <t>N</t>
        </is>
      </c>
      <c r="I368" s="37">
        <f>COUNTIF(G$5:G368,"Y")/COUNTA(G$5:G368)</f>
        <v/>
      </c>
      <c r="J368" s="37">
        <f>COUNTIF(H$5:H368,"Y")/COUNTA(H$5:H368)</f>
        <v/>
      </c>
      <c r="K368" s="37">
        <f>AVERAGE(F$5:F368)</f>
        <v/>
      </c>
      <c r="L368" s="37">
        <f>SUM(F$5:F368)/SUM(E$5:E368)</f>
        <v/>
      </c>
    </row>
    <row r="369">
      <c r="A369" s="29" t="n">
        <v>45684</v>
      </c>
      <c r="B369" s="37" t="inlineStr">
        <is>
          <t>JOB-1365</t>
        </is>
      </c>
      <c r="C369" s="34" t="n">
        <v>1</v>
      </c>
      <c r="D369" s="37" t="inlineStr">
        <is>
          <t>Tech H</t>
        </is>
      </c>
      <c r="E369" s="35" t="n">
        <v>2.2</v>
      </c>
      <c r="F369" s="35" t="n">
        <v>1.5</v>
      </c>
      <c r="G369" s="37" t="inlineStr">
        <is>
          <t>Y</t>
        </is>
      </c>
      <c r="H369" s="37" t="inlineStr">
        <is>
          <t>N</t>
        </is>
      </c>
      <c r="I369" s="37">
        <f>COUNTIF(G$5:G369,"Y")/COUNTA(G$5:G369)</f>
        <v/>
      </c>
      <c r="J369" s="37">
        <f>COUNTIF(H$5:H369,"Y")/COUNTA(H$5:H369)</f>
        <v/>
      </c>
      <c r="K369" s="37">
        <f>AVERAGE(F$5:F369)</f>
        <v/>
      </c>
      <c r="L369" s="37">
        <f>SUM(F$5:F369)/SUM(E$5:E369)</f>
        <v/>
      </c>
    </row>
    <row r="370">
      <c r="A370" s="29" t="n">
        <v>45685</v>
      </c>
      <c r="B370" s="37" t="inlineStr">
        <is>
          <t>JOB-1366</t>
        </is>
      </c>
      <c r="C370" s="34" t="n">
        <v>1</v>
      </c>
      <c r="D370" s="37" t="inlineStr">
        <is>
          <t>Tech H</t>
        </is>
      </c>
      <c r="E370" s="35" t="n">
        <v>3.5</v>
      </c>
      <c r="F370" s="35" t="n">
        <v>2.7</v>
      </c>
      <c r="G370" s="37" t="inlineStr">
        <is>
          <t>N</t>
        </is>
      </c>
      <c r="H370" s="37" t="inlineStr">
        <is>
          <t>N</t>
        </is>
      </c>
      <c r="I370" s="37">
        <f>COUNTIF(G$5:G370,"Y")/COUNTA(G$5:G370)</f>
        <v/>
      </c>
      <c r="J370" s="37">
        <f>COUNTIF(H$5:H370,"Y")/COUNTA(H$5:H370)</f>
        <v/>
      </c>
      <c r="K370" s="37">
        <f>AVERAGE(F$5:F370)</f>
        <v/>
      </c>
      <c r="L370" s="37">
        <f>SUM(F$5:F370)/SUM(E$5:E370)</f>
        <v/>
      </c>
    </row>
    <row r="371">
      <c r="A371" s="29" t="n">
        <v>45686</v>
      </c>
      <c r="B371" s="37" t="inlineStr">
        <is>
          <t>JOB-1367</t>
        </is>
      </c>
      <c r="C371" s="34" t="n">
        <v>1</v>
      </c>
      <c r="D371" s="37" t="inlineStr">
        <is>
          <t>Tech D</t>
        </is>
      </c>
      <c r="E371" s="35" t="n">
        <v>3.9</v>
      </c>
      <c r="F371" s="35" t="n">
        <v>3.2</v>
      </c>
      <c r="G371" s="37" t="inlineStr">
        <is>
          <t>Y</t>
        </is>
      </c>
      <c r="H371" s="37" t="inlineStr">
        <is>
          <t>N</t>
        </is>
      </c>
      <c r="I371" s="37">
        <f>COUNTIF(G$5:G371,"Y")/COUNTA(G$5:G371)</f>
        <v/>
      </c>
      <c r="J371" s="37">
        <f>COUNTIF(H$5:H371,"Y")/COUNTA(H$5:H371)</f>
        <v/>
      </c>
      <c r="K371" s="37">
        <f>AVERAGE(F$5:F371)</f>
        <v/>
      </c>
      <c r="L371" s="37">
        <f>SUM(F$5:F371)/SUM(E$5:E371)</f>
        <v/>
      </c>
    </row>
    <row r="372">
      <c r="A372" s="29" t="n">
        <v>45687</v>
      </c>
      <c r="B372" s="37" t="inlineStr">
        <is>
          <t>JOB-1368</t>
        </is>
      </c>
      <c r="C372" s="34" t="n">
        <v>1</v>
      </c>
      <c r="D372" s="37" t="inlineStr">
        <is>
          <t>Tech C</t>
        </is>
      </c>
      <c r="E372" s="35" t="n">
        <v>1.7</v>
      </c>
      <c r="F372" s="35" t="n">
        <v>1.4</v>
      </c>
      <c r="G372" s="37" t="inlineStr">
        <is>
          <t>Y</t>
        </is>
      </c>
      <c r="H372" s="37" t="inlineStr">
        <is>
          <t>N</t>
        </is>
      </c>
      <c r="I372" s="37">
        <f>COUNTIF(G$5:G372,"Y")/COUNTA(G$5:G372)</f>
        <v/>
      </c>
      <c r="J372" s="37">
        <f>COUNTIF(H$5:H372,"Y")/COUNTA(H$5:H372)</f>
        <v/>
      </c>
      <c r="K372" s="37">
        <f>AVERAGE(F$5:F372)</f>
        <v/>
      </c>
      <c r="L372" s="37">
        <f>SUM(F$5:F372)/SUM(E$5:E372)</f>
        <v/>
      </c>
    </row>
    <row r="373">
      <c r="A373" s="29" t="n">
        <v>45688</v>
      </c>
      <c r="B373" s="37" t="inlineStr">
        <is>
          <t>JOB-1369</t>
        </is>
      </c>
      <c r="C373" s="34" t="n">
        <v>1</v>
      </c>
      <c r="D373" s="37" t="inlineStr">
        <is>
          <t>Tech F</t>
        </is>
      </c>
      <c r="E373" s="35" t="n">
        <v>3.8</v>
      </c>
      <c r="F373" s="35" t="n">
        <v>2.8</v>
      </c>
      <c r="G373" s="37" t="inlineStr">
        <is>
          <t>Y</t>
        </is>
      </c>
      <c r="H373" s="37" t="inlineStr">
        <is>
          <t>N</t>
        </is>
      </c>
      <c r="I373" s="37">
        <f>COUNTIF(G$5:G373,"Y")/COUNTA(G$5:G373)</f>
        <v/>
      </c>
      <c r="J373" s="37">
        <f>COUNTIF(H$5:H373,"Y")/COUNTA(H$5:H373)</f>
        <v/>
      </c>
      <c r="K373" s="37">
        <f>AVERAGE(F$5:F373)</f>
        <v/>
      </c>
      <c r="L373" s="37">
        <f>SUM(F$5:F373)/SUM(E$5:E373)</f>
        <v/>
      </c>
    </row>
    <row r="374">
      <c r="A374" s="29" t="n">
        <v>45684</v>
      </c>
      <c r="B374" s="37" t="inlineStr">
        <is>
          <t>JOB-1370</t>
        </is>
      </c>
      <c r="C374" s="34" t="n">
        <v>1</v>
      </c>
      <c r="D374" s="37" t="inlineStr">
        <is>
          <t>Tech G</t>
        </is>
      </c>
      <c r="E374" s="35" t="n">
        <v>1.7</v>
      </c>
      <c r="F374" s="35" t="n">
        <v>1.2</v>
      </c>
      <c r="G374" s="37" t="inlineStr">
        <is>
          <t>N</t>
        </is>
      </c>
      <c r="H374" s="37" t="inlineStr">
        <is>
          <t>N</t>
        </is>
      </c>
      <c r="I374" s="37">
        <f>COUNTIF(G$5:G374,"Y")/COUNTA(G$5:G374)</f>
        <v/>
      </c>
      <c r="J374" s="37">
        <f>COUNTIF(H$5:H374,"Y")/COUNTA(H$5:H374)</f>
        <v/>
      </c>
      <c r="K374" s="37">
        <f>AVERAGE(F$5:F374)</f>
        <v/>
      </c>
      <c r="L374" s="37">
        <f>SUM(F$5:F374)/SUM(E$5:E374)</f>
        <v/>
      </c>
    </row>
    <row r="375">
      <c r="A375" s="29" t="n">
        <v>45685</v>
      </c>
      <c r="B375" s="37" t="inlineStr">
        <is>
          <t>JOB-1371</t>
        </is>
      </c>
      <c r="C375" s="34" t="n">
        <v>1</v>
      </c>
      <c r="D375" s="37" t="inlineStr">
        <is>
          <t>Tech H</t>
        </is>
      </c>
      <c r="E375" s="35" t="n">
        <v>3.2</v>
      </c>
      <c r="F375" s="35" t="n">
        <v>2.4</v>
      </c>
      <c r="G375" s="37" t="inlineStr">
        <is>
          <t>Y</t>
        </is>
      </c>
      <c r="H375" s="37" t="inlineStr">
        <is>
          <t>N</t>
        </is>
      </c>
      <c r="I375" s="37">
        <f>COUNTIF(G$5:G375,"Y")/COUNTA(G$5:G375)</f>
        <v/>
      </c>
      <c r="J375" s="37">
        <f>COUNTIF(H$5:H375,"Y")/COUNTA(H$5:H375)</f>
        <v/>
      </c>
      <c r="K375" s="37">
        <f>AVERAGE(F$5:F375)</f>
        <v/>
      </c>
      <c r="L375" s="37">
        <f>SUM(F$5:F375)/SUM(E$5:E375)</f>
        <v/>
      </c>
    </row>
    <row r="376">
      <c r="A376" s="29" t="n">
        <v>45686</v>
      </c>
      <c r="B376" s="37" t="inlineStr">
        <is>
          <t>JOB-1372</t>
        </is>
      </c>
      <c r="C376" s="34" t="n">
        <v>1</v>
      </c>
      <c r="D376" s="37" t="inlineStr">
        <is>
          <t>Tech H</t>
        </is>
      </c>
      <c r="E376" s="35" t="n">
        <v>3.8</v>
      </c>
      <c r="F376" s="35" t="n">
        <v>2.8</v>
      </c>
      <c r="G376" s="37" t="inlineStr">
        <is>
          <t>Y</t>
        </is>
      </c>
      <c r="H376" s="37" t="inlineStr">
        <is>
          <t>N</t>
        </is>
      </c>
      <c r="I376" s="37">
        <f>COUNTIF(G$5:G376,"Y")/COUNTA(G$5:G376)</f>
        <v/>
      </c>
      <c r="J376" s="37">
        <f>COUNTIF(H$5:H376,"Y")/COUNTA(H$5:H376)</f>
        <v/>
      </c>
      <c r="K376" s="37">
        <f>AVERAGE(F$5:F376)</f>
        <v/>
      </c>
      <c r="L376" s="37">
        <f>SUM(F$5:F376)/SUM(E$5:E376)</f>
        <v/>
      </c>
    </row>
    <row r="377">
      <c r="A377" s="29" t="n">
        <v>45687</v>
      </c>
      <c r="B377" s="37" t="inlineStr">
        <is>
          <t>JOB-1373</t>
        </is>
      </c>
      <c r="C377" s="34" t="n">
        <v>1</v>
      </c>
      <c r="D377" s="37" t="inlineStr">
        <is>
          <t>Tech B</t>
        </is>
      </c>
      <c r="E377" s="35" t="n">
        <v>3.7</v>
      </c>
      <c r="F377" s="35" t="n">
        <v>3</v>
      </c>
      <c r="G377" s="37" t="inlineStr">
        <is>
          <t>Y</t>
        </is>
      </c>
      <c r="H377" s="37" t="inlineStr">
        <is>
          <t>N</t>
        </is>
      </c>
      <c r="I377" s="37">
        <f>COUNTIF(G$5:G377,"Y")/COUNTA(G$5:G377)</f>
        <v/>
      </c>
      <c r="J377" s="37">
        <f>COUNTIF(H$5:H377,"Y")/COUNTA(H$5:H377)</f>
        <v/>
      </c>
      <c r="K377" s="37">
        <f>AVERAGE(F$5:F377)</f>
        <v/>
      </c>
      <c r="L377" s="37">
        <f>SUM(F$5:F377)/SUM(E$5:E377)</f>
        <v/>
      </c>
    </row>
    <row r="378">
      <c r="A378" s="29" t="n">
        <v>45688</v>
      </c>
      <c r="B378" s="37" t="inlineStr">
        <is>
          <t>JOB-1374</t>
        </is>
      </c>
      <c r="C378" s="34" t="n">
        <v>1</v>
      </c>
      <c r="D378" s="37" t="inlineStr">
        <is>
          <t>Tech A</t>
        </is>
      </c>
      <c r="E378" s="35" t="n">
        <v>1.4</v>
      </c>
      <c r="F378" s="35" t="n">
        <v>1.1</v>
      </c>
      <c r="G378" s="37" t="inlineStr">
        <is>
          <t>Y</t>
        </is>
      </c>
      <c r="H378" s="37" t="inlineStr">
        <is>
          <t>N</t>
        </is>
      </c>
      <c r="I378" s="37">
        <f>COUNTIF(G$5:G378,"Y")/COUNTA(G$5:G378)</f>
        <v/>
      </c>
      <c r="J378" s="37">
        <f>COUNTIF(H$5:H378,"Y")/COUNTA(H$5:H378)</f>
        <v/>
      </c>
      <c r="K378" s="37">
        <f>AVERAGE(F$5:F378)</f>
        <v/>
      </c>
      <c r="L378" s="37">
        <f>SUM(F$5:F378)/SUM(E$5:E378)</f>
        <v/>
      </c>
    </row>
    <row r="379">
      <c r="A379" s="29" t="n">
        <v>45684</v>
      </c>
      <c r="B379" s="37" t="inlineStr">
        <is>
          <t>JOB-1375</t>
        </is>
      </c>
      <c r="C379" s="34" t="n">
        <v>1</v>
      </c>
      <c r="D379" s="37" t="inlineStr">
        <is>
          <t>Tech B</t>
        </is>
      </c>
      <c r="E379" s="35" t="n">
        <v>3.1</v>
      </c>
      <c r="F379" s="35" t="n">
        <v>2.6</v>
      </c>
      <c r="G379" s="37" t="inlineStr">
        <is>
          <t>Y</t>
        </is>
      </c>
      <c r="H379" s="37" t="inlineStr">
        <is>
          <t>N</t>
        </is>
      </c>
      <c r="I379" s="37">
        <f>COUNTIF(G$5:G379,"Y")/COUNTA(G$5:G379)</f>
        <v/>
      </c>
      <c r="J379" s="37">
        <f>COUNTIF(H$5:H379,"Y")/COUNTA(H$5:H379)</f>
        <v/>
      </c>
      <c r="K379" s="37">
        <f>AVERAGE(F$5:F379)</f>
        <v/>
      </c>
      <c r="L379" s="37">
        <f>SUM(F$5:F379)/SUM(E$5:E379)</f>
        <v/>
      </c>
    </row>
    <row r="380">
      <c r="A380" s="29" t="n">
        <v>45685</v>
      </c>
      <c r="B380" s="37" t="inlineStr">
        <is>
          <t>JOB-1376</t>
        </is>
      </c>
      <c r="C380" s="34" t="n">
        <v>1</v>
      </c>
      <c r="D380" s="37" t="inlineStr">
        <is>
          <t>Tech G</t>
        </is>
      </c>
      <c r="E380" s="35" t="n">
        <v>3.9</v>
      </c>
      <c r="F380" s="35" t="n">
        <v>2.9</v>
      </c>
      <c r="G380" s="37" t="inlineStr">
        <is>
          <t>Y</t>
        </is>
      </c>
      <c r="H380" s="37" t="inlineStr">
        <is>
          <t>N</t>
        </is>
      </c>
      <c r="I380" s="37">
        <f>COUNTIF(G$5:G380,"Y")/COUNTA(G$5:G380)</f>
        <v/>
      </c>
      <c r="J380" s="37">
        <f>COUNTIF(H$5:H380,"Y")/COUNTA(H$5:H380)</f>
        <v/>
      </c>
      <c r="K380" s="37">
        <f>AVERAGE(F$5:F380)</f>
        <v/>
      </c>
      <c r="L380" s="37">
        <f>SUM(F$5:F380)/SUM(E$5:E380)</f>
        <v/>
      </c>
    </row>
    <row r="381">
      <c r="A381" s="29" t="n">
        <v>45686</v>
      </c>
      <c r="B381" s="37" t="inlineStr">
        <is>
          <t>JOB-1377</t>
        </is>
      </c>
      <c r="C381" s="34" t="n">
        <v>1</v>
      </c>
      <c r="D381" s="37" t="inlineStr">
        <is>
          <t>Tech F</t>
        </is>
      </c>
      <c r="E381" s="35" t="n">
        <v>3</v>
      </c>
      <c r="F381" s="35" t="n">
        <v>2</v>
      </c>
      <c r="G381" s="37" t="inlineStr">
        <is>
          <t>Y</t>
        </is>
      </c>
      <c r="H381" s="37" t="inlineStr">
        <is>
          <t>N</t>
        </is>
      </c>
      <c r="I381" s="37">
        <f>COUNTIF(G$5:G381,"Y")/COUNTA(G$5:G381)</f>
        <v/>
      </c>
      <c r="J381" s="37">
        <f>COUNTIF(H$5:H381,"Y")/COUNTA(H$5:H381)</f>
        <v/>
      </c>
      <c r="K381" s="37">
        <f>AVERAGE(F$5:F381)</f>
        <v/>
      </c>
      <c r="L381" s="37">
        <f>SUM(F$5:F381)/SUM(E$5:E381)</f>
        <v/>
      </c>
    </row>
    <row r="382">
      <c r="A382" s="29" t="n">
        <v>45687</v>
      </c>
      <c r="B382" s="37" t="inlineStr">
        <is>
          <t>JOB-1378</t>
        </is>
      </c>
      <c r="C382" s="34" t="n">
        <v>1</v>
      </c>
      <c r="D382" s="37" t="inlineStr">
        <is>
          <t>Tech H</t>
        </is>
      </c>
      <c r="E382" s="35" t="n">
        <v>1.5</v>
      </c>
      <c r="F382" s="35" t="n">
        <v>2</v>
      </c>
      <c r="G382" s="37" t="inlineStr">
        <is>
          <t>Y</t>
        </is>
      </c>
      <c r="H382" s="37" t="inlineStr">
        <is>
          <t>N</t>
        </is>
      </c>
      <c r="I382" s="37">
        <f>COUNTIF(G$5:G382,"Y")/COUNTA(G$5:G382)</f>
        <v/>
      </c>
      <c r="J382" s="37">
        <f>COUNTIF(H$5:H382,"Y")/COUNTA(H$5:H382)</f>
        <v/>
      </c>
      <c r="K382" s="37">
        <f>AVERAGE(F$5:F382)</f>
        <v/>
      </c>
      <c r="L382" s="37">
        <f>SUM(F$5:F382)/SUM(E$5:E382)</f>
        <v/>
      </c>
    </row>
    <row r="383">
      <c r="A383" s="29" t="n">
        <v>45688</v>
      </c>
      <c r="B383" s="37" t="inlineStr">
        <is>
          <t>JOB-1379</t>
        </is>
      </c>
      <c r="C383" s="34" t="n">
        <v>1</v>
      </c>
      <c r="D383" s="37" t="inlineStr">
        <is>
          <t>Tech G</t>
        </is>
      </c>
      <c r="E383" s="35" t="n">
        <v>0.5</v>
      </c>
      <c r="F383" s="35" t="n">
        <v>0.5</v>
      </c>
      <c r="G383" s="37" t="inlineStr">
        <is>
          <t>Y</t>
        </is>
      </c>
      <c r="H383" s="37" t="inlineStr">
        <is>
          <t>N</t>
        </is>
      </c>
      <c r="I383" s="37">
        <f>COUNTIF(G$5:G383,"Y")/COUNTA(G$5:G383)</f>
        <v/>
      </c>
      <c r="J383" s="37">
        <f>COUNTIF(H$5:H383,"Y")/COUNTA(H$5:H383)</f>
        <v/>
      </c>
      <c r="K383" s="37">
        <f>AVERAGE(F$5:F383)</f>
        <v/>
      </c>
      <c r="L383" s="37">
        <f>SUM(F$5:F383)/SUM(E$5:E383)</f>
        <v/>
      </c>
    </row>
    <row r="384">
      <c r="A384" s="29" t="n">
        <v>45684</v>
      </c>
      <c r="B384" s="37" t="inlineStr">
        <is>
          <t>JOB-1380</t>
        </is>
      </c>
      <c r="C384" s="34" t="n">
        <v>1</v>
      </c>
      <c r="D384" s="37" t="inlineStr">
        <is>
          <t>Tech D</t>
        </is>
      </c>
      <c r="E384" s="35" t="n">
        <v>0.5</v>
      </c>
      <c r="F384" s="35" t="n">
        <v>0.5</v>
      </c>
      <c r="G384" s="37" t="inlineStr">
        <is>
          <t>Y</t>
        </is>
      </c>
      <c r="H384" s="37" t="inlineStr">
        <is>
          <t>N</t>
        </is>
      </c>
      <c r="I384" s="37">
        <f>COUNTIF(G$5:G384,"Y")/COUNTA(G$5:G384)</f>
        <v/>
      </c>
      <c r="J384" s="37">
        <f>COUNTIF(H$5:H384,"Y")/COUNTA(H$5:H384)</f>
        <v/>
      </c>
      <c r="K384" s="37">
        <f>AVERAGE(F$5:F384)</f>
        <v/>
      </c>
      <c r="L384" s="37">
        <f>SUM(F$5:F384)/SUM(E$5:E384)</f>
        <v/>
      </c>
      <c r="M384" s="37" t="n">
        <v>13</v>
      </c>
    </row>
    <row r="385">
      <c r="A385" s="29" t="n">
        <v>45691</v>
      </c>
      <c r="B385" s="37" t="inlineStr">
        <is>
          <t>JOB-1381</t>
        </is>
      </c>
      <c r="C385" s="34" t="n">
        <v>1</v>
      </c>
      <c r="D385" s="37" t="inlineStr">
        <is>
          <t>Tech D</t>
        </is>
      </c>
      <c r="E385" s="35" t="n">
        <v>1.4</v>
      </c>
      <c r="F385" s="35" t="n">
        <v>1.2</v>
      </c>
      <c r="G385" s="37" t="inlineStr">
        <is>
          <t>Y</t>
        </is>
      </c>
      <c r="H385" s="37" t="inlineStr">
        <is>
          <t>N</t>
        </is>
      </c>
      <c r="I385" s="37">
        <f>COUNTIF(G$5:G385,"Y")/COUNTA(G$5:G385)</f>
        <v/>
      </c>
      <c r="J385" s="37">
        <f>COUNTIF(H$5:H385,"Y")/COUNTA(H$5:H385)</f>
        <v/>
      </c>
      <c r="K385" s="37">
        <f>AVERAGE(F$5:F385)</f>
        <v/>
      </c>
      <c r="L385" s="37">
        <f>SUM(F$5:F385)/SUM(E$5:E385)</f>
        <v/>
      </c>
    </row>
    <row r="386">
      <c r="A386" s="29" t="n">
        <v>45692</v>
      </c>
      <c r="B386" s="37" t="inlineStr">
        <is>
          <t>JOB-1382</t>
        </is>
      </c>
      <c r="C386" s="34" t="n">
        <v>1</v>
      </c>
      <c r="D386" s="37" t="inlineStr">
        <is>
          <t>Tech A</t>
        </is>
      </c>
      <c r="E386" s="35" t="n">
        <v>4.2</v>
      </c>
      <c r="F386" s="35" t="n">
        <v>3.3</v>
      </c>
      <c r="G386" s="37" t="inlineStr">
        <is>
          <t>Y</t>
        </is>
      </c>
      <c r="H386" s="37" t="inlineStr">
        <is>
          <t>N</t>
        </is>
      </c>
      <c r="I386" s="37">
        <f>COUNTIF(G$5:G386,"Y")/COUNTA(G$5:G386)</f>
        <v/>
      </c>
      <c r="J386" s="37">
        <f>COUNTIF(H$5:H386,"Y")/COUNTA(H$5:H386)</f>
        <v/>
      </c>
      <c r="K386" s="37">
        <f>AVERAGE(F$5:F386)</f>
        <v/>
      </c>
      <c r="L386" s="37">
        <f>SUM(F$5:F386)/SUM(E$5:E386)</f>
        <v/>
      </c>
    </row>
    <row r="387">
      <c r="A387" s="29" t="n">
        <v>45693</v>
      </c>
      <c r="B387" s="37" t="inlineStr">
        <is>
          <t>JOB-1383</t>
        </is>
      </c>
      <c r="C387" s="34" t="n">
        <v>1</v>
      </c>
      <c r="D387" s="37" t="inlineStr">
        <is>
          <t>Tech C</t>
        </is>
      </c>
      <c r="E387" s="35" t="n">
        <v>3</v>
      </c>
      <c r="F387" s="35" t="n">
        <v>2.2</v>
      </c>
      <c r="G387" s="37" t="inlineStr">
        <is>
          <t>Y</t>
        </is>
      </c>
      <c r="H387" s="37" t="inlineStr">
        <is>
          <t>N</t>
        </is>
      </c>
      <c r="I387" s="37">
        <f>COUNTIF(G$5:G387,"Y")/COUNTA(G$5:G387)</f>
        <v/>
      </c>
      <c r="J387" s="37">
        <f>COUNTIF(H$5:H387,"Y")/COUNTA(H$5:H387)</f>
        <v/>
      </c>
      <c r="K387" s="37">
        <f>AVERAGE(F$5:F387)</f>
        <v/>
      </c>
      <c r="L387" s="37">
        <f>SUM(F$5:F387)/SUM(E$5:E387)</f>
        <v/>
      </c>
    </row>
    <row r="388">
      <c r="A388" s="29" t="n">
        <v>45694</v>
      </c>
      <c r="B388" s="37" t="inlineStr">
        <is>
          <t>JOB-1384</t>
        </is>
      </c>
      <c r="C388" s="34" t="n">
        <v>1</v>
      </c>
      <c r="D388" s="37" t="inlineStr">
        <is>
          <t>Tech D</t>
        </is>
      </c>
      <c r="E388" s="35" t="n">
        <v>3.9</v>
      </c>
      <c r="F388" s="35" t="n">
        <v>2.8</v>
      </c>
      <c r="G388" s="37" t="inlineStr">
        <is>
          <t>Y</t>
        </is>
      </c>
      <c r="H388" s="37" t="inlineStr">
        <is>
          <t>Y</t>
        </is>
      </c>
      <c r="I388" s="37">
        <f>COUNTIF(G$5:G388,"Y")/COUNTA(G$5:G388)</f>
        <v/>
      </c>
      <c r="J388" s="37">
        <f>COUNTIF(H$5:H388,"Y")/COUNTA(H$5:H388)</f>
        <v/>
      </c>
      <c r="K388" s="37">
        <f>AVERAGE(F$5:F388)</f>
        <v/>
      </c>
      <c r="L388" s="37">
        <f>SUM(F$5:F388)/SUM(E$5:E388)</f>
        <v/>
      </c>
    </row>
    <row r="389">
      <c r="A389" s="29" t="n">
        <v>45695</v>
      </c>
      <c r="B389" s="37" t="inlineStr">
        <is>
          <t>JOB-1385</t>
        </is>
      </c>
      <c r="C389" s="34" t="n">
        <v>1</v>
      </c>
      <c r="D389" s="37" t="inlineStr">
        <is>
          <t>Tech B</t>
        </is>
      </c>
      <c r="E389" s="35" t="n">
        <v>4.9</v>
      </c>
      <c r="F389" s="35" t="n">
        <v>3.8</v>
      </c>
      <c r="G389" s="37" t="inlineStr">
        <is>
          <t>Y</t>
        </is>
      </c>
      <c r="H389" s="37" t="inlineStr">
        <is>
          <t>N</t>
        </is>
      </c>
      <c r="I389" s="37">
        <f>COUNTIF(G$5:G389,"Y")/COUNTA(G$5:G389)</f>
        <v/>
      </c>
      <c r="J389" s="37">
        <f>COUNTIF(H$5:H389,"Y")/COUNTA(H$5:H389)</f>
        <v/>
      </c>
      <c r="K389" s="37">
        <f>AVERAGE(F$5:F389)</f>
        <v/>
      </c>
      <c r="L389" s="37">
        <f>SUM(F$5:F389)/SUM(E$5:E389)</f>
        <v/>
      </c>
    </row>
    <row r="390">
      <c r="A390" s="29" t="n">
        <v>45691</v>
      </c>
      <c r="B390" s="37" t="inlineStr">
        <is>
          <t>JOB-1386</t>
        </is>
      </c>
      <c r="C390" s="34" t="n">
        <v>1</v>
      </c>
      <c r="D390" s="37" t="inlineStr">
        <is>
          <t>Tech B</t>
        </is>
      </c>
      <c r="E390" s="35" t="n">
        <v>4.5</v>
      </c>
      <c r="F390" s="35" t="n">
        <v>3.3</v>
      </c>
      <c r="G390" s="37" t="inlineStr">
        <is>
          <t>N</t>
        </is>
      </c>
      <c r="H390" s="37" t="inlineStr">
        <is>
          <t>N</t>
        </is>
      </c>
      <c r="I390" s="37">
        <f>COUNTIF(G$5:G390,"Y")/COUNTA(G$5:G390)</f>
        <v/>
      </c>
      <c r="J390" s="37">
        <f>COUNTIF(H$5:H390,"Y")/COUNTA(H$5:H390)</f>
        <v/>
      </c>
      <c r="K390" s="37">
        <f>AVERAGE(F$5:F390)</f>
        <v/>
      </c>
      <c r="L390" s="37">
        <f>SUM(F$5:F390)/SUM(E$5:E390)</f>
        <v/>
      </c>
    </row>
    <row r="391">
      <c r="A391" s="29" t="n">
        <v>45692</v>
      </c>
      <c r="B391" s="37" t="inlineStr">
        <is>
          <t>JOB-1387</t>
        </is>
      </c>
      <c r="C391" s="34" t="n">
        <v>1</v>
      </c>
      <c r="D391" s="37" t="inlineStr">
        <is>
          <t>Tech A</t>
        </is>
      </c>
      <c r="E391" s="35" t="n">
        <v>3.4</v>
      </c>
      <c r="F391" s="35" t="n">
        <v>2.6</v>
      </c>
      <c r="G391" s="37" t="inlineStr">
        <is>
          <t>Y</t>
        </is>
      </c>
      <c r="H391" s="37" t="inlineStr">
        <is>
          <t>N</t>
        </is>
      </c>
      <c r="I391" s="37">
        <f>COUNTIF(G$5:G391,"Y")/COUNTA(G$5:G391)</f>
        <v/>
      </c>
      <c r="J391" s="37">
        <f>COUNTIF(H$5:H391,"Y")/COUNTA(H$5:H391)</f>
        <v/>
      </c>
      <c r="K391" s="37">
        <f>AVERAGE(F$5:F391)</f>
        <v/>
      </c>
      <c r="L391" s="37">
        <f>SUM(F$5:F391)/SUM(E$5:E391)</f>
        <v/>
      </c>
    </row>
    <row r="392">
      <c r="A392" s="29" t="n">
        <v>45693</v>
      </c>
      <c r="B392" s="37" t="inlineStr">
        <is>
          <t>JOB-1388</t>
        </is>
      </c>
      <c r="C392" s="34" t="n">
        <v>1</v>
      </c>
      <c r="D392" s="37" t="inlineStr">
        <is>
          <t>Tech A</t>
        </is>
      </c>
      <c r="E392" s="35" t="n">
        <v>3.7</v>
      </c>
      <c r="F392" s="35" t="n">
        <v>3</v>
      </c>
      <c r="G392" s="37" t="inlineStr">
        <is>
          <t>Y</t>
        </is>
      </c>
      <c r="H392" s="37" t="inlineStr">
        <is>
          <t>N</t>
        </is>
      </c>
      <c r="I392" s="37">
        <f>COUNTIF(G$5:G392,"Y")/COUNTA(G$5:G392)</f>
        <v/>
      </c>
      <c r="J392" s="37">
        <f>COUNTIF(H$5:H392,"Y")/COUNTA(H$5:H392)</f>
        <v/>
      </c>
      <c r="K392" s="37">
        <f>AVERAGE(F$5:F392)</f>
        <v/>
      </c>
      <c r="L392" s="37">
        <f>SUM(F$5:F392)/SUM(E$5:E392)</f>
        <v/>
      </c>
    </row>
    <row r="393">
      <c r="A393" s="29" t="n">
        <v>45694</v>
      </c>
      <c r="B393" s="37" t="inlineStr">
        <is>
          <t>JOB-1389</t>
        </is>
      </c>
      <c r="C393" s="34" t="n">
        <v>1</v>
      </c>
      <c r="D393" s="37" t="inlineStr">
        <is>
          <t>Tech C</t>
        </is>
      </c>
      <c r="E393" s="35" t="n">
        <v>2</v>
      </c>
      <c r="F393" s="35" t="n">
        <v>1.4</v>
      </c>
      <c r="G393" s="37" t="inlineStr">
        <is>
          <t>Y</t>
        </is>
      </c>
      <c r="H393" s="37" t="inlineStr">
        <is>
          <t>N</t>
        </is>
      </c>
      <c r="I393" s="37">
        <f>COUNTIF(G$5:G393,"Y")/COUNTA(G$5:G393)</f>
        <v/>
      </c>
      <c r="J393" s="37">
        <f>COUNTIF(H$5:H393,"Y")/COUNTA(H$5:H393)</f>
        <v/>
      </c>
      <c r="K393" s="37">
        <f>AVERAGE(F$5:F393)</f>
        <v/>
      </c>
      <c r="L393" s="37">
        <f>SUM(F$5:F393)/SUM(E$5:E393)</f>
        <v/>
      </c>
    </row>
    <row r="394">
      <c r="A394" s="29" t="n">
        <v>45695</v>
      </c>
      <c r="B394" s="37" t="inlineStr">
        <is>
          <t>JOB-1390</t>
        </is>
      </c>
      <c r="C394" s="34" t="n">
        <v>1</v>
      </c>
      <c r="D394" s="37" t="inlineStr">
        <is>
          <t>Tech D</t>
        </is>
      </c>
      <c r="E394" s="35" t="n">
        <v>3.2</v>
      </c>
      <c r="F394" s="35" t="n">
        <v>2.5</v>
      </c>
      <c r="G394" s="37" t="inlineStr">
        <is>
          <t>Y</t>
        </is>
      </c>
      <c r="H394" s="37" t="inlineStr">
        <is>
          <t>N</t>
        </is>
      </c>
      <c r="I394" s="37">
        <f>COUNTIF(G$5:G394,"Y")/COUNTA(G$5:G394)</f>
        <v/>
      </c>
      <c r="J394" s="37">
        <f>COUNTIF(H$5:H394,"Y")/COUNTA(H$5:H394)</f>
        <v/>
      </c>
      <c r="K394" s="37">
        <f>AVERAGE(F$5:F394)</f>
        <v/>
      </c>
      <c r="L394" s="37">
        <f>SUM(F$5:F394)/SUM(E$5:E394)</f>
        <v/>
      </c>
    </row>
    <row r="395">
      <c r="A395" s="29" t="n">
        <v>45691</v>
      </c>
      <c r="B395" s="37" t="inlineStr">
        <is>
          <t>JOB-1391</t>
        </is>
      </c>
      <c r="C395" s="34" t="n">
        <v>1</v>
      </c>
      <c r="D395" s="37" t="inlineStr">
        <is>
          <t>Tech G</t>
        </is>
      </c>
      <c r="E395" s="35" t="n">
        <v>3.3</v>
      </c>
      <c r="F395" s="35" t="n">
        <v>2.7</v>
      </c>
      <c r="G395" s="37" t="inlineStr">
        <is>
          <t>Y</t>
        </is>
      </c>
      <c r="H395" s="37" t="inlineStr">
        <is>
          <t>N</t>
        </is>
      </c>
      <c r="I395" s="37">
        <f>COUNTIF(G$5:G395,"Y")/COUNTA(G$5:G395)</f>
        <v/>
      </c>
      <c r="J395" s="37">
        <f>COUNTIF(H$5:H395,"Y")/COUNTA(H$5:H395)</f>
        <v/>
      </c>
      <c r="K395" s="37">
        <f>AVERAGE(F$5:F395)</f>
        <v/>
      </c>
      <c r="L395" s="37">
        <f>SUM(F$5:F395)/SUM(E$5:E395)</f>
        <v/>
      </c>
    </row>
    <row r="396">
      <c r="A396" s="29" t="n">
        <v>45692</v>
      </c>
      <c r="B396" s="37" t="inlineStr">
        <is>
          <t>JOB-1392</t>
        </is>
      </c>
      <c r="C396" s="34" t="n">
        <v>1</v>
      </c>
      <c r="D396" s="37" t="inlineStr">
        <is>
          <t>Tech F</t>
        </is>
      </c>
      <c r="E396" s="35" t="n">
        <v>2.4</v>
      </c>
      <c r="F396" s="35" t="n">
        <v>1.8</v>
      </c>
      <c r="G396" s="37" t="inlineStr">
        <is>
          <t>Y</t>
        </is>
      </c>
      <c r="H396" s="37" t="inlineStr">
        <is>
          <t>N</t>
        </is>
      </c>
      <c r="I396" s="37">
        <f>COUNTIF(G$5:G396,"Y")/COUNTA(G$5:G396)</f>
        <v/>
      </c>
      <c r="J396" s="37">
        <f>COUNTIF(H$5:H396,"Y")/COUNTA(H$5:H396)</f>
        <v/>
      </c>
      <c r="K396" s="37">
        <f>AVERAGE(F$5:F396)</f>
        <v/>
      </c>
      <c r="L396" s="37">
        <f>SUM(F$5:F396)/SUM(E$5:E396)</f>
        <v/>
      </c>
    </row>
    <row r="397">
      <c r="A397" s="29" t="n">
        <v>45693</v>
      </c>
      <c r="B397" s="37" t="inlineStr">
        <is>
          <t>JOB-1393</t>
        </is>
      </c>
      <c r="C397" s="34" t="n">
        <v>1</v>
      </c>
      <c r="D397" s="37" t="inlineStr">
        <is>
          <t>Tech D</t>
        </is>
      </c>
      <c r="E397" s="35" t="n">
        <v>4.9</v>
      </c>
      <c r="F397" s="35" t="n">
        <v>3.9</v>
      </c>
      <c r="G397" s="37" t="inlineStr">
        <is>
          <t>Y</t>
        </is>
      </c>
      <c r="H397" s="37" t="inlineStr">
        <is>
          <t>N</t>
        </is>
      </c>
      <c r="I397" s="37">
        <f>COUNTIF(G$5:G397,"Y")/COUNTA(G$5:G397)</f>
        <v/>
      </c>
      <c r="J397" s="37">
        <f>COUNTIF(H$5:H397,"Y")/COUNTA(H$5:H397)</f>
        <v/>
      </c>
      <c r="K397" s="37">
        <f>AVERAGE(F$5:F397)</f>
        <v/>
      </c>
      <c r="L397" s="37">
        <f>SUM(F$5:F397)/SUM(E$5:E397)</f>
        <v/>
      </c>
    </row>
    <row r="398">
      <c r="A398" s="29" t="n">
        <v>45694</v>
      </c>
      <c r="B398" s="37" t="inlineStr">
        <is>
          <t>JOB-1394</t>
        </is>
      </c>
      <c r="C398" s="34" t="n">
        <v>1</v>
      </c>
      <c r="D398" s="37" t="inlineStr">
        <is>
          <t>Tech B</t>
        </is>
      </c>
      <c r="E398" s="35" t="n">
        <v>4.9</v>
      </c>
      <c r="F398" s="35" t="n">
        <v>3.7</v>
      </c>
      <c r="G398" s="37" t="inlineStr">
        <is>
          <t>Y</t>
        </is>
      </c>
      <c r="H398" s="37" t="inlineStr">
        <is>
          <t>N</t>
        </is>
      </c>
      <c r="I398" s="37">
        <f>COUNTIF(G$5:G398,"Y")/COUNTA(G$5:G398)</f>
        <v/>
      </c>
      <c r="J398" s="37">
        <f>COUNTIF(H$5:H398,"Y")/COUNTA(H$5:H398)</f>
        <v/>
      </c>
      <c r="K398" s="37">
        <f>AVERAGE(F$5:F398)</f>
        <v/>
      </c>
      <c r="L398" s="37">
        <f>SUM(F$5:F398)/SUM(E$5:E398)</f>
        <v/>
      </c>
    </row>
    <row r="399">
      <c r="A399" s="29" t="n">
        <v>45695</v>
      </c>
      <c r="B399" s="37" t="inlineStr">
        <is>
          <t>JOB-1395</t>
        </is>
      </c>
      <c r="C399" s="34" t="n">
        <v>1</v>
      </c>
      <c r="D399" s="37" t="inlineStr">
        <is>
          <t>Tech G</t>
        </is>
      </c>
      <c r="E399" s="35" t="n">
        <v>2.2</v>
      </c>
      <c r="F399" s="35" t="n">
        <v>1.5</v>
      </c>
      <c r="G399" s="37" t="inlineStr">
        <is>
          <t>N</t>
        </is>
      </c>
      <c r="H399" s="37" t="inlineStr">
        <is>
          <t>N</t>
        </is>
      </c>
      <c r="I399" s="37">
        <f>COUNTIF(G$5:G399,"Y")/COUNTA(G$5:G399)</f>
        <v/>
      </c>
      <c r="J399" s="37">
        <f>COUNTIF(H$5:H399,"Y")/COUNTA(H$5:H399)</f>
        <v/>
      </c>
      <c r="K399" s="37">
        <f>AVERAGE(F$5:F399)</f>
        <v/>
      </c>
      <c r="L399" s="37">
        <f>SUM(F$5:F399)/SUM(E$5:E399)</f>
        <v/>
      </c>
    </row>
    <row r="400">
      <c r="A400" s="29" t="n">
        <v>45691</v>
      </c>
      <c r="B400" s="37" t="inlineStr">
        <is>
          <t>JOB-1396</t>
        </is>
      </c>
      <c r="C400" s="34" t="n">
        <v>1</v>
      </c>
      <c r="D400" s="37" t="inlineStr">
        <is>
          <t>Tech B</t>
        </is>
      </c>
      <c r="E400" s="35" t="n">
        <v>3.6</v>
      </c>
      <c r="F400" s="35" t="n">
        <v>2.4</v>
      </c>
      <c r="G400" s="37" t="inlineStr">
        <is>
          <t>Y</t>
        </is>
      </c>
      <c r="H400" s="37" t="inlineStr">
        <is>
          <t>N</t>
        </is>
      </c>
      <c r="I400" s="37">
        <f>COUNTIF(G$5:G400,"Y")/COUNTA(G$5:G400)</f>
        <v/>
      </c>
      <c r="J400" s="37">
        <f>COUNTIF(H$5:H400,"Y")/COUNTA(H$5:H400)</f>
        <v/>
      </c>
      <c r="K400" s="37">
        <f>AVERAGE(F$5:F400)</f>
        <v/>
      </c>
      <c r="L400" s="37">
        <f>SUM(F$5:F400)/SUM(E$5:E400)</f>
        <v/>
      </c>
    </row>
    <row r="401">
      <c r="A401" s="29" t="n">
        <v>45692</v>
      </c>
      <c r="B401" s="37" t="inlineStr">
        <is>
          <t>JOB-1397</t>
        </is>
      </c>
      <c r="C401" s="34" t="n">
        <v>1</v>
      </c>
      <c r="D401" s="37" t="inlineStr">
        <is>
          <t>Tech G</t>
        </is>
      </c>
      <c r="E401" s="35" t="n">
        <v>2.8</v>
      </c>
      <c r="F401" s="35" t="n">
        <v>2.4</v>
      </c>
      <c r="G401" s="37" t="inlineStr">
        <is>
          <t>Y</t>
        </is>
      </c>
      <c r="H401" s="37" t="inlineStr">
        <is>
          <t>N</t>
        </is>
      </c>
      <c r="I401" s="37">
        <f>COUNTIF(G$5:G401,"Y")/COUNTA(G$5:G401)</f>
        <v/>
      </c>
      <c r="J401" s="37">
        <f>COUNTIF(H$5:H401,"Y")/COUNTA(H$5:H401)</f>
        <v/>
      </c>
      <c r="K401" s="37">
        <f>AVERAGE(F$5:F401)</f>
        <v/>
      </c>
      <c r="L401" s="37">
        <f>SUM(F$5:F401)/SUM(E$5:E401)</f>
        <v/>
      </c>
    </row>
    <row r="402">
      <c r="A402" s="29" t="n">
        <v>45693</v>
      </c>
      <c r="B402" s="37" t="inlineStr">
        <is>
          <t>JOB-1398</t>
        </is>
      </c>
      <c r="C402" s="34" t="n">
        <v>1</v>
      </c>
      <c r="D402" s="37" t="inlineStr">
        <is>
          <t>Tech C</t>
        </is>
      </c>
      <c r="E402" s="35" t="n">
        <v>4.6</v>
      </c>
      <c r="F402" s="35" t="n">
        <v>3.1</v>
      </c>
      <c r="G402" s="37" t="inlineStr">
        <is>
          <t>Y</t>
        </is>
      </c>
      <c r="H402" s="37" t="inlineStr">
        <is>
          <t>N</t>
        </is>
      </c>
      <c r="I402" s="37">
        <f>COUNTIF(G$5:G402,"Y")/COUNTA(G$5:G402)</f>
        <v/>
      </c>
      <c r="J402" s="37">
        <f>COUNTIF(H$5:H402,"Y")/COUNTA(H$5:H402)</f>
        <v/>
      </c>
      <c r="K402" s="37">
        <f>AVERAGE(F$5:F402)</f>
        <v/>
      </c>
      <c r="L402" s="37">
        <f>SUM(F$5:F402)/SUM(E$5:E402)</f>
        <v/>
      </c>
    </row>
    <row r="403">
      <c r="A403" s="29" t="n">
        <v>45694</v>
      </c>
      <c r="B403" s="37" t="inlineStr">
        <is>
          <t>JOB-1399</t>
        </is>
      </c>
      <c r="C403" s="34" t="n">
        <v>1</v>
      </c>
      <c r="D403" s="37" t="inlineStr">
        <is>
          <t>Tech F</t>
        </is>
      </c>
      <c r="E403" s="35" t="n">
        <v>2.5</v>
      </c>
      <c r="F403" s="35" t="n">
        <v>2</v>
      </c>
      <c r="G403" s="37" t="inlineStr">
        <is>
          <t>Y</t>
        </is>
      </c>
      <c r="H403" s="37" t="inlineStr">
        <is>
          <t>N</t>
        </is>
      </c>
      <c r="I403" s="37">
        <f>COUNTIF(G$5:G403,"Y")/COUNTA(G$5:G403)</f>
        <v/>
      </c>
      <c r="J403" s="37">
        <f>COUNTIF(H$5:H403,"Y")/COUNTA(H$5:H403)</f>
        <v/>
      </c>
      <c r="K403" s="37">
        <f>AVERAGE(F$5:F403)</f>
        <v/>
      </c>
      <c r="L403" s="37">
        <f>SUM(F$5:F403)/SUM(E$5:E403)</f>
        <v/>
      </c>
    </row>
    <row r="404">
      <c r="A404" s="29" t="n">
        <v>45695</v>
      </c>
      <c r="B404" s="37" t="inlineStr">
        <is>
          <t>JOB-1400</t>
        </is>
      </c>
      <c r="C404" s="34" t="n">
        <v>1</v>
      </c>
      <c r="D404" s="37" t="inlineStr">
        <is>
          <t>Tech H</t>
        </is>
      </c>
      <c r="E404" s="35" t="n">
        <v>1.8</v>
      </c>
      <c r="F404" s="35" t="n">
        <v>1.3</v>
      </c>
      <c r="G404" s="37" t="inlineStr">
        <is>
          <t>Y</t>
        </is>
      </c>
      <c r="H404" s="37" t="inlineStr">
        <is>
          <t>N</t>
        </is>
      </c>
      <c r="I404" s="37">
        <f>COUNTIF(G$5:G404,"Y")/COUNTA(G$5:G404)</f>
        <v/>
      </c>
      <c r="J404" s="37">
        <f>COUNTIF(H$5:H404,"Y")/COUNTA(H$5:H404)</f>
        <v/>
      </c>
      <c r="K404" s="37">
        <f>AVERAGE(F$5:F404)</f>
        <v/>
      </c>
      <c r="L404" s="37">
        <f>SUM(F$5:F404)/SUM(E$5:E404)</f>
        <v/>
      </c>
    </row>
    <row r="405">
      <c r="A405" s="29" t="n">
        <v>45691</v>
      </c>
      <c r="B405" s="37" t="inlineStr">
        <is>
          <t>JOB-1401</t>
        </is>
      </c>
      <c r="C405" s="34" t="n">
        <v>1</v>
      </c>
      <c r="D405" s="37" t="inlineStr">
        <is>
          <t>Tech C</t>
        </is>
      </c>
      <c r="E405" s="35" t="n">
        <v>5.3</v>
      </c>
      <c r="F405" s="35" t="n">
        <v>3.6</v>
      </c>
      <c r="G405" s="37" t="inlineStr">
        <is>
          <t>Y</t>
        </is>
      </c>
      <c r="H405" s="37" t="inlineStr">
        <is>
          <t>N</t>
        </is>
      </c>
      <c r="I405" s="37">
        <f>COUNTIF(G$5:G405,"Y")/COUNTA(G$5:G405)</f>
        <v/>
      </c>
      <c r="J405" s="37">
        <f>COUNTIF(H$5:H405,"Y")/COUNTA(H$5:H405)</f>
        <v/>
      </c>
      <c r="K405" s="37">
        <f>AVERAGE(F$5:F405)</f>
        <v/>
      </c>
      <c r="L405" s="37">
        <f>SUM(F$5:F405)/SUM(E$5:E405)</f>
        <v/>
      </c>
    </row>
    <row r="406">
      <c r="A406" s="29" t="n">
        <v>45692</v>
      </c>
      <c r="B406" s="37" t="inlineStr">
        <is>
          <t>JOB-1402</t>
        </is>
      </c>
      <c r="C406" s="34" t="n">
        <v>1</v>
      </c>
      <c r="D406" s="37" t="inlineStr">
        <is>
          <t>Tech B</t>
        </is>
      </c>
      <c r="E406" s="35" t="n">
        <v>4.7</v>
      </c>
      <c r="F406" s="35" t="n">
        <v>3.1</v>
      </c>
      <c r="G406" s="37" t="inlineStr">
        <is>
          <t>Y</t>
        </is>
      </c>
      <c r="H406" s="37" t="inlineStr">
        <is>
          <t>N</t>
        </is>
      </c>
      <c r="I406" s="37">
        <f>COUNTIF(G$5:G406,"Y")/COUNTA(G$5:G406)</f>
        <v/>
      </c>
      <c r="J406" s="37">
        <f>COUNTIF(H$5:H406,"Y")/COUNTA(H$5:H406)</f>
        <v/>
      </c>
      <c r="K406" s="37">
        <f>AVERAGE(F$5:F406)</f>
        <v/>
      </c>
      <c r="L406" s="37">
        <f>SUM(F$5:F406)/SUM(E$5:E406)</f>
        <v/>
      </c>
    </row>
    <row r="407">
      <c r="A407" s="29" t="n">
        <v>45693</v>
      </c>
      <c r="B407" s="37" t="inlineStr">
        <is>
          <t>JOB-1403</t>
        </is>
      </c>
      <c r="C407" s="34" t="n">
        <v>1</v>
      </c>
      <c r="D407" s="37" t="inlineStr">
        <is>
          <t>Tech G</t>
        </is>
      </c>
      <c r="E407" s="35" t="n">
        <v>4.2</v>
      </c>
      <c r="F407" s="35" t="n">
        <v>2.9</v>
      </c>
      <c r="G407" s="37" t="inlineStr">
        <is>
          <t>Y</t>
        </is>
      </c>
      <c r="H407" s="37" t="inlineStr">
        <is>
          <t>N</t>
        </is>
      </c>
      <c r="I407" s="37">
        <f>COUNTIF(G$5:G407,"Y")/COUNTA(G$5:G407)</f>
        <v/>
      </c>
      <c r="J407" s="37">
        <f>COUNTIF(H$5:H407,"Y")/COUNTA(H$5:H407)</f>
        <v/>
      </c>
      <c r="K407" s="37">
        <f>AVERAGE(F$5:F407)</f>
        <v/>
      </c>
      <c r="L407" s="37">
        <f>SUM(F$5:F407)/SUM(E$5:E407)</f>
        <v/>
      </c>
    </row>
    <row r="408">
      <c r="A408" s="29" t="n">
        <v>45694</v>
      </c>
      <c r="B408" s="37" t="inlineStr">
        <is>
          <t>JOB-1404</t>
        </is>
      </c>
      <c r="C408" s="34" t="n">
        <v>1</v>
      </c>
      <c r="D408" s="37" t="inlineStr">
        <is>
          <t>Tech B</t>
        </is>
      </c>
      <c r="E408" s="35" t="n">
        <v>3.1</v>
      </c>
      <c r="F408" s="35" t="n">
        <v>2.6</v>
      </c>
      <c r="G408" s="37" t="inlineStr">
        <is>
          <t>N</t>
        </is>
      </c>
      <c r="H408" s="37" t="inlineStr">
        <is>
          <t>N</t>
        </is>
      </c>
      <c r="I408" s="37">
        <f>COUNTIF(G$5:G408,"Y")/COUNTA(G$5:G408)</f>
        <v/>
      </c>
      <c r="J408" s="37">
        <f>COUNTIF(H$5:H408,"Y")/COUNTA(H$5:H408)</f>
        <v/>
      </c>
      <c r="K408" s="37">
        <f>AVERAGE(F$5:F408)</f>
        <v/>
      </c>
      <c r="L408" s="37">
        <f>SUM(F$5:F408)/SUM(E$5:E408)</f>
        <v/>
      </c>
    </row>
    <row r="409">
      <c r="A409" s="29" t="n">
        <v>45695</v>
      </c>
      <c r="B409" s="37" t="inlineStr">
        <is>
          <t>JOB-1405</t>
        </is>
      </c>
      <c r="C409" s="34" t="n">
        <v>1</v>
      </c>
      <c r="D409" s="37" t="inlineStr">
        <is>
          <t>Tech D</t>
        </is>
      </c>
      <c r="E409" s="35" t="n">
        <v>2</v>
      </c>
      <c r="F409" s="35" t="n">
        <v>1.7</v>
      </c>
      <c r="G409" s="37" t="inlineStr">
        <is>
          <t>Y</t>
        </is>
      </c>
      <c r="H409" s="37" t="inlineStr">
        <is>
          <t>N</t>
        </is>
      </c>
      <c r="I409" s="37">
        <f>COUNTIF(G$5:G409,"Y")/COUNTA(G$5:G409)</f>
        <v/>
      </c>
      <c r="J409" s="37">
        <f>COUNTIF(H$5:H409,"Y")/COUNTA(H$5:H409)</f>
        <v/>
      </c>
      <c r="K409" s="37">
        <f>AVERAGE(F$5:F409)</f>
        <v/>
      </c>
      <c r="L409" s="37">
        <f>SUM(F$5:F409)/SUM(E$5:E409)</f>
        <v/>
      </c>
    </row>
    <row r="410">
      <c r="A410" s="29" t="n">
        <v>45691</v>
      </c>
      <c r="B410" s="37" t="inlineStr">
        <is>
          <t>JOB-1406</t>
        </is>
      </c>
      <c r="C410" s="34" t="n">
        <v>1</v>
      </c>
      <c r="D410" s="37" t="inlineStr">
        <is>
          <t>Tech F</t>
        </is>
      </c>
      <c r="E410" s="35" t="n">
        <v>3.9</v>
      </c>
      <c r="F410" s="35" t="n">
        <v>3.4</v>
      </c>
      <c r="G410" s="37" t="inlineStr">
        <is>
          <t>Y</t>
        </is>
      </c>
      <c r="H410" s="37" t="inlineStr">
        <is>
          <t>N</t>
        </is>
      </c>
      <c r="I410" s="37">
        <f>COUNTIF(G$5:G410,"Y")/COUNTA(G$5:G410)</f>
        <v/>
      </c>
      <c r="J410" s="37">
        <f>COUNTIF(H$5:H410,"Y")/COUNTA(H$5:H410)</f>
        <v/>
      </c>
      <c r="K410" s="37">
        <f>AVERAGE(F$5:F410)</f>
        <v/>
      </c>
      <c r="L410" s="37">
        <f>SUM(F$5:F410)/SUM(E$5:E410)</f>
        <v/>
      </c>
    </row>
    <row r="411">
      <c r="A411" s="29" t="n">
        <v>45692</v>
      </c>
      <c r="B411" s="37" t="inlineStr">
        <is>
          <t>JOB-1407</t>
        </is>
      </c>
      <c r="C411" s="34" t="n">
        <v>1</v>
      </c>
      <c r="D411" s="37" t="inlineStr">
        <is>
          <t>Tech D</t>
        </is>
      </c>
      <c r="E411" s="35" t="n">
        <v>3.5</v>
      </c>
      <c r="F411" s="35" t="n">
        <v>2.7</v>
      </c>
      <c r="G411" s="37" t="inlineStr">
        <is>
          <t>Y</t>
        </is>
      </c>
      <c r="H411" s="37" t="inlineStr">
        <is>
          <t>N</t>
        </is>
      </c>
      <c r="I411" s="37">
        <f>COUNTIF(G$5:G411,"Y")/COUNTA(G$5:G411)</f>
        <v/>
      </c>
      <c r="J411" s="37">
        <f>COUNTIF(H$5:H411,"Y")/COUNTA(H$5:H411)</f>
        <v/>
      </c>
      <c r="K411" s="37">
        <f>AVERAGE(F$5:F411)</f>
        <v/>
      </c>
      <c r="L411" s="37">
        <f>SUM(F$5:F411)/SUM(E$5:E411)</f>
        <v/>
      </c>
    </row>
    <row r="412">
      <c r="A412" s="29" t="n">
        <v>45693</v>
      </c>
      <c r="B412" s="37" t="inlineStr">
        <is>
          <t>JOB-1408</t>
        </is>
      </c>
      <c r="C412" s="34" t="n">
        <v>1</v>
      </c>
      <c r="D412" s="37" t="inlineStr">
        <is>
          <t>Tech D</t>
        </is>
      </c>
      <c r="E412" s="35" t="n">
        <v>4.6</v>
      </c>
      <c r="F412" s="35" t="n">
        <v>3.4</v>
      </c>
      <c r="G412" s="37" t="inlineStr">
        <is>
          <t>N</t>
        </is>
      </c>
      <c r="H412" s="37" t="inlineStr">
        <is>
          <t>N</t>
        </is>
      </c>
      <c r="I412" s="37">
        <f>COUNTIF(G$5:G412,"Y")/COUNTA(G$5:G412)</f>
        <v/>
      </c>
      <c r="J412" s="37">
        <f>COUNTIF(H$5:H412,"Y")/COUNTA(H$5:H412)</f>
        <v/>
      </c>
      <c r="K412" s="37">
        <f>AVERAGE(F$5:F412)</f>
        <v/>
      </c>
      <c r="L412" s="37">
        <f>SUM(F$5:F412)/SUM(E$5:E412)</f>
        <v/>
      </c>
    </row>
    <row r="413">
      <c r="A413" s="29" t="n">
        <v>45694</v>
      </c>
      <c r="B413" s="37" t="inlineStr">
        <is>
          <t>JOB-1409</t>
        </is>
      </c>
      <c r="C413" s="34" t="n">
        <v>1</v>
      </c>
      <c r="D413" s="37" t="inlineStr">
        <is>
          <t>Tech C</t>
        </is>
      </c>
      <c r="E413" s="35" t="n">
        <v>3.4</v>
      </c>
      <c r="F413" s="35" t="n">
        <v>2.9</v>
      </c>
      <c r="G413" s="37" t="inlineStr">
        <is>
          <t>Y</t>
        </is>
      </c>
      <c r="H413" s="37" t="inlineStr">
        <is>
          <t>N</t>
        </is>
      </c>
      <c r="I413" s="37">
        <f>COUNTIF(G$5:G413,"Y")/COUNTA(G$5:G413)</f>
        <v/>
      </c>
      <c r="J413" s="37">
        <f>COUNTIF(H$5:H413,"Y")/COUNTA(H$5:H413)</f>
        <v/>
      </c>
      <c r="K413" s="37">
        <f>AVERAGE(F$5:F413)</f>
        <v/>
      </c>
      <c r="L413" s="37">
        <f>SUM(F$5:F413)/SUM(E$5:E413)</f>
        <v/>
      </c>
    </row>
    <row r="414">
      <c r="A414" s="29" t="n">
        <v>45695</v>
      </c>
      <c r="B414" s="37" t="inlineStr">
        <is>
          <t>JOB-1410</t>
        </is>
      </c>
      <c r="C414" s="34" t="n">
        <v>1</v>
      </c>
      <c r="D414" s="37" t="inlineStr">
        <is>
          <t>Tech D</t>
        </is>
      </c>
      <c r="E414" s="35" t="n">
        <v>3.1</v>
      </c>
      <c r="F414" s="35" t="n">
        <v>2</v>
      </c>
      <c r="G414" s="37" t="inlineStr">
        <is>
          <t>Y</t>
        </is>
      </c>
      <c r="H414" s="37" t="inlineStr">
        <is>
          <t>N</t>
        </is>
      </c>
      <c r="I414" s="37">
        <f>COUNTIF(G$5:G414,"Y")/COUNTA(G$5:G414)</f>
        <v/>
      </c>
      <c r="J414" s="37">
        <f>COUNTIF(H$5:H414,"Y")/COUNTA(H$5:H414)</f>
        <v/>
      </c>
      <c r="K414" s="37">
        <f>AVERAGE(F$5:F414)</f>
        <v/>
      </c>
      <c r="L414" s="37">
        <f>SUM(F$5:F414)/SUM(E$5:E414)</f>
        <v/>
      </c>
    </row>
    <row r="415">
      <c r="A415" s="29" t="n">
        <v>45691</v>
      </c>
      <c r="B415" s="37" t="inlineStr">
        <is>
          <t>JOB-1411</t>
        </is>
      </c>
      <c r="C415" s="34" t="n">
        <v>1</v>
      </c>
      <c r="D415" s="37" t="inlineStr">
        <is>
          <t>Tech A</t>
        </is>
      </c>
      <c r="E415" s="35" t="n">
        <v>4.3</v>
      </c>
      <c r="F415" s="35" t="n">
        <v>3.2</v>
      </c>
      <c r="G415" s="37" t="inlineStr">
        <is>
          <t>Y</t>
        </is>
      </c>
      <c r="H415" s="37" t="inlineStr">
        <is>
          <t>N</t>
        </is>
      </c>
      <c r="I415" s="37">
        <f>COUNTIF(G$5:G415,"Y")/COUNTA(G$5:G415)</f>
        <v/>
      </c>
      <c r="J415" s="37">
        <f>COUNTIF(H$5:H415,"Y")/COUNTA(H$5:H415)</f>
        <v/>
      </c>
      <c r="K415" s="37">
        <f>AVERAGE(F$5:F415)</f>
        <v/>
      </c>
      <c r="L415" s="37">
        <f>SUM(F$5:F415)/SUM(E$5:E415)</f>
        <v/>
      </c>
    </row>
    <row r="416">
      <c r="A416" s="29" t="n">
        <v>45692</v>
      </c>
      <c r="B416" s="37" t="inlineStr">
        <is>
          <t>JOB-1412</t>
        </is>
      </c>
      <c r="C416" s="34" t="n">
        <v>1</v>
      </c>
      <c r="D416" s="37" t="inlineStr">
        <is>
          <t>Tech A</t>
        </is>
      </c>
      <c r="E416" s="35" t="n">
        <v>2.3</v>
      </c>
      <c r="F416" s="35" t="n">
        <v>1.6</v>
      </c>
      <c r="G416" s="37" t="inlineStr">
        <is>
          <t>Y</t>
        </is>
      </c>
      <c r="H416" s="37" t="inlineStr">
        <is>
          <t>N</t>
        </is>
      </c>
      <c r="I416" s="37">
        <f>COUNTIF(G$5:G416,"Y")/COUNTA(G$5:G416)</f>
        <v/>
      </c>
      <c r="J416" s="37">
        <f>COUNTIF(H$5:H416,"Y")/COUNTA(H$5:H416)</f>
        <v/>
      </c>
      <c r="K416" s="37">
        <f>AVERAGE(F$5:F416)</f>
        <v/>
      </c>
      <c r="L416" s="37">
        <f>SUM(F$5:F416)/SUM(E$5:E416)</f>
        <v/>
      </c>
    </row>
    <row r="417">
      <c r="A417" s="29" t="n">
        <v>45693</v>
      </c>
      <c r="B417" s="37" t="inlineStr">
        <is>
          <t>JOB-1413</t>
        </is>
      </c>
      <c r="C417" s="34" t="n">
        <v>1</v>
      </c>
      <c r="D417" s="37" t="inlineStr">
        <is>
          <t>Tech D</t>
        </is>
      </c>
      <c r="E417" s="35" t="n">
        <v>0.8</v>
      </c>
      <c r="F417" s="35" t="n">
        <v>0.5</v>
      </c>
      <c r="G417" s="37" t="inlineStr">
        <is>
          <t>Y</t>
        </is>
      </c>
      <c r="H417" s="37" t="inlineStr">
        <is>
          <t>N</t>
        </is>
      </c>
      <c r="I417" s="37">
        <f>COUNTIF(G$5:G417,"Y")/COUNTA(G$5:G417)</f>
        <v/>
      </c>
      <c r="J417" s="37">
        <f>COUNTIF(H$5:H417,"Y")/COUNTA(H$5:H417)</f>
        <v/>
      </c>
      <c r="K417" s="37">
        <f>AVERAGE(F$5:F417)</f>
        <v/>
      </c>
      <c r="L417" s="37">
        <f>SUM(F$5:F417)/SUM(E$5:E417)</f>
        <v/>
      </c>
    </row>
    <row r="418">
      <c r="A418" s="29" t="n">
        <v>45694</v>
      </c>
      <c r="B418" s="37" t="inlineStr">
        <is>
          <t>JOB-1414</t>
        </is>
      </c>
      <c r="C418" s="34" t="n">
        <v>1</v>
      </c>
      <c r="D418" s="37" t="inlineStr">
        <is>
          <t>Tech F</t>
        </is>
      </c>
      <c r="E418" s="35" t="n">
        <v>0.7</v>
      </c>
      <c r="F418" s="35" t="n">
        <v>0.5</v>
      </c>
      <c r="G418" s="37" t="inlineStr">
        <is>
          <t>Y</t>
        </is>
      </c>
      <c r="H418" s="37" t="inlineStr">
        <is>
          <t>N</t>
        </is>
      </c>
      <c r="I418" s="37">
        <f>COUNTIF(G$5:G418,"Y")/COUNTA(G$5:G418)</f>
        <v/>
      </c>
      <c r="J418" s="37">
        <f>COUNTIF(H$5:H418,"Y")/COUNTA(H$5:H418)</f>
        <v/>
      </c>
      <c r="K418" s="37">
        <f>AVERAGE(F$5:F418)</f>
        <v/>
      </c>
      <c r="L418" s="37">
        <f>SUM(F$5:F418)/SUM(E$5:E418)</f>
        <v/>
      </c>
    </row>
    <row r="419">
      <c r="A419" s="29" t="n">
        <v>45695</v>
      </c>
      <c r="B419" s="37" t="inlineStr">
        <is>
          <t>JOB-1415</t>
        </is>
      </c>
      <c r="C419" s="34" t="n">
        <v>1</v>
      </c>
      <c r="D419" s="37" t="inlineStr">
        <is>
          <t>Tech D</t>
        </is>
      </c>
      <c r="E419" s="35" t="n">
        <v>0.6</v>
      </c>
      <c r="F419" s="35" t="n">
        <v>0.5</v>
      </c>
      <c r="G419" s="37" t="inlineStr">
        <is>
          <t>N</t>
        </is>
      </c>
      <c r="H419" s="37" t="inlineStr">
        <is>
          <t>N</t>
        </is>
      </c>
      <c r="I419" s="37">
        <f>COUNTIF(G$5:G419,"Y")/COUNTA(G$5:G419)</f>
        <v/>
      </c>
      <c r="J419" s="37">
        <f>COUNTIF(H$5:H419,"Y")/COUNTA(H$5:H419)</f>
        <v/>
      </c>
      <c r="K419" s="37">
        <f>AVERAGE(F$5:F419)</f>
        <v/>
      </c>
      <c r="L419" s="37">
        <f>SUM(F$5:F419)/SUM(E$5:E419)</f>
        <v/>
      </c>
    </row>
    <row r="420">
      <c r="A420" s="29" t="n">
        <v>45691</v>
      </c>
      <c r="B420" s="37" t="inlineStr">
        <is>
          <t>JOB-1416</t>
        </is>
      </c>
      <c r="C420" s="34" t="n">
        <v>1</v>
      </c>
      <c r="D420" s="37" t="inlineStr">
        <is>
          <t>Tech B</t>
        </is>
      </c>
      <c r="E420" s="35" t="n">
        <v>0.7</v>
      </c>
      <c r="F420" s="35" t="n">
        <v>0.5</v>
      </c>
      <c r="G420" s="37" t="inlineStr">
        <is>
          <t>Y</t>
        </is>
      </c>
      <c r="H420" s="37" t="inlineStr">
        <is>
          <t>N</t>
        </is>
      </c>
      <c r="I420" s="37">
        <f>COUNTIF(G$5:G420,"Y")/COUNTA(G$5:G420)</f>
        <v/>
      </c>
      <c r="J420" s="37">
        <f>COUNTIF(H$5:H420,"Y")/COUNTA(H$5:H420)</f>
        <v/>
      </c>
      <c r="K420" s="37">
        <f>AVERAGE(F$5:F420)</f>
        <v/>
      </c>
      <c r="L420" s="37">
        <f>SUM(F$5:F420)/SUM(E$5:E420)</f>
        <v/>
      </c>
    </row>
    <row r="421">
      <c r="A421" s="29" t="n">
        <v>45692</v>
      </c>
      <c r="B421" s="37" t="inlineStr">
        <is>
          <t>JOB-1417</t>
        </is>
      </c>
      <c r="C421" s="34" t="n">
        <v>1</v>
      </c>
      <c r="D421" s="37" t="inlineStr">
        <is>
          <t>Tech B</t>
        </is>
      </c>
      <c r="E421" s="35" t="n">
        <v>0.6</v>
      </c>
      <c r="F421" s="35" t="n">
        <v>0.5</v>
      </c>
      <c r="G421" s="37" t="inlineStr">
        <is>
          <t>Y</t>
        </is>
      </c>
      <c r="H421" s="37" t="inlineStr">
        <is>
          <t>Y</t>
        </is>
      </c>
      <c r="I421" s="37">
        <f>COUNTIF(G$5:G421,"Y")/COUNTA(G$5:G421)</f>
        <v/>
      </c>
      <c r="J421" s="37">
        <f>COUNTIF(H$5:H421,"Y")/COUNTA(H$5:H421)</f>
        <v/>
      </c>
      <c r="K421" s="37">
        <f>AVERAGE(F$5:F421)</f>
        <v/>
      </c>
      <c r="L421" s="37">
        <f>SUM(F$5:F421)/SUM(E$5:E421)</f>
        <v/>
      </c>
    </row>
    <row r="422">
      <c r="A422" s="29" t="n">
        <v>45693</v>
      </c>
      <c r="B422" s="37" t="inlineStr">
        <is>
          <t>JOB-1418</t>
        </is>
      </c>
      <c r="C422" s="34" t="n">
        <v>1</v>
      </c>
      <c r="D422" s="37" t="inlineStr">
        <is>
          <t>Tech F</t>
        </is>
      </c>
      <c r="E422" s="35" t="n">
        <v>0.7</v>
      </c>
      <c r="F422" s="35" t="n">
        <v>0.5</v>
      </c>
      <c r="G422" s="37" t="inlineStr">
        <is>
          <t>Y</t>
        </is>
      </c>
      <c r="H422" s="37" t="inlineStr">
        <is>
          <t>N</t>
        </is>
      </c>
      <c r="I422" s="37">
        <f>COUNTIF(G$5:G422,"Y")/COUNTA(G$5:G422)</f>
        <v/>
      </c>
      <c r="J422" s="37">
        <f>COUNTIF(H$5:H422,"Y")/COUNTA(H$5:H422)</f>
        <v/>
      </c>
      <c r="K422" s="37">
        <f>AVERAGE(F$5:F422)</f>
        <v/>
      </c>
      <c r="L422" s="37">
        <f>SUM(F$5:F422)/SUM(E$5:E422)</f>
        <v/>
      </c>
    </row>
    <row r="423">
      <c r="A423" s="29" t="n">
        <v>45694</v>
      </c>
      <c r="B423" s="37" t="inlineStr">
        <is>
          <t>JOB-1419</t>
        </is>
      </c>
      <c r="C423" s="34" t="n">
        <v>1</v>
      </c>
      <c r="D423" s="37" t="inlineStr">
        <is>
          <t>Tech C</t>
        </is>
      </c>
      <c r="E423" s="35" t="n">
        <v>0.6</v>
      </c>
      <c r="F423" s="35" t="n">
        <v>0.5</v>
      </c>
      <c r="G423" s="37" t="inlineStr">
        <is>
          <t>Y</t>
        </is>
      </c>
      <c r="H423" s="37" t="inlineStr">
        <is>
          <t>N</t>
        </is>
      </c>
      <c r="I423" s="37">
        <f>COUNTIF(G$5:G423,"Y")/COUNTA(G$5:G423)</f>
        <v/>
      </c>
      <c r="J423" s="37">
        <f>COUNTIF(H$5:H423,"Y")/COUNTA(H$5:H423)</f>
        <v/>
      </c>
      <c r="K423" s="37">
        <f>AVERAGE(F$5:F423)</f>
        <v/>
      </c>
      <c r="L423" s="37">
        <f>SUM(F$5:F423)/SUM(E$5:E423)</f>
        <v/>
      </c>
    </row>
    <row r="424">
      <c r="A424" s="29" t="n">
        <v>45695</v>
      </c>
      <c r="B424" s="37" t="inlineStr">
        <is>
          <t>JOB-1420</t>
        </is>
      </c>
      <c r="C424" s="34" t="n">
        <v>1</v>
      </c>
      <c r="D424" s="37" t="inlineStr">
        <is>
          <t>Tech A</t>
        </is>
      </c>
      <c r="E424" s="35" t="n">
        <v>0.9</v>
      </c>
      <c r="F424" s="35" t="n">
        <v>0.5</v>
      </c>
      <c r="G424" s="37" t="inlineStr">
        <is>
          <t>Y</t>
        </is>
      </c>
      <c r="H424" s="37" t="inlineStr">
        <is>
          <t>N</t>
        </is>
      </c>
      <c r="I424" s="37">
        <f>COUNTIF(G$5:G424,"Y")/COUNTA(G$5:G424)</f>
        <v/>
      </c>
      <c r="J424" s="37">
        <f>COUNTIF(H$5:H424,"Y")/COUNTA(H$5:H424)</f>
        <v/>
      </c>
      <c r="K424" s="37">
        <f>AVERAGE(F$5:F424)</f>
        <v/>
      </c>
      <c r="L424" s="37">
        <f>SUM(F$5:F424)/SUM(E$5:E424)</f>
        <v/>
      </c>
      <c r="M424" s="37" t="n">
        <v>14</v>
      </c>
    </row>
    <row r="425">
      <c r="A425" s="29" t="n">
        <v>45698</v>
      </c>
      <c r="B425" s="37" t="inlineStr">
        <is>
          <t>JOB-1421</t>
        </is>
      </c>
      <c r="C425" s="34" t="n">
        <v>1</v>
      </c>
      <c r="D425" s="37" t="inlineStr">
        <is>
          <t>Tech A</t>
        </is>
      </c>
      <c r="E425" s="35" t="n">
        <v>1.7</v>
      </c>
      <c r="F425" s="35" t="n">
        <v>1.3</v>
      </c>
      <c r="G425" s="37" t="inlineStr">
        <is>
          <t>Y</t>
        </is>
      </c>
      <c r="H425" s="37" t="inlineStr">
        <is>
          <t>N</t>
        </is>
      </c>
      <c r="I425" s="37">
        <f>COUNTIF(G$5:G425,"Y")/COUNTA(G$5:G425)</f>
        <v/>
      </c>
      <c r="J425" s="37">
        <f>COUNTIF(H$5:H425,"Y")/COUNTA(H$5:H425)</f>
        <v/>
      </c>
      <c r="K425" s="37">
        <f>AVERAGE(F$5:F425)</f>
        <v/>
      </c>
      <c r="L425" s="37">
        <f>SUM(F$5:F425)/SUM(E$5:E425)</f>
        <v/>
      </c>
    </row>
    <row r="426">
      <c r="A426" s="29" t="n">
        <v>45699</v>
      </c>
      <c r="B426" s="37" t="inlineStr">
        <is>
          <t>JOB-1422</t>
        </is>
      </c>
      <c r="C426" s="34" t="n">
        <v>1</v>
      </c>
      <c r="D426" s="37" t="inlineStr">
        <is>
          <t>Tech F</t>
        </is>
      </c>
      <c r="E426" s="35" t="n">
        <v>5.2</v>
      </c>
      <c r="F426" s="35" t="n">
        <v>3.8</v>
      </c>
      <c r="G426" s="37" t="inlineStr">
        <is>
          <t>Y</t>
        </is>
      </c>
      <c r="H426" s="37" t="inlineStr">
        <is>
          <t>N</t>
        </is>
      </c>
      <c r="I426" s="37">
        <f>COUNTIF(G$5:G426,"Y")/COUNTA(G$5:G426)</f>
        <v/>
      </c>
      <c r="J426" s="37">
        <f>COUNTIF(H$5:H426,"Y")/COUNTA(H$5:H426)</f>
        <v/>
      </c>
      <c r="K426" s="37">
        <f>AVERAGE(F$5:F426)</f>
        <v/>
      </c>
      <c r="L426" s="37">
        <f>SUM(F$5:F426)/SUM(E$5:E426)</f>
        <v/>
      </c>
    </row>
    <row r="427">
      <c r="A427" s="29" t="n">
        <v>45700</v>
      </c>
      <c r="B427" s="37" t="inlineStr">
        <is>
          <t>JOB-1423</t>
        </is>
      </c>
      <c r="C427" s="34" t="n">
        <v>1</v>
      </c>
      <c r="D427" s="37" t="inlineStr">
        <is>
          <t>Tech B</t>
        </is>
      </c>
      <c r="E427" s="35" t="n">
        <v>3.5</v>
      </c>
      <c r="F427" s="35" t="n">
        <v>2.6</v>
      </c>
      <c r="G427" s="37" t="inlineStr">
        <is>
          <t>Y</t>
        </is>
      </c>
      <c r="H427" s="37" t="inlineStr">
        <is>
          <t>N</t>
        </is>
      </c>
      <c r="I427" s="37">
        <f>COUNTIF(G$5:G427,"Y")/COUNTA(G$5:G427)</f>
        <v/>
      </c>
      <c r="J427" s="37">
        <f>COUNTIF(H$5:H427,"Y")/COUNTA(H$5:H427)</f>
        <v/>
      </c>
      <c r="K427" s="37">
        <f>AVERAGE(F$5:F427)</f>
        <v/>
      </c>
      <c r="L427" s="37">
        <f>SUM(F$5:F427)/SUM(E$5:E427)</f>
        <v/>
      </c>
    </row>
    <row r="428">
      <c r="A428" s="29" t="n">
        <v>45701</v>
      </c>
      <c r="B428" s="37" t="inlineStr">
        <is>
          <t>JOB-1424</t>
        </is>
      </c>
      <c r="C428" s="34" t="n">
        <v>1</v>
      </c>
      <c r="D428" s="37" t="inlineStr">
        <is>
          <t>Tech D</t>
        </is>
      </c>
      <c r="E428" s="35" t="n">
        <v>4.8</v>
      </c>
      <c r="F428" s="35" t="n">
        <v>3.7</v>
      </c>
      <c r="G428" s="37" t="inlineStr">
        <is>
          <t>N</t>
        </is>
      </c>
      <c r="H428" s="37" t="inlineStr">
        <is>
          <t>N</t>
        </is>
      </c>
      <c r="I428" s="37">
        <f>COUNTIF(G$5:G428,"Y")/COUNTA(G$5:G428)</f>
        <v/>
      </c>
      <c r="J428" s="37">
        <f>COUNTIF(H$5:H428,"Y")/COUNTA(H$5:H428)</f>
        <v/>
      </c>
      <c r="K428" s="37">
        <f>AVERAGE(F$5:F428)</f>
        <v/>
      </c>
      <c r="L428" s="37">
        <f>SUM(F$5:F428)/SUM(E$5:E428)</f>
        <v/>
      </c>
    </row>
    <row r="429">
      <c r="A429" s="29" t="n">
        <v>45702</v>
      </c>
      <c r="B429" s="37" t="inlineStr">
        <is>
          <t>JOB-1425</t>
        </is>
      </c>
      <c r="C429" s="34" t="n">
        <v>1</v>
      </c>
      <c r="D429" s="37" t="inlineStr">
        <is>
          <t>Tech H</t>
        </is>
      </c>
      <c r="E429" s="35" t="n">
        <v>5.3</v>
      </c>
      <c r="F429" s="35" t="n">
        <v>3.8</v>
      </c>
      <c r="G429" s="37" t="inlineStr">
        <is>
          <t>Y</t>
        </is>
      </c>
      <c r="H429" s="37" t="inlineStr">
        <is>
          <t>N</t>
        </is>
      </c>
      <c r="I429" s="37">
        <f>COUNTIF(G$5:G429,"Y")/COUNTA(G$5:G429)</f>
        <v/>
      </c>
      <c r="J429" s="37">
        <f>COUNTIF(H$5:H429,"Y")/COUNTA(H$5:H429)</f>
        <v/>
      </c>
      <c r="K429" s="37">
        <f>AVERAGE(F$5:F429)</f>
        <v/>
      </c>
      <c r="L429" s="37">
        <f>SUM(F$5:F429)/SUM(E$5:E429)</f>
        <v/>
      </c>
    </row>
    <row r="430">
      <c r="A430" s="29" t="n">
        <v>45698</v>
      </c>
      <c r="B430" s="37" t="inlineStr">
        <is>
          <t>JOB-1426</t>
        </is>
      </c>
      <c r="C430" s="34" t="n">
        <v>1</v>
      </c>
      <c r="D430" s="37" t="inlineStr">
        <is>
          <t>Tech D</t>
        </is>
      </c>
      <c r="E430" s="35" t="n">
        <v>4.3</v>
      </c>
      <c r="F430" s="35" t="n">
        <v>3.4</v>
      </c>
      <c r="G430" s="37" t="inlineStr">
        <is>
          <t>Y</t>
        </is>
      </c>
      <c r="H430" s="37" t="inlineStr">
        <is>
          <t>N</t>
        </is>
      </c>
      <c r="I430" s="37">
        <f>COUNTIF(G$5:G430,"Y")/COUNTA(G$5:G430)</f>
        <v/>
      </c>
      <c r="J430" s="37">
        <f>COUNTIF(H$5:H430,"Y")/COUNTA(H$5:H430)</f>
        <v/>
      </c>
      <c r="K430" s="37">
        <f>AVERAGE(F$5:F430)</f>
        <v/>
      </c>
      <c r="L430" s="37">
        <f>SUM(F$5:F430)/SUM(E$5:E430)</f>
        <v/>
      </c>
    </row>
    <row r="431">
      <c r="A431" s="29" t="n">
        <v>45699</v>
      </c>
      <c r="B431" s="37" t="inlineStr">
        <is>
          <t>JOB-1427</t>
        </is>
      </c>
      <c r="C431" s="34" t="n">
        <v>1</v>
      </c>
      <c r="D431" s="37" t="inlineStr">
        <is>
          <t>Tech D</t>
        </is>
      </c>
      <c r="E431" s="35" t="n">
        <v>3.1</v>
      </c>
      <c r="F431" s="35" t="n">
        <v>2.3</v>
      </c>
      <c r="G431" s="37" t="inlineStr">
        <is>
          <t>Y</t>
        </is>
      </c>
      <c r="H431" s="37" t="inlineStr">
        <is>
          <t>N</t>
        </is>
      </c>
      <c r="I431" s="37">
        <f>COUNTIF(G$5:G431,"Y")/COUNTA(G$5:G431)</f>
        <v/>
      </c>
      <c r="J431" s="37">
        <f>COUNTIF(H$5:H431,"Y")/COUNTA(H$5:H431)</f>
        <v/>
      </c>
      <c r="K431" s="37">
        <f>AVERAGE(F$5:F431)</f>
        <v/>
      </c>
      <c r="L431" s="37">
        <f>SUM(F$5:F431)/SUM(E$5:E431)</f>
        <v/>
      </c>
    </row>
    <row r="432">
      <c r="A432" s="29" t="n">
        <v>45700</v>
      </c>
      <c r="B432" s="37" t="inlineStr">
        <is>
          <t>JOB-1428</t>
        </is>
      </c>
      <c r="C432" s="34" t="n">
        <v>1</v>
      </c>
      <c r="D432" s="37" t="inlineStr">
        <is>
          <t>Tech H</t>
        </is>
      </c>
      <c r="E432" s="35" t="n">
        <v>2.3</v>
      </c>
      <c r="F432" s="35" t="n">
        <v>1.7</v>
      </c>
      <c r="G432" s="37" t="inlineStr">
        <is>
          <t>Y</t>
        </is>
      </c>
      <c r="H432" s="37" t="inlineStr">
        <is>
          <t>Y</t>
        </is>
      </c>
      <c r="I432" s="37">
        <f>COUNTIF(G$5:G432,"Y")/COUNTA(G$5:G432)</f>
        <v/>
      </c>
      <c r="J432" s="37">
        <f>COUNTIF(H$5:H432,"Y")/COUNTA(H$5:H432)</f>
        <v/>
      </c>
      <c r="K432" s="37">
        <f>AVERAGE(F$5:F432)</f>
        <v/>
      </c>
      <c r="L432" s="37">
        <f>SUM(F$5:F432)/SUM(E$5:E432)</f>
        <v/>
      </c>
    </row>
    <row r="433">
      <c r="A433" s="29" t="n">
        <v>45701</v>
      </c>
      <c r="B433" s="37" t="inlineStr">
        <is>
          <t>JOB-1429</t>
        </is>
      </c>
      <c r="C433" s="34" t="n">
        <v>1</v>
      </c>
      <c r="D433" s="37" t="inlineStr">
        <is>
          <t>Tech B</t>
        </is>
      </c>
      <c r="E433" s="35" t="n">
        <v>1.8</v>
      </c>
      <c r="F433" s="35" t="n">
        <v>1.4</v>
      </c>
      <c r="G433" s="37" t="inlineStr">
        <is>
          <t>Y</t>
        </is>
      </c>
      <c r="H433" s="37" t="inlineStr">
        <is>
          <t>N</t>
        </is>
      </c>
      <c r="I433" s="37">
        <f>COUNTIF(G$5:G433,"Y")/COUNTA(G$5:G433)</f>
        <v/>
      </c>
      <c r="J433" s="37">
        <f>COUNTIF(H$5:H433,"Y")/COUNTA(H$5:H433)</f>
        <v/>
      </c>
      <c r="K433" s="37">
        <f>AVERAGE(F$5:F433)</f>
        <v/>
      </c>
      <c r="L433" s="37">
        <f>SUM(F$5:F433)/SUM(E$5:E433)</f>
        <v/>
      </c>
    </row>
    <row r="434">
      <c r="A434" s="29" t="n">
        <v>45702</v>
      </c>
      <c r="B434" s="37" t="inlineStr">
        <is>
          <t>JOB-1430</t>
        </is>
      </c>
      <c r="C434" s="34" t="n">
        <v>1</v>
      </c>
      <c r="D434" s="37" t="inlineStr">
        <is>
          <t>Tech G</t>
        </is>
      </c>
      <c r="E434" s="35" t="n">
        <v>4.2</v>
      </c>
      <c r="F434" s="35" t="n">
        <v>3.4</v>
      </c>
      <c r="G434" s="37" t="inlineStr">
        <is>
          <t>Y</t>
        </is>
      </c>
      <c r="H434" s="37" t="inlineStr">
        <is>
          <t>N</t>
        </is>
      </c>
      <c r="I434" s="37">
        <f>COUNTIF(G$5:G434,"Y")/COUNTA(G$5:G434)</f>
        <v/>
      </c>
      <c r="J434" s="37">
        <f>COUNTIF(H$5:H434,"Y")/COUNTA(H$5:H434)</f>
        <v/>
      </c>
      <c r="K434" s="37">
        <f>AVERAGE(F$5:F434)</f>
        <v/>
      </c>
      <c r="L434" s="37">
        <f>SUM(F$5:F434)/SUM(E$5:E434)</f>
        <v/>
      </c>
    </row>
    <row r="435">
      <c r="A435" s="29" t="n">
        <v>45698</v>
      </c>
      <c r="B435" s="37" t="inlineStr">
        <is>
          <t>JOB-1431</t>
        </is>
      </c>
      <c r="C435" s="34" t="n">
        <v>1</v>
      </c>
      <c r="D435" s="37" t="inlineStr">
        <is>
          <t>Tech C</t>
        </is>
      </c>
      <c r="E435" s="35" t="n">
        <v>5.7</v>
      </c>
      <c r="F435" s="35" t="n">
        <v>4.1</v>
      </c>
      <c r="G435" s="37" t="inlineStr">
        <is>
          <t>Y</t>
        </is>
      </c>
      <c r="H435" s="37" t="inlineStr">
        <is>
          <t>N</t>
        </is>
      </c>
      <c r="I435" s="37">
        <f>COUNTIF(G$5:G435,"Y")/COUNTA(G$5:G435)</f>
        <v/>
      </c>
      <c r="J435" s="37">
        <f>COUNTIF(H$5:H435,"Y")/COUNTA(H$5:H435)</f>
        <v/>
      </c>
      <c r="K435" s="37">
        <f>AVERAGE(F$5:F435)</f>
        <v/>
      </c>
      <c r="L435" s="37">
        <f>SUM(F$5:F435)/SUM(E$5:E435)</f>
        <v/>
      </c>
    </row>
    <row r="436">
      <c r="A436" s="29" t="n">
        <v>45699</v>
      </c>
      <c r="B436" s="37" t="inlineStr">
        <is>
          <t>JOB-1432</t>
        </is>
      </c>
      <c r="C436" s="34" t="n">
        <v>1</v>
      </c>
      <c r="D436" s="37" t="inlineStr">
        <is>
          <t>Tech C</t>
        </is>
      </c>
      <c r="E436" s="35" t="n">
        <v>2.2</v>
      </c>
      <c r="F436" s="35" t="n">
        <v>1.5</v>
      </c>
      <c r="G436" s="37" t="inlineStr">
        <is>
          <t>N</t>
        </is>
      </c>
      <c r="H436" s="37" t="inlineStr">
        <is>
          <t>N</t>
        </is>
      </c>
      <c r="I436" s="37">
        <f>COUNTIF(G$5:G436,"Y")/COUNTA(G$5:G436)</f>
        <v/>
      </c>
      <c r="J436" s="37">
        <f>COUNTIF(H$5:H436,"Y")/COUNTA(H$5:H436)</f>
        <v/>
      </c>
      <c r="K436" s="37">
        <f>AVERAGE(F$5:F436)</f>
        <v/>
      </c>
      <c r="L436" s="37">
        <f>SUM(F$5:F436)/SUM(E$5:E436)</f>
        <v/>
      </c>
    </row>
    <row r="437">
      <c r="A437" s="29" t="n">
        <v>45700</v>
      </c>
      <c r="B437" s="37" t="inlineStr">
        <is>
          <t>JOB-1433</t>
        </is>
      </c>
      <c r="C437" s="34" t="n">
        <v>1</v>
      </c>
      <c r="D437" s="37" t="inlineStr">
        <is>
          <t>Tech C</t>
        </is>
      </c>
      <c r="E437" s="35" t="n">
        <v>3.3</v>
      </c>
      <c r="F437" s="35" t="n">
        <v>2.3</v>
      </c>
      <c r="G437" s="37" t="inlineStr">
        <is>
          <t>N</t>
        </is>
      </c>
      <c r="H437" s="37" t="inlineStr">
        <is>
          <t>N</t>
        </is>
      </c>
      <c r="I437" s="37">
        <f>COUNTIF(G$5:G437,"Y")/COUNTA(G$5:G437)</f>
        <v/>
      </c>
      <c r="J437" s="37">
        <f>COUNTIF(H$5:H437,"Y")/COUNTA(H$5:H437)</f>
        <v/>
      </c>
      <c r="K437" s="37">
        <f>AVERAGE(F$5:F437)</f>
        <v/>
      </c>
      <c r="L437" s="37">
        <f>SUM(F$5:F437)/SUM(E$5:E437)</f>
        <v/>
      </c>
    </row>
    <row r="438">
      <c r="A438" s="29" t="n">
        <v>45701</v>
      </c>
      <c r="B438" s="37" t="inlineStr">
        <is>
          <t>JOB-1434</t>
        </is>
      </c>
      <c r="C438" s="34" t="n">
        <v>1</v>
      </c>
      <c r="D438" s="37" t="inlineStr">
        <is>
          <t>Tech H</t>
        </is>
      </c>
      <c r="E438" s="35" t="n">
        <v>3.3</v>
      </c>
      <c r="F438" s="35" t="n">
        <v>2.2</v>
      </c>
      <c r="G438" s="37" t="inlineStr">
        <is>
          <t>Y</t>
        </is>
      </c>
      <c r="H438" s="37" t="inlineStr">
        <is>
          <t>N</t>
        </is>
      </c>
      <c r="I438" s="37">
        <f>COUNTIF(G$5:G438,"Y")/COUNTA(G$5:G438)</f>
        <v/>
      </c>
      <c r="J438" s="37">
        <f>COUNTIF(H$5:H438,"Y")/COUNTA(H$5:H438)</f>
        <v/>
      </c>
      <c r="K438" s="37">
        <f>AVERAGE(F$5:F438)</f>
        <v/>
      </c>
      <c r="L438" s="37">
        <f>SUM(F$5:F438)/SUM(E$5:E438)</f>
        <v/>
      </c>
    </row>
    <row r="439">
      <c r="A439" s="29" t="n">
        <v>45702</v>
      </c>
      <c r="B439" s="37" t="inlineStr">
        <is>
          <t>JOB-1435</t>
        </is>
      </c>
      <c r="C439" s="34" t="n">
        <v>1</v>
      </c>
      <c r="D439" s="37" t="inlineStr">
        <is>
          <t>Tech A</t>
        </is>
      </c>
      <c r="E439" s="35" t="n">
        <v>4.1</v>
      </c>
      <c r="F439" s="35" t="n">
        <v>3.4</v>
      </c>
      <c r="G439" s="37" t="inlineStr">
        <is>
          <t>Y</t>
        </is>
      </c>
      <c r="H439" s="37" t="inlineStr">
        <is>
          <t>Y</t>
        </is>
      </c>
      <c r="I439" s="37">
        <f>COUNTIF(G$5:G439,"Y")/COUNTA(G$5:G439)</f>
        <v/>
      </c>
      <c r="J439" s="37">
        <f>COUNTIF(H$5:H439,"Y")/COUNTA(H$5:H439)</f>
        <v/>
      </c>
      <c r="K439" s="37">
        <f>AVERAGE(F$5:F439)</f>
        <v/>
      </c>
      <c r="L439" s="37">
        <f>SUM(F$5:F439)/SUM(E$5:E439)</f>
        <v/>
      </c>
    </row>
    <row r="440">
      <c r="A440" s="29" t="n">
        <v>45698</v>
      </c>
      <c r="B440" s="37" t="inlineStr">
        <is>
          <t>JOB-1436</t>
        </is>
      </c>
      <c r="C440" s="34" t="n">
        <v>1</v>
      </c>
      <c r="D440" s="37" t="inlineStr">
        <is>
          <t>Tech G</t>
        </is>
      </c>
      <c r="E440" s="35" t="n">
        <v>3.5</v>
      </c>
      <c r="F440" s="35" t="n">
        <v>2.7</v>
      </c>
      <c r="G440" s="37" t="inlineStr">
        <is>
          <t>Y</t>
        </is>
      </c>
      <c r="H440" s="37" t="inlineStr">
        <is>
          <t>N</t>
        </is>
      </c>
      <c r="I440" s="37">
        <f>COUNTIF(G$5:G440,"Y")/COUNTA(G$5:G440)</f>
        <v/>
      </c>
      <c r="J440" s="37">
        <f>COUNTIF(H$5:H440,"Y")/COUNTA(H$5:H440)</f>
        <v/>
      </c>
      <c r="K440" s="37">
        <f>AVERAGE(F$5:F440)</f>
        <v/>
      </c>
      <c r="L440" s="37">
        <f>SUM(F$5:F440)/SUM(E$5:E440)</f>
        <v/>
      </c>
    </row>
    <row r="441">
      <c r="A441" s="29" t="n">
        <v>45699</v>
      </c>
      <c r="B441" s="37" t="inlineStr">
        <is>
          <t>JOB-1437</t>
        </is>
      </c>
      <c r="C441" s="34" t="n">
        <v>1</v>
      </c>
      <c r="D441" s="37" t="inlineStr">
        <is>
          <t>Tech A</t>
        </is>
      </c>
      <c r="E441" s="35" t="n">
        <v>1.5</v>
      </c>
      <c r="F441" s="35" t="n">
        <v>1.3</v>
      </c>
      <c r="G441" s="37" t="inlineStr">
        <is>
          <t>Y</t>
        </is>
      </c>
      <c r="H441" s="37" t="inlineStr">
        <is>
          <t>N</t>
        </is>
      </c>
      <c r="I441" s="37">
        <f>COUNTIF(G$5:G441,"Y")/COUNTA(G$5:G441)</f>
        <v/>
      </c>
      <c r="J441" s="37">
        <f>COUNTIF(H$5:H441,"Y")/COUNTA(H$5:H441)</f>
        <v/>
      </c>
      <c r="K441" s="37">
        <f>AVERAGE(F$5:F441)</f>
        <v/>
      </c>
      <c r="L441" s="37">
        <f>SUM(F$5:F441)/SUM(E$5:E441)</f>
        <v/>
      </c>
    </row>
    <row r="442">
      <c r="A442" s="29" t="n">
        <v>45700</v>
      </c>
      <c r="B442" s="37" t="inlineStr">
        <is>
          <t>JOB-1438</t>
        </is>
      </c>
      <c r="C442" s="34" t="n">
        <v>1</v>
      </c>
      <c r="D442" s="37" t="inlineStr">
        <is>
          <t>Tech H</t>
        </is>
      </c>
      <c r="E442" s="35" t="n">
        <v>2.7</v>
      </c>
      <c r="F442" s="35" t="n">
        <v>2.1</v>
      </c>
      <c r="G442" s="37" t="inlineStr">
        <is>
          <t>Y</t>
        </is>
      </c>
      <c r="H442" s="37" t="inlineStr">
        <is>
          <t>N</t>
        </is>
      </c>
      <c r="I442" s="37">
        <f>COUNTIF(G$5:G442,"Y")/COUNTA(G$5:G442)</f>
        <v/>
      </c>
      <c r="J442" s="37">
        <f>COUNTIF(H$5:H442,"Y")/COUNTA(H$5:H442)</f>
        <v/>
      </c>
      <c r="K442" s="37">
        <f>AVERAGE(F$5:F442)</f>
        <v/>
      </c>
      <c r="L442" s="37">
        <f>SUM(F$5:F442)/SUM(E$5:E442)</f>
        <v/>
      </c>
    </row>
    <row r="443">
      <c r="A443" s="29" t="n">
        <v>45701</v>
      </c>
      <c r="B443" s="37" t="inlineStr">
        <is>
          <t>JOB-1439</t>
        </is>
      </c>
      <c r="C443" s="34" t="n">
        <v>1</v>
      </c>
      <c r="D443" s="37" t="inlineStr">
        <is>
          <t>Tech F</t>
        </is>
      </c>
      <c r="E443" s="35" t="n">
        <v>3.4</v>
      </c>
      <c r="F443" s="35" t="n">
        <v>2.5</v>
      </c>
      <c r="G443" s="37" t="inlineStr">
        <is>
          <t>Y</t>
        </is>
      </c>
      <c r="H443" s="37" t="inlineStr">
        <is>
          <t>N</t>
        </is>
      </c>
      <c r="I443" s="37">
        <f>COUNTIF(G$5:G443,"Y")/COUNTA(G$5:G443)</f>
        <v/>
      </c>
      <c r="J443" s="37">
        <f>COUNTIF(H$5:H443,"Y")/COUNTA(H$5:H443)</f>
        <v/>
      </c>
      <c r="K443" s="37">
        <f>AVERAGE(F$5:F443)</f>
        <v/>
      </c>
      <c r="L443" s="37">
        <f>SUM(F$5:F443)/SUM(E$5:E443)</f>
        <v/>
      </c>
    </row>
    <row r="444">
      <c r="A444" s="29" t="n">
        <v>45702</v>
      </c>
      <c r="B444" s="37" t="inlineStr">
        <is>
          <t>JOB-1440</t>
        </is>
      </c>
      <c r="C444" s="34" t="n">
        <v>1</v>
      </c>
      <c r="D444" s="37" t="inlineStr">
        <is>
          <t>Tech B</t>
        </is>
      </c>
      <c r="E444" s="35" t="n">
        <v>3.4</v>
      </c>
      <c r="F444" s="35" t="n">
        <v>2.7</v>
      </c>
      <c r="G444" s="37" t="inlineStr">
        <is>
          <t>Y</t>
        </is>
      </c>
      <c r="H444" s="37" t="inlineStr">
        <is>
          <t>N</t>
        </is>
      </c>
      <c r="I444" s="37">
        <f>COUNTIF(G$5:G444,"Y")/COUNTA(G$5:G444)</f>
        <v/>
      </c>
      <c r="J444" s="37">
        <f>COUNTIF(H$5:H444,"Y")/COUNTA(H$5:H444)</f>
        <v/>
      </c>
      <c r="K444" s="37">
        <f>AVERAGE(F$5:F444)</f>
        <v/>
      </c>
      <c r="L444" s="37">
        <f>SUM(F$5:F444)/SUM(E$5:E444)</f>
        <v/>
      </c>
    </row>
    <row r="445">
      <c r="A445" s="29" t="n">
        <v>45698</v>
      </c>
      <c r="B445" s="37" t="inlineStr">
        <is>
          <t>JOB-1441</t>
        </is>
      </c>
      <c r="C445" s="34" t="n">
        <v>1</v>
      </c>
      <c r="D445" s="37" t="inlineStr">
        <is>
          <t>Tech F</t>
        </is>
      </c>
      <c r="E445" s="35" t="n">
        <v>3.5</v>
      </c>
      <c r="F445" s="35" t="n">
        <v>3</v>
      </c>
      <c r="G445" s="37" t="inlineStr">
        <is>
          <t>N</t>
        </is>
      </c>
      <c r="H445" s="37" t="inlineStr">
        <is>
          <t>N</t>
        </is>
      </c>
      <c r="I445" s="37">
        <f>COUNTIF(G$5:G445,"Y")/COUNTA(G$5:G445)</f>
        <v/>
      </c>
      <c r="J445" s="37">
        <f>COUNTIF(H$5:H445,"Y")/COUNTA(H$5:H445)</f>
        <v/>
      </c>
      <c r="K445" s="37">
        <f>AVERAGE(F$5:F445)</f>
        <v/>
      </c>
      <c r="L445" s="37">
        <f>SUM(F$5:F445)/SUM(E$5:E445)</f>
        <v/>
      </c>
    </row>
    <row r="446">
      <c r="A446" s="29" t="n">
        <v>45699</v>
      </c>
      <c r="B446" s="37" t="inlineStr">
        <is>
          <t>JOB-1442</t>
        </is>
      </c>
      <c r="C446" s="34" t="n">
        <v>1</v>
      </c>
      <c r="D446" s="37" t="inlineStr">
        <is>
          <t>Tech H</t>
        </is>
      </c>
      <c r="E446" s="35" t="n">
        <v>5.8</v>
      </c>
      <c r="F446" s="35" t="n">
        <v>4.1</v>
      </c>
      <c r="G446" s="37" t="inlineStr">
        <is>
          <t>Y</t>
        </is>
      </c>
      <c r="H446" s="37" t="inlineStr">
        <is>
          <t>N</t>
        </is>
      </c>
      <c r="I446" s="37">
        <f>COUNTIF(G$5:G446,"Y")/COUNTA(G$5:G446)</f>
        <v/>
      </c>
      <c r="J446" s="37">
        <f>COUNTIF(H$5:H446,"Y")/COUNTA(H$5:H446)</f>
        <v/>
      </c>
      <c r="K446" s="37">
        <f>AVERAGE(F$5:F446)</f>
        <v/>
      </c>
      <c r="L446" s="37">
        <f>SUM(F$5:F446)/SUM(E$5:E446)</f>
        <v/>
      </c>
    </row>
    <row r="447">
      <c r="A447" s="29" t="n">
        <v>45700</v>
      </c>
      <c r="B447" s="37" t="inlineStr">
        <is>
          <t>JOB-1443</t>
        </is>
      </c>
      <c r="C447" s="34" t="n">
        <v>1</v>
      </c>
      <c r="D447" s="37" t="inlineStr">
        <is>
          <t>Tech H</t>
        </is>
      </c>
      <c r="E447" s="35" t="n">
        <v>2.5</v>
      </c>
      <c r="F447" s="35" t="n">
        <v>2</v>
      </c>
      <c r="G447" s="37" t="inlineStr">
        <is>
          <t>Y</t>
        </is>
      </c>
      <c r="H447" s="37" t="inlineStr">
        <is>
          <t>N</t>
        </is>
      </c>
      <c r="I447" s="37">
        <f>COUNTIF(G$5:G447,"Y")/COUNTA(G$5:G447)</f>
        <v/>
      </c>
      <c r="J447" s="37">
        <f>COUNTIF(H$5:H447,"Y")/COUNTA(H$5:H447)</f>
        <v/>
      </c>
      <c r="K447" s="37">
        <f>AVERAGE(F$5:F447)</f>
        <v/>
      </c>
      <c r="L447" s="37">
        <f>SUM(F$5:F447)/SUM(E$5:E447)</f>
        <v/>
      </c>
    </row>
    <row r="448">
      <c r="A448" s="29" t="n">
        <v>45701</v>
      </c>
      <c r="B448" s="37" t="inlineStr">
        <is>
          <t>JOB-1444</t>
        </is>
      </c>
      <c r="C448" s="34" t="n">
        <v>1</v>
      </c>
      <c r="D448" s="37" t="inlineStr">
        <is>
          <t>Tech G</t>
        </is>
      </c>
      <c r="E448" s="35" t="n">
        <v>4.8</v>
      </c>
      <c r="F448" s="35" t="n">
        <v>3.6</v>
      </c>
      <c r="G448" s="37" t="inlineStr">
        <is>
          <t>Y</t>
        </is>
      </c>
      <c r="H448" s="37" t="inlineStr">
        <is>
          <t>N</t>
        </is>
      </c>
      <c r="I448" s="37">
        <f>COUNTIF(G$5:G448,"Y")/COUNTA(G$5:G448)</f>
        <v/>
      </c>
      <c r="J448" s="37">
        <f>COUNTIF(H$5:H448,"Y")/COUNTA(H$5:H448)</f>
        <v/>
      </c>
      <c r="K448" s="37">
        <f>AVERAGE(F$5:F448)</f>
        <v/>
      </c>
      <c r="L448" s="37">
        <f>SUM(F$5:F448)/SUM(E$5:E448)</f>
        <v/>
      </c>
    </row>
    <row r="449">
      <c r="A449" s="29" t="n">
        <v>45702</v>
      </c>
      <c r="B449" s="37" t="inlineStr">
        <is>
          <t>JOB-1445</t>
        </is>
      </c>
      <c r="C449" s="34" t="n">
        <v>1</v>
      </c>
      <c r="D449" s="37" t="inlineStr">
        <is>
          <t>Tech A</t>
        </is>
      </c>
      <c r="E449" s="35" t="n">
        <v>4.1</v>
      </c>
      <c r="F449" s="35" t="n">
        <v>3.3</v>
      </c>
      <c r="G449" s="37" t="inlineStr">
        <is>
          <t>Y</t>
        </is>
      </c>
      <c r="H449" s="37" t="inlineStr">
        <is>
          <t>N</t>
        </is>
      </c>
      <c r="I449" s="37">
        <f>COUNTIF(G$5:G449,"Y")/COUNTA(G$5:G449)</f>
        <v/>
      </c>
      <c r="J449" s="37">
        <f>COUNTIF(H$5:H449,"Y")/COUNTA(H$5:H449)</f>
        <v/>
      </c>
      <c r="K449" s="37">
        <f>AVERAGE(F$5:F449)</f>
        <v/>
      </c>
      <c r="L449" s="37">
        <f>SUM(F$5:F449)/SUM(E$5:E449)</f>
        <v/>
      </c>
    </row>
    <row r="450">
      <c r="A450" s="29" t="n">
        <v>45698</v>
      </c>
      <c r="B450" s="37" t="inlineStr">
        <is>
          <t>JOB-1446</t>
        </is>
      </c>
      <c r="C450" s="34" t="n">
        <v>1</v>
      </c>
      <c r="D450" s="37" t="inlineStr">
        <is>
          <t>Tech B</t>
        </is>
      </c>
      <c r="E450" s="35" t="n">
        <v>4.5</v>
      </c>
      <c r="F450" s="35" t="n">
        <v>3.6</v>
      </c>
      <c r="G450" s="37" t="inlineStr">
        <is>
          <t>Y</t>
        </is>
      </c>
      <c r="H450" s="37" t="inlineStr">
        <is>
          <t>N</t>
        </is>
      </c>
      <c r="I450" s="37">
        <f>COUNTIF(G$5:G450,"Y")/COUNTA(G$5:G450)</f>
        <v/>
      </c>
      <c r="J450" s="37">
        <f>COUNTIF(H$5:H450,"Y")/COUNTA(H$5:H450)</f>
        <v/>
      </c>
      <c r="K450" s="37">
        <f>AVERAGE(F$5:F450)</f>
        <v/>
      </c>
      <c r="L450" s="37">
        <f>SUM(F$5:F450)/SUM(E$5:E450)</f>
        <v/>
      </c>
    </row>
    <row r="451">
      <c r="A451" s="29" t="n">
        <v>45699</v>
      </c>
      <c r="B451" s="37" t="inlineStr">
        <is>
          <t>JOB-1447</t>
        </is>
      </c>
      <c r="C451" s="34" t="n">
        <v>1</v>
      </c>
      <c r="D451" s="37" t="inlineStr">
        <is>
          <t>Tech D</t>
        </is>
      </c>
      <c r="E451" s="35" t="n">
        <v>4.8</v>
      </c>
      <c r="F451" s="35" t="n">
        <v>3.2</v>
      </c>
      <c r="G451" s="37" t="inlineStr">
        <is>
          <t>Y</t>
        </is>
      </c>
      <c r="H451" s="37" t="inlineStr">
        <is>
          <t>N</t>
        </is>
      </c>
      <c r="I451" s="37">
        <f>COUNTIF(G$5:G451,"Y")/COUNTA(G$5:G451)</f>
        <v/>
      </c>
      <c r="J451" s="37">
        <f>COUNTIF(H$5:H451,"Y")/COUNTA(H$5:H451)</f>
        <v/>
      </c>
      <c r="K451" s="37">
        <f>AVERAGE(F$5:F451)</f>
        <v/>
      </c>
      <c r="L451" s="37">
        <f>SUM(F$5:F451)/SUM(E$5:E451)</f>
        <v/>
      </c>
    </row>
    <row r="452">
      <c r="A452" s="29" t="n">
        <v>45700</v>
      </c>
      <c r="B452" s="37" t="inlineStr">
        <is>
          <t>JOB-1448</t>
        </is>
      </c>
      <c r="C452" s="34" t="n">
        <v>1</v>
      </c>
      <c r="D452" s="37" t="inlineStr">
        <is>
          <t>Tech G</t>
        </is>
      </c>
      <c r="E452" s="35" t="n">
        <v>4.1</v>
      </c>
      <c r="F452" s="35" t="n">
        <v>2.9</v>
      </c>
      <c r="G452" s="37" t="inlineStr">
        <is>
          <t>Y</t>
        </is>
      </c>
      <c r="H452" s="37" t="inlineStr">
        <is>
          <t>N</t>
        </is>
      </c>
      <c r="I452" s="37">
        <f>COUNTIF(G$5:G452,"Y")/COUNTA(G$5:G452)</f>
        <v/>
      </c>
      <c r="J452" s="37">
        <f>COUNTIF(H$5:H452,"Y")/COUNTA(H$5:H452)</f>
        <v/>
      </c>
      <c r="K452" s="37">
        <f>AVERAGE(F$5:F452)</f>
        <v/>
      </c>
      <c r="L452" s="37">
        <f>SUM(F$5:F452)/SUM(E$5:E452)</f>
        <v/>
      </c>
    </row>
    <row r="453">
      <c r="A453" s="29" t="n">
        <v>45701</v>
      </c>
      <c r="B453" s="37" t="inlineStr">
        <is>
          <t>JOB-1449</t>
        </is>
      </c>
      <c r="C453" s="34" t="n">
        <v>1</v>
      </c>
      <c r="D453" s="37" t="inlineStr">
        <is>
          <t>Tech B</t>
        </is>
      </c>
      <c r="E453" s="35" t="n">
        <v>4.6</v>
      </c>
      <c r="F453" s="35" t="n">
        <v>3.3</v>
      </c>
      <c r="G453" s="37" t="inlineStr">
        <is>
          <t>Y</t>
        </is>
      </c>
      <c r="H453" s="37" t="inlineStr">
        <is>
          <t>N</t>
        </is>
      </c>
      <c r="I453" s="37">
        <f>COUNTIF(G$5:G453,"Y")/COUNTA(G$5:G453)</f>
        <v/>
      </c>
      <c r="J453" s="37">
        <f>COUNTIF(H$5:H453,"Y")/COUNTA(H$5:H453)</f>
        <v/>
      </c>
      <c r="K453" s="37">
        <f>AVERAGE(F$5:F453)</f>
        <v/>
      </c>
      <c r="L453" s="37">
        <f>SUM(F$5:F453)/SUM(E$5:E453)</f>
        <v/>
      </c>
    </row>
    <row r="454">
      <c r="A454" s="29" t="n">
        <v>45702</v>
      </c>
      <c r="B454" s="37" t="inlineStr">
        <is>
          <t>JOB-1450</t>
        </is>
      </c>
      <c r="C454" s="34" t="n">
        <v>1</v>
      </c>
      <c r="D454" s="37" t="inlineStr">
        <is>
          <t>Tech A</t>
        </is>
      </c>
      <c r="E454" s="35" t="n">
        <v>1.6</v>
      </c>
      <c r="F454" s="35" t="n">
        <v>1.2</v>
      </c>
      <c r="G454" s="37" t="inlineStr">
        <is>
          <t>Y</t>
        </is>
      </c>
      <c r="H454" s="37" t="inlineStr">
        <is>
          <t>N</t>
        </is>
      </c>
      <c r="I454" s="37">
        <f>COUNTIF(G$5:G454,"Y")/COUNTA(G$5:G454)</f>
        <v/>
      </c>
      <c r="J454" s="37">
        <f>COUNTIF(H$5:H454,"Y")/COUNTA(H$5:H454)</f>
        <v/>
      </c>
      <c r="K454" s="37">
        <f>AVERAGE(F$5:F454)</f>
        <v/>
      </c>
      <c r="L454" s="37">
        <f>SUM(F$5:F454)/SUM(E$5:E454)</f>
        <v/>
      </c>
    </row>
    <row r="455">
      <c r="A455" s="29" t="n">
        <v>45698</v>
      </c>
      <c r="B455" s="37" t="inlineStr">
        <is>
          <t>JOB-1451</t>
        </is>
      </c>
      <c r="C455" s="34" t="n">
        <v>1</v>
      </c>
      <c r="D455" s="37" t="inlineStr">
        <is>
          <t>Tech G</t>
        </is>
      </c>
      <c r="E455" s="35" t="n">
        <v>5.7</v>
      </c>
      <c r="F455" s="35" t="n">
        <v>4</v>
      </c>
      <c r="G455" s="37" t="inlineStr">
        <is>
          <t>Y</t>
        </is>
      </c>
      <c r="H455" s="37" t="inlineStr">
        <is>
          <t>N</t>
        </is>
      </c>
      <c r="I455" s="37">
        <f>COUNTIF(G$5:G455,"Y")/COUNTA(G$5:G455)</f>
        <v/>
      </c>
      <c r="J455" s="37">
        <f>COUNTIF(H$5:H455,"Y")/COUNTA(H$5:H455)</f>
        <v/>
      </c>
      <c r="K455" s="37">
        <f>AVERAGE(F$5:F455)</f>
        <v/>
      </c>
      <c r="L455" s="37">
        <f>SUM(F$5:F455)/SUM(E$5:E455)</f>
        <v/>
      </c>
    </row>
    <row r="456">
      <c r="A456" s="29" t="n">
        <v>45699</v>
      </c>
      <c r="B456" s="37" t="inlineStr">
        <is>
          <t>JOB-1452</t>
        </is>
      </c>
      <c r="C456" s="34" t="n">
        <v>1</v>
      </c>
      <c r="D456" s="37" t="inlineStr">
        <is>
          <t>Tech D</t>
        </is>
      </c>
      <c r="E456" s="35" t="n">
        <v>4.7</v>
      </c>
      <c r="F456" s="35" t="n">
        <v>3.5</v>
      </c>
      <c r="G456" s="37" t="inlineStr">
        <is>
          <t>Y</t>
        </is>
      </c>
      <c r="H456" s="37" t="inlineStr">
        <is>
          <t>N</t>
        </is>
      </c>
      <c r="I456" s="37">
        <f>COUNTIF(G$5:G456,"Y")/COUNTA(G$5:G456)</f>
        <v/>
      </c>
      <c r="J456" s="37">
        <f>COUNTIF(H$5:H456,"Y")/COUNTA(H$5:H456)</f>
        <v/>
      </c>
      <c r="K456" s="37">
        <f>AVERAGE(F$5:F456)</f>
        <v/>
      </c>
      <c r="L456" s="37">
        <f>SUM(F$5:F456)/SUM(E$5:E456)</f>
        <v/>
      </c>
    </row>
    <row r="457">
      <c r="A457" s="29" t="n">
        <v>45700</v>
      </c>
      <c r="B457" s="37" t="inlineStr">
        <is>
          <t>JOB-1453</t>
        </is>
      </c>
      <c r="C457" s="34" t="n">
        <v>1</v>
      </c>
      <c r="D457" s="37" t="inlineStr">
        <is>
          <t>Tech G</t>
        </is>
      </c>
      <c r="E457" s="35" t="n">
        <v>2.3</v>
      </c>
      <c r="F457" s="35" t="n">
        <v>2.2</v>
      </c>
      <c r="G457" s="37" t="inlineStr">
        <is>
          <t>Y</t>
        </is>
      </c>
      <c r="H457" s="37" t="inlineStr">
        <is>
          <t>N</t>
        </is>
      </c>
      <c r="I457" s="37">
        <f>COUNTIF(G$5:G457,"Y")/COUNTA(G$5:G457)</f>
        <v/>
      </c>
      <c r="J457" s="37">
        <f>COUNTIF(H$5:H457,"Y")/COUNTA(H$5:H457)</f>
        <v/>
      </c>
      <c r="K457" s="37">
        <f>AVERAGE(F$5:F457)</f>
        <v/>
      </c>
      <c r="L457" s="37">
        <f>SUM(F$5:F457)/SUM(E$5:E457)</f>
        <v/>
      </c>
    </row>
    <row r="458">
      <c r="A458" s="29" t="n">
        <v>45701</v>
      </c>
      <c r="B458" s="37" t="inlineStr">
        <is>
          <t>JOB-1454</t>
        </is>
      </c>
      <c r="C458" s="34" t="n">
        <v>1</v>
      </c>
      <c r="D458" s="37" t="inlineStr">
        <is>
          <t>Tech D</t>
        </is>
      </c>
      <c r="E458" s="35" t="n">
        <v>0.5</v>
      </c>
      <c r="F458" s="35" t="n">
        <v>0.5</v>
      </c>
      <c r="G458" s="37" t="inlineStr">
        <is>
          <t>Y</t>
        </is>
      </c>
      <c r="H458" s="37" t="inlineStr">
        <is>
          <t>N</t>
        </is>
      </c>
      <c r="I458" s="37">
        <f>COUNTIF(G$5:G458,"Y")/COUNTA(G$5:G458)</f>
        <v/>
      </c>
      <c r="J458" s="37">
        <f>COUNTIF(H$5:H458,"Y")/COUNTA(H$5:H458)</f>
        <v/>
      </c>
      <c r="K458" s="37">
        <f>AVERAGE(F$5:F458)</f>
        <v/>
      </c>
      <c r="L458" s="37">
        <f>SUM(F$5:F458)/SUM(E$5:E458)</f>
        <v/>
      </c>
    </row>
    <row r="459">
      <c r="A459" s="29" t="n">
        <v>45702</v>
      </c>
      <c r="B459" s="37" t="inlineStr">
        <is>
          <t>JOB-1455</t>
        </is>
      </c>
      <c r="C459" s="34" t="n">
        <v>1</v>
      </c>
      <c r="D459" s="37" t="inlineStr">
        <is>
          <t>Tech B</t>
        </is>
      </c>
      <c r="E459" s="35" t="n">
        <v>0.5</v>
      </c>
      <c r="F459" s="35" t="n">
        <v>0.5</v>
      </c>
      <c r="G459" s="37" t="inlineStr">
        <is>
          <t>N</t>
        </is>
      </c>
      <c r="H459" s="37" t="inlineStr">
        <is>
          <t>N</t>
        </is>
      </c>
      <c r="I459" s="37">
        <f>COUNTIF(G$5:G459,"Y")/COUNTA(G$5:G459)</f>
        <v/>
      </c>
      <c r="J459" s="37">
        <f>COUNTIF(H$5:H459,"Y")/COUNTA(H$5:H459)</f>
        <v/>
      </c>
      <c r="K459" s="37">
        <f>AVERAGE(F$5:F459)</f>
        <v/>
      </c>
      <c r="L459" s="37">
        <f>SUM(F$5:F459)/SUM(E$5:E459)</f>
        <v/>
      </c>
    </row>
    <row r="460">
      <c r="A460" s="29" t="n">
        <v>45698</v>
      </c>
      <c r="B460" s="37" t="inlineStr">
        <is>
          <t>JOB-1456</t>
        </is>
      </c>
      <c r="C460" s="34" t="n">
        <v>1</v>
      </c>
      <c r="D460" s="37" t="inlineStr">
        <is>
          <t>Tech H</t>
        </is>
      </c>
      <c r="E460" s="35" t="n">
        <v>0.5</v>
      </c>
      <c r="F460" s="35" t="n">
        <v>0.5</v>
      </c>
      <c r="G460" s="37" t="inlineStr">
        <is>
          <t>Y</t>
        </is>
      </c>
      <c r="H460" s="37" t="inlineStr">
        <is>
          <t>N</t>
        </is>
      </c>
      <c r="I460" s="37">
        <f>COUNTIF(G$5:G460,"Y")/COUNTA(G$5:G460)</f>
        <v/>
      </c>
      <c r="J460" s="37">
        <f>COUNTIF(H$5:H460,"Y")/COUNTA(H$5:H460)</f>
        <v/>
      </c>
      <c r="K460" s="37">
        <f>AVERAGE(F$5:F460)</f>
        <v/>
      </c>
      <c r="L460" s="37">
        <f>SUM(F$5:F460)/SUM(E$5:E460)</f>
        <v/>
      </c>
    </row>
    <row r="461">
      <c r="A461" s="29" t="n">
        <v>45699</v>
      </c>
      <c r="B461" s="37" t="inlineStr">
        <is>
          <t>JOB-1457</t>
        </is>
      </c>
      <c r="C461" s="34" t="n">
        <v>1</v>
      </c>
      <c r="D461" s="37" t="inlineStr">
        <is>
          <t>Tech G</t>
        </is>
      </c>
      <c r="E461" s="35" t="n">
        <v>0.5</v>
      </c>
      <c r="F461" s="35" t="n">
        <v>0.5</v>
      </c>
      <c r="G461" s="37" t="inlineStr">
        <is>
          <t>Y</t>
        </is>
      </c>
      <c r="H461" s="37" t="inlineStr">
        <is>
          <t>N</t>
        </is>
      </c>
      <c r="I461" s="37">
        <f>COUNTIF(G$5:G461,"Y")/COUNTA(G$5:G461)</f>
        <v/>
      </c>
      <c r="J461" s="37">
        <f>COUNTIF(H$5:H461,"Y")/COUNTA(H$5:H461)</f>
        <v/>
      </c>
      <c r="K461" s="37">
        <f>AVERAGE(F$5:F461)</f>
        <v/>
      </c>
      <c r="L461" s="37">
        <f>SUM(F$5:F461)/SUM(E$5:E461)</f>
        <v/>
      </c>
    </row>
    <row r="462">
      <c r="A462" s="29" t="n">
        <v>45700</v>
      </c>
      <c r="B462" s="37" t="inlineStr">
        <is>
          <t>JOB-1458</t>
        </is>
      </c>
      <c r="C462" s="34" t="n">
        <v>1</v>
      </c>
      <c r="D462" s="37" t="inlineStr">
        <is>
          <t>Tech C</t>
        </is>
      </c>
      <c r="E462" s="35" t="n">
        <v>0.5</v>
      </c>
      <c r="F462" s="35" t="n">
        <v>0.5</v>
      </c>
      <c r="G462" s="37" t="inlineStr">
        <is>
          <t>Y</t>
        </is>
      </c>
      <c r="H462" s="37" t="inlineStr">
        <is>
          <t>N</t>
        </is>
      </c>
      <c r="I462" s="37">
        <f>COUNTIF(G$5:G462,"Y")/COUNTA(G$5:G462)</f>
        <v/>
      </c>
      <c r="J462" s="37">
        <f>COUNTIF(H$5:H462,"Y")/COUNTA(H$5:H462)</f>
        <v/>
      </c>
      <c r="K462" s="37">
        <f>AVERAGE(F$5:F462)</f>
        <v/>
      </c>
      <c r="L462" s="37">
        <f>SUM(F$5:F462)/SUM(E$5:E462)</f>
        <v/>
      </c>
    </row>
    <row r="463">
      <c r="A463" s="29" t="n">
        <v>45701</v>
      </c>
      <c r="B463" s="37" t="inlineStr">
        <is>
          <t>JOB-1459</t>
        </is>
      </c>
      <c r="C463" s="34" t="n">
        <v>1</v>
      </c>
      <c r="D463" s="37" t="inlineStr">
        <is>
          <t>Tech A</t>
        </is>
      </c>
      <c r="E463" s="35" t="n">
        <v>0.5</v>
      </c>
      <c r="F463" s="35" t="n">
        <v>0.5</v>
      </c>
      <c r="G463" s="37" t="inlineStr">
        <is>
          <t>Y</t>
        </is>
      </c>
      <c r="H463" s="37" t="inlineStr">
        <is>
          <t>N</t>
        </is>
      </c>
      <c r="I463" s="37">
        <f>COUNTIF(G$5:G463,"Y")/COUNTA(G$5:G463)</f>
        <v/>
      </c>
      <c r="J463" s="37">
        <f>COUNTIF(H$5:H463,"Y")/COUNTA(H$5:H463)</f>
        <v/>
      </c>
      <c r="K463" s="37">
        <f>AVERAGE(F$5:F463)</f>
        <v/>
      </c>
      <c r="L463" s="37">
        <f>SUM(F$5:F463)/SUM(E$5:E463)</f>
        <v/>
      </c>
    </row>
    <row r="464">
      <c r="A464" s="29" t="n">
        <v>45702</v>
      </c>
      <c r="B464" s="37" t="inlineStr">
        <is>
          <t>JOB-1460</t>
        </is>
      </c>
      <c r="C464" s="34" t="n">
        <v>1</v>
      </c>
      <c r="D464" s="37" t="inlineStr">
        <is>
          <t>Tech A</t>
        </is>
      </c>
      <c r="E464" s="35" t="n">
        <v>0.5</v>
      </c>
      <c r="F464" s="35" t="n">
        <v>0.5</v>
      </c>
      <c r="G464" s="37" t="inlineStr">
        <is>
          <t>Y</t>
        </is>
      </c>
      <c r="H464" s="37" t="inlineStr">
        <is>
          <t>N</t>
        </is>
      </c>
      <c r="I464" s="37">
        <f>COUNTIF(G$5:G464,"Y")/COUNTA(G$5:G464)</f>
        <v/>
      </c>
      <c r="J464" s="37">
        <f>COUNTIF(H$5:H464,"Y")/COUNTA(H$5:H464)</f>
        <v/>
      </c>
      <c r="K464" s="37">
        <f>AVERAGE(F$5:F464)</f>
        <v/>
      </c>
      <c r="L464" s="37">
        <f>SUM(F$5:F464)/SUM(E$5:E464)</f>
        <v/>
      </c>
    </row>
    <row r="465">
      <c r="A465" s="29" t="n">
        <v>45698</v>
      </c>
      <c r="B465" s="37" t="inlineStr">
        <is>
          <t>JOB-1461</t>
        </is>
      </c>
      <c r="C465" s="34" t="n">
        <v>1</v>
      </c>
      <c r="D465" s="37" t="inlineStr">
        <is>
          <t>Tech C</t>
        </is>
      </c>
      <c r="E465" s="35" t="n">
        <v>0.5</v>
      </c>
      <c r="F465" s="35" t="n">
        <v>0.5</v>
      </c>
      <c r="G465" s="37" t="inlineStr">
        <is>
          <t>Y</t>
        </is>
      </c>
      <c r="H465" s="37" t="inlineStr">
        <is>
          <t>N</t>
        </is>
      </c>
      <c r="I465" s="37">
        <f>COUNTIF(G$5:G465,"Y")/COUNTA(G$5:G465)</f>
        <v/>
      </c>
      <c r="J465" s="37">
        <f>COUNTIF(H$5:H465,"Y")/COUNTA(H$5:H465)</f>
        <v/>
      </c>
      <c r="K465" s="37">
        <f>AVERAGE(F$5:F465)</f>
        <v/>
      </c>
      <c r="L465" s="37">
        <f>SUM(F$5:F465)/SUM(E$5:E465)</f>
        <v/>
      </c>
    </row>
    <row r="466">
      <c r="A466" s="29" t="n">
        <v>45699</v>
      </c>
      <c r="B466" s="37" t="inlineStr">
        <is>
          <t>JOB-1462</t>
        </is>
      </c>
      <c r="C466" s="34" t="n">
        <v>1</v>
      </c>
      <c r="D466" s="37" t="inlineStr">
        <is>
          <t>Tech F</t>
        </is>
      </c>
      <c r="E466" s="35" t="n">
        <v>0.5</v>
      </c>
      <c r="F466" s="35" t="n">
        <v>0.5</v>
      </c>
      <c r="G466" s="37" t="inlineStr">
        <is>
          <t>Y</t>
        </is>
      </c>
      <c r="H466" s="37" t="inlineStr">
        <is>
          <t>N</t>
        </is>
      </c>
      <c r="I466" s="37">
        <f>COUNTIF(G$5:G466,"Y")/COUNTA(G$5:G466)</f>
        <v/>
      </c>
      <c r="J466" s="37">
        <f>COUNTIF(H$5:H466,"Y")/COUNTA(H$5:H466)</f>
        <v/>
      </c>
      <c r="K466" s="37">
        <f>AVERAGE(F$5:F466)</f>
        <v/>
      </c>
      <c r="L466" s="37">
        <f>SUM(F$5:F466)/SUM(E$5:E466)</f>
        <v/>
      </c>
      <c r="M466" s="37" t="n">
        <v>12</v>
      </c>
    </row>
    <row r="467">
      <c r="A467" s="29" t="n">
        <v>45705</v>
      </c>
      <c r="B467" s="37" t="inlineStr">
        <is>
          <t>JOB-1463</t>
        </is>
      </c>
      <c r="C467" s="34" t="n">
        <v>1</v>
      </c>
      <c r="D467" s="37" t="inlineStr">
        <is>
          <t>Tech B</t>
        </is>
      </c>
      <c r="E467" s="35" t="n">
        <v>4.1</v>
      </c>
      <c r="F467" s="35" t="n">
        <v>2.8</v>
      </c>
      <c r="G467" s="37" t="inlineStr">
        <is>
          <t>Y</t>
        </is>
      </c>
      <c r="H467" s="37" t="inlineStr">
        <is>
          <t>N</t>
        </is>
      </c>
      <c r="I467" s="37">
        <f>COUNTIF(G$5:G467,"Y")/COUNTA(G$5:G467)</f>
        <v/>
      </c>
      <c r="J467" s="37">
        <f>COUNTIF(H$5:H467,"Y")/COUNTA(H$5:H467)</f>
        <v/>
      </c>
      <c r="K467" s="37">
        <f>AVERAGE(F$5:F467)</f>
        <v/>
      </c>
      <c r="L467" s="37">
        <f>SUM(F$5:F467)/SUM(E$5:E467)</f>
        <v/>
      </c>
    </row>
    <row r="468">
      <c r="A468" s="29" t="n">
        <v>45706</v>
      </c>
      <c r="B468" s="37" t="inlineStr">
        <is>
          <t>JOB-1464</t>
        </is>
      </c>
      <c r="C468" s="34" t="n">
        <v>1</v>
      </c>
      <c r="D468" s="37" t="inlineStr">
        <is>
          <t>Tech H</t>
        </is>
      </c>
      <c r="E468" s="35" t="n">
        <v>2.7</v>
      </c>
      <c r="F468" s="35" t="n">
        <v>2.1</v>
      </c>
      <c r="G468" s="37" t="inlineStr">
        <is>
          <t>Y</t>
        </is>
      </c>
      <c r="H468" s="37" t="inlineStr">
        <is>
          <t>N</t>
        </is>
      </c>
      <c r="I468" s="37">
        <f>COUNTIF(G$5:G468,"Y")/COUNTA(G$5:G468)</f>
        <v/>
      </c>
      <c r="J468" s="37">
        <f>COUNTIF(H$5:H468,"Y")/COUNTA(H$5:H468)</f>
        <v/>
      </c>
      <c r="K468" s="37">
        <f>AVERAGE(F$5:F468)</f>
        <v/>
      </c>
      <c r="L468" s="37">
        <f>SUM(F$5:F468)/SUM(E$5:E468)</f>
        <v/>
      </c>
    </row>
    <row r="469">
      <c r="A469" s="29" t="n">
        <v>45707</v>
      </c>
      <c r="B469" s="37" t="inlineStr">
        <is>
          <t>JOB-1465</t>
        </is>
      </c>
      <c r="C469" s="34" t="n">
        <v>1</v>
      </c>
      <c r="D469" s="37" t="inlineStr">
        <is>
          <t>Tech A</t>
        </is>
      </c>
      <c r="E469" s="35" t="n">
        <v>3.8</v>
      </c>
      <c r="F469" s="35" t="n">
        <v>2.9</v>
      </c>
      <c r="G469" s="37" t="inlineStr">
        <is>
          <t>Y</t>
        </is>
      </c>
      <c r="H469" s="37" t="inlineStr">
        <is>
          <t>N</t>
        </is>
      </c>
      <c r="I469" s="37">
        <f>COUNTIF(G$5:G469,"Y")/COUNTA(G$5:G469)</f>
        <v/>
      </c>
      <c r="J469" s="37">
        <f>COUNTIF(H$5:H469,"Y")/COUNTA(H$5:H469)</f>
        <v/>
      </c>
      <c r="K469" s="37">
        <f>AVERAGE(F$5:F469)</f>
        <v/>
      </c>
      <c r="L469" s="37">
        <f>SUM(F$5:F469)/SUM(E$5:E469)</f>
        <v/>
      </c>
    </row>
    <row r="470">
      <c r="A470" s="29" t="n">
        <v>45708</v>
      </c>
      <c r="B470" s="37" t="inlineStr">
        <is>
          <t>JOB-1466</t>
        </is>
      </c>
      <c r="C470" s="34" t="n">
        <v>1</v>
      </c>
      <c r="D470" s="37" t="inlineStr">
        <is>
          <t>Tech D</t>
        </is>
      </c>
      <c r="E470" s="35" t="n">
        <v>4.2</v>
      </c>
      <c r="F470" s="35" t="n">
        <v>3.6</v>
      </c>
      <c r="G470" s="37" t="inlineStr">
        <is>
          <t>N</t>
        </is>
      </c>
      <c r="H470" s="37" t="inlineStr">
        <is>
          <t>N</t>
        </is>
      </c>
      <c r="I470" s="37">
        <f>COUNTIF(G$5:G470,"Y")/COUNTA(G$5:G470)</f>
        <v/>
      </c>
      <c r="J470" s="37">
        <f>COUNTIF(H$5:H470,"Y")/COUNTA(H$5:H470)</f>
        <v/>
      </c>
      <c r="K470" s="37">
        <f>AVERAGE(F$5:F470)</f>
        <v/>
      </c>
      <c r="L470" s="37">
        <f>SUM(F$5:F470)/SUM(E$5:E470)</f>
        <v/>
      </c>
    </row>
    <row r="471">
      <c r="A471" s="29" t="n">
        <v>45709</v>
      </c>
      <c r="B471" s="37" t="inlineStr">
        <is>
          <t>JOB-1467</t>
        </is>
      </c>
      <c r="C471" s="34" t="n">
        <v>1</v>
      </c>
      <c r="D471" s="37" t="inlineStr">
        <is>
          <t>Tech D</t>
        </is>
      </c>
      <c r="E471" s="35" t="n">
        <v>3</v>
      </c>
      <c r="F471" s="35" t="n">
        <v>2.5</v>
      </c>
      <c r="G471" s="37" t="inlineStr">
        <is>
          <t>N</t>
        </is>
      </c>
      <c r="H471" s="37" t="inlineStr">
        <is>
          <t>N</t>
        </is>
      </c>
      <c r="I471" s="37">
        <f>COUNTIF(G$5:G471,"Y")/COUNTA(G$5:G471)</f>
        <v/>
      </c>
      <c r="J471" s="37">
        <f>COUNTIF(H$5:H471,"Y")/COUNTA(H$5:H471)</f>
        <v/>
      </c>
      <c r="K471" s="37">
        <f>AVERAGE(F$5:F471)</f>
        <v/>
      </c>
      <c r="L471" s="37">
        <f>SUM(F$5:F471)/SUM(E$5:E471)</f>
        <v/>
      </c>
    </row>
    <row r="472">
      <c r="A472" s="29" t="n">
        <v>45705</v>
      </c>
      <c r="B472" s="37" t="inlineStr">
        <is>
          <t>JOB-1468</t>
        </is>
      </c>
      <c r="C472" s="34" t="n">
        <v>1</v>
      </c>
      <c r="D472" s="37" t="inlineStr">
        <is>
          <t>Tech B</t>
        </is>
      </c>
      <c r="E472" s="35" t="n">
        <v>4.2</v>
      </c>
      <c r="F472" s="35" t="n">
        <v>3.4</v>
      </c>
      <c r="G472" s="37" t="inlineStr">
        <is>
          <t>Y</t>
        </is>
      </c>
      <c r="H472" s="37" t="inlineStr">
        <is>
          <t>N</t>
        </is>
      </c>
      <c r="I472" s="37">
        <f>COUNTIF(G$5:G472,"Y")/COUNTA(G$5:G472)</f>
        <v/>
      </c>
      <c r="J472" s="37">
        <f>COUNTIF(H$5:H472,"Y")/COUNTA(H$5:H472)</f>
        <v/>
      </c>
      <c r="K472" s="37">
        <f>AVERAGE(F$5:F472)</f>
        <v/>
      </c>
      <c r="L472" s="37">
        <f>SUM(F$5:F472)/SUM(E$5:E472)</f>
        <v/>
      </c>
    </row>
    <row r="473">
      <c r="A473" s="29" t="n">
        <v>45706</v>
      </c>
      <c r="B473" s="37" t="inlineStr">
        <is>
          <t>JOB-1469</t>
        </is>
      </c>
      <c r="C473" s="34" t="n">
        <v>1</v>
      </c>
      <c r="D473" s="37" t="inlineStr">
        <is>
          <t>Tech F</t>
        </is>
      </c>
      <c r="E473" s="35" t="n">
        <v>4.4</v>
      </c>
      <c r="F473" s="35" t="n">
        <v>3.2</v>
      </c>
      <c r="G473" s="37" t="inlineStr">
        <is>
          <t>Y</t>
        </is>
      </c>
      <c r="H473" s="37" t="inlineStr">
        <is>
          <t>N</t>
        </is>
      </c>
      <c r="I473" s="37">
        <f>COUNTIF(G$5:G473,"Y")/COUNTA(G$5:G473)</f>
        <v/>
      </c>
      <c r="J473" s="37">
        <f>COUNTIF(H$5:H473,"Y")/COUNTA(H$5:H473)</f>
        <v/>
      </c>
      <c r="K473" s="37">
        <f>AVERAGE(F$5:F473)</f>
        <v/>
      </c>
      <c r="L473" s="37">
        <f>SUM(F$5:F473)/SUM(E$5:E473)</f>
        <v/>
      </c>
    </row>
    <row r="474">
      <c r="A474" s="29" t="n">
        <v>45707</v>
      </c>
      <c r="B474" s="37" t="inlineStr">
        <is>
          <t>JOB-1470</t>
        </is>
      </c>
      <c r="C474" s="34" t="n">
        <v>1</v>
      </c>
      <c r="D474" s="37" t="inlineStr">
        <is>
          <t>Tech B</t>
        </is>
      </c>
      <c r="E474" s="35" t="n">
        <v>3.6</v>
      </c>
      <c r="F474" s="35" t="n">
        <v>3.2</v>
      </c>
      <c r="G474" s="37" t="inlineStr">
        <is>
          <t>Y</t>
        </is>
      </c>
      <c r="H474" s="37" t="inlineStr">
        <is>
          <t>N</t>
        </is>
      </c>
      <c r="I474" s="37">
        <f>COUNTIF(G$5:G474,"Y")/COUNTA(G$5:G474)</f>
        <v/>
      </c>
      <c r="J474" s="37">
        <f>COUNTIF(H$5:H474,"Y")/COUNTA(H$5:H474)</f>
        <v/>
      </c>
      <c r="K474" s="37">
        <f>AVERAGE(F$5:F474)</f>
        <v/>
      </c>
      <c r="L474" s="37">
        <f>SUM(F$5:F474)/SUM(E$5:E474)</f>
        <v/>
      </c>
    </row>
    <row r="475">
      <c r="A475" s="29" t="n">
        <v>45708</v>
      </c>
      <c r="B475" s="37" t="inlineStr">
        <is>
          <t>JOB-1471</t>
        </is>
      </c>
      <c r="C475" s="34" t="n">
        <v>1</v>
      </c>
      <c r="D475" s="37" t="inlineStr">
        <is>
          <t>Tech G</t>
        </is>
      </c>
      <c r="E475" s="35" t="n">
        <v>2.6</v>
      </c>
      <c r="F475" s="35" t="n">
        <v>2.1</v>
      </c>
      <c r="G475" s="37" t="inlineStr">
        <is>
          <t>Y</t>
        </is>
      </c>
      <c r="H475" s="37" t="inlineStr">
        <is>
          <t>N</t>
        </is>
      </c>
      <c r="I475" s="37">
        <f>COUNTIF(G$5:G475,"Y")/COUNTA(G$5:G475)</f>
        <v/>
      </c>
      <c r="J475" s="37">
        <f>COUNTIF(H$5:H475,"Y")/COUNTA(H$5:H475)</f>
        <v/>
      </c>
      <c r="K475" s="37">
        <f>AVERAGE(F$5:F475)</f>
        <v/>
      </c>
      <c r="L475" s="37">
        <f>SUM(F$5:F475)/SUM(E$5:E475)</f>
        <v/>
      </c>
    </row>
    <row r="476">
      <c r="A476" s="29" t="n">
        <v>45709</v>
      </c>
      <c r="B476" s="37" t="inlineStr">
        <is>
          <t>JOB-1472</t>
        </is>
      </c>
      <c r="C476" s="34" t="n">
        <v>1</v>
      </c>
      <c r="D476" s="37" t="inlineStr">
        <is>
          <t>Tech G</t>
        </is>
      </c>
      <c r="E476" s="35" t="n">
        <v>3.6</v>
      </c>
      <c r="F476" s="35" t="n">
        <v>3</v>
      </c>
      <c r="G476" s="37" t="inlineStr">
        <is>
          <t>Y</t>
        </is>
      </c>
      <c r="H476" s="37" t="inlineStr">
        <is>
          <t>N</t>
        </is>
      </c>
      <c r="I476" s="37">
        <f>COUNTIF(G$5:G476,"Y")/COUNTA(G$5:G476)</f>
        <v/>
      </c>
      <c r="J476" s="37">
        <f>COUNTIF(H$5:H476,"Y")/COUNTA(H$5:H476)</f>
        <v/>
      </c>
      <c r="K476" s="37">
        <f>AVERAGE(F$5:F476)</f>
        <v/>
      </c>
      <c r="L476" s="37">
        <f>SUM(F$5:F476)/SUM(E$5:E476)</f>
        <v/>
      </c>
    </row>
    <row r="477">
      <c r="A477" s="29" t="n">
        <v>45705</v>
      </c>
      <c r="B477" s="37" t="inlineStr">
        <is>
          <t>JOB-1473</t>
        </is>
      </c>
      <c r="C477" s="34" t="n">
        <v>1</v>
      </c>
      <c r="D477" s="37" t="inlineStr">
        <is>
          <t>Tech G</t>
        </is>
      </c>
      <c r="E477" s="35" t="n">
        <v>3.8</v>
      </c>
      <c r="F477" s="35" t="n">
        <v>2.8</v>
      </c>
      <c r="G477" s="37" t="inlineStr">
        <is>
          <t>Y</t>
        </is>
      </c>
      <c r="H477" s="37" t="inlineStr">
        <is>
          <t>N</t>
        </is>
      </c>
      <c r="I477" s="37">
        <f>COUNTIF(G$5:G477,"Y")/COUNTA(G$5:G477)</f>
        <v/>
      </c>
      <c r="J477" s="37">
        <f>COUNTIF(H$5:H477,"Y")/COUNTA(H$5:H477)</f>
        <v/>
      </c>
      <c r="K477" s="37">
        <f>AVERAGE(F$5:F477)</f>
        <v/>
      </c>
      <c r="L477" s="37">
        <f>SUM(F$5:F477)/SUM(E$5:E477)</f>
        <v/>
      </c>
    </row>
    <row r="478">
      <c r="A478" s="29" t="n">
        <v>45706</v>
      </c>
      <c r="B478" s="37" t="inlineStr">
        <is>
          <t>JOB-1474</t>
        </is>
      </c>
      <c r="C478" s="34" t="n">
        <v>1</v>
      </c>
      <c r="D478" s="37" t="inlineStr">
        <is>
          <t>Tech A</t>
        </is>
      </c>
      <c r="E478" s="35" t="n">
        <v>2.9</v>
      </c>
      <c r="F478" s="35" t="n">
        <v>2.3</v>
      </c>
      <c r="G478" s="37" t="inlineStr">
        <is>
          <t>Y</t>
        </is>
      </c>
      <c r="H478" s="37" t="inlineStr">
        <is>
          <t>N</t>
        </is>
      </c>
      <c r="I478" s="37">
        <f>COUNTIF(G$5:G478,"Y")/COUNTA(G$5:G478)</f>
        <v/>
      </c>
      <c r="J478" s="37">
        <f>COUNTIF(H$5:H478,"Y")/COUNTA(H$5:H478)</f>
        <v/>
      </c>
      <c r="K478" s="37">
        <f>AVERAGE(F$5:F478)</f>
        <v/>
      </c>
      <c r="L478" s="37">
        <f>SUM(F$5:F478)/SUM(E$5:E478)</f>
        <v/>
      </c>
    </row>
    <row r="479">
      <c r="A479" s="29" t="n">
        <v>45707</v>
      </c>
      <c r="B479" s="37" t="inlineStr">
        <is>
          <t>JOB-1475</t>
        </is>
      </c>
      <c r="C479" s="34" t="n">
        <v>1</v>
      </c>
      <c r="D479" s="37" t="inlineStr">
        <is>
          <t>Tech B</t>
        </is>
      </c>
      <c r="E479" s="35" t="n">
        <v>2.5</v>
      </c>
      <c r="F479" s="35" t="n">
        <v>2</v>
      </c>
      <c r="G479" s="37" t="inlineStr">
        <is>
          <t>Y</t>
        </is>
      </c>
      <c r="H479" s="37" t="inlineStr">
        <is>
          <t>N</t>
        </is>
      </c>
      <c r="I479" s="37">
        <f>COUNTIF(G$5:G479,"Y")/COUNTA(G$5:G479)</f>
        <v/>
      </c>
      <c r="J479" s="37">
        <f>COUNTIF(H$5:H479,"Y")/COUNTA(H$5:H479)</f>
        <v/>
      </c>
      <c r="K479" s="37">
        <f>AVERAGE(F$5:F479)</f>
        <v/>
      </c>
      <c r="L479" s="37">
        <f>SUM(F$5:F479)/SUM(E$5:E479)</f>
        <v/>
      </c>
    </row>
    <row r="480">
      <c r="A480" s="29" t="n">
        <v>45708</v>
      </c>
      <c r="B480" s="37" t="inlineStr">
        <is>
          <t>JOB-1476</t>
        </is>
      </c>
      <c r="C480" s="34" t="n">
        <v>1</v>
      </c>
      <c r="D480" s="37" t="inlineStr">
        <is>
          <t>Tech F</t>
        </is>
      </c>
      <c r="E480" s="35" t="n">
        <v>2.1</v>
      </c>
      <c r="F480" s="35" t="n">
        <v>1.4</v>
      </c>
      <c r="G480" s="37" t="inlineStr">
        <is>
          <t>Y</t>
        </is>
      </c>
      <c r="H480" s="37" t="inlineStr">
        <is>
          <t>N</t>
        </is>
      </c>
      <c r="I480" s="37">
        <f>COUNTIF(G$5:G480,"Y")/COUNTA(G$5:G480)</f>
        <v/>
      </c>
      <c r="J480" s="37">
        <f>COUNTIF(H$5:H480,"Y")/COUNTA(H$5:H480)</f>
        <v/>
      </c>
      <c r="K480" s="37">
        <f>AVERAGE(F$5:F480)</f>
        <v/>
      </c>
      <c r="L480" s="37">
        <f>SUM(F$5:F480)/SUM(E$5:E480)</f>
        <v/>
      </c>
    </row>
    <row r="481">
      <c r="A481" s="29" t="n">
        <v>45709</v>
      </c>
      <c r="B481" s="37" t="inlineStr">
        <is>
          <t>JOB-1477</t>
        </is>
      </c>
      <c r="C481" s="34" t="n">
        <v>1</v>
      </c>
      <c r="D481" s="37" t="inlineStr">
        <is>
          <t>Tech C</t>
        </is>
      </c>
      <c r="E481" s="35" t="n">
        <v>3.7</v>
      </c>
      <c r="F481" s="35" t="n">
        <v>2.5</v>
      </c>
      <c r="G481" s="37" t="inlineStr">
        <is>
          <t>Y</t>
        </is>
      </c>
      <c r="H481" s="37" t="inlineStr">
        <is>
          <t>N</t>
        </is>
      </c>
      <c r="I481" s="37">
        <f>COUNTIF(G$5:G481,"Y")/COUNTA(G$5:G481)</f>
        <v/>
      </c>
      <c r="J481" s="37">
        <f>COUNTIF(H$5:H481,"Y")/COUNTA(H$5:H481)</f>
        <v/>
      </c>
      <c r="K481" s="37">
        <f>AVERAGE(F$5:F481)</f>
        <v/>
      </c>
      <c r="L481" s="37">
        <f>SUM(F$5:F481)/SUM(E$5:E481)</f>
        <v/>
      </c>
    </row>
    <row r="482">
      <c r="A482" s="29" t="n">
        <v>45705</v>
      </c>
      <c r="B482" s="37" t="inlineStr">
        <is>
          <t>JOB-1478</t>
        </is>
      </c>
      <c r="C482" s="34" t="n">
        <v>1</v>
      </c>
      <c r="D482" s="37" t="inlineStr">
        <is>
          <t>Tech B</t>
        </is>
      </c>
      <c r="E482" s="35" t="n">
        <v>1.4</v>
      </c>
      <c r="F482" s="35" t="n">
        <v>1.1</v>
      </c>
      <c r="G482" s="37" t="inlineStr">
        <is>
          <t>Y</t>
        </is>
      </c>
      <c r="H482" s="37" t="inlineStr">
        <is>
          <t>N</t>
        </is>
      </c>
      <c r="I482" s="37">
        <f>COUNTIF(G$5:G482,"Y")/COUNTA(G$5:G482)</f>
        <v/>
      </c>
      <c r="J482" s="37">
        <f>COUNTIF(H$5:H482,"Y")/COUNTA(H$5:H482)</f>
        <v/>
      </c>
      <c r="K482" s="37">
        <f>AVERAGE(F$5:F482)</f>
        <v/>
      </c>
      <c r="L482" s="37">
        <f>SUM(F$5:F482)/SUM(E$5:E482)</f>
        <v/>
      </c>
    </row>
    <row r="483">
      <c r="A483" s="29" t="n">
        <v>45706</v>
      </c>
      <c r="B483" s="37" t="inlineStr">
        <is>
          <t>JOB-1479</t>
        </is>
      </c>
      <c r="C483" s="34" t="n">
        <v>1</v>
      </c>
      <c r="D483" s="37" t="inlineStr">
        <is>
          <t>Tech G</t>
        </is>
      </c>
      <c r="E483" s="35" t="n">
        <v>2.9</v>
      </c>
      <c r="F483" s="35" t="n">
        <v>2.4</v>
      </c>
      <c r="G483" s="37" t="inlineStr">
        <is>
          <t>Y</t>
        </is>
      </c>
      <c r="H483" s="37" t="inlineStr">
        <is>
          <t>N</t>
        </is>
      </c>
      <c r="I483" s="37">
        <f>COUNTIF(G$5:G483,"Y")/COUNTA(G$5:G483)</f>
        <v/>
      </c>
      <c r="J483" s="37">
        <f>COUNTIF(H$5:H483,"Y")/COUNTA(H$5:H483)</f>
        <v/>
      </c>
      <c r="K483" s="37">
        <f>AVERAGE(F$5:F483)</f>
        <v/>
      </c>
      <c r="L483" s="37">
        <f>SUM(F$5:F483)/SUM(E$5:E483)</f>
        <v/>
      </c>
    </row>
    <row r="484">
      <c r="A484" s="29" t="n">
        <v>45707</v>
      </c>
      <c r="B484" s="37" t="inlineStr">
        <is>
          <t>JOB-1480</t>
        </is>
      </c>
      <c r="C484" s="34" t="n">
        <v>1</v>
      </c>
      <c r="D484" s="37" t="inlineStr">
        <is>
          <t>Tech H</t>
        </is>
      </c>
      <c r="E484" s="35" t="n">
        <v>2.7</v>
      </c>
      <c r="F484" s="35" t="n">
        <v>2</v>
      </c>
      <c r="G484" s="37" t="inlineStr">
        <is>
          <t>Y</t>
        </is>
      </c>
      <c r="H484" s="37" t="inlineStr">
        <is>
          <t>N</t>
        </is>
      </c>
      <c r="I484" s="37">
        <f>COUNTIF(G$5:G484,"Y")/COUNTA(G$5:G484)</f>
        <v/>
      </c>
      <c r="J484" s="37">
        <f>COUNTIF(H$5:H484,"Y")/COUNTA(H$5:H484)</f>
        <v/>
      </c>
      <c r="K484" s="37">
        <f>AVERAGE(F$5:F484)</f>
        <v/>
      </c>
      <c r="L484" s="37">
        <f>SUM(F$5:F484)/SUM(E$5:E484)</f>
        <v/>
      </c>
    </row>
    <row r="485">
      <c r="A485" s="29" t="n">
        <v>45708</v>
      </c>
      <c r="B485" s="37" t="inlineStr">
        <is>
          <t>JOB-1481</t>
        </is>
      </c>
      <c r="C485" s="34" t="n">
        <v>1</v>
      </c>
      <c r="D485" s="37" t="inlineStr">
        <is>
          <t>Tech F</t>
        </is>
      </c>
      <c r="E485" s="35" t="n">
        <v>3.3</v>
      </c>
      <c r="F485" s="35" t="n">
        <v>2.7</v>
      </c>
      <c r="G485" s="37" t="inlineStr">
        <is>
          <t>Y</t>
        </is>
      </c>
      <c r="H485" s="37" t="inlineStr">
        <is>
          <t>N</t>
        </is>
      </c>
      <c r="I485" s="37">
        <f>COUNTIF(G$5:G485,"Y")/COUNTA(G$5:G485)</f>
        <v/>
      </c>
      <c r="J485" s="37">
        <f>COUNTIF(H$5:H485,"Y")/COUNTA(H$5:H485)</f>
        <v/>
      </c>
      <c r="K485" s="37">
        <f>AVERAGE(F$5:F485)</f>
        <v/>
      </c>
      <c r="L485" s="37">
        <f>SUM(F$5:F485)/SUM(E$5:E485)</f>
        <v/>
      </c>
    </row>
    <row r="486">
      <c r="A486" s="29" t="n">
        <v>45709</v>
      </c>
      <c r="B486" s="37" t="inlineStr">
        <is>
          <t>JOB-1482</t>
        </is>
      </c>
      <c r="C486" s="34" t="n">
        <v>1</v>
      </c>
      <c r="D486" s="37" t="inlineStr">
        <is>
          <t>Tech C</t>
        </is>
      </c>
      <c r="E486" s="35" t="n">
        <v>2.5</v>
      </c>
      <c r="F486" s="35" t="n">
        <v>2.1</v>
      </c>
      <c r="G486" s="37" t="inlineStr">
        <is>
          <t>Y</t>
        </is>
      </c>
      <c r="H486" s="37" t="inlineStr">
        <is>
          <t>N</t>
        </is>
      </c>
      <c r="I486" s="37">
        <f>COUNTIF(G$5:G486,"Y")/COUNTA(G$5:G486)</f>
        <v/>
      </c>
      <c r="J486" s="37">
        <f>COUNTIF(H$5:H486,"Y")/COUNTA(H$5:H486)</f>
        <v/>
      </c>
      <c r="K486" s="37">
        <f>AVERAGE(F$5:F486)</f>
        <v/>
      </c>
      <c r="L486" s="37">
        <f>SUM(F$5:F486)/SUM(E$5:E486)</f>
        <v/>
      </c>
    </row>
    <row r="487">
      <c r="A487" s="29" t="n">
        <v>45705</v>
      </c>
      <c r="B487" s="37" t="inlineStr">
        <is>
          <t>JOB-1483</t>
        </is>
      </c>
      <c r="C487" s="34" t="n">
        <v>1</v>
      </c>
      <c r="D487" s="37" t="inlineStr">
        <is>
          <t>Tech F</t>
        </is>
      </c>
      <c r="E487" s="35" t="n">
        <v>3.9</v>
      </c>
      <c r="F487" s="35" t="n">
        <v>3</v>
      </c>
      <c r="G487" s="37" t="inlineStr">
        <is>
          <t>Y</t>
        </is>
      </c>
      <c r="H487" s="37" t="inlineStr">
        <is>
          <t>N</t>
        </is>
      </c>
      <c r="I487" s="37">
        <f>COUNTIF(G$5:G487,"Y")/COUNTA(G$5:G487)</f>
        <v/>
      </c>
      <c r="J487" s="37">
        <f>COUNTIF(H$5:H487,"Y")/COUNTA(H$5:H487)</f>
        <v/>
      </c>
      <c r="K487" s="37">
        <f>AVERAGE(F$5:F487)</f>
        <v/>
      </c>
      <c r="L487" s="37">
        <f>SUM(F$5:F487)/SUM(E$5:E487)</f>
        <v/>
      </c>
    </row>
    <row r="488">
      <c r="A488" s="29" t="n">
        <v>45706</v>
      </c>
      <c r="B488" s="37" t="inlineStr">
        <is>
          <t>JOB-1484</t>
        </is>
      </c>
      <c r="C488" s="34" t="n">
        <v>1</v>
      </c>
      <c r="D488" s="37" t="inlineStr">
        <is>
          <t>Tech F</t>
        </is>
      </c>
      <c r="E488" s="35" t="n">
        <v>2.2</v>
      </c>
      <c r="F488" s="35" t="n">
        <v>1.6</v>
      </c>
      <c r="G488" s="37" t="inlineStr">
        <is>
          <t>N</t>
        </is>
      </c>
      <c r="H488" s="37" t="inlineStr">
        <is>
          <t>N</t>
        </is>
      </c>
      <c r="I488" s="37">
        <f>COUNTIF(G$5:G488,"Y")/COUNTA(G$5:G488)</f>
        <v/>
      </c>
      <c r="J488" s="37">
        <f>COUNTIF(H$5:H488,"Y")/COUNTA(H$5:H488)</f>
        <v/>
      </c>
      <c r="K488" s="37">
        <f>AVERAGE(F$5:F488)</f>
        <v/>
      </c>
      <c r="L488" s="37">
        <f>SUM(F$5:F488)/SUM(E$5:E488)</f>
        <v/>
      </c>
    </row>
    <row r="489">
      <c r="A489" s="29" t="n">
        <v>45707</v>
      </c>
      <c r="B489" s="37" t="inlineStr">
        <is>
          <t>JOB-1485</t>
        </is>
      </c>
      <c r="C489" s="34" t="n">
        <v>1</v>
      </c>
      <c r="D489" s="37" t="inlineStr">
        <is>
          <t>Tech G</t>
        </is>
      </c>
      <c r="E489" s="35" t="n">
        <v>5.4</v>
      </c>
      <c r="F489" s="35" t="n">
        <v>3.7</v>
      </c>
      <c r="G489" s="37" t="inlineStr">
        <is>
          <t>Y</t>
        </is>
      </c>
      <c r="H489" s="37" t="inlineStr">
        <is>
          <t>N</t>
        </is>
      </c>
      <c r="I489" s="37">
        <f>COUNTIF(G$5:G489,"Y")/COUNTA(G$5:G489)</f>
        <v/>
      </c>
      <c r="J489" s="37">
        <f>COUNTIF(H$5:H489,"Y")/COUNTA(H$5:H489)</f>
        <v/>
      </c>
      <c r="K489" s="37">
        <f>AVERAGE(F$5:F489)</f>
        <v/>
      </c>
      <c r="L489" s="37">
        <f>SUM(F$5:F489)/SUM(E$5:E489)</f>
        <v/>
      </c>
    </row>
    <row r="490">
      <c r="A490" s="29" t="n">
        <v>45708</v>
      </c>
      <c r="B490" s="37" t="inlineStr">
        <is>
          <t>JOB-1486</t>
        </is>
      </c>
      <c r="C490" s="34" t="n">
        <v>1</v>
      </c>
      <c r="D490" s="37" t="inlineStr">
        <is>
          <t>Tech H</t>
        </is>
      </c>
      <c r="E490" s="35" t="n">
        <v>4.6</v>
      </c>
      <c r="F490" s="35" t="n">
        <v>3.3</v>
      </c>
      <c r="G490" s="37" t="inlineStr">
        <is>
          <t>Y</t>
        </is>
      </c>
      <c r="H490" s="37" t="inlineStr">
        <is>
          <t>N</t>
        </is>
      </c>
      <c r="I490" s="37">
        <f>COUNTIF(G$5:G490,"Y")/COUNTA(G$5:G490)</f>
        <v/>
      </c>
      <c r="J490" s="37">
        <f>COUNTIF(H$5:H490,"Y")/COUNTA(H$5:H490)</f>
        <v/>
      </c>
      <c r="K490" s="37">
        <f>AVERAGE(F$5:F490)</f>
        <v/>
      </c>
      <c r="L490" s="37">
        <f>SUM(F$5:F490)/SUM(E$5:E490)</f>
        <v/>
      </c>
    </row>
    <row r="491">
      <c r="A491" s="29" t="n">
        <v>45709</v>
      </c>
      <c r="B491" s="37" t="inlineStr">
        <is>
          <t>JOB-1487</t>
        </is>
      </c>
      <c r="C491" s="34" t="n">
        <v>1</v>
      </c>
      <c r="D491" s="37" t="inlineStr">
        <is>
          <t>Tech G</t>
        </is>
      </c>
      <c r="E491" s="35" t="n">
        <v>4.3</v>
      </c>
      <c r="F491" s="35" t="n">
        <v>2.9</v>
      </c>
      <c r="G491" s="37" t="inlineStr">
        <is>
          <t>Y</t>
        </is>
      </c>
      <c r="H491" s="37" t="inlineStr">
        <is>
          <t>N</t>
        </is>
      </c>
      <c r="I491" s="37">
        <f>COUNTIF(G$5:G491,"Y")/COUNTA(G$5:G491)</f>
        <v/>
      </c>
      <c r="J491" s="37">
        <f>COUNTIF(H$5:H491,"Y")/COUNTA(H$5:H491)</f>
        <v/>
      </c>
      <c r="K491" s="37">
        <f>AVERAGE(F$5:F491)</f>
        <v/>
      </c>
      <c r="L491" s="37">
        <f>SUM(F$5:F491)/SUM(E$5:E491)</f>
        <v/>
      </c>
    </row>
    <row r="492">
      <c r="A492" s="29" t="n">
        <v>45705</v>
      </c>
      <c r="B492" s="37" t="inlineStr">
        <is>
          <t>JOB-1488</t>
        </is>
      </c>
      <c r="C492" s="34" t="n">
        <v>1</v>
      </c>
      <c r="D492" s="37" t="inlineStr">
        <is>
          <t>Tech C</t>
        </is>
      </c>
      <c r="E492" s="35" t="n">
        <v>2.6</v>
      </c>
      <c r="F492" s="35" t="n">
        <v>2.2</v>
      </c>
      <c r="G492" s="37" t="inlineStr">
        <is>
          <t>Y</t>
        </is>
      </c>
      <c r="H492" s="37" t="inlineStr">
        <is>
          <t>N</t>
        </is>
      </c>
      <c r="I492" s="37">
        <f>COUNTIF(G$5:G492,"Y")/COUNTA(G$5:G492)</f>
        <v/>
      </c>
      <c r="J492" s="37">
        <f>COUNTIF(H$5:H492,"Y")/COUNTA(H$5:H492)</f>
        <v/>
      </c>
      <c r="K492" s="37">
        <f>AVERAGE(F$5:F492)</f>
        <v/>
      </c>
      <c r="L492" s="37">
        <f>SUM(F$5:F492)/SUM(E$5:E492)</f>
        <v/>
      </c>
    </row>
    <row r="493">
      <c r="A493" s="29" t="n">
        <v>45706</v>
      </c>
      <c r="B493" s="37" t="inlineStr">
        <is>
          <t>JOB-1489</t>
        </is>
      </c>
      <c r="C493" s="34" t="n">
        <v>1</v>
      </c>
      <c r="D493" s="37" t="inlineStr">
        <is>
          <t>Tech B</t>
        </is>
      </c>
      <c r="E493" s="35" t="n">
        <v>4.9</v>
      </c>
      <c r="F493" s="35" t="n">
        <v>3.8</v>
      </c>
      <c r="G493" s="37" t="inlineStr">
        <is>
          <t>Y</t>
        </is>
      </c>
      <c r="H493" s="37" t="inlineStr">
        <is>
          <t>N</t>
        </is>
      </c>
      <c r="I493" s="37">
        <f>COUNTIF(G$5:G493,"Y")/COUNTA(G$5:G493)</f>
        <v/>
      </c>
      <c r="J493" s="37">
        <f>COUNTIF(H$5:H493,"Y")/COUNTA(H$5:H493)</f>
        <v/>
      </c>
      <c r="K493" s="37">
        <f>AVERAGE(F$5:F493)</f>
        <v/>
      </c>
      <c r="L493" s="37">
        <f>SUM(F$5:F493)/SUM(E$5:E493)</f>
        <v/>
      </c>
    </row>
    <row r="494">
      <c r="A494" s="29" t="n">
        <v>45707</v>
      </c>
      <c r="B494" s="37" t="inlineStr">
        <is>
          <t>JOB-1490</t>
        </is>
      </c>
      <c r="C494" s="34" t="n">
        <v>1</v>
      </c>
      <c r="D494" s="37" t="inlineStr">
        <is>
          <t>Tech C</t>
        </is>
      </c>
      <c r="E494" s="35" t="n">
        <v>3.6</v>
      </c>
      <c r="F494" s="35" t="n">
        <v>2.4</v>
      </c>
      <c r="G494" s="37" t="inlineStr">
        <is>
          <t>Y</t>
        </is>
      </c>
      <c r="H494" s="37" t="inlineStr">
        <is>
          <t>N</t>
        </is>
      </c>
      <c r="I494" s="37">
        <f>COUNTIF(G$5:G494,"Y")/COUNTA(G$5:G494)</f>
        <v/>
      </c>
      <c r="J494" s="37">
        <f>COUNTIF(H$5:H494,"Y")/COUNTA(H$5:H494)</f>
        <v/>
      </c>
      <c r="K494" s="37">
        <f>AVERAGE(F$5:F494)</f>
        <v/>
      </c>
      <c r="L494" s="37">
        <f>SUM(F$5:F494)/SUM(E$5:E494)</f>
        <v/>
      </c>
    </row>
    <row r="495">
      <c r="A495" s="29" t="n">
        <v>45708</v>
      </c>
      <c r="B495" s="37" t="inlineStr">
        <is>
          <t>JOB-1491</t>
        </is>
      </c>
      <c r="C495" s="34" t="n">
        <v>1</v>
      </c>
      <c r="D495" s="37" t="inlineStr">
        <is>
          <t>Tech B</t>
        </is>
      </c>
      <c r="E495" s="35" t="n">
        <v>3.1</v>
      </c>
      <c r="F495" s="35" t="n">
        <v>2.2</v>
      </c>
      <c r="G495" s="37" t="inlineStr">
        <is>
          <t>Y</t>
        </is>
      </c>
      <c r="H495" s="37" t="inlineStr">
        <is>
          <t>N</t>
        </is>
      </c>
      <c r="I495" s="37">
        <f>COUNTIF(G$5:G495,"Y")/COUNTA(G$5:G495)</f>
        <v/>
      </c>
      <c r="J495" s="37">
        <f>COUNTIF(H$5:H495,"Y")/COUNTA(H$5:H495)</f>
        <v/>
      </c>
      <c r="K495" s="37">
        <f>AVERAGE(F$5:F495)</f>
        <v/>
      </c>
      <c r="L495" s="37">
        <f>SUM(F$5:F495)/SUM(E$5:E495)</f>
        <v/>
      </c>
    </row>
    <row r="496">
      <c r="A496" s="29" t="n">
        <v>45709</v>
      </c>
      <c r="B496" s="37" t="inlineStr">
        <is>
          <t>JOB-1492</t>
        </is>
      </c>
      <c r="C496" s="34" t="n">
        <v>1</v>
      </c>
      <c r="D496" s="37" t="inlineStr">
        <is>
          <t>Tech H</t>
        </is>
      </c>
      <c r="E496" s="35" t="n">
        <v>5.2</v>
      </c>
      <c r="F496" s="35" t="n">
        <v>3.7</v>
      </c>
      <c r="G496" s="37" t="inlineStr">
        <is>
          <t>Y</t>
        </is>
      </c>
      <c r="H496" s="37" t="inlineStr">
        <is>
          <t>N</t>
        </is>
      </c>
      <c r="I496" s="37">
        <f>COUNTIF(G$5:G496,"Y")/COUNTA(G$5:G496)</f>
        <v/>
      </c>
      <c r="J496" s="37">
        <f>COUNTIF(H$5:H496,"Y")/COUNTA(H$5:H496)</f>
        <v/>
      </c>
      <c r="K496" s="37">
        <f>AVERAGE(F$5:F496)</f>
        <v/>
      </c>
      <c r="L496" s="37">
        <f>SUM(F$5:F496)/SUM(E$5:E496)</f>
        <v/>
      </c>
    </row>
    <row r="497">
      <c r="A497" s="29" t="n">
        <v>45705</v>
      </c>
      <c r="B497" s="37" t="inlineStr">
        <is>
          <t>JOB-1493</t>
        </is>
      </c>
      <c r="C497" s="34" t="n">
        <v>1</v>
      </c>
      <c r="D497" s="37" t="inlineStr">
        <is>
          <t>Tech F</t>
        </is>
      </c>
      <c r="E497" s="35" t="n">
        <v>4.9</v>
      </c>
      <c r="F497" s="35" t="n">
        <v>3.4</v>
      </c>
      <c r="G497" s="37" t="inlineStr">
        <is>
          <t>N</t>
        </is>
      </c>
      <c r="H497" s="37" t="inlineStr">
        <is>
          <t>N</t>
        </is>
      </c>
      <c r="I497" s="37">
        <f>COUNTIF(G$5:G497,"Y")/COUNTA(G$5:G497)</f>
        <v/>
      </c>
      <c r="J497" s="37">
        <f>COUNTIF(H$5:H497,"Y")/COUNTA(H$5:H497)</f>
        <v/>
      </c>
      <c r="K497" s="37">
        <f>AVERAGE(F$5:F497)</f>
        <v/>
      </c>
      <c r="L497" s="37">
        <f>SUM(F$5:F497)/SUM(E$5:E497)</f>
        <v/>
      </c>
    </row>
    <row r="498">
      <c r="A498" s="29" t="n">
        <v>45706</v>
      </c>
      <c r="B498" s="37" t="inlineStr">
        <is>
          <t>JOB-1494</t>
        </is>
      </c>
      <c r="C498" s="34" t="n">
        <v>1</v>
      </c>
      <c r="D498" s="37" t="inlineStr">
        <is>
          <t>Tech B</t>
        </is>
      </c>
      <c r="E498" s="35" t="n">
        <v>4.5</v>
      </c>
      <c r="F498" s="35" t="n">
        <v>3.3</v>
      </c>
      <c r="G498" s="37" t="inlineStr">
        <is>
          <t>Y</t>
        </is>
      </c>
      <c r="H498" s="37" t="inlineStr">
        <is>
          <t>N</t>
        </is>
      </c>
      <c r="I498" s="37">
        <f>COUNTIF(G$5:G498,"Y")/COUNTA(G$5:G498)</f>
        <v/>
      </c>
      <c r="J498" s="37">
        <f>COUNTIF(H$5:H498,"Y")/COUNTA(H$5:H498)</f>
        <v/>
      </c>
      <c r="K498" s="37">
        <f>AVERAGE(F$5:F498)</f>
        <v/>
      </c>
      <c r="L498" s="37">
        <f>SUM(F$5:F498)/SUM(E$5:E498)</f>
        <v/>
      </c>
    </row>
    <row r="499">
      <c r="A499" s="29" t="n">
        <v>45707</v>
      </c>
      <c r="B499" s="37" t="inlineStr">
        <is>
          <t>JOB-1495</t>
        </is>
      </c>
      <c r="C499" s="34" t="n">
        <v>1</v>
      </c>
      <c r="D499" s="37" t="inlineStr">
        <is>
          <t>Tech D</t>
        </is>
      </c>
      <c r="E499" s="35" t="n">
        <v>4</v>
      </c>
      <c r="F499" s="35" t="n">
        <v>2.8</v>
      </c>
      <c r="G499" s="37" t="inlineStr">
        <is>
          <t>Y</t>
        </is>
      </c>
      <c r="H499" s="37" t="inlineStr">
        <is>
          <t>Y</t>
        </is>
      </c>
      <c r="I499" s="37">
        <f>COUNTIF(G$5:G499,"Y")/COUNTA(G$5:G499)</f>
        <v/>
      </c>
      <c r="J499" s="37">
        <f>COUNTIF(H$5:H499,"Y")/COUNTA(H$5:H499)</f>
        <v/>
      </c>
      <c r="K499" s="37">
        <f>AVERAGE(F$5:F499)</f>
        <v/>
      </c>
      <c r="L499" s="37">
        <f>SUM(F$5:F499)/SUM(E$5:E499)</f>
        <v/>
      </c>
    </row>
    <row r="500">
      <c r="A500" s="29" t="n">
        <v>45708</v>
      </c>
      <c r="B500" s="37" t="inlineStr">
        <is>
          <t>JOB-1496</t>
        </is>
      </c>
      <c r="C500" s="34" t="n">
        <v>1</v>
      </c>
      <c r="D500" s="37" t="inlineStr">
        <is>
          <t>Tech C</t>
        </is>
      </c>
      <c r="E500" s="35" t="n">
        <v>2</v>
      </c>
      <c r="F500" s="35" t="n">
        <v>1.7</v>
      </c>
      <c r="G500" s="37" t="inlineStr">
        <is>
          <t>Y</t>
        </is>
      </c>
      <c r="H500" s="37" t="inlineStr">
        <is>
          <t>Y</t>
        </is>
      </c>
      <c r="I500" s="37">
        <f>COUNTIF(G$5:G500,"Y")/COUNTA(G$5:G500)</f>
        <v/>
      </c>
      <c r="J500" s="37">
        <f>COUNTIF(H$5:H500,"Y")/COUNTA(H$5:H500)</f>
        <v/>
      </c>
      <c r="K500" s="37">
        <f>AVERAGE(F$5:F500)</f>
        <v/>
      </c>
      <c r="L500" s="37">
        <f>SUM(F$5:F500)/SUM(E$5:E500)</f>
        <v/>
      </c>
    </row>
    <row r="501">
      <c r="A501" s="29" t="n">
        <v>45709</v>
      </c>
      <c r="B501" s="37" t="inlineStr">
        <is>
          <t>JOB-1497</t>
        </is>
      </c>
      <c r="C501" s="34" t="n">
        <v>1</v>
      </c>
      <c r="D501" s="37" t="inlineStr">
        <is>
          <t>Tech C</t>
        </is>
      </c>
      <c r="E501" s="35" t="n">
        <v>0.5</v>
      </c>
      <c r="F501" s="35" t="n">
        <v>0.5</v>
      </c>
      <c r="G501" s="37" t="inlineStr">
        <is>
          <t>Y</t>
        </is>
      </c>
      <c r="H501" s="37" t="inlineStr">
        <is>
          <t>N</t>
        </is>
      </c>
      <c r="I501" s="37">
        <f>COUNTIF(G$5:G501,"Y")/COUNTA(G$5:G501)</f>
        <v/>
      </c>
      <c r="J501" s="37">
        <f>COUNTIF(H$5:H501,"Y")/COUNTA(H$5:H501)</f>
        <v/>
      </c>
      <c r="K501" s="37">
        <f>AVERAGE(F$5:F501)</f>
        <v/>
      </c>
      <c r="L501" s="37">
        <f>SUM(F$5:F501)/SUM(E$5:E501)</f>
        <v/>
      </c>
    </row>
    <row r="502">
      <c r="A502" s="29" t="n">
        <v>45705</v>
      </c>
      <c r="B502" s="37" t="inlineStr">
        <is>
          <t>JOB-1498</t>
        </is>
      </c>
      <c r="C502" s="34" t="n">
        <v>1</v>
      </c>
      <c r="D502" s="37" t="inlineStr">
        <is>
          <t>Tech A</t>
        </is>
      </c>
      <c r="E502" s="35" t="n">
        <v>0.5</v>
      </c>
      <c r="F502" s="35" t="n">
        <v>0.5</v>
      </c>
      <c r="G502" s="37" t="inlineStr">
        <is>
          <t>N</t>
        </is>
      </c>
      <c r="H502" s="37" t="inlineStr">
        <is>
          <t>N</t>
        </is>
      </c>
      <c r="I502" s="37">
        <f>COUNTIF(G$5:G502,"Y")/COUNTA(G$5:G502)</f>
        <v/>
      </c>
      <c r="J502" s="37">
        <f>COUNTIF(H$5:H502,"Y")/COUNTA(H$5:H502)</f>
        <v/>
      </c>
      <c r="K502" s="37">
        <f>AVERAGE(F$5:F502)</f>
        <v/>
      </c>
      <c r="L502" s="37">
        <f>SUM(F$5:F502)/SUM(E$5:E502)</f>
        <v/>
      </c>
    </row>
    <row r="503">
      <c r="A503" s="29" t="n">
        <v>45706</v>
      </c>
      <c r="B503" s="37" t="inlineStr">
        <is>
          <t>JOB-1499</t>
        </is>
      </c>
      <c r="C503" s="34" t="n">
        <v>1</v>
      </c>
      <c r="D503" s="37" t="inlineStr">
        <is>
          <t>Tech F</t>
        </is>
      </c>
      <c r="E503" s="35" t="n">
        <v>0.5</v>
      </c>
      <c r="F503" s="35" t="n">
        <v>0.5</v>
      </c>
      <c r="G503" s="37" t="inlineStr">
        <is>
          <t>Y</t>
        </is>
      </c>
      <c r="H503" s="37" t="inlineStr">
        <is>
          <t>N</t>
        </is>
      </c>
      <c r="I503" s="37">
        <f>COUNTIF(G$5:G503,"Y")/COUNTA(G$5:G503)</f>
        <v/>
      </c>
      <c r="J503" s="37">
        <f>COUNTIF(H$5:H503,"Y")/COUNTA(H$5:H503)</f>
        <v/>
      </c>
      <c r="K503" s="37">
        <f>AVERAGE(F$5:F503)</f>
        <v/>
      </c>
      <c r="L503" s="37">
        <f>SUM(F$5:F503)/SUM(E$5:E503)</f>
        <v/>
      </c>
    </row>
    <row r="504">
      <c r="A504" s="29" t="n">
        <v>45707</v>
      </c>
      <c r="B504" s="37" t="inlineStr">
        <is>
          <t>JOB-1500</t>
        </is>
      </c>
      <c r="C504" s="34" t="n">
        <v>1</v>
      </c>
      <c r="D504" s="37" t="inlineStr">
        <is>
          <t>Tech F</t>
        </is>
      </c>
      <c r="E504" s="35" t="n">
        <v>0.5</v>
      </c>
      <c r="F504" s="35" t="n">
        <v>0.5</v>
      </c>
      <c r="G504" s="37" t="inlineStr">
        <is>
          <t>Y</t>
        </is>
      </c>
      <c r="H504" s="37" t="inlineStr">
        <is>
          <t>N</t>
        </is>
      </c>
      <c r="I504" s="37">
        <f>COUNTIF(G$5:G504,"Y")/COUNTA(G$5:G504)</f>
        <v/>
      </c>
      <c r="J504" s="37">
        <f>COUNTIF(H$5:H504,"Y")/COUNTA(H$5:H504)</f>
        <v/>
      </c>
      <c r="K504" s="37">
        <f>AVERAGE(F$5:F504)</f>
        <v/>
      </c>
      <c r="L504" s="37">
        <f>SUM(F$5:F504)/SUM(E$5:E504)</f>
        <v/>
      </c>
    </row>
    <row r="505">
      <c r="A505" s="29" t="n">
        <v>45708</v>
      </c>
      <c r="B505" s="37" t="inlineStr">
        <is>
          <t>JOB-1501</t>
        </is>
      </c>
      <c r="C505" s="34" t="n">
        <v>1</v>
      </c>
      <c r="D505" s="37" t="inlineStr">
        <is>
          <t>Tech H</t>
        </is>
      </c>
      <c r="E505" s="35" t="n">
        <v>0.5</v>
      </c>
      <c r="F505" s="35" t="n">
        <v>0.5</v>
      </c>
      <c r="G505" s="37" t="inlineStr">
        <is>
          <t>Y</t>
        </is>
      </c>
      <c r="H505" s="37" t="inlineStr">
        <is>
          <t>N</t>
        </is>
      </c>
      <c r="I505" s="37">
        <f>COUNTIF(G$5:G505,"Y")/COUNTA(G$5:G505)</f>
        <v/>
      </c>
      <c r="J505" s="37">
        <f>COUNTIF(H$5:H505,"Y")/COUNTA(H$5:H505)</f>
        <v/>
      </c>
      <c r="K505" s="37">
        <f>AVERAGE(F$5:F505)</f>
        <v/>
      </c>
      <c r="L505" s="37">
        <f>SUM(F$5:F505)/SUM(E$5:E505)</f>
        <v/>
      </c>
    </row>
    <row r="506">
      <c r="A506" s="29" t="n">
        <v>45709</v>
      </c>
      <c r="B506" s="37" t="inlineStr">
        <is>
          <t>JOB-1502</t>
        </is>
      </c>
      <c r="C506" s="34" t="n">
        <v>1</v>
      </c>
      <c r="D506" s="37" t="inlineStr">
        <is>
          <t>Tech B</t>
        </is>
      </c>
      <c r="E506" s="35" t="n">
        <v>0.5</v>
      </c>
      <c r="F506" s="35" t="n">
        <v>0.5</v>
      </c>
      <c r="G506" s="37" t="inlineStr">
        <is>
          <t>Y</t>
        </is>
      </c>
      <c r="H506" s="37" t="inlineStr">
        <is>
          <t>N</t>
        </is>
      </c>
      <c r="I506" s="37">
        <f>COUNTIF(G$5:G506,"Y")/COUNTA(G$5:G506)</f>
        <v/>
      </c>
      <c r="J506" s="37">
        <f>COUNTIF(H$5:H506,"Y")/COUNTA(H$5:H506)</f>
        <v/>
      </c>
      <c r="K506" s="37">
        <f>AVERAGE(F$5:F506)</f>
        <v/>
      </c>
      <c r="L506" s="37">
        <f>SUM(F$5:F506)/SUM(E$5:E506)</f>
        <v/>
      </c>
    </row>
    <row r="507">
      <c r="A507" s="29" t="n">
        <v>45705</v>
      </c>
      <c r="B507" s="37" t="inlineStr">
        <is>
          <t>JOB-1503</t>
        </is>
      </c>
      <c r="C507" s="34" t="n">
        <v>1</v>
      </c>
      <c r="D507" s="37" t="inlineStr">
        <is>
          <t>Tech H</t>
        </is>
      </c>
      <c r="E507" s="35" t="n">
        <v>0.5</v>
      </c>
      <c r="F507" s="35" t="n">
        <v>0.5</v>
      </c>
      <c r="G507" s="37" t="inlineStr">
        <is>
          <t>Y</t>
        </is>
      </c>
      <c r="H507" s="37" t="inlineStr">
        <is>
          <t>N</t>
        </is>
      </c>
      <c r="I507" s="37">
        <f>COUNTIF(G$5:G507,"Y")/COUNTA(G$5:G507)</f>
        <v/>
      </c>
      <c r="J507" s="37">
        <f>COUNTIF(H$5:H507,"Y")/COUNTA(H$5:H507)</f>
        <v/>
      </c>
      <c r="K507" s="37">
        <f>AVERAGE(F$5:F507)</f>
        <v/>
      </c>
      <c r="L507" s="37">
        <f>SUM(F$5:F507)/SUM(E$5:E507)</f>
        <v/>
      </c>
    </row>
    <row r="508">
      <c r="A508" s="29" t="n">
        <v>45706</v>
      </c>
      <c r="B508" s="37" t="inlineStr">
        <is>
          <t>JOB-1504</t>
        </is>
      </c>
      <c r="C508" s="34" t="n">
        <v>1</v>
      </c>
      <c r="D508" s="37" t="inlineStr">
        <is>
          <t>Tech H</t>
        </is>
      </c>
      <c r="E508" s="35" t="n">
        <v>0.5</v>
      </c>
      <c r="F508" s="35" t="n">
        <v>0.5</v>
      </c>
      <c r="G508" s="37" t="inlineStr">
        <is>
          <t>Y</t>
        </is>
      </c>
      <c r="H508" s="37" t="inlineStr">
        <is>
          <t>N</t>
        </is>
      </c>
      <c r="I508" s="37">
        <f>COUNTIF(G$5:G508,"Y")/COUNTA(G$5:G508)</f>
        <v/>
      </c>
      <c r="J508" s="37">
        <f>COUNTIF(H$5:H508,"Y")/COUNTA(H$5:H508)</f>
        <v/>
      </c>
      <c r="K508" s="37">
        <f>AVERAGE(F$5:F508)</f>
        <v/>
      </c>
      <c r="L508" s="37">
        <f>SUM(F$5:F508)/SUM(E$5:E508)</f>
        <v/>
      </c>
    </row>
    <row r="509">
      <c r="A509" s="29" t="n">
        <v>45707</v>
      </c>
      <c r="B509" s="37" t="inlineStr">
        <is>
          <t>JOB-1505</t>
        </is>
      </c>
      <c r="C509" s="34" t="n">
        <v>1</v>
      </c>
      <c r="D509" s="37" t="inlineStr">
        <is>
          <t>Tech D</t>
        </is>
      </c>
      <c r="E509" s="35" t="n">
        <v>0.5</v>
      </c>
      <c r="F509" s="35" t="n">
        <v>0.5</v>
      </c>
      <c r="G509" s="37" t="inlineStr">
        <is>
          <t>Y</t>
        </is>
      </c>
      <c r="H509" s="37" t="inlineStr">
        <is>
          <t>N</t>
        </is>
      </c>
      <c r="I509" s="37">
        <f>COUNTIF(G$5:G509,"Y")/COUNTA(G$5:G509)</f>
        <v/>
      </c>
      <c r="J509" s="37">
        <f>COUNTIF(H$5:H509,"Y")/COUNTA(H$5:H509)</f>
        <v/>
      </c>
      <c r="K509" s="37">
        <f>AVERAGE(F$5:F509)</f>
        <v/>
      </c>
      <c r="L509" s="37">
        <f>SUM(F$5:F509)/SUM(E$5:E509)</f>
        <v/>
      </c>
      <c r="M509" s="37" t="n">
        <v>11</v>
      </c>
    </row>
    <row r="510">
      <c r="A510" s="29" t="n">
        <v>45712</v>
      </c>
      <c r="B510" s="37" t="inlineStr">
        <is>
          <t>JOB-1506</t>
        </is>
      </c>
      <c r="C510" s="34" t="n">
        <v>1</v>
      </c>
      <c r="D510" s="37" t="inlineStr">
        <is>
          <t>Tech H</t>
        </is>
      </c>
      <c r="E510" s="35" t="n">
        <v>3</v>
      </c>
      <c r="F510" s="35" t="n">
        <v>2.6</v>
      </c>
      <c r="G510" s="37" t="inlineStr">
        <is>
          <t>Y</t>
        </is>
      </c>
      <c r="H510" s="37" t="inlineStr">
        <is>
          <t>N</t>
        </is>
      </c>
      <c r="I510" s="37">
        <f>COUNTIF(G$5:G510,"Y")/COUNTA(G$5:G510)</f>
        <v/>
      </c>
      <c r="J510" s="37">
        <f>COUNTIF(H$5:H510,"Y")/COUNTA(H$5:H510)</f>
        <v/>
      </c>
      <c r="K510" s="37">
        <f>AVERAGE(F$5:F510)</f>
        <v/>
      </c>
      <c r="L510" s="37">
        <f>SUM(F$5:F510)/SUM(E$5:E510)</f>
        <v/>
      </c>
    </row>
    <row r="511">
      <c r="A511" s="29" t="n">
        <v>45713</v>
      </c>
      <c r="B511" s="37" t="inlineStr">
        <is>
          <t>JOB-1507</t>
        </is>
      </c>
      <c r="C511" s="34" t="n">
        <v>1</v>
      </c>
      <c r="D511" s="37" t="inlineStr">
        <is>
          <t>Tech B</t>
        </is>
      </c>
      <c r="E511" s="35" t="n">
        <v>2.7</v>
      </c>
      <c r="F511" s="35" t="n">
        <v>2</v>
      </c>
      <c r="G511" s="37" t="inlineStr">
        <is>
          <t>Y</t>
        </is>
      </c>
      <c r="H511" s="37" t="inlineStr">
        <is>
          <t>N</t>
        </is>
      </c>
      <c r="I511" s="37">
        <f>COUNTIF(G$5:G511,"Y")/COUNTA(G$5:G511)</f>
        <v/>
      </c>
      <c r="J511" s="37">
        <f>COUNTIF(H$5:H511,"Y")/COUNTA(H$5:H511)</f>
        <v/>
      </c>
      <c r="K511" s="37">
        <f>AVERAGE(F$5:F511)</f>
        <v/>
      </c>
      <c r="L511" s="37">
        <f>SUM(F$5:F511)/SUM(E$5:E511)</f>
        <v/>
      </c>
    </row>
    <row r="512">
      <c r="A512" s="29" t="n">
        <v>45714</v>
      </c>
      <c r="B512" s="37" t="inlineStr">
        <is>
          <t>JOB-1508</t>
        </is>
      </c>
      <c r="C512" s="34" t="n">
        <v>1</v>
      </c>
      <c r="D512" s="37" t="inlineStr">
        <is>
          <t>Tech A</t>
        </is>
      </c>
      <c r="E512" s="35" t="n">
        <v>2.8</v>
      </c>
      <c r="F512" s="35" t="n">
        <v>2.1</v>
      </c>
      <c r="G512" s="37" t="inlineStr">
        <is>
          <t>Y</t>
        </is>
      </c>
      <c r="H512" s="37" t="inlineStr">
        <is>
          <t>N</t>
        </is>
      </c>
      <c r="I512" s="37">
        <f>COUNTIF(G$5:G512,"Y")/COUNTA(G$5:G512)</f>
        <v/>
      </c>
      <c r="J512" s="37">
        <f>COUNTIF(H$5:H512,"Y")/COUNTA(H$5:H512)</f>
        <v/>
      </c>
      <c r="K512" s="37">
        <f>AVERAGE(F$5:F512)</f>
        <v/>
      </c>
      <c r="L512" s="37">
        <f>SUM(F$5:F512)/SUM(E$5:E512)</f>
        <v/>
      </c>
    </row>
    <row r="513">
      <c r="A513" s="29" t="n">
        <v>45715</v>
      </c>
      <c r="B513" s="37" t="inlineStr">
        <is>
          <t>JOB-1509</t>
        </is>
      </c>
      <c r="C513" s="34" t="n">
        <v>1</v>
      </c>
      <c r="D513" s="37" t="inlineStr">
        <is>
          <t>Tech D</t>
        </is>
      </c>
      <c r="E513" s="35" t="n">
        <v>3.8</v>
      </c>
      <c r="F513" s="35" t="n">
        <v>3</v>
      </c>
      <c r="G513" s="37" t="inlineStr">
        <is>
          <t>Y</t>
        </is>
      </c>
      <c r="H513" s="37" t="inlineStr">
        <is>
          <t>N</t>
        </is>
      </c>
      <c r="I513" s="37">
        <f>COUNTIF(G$5:G513,"Y")/COUNTA(G$5:G513)</f>
        <v/>
      </c>
      <c r="J513" s="37">
        <f>COUNTIF(H$5:H513,"Y")/COUNTA(H$5:H513)</f>
        <v/>
      </c>
      <c r="K513" s="37">
        <f>AVERAGE(F$5:F513)</f>
        <v/>
      </c>
      <c r="L513" s="37">
        <f>SUM(F$5:F513)/SUM(E$5:E513)</f>
        <v/>
      </c>
    </row>
    <row r="514">
      <c r="A514" s="29" t="n">
        <v>45716</v>
      </c>
      <c r="B514" s="37" t="inlineStr">
        <is>
          <t>JOB-1510</t>
        </is>
      </c>
      <c r="C514" s="34" t="n">
        <v>1</v>
      </c>
      <c r="D514" s="37" t="inlineStr">
        <is>
          <t>Tech G</t>
        </is>
      </c>
      <c r="E514" s="35" t="n">
        <v>2.3</v>
      </c>
      <c r="F514" s="35" t="n">
        <v>1.9</v>
      </c>
      <c r="G514" s="37" t="inlineStr">
        <is>
          <t>Y</t>
        </is>
      </c>
      <c r="H514" s="37" t="inlineStr">
        <is>
          <t>N</t>
        </is>
      </c>
      <c r="I514" s="37">
        <f>COUNTIF(G$5:G514,"Y")/COUNTA(G$5:G514)</f>
        <v/>
      </c>
      <c r="J514" s="37">
        <f>COUNTIF(H$5:H514,"Y")/COUNTA(H$5:H514)</f>
        <v/>
      </c>
      <c r="K514" s="37">
        <f>AVERAGE(F$5:F514)</f>
        <v/>
      </c>
      <c r="L514" s="37">
        <f>SUM(F$5:F514)/SUM(E$5:E514)</f>
        <v/>
      </c>
    </row>
    <row r="515">
      <c r="A515" s="29" t="n">
        <v>45712</v>
      </c>
      <c r="B515" s="37" t="inlineStr">
        <is>
          <t>JOB-1511</t>
        </is>
      </c>
      <c r="C515" s="34" t="n">
        <v>1</v>
      </c>
      <c r="D515" s="37" t="inlineStr">
        <is>
          <t>Tech D</t>
        </is>
      </c>
      <c r="E515" s="35" t="n">
        <v>3</v>
      </c>
      <c r="F515" s="35" t="n">
        <v>2.5</v>
      </c>
      <c r="G515" s="37" t="inlineStr">
        <is>
          <t>Y</t>
        </is>
      </c>
      <c r="H515" s="37" t="inlineStr">
        <is>
          <t>N</t>
        </is>
      </c>
      <c r="I515" s="37">
        <f>COUNTIF(G$5:G515,"Y")/COUNTA(G$5:G515)</f>
        <v/>
      </c>
      <c r="J515" s="37">
        <f>COUNTIF(H$5:H515,"Y")/COUNTA(H$5:H515)</f>
        <v/>
      </c>
      <c r="K515" s="37">
        <f>AVERAGE(F$5:F515)</f>
        <v/>
      </c>
      <c r="L515" s="37">
        <f>SUM(F$5:F515)/SUM(E$5:E515)</f>
        <v/>
      </c>
    </row>
    <row r="516">
      <c r="A516" s="29" t="n">
        <v>45713</v>
      </c>
      <c r="B516" s="37" t="inlineStr">
        <is>
          <t>JOB-1512</t>
        </is>
      </c>
      <c r="C516" s="34" t="n">
        <v>1</v>
      </c>
      <c r="D516" s="37" t="inlineStr">
        <is>
          <t>Tech H</t>
        </is>
      </c>
      <c r="E516" s="35" t="n">
        <v>2.5</v>
      </c>
      <c r="F516" s="35" t="n">
        <v>1.7</v>
      </c>
      <c r="G516" s="37" t="inlineStr">
        <is>
          <t>Y</t>
        </is>
      </c>
      <c r="H516" s="37" t="inlineStr">
        <is>
          <t>N</t>
        </is>
      </c>
      <c r="I516" s="37">
        <f>COUNTIF(G$5:G516,"Y")/COUNTA(G$5:G516)</f>
        <v/>
      </c>
      <c r="J516" s="37">
        <f>COUNTIF(H$5:H516,"Y")/COUNTA(H$5:H516)</f>
        <v/>
      </c>
      <c r="K516" s="37">
        <f>AVERAGE(F$5:F516)</f>
        <v/>
      </c>
      <c r="L516" s="37">
        <f>SUM(F$5:F516)/SUM(E$5:E516)</f>
        <v/>
      </c>
    </row>
    <row r="517">
      <c r="A517" s="29" t="n">
        <v>45714</v>
      </c>
      <c r="B517" s="37" t="inlineStr">
        <is>
          <t>JOB-1513</t>
        </is>
      </c>
      <c r="C517" s="34" t="n">
        <v>1</v>
      </c>
      <c r="D517" s="37" t="inlineStr">
        <is>
          <t>Tech G</t>
        </is>
      </c>
      <c r="E517" s="35" t="n">
        <v>1.8</v>
      </c>
      <c r="F517" s="35" t="n">
        <v>1.4</v>
      </c>
      <c r="G517" s="37" t="inlineStr">
        <is>
          <t>Y</t>
        </is>
      </c>
      <c r="H517" s="37" t="inlineStr">
        <is>
          <t>N</t>
        </is>
      </c>
      <c r="I517" s="37">
        <f>COUNTIF(G$5:G517,"Y")/COUNTA(G$5:G517)</f>
        <v/>
      </c>
      <c r="J517" s="37">
        <f>COUNTIF(H$5:H517,"Y")/COUNTA(H$5:H517)</f>
        <v/>
      </c>
      <c r="K517" s="37">
        <f>AVERAGE(F$5:F517)</f>
        <v/>
      </c>
      <c r="L517" s="37">
        <f>SUM(F$5:F517)/SUM(E$5:E517)</f>
        <v/>
      </c>
    </row>
    <row r="518">
      <c r="A518" s="29" t="n">
        <v>45715</v>
      </c>
      <c r="B518" s="37" t="inlineStr">
        <is>
          <t>JOB-1514</t>
        </is>
      </c>
      <c r="C518" s="34" t="n">
        <v>1</v>
      </c>
      <c r="D518" s="37" t="inlineStr">
        <is>
          <t>Tech C</t>
        </is>
      </c>
      <c r="E518" s="35" t="n">
        <v>1.5</v>
      </c>
      <c r="F518" s="35" t="n">
        <v>1.2</v>
      </c>
      <c r="G518" s="37" t="inlineStr">
        <is>
          <t>N</t>
        </is>
      </c>
      <c r="H518" s="37" t="inlineStr">
        <is>
          <t>N</t>
        </is>
      </c>
      <c r="I518" s="37">
        <f>COUNTIF(G$5:G518,"Y")/COUNTA(G$5:G518)</f>
        <v/>
      </c>
      <c r="J518" s="37">
        <f>COUNTIF(H$5:H518,"Y")/COUNTA(H$5:H518)</f>
        <v/>
      </c>
      <c r="K518" s="37">
        <f>AVERAGE(F$5:F518)</f>
        <v/>
      </c>
      <c r="L518" s="37">
        <f>SUM(F$5:F518)/SUM(E$5:E518)</f>
        <v/>
      </c>
    </row>
    <row r="519">
      <c r="A519" s="29" t="n">
        <v>45716</v>
      </c>
      <c r="B519" s="37" t="inlineStr">
        <is>
          <t>JOB-1515</t>
        </is>
      </c>
      <c r="C519" s="34" t="n">
        <v>1</v>
      </c>
      <c r="D519" s="37" t="inlineStr">
        <is>
          <t>Tech F</t>
        </is>
      </c>
      <c r="E519" s="35" t="n">
        <v>2.9</v>
      </c>
      <c r="F519" s="35" t="n">
        <v>2.2</v>
      </c>
      <c r="G519" s="37" t="inlineStr">
        <is>
          <t>Y</t>
        </is>
      </c>
      <c r="H519" s="37" t="inlineStr">
        <is>
          <t>Y</t>
        </is>
      </c>
      <c r="I519" s="37">
        <f>COUNTIF(G$5:G519,"Y")/COUNTA(G$5:G519)</f>
        <v/>
      </c>
      <c r="J519" s="37">
        <f>COUNTIF(H$5:H519,"Y")/COUNTA(H$5:H519)</f>
        <v/>
      </c>
      <c r="K519" s="37">
        <f>AVERAGE(F$5:F519)</f>
        <v/>
      </c>
      <c r="L519" s="37">
        <f>SUM(F$5:F519)/SUM(E$5:E519)</f>
        <v/>
      </c>
    </row>
    <row r="520">
      <c r="A520" s="29" t="n">
        <v>45712</v>
      </c>
      <c r="B520" s="37" t="inlineStr">
        <is>
          <t>JOB-1516</t>
        </is>
      </c>
      <c r="C520" s="34" t="n">
        <v>1</v>
      </c>
      <c r="D520" s="37" t="inlineStr">
        <is>
          <t>Tech G</t>
        </is>
      </c>
      <c r="E520" s="35" t="n">
        <v>2.6</v>
      </c>
      <c r="F520" s="35" t="n">
        <v>2.1</v>
      </c>
      <c r="G520" s="37" t="inlineStr">
        <is>
          <t>Y</t>
        </is>
      </c>
      <c r="H520" s="37" t="inlineStr">
        <is>
          <t>N</t>
        </is>
      </c>
      <c r="I520" s="37">
        <f>COUNTIF(G$5:G520,"Y")/COUNTA(G$5:G520)</f>
        <v/>
      </c>
      <c r="J520" s="37">
        <f>COUNTIF(H$5:H520,"Y")/COUNTA(H$5:H520)</f>
        <v/>
      </c>
      <c r="K520" s="37">
        <f>AVERAGE(F$5:F520)</f>
        <v/>
      </c>
      <c r="L520" s="37">
        <f>SUM(F$5:F520)/SUM(E$5:E520)</f>
        <v/>
      </c>
    </row>
    <row r="521">
      <c r="A521" s="29" t="n">
        <v>45713</v>
      </c>
      <c r="B521" s="37" t="inlineStr">
        <is>
          <t>JOB-1517</t>
        </is>
      </c>
      <c r="C521" s="34" t="n">
        <v>1</v>
      </c>
      <c r="D521" s="37" t="inlineStr">
        <is>
          <t>Tech A</t>
        </is>
      </c>
      <c r="E521" s="35" t="n">
        <v>2.3</v>
      </c>
      <c r="F521" s="35" t="n">
        <v>2</v>
      </c>
      <c r="G521" s="37" t="inlineStr">
        <is>
          <t>Y</t>
        </is>
      </c>
      <c r="H521" s="37" t="inlineStr">
        <is>
          <t>N</t>
        </is>
      </c>
      <c r="I521" s="37">
        <f>COUNTIF(G$5:G521,"Y")/COUNTA(G$5:G521)</f>
        <v/>
      </c>
      <c r="J521" s="37">
        <f>COUNTIF(H$5:H521,"Y")/COUNTA(H$5:H521)</f>
        <v/>
      </c>
      <c r="K521" s="37">
        <f>AVERAGE(F$5:F521)</f>
        <v/>
      </c>
      <c r="L521" s="37">
        <f>SUM(F$5:F521)/SUM(E$5:E521)</f>
        <v/>
      </c>
    </row>
    <row r="522">
      <c r="A522" s="29" t="n">
        <v>45714</v>
      </c>
      <c r="B522" s="37" t="inlineStr">
        <is>
          <t>JOB-1518</t>
        </is>
      </c>
      <c r="C522" s="34" t="n">
        <v>1</v>
      </c>
      <c r="D522" s="37" t="inlineStr">
        <is>
          <t>Tech F</t>
        </is>
      </c>
      <c r="E522" s="35" t="n">
        <v>2.9</v>
      </c>
      <c r="F522" s="35" t="n">
        <v>2.3</v>
      </c>
      <c r="G522" s="37" t="inlineStr">
        <is>
          <t>Y</t>
        </is>
      </c>
      <c r="H522" s="37" t="inlineStr">
        <is>
          <t>N</t>
        </is>
      </c>
      <c r="I522" s="37">
        <f>COUNTIF(G$5:G522,"Y")/COUNTA(G$5:G522)</f>
        <v/>
      </c>
      <c r="J522" s="37">
        <f>COUNTIF(H$5:H522,"Y")/COUNTA(H$5:H522)</f>
        <v/>
      </c>
      <c r="K522" s="37">
        <f>AVERAGE(F$5:F522)</f>
        <v/>
      </c>
      <c r="L522" s="37">
        <f>SUM(F$5:F522)/SUM(E$5:E522)</f>
        <v/>
      </c>
    </row>
    <row r="523">
      <c r="A523" s="29" t="n">
        <v>45715</v>
      </c>
      <c r="B523" s="37" t="inlineStr">
        <is>
          <t>JOB-1519</t>
        </is>
      </c>
      <c r="C523" s="34" t="n">
        <v>1</v>
      </c>
      <c r="D523" s="37" t="inlineStr">
        <is>
          <t>Tech A</t>
        </is>
      </c>
      <c r="E523" s="35" t="n">
        <v>3.6</v>
      </c>
      <c r="F523" s="35" t="n">
        <v>2.5</v>
      </c>
      <c r="G523" s="37" t="inlineStr">
        <is>
          <t>Y</t>
        </is>
      </c>
      <c r="H523" s="37" t="inlineStr">
        <is>
          <t>N</t>
        </is>
      </c>
      <c r="I523" s="37">
        <f>COUNTIF(G$5:G523,"Y")/COUNTA(G$5:G523)</f>
        <v/>
      </c>
      <c r="J523" s="37">
        <f>COUNTIF(H$5:H523,"Y")/COUNTA(H$5:H523)</f>
        <v/>
      </c>
      <c r="K523" s="37">
        <f>AVERAGE(F$5:F523)</f>
        <v/>
      </c>
      <c r="L523" s="37">
        <f>SUM(F$5:F523)/SUM(E$5:E523)</f>
        <v/>
      </c>
    </row>
    <row r="524">
      <c r="A524" s="29" t="n">
        <v>45716</v>
      </c>
      <c r="B524" s="37" t="inlineStr">
        <is>
          <t>JOB-1520</t>
        </is>
      </c>
      <c r="C524" s="34" t="n">
        <v>1</v>
      </c>
      <c r="D524" s="37" t="inlineStr">
        <is>
          <t>Tech B</t>
        </is>
      </c>
      <c r="E524" s="35" t="n">
        <v>1.5</v>
      </c>
      <c r="F524" s="35" t="n">
        <v>1.2</v>
      </c>
      <c r="G524" s="37" t="inlineStr">
        <is>
          <t>Y</t>
        </is>
      </c>
      <c r="H524" s="37" t="inlineStr">
        <is>
          <t>N</t>
        </is>
      </c>
      <c r="I524" s="37">
        <f>COUNTIF(G$5:G524,"Y")/COUNTA(G$5:G524)</f>
        <v/>
      </c>
      <c r="J524" s="37">
        <f>COUNTIF(H$5:H524,"Y")/COUNTA(H$5:H524)</f>
        <v/>
      </c>
      <c r="K524" s="37">
        <f>AVERAGE(F$5:F524)</f>
        <v/>
      </c>
      <c r="L524" s="37">
        <f>SUM(F$5:F524)/SUM(E$5:E524)</f>
        <v/>
      </c>
    </row>
    <row r="525">
      <c r="A525" s="29" t="n">
        <v>45712</v>
      </c>
      <c r="B525" s="37" t="inlineStr">
        <is>
          <t>JOB-1521</t>
        </is>
      </c>
      <c r="C525" s="34" t="n">
        <v>1</v>
      </c>
      <c r="D525" s="37" t="inlineStr">
        <is>
          <t>Tech B</t>
        </is>
      </c>
      <c r="E525" s="35" t="n">
        <v>3.1</v>
      </c>
      <c r="F525" s="35" t="n">
        <v>2.7</v>
      </c>
      <c r="G525" s="37" t="inlineStr">
        <is>
          <t>Y</t>
        </is>
      </c>
      <c r="H525" s="37" t="inlineStr">
        <is>
          <t>N</t>
        </is>
      </c>
      <c r="I525" s="37">
        <f>COUNTIF(G$5:G525,"Y")/COUNTA(G$5:G525)</f>
        <v/>
      </c>
      <c r="J525" s="37">
        <f>COUNTIF(H$5:H525,"Y")/COUNTA(H$5:H525)</f>
        <v/>
      </c>
      <c r="K525" s="37">
        <f>AVERAGE(F$5:F525)</f>
        <v/>
      </c>
      <c r="L525" s="37">
        <f>SUM(F$5:F525)/SUM(E$5:E525)</f>
        <v/>
      </c>
    </row>
    <row r="526">
      <c r="A526" s="29" t="n">
        <v>45713</v>
      </c>
      <c r="B526" s="37" t="inlineStr">
        <is>
          <t>JOB-1522</t>
        </is>
      </c>
      <c r="C526" s="34" t="n">
        <v>1</v>
      </c>
      <c r="D526" s="37" t="inlineStr">
        <is>
          <t>Tech G</t>
        </is>
      </c>
      <c r="E526" s="35" t="n">
        <v>1.7</v>
      </c>
      <c r="F526" s="35" t="n">
        <v>1.2</v>
      </c>
      <c r="G526" s="37" t="inlineStr">
        <is>
          <t>Y</t>
        </is>
      </c>
      <c r="H526" s="37" t="inlineStr">
        <is>
          <t>N</t>
        </is>
      </c>
      <c r="I526" s="37">
        <f>COUNTIF(G$5:G526,"Y")/COUNTA(G$5:G526)</f>
        <v/>
      </c>
      <c r="J526" s="37">
        <f>COUNTIF(H$5:H526,"Y")/COUNTA(H$5:H526)</f>
        <v/>
      </c>
      <c r="K526" s="37">
        <f>AVERAGE(F$5:F526)</f>
        <v/>
      </c>
      <c r="L526" s="37">
        <f>SUM(F$5:F526)/SUM(E$5:E526)</f>
        <v/>
      </c>
    </row>
    <row r="527">
      <c r="A527" s="29" t="n">
        <v>45714</v>
      </c>
      <c r="B527" s="37" t="inlineStr">
        <is>
          <t>JOB-1523</t>
        </is>
      </c>
      <c r="C527" s="34" t="n">
        <v>1</v>
      </c>
      <c r="D527" s="37" t="inlineStr">
        <is>
          <t>Tech H</t>
        </is>
      </c>
      <c r="E527" s="35" t="n">
        <v>3.7</v>
      </c>
      <c r="F527" s="35" t="n">
        <v>2.7</v>
      </c>
      <c r="G527" s="37" t="inlineStr">
        <is>
          <t>Y</t>
        </is>
      </c>
      <c r="H527" s="37" t="inlineStr">
        <is>
          <t>N</t>
        </is>
      </c>
      <c r="I527" s="37">
        <f>COUNTIF(G$5:G527,"Y")/COUNTA(G$5:G527)</f>
        <v/>
      </c>
      <c r="J527" s="37">
        <f>COUNTIF(H$5:H527,"Y")/COUNTA(H$5:H527)</f>
        <v/>
      </c>
      <c r="K527" s="37">
        <f>AVERAGE(F$5:F527)</f>
        <v/>
      </c>
      <c r="L527" s="37">
        <f>SUM(F$5:F527)/SUM(E$5:E527)</f>
        <v/>
      </c>
    </row>
    <row r="528">
      <c r="A528" s="29" t="n">
        <v>45715</v>
      </c>
      <c r="B528" s="37" t="inlineStr">
        <is>
          <t>JOB-1524</t>
        </is>
      </c>
      <c r="C528" s="34" t="n">
        <v>1</v>
      </c>
      <c r="D528" s="37" t="inlineStr">
        <is>
          <t>Tech F</t>
        </is>
      </c>
      <c r="E528" s="35" t="n">
        <v>1.9</v>
      </c>
      <c r="F528" s="35" t="n">
        <v>1.6</v>
      </c>
      <c r="G528" s="37" t="inlineStr">
        <is>
          <t>Y</t>
        </is>
      </c>
      <c r="H528" s="37" t="inlineStr">
        <is>
          <t>N</t>
        </is>
      </c>
      <c r="I528" s="37">
        <f>COUNTIF(G$5:G528,"Y")/COUNTA(G$5:G528)</f>
        <v/>
      </c>
      <c r="J528" s="37">
        <f>COUNTIF(H$5:H528,"Y")/COUNTA(H$5:H528)</f>
        <v/>
      </c>
      <c r="K528" s="37">
        <f>AVERAGE(F$5:F528)</f>
        <v/>
      </c>
      <c r="L528" s="37">
        <f>SUM(F$5:F528)/SUM(E$5:E528)</f>
        <v/>
      </c>
    </row>
    <row r="529">
      <c r="A529" s="29" t="n">
        <v>45716</v>
      </c>
      <c r="B529" s="37" t="inlineStr">
        <is>
          <t>JOB-1525</t>
        </is>
      </c>
      <c r="C529" s="34" t="n">
        <v>1</v>
      </c>
      <c r="D529" s="37" t="inlineStr">
        <is>
          <t>Tech D</t>
        </is>
      </c>
      <c r="E529" s="35" t="n">
        <v>4.3</v>
      </c>
      <c r="F529" s="35" t="n">
        <v>3.5</v>
      </c>
      <c r="G529" s="37" t="inlineStr">
        <is>
          <t>Y</t>
        </is>
      </c>
      <c r="H529" s="37" t="inlineStr">
        <is>
          <t>N</t>
        </is>
      </c>
      <c r="I529" s="37">
        <f>COUNTIF(G$5:G529,"Y")/COUNTA(G$5:G529)</f>
        <v/>
      </c>
      <c r="J529" s="37">
        <f>COUNTIF(H$5:H529,"Y")/COUNTA(H$5:H529)</f>
        <v/>
      </c>
      <c r="K529" s="37">
        <f>AVERAGE(F$5:F529)</f>
        <v/>
      </c>
      <c r="L529" s="37">
        <f>SUM(F$5:F529)/SUM(E$5:E529)</f>
        <v/>
      </c>
    </row>
    <row r="530">
      <c r="A530" s="29" t="n">
        <v>45712</v>
      </c>
      <c r="B530" s="37" t="inlineStr">
        <is>
          <t>JOB-1526</t>
        </is>
      </c>
      <c r="C530" s="34" t="n">
        <v>1</v>
      </c>
      <c r="D530" s="37" t="inlineStr">
        <is>
          <t>Tech C</t>
        </is>
      </c>
      <c r="E530" s="35" t="n">
        <v>4.2</v>
      </c>
      <c r="F530" s="35" t="n">
        <v>3.5</v>
      </c>
      <c r="G530" s="37" t="inlineStr">
        <is>
          <t>Y</t>
        </is>
      </c>
      <c r="H530" s="37" t="inlineStr">
        <is>
          <t>N</t>
        </is>
      </c>
      <c r="I530" s="37">
        <f>COUNTIF(G$5:G530,"Y")/COUNTA(G$5:G530)</f>
        <v/>
      </c>
      <c r="J530" s="37">
        <f>COUNTIF(H$5:H530,"Y")/COUNTA(H$5:H530)</f>
        <v/>
      </c>
      <c r="K530" s="37">
        <f>AVERAGE(F$5:F530)</f>
        <v/>
      </c>
      <c r="L530" s="37">
        <f>SUM(F$5:F530)/SUM(E$5:E530)</f>
        <v/>
      </c>
    </row>
    <row r="531">
      <c r="A531" s="29" t="n">
        <v>45713</v>
      </c>
      <c r="B531" s="37" t="inlineStr">
        <is>
          <t>JOB-1527</t>
        </is>
      </c>
      <c r="C531" s="34" t="n">
        <v>1</v>
      </c>
      <c r="D531" s="37" t="inlineStr">
        <is>
          <t>Tech A</t>
        </is>
      </c>
      <c r="E531" s="35" t="n">
        <v>2.3</v>
      </c>
      <c r="F531" s="35" t="n">
        <v>1.6</v>
      </c>
      <c r="G531" s="37" t="inlineStr">
        <is>
          <t>Y</t>
        </is>
      </c>
      <c r="H531" s="37" t="inlineStr">
        <is>
          <t>N</t>
        </is>
      </c>
      <c r="I531" s="37">
        <f>COUNTIF(G$5:G531,"Y")/COUNTA(G$5:G531)</f>
        <v/>
      </c>
      <c r="J531" s="37">
        <f>COUNTIF(H$5:H531,"Y")/COUNTA(H$5:H531)</f>
        <v/>
      </c>
      <c r="K531" s="37">
        <f>AVERAGE(F$5:F531)</f>
        <v/>
      </c>
      <c r="L531" s="37">
        <f>SUM(F$5:F531)/SUM(E$5:E531)</f>
        <v/>
      </c>
    </row>
    <row r="532">
      <c r="A532" s="29" t="n">
        <v>45714</v>
      </c>
      <c r="B532" s="37" t="inlineStr">
        <is>
          <t>JOB-1528</t>
        </is>
      </c>
      <c r="C532" s="34" t="n">
        <v>1</v>
      </c>
      <c r="D532" s="37" t="inlineStr">
        <is>
          <t>Tech A</t>
        </is>
      </c>
      <c r="E532" s="35" t="n">
        <v>4.4</v>
      </c>
      <c r="F532" s="35" t="n">
        <v>3.1</v>
      </c>
      <c r="G532" s="37" t="inlineStr">
        <is>
          <t>Y</t>
        </is>
      </c>
      <c r="H532" s="37" t="inlineStr">
        <is>
          <t>N</t>
        </is>
      </c>
      <c r="I532" s="37">
        <f>COUNTIF(G$5:G532,"Y")/COUNTA(G$5:G532)</f>
        <v/>
      </c>
      <c r="J532" s="37">
        <f>COUNTIF(H$5:H532,"Y")/COUNTA(H$5:H532)</f>
        <v/>
      </c>
      <c r="K532" s="37">
        <f>AVERAGE(F$5:F532)</f>
        <v/>
      </c>
      <c r="L532" s="37">
        <f>SUM(F$5:F532)/SUM(E$5:E532)</f>
        <v/>
      </c>
    </row>
    <row r="533">
      <c r="A533" s="29" t="n">
        <v>45715</v>
      </c>
      <c r="B533" s="37" t="inlineStr">
        <is>
          <t>JOB-1529</t>
        </is>
      </c>
      <c r="C533" s="34" t="n">
        <v>1</v>
      </c>
      <c r="D533" s="37" t="inlineStr">
        <is>
          <t>Tech H</t>
        </is>
      </c>
      <c r="E533" s="35" t="n">
        <v>4.9</v>
      </c>
      <c r="F533" s="35" t="n">
        <v>3.5</v>
      </c>
      <c r="G533" s="37" t="inlineStr">
        <is>
          <t>Y</t>
        </is>
      </c>
      <c r="H533" s="37" t="inlineStr">
        <is>
          <t>N</t>
        </is>
      </c>
      <c r="I533" s="37">
        <f>COUNTIF(G$5:G533,"Y")/COUNTA(G$5:G533)</f>
        <v/>
      </c>
      <c r="J533" s="37">
        <f>COUNTIF(H$5:H533,"Y")/COUNTA(H$5:H533)</f>
        <v/>
      </c>
      <c r="K533" s="37">
        <f>AVERAGE(F$5:F533)</f>
        <v/>
      </c>
      <c r="L533" s="37">
        <f>SUM(F$5:F533)/SUM(E$5:E533)</f>
        <v/>
      </c>
    </row>
    <row r="534">
      <c r="A534" s="29" t="n">
        <v>45716</v>
      </c>
      <c r="B534" s="37" t="inlineStr">
        <is>
          <t>JOB-1530</t>
        </is>
      </c>
      <c r="C534" s="34" t="n">
        <v>1</v>
      </c>
      <c r="D534" s="37" t="inlineStr">
        <is>
          <t>Tech C</t>
        </is>
      </c>
      <c r="E534" s="35" t="n">
        <v>3.8</v>
      </c>
      <c r="F534" s="35" t="n">
        <v>3</v>
      </c>
      <c r="G534" s="37" t="inlineStr">
        <is>
          <t>N</t>
        </is>
      </c>
      <c r="H534" s="37" t="inlineStr">
        <is>
          <t>N</t>
        </is>
      </c>
      <c r="I534" s="37">
        <f>COUNTIF(G$5:G534,"Y")/COUNTA(G$5:G534)</f>
        <v/>
      </c>
      <c r="J534" s="37">
        <f>COUNTIF(H$5:H534,"Y")/COUNTA(H$5:H534)</f>
        <v/>
      </c>
      <c r="K534" s="37">
        <f>AVERAGE(F$5:F534)</f>
        <v/>
      </c>
      <c r="L534" s="37">
        <f>SUM(F$5:F534)/SUM(E$5:E534)</f>
        <v/>
      </c>
    </row>
    <row r="535">
      <c r="A535" s="29" t="n">
        <v>45712</v>
      </c>
      <c r="B535" s="37" t="inlineStr">
        <is>
          <t>JOB-1531</t>
        </is>
      </c>
      <c r="C535" s="34" t="n">
        <v>1</v>
      </c>
      <c r="D535" s="37" t="inlineStr">
        <is>
          <t>Tech F</t>
        </is>
      </c>
      <c r="E535" s="35" t="n">
        <v>2.1</v>
      </c>
      <c r="F535" s="35" t="n">
        <v>1.7</v>
      </c>
      <c r="G535" s="37" t="inlineStr">
        <is>
          <t>Y</t>
        </is>
      </c>
      <c r="H535" s="37" t="inlineStr">
        <is>
          <t>N</t>
        </is>
      </c>
      <c r="I535" s="37">
        <f>COUNTIF(G$5:G535,"Y")/COUNTA(G$5:G535)</f>
        <v/>
      </c>
      <c r="J535" s="37">
        <f>COUNTIF(H$5:H535,"Y")/COUNTA(H$5:H535)</f>
        <v/>
      </c>
      <c r="K535" s="37">
        <f>AVERAGE(F$5:F535)</f>
        <v/>
      </c>
      <c r="L535" s="37">
        <f>SUM(F$5:F535)/SUM(E$5:E535)</f>
        <v/>
      </c>
    </row>
    <row r="536">
      <c r="A536" s="29" t="n">
        <v>45713</v>
      </c>
      <c r="B536" s="37" t="inlineStr">
        <is>
          <t>JOB-1532</t>
        </is>
      </c>
      <c r="C536" s="34" t="n">
        <v>1</v>
      </c>
      <c r="D536" s="37" t="inlineStr">
        <is>
          <t>Tech F</t>
        </is>
      </c>
      <c r="E536" s="35" t="n">
        <v>2.3</v>
      </c>
      <c r="F536" s="35" t="n">
        <v>1.8</v>
      </c>
      <c r="G536" s="37" t="inlineStr">
        <is>
          <t>Y</t>
        </is>
      </c>
      <c r="H536" s="37" t="inlineStr">
        <is>
          <t>N</t>
        </is>
      </c>
      <c r="I536" s="37">
        <f>COUNTIF(G$5:G536,"Y")/COUNTA(G$5:G536)</f>
        <v/>
      </c>
      <c r="J536" s="37">
        <f>COUNTIF(H$5:H536,"Y")/COUNTA(H$5:H536)</f>
        <v/>
      </c>
      <c r="K536" s="37">
        <f>AVERAGE(F$5:F536)</f>
        <v/>
      </c>
      <c r="L536" s="37">
        <f>SUM(F$5:F536)/SUM(E$5:E536)</f>
        <v/>
      </c>
    </row>
    <row r="537">
      <c r="A537" s="29" t="n">
        <v>45714</v>
      </c>
      <c r="B537" s="37" t="inlineStr">
        <is>
          <t>JOB-1533</t>
        </is>
      </c>
      <c r="C537" s="34" t="n">
        <v>1</v>
      </c>
      <c r="D537" s="37" t="inlineStr">
        <is>
          <t>Tech H</t>
        </is>
      </c>
      <c r="E537" s="35" t="n">
        <v>3.5</v>
      </c>
      <c r="F537" s="35" t="n">
        <v>2.8</v>
      </c>
      <c r="G537" s="37" t="inlineStr">
        <is>
          <t>Y</t>
        </is>
      </c>
      <c r="H537" s="37" t="inlineStr">
        <is>
          <t>N</t>
        </is>
      </c>
      <c r="I537" s="37">
        <f>COUNTIF(G$5:G537,"Y")/COUNTA(G$5:G537)</f>
        <v/>
      </c>
      <c r="J537" s="37">
        <f>COUNTIF(H$5:H537,"Y")/COUNTA(H$5:H537)</f>
        <v/>
      </c>
      <c r="K537" s="37">
        <f>AVERAGE(F$5:F537)</f>
        <v/>
      </c>
      <c r="L537" s="37">
        <f>SUM(F$5:F537)/SUM(E$5:E537)</f>
        <v/>
      </c>
    </row>
    <row r="538">
      <c r="A538" s="29" t="n">
        <v>45715</v>
      </c>
      <c r="B538" s="37" t="inlineStr">
        <is>
          <t>JOB-1534</t>
        </is>
      </c>
      <c r="C538" s="34" t="n">
        <v>1</v>
      </c>
      <c r="D538" s="37" t="inlineStr">
        <is>
          <t>Tech A</t>
        </is>
      </c>
      <c r="E538" s="35" t="n">
        <v>2.9</v>
      </c>
      <c r="F538" s="35" t="n">
        <v>2</v>
      </c>
      <c r="G538" s="37" t="inlineStr">
        <is>
          <t>Y</t>
        </is>
      </c>
      <c r="H538" s="37" t="inlineStr">
        <is>
          <t>N</t>
        </is>
      </c>
      <c r="I538" s="37">
        <f>COUNTIF(G$5:G538,"Y")/COUNTA(G$5:G538)</f>
        <v/>
      </c>
      <c r="J538" s="37">
        <f>COUNTIF(H$5:H538,"Y")/COUNTA(H$5:H538)</f>
        <v/>
      </c>
      <c r="K538" s="37">
        <f>AVERAGE(F$5:F538)</f>
        <v/>
      </c>
      <c r="L538" s="37">
        <f>SUM(F$5:F538)/SUM(E$5:E538)</f>
        <v/>
      </c>
    </row>
    <row r="539">
      <c r="A539" s="29" t="n">
        <v>45716</v>
      </c>
      <c r="B539" s="37" t="inlineStr">
        <is>
          <t>JOB-1535</t>
        </is>
      </c>
      <c r="C539" s="34" t="n">
        <v>1</v>
      </c>
      <c r="D539" s="37" t="inlineStr">
        <is>
          <t>Tech B</t>
        </is>
      </c>
      <c r="E539" s="35" t="n">
        <v>3.3</v>
      </c>
      <c r="F539" s="35" t="n">
        <v>2.3</v>
      </c>
      <c r="G539" s="37" t="inlineStr">
        <is>
          <t>Y</t>
        </is>
      </c>
      <c r="H539" s="37" t="inlineStr">
        <is>
          <t>N</t>
        </is>
      </c>
      <c r="I539" s="37">
        <f>COUNTIF(G$5:G539,"Y")/COUNTA(G$5:G539)</f>
        <v/>
      </c>
      <c r="J539" s="37">
        <f>COUNTIF(H$5:H539,"Y")/COUNTA(H$5:H539)</f>
        <v/>
      </c>
      <c r="K539" s="37">
        <f>AVERAGE(F$5:F539)</f>
        <v/>
      </c>
      <c r="L539" s="37">
        <f>SUM(F$5:F539)/SUM(E$5:E539)</f>
        <v/>
      </c>
    </row>
    <row r="540">
      <c r="A540" s="29" t="n">
        <v>45712</v>
      </c>
      <c r="B540" s="37" t="inlineStr">
        <is>
          <t>JOB-1536</t>
        </is>
      </c>
      <c r="C540" s="34" t="n">
        <v>1</v>
      </c>
      <c r="D540" s="37" t="inlineStr">
        <is>
          <t>Tech G</t>
        </is>
      </c>
      <c r="E540" s="35" t="n">
        <v>4.3</v>
      </c>
      <c r="F540" s="35" t="n">
        <v>3</v>
      </c>
      <c r="G540" s="37" t="inlineStr">
        <is>
          <t>Y</t>
        </is>
      </c>
      <c r="H540" s="37" t="inlineStr">
        <is>
          <t>N</t>
        </is>
      </c>
      <c r="I540" s="37">
        <f>COUNTIF(G$5:G540,"Y")/COUNTA(G$5:G540)</f>
        <v/>
      </c>
      <c r="J540" s="37">
        <f>COUNTIF(H$5:H540,"Y")/COUNTA(H$5:H540)</f>
        <v/>
      </c>
      <c r="K540" s="37">
        <f>AVERAGE(F$5:F540)</f>
        <v/>
      </c>
      <c r="L540" s="37">
        <f>SUM(F$5:F540)/SUM(E$5:E540)</f>
        <v/>
      </c>
    </row>
    <row r="541">
      <c r="A541" s="29" t="n">
        <v>45713</v>
      </c>
      <c r="B541" s="37" t="inlineStr">
        <is>
          <t>JOB-1537</t>
        </is>
      </c>
      <c r="C541" s="34" t="n">
        <v>1</v>
      </c>
      <c r="D541" s="37" t="inlineStr">
        <is>
          <t>Tech C</t>
        </is>
      </c>
      <c r="E541" s="35" t="n">
        <v>2.3</v>
      </c>
      <c r="F541" s="35" t="n">
        <v>1.9</v>
      </c>
      <c r="G541" s="37" t="inlineStr">
        <is>
          <t>Y</t>
        </is>
      </c>
      <c r="H541" s="37" t="inlineStr">
        <is>
          <t>N</t>
        </is>
      </c>
      <c r="I541" s="37">
        <f>COUNTIF(G$5:G541,"Y")/COUNTA(G$5:G541)</f>
        <v/>
      </c>
      <c r="J541" s="37">
        <f>COUNTIF(H$5:H541,"Y")/COUNTA(H$5:H541)</f>
        <v/>
      </c>
      <c r="K541" s="37">
        <f>AVERAGE(F$5:F541)</f>
        <v/>
      </c>
      <c r="L541" s="37">
        <f>SUM(F$5:F541)/SUM(E$5:E541)</f>
        <v/>
      </c>
    </row>
    <row r="542">
      <c r="A542" s="29" t="n">
        <v>45714</v>
      </c>
      <c r="B542" s="37" t="inlineStr">
        <is>
          <t>JOB-1538</t>
        </is>
      </c>
      <c r="C542" s="34" t="n">
        <v>1</v>
      </c>
      <c r="D542" s="37" t="inlineStr">
        <is>
          <t>Tech A</t>
        </is>
      </c>
      <c r="E542" s="35" t="n">
        <v>2.2</v>
      </c>
      <c r="F542" s="35" t="n">
        <v>1.9</v>
      </c>
      <c r="G542" s="37" t="inlineStr">
        <is>
          <t>Y</t>
        </is>
      </c>
      <c r="H542" s="37" t="inlineStr">
        <is>
          <t>N</t>
        </is>
      </c>
      <c r="I542" s="37">
        <f>COUNTIF(G$5:G542,"Y")/COUNTA(G$5:G542)</f>
        <v/>
      </c>
      <c r="J542" s="37">
        <f>COUNTIF(H$5:H542,"Y")/COUNTA(H$5:H542)</f>
        <v/>
      </c>
      <c r="K542" s="37">
        <f>AVERAGE(F$5:F542)</f>
        <v/>
      </c>
      <c r="L542" s="37">
        <f>SUM(F$5:F542)/SUM(E$5:E542)</f>
        <v/>
      </c>
    </row>
    <row r="543">
      <c r="A543" s="29" t="n">
        <v>45715</v>
      </c>
      <c r="B543" s="37" t="inlineStr">
        <is>
          <t>JOB-1539</t>
        </is>
      </c>
      <c r="C543" s="34" t="n">
        <v>1</v>
      </c>
      <c r="D543" s="37" t="inlineStr">
        <is>
          <t>Tech B</t>
        </is>
      </c>
      <c r="E543" s="35" t="n">
        <v>4.8</v>
      </c>
      <c r="F543" s="35" t="n">
        <v>3.4</v>
      </c>
      <c r="G543" s="37" t="inlineStr">
        <is>
          <t>N</t>
        </is>
      </c>
      <c r="H543" s="37" t="inlineStr">
        <is>
          <t>N</t>
        </is>
      </c>
      <c r="I543" s="37">
        <f>COUNTIF(G$5:G543,"Y")/COUNTA(G$5:G543)</f>
        <v/>
      </c>
      <c r="J543" s="37">
        <f>COUNTIF(H$5:H543,"Y")/COUNTA(H$5:H543)</f>
        <v/>
      </c>
      <c r="K543" s="37">
        <f>AVERAGE(F$5:F543)</f>
        <v/>
      </c>
      <c r="L543" s="37">
        <f>SUM(F$5:F543)/SUM(E$5:E543)</f>
        <v/>
      </c>
    </row>
    <row r="544">
      <c r="A544" s="29" t="n">
        <v>45716</v>
      </c>
      <c r="B544" s="37" t="inlineStr">
        <is>
          <t>JOB-1540</t>
        </is>
      </c>
      <c r="C544" s="34" t="n">
        <v>1</v>
      </c>
      <c r="D544" s="37" t="inlineStr">
        <is>
          <t>Tech F</t>
        </is>
      </c>
      <c r="E544" s="35" t="n">
        <v>1.5</v>
      </c>
      <c r="F544" s="35" t="n">
        <v>1.1</v>
      </c>
      <c r="G544" s="37" t="inlineStr">
        <is>
          <t>Y</t>
        </is>
      </c>
      <c r="H544" s="37" t="inlineStr">
        <is>
          <t>N</t>
        </is>
      </c>
      <c r="I544" s="37">
        <f>COUNTIF(G$5:G544,"Y")/COUNTA(G$5:G544)</f>
        <v/>
      </c>
      <c r="J544" s="37">
        <f>COUNTIF(H$5:H544,"Y")/COUNTA(H$5:H544)</f>
        <v/>
      </c>
      <c r="K544" s="37">
        <f>AVERAGE(F$5:F544)</f>
        <v/>
      </c>
      <c r="L544" s="37">
        <f>SUM(F$5:F544)/SUM(E$5:E544)</f>
        <v/>
      </c>
    </row>
    <row r="545">
      <c r="A545" s="29" t="n">
        <v>45712</v>
      </c>
      <c r="B545" s="37" t="inlineStr">
        <is>
          <t>JOB-1541</t>
        </is>
      </c>
      <c r="C545" s="34" t="n">
        <v>1</v>
      </c>
      <c r="D545" s="37" t="inlineStr">
        <is>
          <t>Tech B</t>
        </is>
      </c>
      <c r="E545" s="35" t="n">
        <v>3.6</v>
      </c>
      <c r="F545" s="35" t="n">
        <v>2.6</v>
      </c>
      <c r="G545" s="37" t="inlineStr">
        <is>
          <t>N</t>
        </is>
      </c>
      <c r="H545" s="37" t="inlineStr">
        <is>
          <t>N</t>
        </is>
      </c>
      <c r="I545" s="37">
        <f>COUNTIF(G$5:G545,"Y")/COUNTA(G$5:G545)</f>
        <v/>
      </c>
      <c r="J545" s="37">
        <f>COUNTIF(H$5:H545,"Y")/COUNTA(H$5:H545)</f>
        <v/>
      </c>
      <c r="K545" s="37">
        <f>AVERAGE(F$5:F545)</f>
        <v/>
      </c>
      <c r="L545" s="37">
        <f>SUM(F$5:F545)/SUM(E$5:E545)</f>
        <v/>
      </c>
    </row>
    <row r="546">
      <c r="A546" s="29" t="n">
        <v>45713</v>
      </c>
      <c r="B546" s="37" t="inlineStr">
        <is>
          <t>JOB-1542</t>
        </is>
      </c>
      <c r="C546" s="34" t="n">
        <v>1</v>
      </c>
      <c r="D546" s="37" t="inlineStr">
        <is>
          <t>Tech G</t>
        </is>
      </c>
      <c r="E546" s="35" t="n">
        <v>2.3</v>
      </c>
      <c r="F546" s="35" t="n">
        <v>1.9</v>
      </c>
      <c r="G546" s="37" t="inlineStr">
        <is>
          <t>Y</t>
        </is>
      </c>
      <c r="H546" s="37" t="inlineStr">
        <is>
          <t>Y</t>
        </is>
      </c>
      <c r="I546" s="37">
        <f>COUNTIF(G$5:G546,"Y")/COUNTA(G$5:G546)</f>
        <v/>
      </c>
      <c r="J546" s="37">
        <f>COUNTIF(H$5:H546,"Y")/COUNTA(H$5:H546)</f>
        <v/>
      </c>
      <c r="K546" s="37">
        <f>AVERAGE(F$5:F546)</f>
        <v/>
      </c>
      <c r="L546" s="37">
        <f>SUM(F$5:F546)/SUM(E$5:E546)</f>
        <v/>
      </c>
    </row>
    <row r="547">
      <c r="A547" s="29" t="n">
        <v>45714</v>
      </c>
      <c r="B547" s="37" t="inlineStr">
        <is>
          <t>JOB-1543</t>
        </is>
      </c>
      <c r="C547" s="34" t="n">
        <v>1</v>
      </c>
      <c r="D547" s="37" t="inlineStr">
        <is>
          <t>Tech G</t>
        </is>
      </c>
      <c r="E547" s="35" t="n">
        <v>1.5</v>
      </c>
      <c r="F547" s="35" t="n">
        <v>1.1</v>
      </c>
      <c r="G547" s="37" t="inlineStr">
        <is>
          <t>Y</t>
        </is>
      </c>
      <c r="H547" s="37" t="inlineStr">
        <is>
          <t>N</t>
        </is>
      </c>
      <c r="I547" s="37">
        <f>COUNTIF(G$5:G547,"Y")/COUNTA(G$5:G547)</f>
        <v/>
      </c>
      <c r="J547" s="37">
        <f>COUNTIF(H$5:H547,"Y")/COUNTA(H$5:H547)</f>
        <v/>
      </c>
      <c r="K547" s="37">
        <f>AVERAGE(F$5:F547)</f>
        <v/>
      </c>
      <c r="L547" s="37">
        <f>SUM(F$5:F547)/SUM(E$5:E547)</f>
        <v/>
      </c>
    </row>
    <row r="548">
      <c r="A548" s="29" t="n">
        <v>45715</v>
      </c>
      <c r="B548" s="37" t="inlineStr">
        <is>
          <t>JOB-1544</t>
        </is>
      </c>
      <c r="C548" s="34" t="n">
        <v>1</v>
      </c>
      <c r="D548" s="37" t="inlineStr">
        <is>
          <t>Tech H</t>
        </is>
      </c>
      <c r="E548" s="35" t="n">
        <v>0.7</v>
      </c>
      <c r="F548" s="35" t="n">
        <v>0.5</v>
      </c>
      <c r="G548" s="37" t="inlineStr">
        <is>
          <t>Y</t>
        </is>
      </c>
      <c r="H548" s="37" t="inlineStr">
        <is>
          <t>N</t>
        </is>
      </c>
      <c r="I548" s="37">
        <f>COUNTIF(G$5:G548,"Y")/COUNTA(G$5:G548)</f>
        <v/>
      </c>
      <c r="J548" s="37">
        <f>COUNTIF(H$5:H548,"Y")/COUNTA(H$5:H548)</f>
        <v/>
      </c>
      <c r="K548" s="37">
        <f>AVERAGE(F$5:F548)</f>
        <v/>
      </c>
      <c r="L548" s="37">
        <f>SUM(F$5:F548)/SUM(E$5:E548)</f>
        <v/>
      </c>
    </row>
    <row r="549">
      <c r="A549" s="29" t="n">
        <v>45716</v>
      </c>
      <c r="B549" s="37" t="inlineStr">
        <is>
          <t>JOB-1545</t>
        </is>
      </c>
      <c r="C549" s="34" t="n">
        <v>1</v>
      </c>
      <c r="D549" s="37" t="inlineStr">
        <is>
          <t>Tech G</t>
        </is>
      </c>
      <c r="E549" s="35" t="n">
        <v>0.6</v>
      </c>
      <c r="F549" s="35" t="n">
        <v>0.5</v>
      </c>
      <c r="G549" s="37" t="inlineStr">
        <is>
          <t>N</t>
        </is>
      </c>
      <c r="H549" s="37" t="inlineStr">
        <is>
          <t>N</t>
        </is>
      </c>
      <c r="I549" s="37">
        <f>COUNTIF(G$5:G549,"Y")/COUNTA(G$5:G549)</f>
        <v/>
      </c>
      <c r="J549" s="37">
        <f>COUNTIF(H$5:H549,"Y")/COUNTA(H$5:H549)</f>
        <v/>
      </c>
      <c r="K549" s="37">
        <f>AVERAGE(F$5:F549)</f>
        <v/>
      </c>
      <c r="L549" s="37">
        <f>SUM(F$5:F549)/SUM(E$5:E549)</f>
        <v/>
      </c>
    </row>
    <row r="550">
      <c r="A550" s="29" t="n">
        <v>45712</v>
      </c>
      <c r="B550" s="37" t="inlineStr">
        <is>
          <t>JOB-1546</t>
        </is>
      </c>
      <c r="C550" s="34" t="n">
        <v>1</v>
      </c>
      <c r="D550" s="37" t="inlineStr">
        <is>
          <t>Tech D</t>
        </is>
      </c>
      <c r="E550" s="35" t="n">
        <v>1.7</v>
      </c>
      <c r="F550" s="35" t="n">
        <v>0.5</v>
      </c>
      <c r="G550" s="37" t="inlineStr">
        <is>
          <t>Y</t>
        </is>
      </c>
      <c r="H550" s="37" t="inlineStr">
        <is>
          <t>N</t>
        </is>
      </c>
      <c r="I550" s="37">
        <f>COUNTIF(G$5:G550,"Y")/COUNTA(G$5:G550)</f>
        <v/>
      </c>
      <c r="J550" s="37">
        <f>COUNTIF(H$5:H550,"Y")/COUNTA(H$5:H550)</f>
        <v/>
      </c>
      <c r="K550" s="37">
        <f>AVERAGE(F$5:F550)</f>
        <v/>
      </c>
      <c r="L550" s="37">
        <f>SUM(F$5:F550)/SUM(E$5:E550)</f>
        <v/>
      </c>
      <c r="M550" s="37" t="n">
        <v>12</v>
      </c>
    </row>
    <row r="551">
      <c r="A551" s="29" t="n">
        <v>45719</v>
      </c>
      <c r="B551" s="37" t="inlineStr">
        <is>
          <t>JOB-1547</t>
        </is>
      </c>
      <c r="C551" s="34" t="n">
        <v>1</v>
      </c>
      <c r="D551" s="37" t="inlineStr">
        <is>
          <t>Tech C</t>
        </is>
      </c>
      <c r="E551" s="35" t="n">
        <v>4.6</v>
      </c>
      <c r="F551" s="35" t="n">
        <v>3.8</v>
      </c>
      <c r="G551" s="37" t="inlineStr">
        <is>
          <t>Y</t>
        </is>
      </c>
      <c r="H551" s="37" t="inlineStr">
        <is>
          <t>N</t>
        </is>
      </c>
      <c r="I551" s="37">
        <f>COUNTIF(G$5:G551,"Y")/COUNTA(G$5:G551)</f>
        <v/>
      </c>
      <c r="J551" s="37">
        <f>COUNTIF(H$5:H551,"Y")/COUNTA(H$5:H551)</f>
        <v/>
      </c>
      <c r="K551" s="37">
        <f>AVERAGE(F$5:F551)</f>
        <v/>
      </c>
      <c r="L551" s="37">
        <f>SUM(F$5:F551)/SUM(E$5:E551)</f>
        <v/>
      </c>
    </row>
    <row r="552">
      <c r="A552" s="29" t="n">
        <v>45720</v>
      </c>
      <c r="B552" s="37" t="inlineStr">
        <is>
          <t>JOB-1548</t>
        </is>
      </c>
      <c r="C552" s="34" t="n">
        <v>1</v>
      </c>
      <c r="D552" s="37" t="inlineStr">
        <is>
          <t>Tech A</t>
        </is>
      </c>
      <c r="E552" s="35" t="n">
        <v>3.6</v>
      </c>
      <c r="F552" s="35" t="n">
        <v>2.7</v>
      </c>
      <c r="G552" s="37" t="inlineStr">
        <is>
          <t>Y</t>
        </is>
      </c>
      <c r="H552" s="37" t="inlineStr">
        <is>
          <t>N</t>
        </is>
      </c>
      <c r="I552" s="37">
        <f>COUNTIF(G$5:G552,"Y")/COUNTA(G$5:G552)</f>
        <v/>
      </c>
      <c r="J552" s="37">
        <f>COUNTIF(H$5:H552,"Y")/COUNTA(H$5:H552)</f>
        <v/>
      </c>
      <c r="K552" s="37">
        <f>AVERAGE(F$5:F552)</f>
        <v/>
      </c>
      <c r="L552" s="37">
        <f>SUM(F$5:F552)/SUM(E$5:E552)</f>
        <v/>
      </c>
    </row>
    <row r="553">
      <c r="A553" s="29" t="n">
        <v>45721</v>
      </c>
      <c r="B553" s="37" t="inlineStr">
        <is>
          <t>JOB-1549</t>
        </is>
      </c>
      <c r="C553" s="34" t="n">
        <v>1</v>
      </c>
      <c r="D553" s="37" t="inlineStr">
        <is>
          <t>Tech D</t>
        </is>
      </c>
      <c r="E553" s="35" t="n">
        <v>4.8</v>
      </c>
      <c r="F553" s="35" t="n">
        <v>3.5</v>
      </c>
      <c r="G553" s="37" t="inlineStr">
        <is>
          <t>N</t>
        </is>
      </c>
      <c r="H553" s="37" t="inlineStr">
        <is>
          <t>N</t>
        </is>
      </c>
      <c r="I553" s="37">
        <f>COUNTIF(G$5:G553,"Y")/COUNTA(G$5:G553)</f>
        <v/>
      </c>
      <c r="J553" s="37">
        <f>COUNTIF(H$5:H553,"Y")/COUNTA(H$5:H553)</f>
        <v/>
      </c>
      <c r="K553" s="37">
        <f>AVERAGE(F$5:F553)</f>
        <v/>
      </c>
      <c r="L553" s="37">
        <f>SUM(F$5:F553)/SUM(E$5:E553)</f>
        <v/>
      </c>
    </row>
    <row r="554">
      <c r="A554" s="29" t="n">
        <v>45722</v>
      </c>
      <c r="B554" s="37" t="inlineStr">
        <is>
          <t>JOB-1550</t>
        </is>
      </c>
      <c r="C554" s="34" t="n">
        <v>1</v>
      </c>
      <c r="D554" s="37" t="inlineStr">
        <is>
          <t>Tech A</t>
        </is>
      </c>
      <c r="E554" s="35" t="n">
        <v>3.3</v>
      </c>
      <c r="F554" s="35" t="n">
        <v>2.6</v>
      </c>
      <c r="G554" s="37" t="inlineStr">
        <is>
          <t>Y</t>
        </is>
      </c>
      <c r="H554" s="37" t="inlineStr">
        <is>
          <t>N</t>
        </is>
      </c>
      <c r="I554" s="37">
        <f>COUNTIF(G$5:G554,"Y")/COUNTA(G$5:G554)</f>
        <v/>
      </c>
      <c r="J554" s="37">
        <f>COUNTIF(H$5:H554,"Y")/COUNTA(H$5:H554)</f>
        <v/>
      </c>
      <c r="K554" s="37">
        <f>AVERAGE(F$5:F554)</f>
        <v/>
      </c>
      <c r="L554" s="37">
        <f>SUM(F$5:F554)/SUM(E$5:E554)</f>
        <v/>
      </c>
    </row>
    <row r="555">
      <c r="A555" s="29" t="n">
        <v>45723</v>
      </c>
      <c r="B555" s="37" t="inlineStr">
        <is>
          <t>JOB-1551</t>
        </is>
      </c>
      <c r="C555" s="34" t="n">
        <v>1</v>
      </c>
      <c r="D555" s="37" t="inlineStr">
        <is>
          <t>Tech C</t>
        </is>
      </c>
      <c r="E555" s="35" t="n">
        <v>4.5</v>
      </c>
      <c r="F555" s="35" t="n">
        <v>3.2</v>
      </c>
      <c r="G555" s="37" t="inlineStr">
        <is>
          <t>Y</t>
        </is>
      </c>
      <c r="H555" s="37" t="inlineStr">
        <is>
          <t>N</t>
        </is>
      </c>
      <c r="I555" s="37">
        <f>COUNTIF(G$5:G555,"Y")/COUNTA(G$5:G555)</f>
        <v/>
      </c>
      <c r="J555" s="37">
        <f>COUNTIF(H$5:H555,"Y")/COUNTA(H$5:H555)</f>
        <v/>
      </c>
      <c r="K555" s="37">
        <f>AVERAGE(F$5:F555)</f>
        <v/>
      </c>
      <c r="L555" s="37">
        <f>SUM(F$5:F555)/SUM(E$5:E555)</f>
        <v/>
      </c>
    </row>
    <row r="556">
      <c r="A556" s="29" t="n">
        <v>45719</v>
      </c>
      <c r="B556" s="37" t="inlineStr">
        <is>
          <t>JOB-1552</t>
        </is>
      </c>
      <c r="C556" s="34" t="n">
        <v>1</v>
      </c>
      <c r="D556" s="37" t="inlineStr">
        <is>
          <t>Tech D</t>
        </is>
      </c>
      <c r="E556" s="35" t="n">
        <v>3.5</v>
      </c>
      <c r="F556" s="35" t="n">
        <v>3.1</v>
      </c>
      <c r="G556" s="37" t="inlineStr">
        <is>
          <t>Y</t>
        </is>
      </c>
      <c r="H556" s="37" t="inlineStr">
        <is>
          <t>N</t>
        </is>
      </c>
      <c r="I556" s="37">
        <f>COUNTIF(G$5:G556,"Y")/COUNTA(G$5:G556)</f>
        <v/>
      </c>
      <c r="J556" s="37">
        <f>COUNTIF(H$5:H556,"Y")/COUNTA(H$5:H556)</f>
        <v/>
      </c>
      <c r="K556" s="37">
        <f>AVERAGE(F$5:F556)</f>
        <v/>
      </c>
      <c r="L556" s="37">
        <f>SUM(F$5:F556)/SUM(E$5:E556)</f>
        <v/>
      </c>
    </row>
    <row r="557">
      <c r="A557" s="29" t="n">
        <v>45720</v>
      </c>
      <c r="B557" s="37" t="inlineStr">
        <is>
          <t>JOB-1553</t>
        </is>
      </c>
      <c r="C557" s="34" t="n">
        <v>1</v>
      </c>
      <c r="D557" s="37" t="inlineStr">
        <is>
          <t>Tech A</t>
        </is>
      </c>
      <c r="E557" s="35" t="n">
        <v>4</v>
      </c>
      <c r="F557" s="35" t="n">
        <v>3.2</v>
      </c>
      <c r="G557" s="37" t="inlineStr">
        <is>
          <t>Y</t>
        </is>
      </c>
      <c r="H557" s="37" t="inlineStr">
        <is>
          <t>N</t>
        </is>
      </c>
      <c r="I557" s="37">
        <f>COUNTIF(G$5:G557,"Y")/COUNTA(G$5:G557)</f>
        <v/>
      </c>
      <c r="J557" s="37">
        <f>COUNTIF(H$5:H557,"Y")/COUNTA(H$5:H557)</f>
        <v/>
      </c>
      <c r="K557" s="37">
        <f>AVERAGE(F$5:F557)</f>
        <v/>
      </c>
      <c r="L557" s="37">
        <f>SUM(F$5:F557)/SUM(E$5:E557)</f>
        <v/>
      </c>
    </row>
    <row r="558">
      <c r="A558" s="29" t="n">
        <v>45721</v>
      </c>
      <c r="B558" s="37" t="inlineStr">
        <is>
          <t>JOB-1554</t>
        </is>
      </c>
      <c r="C558" s="34" t="n">
        <v>1</v>
      </c>
      <c r="D558" s="37" t="inlineStr">
        <is>
          <t>Tech A</t>
        </is>
      </c>
      <c r="E558" s="35" t="n">
        <v>1.7</v>
      </c>
      <c r="F558" s="35" t="n">
        <v>1.4</v>
      </c>
      <c r="G558" s="37" t="inlineStr">
        <is>
          <t>Y</t>
        </is>
      </c>
      <c r="H558" s="37" t="inlineStr">
        <is>
          <t>N</t>
        </is>
      </c>
      <c r="I558" s="37">
        <f>COUNTIF(G$5:G558,"Y")/COUNTA(G$5:G558)</f>
        <v/>
      </c>
      <c r="J558" s="37">
        <f>COUNTIF(H$5:H558,"Y")/COUNTA(H$5:H558)</f>
        <v/>
      </c>
      <c r="K558" s="37">
        <f>AVERAGE(F$5:F558)</f>
        <v/>
      </c>
      <c r="L558" s="37">
        <f>SUM(F$5:F558)/SUM(E$5:E558)</f>
        <v/>
      </c>
    </row>
    <row r="559">
      <c r="A559" s="29" t="n">
        <v>45722</v>
      </c>
      <c r="B559" s="37" t="inlineStr">
        <is>
          <t>JOB-1555</t>
        </is>
      </c>
      <c r="C559" s="34" t="n">
        <v>1</v>
      </c>
      <c r="D559" s="37" t="inlineStr">
        <is>
          <t>Tech G</t>
        </is>
      </c>
      <c r="E559" s="35" t="n">
        <v>1.7</v>
      </c>
      <c r="F559" s="35" t="n">
        <v>1.3</v>
      </c>
      <c r="G559" s="37" t="inlineStr">
        <is>
          <t>Y</t>
        </is>
      </c>
      <c r="H559" s="37" t="inlineStr">
        <is>
          <t>N</t>
        </is>
      </c>
      <c r="I559" s="37">
        <f>COUNTIF(G$5:G559,"Y")/COUNTA(G$5:G559)</f>
        <v/>
      </c>
      <c r="J559" s="37">
        <f>COUNTIF(H$5:H559,"Y")/COUNTA(H$5:H559)</f>
        <v/>
      </c>
      <c r="K559" s="37">
        <f>AVERAGE(F$5:F559)</f>
        <v/>
      </c>
      <c r="L559" s="37">
        <f>SUM(F$5:F559)/SUM(E$5:E559)</f>
        <v/>
      </c>
    </row>
    <row r="560">
      <c r="A560" s="29" t="n">
        <v>45723</v>
      </c>
      <c r="B560" s="37" t="inlineStr">
        <is>
          <t>JOB-1556</t>
        </is>
      </c>
      <c r="C560" s="34" t="n">
        <v>1</v>
      </c>
      <c r="D560" s="37" t="inlineStr">
        <is>
          <t>Tech H</t>
        </is>
      </c>
      <c r="E560" s="35" t="n">
        <v>3.9</v>
      </c>
      <c r="F560" s="35" t="n">
        <v>2.9</v>
      </c>
      <c r="G560" s="37" t="inlineStr">
        <is>
          <t>Y</t>
        </is>
      </c>
      <c r="H560" s="37" t="inlineStr">
        <is>
          <t>N</t>
        </is>
      </c>
      <c r="I560" s="37">
        <f>COUNTIF(G$5:G560,"Y")/COUNTA(G$5:G560)</f>
        <v/>
      </c>
      <c r="J560" s="37">
        <f>COUNTIF(H$5:H560,"Y")/COUNTA(H$5:H560)</f>
        <v/>
      </c>
      <c r="K560" s="37">
        <f>AVERAGE(F$5:F560)</f>
        <v/>
      </c>
      <c r="L560" s="37">
        <f>SUM(F$5:F560)/SUM(E$5:E560)</f>
        <v/>
      </c>
    </row>
    <row r="561">
      <c r="A561" s="29" t="n">
        <v>45719</v>
      </c>
      <c r="B561" s="37" t="inlineStr">
        <is>
          <t>JOB-1557</t>
        </is>
      </c>
      <c r="C561" s="34" t="n">
        <v>1</v>
      </c>
      <c r="D561" s="37" t="inlineStr">
        <is>
          <t>Tech B</t>
        </is>
      </c>
      <c r="E561" s="35" t="n">
        <v>4.8</v>
      </c>
      <c r="F561" s="35" t="n">
        <v>3.9</v>
      </c>
      <c r="G561" s="37" t="inlineStr">
        <is>
          <t>Y</t>
        </is>
      </c>
      <c r="H561" s="37" t="inlineStr">
        <is>
          <t>N</t>
        </is>
      </c>
      <c r="I561" s="37">
        <f>COUNTIF(G$5:G561,"Y")/COUNTA(G$5:G561)</f>
        <v/>
      </c>
      <c r="J561" s="37">
        <f>COUNTIF(H$5:H561,"Y")/COUNTA(H$5:H561)</f>
        <v/>
      </c>
      <c r="K561" s="37">
        <f>AVERAGE(F$5:F561)</f>
        <v/>
      </c>
      <c r="L561" s="37">
        <f>SUM(F$5:F561)/SUM(E$5:E561)</f>
        <v/>
      </c>
    </row>
    <row r="562">
      <c r="A562" s="29" t="n">
        <v>45720</v>
      </c>
      <c r="B562" s="37" t="inlineStr">
        <is>
          <t>JOB-1558</t>
        </is>
      </c>
      <c r="C562" s="34" t="n">
        <v>1</v>
      </c>
      <c r="D562" s="37" t="inlineStr">
        <is>
          <t>Tech C</t>
        </is>
      </c>
      <c r="E562" s="35" t="n">
        <v>4.1</v>
      </c>
      <c r="F562" s="35" t="n">
        <v>2.9</v>
      </c>
      <c r="G562" s="37" t="inlineStr">
        <is>
          <t>Y</t>
        </is>
      </c>
      <c r="H562" s="37" t="inlineStr">
        <is>
          <t>N</t>
        </is>
      </c>
      <c r="I562" s="37">
        <f>COUNTIF(G$5:G562,"Y")/COUNTA(G$5:G562)</f>
        <v/>
      </c>
      <c r="J562" s="37">
        <f>COUNTIF(H$5:H562,"Y")/COUNTA(H$5:H562)</f>
        <v/>
      </c>
      <c r="K562" s="37">
        <f>AVERAGE(F$5:F562)</f>
        <v/>
      </c>
      <c r="L562" s="37">
        <f>SUM(F$5:F562)/SUM(E$5:E562)</f>
        <v/>
      </c>
    </row>
    <row r="563">
      <c r="A563" s="29" t="n">
        <v>45721</v>
      </c>
      <c r="B563" s="37" t="inlineStr">
        <is>
          <t>JOB-1559</t>
        </is>
      </c>
      <c r="C563" s="34" t="n">
        <v>1</v>
      </c>
      <c r="D563" s="37" t="inlineStr">
        <is>
          <t>Tech C</t>
        </is>
      </c>
      <c r="E563" s="35" t="n">
        <v>2.9</v>
      </c>
      <c r="F563" s="35" t="n">
        <v>2.4</v>
      </c>
      <c r="G563" s="37" t="inlineStr">
        <is>
          <t>Y</t>
        </is>
      </c>
      <c r="H563" s="37" t="inlineStr">
        <is>
          <t>N</t>
        </is>
      </c>
      <c r="I563" s="37">
        <f>COUNTIF(G$5:G563,"Y")/COUNTA(G$5:G563)</f>
        <v/>
      </c>
      <c r="J563" s="37">
        <f>COUNTIF(H$5:H563,"Y")/COUNTA(H$5:H563)</f>
        <v/>
      </c>
      <c r="K563" s="37">
        <f>AVERAGE(F$5:F563)</f>
        <v/>
      </c>
      <c r="L563" s="37">
        <f>SUM(F$5:F563)/SUM(E$5:E563)</f>
        <v/>
      </c>
    </row>
    <row r="564">
      <c r="A564" s="29" t="n">
        <v>45722</v>
      </c>
      <c r="B564" s="37" t="inlineStr">
        <is>
          <t>JOB-1560</t>
        </is>
      </c>
      <c r="C564" s="34" t="n">
        <v>1</v>
      </c>
      <c r="D564" s="37" t="inlineStr">
        <is>
          <t>Tech C</t>
        </is>
      </c>
      <c r="E564" s="35" t="n">
        <v>3.4</v>
      </c>
      <c r="F564" s="35" t="n">
        <v>2.7</v>
      </c>
      <c r="G564" s="37" t="inlineStr">
        <is>
          <t>Y</t>
        </is>
      </c>
      <c r="H564" s="37" t="inlineStr">
        <is>
          <t>Y</t>
        </is>
      </c>
      <c r="I564" s="37">
        <f>COUNTIF(G$5:G564,"Y")/COUNTA(G$5:G564)</f>
        <v/>
      </c>
      <c r="J564" s="37">
        <f>COUNTIF(H$5:H564,"Y")/COUNTA(H$5:H564)</f>
        <v/>
      </c>
      <c r="K564" s="37">
        <f>AVERAGE(F$5:F564)</f>
        <v/>
      </c>
      <c r="L564" s="37">
        <f>SUM(F$5:F564)/SUM(E$5:E564)</f>
        <v/>
      </c>
    </row>
    <row r="565">
      <c r="A565" s="29" t="n">
        <v>45723</v>
      </c>
      <c r="B565" s="37" t="inlineStr">
        <is>
          <t>JOB-1561</t>
        </is>
      </c>
      <c r="C565" s="34" t="n">
        <v>1</v>
      </c>
      <c r="D565" s="37" t="inlineStr">
        <is>
          <t>Tech D</t>
        </is>
      </c>
      <c r="E565" s="35" t="n">
        <v>2.1</v>
      </c>
      <c r="F565" s="35" t="n">
        <v>1.6</v>
      </c>
      <c r="G565" s="37" t="inlineStr">
        <is>
          <t>N</t>
        </is>
      </c>
      <c r="H565" s="37" t="inlineStr">
        <is>
          <t>N</t>
        </is>
      </c>
      <c r="I565" s="37">
        <f>COUNTIF(G$5:G565,"Y")/COUNTA(G$5:G565)</f>
        <v/>
      </c>
      <c r="J565" s="37">
        <f>COUNTIF(H$5:H565,"Y")/COUNTA(H$5:H565)</f>
        <v/>
      </c>
      <c r="K565" s="37">
        <f>AVERAGE(F$5:F565)</f>
        <v/>
      </c>
      <c r="L565" s="37">
        <f>SUM(F$5:F565)/SUM(E$5:E565)</f>
        <v/>
      </c>
    </row>
    <row r="566">
      <c r="A566" s="29" t="n">
        <v>45719</v>
      </c>
      <c r="B566" s="37" t="inlineStr">
        <is>
          <t>JOB-1562</t>
        </is>
      </c>
      <c r="C566" s="34" t="n">
        <v>1</v>
      </c>
      <c r="D566" s="37" t="inlineStr">
        <is>
          <t>Tech G</t>
        </is>
      </c>
      <c r="E566" s="35" t="n">
        <v>3.1</v>
      </c>
      <c r="F566" s="35" t="n">
        <v>2.2</v>
      </c>
      <c r="G566" s="37" t="inlineStr">
        <is>
          <t>Y</t>
        </is>
      </c>
      <c r="H566" s="37" t="inlineStr">
        <is>
          <t>N</t>
        </is>
      </c>
      <c r="I566" s="37">
        <f>COUNTIF(G$5:G566,"Y")/COUNTA(G$5:G566)</f>
        <v/>
      </c>
      <c r="J566" s="37">
        <f>COUNTIF(H$5:H566,"Y")/COUNTA(H$5:H566)</f>
        <v/>
      </c>
      <c r="K566" s="37">
        <f>AVERAGE(F$5:F566)</f>
        <v/>
      </c>
      <c r="L566" s="37">
        <f>SUM(F$5:F566)/SUM(E$5:E566)</f>
        <v/>
      </c>
    </row>
    <row r="567">
      <c r="A567" s="29" t="n">
        <v>45720</v>
      </c>
      <c r="B567" s="37" t="inlineStr">
        <is>
          <t>JOB-1563</t>
        </is>
      </c>
      <c r="C567" s="34" t="n">
        <v>1</v>
      </c>
      <c r="D567" s="37" t="inlineStr">
        <is>
          <t>Tech B</t>
        </is>
      </c>
      <c r="E567" s="35" t="n">
        <v>2.3</v>
      </c>
      <c r="F567" s="35" t="n">
        <v>1.9</v>
      </c>
      <c r="G567" s="37" t="inlineStr">
        <is>
          <t>Y</t>
        </is>
      </c>
      <c r="H567" s="37" t="inlineStr">
        <is>
          <t>N</t>
        </is>
      </c>
      <c r="I567" s="37">
        <f>COUNTIF(G$5:G567,"Y")/COUNTA(G$5:G567)</f>
        <v/>
      </c>
      <c r="J567" s="37">
        <f>COUNTIF(H$5:H567,"Y")/COUNTA(H$5:H567)</f>
        <v/>
      </c>
      <c r="K567" s="37">
        <f>AVERAGE(F$5:F567)</f>
        <v/>
      </c>
      <c r="L567" s="37">
        <f>SUM(F$5:F567)/SUM(E$5:E567)</f>
        <v/>
      </c>
    </row>
    <row r="568">
      <c r="A568" s="29" t="n">
        <v>45721</v>
      </c>
      <c r="B568" s="37" t="inlineStr">
        <is>
          <t>JOB-1564</t>
        </is>
      </c>
      <c r="C568" s="34" t="n">
        <v>1</v>
      </c>
      <c r="D568" s="37" t="inlineStr">
        <is>
          <t>Tech F</t>
        </is>
      </c>
      <c r="E568" s="35" t="n">
        <v>1.6</v>
      </c>
      <c r="F568" s="35" t="n">
        <v>1.3</v>
      </c>
      <c r="G568" s="37" t="inlineStr">
        <is>
          <t>Y</t>
        </is>
      </c>
      <c r="H568" s="37" t="inlineStr">
        <is>
          <t>N</t>
        </is>
      </c>
      <c r="I568" s="37">
        <f>COUNTIF(G$5:G568,"Y")/COUNTA(G$5:G568)</f>
        <v/>
      </c>
      <c r="J568" s="37">
        <f>COUNTIF(H$5:H568,"Y")/COUNTA(H$5:H568)</f>
        <v/>
      </c>
      <c r="K568" s="37">
        <f>AVERAGE(F$5:F568)</f>
        <v/>
      </c>
      <c r="L568" s="37">
        <f>SUM(F$5:F568)/SUM(E$5:E568)</f>
        <v/>
      </c>
    </row>
    <row r="569">
      <c r="A569" s="29" t="n">
        <v>45722</v>
      </c>
      <c r="B569" s="37" t="inlineStr">
        <is>
          <t>JOB-1565</t>
        </is>
      </c>
      <c r="C569" s="34" t="n">
        <v>1</v>
      </c>
      <c r="D569" s="37" t="inlineStr">
        <is>
          <t>Tech D</t>
        </is>
      </c>
      <c r="E569" s="35" t="n">
        <v>3.1</v>
      </c>
      <c r="F569" s="35" t="n">
        <v>2.2</v>
      </c>
      <c r="G569" s="37" t="inlineStr">
        <is>
          <t>Y</t>
        </is>
      </c>
      <c r="H569" s="37" t="inlineStr">
        <is>
          <t>Y</t>
        </is>
      </c>
      <c r="I569" s="37">
        <f>COUNTIF(G$5:G569,"Y")/COUNTA(G$5:G569)</f>
        <v/>
      </c>
      <c r="J569" s="37">
        <f>COUNTIF(H$5:H569,"Y")/COUNTA(H$5:H569)</f>
        <v/>
      </c>
      <c r="K569" s="37">
        <f>AVERAGE(F$5:F569)</f>
        <v/>
      </c>
      <c r="L569" s="37">
        <f>SUM(F$5:F569)/SUM(E$5:E569)</f>
        <v/>
      </c>
    </row>
    <row r="570">
      <c r="A570" s="29" t="n">
        <v>45723</v>
      </c>
      <c r="B570" s="37" t="inlineStr">
        <is>
          <t>JOB-1566</t>
        </is>
      </c>
      <c r="C570" s="34" t="n">
        <v>1</v>
      </c>
      <c r="D570" s="37" t="inlineStr">
        <is>
          <t>Tech C</t>
        </is>
      </c>
      <c r="E570" s="35" t="n">
        <v>1.9</v>
      </c>
      <c r="F570" s="35" t="n">
        <v>1.5</v>
      </c>
      <c r="G570" s="37" t="inlineStr">
        <is>
          <t>Y</t>
        </is>
      </c>
      <c r="H570" s="37" t="inlineStr">
        <is>
          <t>N</t>
        </is>
      </c>
      <c r="I570" s="37">
        <f>COUNTIF(G$5:G570,"Y")/COUNTA(G$5:G570)</f>
        <v/>
      </c>
      <c r="J570" s="37">
        <f>COUNTIF(H$5:H570,"Y")/COUNTA(H$5:H570)</f>
        <v/>
      </c>
      <c r="K570" s="37">
        <f>AVERAGE(F$5:F570)</f>
        <v/>
      </c>
      <c r="L570" s="37">
        <f>SUM(F$5:F570)/SUM(E$5:E570)</f>
        <v/>
      </c>
    </row>
    <row r="571">
      <c r="A571" s="29" t="n">
        <v>45719</v>
      </c>
      <c r="B571" s="37" t="inlineStr">
        <is>
          <t>JOB-1567</t>
        </is>
      </c>
      <c r="C571" s="34" t="n">
        <v>1</v>
      </c>
      <c r="D571" s="37" t="inlineStr">
        <is>
          <t>Tech D</t>
        </is>
      </c>
      <c r="E571" s="35" t="n">
        <v>2.4</v>
      </c>
      <c r="F571" s="35" t="n">
        <v>2.1</v>
      </c>
      <c r="G571" s="37" t="inlineStr">
        <is>
          <t>Y</t>
        </is>
      </c>
      <c r="H571" s="37" t="inlineStr">
        <is>
          <t>N</t>
        </is>
      </c>
      <c r="I571" s="37">
        <f>COUNTIF(G$5:G571,"Y")/COUNTA(G$5:G571)</f>
        <v/>
      </c>
      <c r="J571" s="37">
        <f>COUNTIF(H$5:H571,"Y")/COUNTA(H$5:H571)</f>
        <v/>
      </c>
      <c r="K571" s="37">
        <f>AVERAGE(F$5:F571)</f>
        <v/>
      </c>
      <c r="L571" s="37">
        <f>SUM(F$5:F571)/SUM(E$5:E571)</f>
        <v/>
      </c>
    </row>
    <row r="572">
      <c r="A572" s="29" t="n">
        <v>45720</v>
      </c>
      <c r="B572" s="37" t="inlineStr">
        <is>
          <t>JOB-1568</t>
        </is>
      </c>
      <c r="C572" s="34" t="n">
        <v>1</v>
      </c>
      <c r="D572" s="37" t="inlineStr">
        <is>
          <t>Tech A</t>
        </is>
      </c>
      <c r="E572" s="35" t="n">
        <v>4.9</v>
      </c>
      <c r="F572" s="35" t="n">
        <v>3.8</v>
      </c>
      <c r="G572" s="37" t="inlineStr">
        <is>
          <t>N</t>
        </is>
      </c>
      <c r="H572" s="37" t="inlineStr">
        <is>
          <t>N</t>
        </is>
      </c>
      <c r="I572" s="37">
        <f>COUNTIF(G$5:G572,"Y")/COUNTA(G$5:G572)</f>
        <v/>
      </c>
      <c r="J572" s="37">
        <f>COUNTIF(H$5:H572,"Y")/COUNTA(H$5:H572)</f>
        <v/>
      </c>
      <c r="K572" s="37">
        <f>AVERAGE(F$5:F572)</f>
        <v/>
      </c>
      <c r="L572" s="37">
        <f>SUM(F$5:F572)/SUM(E$5:E572)</f>
        <v/>
      </c>
    </row>
    <row r="573">
      <c r="A573" s="29" t="n">
        <v>45721</v>
      </c>
      <c r="B573" s="37" t="inlineStr">
        <is>
          <t>JOB-1569</t>
        </is>
      </c>
      <c r="C573" s="34" t="n">
        <v>1</v>
      </c>
      <c r="D573" s="37" t="inlineStr">
        <is>
          <t>Tech D</t>
        </is>
      </c>
      <c r="E573" s="35" t="n">
        <v>3.8</v>
      </c>
      <c r="F573" s="35" t="n">
        <v>3.3</v>
      </c>
      <c r="G573" s="37" t="inlineStr">
        <is>
          <t>Y</t>
        </is>
      </c>
      <c r="H573" s="37" t="inlineStr">
        <is>
          <t>N</t>
        </is>
      </c>
      <c r="I573" s="37">
        <f>COUNTIF(G$5:G573,"Y")/COUNTA(G$5:G573)</f>
        <v/>
      </c>
      <c r="J573" s="37">
        <f>COUNTIF(H$5:H573,"Y")/COUNTA(H$5:H573)</f>
        <v/>
      </c>
      <c r="K573" s="37">
        <f>AVERAGE(F$5:F573)</f>
        <v/>
      </c>
      <c r="L573" s="37">
        <f>SUM(F$5:F573)/SUM(E$5:E573)</f>
        <v/>
      </c>
    </row>
    <row r="574">
      <c r="A574" s="29" t="n">
        <v>45722</v>
      </c>
      <c r="B574" s="37" t="inlineStr">
        <is>
          <t>JOB-1570</t>
        </is>
      </c>
      <c r="C574" s="34" t="n">
        <v>1</v>
      </c>
      <c r="D574" s="37" t="inlineStr">
        <is>
          <t>Tech H</t>
        </is>
      </c>
      <c r="E574" s="35" t="n">
        <v>1.7</v>
      </c>
      <c r="F574" s="35" t="n">
        <v>1.3</v>
      </c>
      <c r="G574" s="37" t="inlineStr">
        <is>
          <t>Y</t>
        </is>
      </c>
      <c r="H574" s="37" t="inlineStr">
        <is>
          <t>N</t>
        </is>
      </c>
      <c r="I574" s="37">
        <f>COUNTIF(G$5:G574,"Y")/COUNTA(G$5:G574)</f>
        <v/>
      </c>
      <c r="J574" s="37">
        <f>COUNTIF(H$5:H574,"Y")/COUNTA(H$5:H574)</f>
        <v/>
      </c>
      <c r="K574" s="37">
        <f>AVERAGE(F$5:F574)</f>
        <v/>
      </c>
      <c r="L574" s="37">
        <f>SUM(F$5:F574)/SUM(E$5:E574)</f>
        <v/>
      </c>
    </row>
    <row r="575">
      <c r="A575" s="29" t="n">
        <v>45723</v>
      </c>
      <c r="B575" s="37" t="inlineStr">
        <is>
          <t>JOB-1571</t>
        </is>
      </c>
      <c r="C575" s="34" t="n">
        <v>1</v>
      </c>
      <c r="D575" s="37" t="inlineStr">
        <is>
          <t>Tech H</t>
        </is>
      </c>
      <c r="E575" s="35" t="n">
        <v>3.5</v>
      </c>
      <c r="F575" s="35" t="n">
        <v>2.7</v>
      </c>
      <c r="G575" s="37" t="inlineStr">
        <is>
          <t>Y</t>
        </is>
      </c>
      <c r="H575" s="37" t="inlineStr">
        <is>
          <t>N</t>
        </is>
      </c>
      <c r="I575" s="37">
        <f>COUNTIF(G$5:G575,"Y")/COUNTA(G$5:G575)</f>
        <v/>
      </c>
      <c r="J575" s="37">
        <f>COUNTIF(H$5:H575,"Y")/COUNTA(H$5:H575)</f>
        <v/>
      </c>
      <c r="K575" s="37">
        <f>AVERAGE(F$5:F575)</f>
        <v/>
      </c>
      <c r="L575" s="37">
        <f>SUM(F$5:F575)/SUM(E$5:E575)</f>
        <v/>
      </c>
    </row>
    <row r="576">
      <c r="A576" s="29" t="n">
        <v>45719</v>
      </c>
      <c r="B576" s="37" t="inlineStr">
        <is>
          <t>JOB-1572</t>
        </is>
      </c>
      <c r="C576" s="34" t="n">
        <v>1</v>
      </c>
      <c r="D576" s="37" t="inlineStr">
        <is>
          <t>Tech D</t>
        </is>
      </c>
      <c r="E576" s="35" t="n">
        <v>1.6</v>
      </c>
      <c r="F576" s="35" t="n">
        <v>1.4</v>
      </c>
      <c r="G576" s="37" t="inlineStr">
        <is>
          <t>Y</t>
        </is>
      </c>
      <c r="H576" s="37" t="inlineStr">
        <is>
          <t>N</t>
        </is>
      </c>
      <c r="I576" s="37">
        <f>COUNTIF(G$5:G576,"Y")/COUNTA(G$5:G576)</f>
        <v/>
      </c>
      <c r="J576" s="37">
        <f>COUNTIF(H$5:H576,"Y")/COUNTA(H$5:H576)</f>
        <v/>
      </c>
      <c r="K576" s="37">
        <f>AVERAGE(F$5:F576)</f>
        <v/>
      </c>
      <c r="L576" s="37">
        <f>SUM(F$5:F576)/SUM(E$5:E576)</f>
        <v/>
      </c>
    </row>
    <row r="577">
      <c r="A577" s="29" t="n">
        <v>45720</v>
      </c>
      <c r="B577" s="37" t="inlineStr">
        <is>
          <t>JOB-1573</t>
        </is>
      </c>
      <c r="C577" s="34" t="n">
        <v>1</v>
      </c>
      <c r="D577" s="37" t="inlineStr">
        <is>
          <t>Tech C</t>
        </is>
      </c>
      <c r="E577" s="35" t="n">
        <v>3.6</v>
      </c>
      <c r="F577" s="35" t="n">
        <v>2.7</v>
      </c>
      <c r="G577" s="37" t="inlineStr">
        <is>
          <t>Y</t>
        </is>
      </c>
      <c r="H577" s="37" t="inlineStr">
        <is>
          <t>N</t>
        </is>
      </c>
      <c r="I577" s="37">
        <f>COUNTIF(G$5:G577,"Y")/COUNTA(G$5:G577)</f>
        <v/>
      </c>
      <c r="J577" s="37">
        <f>COUNTIF(H$5:H577,"Y")/COUNTA(H$5:H577)</f>
        <v/>
      </c>
      <c r="K577" s="37">
        <f>AVERAGE(F$5:F577)</f>
        <v/>
      </c>
      <c r="L577" s="37">
        <f>SUM(F$5:F577)/SUM(E$5:E577)</f>
        <v/>
      </c>
    </row>
    <row r="578">
      <c r="A578" s="29" t="n">
        <v>45721</v>
      </c>
      <c r="B578" s="37" t="inlineStr">
        <is>
          <t>JOB-1574</t>
        </is>
      </c>
      <c r="C578" s="34" t="n">
        <v>1</v>
      </c>
      <c r="D578" s="37" t="inlineStr">
        <is>
          <t>Tech A</t>
        </is>
      </c>
      <c r="E578" s="35" t="n">
        <v>4.8</v>
      </c>
      <c r="F578" s="35" t="n">
        <v>3.3</v>
      </c>
      <c r="G578" s="37" t="inlineStr">
        <is>
          <t>Y</t>
        </is>
      </c>
      <c r="H578" s="37" t="inlineStr">
        <is>
          <t>N</t>
        </is>
      </c>
      <c r="I578" s="37">
        <f>COUNTIF(G$5:G578,"Y")/COUNTA(G$5:G578)</f>
        <v/>
      </c>
      <c r="J578" s="37">
        <f>COUNTIF(H$5:H578,"Y")/COUNTA(H$5:H578)</f>
        <v/>
      </c>
      <c r="K578" s="37">
        <f>AVERAGE(F$5:F578)</f>
        <v/>
      </c>
      <c r="L578" s="37">
        <f>SUM(F$5:F578)/SUM(E$5:E578)</f>
        <v/>
      </c>
    </row>
    <row r="579">
      <c r="A579" s="29" t="n">
        <v>45722</v>
      </c>
      <c r="B579" s="37" t="inlineStr">
        <is>
          <t>JOB-1575</t>
        </is>
      </c>
      <c r="C579" s="34" t="n">
        <v>1</v>
      </c>
      <c r="D579" s="37" t="inlineStr">
        <is>
          <t>Tech C</t>
        </is>
      </c>
      <c r="E579" s="35" t="n">
        <v>1.4</v>
      </c>
      <c r="F579" s="35" t="n">
        <v>1.1</v>
      </c>
      <c r="G579" s="37" t="inlineStr">
        <is>
          <t>Y</t>
        </is>
      </c>
      <c r="H579" s="37" t="inlineStr">
        <is>
          <t>N</t>
        </is>
      </c>
      <c r="I579" s="37">
        <f>COUNTIF(G$5:G579,"Y")/COUNTA(G$5:G579)</f>
        <v/>
      </c>
      <c r="J579" s="37">
        <f>COUNTIF(H$5:H579,"Y")/COUNTA(H$5:H579)</f>
        <v/>
      </c>
      <c r="K579" s="37">
        <f>AVERAGE(F$5:F579)</f>
        <v/>
      </c>
      <c r="L579" s="37">
        <f>SUM(F$5:F579)/SUM(E$5:E579)</f>
        <v/>
      </c>
    </row>
    <row r="580">
      <c r="A580" s="29" t="n">
        <v>45723</v>
      </c>
      <c r="B580" s="37" t="inlineStr">
        <is>
          <t>JOB-1576</t>
        </is>
      </c>
      <c r="C580" s="34" t="n">
        <v>1</v>
      </c>
      <c r="D580" s="37" t="inlineStr">
        <is>
          <t>Tech A</t>
        </is>
      </c>
      <c r="E580" s="35" t="n">
        <v>4.6</v>
      </c>
      <c r="F580" s="35" t="n">
        <v>3.3</v>
      </c>
      <c r="G580" s="37" t="inlineStr">
        <is>
          <t>Y</t>
        </is>
      </c>
      <c r="H580" s="37" t="inlineStr">
        <is>
          <t>N</t>
        </is>
      </c>
      <c r="I580" s="37">
        <f>COUNTIF(G$5:G580,"Y")/COUNTA(G$5:G580)</f>
        <v/>
      </c>
      <c r="J580" s="37">
        <f>COUNTIF(H$5:H580,"Y")/COUNTA(H$5:H580)</f>
        <v/>
      </c>
      <c r="K580" s="37">
        <f>AVERAGE(F$5:F580)</f>
        <v/>
      </c>
      <c r="L580" s="37">
        <f>SUM(F$5:F580)/SUM(E$5:E580)</f>
        <v/>
      </c>
    </row>
    <row r="581">
      <c r="A581" s="29" t="n">
        <v>45719</v>
      </c>
      <c r="B581" s="37" t="inlineStr">
        <is>
          <t>JOB-1577</t>
        </is>
      </c>
      <c r="C581" s="34" t="n">
        <v>1</v>
      </c>
      <c r="D581" s="37" t="inlineStr">
        <is>
          <t>Tech G</t>
        </is>
      </c>
      <c r="E581" s="35" t="n">
        <v>4</v>
      </c>
      <c r="F581" s="35" t="n">
        <v>2.7</v>
      </c>
      <c r="G581" s="37" t="inlineStr">
        <is>
          <t>Y</t>
        </is>
      </c>
      <c r="H581" s="37" t="inlineStr">
        <is>
          <t>N</t>
        </is>
      </c>
      <c r="I581" s="37">
        <f>COUNTIF(G$5:G581,"Y")/COUNTA(G$5:G581)</f>
        <v/>
      </c>
      <c r="J581" s="37">
        <f>COUNTIF(H$5:H581,"Y")/COUNTA(H$5:H581)</f>
        <v/>
      </c>
      <c r="K581" s="37">
        <f>AVERAGE(F$5:F581)</f>
        <v/>
      </c>
      <c r="L581" s="37">
        <f>SUM(F$5:F581)/SUM(E$5:E581)</f>
        <v/>
      </c>
    </row>
    <row r="582">
      <c r="A582" s="29" t="n">
        <v>45720</v>
      </c>
      <c r="B582" s="37" t="inlineStr">
        <is>
          <t>JOB-1578</t>
        </is>
      </c>
      <c r="C582" s="34" t="n">
        <v>1</v>
      </c>
      <c r="D582" s="37" t="inlineStr">
        <is>
          <t>Tech H</t>
        </is>
      </c>
      <c r="E582" s="35" t="n">
        <v>2.4</v>
      </c>
      <c r="F582" s="35" t="n">
        <v>1.8</v>
      </c>
      <c r="G582" s="37" t="inlineStr">
        <is>
          <t>Y</t>
        </is>
      </c>
      <c r="H582" s="37" t="inlineStr">
        <is>
          <t>N</t>
        </is>
      </c>
      <c r="I582" s="37">
        <f>COUNTIF(G$5:G582,"Y")/COUNTA(G$5:G582)</f>
        <v/>
      </c>
      <c r="J582" s="37">
        <f>COUNTIF(H$5:H582,"Y")/COUNTA(H$5:H582)</f>
        <v/>
      </c>
      <c r="K582" s="37">
        <f>AVERAGE(F$5:F582)</f>
        <v/>
      </c>
      <c r="L582" s="37">
        <f>SUM(F$5:F582)/SUM(E$5:E582)</f>
        <v/>
      </c>
    </row>
    <row r="583">
      <c r="A583" s="29" t="n">
        <v>45721</v>
      </c>
      <c r="B583" s="37" t="inlineStr">
        <is>
          <t>JOB-1579</t>
        </is>
      </c>
      <c r="C583" s="34" t="n">
        <v>1</v>
      </c>
      <c r="D583" s="37" t="inlineStr">
        <is>
          <t>Tech A</t>
        </is>
      </c>
      <c r="E583" s="35" t="n">
        <v>3.6</v>
      </c>
      <c r="F583" s="35" t="n">
        <v>3.1</v>
      </c>
      <c r="G583" s="37" t="inlineStr">
        <is>
          <t>Y</t>
        </is>
      </c>
      <c r="H583" s="37" t="inlineStr">
        <is>
          <t>N</t>
        </is>
      </c>
      <c r="I583" s="37">
        <f>COUNTIF(G$5:G583,"Y")/COUNTA(G$5:G583)</f>
        <v/>
      </c>
      <c r="J583" s="37">
        <f>COUNTIF(H$5:H583,"Y")/COUNTA(H$5:H583)</f>
        <v/>
      </c>
      <c r="K583" s="37">
        <f>AVERAGE(F$5:F583)</f>
        <v/>
      </c>
      <c r="L583" s="37">
        <f>SUM(F$5:F583)/SUM(E$5:E583)</f>
        <v/>
      </c>
    </row>
    <row r="584">
      <c r="A584" s="29" t="n">
        <v>45722</v>
      </c>
      <c r="B584" s="37" t="inlineStr">
        <is>
          <t>JOB-1580</t>
        </is>
      </c>
      <c r="C584" s="34" t="n">
        <v>1</v>
      </c>
      <c r="D584" s="37" t="inlineStr">
        <is>
          <t>Tech A</t>
        </is>
      </c>
      <c r="E584" s="35" t="n">
        <v>2.3</v>
      </c>
      <c r="F584" s="35" t="n">
        <v>1.9</v>
      </c>
      <c r="G584" s="37" t="inlineStr">
        <is>
          <t>Y</t>
        </is>
      </c>
      <c r="H584" s="37" t="inlineStr">
        <is>
          <t>N</t>
        </is>
      </c>
      <c r="I584" s="37">
        <f>COUNTIF(G$5:G584,"Y")/COUNTA(G$5:G584)</f>
        <v/>
      </c>
      <c r="J584" s="37">
        <f>COUNTIF(H$5:H584,"Y")/COUNTA(H$5:H584)</f>
        <v/>
      </c>
      <c r="K584" s="37">
        <f>AVERAGE(F$5:F584)</f>
        <v/>
      </c>
      <c r="L584" s="37">
        <f>SUM(F$5:F584)/SUM(E$5:E584)</f>
        <v/>
      </c>
    </row>
    <row r="585">
      <c r="A585" s="29" t="n">
        <v>45723</v>
      </c>
      <c r="B585" s="37" t="inlineStr">
        <is>
          <t>JOB-1581</t>
        </is>
      </c>
      <c r="C585" s="34" t="n">
        <v>1</v>
      </c>
      <c r="D585" s="37" t="inlineStr">
        <is>
          <t>Tech G</t>
        </is>
      </c>
      <c r="E585" s="35" t="n">
        <v>1.8</v>
      </c>
      <c r="F585" s="35" t="n">
        <v>1.5</v>
      </c>
      <c r="G585" s="37" t="inlineStr">
        <is>
          <t>Y</t>
        </is>
      </c>
      <c r="H585" s="37" t="inlineStr">
        <is>
          <t>N</t>
        </is>
      </c>
      <c r="I585" s="37">
        <f>COUNTIF(G$5:G585,"Y")/COUNTA(G$5:G585)</f>
        <v/>
      </c>
      <c r="J585" s="37">
        <f>COUNTIF(H$5:H585,"Y")/COUNTA(H$5:H585)</f>
        <v/>
      </c>
      <c r="K585" s="37">
        <f>AVERAGE(F$5:F585)</f>
        <v/>
      </c>
      <c r="L585" s="37">
        <f>SUM(F$5:F585)/SUM(E$5:E585)</f>
        <v/>
      </c>
    </row>
    <row r="586">
      <c r="A586" s="29" t="n">
        <v>45719</v>
      </c>
      <c r="B586" s="37" t="inlineStr">
        <is>
          <t>JOB-1582</t>
        </is>
      </c>
      <c r="C586" s="34" t="n">
        <v>1</v>
      </c>
      <c r="D586" s="37" t="inlineStr">
        <is>
          <t>Tech C</t>
        </is>
      </c>
      <c r="E586" s="35" t="n">
        <v>2.3</v>
      </c>
      <c r="F586" s="35" t="n">
        <v>1.9</v>
      </c>
      <c r="G586" s="37" t="inlineStr">
        <is>
          <t>N</t>
        </is>
      </c>
      <c r="H586" s="37" t="inlineStr">
        <is>
          <t>N</t>
        </is>
      </c>
      <c r="I586" s="37">
        <f>COUNTIF(G$5:G586,"Y")/COUNTA(G$5:G586)</f>
        <v/>
      </c>
      <c r="J586" s="37">
        <f>COUNTIF(H$5:H586,"Y")/COUNTA(H$5:H586)</f>
        <v/>
      </c>
      <c r="K586" s="37">
        <f>AVERAGE(F$5:F586)</f>
        <v/>
      </c>
      <c r="L586" s="37">
        <f>SUM(F$5:F586)/SUM(E$5:E586)</f>
        <v/>
      </c>
    </row>
    <row r="587">
      <c r="A587" s="29" t="n">
        <v>45720</v>
      </c>
      <c r="B587" s="37" t="inlineStr">
        <is>
          <t>JOB-1583</t>
        </is>
      </c>
      <c r="C587" s="34" t="n">
        <v>1</v>
      </c>
      <c r="D587" s="37" t="inlineStr">
        <is>
          <t>Tech H</t>
        </is>
      </c>
      <c r="E587" s="35" t="n">
        <v>4.1</v>
      </c>
      <c r="F587" s="35" t="n">
        <v>3.3</v>
      </c>
      <c r="G587" s="37" t="inlineStr">
        <is>
          <t>Y</t>
        </is>
      </c>
      <c r="H587" s="37" t="inlineStr">
        <is>
          <t>N</t>
        </is>
      </c>
      <c r="I587" s="37">
        <f>COUNTIF(G$5:G587,"Y")/COUNTA(G$5:G587)</f>
        <v/>
      </c>
      <c r="J587" s="37">
        <f>COUNTIF(H$5:H587,"Y")/COUNTA(H$5:H587)</f>
        <v/>
      </c>
      <c r="K587" s="37">
        <f>AVERAGE(F$5:F587)</f>
        <v/>
      </c>
      <c r="L587" s="37">
        <f>SUM(F$5:F587)/SUM(E$5:E587)</f>
        <v/>
      </c>
    </row>
    <row r="588">
      <c r="A588" s="29" t="n">
        <v>45721</v>
      </c>
      <c r="B588" s="37" t="inlineStr">
        <is>
          <t>JOB-1584</t>
        </is>
      </c>
      <c r="C588" s="34" t="n">
        <v>1</v>
      </c>
      <c r="D588" s="37" t="inlineStr">
        <is>
          <t>Tech A</t>
        </is>
      </c>
      <c r="E588" s="35" t="n">
        <v>3.2</v>
      </c>
      <c r="F588" s="35" t="n">
        <v>2.3</v>
      </c>
      <c r="G588" s="37" t="inlineStr">
        <is>
          <t>Y</t>
        </is>
      </c>
      <c r="H588" s="37" t="inlineStr">
        <is>
          <t>N</t>
        </is>
      </c>
      <c r="I588" s="37">
        <f>COUNTIF(G$5:G588,"Y")/COUNTA(G$5:G588)</f>
        <v/>
      </c>
      <c r="J588" s="37">
        <f>COUNTIF(H$5:H588,"Y")/COUNTA(H$5:H588)</f>
        <v/>
      </c>
      <c r="K588" s="37">
        <f>AVERAGE(F$5:F588)</f>
        <v/>
      </c>
      <c r="L588" s="37">
        <f>SUM(F$5:F588)/SUM(E$5:E588)</f>
        <v/>
      </c>
    </row>
    <row r="589">
      <c r="A589" s="29" t="n">
        <v>45722</v>
      </c>
      <c r="B589" s="37" t="inlineStr">
        <is>
          <t>JOB-1585</t>
        </is>
      </c>
      <c r="C589" s="34" t="n">
        <v>1</v>
      </c>
      <c r="D589" s="37" t="inlineStr">
        <is>
          <t>Tech H</t>
        </is>
      </c>
      <c r="E589" s="35" t="n">
        <v>0.7</v>
      </c>
      <c r="F589" s="35" t="n">
        <v>0.5</v>
      </c>
      <c r="G589" s="37" t="inlineStr">
        <is>
          <t>Y</t>
        </is>
      </c>
      <c r="H589" s="37" t="inlineStr">
        <is>
          <t>N</t>
        </is>
      </c>
      <c r="I589" s="37">
        <f>COUNTIF(G$5:G589,"Y")/COUNTA(G$5:G589)</f>
        <v/>
      </c>
      <c r="J589" s="37">
        <f>COUNTIF(H$5:H589,"Y")/COUNTA(H$5:H589)</f>
        <v/>
      </c>
      <c r="K589" s="37">
        <f>AVERAGE(F$5:F589)</f>
        <v/>
      </c>
      <c r="L589" s="37">
        <f>SUM(F$5:F589)/SUM(E$5:E589)</f>
        <v/>
      </c>
    </row>
    <row r="590">
      <c r="A590" s="29" t="n">
        <v>45723</v>
      </c>
      <c r="B590" s="37" t="inlineStr">
        <is>
          <t>JOB-1586</t>
        </is>
      </c>
      <c r="C590" s="34" t="n">
        <v>1</v>
      </c>
      <c r="D590" s="37" t="inlineStr">
        <is>
          <t>Tech G</t>
        </is>
      </c>
      <c r="E590" s="35" t="n">
        <v>0.6</v>
      </c>
      <c r="F590" s="35" t="n">
        <v>0.5</v>
      </c>
      <c r="G590" s="37" t="inlineStr">
        <is>
          <t>Y</t>
        </is>
      </c>
      <c r="H590" s="37" t="inlineStr">
        <is>
          <t>N</t>
        </is>
      </c>
      <c r="I590" s="37">
        <f>COUNTIF(G$5:G590,"Y")/COUNTA(G$5:G590)</f>
        <v/>
      </c>
      <c r="J590" s="37">
        <f>COUNTIF(H$5:H590,"Y")/COUNTA(H$5:H590)</f>
        <v/>
      </c>
      <c r="K590" s="37">
        <f>AVERAGE(F$5:F590)</f>
        <v/>
      </c>
      <c r="L590" s="37">
        <f>SUM(F$5:F590)/SUM(E$5:E590)</f>
        <v/>
      </c>
    </row>
    <row r="591">
      <c r="A591" s="29" t="n">
        <v>45719</v>
      </c>
      <c r="B591" s="37" t="inlineStr">
        <is>
          <t>JOB-1587</t>
        </is>
      </c>
      <c r="C591" s="34" t="n">
        <v>1</v>
      </c>
      <c r="D591" s="37" t="inlineStr">
        <is>
          <t>Tech B</t>
        </is>
      </c>
      <c r="E591" s="35" t="n">
        <v>0.6</v>
      </c>
      <c r="F591" s="35" t="n">
        <v>0.5</v>
      </c>
      <c r="G591" s="37" t="inlineStr">
        <is>
          <t>Y</t>
        </is>
      </c>
      <c r="H591" s="37" t="inlineStr">
        <is>
          <t>N</t>
        </is>
      </c>
      <c r="I591" s="37">
        <f>COUNTIF(G$5:G591,"Y")/COUNTA(G$5:G591)</f>
        <v/>
      </c>
      <c r="J591" s="37">
        <f>COUNTIF(H$5:H591,"Y")/COUNTA(H$5:H591)</f>
        <v/>
      </c>
      <c r="K591" s="37">
        <f>AVERAGE(F$5:F591)</f>
        <v/>
      </c>
      <c r="L591" s="37">
        <f>SUM(F$5:F591)/SUM(E$5:E591)</f>
        <v/>
      </c>
    </row>
    <row r="592">
      <c r="A592" s="29" t="n">
        <v>45720</v>
      </c>
      <c r="B592" s="37" t="inlineStr">
        <is>
          <t>JOB-1588</t>
        </is>
      </c>
      <c r="C592" s="34" t="n">
        <v>1</v>
      </c>
      <c r="D592" s="37" t="inlineStr">
        <is>
          <t>Tech H</t>
        </is>
      </c>
      <c r="E592" s="35" t="n">
        <v>0.6</v>
      </c>
      <c r="F592" s="35" t="n">
        <v>0.5</v>
      </c>
      <c r="G592" s="37" t="inlineStr">
        <is>
          <t>Y</t>
        </is>
      </c>
      <c r="H592" s="37" t="inlineStr">
        <is>
          <t>N</t>
        </is>
      </c>
      <c r="I592" s="37">
        <f>COUNTIF(G$5:G592,"Y")/COUNTA(G$5:G592)</f>
        <v/>
      </c>
      <c r="J592" s="37">
        <f>COUNTIF(H$5:H592,"Y")/COUNTA(H$5:H592)</f>
        <v/>
      </c>
      <c r="K592" s="37">
        <f>AVERAGE(F$5:F592)</f>
        <v/>
      </c>
      <c r="L592" s="37">
        <f>SUM(F$5:F592)/SUM(E$5:E592)</f>
        <v/>
      </c>
    </row>
    <row r="593">
      <c r="A593" s="29" t="n">
        <v>45721</v>
      </c>
      <c r="B593" s="37" t="inlineStr">
        <is>
          <t>JOB-1589</t>
        </is>
      </c>
      <c r="C593" s="34" t="n">
        <v>1</v>
      </c>
      <c r="D593" s="37" t="inlineStr">
        <is>
          <t>Tech B</t>
        </is>
      </c>
      <c r="E593" s="35" t="n">
        <v>0.6</v>
      </c>
      <c r="F593" s="35" t="n">
        <v>0.5</v>
      </c>
      <c r="G593" s="37" t="inlineStr">
        <is>
          <t>N</t>
        </is>
      </c>
      <c r="H593" s="37" t="inlineStr">
        <is>
          <t>N</t>
        </is>
      </c>
      <c r="I593" s="37">
        <f>COUNTIF(G$5:G593,"Y")/COUNTA(G$5:G593)</f>
        <v/>
      </c>
      <c r="J593" s="37">
        <f>COUNTIF(H$5:H593,"Y")/COUNTA(H$5:H593)</f>
        <v/>
      </c>
      <c r="K593" s="37">
        <f>AVERAGE(F$5:F593)</f>
        <v/>
      </c>
      <c r="L593" s="37">
        <f>SUM(F$5:F593)/SUM(E$5:E593)</f>
        <v/>
      </c>
    </row>
    <row r="594">
      <c r="A594" s="29" t="n">
        <v>45722</v>
      </c>
      <c r="B594" s="37" t="inlineStr">
        <is>
          <t>JOB-1590</t>
        </is>
      </c>
      <c r="C594" s="34" t="n">
        <v>1</v>
      </c>
      <c r="D594" s="37" t="inlineStr">
        <is>
          <t>Tech F</t>
        </is>
      </c>
      <c r="E594" s="35" t="n">
        <v>1.9</v>
      </c>
      <c r="F594" s="35" t="n">
        <v>0.5</v>
      </c>
      <c r="G594" s="37" t="inlineStr">
        <is>
          <t>Y</t>
        </is>
      </c>
      <c r="H594" s="37" t="inlineStr">
        <is>
          <t>N</t>
        </is>
      </c>
      <c r="I594" s="37">
        <f>COUNTIF(G$5:G594,"Y")/COUNTA(G$5:G594)</f>
        <v/>
      </c>
      <c r="J594" s="37">
        <f>COUNTIF(H$5:H594,"Y")/COUNTA(H$5:H594)</f>
        <v/>
      </c>
      <c r="K594" s="37">
        <f>AVERAGE(F$5:F594)</f>
        <v/>
      </c>
      <c r="L594" s="37">
        <f>SUM(F$5:F594)/SUM(E$5:E594)</f>
        <v/>
      </c>
      <c r="M594" s="37" t="n">
        <v>10</v>
      </c>
    </row>
    <row r="595">
      <c r="A595" s="29" t="n">
        <v>45726</v>
      </c>
      <c r="B595" s="37" t="inlineStr">
        <is>
          <t>JOB-1591</t>
        </is>
      </c>
      <c r="C595" s="34" t="n">
        <v>1</v>
      </c>
      <c r="D595" s="37" t="inlineStr">
        <is>
          <t>Tech A</t>
        </is>
      </c>
      <c r="E595" s="35" t="n">
        <v>2</v>
      </c>
      <c r="F595" s="35" t="n">
        <v>1.7</v>
      </c>
      <c r="G595" s="37" t="inlineStr">
        <is>
          <t>Y</t>
        </is>
      </c>
      <c r="H595" s="37" t="inlineStr">
        <is>
          <t>Y</t>
        </is>
      </c>
      <c r="I595" s="37">
        <f>COUNTIF(G$5:G595,"Y")/COUNTA(G$5:G595)</f>
        <v/>
      </c>
      <c r="J595" s="37">
        <f>COUNTIF(H$5:H595,"Y")/COUNTA(H$5:H595)</f>
        <v/>
      </c>
      <c r="K595" s="37">
        <f>AVERAGE(F$5:F595)</f>
        <v/>
      </c>
      <c r="L595" s="37">
        <f>SUM(F$5:F595)/SUM(E$5:E595)</f>
        <v/>
      </c>
    </row>
    <row r="596">
      <c r="A596" s="29" t="n">
        <v>45727</v>
      </c>
      <c r="B596" s="37" t="inlineStr">
        <is>
          <t>JOB-1592</t>
        </is>
      </c>
      <c r="C596" s="34" t="n">
        <v>1</v>
      </c>
      <c r="D596" s="37" t="inlineStr">
        <is>
          <t>Tech H</t>
        </is>
      </c>
      <c r="E596" s="35" t="n">
        <v>4.4</v>
      </c>
      <c r="F596" s="35" t="n">
        <v>2.9</v>
      </c>
      <c r="G596" s="37" t="inlineStr">
        <is>
          <t>Y</t>
        </is>
      </c>
      <c r="H596" s="37" t="inlineStr">
        <is>
          <t>N</t>
        </is>
      </c>
      <c r="I596" s="37">
        <f>COUNTIF(G$5:G596,"Y")/COUNTA(G$5:G596)</f>
        <v/>
      </c>
      <c r="J596" s="37">
        <f>COUNTIF(H$5:H596,"Y")/COUNTA(H$5:H596)</f>
        <v/>
      </c>
      <c r="K596" s="37">
        <f>AVERAGE(F$5:F596)</f>
        <v/>
      </c>
      <c r="L596" s="37">
        <f>SUM(F$5:F596)/SUM(E$5:E596)</f>
        <v/>
      </c>
    </row>
    <row r="597">
      <c r="A597" s="29" t="n">
        <v>45728</v>
      </c>
      <c r="B597" s="37" t="inlineStr">
        <is>
          <t>JOB-1593</t>
        </is>
      </c>
      <c r="C597" s="34" t="n">
        <v>1</v>
      </c>
      <c r="D597" s="37" t="inlineStr">
        <is>
          <t>Tech G</t>
        </is>
      </c>
      <c r="E597" s="35" t="n">
        <v>2.4</v>
      </c>
      <c r="F597" s="35" t="n">
        <v>1.9</v>
      </c>
      <c r="G597" s="37" t="inlineStr">
        <is>
          <t>N</t>
        </is>
      </c>
      <c r="H597" s="37" t="inlineStr">
        <is>
          <t>N</t>
        </is>
      </c>
      <c r="I597" s="37">
        <f>COUNTIF(G$5:G597,"Y")/COUNTA(G$5:G597)</f>
        <v/>
      </c>
      <c r="J597" s="37">
        <f>COUNTIF(H$5:H597,"Y")/COUNTA(H$5:H597)</f>
        <v/>
      </c>
      <c r="K597" s="37">
        <f>AVERAGE(F$5:F597)</f>
        <v/>
      </c>
      <c r="L597" s="37">
        <f>SUM(F$5:F597)/SUM(E$5:E597)</f>
        <v/>
      </c>
    </row>
    <row r="598">
      <c r="A598" s="29" t="n">
        <v>45729</v>
      </c>
      <c r="B598" s="37" t="inlineStr">
        <is>
          <t>JOB-1594</t>
        </is>
      </c>
      <c r="C598" s="34" t="n">
        <v>1</v>
      </c>
      <c r="D598" s="37" t="inlineStr">
        <is>
          <t>Tech G</t>
        </is>
      </c>
      <c r="E598" s="35" t="n">
        <v>2.5</v>
      </c>
      <c r="F598" s="35" t="n">
        <v>1.8</v>
      </c>
      <c r="G598" s="37" t="inlineStr">
        <is>
          <t>Y</t>
        </is>
      </c>
      <c r="H598" s="37" t="inlineStr">
        <is>
          <t>N</t>
        </is>
      </c>
      <c r="I598" s="37">
        <f>COUNTIF(G$5:G598,"Y")/COUNTA(G$5:G598)</f>
        <v/>
      </c>
      <c r="J598" s="37">
        <f>COUNTIF(H$5:H598,"Y")/COUNTA(H$5:H598)</f>
        <v/>
      </c>
      <c r="K598" s="37">
        <f>AVERAGE(F$5:F598)</f>
        <v/>
      </c>
      <c r="L598" s="37">
        <f>SUM(F$5:F598)/SUM(E$5:E598)</f>
        <v/>
      </c>
    </row>
    <row r="599">
      <c r="A599" s="29" t="n">
        <v>45730</v>
      </c>
      <c r="B599" s="37" t="inlineStr">
        <is>
          <t>JOB-1595</t>
        </is>
      </c>
      <c r="C599" s="34" t="n">
        <v>1</v>
      </c>
      <c r="D599" s="37" t="inlineStr">
        <is>
          <t>Tech A</t>
        </is>
      </c>
      <c r="E599" s="35" t="n">
        <v>2.8</v>
      </c>
      <c r="F599" s="35" t="n">
        <v>2.5</v>
      </c>
      <c r="G599" s="37" t="inlineStr">
        <is>
          <t>Y</t>
        </is>
      </c>
      <c r="H599" s="37" t="inlineStr">
        <is>
          <t>N</t>
        </is>
      </c>
      <c r="I599" s="37">
        <f>COUNTIF(G$5:G599,"Y")/COUNTA(G$5:G599)</f>
        <v/>
      </c>
      <c r="J599" s="37">
        <f>COUNTIF(H$5:H599,"Y")/COUNTA(H$5:H599)</f>
        <v/>
      </c>
      <c r="K599" s="37">
        <f>AVERAGE(F$5:F599)</f>
        <v/>
      </c>
      <c r="L599" s="37">
        <f>SUM(F$5:F599)/SUM(E$5:E599)</f>
        <v/>
      </c>
    </row>
    <row r="600">
      <c r="A600" s="29" t="n">
        <v>45726</v>
      </c>
      <c r="B600" s="37" t="inlineStr">
        <is>
          <t>JOB-1596</t>
        </is>
      </c>
      <c r="C600" s="34" t="n">
        <v>1</v>
      </c>
      <c r="D600" s="37" t="inlineStr">
        <is>
          <t>Tech D</t>
        </is>
      </c>
      <c r="E600" s="35" t="n">
        <v>3.7</v>
      </c>
      <c r="F600" s="35" t="n">
        <v>3.1</v>
      </c>
      <c r="G600" s="37" t="inlineStr">
        <is>
          <t>Y</t>
        </is>
      </c>
      <c r="H600" s="37" t="inlineStr">
        <is>
          <t>N</t>
        </is>
      </c>
      <c r="I600" s="37">
        <f>COUNTIF(G$5:G600,"Y")/COUNTA(G$5:G600)</f>
        <v/>
      </c>
      <c r="J600" s="37">
        <f>COUNTIF(H$5:H600,"Y")/COUNTA(H$5:H600)</f>
        <v/>
      </c>
      <c r="K600" s="37">
        <f>AVERAGE(F$5:F600)</f>
        <v/>
      </c>
      <c r="L600" s="37">
        <f>SUM(F$5:F600)/SUM(E$5:E600)</f>
        <v/>
      </c>
    </row>
    <row r="601">
      <c r="A601" s="29" t="n">
        <v>45727</v>
      </c>
      <c r="B601" s="37" t="inlineStr">
        <is>
          <t>JOB-1597</t>
        </is>
      </c>
      <c r="C601" s="34" t="n">
        <v>1</v>
      </c>
      <c r="D601" s="37" t="inlineStr">
        <is>
          <t>Tech F</t>
        </is>
      </c>
      <c r="E601" s="35" t="n">
        <v>3.8</v>
      </c>
      <c r="F601" s="35" t="n">
        <v>3</v>
      </c>
      <c r="G601" s="37" t="inlineStr">
        <is>
          <t>Y</t>
        </is>
      </c>
      <c r="H601" s="37" t="inlineStr">
        <is>
          <t>N</t>
        </is>
      </c>
      <c r="I601" s="37">
        <f>COUNTIF(G$5:G601,"Y")/COUNTA(G$5:G601)</f>
        <v/>
      </c>
      <c r="J601" s="37">
        <f>COUNTIF(H$5:H601,"Y")/COUNTA(H$5:H601)</f>
        <v/>
      </c>
      <c r="K601" s="37">
        <f>AVERAGE(F$5:F601)</f>
        <v/>
      </c>
      <c r="L601" s="37">
        <f>SUM(F$5:F601)/SUM(E$5:E601)</f>
        <v/>
      </c>
    </row>
    <row r="602">
      <c r="A602" s="29" t="n">
        <v>45728</v>
      </c>
      <c r="B602" s="37" t="inlineStr">
        <is>
          <t>JOB-1598</t>
        </is>
      </c>
      <c r="C602" s="34" t="n">
        <v>1</v>
      </c>
      <c r="D602" s="37" t="inlineStr">
        <is>
          <t>Tech H</t>
        </is>
      </c>
      <c r="E602" s="35" t="n">
        <v>4.1</v>
      </c>
      <c r="F602" s="35" t="n">
        <v>3.4</v>
      </c>
      <c r="G602" s="37" t="inlineStr">
        <is>
          <t>Y</t>
        </is>
      </c>
      <c r="H602" s="37" t="inlineStr">
        <is>
          <t>N</t>
        </is>
      </c>
      <c r="I602" s="37">
        <f>COUNTIF(G$5:G602,"Y")/COUNTA(G$5:G602)</f>
        <v/>
      </c>
      <c r="J602" s="37">
        <f>COUNTIF(H$5:H602,"Y")/COUNTA(H$5:H602)</f>
        <v/>
      </c>
      <c r="K602" s="37">
        <f>AVERAGE(F$5:F602)</f>
        <v/>
      </c>
      <c r="L602" s="37">
        <f>SUM(F$5:F602)/SUM(E$5:E602)</f>
        <v/>
      </c>
    </row>
    <row r="603">
      <c r="A603" s="29" t="n">
        <v>45729</v>
      </c>
      <c r="B603" s="37" t="inlineStr">
        <is>
          <t>JOB-1599</t>
        </is>
      </c>
      <c r="C603" s="34" t="n">
        <v>1</v>
      </c>
      <c r="D603" s="37" t="inlineStr">
        <is>
          <t>Tech C</t>
        </is>
      </c>
      <c r="E603" s="35" t="n">
        <v>5.1</v>
      </c>
      <c r="F603" s="35" t="n">
        <v>3.5</v>
      </c>
      <c r="G603" s="37" t="inlineStr">
        <is>
          <t>Y</t>
        </is>
      </c>
      <c r="H603" s="37" t="inlineStr">
        <is>
          <t>N</t>
        </is>
      </c>
      <c r="I603" s="37">
        <f>COUNTIF(G$5:G603,"Y")/COUNTA(G$5:G603)</f>
        <v/>
      </c>
      <c r="J603" s="37">
        <f>COUNTIF(H$5:H603,"Y")/COUNTA(H$5:H603)</f>
        <v/>
      </c>
      <c r="K603" s="37">
        <f>AVERAGE(F$5:F603)</f>
        <v/>
      </c>
      <c r="L603" s="37">
        <f>SUM(F$5:F603)/SUM(E$5:E603)</f>
        <v/>
      </c>
    </row>
    <row r="604">
      <c r="A604" s="29" t="n">
        <v>45730</v>
      </c>
      <c r="B604" s="37" t="inlineStr">
        <is>
          <t>JOB-1600</t>
        </is>
      </c>
      <c r="C604" s="34" t="n">
        <v>1</v>
      </c>
      <c r="D604" s="37" t="inlineStr">
        <is>
          <t>Tech H</t>
        </is>
      </c>
      <c r="E604" s="35" t="n">
        <v>1.6</v>
      </c>
      <c r="F604" s="35" t="n">
        <v>1.4</v>
      </c>
      <c r="G604" s="37" t="inlineStr">
        <is>
          <t>Y</t>
        </is>
      </c>
      <c r="H604" s="37" t="inlineStr">
        <is>
          <t>N</t>
        </is>
      </c>
      <c r="I604" s="37">
        <f>COUNTIF(G$5:G604,"Y")/COUNTA(G$5:G604)</f>
        <v/>
      </c>
      <c r="J604" s="37">
        <f>COUNTIF(H$5:H604,"Y")/COUNTA(H$5:H604)</f>
        <v/>
      </c>
      <c r="K604" s="37">
        <f>AVERAGE(F$5:F604)</f>
        <v/>
      </c>
      <c r="L604" s="37">
        <f>SUM(F$5:F604)/SUM(E$5:E604)</f>
        <v/>
      </c>
    </row>
    <row r="605">
      <c r="A605" s="29" t="n">
        <v>45726</v>
      </c>
      <c r="B605" s="37" t="inlineStr">
        <is>
          <t>JOB-1601</t>
        </is>
      </c>
      <c r="C605" s="34" t="n">
        <v>1</v>
      </c>
      <c r="D605" s="37" t="inlineStr">
        <is>
          <t>Tech C</t>
        </is>
      </c>
      <c r="E605" s="35" t="n">
        <v>4.7</v>
      </c>
      <c r="F605" s="35" t="n">
        <v>3.9</v>
      </c>
      <c r="G605" s="37" t="inlineStr">
        <is>
          <t>Y</t>
        </is>
      </c>
      <c r="H605" s="37" t="inlineStr">
        <is>
          <t>N</t>
        </is>
      </c>
      <c r="I605" s="37">
        <f>COUNTIF(G$5:G605,"Y")/COUNTA(G$5:G605)</f>
        <v/>
      </c>
      <c r="J605" s="37">
        <f>COUNTIF(H$5:H605,"Y")/COUNTA(H$5:H605)</f>
        <v/>
      </c>
      <c r="K605" s="37">
        <f>AVERAGE(F$5:F605)</f>
        <v/>
      </c>
      <c r="L605" s="37">
        <f>SUM(F$5:F605)/SUM(E$5:E605)</f>
        <v/>
      </c>
    </row>
    <row r="606">
      <c r="A606" s="29" t="n">
        <v>45727</v>
      </c>
      <c r="B606" s="37" t="inlineStr">
        <is>
          <t>JOB-1602</t>
        </is>
      </c>
      <c r="C606" s="34" t="n">
        <v>1</v>
      </c>
      <c r="D606" s="37" t="inlineStr">
        <is>
          <t>Tech D</t>
        </is>
      </c>
      <c r="E606" s="35" t="n">
        <v>2.9</v>
      </c>
      <c r="F606" s="35" t="n">
        <v>2.2</v>
      </c>
      <c r="G606" s="37" t="inlineStr">
        <is>
          <t>Y</t>
        </is>
      </c>
      <c r="H606" s="37" t="inlineStr">
        <is>
          <t>N</t>
        </is>
      </c>
      <c r="I606" s="37">
        <f>COUNTIF(G$5:G606,"Y")/COUNTA(G$5:G606)</f>
        <v/>
      </c>
      <c r="J606" s="37">
        <f>COUNTIF(H$5:H606,"Y")/COUNTA(H$5:H606)</f>
        <v/>
      </c>
      <c r="K606" s="37">
        <f>AVERAGE(F$5:F606)</f>
        <v/>
      </c>
      <c r="L606" s="37">
        <f>SUM(F$5:F606)/SUM(E$5:E606)</f>
        <v/>
      </c>
    </row>
    <row r="607">
      <c r="A607" s="29" t="n">
        <v>45728</v>
      </c>
      <c r="B607" s="37" t="inlineStr">
        <is>
          <t>JOB-1603</t>
        </is>
      </c>
      <c r="C607" s="34" t="n">
        <v>1</v>
      </c>
      <c r="D607" s="37" t="inlineStr">
        <is>
          <t>Tech D</t>
        </is>
      </c>
      <c r="E607" s="35" t="n">
        <v>2.9</v>
      </c>
      <c r="F607" s="35" t="n">
        <v>2</v>
      </c>
      <c r="G607" s="37" t="inlineStr">
        <is>
          <t>Y</t>
        </is>
      </c>
      <c r="H607" s="37" t="inlineStr">
        <is>
          <t>N</t>
        </is>
      </c>
      <c r="I607" s="37">
        <f>COUNTIF(G$5:G607,"Y")/COUNTA(G$5:G607)</f>
        <v/>
      </c>
      <c r="J607" s="37">
        <f>COUNTIF(H$5:H607,"Y")/COUNTA(H$5:H607)</f>
        <v/>
      </c>
      <c r="K607" s="37">
        <f>AVERAGE(F$5:F607)</f>
        <v/>
      </c>
      <c r="L607" s="37">
        <f>SUM(F$5:F607)/SUM(E$5:E607)</f>
        <v/>
      </c>
    </row>
    <row r="608">
      <c r="A608" s="29" t="n">
        <v>45729</v>
      </c>
      <c r="B608" s="37" t="inlineStr">
        <is>
          <t>JOB-1604</t>
        </is>
      </c>
      <c r="C608" s="34" t="n">
        <v>1</v>
      </c>
      <c r="D608" s="37" t="inlineStr">
        <is>
          <t>Tech C</t>
        </is>
      </c>
      <c r="E608" s="35" t="n">
        <v>3.9</v>
      </c>
      <c r="F608" s="35" t="n">
        <v>2.8</v>
      </c>
      <c r="G608" s="37" t="inlineStr">
        <is>
          <t>Y</t>
        </is>
      </c>
      <c r="H608" s="37" t="inlineStr">
        <is>
          <t>N</t>
        </is>
      </c>
      <c r="I608" s="37">
        <f>COUNTIF(G$5:G608,"Y")/COUNTA(G$5:G608)</f>
        <v/>
      </c>
      <c r="J608" s="37">
        <f>COUNTIF(H$5:H608,"Y")/COUNTA(H$5:H608)</f>
        <v/>
      </c>
      <c r="K608" s="37">
        <f>AVERAGE(F$5:F608)</f>
        <v/>
      </c>
      <c r="L608" s="37">
        <f>SUM(F$5:F608)/SUM(E$5:E608)</f>
        <v/>
      </c>
    </row>
    <row r="609">
      <c r="A609" s="29" t="n">
        <v>45730</v>
      </c>
      <c r="B609" s="37" t="inlineStr">
        <is>
          <t>JOB-1605</t>
        </is>
      </c>
      <c r="C609" s="34" t="n">
        <v>1</v>
      </c>
      <c r="D609" s="37" t="inlineStr">
        <is>
          <t>Tech F</t>
        </is>
      </c>
      <c r="E609" s="35" t="n">
        <v>4.2</v>
      </c>
      <c r="F609" s="35" t="n">
        <v>3.1</v>
      </c>
      <c r="G609" s="37" t="inlineStr">
        <is>
          <t>Y</t>
        </is>
      </c>
      <c r="H609" s="37" t="inlineStr">
        <is>
          <t>N</t>
        </is>
      </c>
      <c r="I609" s="37">
        <f>COUNTIF(G$5:G609,"Y")/COUNTA(G$5:G609)</f>
        <v/>
      </c>
      <c r="J609" s="37">
        <f>COUNTIF(H$5:H609,"Y")/COUNTA(H$5:H609)</f>
        <v/>
      </c>
      <c r="K609" s="37">
        <f>AVERAGE(F$5:F609)</f>
        <v/>
      </c>
      <c r="L609" s="37">
        <f>SUM(F$5:F609)/SUM(E$5:E609)</f>
        <v/>
      </c>
    </row>
    <row r="610">
      <c r="A610" s="29" t="n">
        <v>45726</v>
      </c>
      <c r="B610" s="37" t="inlineStr">
        <is>
          <t>JOB-1606</t>
        </is>
      </c>
      <c r="C610" s="34" t="n">
        <v>1</v>
      </c>
      <c r="D610" s="37" t="inlineStr">
        <is>
          <t>Tech A</t>
        </is>
      </c>
      <c r="E610" s="35" t="n">
        <v>3.8</v>
      </c>
      <c r="F610" s="35" t="n">
        <v>3</v>
      </c>
      <c r="G610" s="37" t="inlineStr">
        <is>
          <t>Y</t>
        </is>
      </c>
      <c r="H610" s="37" t="inlineStr">
        <is>
          <t>N</t>
        </is>
      </c>
      <c r="I610" s="37">
        <f>COUNTIF(G$5:G610,"Y")/COUNTA(G$5:G610)</f>
        <v/>
      </c>
      <c r="J610" s="37">
        <f>COUNTIF(H$5:H610,"Y")/COUNTA(H$5:H610)</f>
        <v/>
      </c>
      <c r="K610" s="37">
        <f>AVERAGE(F$5:F610)</f>
        <v/>
      </c>
      <c r="L610" s="37">
        <f>SUM(F$5:F610)/SUM(E$5:E610)</f>
        <v/>
      </c>
    </row>
    <row r="611">
      <c r="A611" s="29" t="n">
        <v>45727</v>
      </c>
      <c r="B611" s="37" t="inlineStr">
        <is>
          <t>JOB-1607</t>
        </is>
      </c>
      <c r="C611" s="34" t="n">
        <v>1</v>
      </c>
      <c r="D611" s="37" t="inlineStr">
        <is>
          <t>Tech G</t>
        </is>
      </c>
      <c r="E611" s="35" t="n">
        <v>5.2</v>
      </c>
      <c r="F611" s="35" t="n">
        <v>3.8</v>
      </c>
      <c r="G611" s="37" t="inlineStr">
        <is>
          <t>Y</t>
        </is>
      </c>
      <c r="H611" s="37" t="inlineStr">
        <is>
          <t>N</t>
        </is>
      </c>
      <c r="I611" s="37">
        <f>COUNTIF(G$5:G611,"Y")/COUNTA(G$5:G611)</f>
        <v/>
      </c>
      <c r="J611" s="37">
        <f>COUNTIF(H$5:H611,"Y")/COUNTA(H$5:H611)</f>
        <v/>
      </c>
      <c r="K611" s="37">
        <f>AVERAGE(F$5:F611)</f>
        <v/>
      </c>
      <c r="L611" s="37">
        <f>SUM(F$5:F611)/SUM(E$5:E611)</f>
        <v/>
      </c>
    </row>
    <row r="612">
      <c r="A612" s="29" t="n">
        <v>45728</v>
      </c>
      <c r="B612" s="37" t="inlineStr">
        <is>
          <t>JOB-1608</t>
        </is>
      </c>
      <c r="C612" s="34" t="n">
        <v>1</v>
      </c>
      <c r="D612" s="37" t="inlineStr">
        <is>
          <t>Tech G</t>
        </is>
      </c>
      <c r="E612" s="35" t="n">
        <v>5.2</v>
      </c>
      <c r="F612" s="35" t="n">
        <v>3.7</v>
      </c>
      <c r="G612" s="37" t="inlineStr">
        <is>
          <t>N</t>
        </is>
      </c>
      <c r="H612" s="37" t="inlineStr">
        <is>
          <t>N</t>
        </is>
      </c>
      <c r="I612" s="37">
        <f>COUNTIF(G$5:G612,"Y")/COUNTA(G$5:G612)</f>
        <v/>
      </c>
      <c r="J612" s="37">
        <f>COUNTIF(H$5:H612,"Y")/COUNTA(H$5:H612)</f>
        <v/>
      </c>
      <c r="K612" s="37">
        <f>AVERAGE(F$5:F612)</f>
        <v/>
      </c>
      <c r="L612" s="37">
        <f>SUM(F$5:F612)/SUM(E$5:E612)</f>
        <v/>
      </c>
    </row>
    <row r="613">
      <c r="A613" s="29" t="n">
        <v>45729</v>
      </c>
      <c r="B613" s="37" t="inlineStr">
        <is>
          <t>JOB-1609</t>
        </is>
      </c>
      <c r="C613" s="34" t="n">
        <v>1</v>
      </c>
      <c r="D613" s="37" t="inlineStr">
        <is>
          <t>Tech G</t>
        </is>
      </c>
      <c r="E613" s="35" t="n">
        <v>2.9</v>
      </c>
      <c r="F613" s="35" t="n">
        <v>2.1</v>
      </c>
      <c r="G613" s="37" t="inlineStr">
        <is>
          <t>Y</t>
        </is>
      </c>
      <c r="H613" s="37" t="inlineStr">
        <is>
          <t>N</t>
        </is>
      </c>
      <c r="I613" s="37">
        <f>COUNTIF(G$5:G613,"Y")/COUNTA(G$5:G613)</f>
        <v/>
      </c>
      <c r="J613" s="37">
        <f>COUNTIF(H$5:H613,"Y")/COUNTA(H$5:H613)</f>
        <v/>
      </c>
      <c r="K613" s="37">
        <f>AVERAGE(F$5:F613)</f>
        <v/>
      </c>
      <c r="L613" s="37">
        <f>SUM(F$5:F613)/SUM(E$5:E613)</f>
        <v/>
      </c>
    </row>
    <row r="614">
      <c r="A614" s="29" t="n">
        <v>45730</v>
      </c>
      <c r="B614" s="37" t="inlineStr">
        <is>
          <t>JOB-1610</t>
        </is>
      </c>
      <c r="C614" s="34" t="n">
        <v>1</v>
      </c>
      <c r="D614" s="37" t="inlineStr">
        <is>
          <t>Tech H</t>
        </is>
      </c>
      <c r="E614" s="35" t="n">
        <v>1.8</v>
      </c>
      <c r="F614" s="35" t="n">
        <v>1.5</v>
      </c>
      <c r="G614" s="37" t="inlineStr">
        <is>
          <t>Y</t>
        </is>
      </c>
      <c r="H614" s="37" t="inlineStr">
        <is>
          <t>Y</t>
        </is>
      </c>
      <c r="I614" s="37">
        <f>COUNTIF(G$5:G614,"Y")/COUNTA(G$5:G614)</f>
        <v/>
      </c>
      <c r="J614" s="37">
        <f>COUNTIF(H$5:H614,"Y")/COUNTA(H$5:H614)</f>
        <v/>
      </c>
      <c r="K614" s="37">
        <f>AVERAGE(F$5:F614)</f>
        <v/>
      </c>
      <c r="L614" s="37">
        <f>SUM(F$5:F614)/SUM(E$5:E614)</f>
        <v/>
      </c>
    </row>
    <row r="615">
      <c r="A615" s="29" t="n">
        <v>45726</v>
      </c>
      <c r="B615" s="37" t="inlineStr">
        <is>
          <t>JOB-1611</t>
        </is>
      </c>
      <c r="C615" s="34" t="n">
        <v>1</v>
      </c>
      <c r="D615" s="37" t="inlineStr">
        <is>
          <t>Tech A</t>
        </is>
      </c>
      <c r="E615" s="35" t="n">
        <v>2</v>
      </c>
      <c r="F615" s="35" t="n">
        <v>1.6</v>
      </c>
      <c r="G615" s="37" t="inlineStr">
        <is>
          <t>Y</t>
        </is>
      </c>
      <c r="H615" s="37" t="inlineStr">
        <is>
          <t>N</t>
        </is>
      </c>
      <c r="I615" s="37">
        <f>COUNTIF(G$5:G615,"Y")/COUNTA(G$5:G615)</f>
        <v/>
      </c>
      <c r="J615" s="37">
        <f>COUNTIF(H$5:H615,"Y")/COUNTA(H$5:H615)</f>
        <v/>
      </c>
      <c r="K615" s="37">
        <f>AVERAGE(F$5:F615)</f>
        <v/>
      </c>
      <c r="L615" s="37">
        <f>SUM(F$5:F615)/SUM(E$5:E615)</f>
        <v/>
      </c>
    </row>
    <row r="616">
      <c r="A616" s="29" t="n">
        <v>45727</v>
      </c>
      <c r="B616" s="37" t="inlineStr">
        <is>
          <t>JOB-1612</t>
        </is>
      </c>
      <c r="C616" s="34" t="n">
        <v>1</v>
      </c>
      <c r="D616" s="37" t="inlineStr">
        <is>
          <t>Tech H</t>
        </is>
      </c>
      <c r="E616" s="35" t="n">
        <v>2.5</v>
      </c>
      <c r="F616" s="35" t="n">
        <v>1.8</v>
      </c>
      <c r="G616" s="37" t="inlineStr">
        <is>
          <t>Y</t>
        </is>
      </c>
      <c r="H616" s="37" t="inlineStr">
        <is>
          <t>N</t>
        </is>
      </c>
      <c r="I616" s="37">
        <f>COUNTIF(G$5:G616,"Y")/COUNTA(G$5:G616)</f>
        <v/>
      </c>
      <c r="J616" s="37">
        <f>COUNTIF(H$5:H616,"Y")/COUNTA(H$5:H616)</f>
        <v/>
      </c>
      <c r="K616" s="37">
        <f>AVERAGE(F$5:F616)</f>
        <v/>
      </c>
      <c r="L616" s="37">
        <f>SUM(F$5:F616)/SUM(E$5:E616)</f>
        <v/>
      </c>
    </row>
    <row r="617">
      <c r="A617" s="29" t="n">
        <v>45728</v>
      </c>
      <c r="B617" s="37" t="inlineStr">
        <is>
          <t>JOB-1613</t>
        </is>
      </c>
      <c r="C617" s="34" t="n">
        <v>1</v>
      </c>
      <c r="D617" s="37" t="inlineStr">
        <is>
          <t>Tech D</t>
        </is>
      </c>
      <c r="E617" s="35" t="n">
        <v>3.6</v>
      </c>
      <c r="F617" s="35" t="n">
        <v>2.8</v>
      </c>
      <c r="G617" s="37" t="inlineStr">
        <is>
          <t>Y</t>
        </is>
      </c>
      <c r="H617" s="37" t="inlineStr">
        <is>
          <t>N</t>
        </is>
      </c>
      <c r="I617" s="37">
        <f>COUNTIF(G$5:G617,"Y")/COUNTA(G$5:G617)</f>
        <v/>
      </c>
      <c r="J617" s="37">
        <f>COUNTIF(H$5:H617,"Y")/COUNTA(H$5:H617)</f>
        <v/>
      </c>
      <c r="K617" s="37">
        <f>AVERAGE(F$5:F617)</f>
        <v/>
      </c>
      <c r="L617" s="37">
        <f>SUM(F$5:F617)/SUM(E$5:E617)</f>
        <v/>
      </c>
    </row>
    <row r="618">
      <c r="A618" s="29" t="n">
        <v>45729</v>
      </c>
      <c r="B618" s="37" t="inlineStr">
        <is>
          <t>JOB-1614</t>
        </is>
      </c>
      <c r="C618" s="34" t="n">
        <v>1</v>
      </c>
      <c r="D618" s="37" t="inlineStr">
        <is>
          <t>Tech H</t>
        </is>
      </c>
      <c r="E618" s="35" t="n">
        <v>2</v>
      </c>
      <c r="F618" s="35" t="n">
        <v>1.6</v>
      </c>
      <c r="G618" s="37" t="inlineStr">
        <is>
          <t>Y</t>
        </is>
      </c>
      <c r="H618" s="37" t="inlineStr">
        <is>
          <t>N</t>
        </is>
      </c>
      <c r="I618" s="37">
        <f>COUNTIF(G$5:G618,"Y")/COUNTA(G$5:G618)</f>
        <v/>
      </c>
      <c r="J618" s="37">
        <f>COUNTIF(H$5:H618,"Y")/COUNTA(H$5:H618)</f>
        <v/>
      </c>
      <c r="K618" s="37">
        <f>AVERAGE(F$5:F618)</f>
        <v/>
      </c>
      <c r="L618" s="37">
        <f>SUM(F$5:F618)/SUM(E$5:E618)</f>
        <v/>
      </c>
    </row>
    <row r="619">
      <c r="A619" s="29" t="n">
        <v>45730</v>
      </c>
      <c r="B619" s="37" t="inlineStr">
        <is>
          <t>JOB-1615</t>
        </is>
      </c>
      <c r="C619" s="34" t="n">
        <v>1</v>
      </c>
      <c r="D619" s="37" t="inlineStr">
        <is>
          <t>Tech H</t>
        </is>
      </c>
      <c r="E619" s="35" t="n">
        <v>2.5</v>
      </c>
      <c r="F619" s="35" t="n">
        <v>1.8</v>
      </c>
      <c r="G619" s="37" t="inlineStr">
        <is>
          <t>Y</t>
        </is>
      </c>
      <c r="H619" s="37" t="inlineStr">
        <is>
          <t>N</t>
        </is>
      </c>
      <c r="I619" s="37">
        <f>COUNTIF(G$5:G619,"Y")/COUNTA(G$5:G619)</f>
        <v/>
      </c>
      <c r="J619" s="37">
        <f>COUNTIF(H$5:H619,"Y")/COUNTA(H$5:H619)</f>
        <v/>
      </c>
      <c r="K619" s="37">
        <f>AVERAGE(F$5:F619)</f>
        <v/>
      </c>
      <c r="L619" s="37">
        <f>SUM(F$5:F619)/SUM(E$5:E619)</f>
        <v/>
      </c>
    </row>
    <row r="620">
      <c r="A620" s="29" t="n">
        <v>45726</v>
      </c>
      <c r="B620" s="37" t="inlineStr">
        <is>
          <t>JOB-1616</t>
        </is>
      </c>
      <c r="C620" s="34" t="n">
        <v>1</v>
      </c>
      <c r="D620" s="37" t="inlineStr">
        <is>
          <t>Tech H</t>
        </is>
      </c>
      <c r="E620" s="35" t="n">
        <v>4.7</v>
      </c>
      <c r="F620" s="35" t="n">
        <v>3.4</v>
      </c>
      <c r="G620" s="37" t="inlineStr">
        <is>
          <t>Y</t>
        </is>
      </c>
      <c r="H620" s="37" t="inlineStr">
        <is>
          <t>N</t>
        </is>
      </c>
      <c r="I620" s="37">
        <f>COUNTIF(G$5:G620,"Y")/COUNTA(G$5:G620)</f>
        <v/>
      </c>
      <c r="J620" s="37">
        <f>COUNTIF(H$5:H620,"Y")/COUNTA(H$5:H620)</f>
        <v/>
      </c>
      <c r="K620" s="37">
        <f>AVERAGE(F$5:F620)</f>
        <v/>
      </c>
      <c r="L620" s="37">
        <f>SUM(F$5:F620)/SUM(E$5:E620)</f>
        <v/>
      </c>
    </row>
    <row r="621">
      <c r="A621" s="29" t="n">
        <v>45727</v>
      </c>
      <c r="B621" s="37" t="inlineStr">
        <is>
          <t>JOB-1617</t>
        </is>
      </c>
      <c r="C621" s="34" t="n">
        <v>1</v>
      </c>
      <c r="D621" s="37" t="inlineStr">
        <is>
          <t>Tech C</t>
        </is>
      </c>
      <c r="E621" s="35" t="n">
        <v>5.8</v>
      </c>
      <c r="F621" s="35" t="n">
        <v>4.3</v>
      </c>
      <c r="G621" s="37" t="inlineStr">
        <is>
          <t>N</t>
        </is>
      </c>
      <c r="H621" s="37" t="inlineStr">
        <is>
          <t>N</t>
        </is>
      </c>
      <c r="I621" s="37">
        <f>COUNTIF(G$5:G621,"Y")/COUNTA(G$5:G621)</f>
        <v/>
      </c>
      <c r="J621" s="37">
        <f>COUNTIF(H$5:H621,"Y")/COUNTA(H$5:H621)</f>
        <v/>
      </c>
      <c r="K621" s="37">
        <f>AVERAGE(F$5:F621)</f>
        <v/>
      </c>
      <c r="L621" s="37">
        <f>SUM(F$5:F621)/SUM(E$5:E621)</f>
        <v/>
      </c>
    </row>
    <row r="622">
      <c r="A622" s="29" t="n">
        <v>45728</v>
      </c>
      <c r="B622" s="37" t="inlineStr">
        <is>
          <t>JOB-1618</t>
        </is>
      </c>
      <c r="C622" s="34" t="n">
        <v>1</v>
      </c>
      <c r="D622" s="37" t="inlineStr">
        <is>
          <t>Tech G</t>
        </is>
      </c>
      <c r="E622" s="35" t="n">
        <v>3.2</v>
      </c>
      <c r="F622" s="35" t="n">
        <v>2.7</v>
      </c>
      <c r="G622" s="37" t="inlineStr">
        <is>
          <t>Y</t>
        </is>
      </c>
      <c r="H622" s="37" t="inlineStr">
        <is>
          <t>N</t>
        </is>
      </c>
      <c r="I622" s="37">
        <f>COUNTIF(G$5:G622,"Y")/COUNTA(G$5:G622)</f>
        <v/>
      </c>
      <c r="J622" s="37">
        <f>COUNTIF(H$5:H622,"Y")/COUNTA(H$5:H622)</f>
        <v/>
      </c>
      <c r="K622" s="37">
        <f>AVERAGE(F$5:F622)</f>
        <v/>
      </c>
      <c r="L622" s="37">
        <f>SUM(F$5:F622)/SUM(E$5:E622)</f>
        <v/>
      </c>
    </row>
    <row r="623">
      <c r="A623" s="29" t="n">
        <v>45729</v>
      </c>
      <c r="B623" s="37" t="inlineStr">
        <is>
          <t>JOB-1619</t>
        </is>
      </c>
      <c r="C623" s="34" t="n">
        <v>1</v>
      </c>
      <c r="D623" s="37" t="inlineStr">
        <is>
          <t>Tech A</t>
        </is>
      </c>
      <c r="E623" s="35" t="n">
        <v>2.9</v>
      </c>
      <c r="F623" s="35" t="n">
        <v>2.2</v>
      </c>
      <c r="G623" s="37" t="inlineStr">
        <is>
          <t>Y</t>
        </is>
      </c>
      <c r="H623" s="37" t="inlineStr">
        <is>
          <t>N</t>
        </is>
      </c>
      <c r="I623" s="37">
        <f>COUNTIF(G$5:G623,"Y")/COUNTA(G$5:G623)</f>
        <v/>
      </c>
      <c r="J623" s="37">
        <f>COUNTIF(H$5:H623,"Y")/COUNTA(H$5:H623)</f>
        <v/>
      </c>
      <c r="K623" s="37">
        <f>AVERAGE(F$5:F623)</f>
        <v/>
      </c>
      <c r="L623" s="37">
        <f>SUM(F$5:F623)/SUM(E$5:E623)</f>
        <v/>
      </c>
    </row>
    <row r="624">
      <c r="A624" s="29" t="n">
        <v>45730</v>
      </c>
      <c r="B624" s="37" t="inlineStr">
        <is>
          <t>JOB-1620</t>
        </is>
      </c>
      <c r="C624" s="34" t="n">
        <v>1</v>
      </c>
      <c r="D624" s="37" t="inlineStr">
        <is>
          <t>Tech G</t>
        </is>
      </c>
      <c r="E624" s="35" t="n">
        <v>1.8</v>
      </c>
      <c r="F624" s="35" t="n">
        <v>1.4</v>
      </c>
      <c r="G624" s="37" t="inlineStr">
        <is>
          <t>N</t>
        </is>
      </c>
      <c r="H624" s="37" t="inlineStr">
        <is>
          <t>N</t>
        </is>
      </c>
      <c r="I624" s="37">
        <f>COUNTIF(G$5:G624,"Y")/COUNTA(G$5:G624)</f>
        <v/>
      </c>
      <c r="J624" s="37">
        <f>COUNTIF(H$5:H624,"Y")/COUNTA(H$5:H624)</f>
        <v/>
      </c>
      <c r="K624" s="37">
        <f>AVERAGE(F$5:F624)</f>
        <v/>
      </c>
      <c r="L624" s="37">
        <f>SUM(F$5:F624)/SUM(E$5:E624)</f>
        <v/>
      </c>
    </row>
    <row r="625">
      <c r="A625" s="29" t="n">
        <v>45726</v>
      </c>
      <c r="B625" s="37" t="inlineStr">
        <is>
          <t>JOB-1621</t>
        </is>
      </c>
      <c r="C625" s="34" t="n">
        <v>1</v>
      </c>
      <c r="D625" s="37" t="inlineStr">
        <is>
          <t>Tech F</t>
        </is>
      </c>
      <c r="E625" s="35" t="n">
        <v>1.4</v>
      </c>
      <c r="F625" s="35" t="n">
        <v>1.2</v>
      </c>
      <c r="G625" s="37" t="inlineStr">
        <is>
          <t>Y</t>
        </is>
      </c>
      <c r="H625" s="37" t="inlineStr">
        <is>
          <t>N</t>
        </is>
      </c>
      <c r="I625" s="37">
        <f>COUNTIF(G$5:G625,"Y")/COUNTA(G$5:G625)</f>
        <v/>
      </c>
      <c r="J625" s="37">
        <f>COUNTIF(H$5:H625,"Y")/COUNTA(H$5:H625)</f>
        <v/>
      </c>
      <c r="K625" s="37">
        <f>AVERAGE(F$5:F625)</f>
        <v/>
      </c>
      <c r="L625" s="37">
        <f>SUM(F$5:F625)/SUM(E$5:E625)</f>
        <v/>
      </c>
    </row>
    <row r="626">
      <c r="A626" s="29" t="n">
        <v>45727</v>
      </c>
      <c r="B626" s="37" t="inlineStr">
        <is>
          <t>JOB-1622</t>
        </is>
      </c>
      <c r="C626" s="34" t="n">
        <v>1</v>
      </c>
      <c r="D626" s="37" t="inlineStr">
        <is>
          <t>Tech D</t>
        </is>
      </c>
      <c r="E626" s="35" t="n">
        <v>5.6</v>
      </c>
      <c r="F626" s="35" t="n">
        <v>3.7</v>
      </c>
      <c r="G626" s="37" t="inlineStr">
        <is>
          <t>Y</t>
        </is>
      </c>
      <c r="H626" s="37" t="inlineStr">
        <is>
          <t>N</t>
        </is>
      </c>
      <c r="I626" s="37">
        <f>COUNTIF(G$5:G626,"Y")/COUNTA(G$5:G626)</f>
        <v/>
      </c>
      <c r="J626" s="37">
        <f>COUNTIF(H$5:H626,"Y")/COUNTA(H$5:H626)</f>
        <v/>
      </c>
      <c r="K626" s="37">
        <f>AVERAGE(F$5:F626)</f>
        <v/>
      </c>
      <c r="L626" s="37">
        <f>SUM(F$5:F626)/SUM(E$5:E626)</f>
        <v/>
      </c>
    </row>
    <row r="627">
      <c r="A627" s="29" t="n">
        <v>45728</v>
      </c>
      <c r="B627" s="37" t="inlineStr">
        <is>
          <t>JOB-1623</t>
        </is>
      </c>
      <c r="C627" s="34" t="n">
        <v>1</v>
      </c>
      <c r="D627" s="37" t="inlineStr">
        <is>
          <t>Tech B</t>
        </is>
      </c>
      <c r="E627" s="35" t="n">
        <v>3.7</v>
      </c>
      <c r="F627" s="35" t="n">
        <v>2.8</v>
      </c>
      <c r="G627" s="37" t="inlineStr">
        <is>
          <t>Y</t>
        </is>
      </c>
      <c r="H627" s="37" t="inlineStr">
        <is>
          <t>N</t>
        </is>
      </c>
      <c r="I627" s="37">
        <f>COUNTIF(G$5:G627,"Y")/COUNTA(G$5:G627)</f>
        <v/>
      </c>
      <c r="J627" s="37">
        <f>COUNTIF(H$5:H627,"Y")/COUNTA(H$5:H627)</f>
        <v/>
      </c>
      <c r="K627" s="37">
        <f>AVERAGE(F$5:F627)</f>
        <v/>
      </c>
      <c r="L627" s="37">
        <f>SUM(F$5:F627)/SUM(E$5:E627)</f>
        <v/>
      </c>
    </row>
    <row r="628">
      <c r="A628" s="29" t="n">
        <v>45729</v>
      </c>
      <c r="B628" s="37" t="inlineStr">
        <is>
          <t>JOB-1624</t>
        </is>
      </c>
      <c r="C628" s="34" t="n">
        <v>1</v>
      </c>
      <c r="D628" s="37" t="inlineStr">
        <is>
          <t>Tech D</t>
        </is>
      </c>
      <c r="E628" s="35" t="n">
        <v>4.3</v>
      </c>
      <c r="F628" s="35" t="n">
        <v>3.3</v>
      </c>
      <c r="G628" s="37" t="inlineStr">
        <is>
          <t>Y</t>
        </is>
      </c>
      <c r="H628" s="37" t="inlineStr">
        <is>
          <t>N</t>
        </is>
      </c>
      <c r="I628" s="37">
        <f>COUNTIF(G$5:G628,"Y")/COUNTA(G$5:G628)</f>
        <v/>
      </c>
      <c r="J628" s="37">
        <f>COUNTIF(H$5:H628,"Y")/COUNTA(H$5:H628)</f>
        <v/>
      </c>
      <c r="K628" s="37">
        <f>AVERAGE(F$5:F628)</f>
        <v/>
      </c>
      <c r="L628" s="37">
        <f>SUM(F$5:F628)/SUM(E$5:E628)</f>
        <v/>
      </c>
    </row>
    <row r="629">
      <c r="A629" s="29" t="n">
        <v>45730</v>
      </c>
      <c r="B629" s="37" t="inlineStr">
        <is>
          <t>JOB-1625</t>
        </is>
      </c>
      <c r="C629" s="34" t="n">
        <v>1</v>
      </c>
      <c r="D629" s="37" t="inlineStr">
        <is>
          <t>Tech G</t>
        </is>
      </c>
      <c r="E629" s="35" t="n">
        <v>4.9</v>
      </c>
      <c r="F629" s="35" t="n">
        <v>3.7</v>
      </c>
      <c r="G629" s="37" t="inlineStr">
        <is>
          <t>Y</t>
        </is>
      </c>
      <c r="H629" s="37" t="inlineStr">
        <is>
          <t>N</t>
        </is>
      </c>
      <c r="I629" s="37">
        <f>COUNTIF(G$5:G629,"Y")/COUNTA(G$5:G629)</f>
        <v/>
      </c>
      <c r="J629" s="37">
        <f>COUNTIF(H$5:H629,"Y")/COUNTA(H$5:H629)</f>
        <v/>
      </c>
      <c r="K629" s="37">
        <f>AVERAGE(F$5:F629)</f>
        <v/>
      </c>
      <c r="L629" s="37">
        <f>SUM(F$5:F629)/SUM(E$5:E629)</f>
        <v/>
      </c>
    </row>
    <row r="630">
      <c r="A630" s="29" t="n">
        <v>45726</v>
      </c>
      <c r="B630" s="37" t="inlineStr">
        <is>
          <t>JOB-1626</t>
        </is>
      </c>
      <c r="C630" s="34" t="n">
        <v>1</v>
      </c>
      <c r="D630" s="37" t="inlineStr">
        <is>
          <t>Tech B</t>
        </is>
      </c>
      <c r="E630" s="35" t="n">
        <v>0.6</v>
      </c>
      <c r="F630" s="35" t="n">
        <v>0.5</v>
      </c>
      <c r="G630" s="37" t="inlineStr">
        <is>
          <t>Y</t>
        </is>
      </c>
      <c r="H630" s="37" t="inlineStr">
        <is>
          <t>N</t>
        </is>
      </c>
      <c r="I630" s="37">
        <f>COUNTIF(G$5:G630,"Y")/COUNTA(G$5:G630)</f>
        <v/>
      </c>
      <c r="J630" s="37">
        <f>COUNTIF(H$5:H630,"Y")/COUNTA(H$5:H630)</f>
        <v/>
      </c>
      <c r="K630" s="37">
        <f>AVERAGE(F$5:F630)</f>
        <v/>
      </c>
      <c r="L630" s="37">
        <f>SUM(F$5:F630)/SUM(E$5:E630)</f>
        <v/>
      </c>
    </row>
    <row r="631">
      <c r="A631" s="29" t="n">
        <v>45727</v>
      </c>
      <c r="B631" s="37" t="inlineStr">
        <is>
          <t>JOB-1627</t>
        </is>
      </c>
      <c r="C631" s="34" t="n">
        <v>1</v>
      </c>
      <c r="D631" s="37" t="inlineStr">
        <is>
          <t>Tech D</t>
        </is>
      </c>
      <c r="E631" s="35" t="n">
        <v>0.6</v>
      </c>
      <c r="F631" s="35" t="n">
        <v>0.5</v>
      </c>
      <c r="G631" s="37" t="inlineStr">
        <is>
          <t>N</t>
        </is>
      </c>
      <c r="H631" s="37" t="inlineStr">
        <is>
          <t>N</t>
        </is>
      </c>
      <c r="I631" s="37">
        <f>COUNTIF(G$5:G631,"Y")/COUNTA(G$5:G631)</f>
        <v/>
      </c>
      <c r="J631" s="37">
        <f>COUNTIF(H$5:H631,"Y")/COUNTA(H$5:H631)</f>
        <v/>
      </c>
      <c r="K631" s="37">
        <f>AVERAGE(F$5:F631)</f>
        <v/>
      </c>
      <c r="L631" s="37">
        <f>SUM(F$5:F631)/SUM(E$5:E631)</f>
        <v/>
      </c>
    </row>
    <row r="632">
      <c r="A632" s="29" t="n">
        <v>45728</v>
      </c>
      <c r="B632" s="37" t="inlineStr">
        <is>
          <t>JOB-1628</t>
        </is>
      </c>
      <c r="C632" s="34" t="n">
        <v>1</v>
      </c>
      <c r="D632" s="37" t="inlineStr">
        <is>
          <t>Tech C</t>
        </is>
      </c>
      <c r="E632" s="35" t="n">
        <v>0.7</v>
      </c>
      <c r="F632" s="35" t="n">
        <v>0.5</v>
      </c>
      <c r="G632" s="37" t="inlineStr">
        <is>
          <t>Y</t>
        </is>
      </c>
      <c r="H632" s="37" t="inlineStr">
        <is>
          <t>N</t>
        </is>
      </c>
      <c r="I632" s="37">
        <f>COUNTIF(G$5:G632,"Y")/COUNTA(G$5:G632)</f>
        <v/>
      </c>
      <c r="J632" s="37">
        <f>COUNTIF(H$5:H632,"Y")/COUNTA(H$5:H632)</f>
        <v/>
      </c>
      <c r="K632" s="37">
        <f>AVERAGE(F$5:F632)</f>
        <v/>
      </c>
      <c r="L632" s="37">
        <f>SUM(F$5:F632)/SUM(E$5:E632)</f>
        <v/>
      </c>
    </row>
    <row r="633">
      <c r="A633" s="29" t="n">
        <v>45729</v>
      </c>
      <c r="B633" s="37" t="inlineStr">
        <is>
          <t>JOB-1629</t>
        </is>
      </c>
      <c r="C633" s="34" t="n">
        <v>1</v>
      </c>
      <c r="D633" s="37" t="inlineStr">
        <is>
          <t>Tech C</t>
        </is>
      </c>
      <c r="E633" s="35" t="n">
        <v>1.3</v>
      </c>
      <c r="F633" s="35" t="n">
        <v>0.5</v>
      </c>
      <c r="G633" s="37" t="inlineStr">
        <is>
          <t>Y</t>
        </is>
      </c>
      <c r="H633" s="37" t="inlineStr">
        <is>
          <t>N</t>
        </is>
      </c>
      <c r="I633" s="37">
        <f>COUNTIF(G$5:G633,"Y")/COUNTA(G$5:G633)</f>
        <v/>
      </c>
      <c r="J633" s="37">
        <f>COUNTIF(H$5:H633,"Y")/COUNTA(H$5:H633)</f>
        <v/>
      </c>
      <c r="K633" s="37">
        <f>AVERAGE(F$5:F633)</f>
        <v/>
      </c>
      <c r="L633" s="37">
        <f>SUM(F$5:F633)/SUM(E$5:E633)</f>
        <v/>
      </c>
      <c r="M633" s="37" t="n">
        <v>14</v>
      </c>
    </row>
    <row r="634">
      <c r="A634" s="29" t="n">
        <v>45733</v>
      </c>
      <c r="B634" s="37" t="inlineStr">
        <is>
          <t>JOB-1630</t>
        </is>
      </c>
      <c r="C634" s="34" t="n">
        <v>1</v>
      </c>
      <c r="D634" s="37" t="inlineStr">
        <is>
          <t>Tech C</t>
        </is>
      </c>
      <c r="E634" s="35" t="n">
        <v>4.4</v>
      </c>
      <c r="F634" s="35" t="n">
        <v>3.6</v>
      </c>
      <c r="G634" s="37" t="inlineStr">
        <is>
          <t>Y</t>
        </is>
      </c>
      <c r="H634" s="37" t="inlineStr">
        <is>
          <t>N</t>
        </is>
      </c>
      <c r="I634" s="37">
        <f>COUNTIF(G$5:G634,"Y")/COUNTA(G$5:G634)</f>
        <v/>
      </c>
      <c r="J634" s="37">
        <f>COUNTIF(H$5:H634,"Y")/COUNTA(H$5:H634)</f>
        <v/>
      </c>
      <c r="K634" s="37">
        <f>AVERAGE(F$5:F634)</f>
        <v/>
      </c>
      <c r="L634" s="37">
        <f>SUM(F$5:F634)/SUM(E$5:E634)</f>
        <v/>
      </c>
    </row>
    <row r="635">
      <c r="A635" s="29" t="n">
        <v>45734</v>
      </c>
      <c r="B635" s="37" t="inlineStr">
        <is>
          <t>JOB-1631</t>
        </is>
      </c>
      <c r="C635" s="34" t="n">
        <v>1</v>
      </c>
      <c r="D635" s="37" t="inlineStr">
        <is>
          <t>Tech F</t>
        </is>
      </c>
      <c r="E635" s="35" t="n">
        <v>3.8</v>
      </c>
      <c r="F635" s="35" t="n">
        <v>2.9</v>
      </c>
      <c r="G635" s="37" t="inlineStr">
        <is>
          <t>Y</t>
        </is>
      </c>
      <c r="H635" s="37" t="inlineStr">
        <is>
          <t>N</t>
        </is>
      </c>
      <c r="I635" s="37">
        <f>COUNTIF(G$5:G635,"Y")/COUNTA(G$5:G635)</f>
        <v/>
      </c>
      <c r="J635" s="37">
        <f>COUNTIF(H$5:H635,"Y")/COUNTA(H$5:H635)</f>
        <v/>
      </c>
      <c r="K635" s="37">
        <f>AVERAGE(F$5:F635)</f>
        <v/>
      </c>
      <c r="L635" s="37">
        <f>SUM(F$5:F635)/SUM(E$5:E635)</f>
        <v/>
      </c>
    </row>
    <row r="636">
      <c r="A636" s="29" t="n">
        <v>45735</v>
      </c>
      <c r="B636" s="37" t="inlineStr">
        <is>
          <t>JOB-1632</t>
        </is>
      </c>
      <c r="C636" s="34" t="n">
        <v>1</v>
      </c>
      <c r="D636" s="37" t="inlineStr">
        <is>
          <t>Tech A</t>
        </is>
      </c>
      <c r="E636" s="35" t="n">
        <v>3.2</v>
      </c>
      <c r="F636" s="35" t="n">
        <v>2.6</v>
      </c>
      <c r="G636" s="37" t="inlineStr">
        <is>
          <t>N</t>
        </is>
      </c>
      <c r="H636" s="37" t="inlineStr">
        <is>
          <t>N</t>
        </is>
      </c>
      <c r="I636" s="37">
        <f>COUNTIF(G$5:G636,"Y")/COUNTA(G$5:G636)</f>
        <v/>
      </c>
      <c r="J636" s="37">
        <f>COUNTIF(H$5:H636,"Y")/COUNTA(H$5:H636)</f>
        <v/>
      </c>
      <c r="K636" s="37">
        <f>AVERAGE(F$5:F636)</f>
        <v/>
      </c>
      <c r="L636" s="37">
        <f>SUM(F$5:F636)/SUM(E$5:E636)</f>
        <v/>
      </c>
    </row>
    <row r="637">
      <c r="A637" s="29" t="n">
        <v>45736</v>
      </c>
      <c r="B637" s="37" t="inlineStr">
        <is>
          <t>JOB-1633</t>
        </is>
      </c>
      <c r="C637" s="34" t="n">
        <v>1</v>
      </c>
      <c r="D637" s="37" t="inlineStr">
        <is>
          <t>Tech C</t>
        </is>
      </c>
      <c r="E637" s="35" t="n">
        <v>3.5</v>
      </c>
      <c r="F637" s="35" t="n">
        <v>3.2</v>
      </c>
      <c r="G637" s="37" t="inlineStr">
        <is>
          <t>Y</t>
        </is>
      </c>
      <c r="H637" s="37" t="inlineStr">
        <is>
          <t>N</t>
        </is>
      </c>
      <c r="I637" s="37">
        <f>COUNTIF(G$5:G637,"Y")/COUNTA(G$5:G637)</f>
        <v/>
      </c>
      <c r="J637" s="37">
        <f>COUNTIF(H$5:H637,"Y")/COUNTA(H$5:H637)</f>
        <v/>
      </c>
      <c r="K637" s="37">
        <f>AVERAGE(F$5:F637)</f>
        <v/>
      </c>
      <c r="L637" s="37">
        <f>SUM(F$5:F637)/SUM(E$5:E637)</f>
        <v/>
      </c>
    </row>
    <row r="638">
      <c r="A638" s="29" t="n">
        <v>45737</v>
      </c>
      <c r="B638" s="37" t="inlineStr">
        <is>
          <t>JOB-1634</t>
        </is>
      </c>
      <c r="C638" s="34" t="n">
        <v>1</v>
      </c>
      <c r="D638" s="37" t="inlineStr">
        <is>
          <t>Tech H</t>
        </is>
      </c>
      <c r="E638" s="35" t="n">
        <v>1.9</v>
      </c>
      <c r="F638" s="35" t="n">
        <v>1.4</v>
      </c>
      <c r="G638" s="37" t="inlineStr">
        <is>
          <t>Y</t>
        </is>
      </c>
      <c r="H638" s="37" t="inlineStr">
        <is>
          <t>N</t>
        </is>
      </c>
      <c r="I638" s="37">
        <f>COUNTIF(G$5:G638,"Y")/COUNTA(G$5:G638)</f>
        <v/>
      </c>
      <c r="J638" s="37">
        <f>COUNTIF(H$5:H638,"Y")/COUNTA(H$5:H638)</f>
        <v/>
      </c>
      <c r="K638" s="37">
        <f>AVERAGE(F$5:F638)</f>
        <v/>
      </c>
      <c r="L638" s="37">
        <f>SUM(F$5:F638)/SUM(E$5:E638)</f>
        <v/>
      </c>
    </row>
    <row r="639">
      <c r="A639" s="29" t="n">
        <v>45733</v>
      </c>
      <c r="B639" s="37" t="inlineStr">
        <is>
          <t>JOB-1635</t>
        </is>
      </c>
      <c r="C639" s="34" t="n">
        <v>1</v>
      </c>
      <c r="D639" s="37" t="inlineStr">
        <is>
          <t>Tech F</t>
        </is>
      </c>
      <c r="E639" s="35" t="n">
        <v>2.8</v>
      </c>
      <c r="F639" s="35" t="n">
        <v>2.5</v>
      </c>
      <c r="G639" s="37" t="inlineStr">
        <is>
          <t>Y</t>
        </is>
      </c>
      <c r="H639" s="37" t="inlineStr">
        <is>
          <t>N</t>
        </is>
      </c>
      <c r="I639" s="37">
        <f>COUNTIF(G$5:G639,"Y")/COUNTA(G$5:G639)</f>
        <v/>
      </c>
      <c r="J639" s="37">
        <f>COUNTIF(H$5:H639,"Y")/COUNTA(H$5:H639)</f>
        <v/>
      </c>
      <c r="K639" s="37">
        <f>AVERAGE(F$5:F639)</f>
        <v/>
      </c>
      <c r="L639" s="37">
        <f>SUM(F$5:F639)/SUM(E$5:E639)</f>
        <v/>
      </c>
    </row>
    <row r="640">
      <c r="A640" s="29" t="n">
        <v>45734</v>
      </c>
      <c r="B640" s="37" t="inlineStr">
        <is>
          <t>JOB-1636</t>
        </is>
      </c>
      <c r="C640" s="34" t="n">
        <v>1</v>
      </c>
      <c r="D640" s="37" t="inlineStr">
        <is>
          <t>Tech H</t>
        </is>
      </c>
      <c r="E640" s="35" t="n">
        <v>4.7</v>
      </c>
      <c r="F640" s="35" t="n">
        <v>3.7</v>
      </c>
      <c r="G640" s="37" t="inlineStr">
        <is>
          <t>Y</t>
        </is>
      </c>
      <c r="H640" s="37" t="inlineStr">
        <is>
          <t>N</t>
        </is>
      </c>
      <c r="I640" s="37">
        <f>COUNTIF(G$5:G640,"Y")/COUNTA(G$5:G640)</f>
        <v/>
      </c>
      <c r="J640" s="37">
        <f>COUNTIF(H$5:H640,"Y")/COUNTA(H$5:H640)</f>
        <v/>
      </c>
      <c r="K640" s="37">
        <f>AVERAGE(F$5:F640)</f>
        <v/>
      </c>
      <c r="L640" s="37">
        <f>SUM(F$5:F640)/SUM(E$5:E640)</f>
        <v/>
      </c>
    </row>
    <row r="641">
      <c r="A641" s="29" t="n">
        <v>45735</v>
      </c>
      <c r="B641" s="37" t="inlineStr">
        <is>
          <t>JOB-1637</t>
        </is>
      </c>
      <c r="C641" s="34" t="n">
        <v>1</v>
      </c>
      <c r="D641" s="37" t="inlineStr">
        <is>
          <t>Tech A</t>
        </is>
      </c>
      <c r="E641" s="35" t="n">
        <v>1.7</v>
      </c>
      <c r="F641" s="35" t="n">
        <v>1.2</v>
      </c>
      <c r="G641" s="37" t="inlineStr">
        <is>
          <t>Y</t>
        </is>
      </c>
      <c r="H641" s="37" t="inlineStr">
        <is>
          <t>N</t>
        </is>
      </c>
      <c r="I641" s="37">
        <f>COUNTIF(G$5:G641,"Y")/COUNTA(G$5:G641)</f>
        <v/>
      </c>
      <c r="J641" s="37">
        <f>COUNTIF(H$5:H641,"Y")/COUNTA(H$5:H641)</f>
        <v/>
      </c>
      <c r="K641" s="37">
        <f>AVERAGE(F$5:F641)</f>
        <v/>
      </c>
      <c r="L641" s="37">
        <f>SUM(F$5:F641)/SUM(E$5:E641)</f>
        <v/>
      </c>
    </row>
    <row r="642">
      <c r="A642" s="29" t="n">
        <v>45736</v>
      </c>
      <c r="B642" s="37" t="inlineStr">
        <is>
          <t>JOB-1638</t>
        </is>
      </c>
      <c r="C642" s="34" t="n">
        <v>1</v>
      </c>
      <c r="D642" s="37" t="inlineStr">
        <is>
          <t>Tech D</t>
        </is>
      </c>
      <c r="E642" s="35" t="n">
        <v>2.4</v>
      </c>
      <c r="F642" s="35" t="n">
        <v>1.8</v>
      </c>
      <c r="G642" s="37" t="inlineStr">
        <is>
          <t>Y</t>
        </is>
      </c>
      <c r="H642" s="37" t="inlineStr">
        <is>
          <t>N</t>
        </is>
      </c>
      <c r="I642" s="37">
        <f>COUNTIF(G$5:G642,"Y")/COUNTA(G$5:G642)</f>
        <v/>
      </c>
      <c r="J642" s="37">
        <f>COUNTIF(H$5:H642,"Y")/COUNTA(H$5:H642)</f>
        <v/>
      </c>
      <c r="K642" s="37">
        <f>AVERAGE(F$5:F642)</f>
        <v/>
      </c>
      <c r="L642" s="37">
        <f>SUM(F$5:F642)/SUM(E$5:E642)</f>
        <v/>
      </c>
    </row>
    <row r="643">
      <c r="A643" s="29" t="n">
        <v>45737</v>
      </c>
      <c r="B643" s="37" t="inlineStr">
        <is>
          <t>JOB-1639</t>
        </is>
      </c>
      <c r="C643" s="34" t="n">
        <v>1</v>
      </c>
      <c r="D643" s="37" t="inlineStr">
        <is>
          <t>Tech D</t>
        </is>
      </c>
      <c r="E643" s="35" t="n">
        <v>2</v>
      </c>
      <c r="F643" s="35" t="n">
        <v>1.5</v>
      </c>
      <c r="G643" s="37" t="inlineStr">
        <is>
          <t>Y</t>
        </is>
      </c>
      <c r="H643" s="37" t="inlineStr">
        <is>
          <t>N</t>
        </is>
      </c>
      <c r="I643" s="37">
        <f>COUNTIF(G$5:G643,"Y")/COUNTA(G$5:G643)</f>
        <v/>
      </c>
      <c r="J643" s="37">
        <f>COUNTIF(H$5:H643,"Y")/COUNTA(H$5:H643)</f>
        <v/>
      </c>
      <c r="K643" s="37">
        <f>AVERAGE(F$5:F643)</f>
        <v/>
      </c>
      <c r="L643" s="37">
        <f>SUM(F$5:F643)/SUM(E$5:E643)</f>
        <v/>
      </c>
    </row>
    <row r="644">
      <c r="A644" s="29" t="n">
        <v>45733</v>
      </c>
      <c r="B644" s="37" t="inlineStr">
        <is>
          <t>JOB-1640</t>
        </is>
      </c>
      <c r="C644" s="34" t="n">
        <v>1</v>
      </c>
      <c r="D644" s="37" t="inlineStr">
        <is>
          <t>Tech F</t>
        </is>
      </c>
      <c r="E644" s="35" t="n">
        <v>2.3</v>
      </c>
      <c r="F644" s="35" t="n">
        <v>1.6</v>
      </c>
      <c r="G644" s="37" t="inlineStr">
        <is>
          <t>Y</t>
        </is>
      </c>
      <c r="H644" s="37" t="inlineStr">
        <is>
          <t>N</t>
        </is>
      </c>
      <c r="I644" s="37">
        <f>COUNTIF(G$5:G644,"Y")/COUNTA(G$5:G644)</f>
        <v/>
      </c>
      <c r="J644" s="37">
        <f>COUNTIF(H$5:H644,"Y")/COUNTA(H$5:H644)</f>
        <v/>
      </c>
      <c r="K644" s="37">
        <f>AVERAGE(F$5:F644)</f>
        <v/>
      </c>
      <c r="L644" s="37">
        <f>SUM(F$5:F644)/SUM(E$5:E644)</f>
        <v/>
      </c>
    </row>
    <row r="645">
      <c r="A645" s="29" t="n">
        <v>45734</v>
      </c>
      <c r="B645" s="37" t="inlineStr">
        <is>
          <t>JOB-1641</t>
        </is>
      </c>
      <c r="C645" s="34" t="n">
        <v>1</v>
      </c>
      <c r="D645" s="37" t="inlineStr">
        <is>
          <t>Tech C</t>
        </is>
      </c>
      <c r="E645" s="35" t="n">
        <v>2.7</v>
      </c>
      <c r="F645" s="35" t="n">
        <v>2</v>
      </c>
      <c r="G645" s="37" t="inlineStr">
        <is>
          <t>Y</t>
        </is>
      </c>
      <c r="H645" s="37" t="inlineStr">
        <is>
          <t>N</t>
        </is>
      </c>
      <c r="I645" s="37">
        <f>COUNTIF(G$5:G645,"Y")/COUNTA(G$5:G645)</f>
        <v/>
      </c>
      <c r="J645" s="37">
        <f>COUNTIF(H$5:H645,"Y")/COUNTA(H$5:H645)</f>
        <v/>
      </c>
      <c r="K645" s="37">
        <f>AVERAGE(F$5:F645)</f>
        <v/>
      </c>
      <c r="L645" s="37">
        <f>SUM(F$5:F645)/SUM(E$5:E645)</f>
        <v/>
      </c>
    </row>
    <row r="646">
      <c r="A646" s="29" t="n">
        <v>45735</v>
      </c>
      <c r="B646" s="37" t="inlineStr">
        <is>
          <t>JOB-1642</t>
        </is>
      </c>
      <c r="C646" s="34" t="n">
        <v>1</v>
      </c>
      <c r="D646" s="37" t="inlineStr">
        <is>
          <t>Tech A</t>
        </is>
      </c>
      <c r="E646" s="35" t="n">
        <v>2.3</v>
      </c>
      <c r="F646" s="35" t="n">
        <v>1.9</v>
      </c>
      <c r="G646" s="37" t="inlineStr">
        <is>
          <t>Y</t>
        </is>
      </c>
      <c r="H646" s="37" t="inlineStr">
        <is>
          <t>N</t>
        </is>
      </c>
      <c r="I646" s="37">
        <f>COUNTIF(G$5:G646,"Y")/COUNTA(G$5:G646)</f>
        <v/>
      </c>
      <c r="J646" s="37">
        <f>COUNTIF(H$5:H646,"Y")/COUNTA(H$5:H646)</f>
        <v/>
      </c>
      <c r="K646" s="37">
        <f>AVERAGE(F$5:F646)</f>
        <v/>
      </c>
      <c r="L646" s="37">
        <f>SUM(F$5:F646)/SUM(E$5:E646)</f>
        <v/>
      </c>
    </row>
    <row r="647">
      <c r="A647" s="29" t="n">
        <v>45736</v>
      </c>
      <c r="B647" s="37" t="inlineStr">
        <is>
          <t>JOB-1643</t>
        </is>
      </c>
      <c r="C647" s="34" t="n">
        <v>1</v>
      </c>
      <c r="D647" s="37" t="inlineStr">
        <is>
          <t>Tech D</t>
        </is>
      </c>
      <c r="E647" s="35" t="n">
        <v>4.5</v>
      </c>
      <c r="F647" s="35" t="n">
        <v>3.9</v>
      </c>
      <c r="G647" s="37" t="inlineStr">
        <is>
          <t>Y</t>
        </is>
      </c>
      <c r="H647" s="37" t="inlineStr">
        <is>
          <t>N</t>
        </is>
      </c>
      <c r="I647" s="37">
        <f>COUNTIF(G$5:G647,"Y")/COUNTA(G$5:G647)</f>
        <v/>
      </c>
      <c r="J647" s="37">
        <f>COUNTIF(H$5:H647,"Y")/COUNTA(H$5:H647)</f>
        <v/>
      </c>
      <c r="K647" s="37">
        <f>AVERAGE(F$5:F647)</f>
        <v/>
      </c>
      <c r="L647" s="37">
        <f>SUM(F$5:F647)/SUM(E$5:E647)</f>
        <v/>
      </c>
    </row>
    <row r="648">
      <c r="A648" s="29" t="n">
        <v>45737</v>
      </c>
      <c r="B648" s="37" t="inlineStr">
        <is>
          <t>JOB-1644</t>
        </is>
      </c>
      <c r="C648" s="34" t="n">
        <v>1</v>
      </c>
      <c r="D648" s="37" t="inlineStr">
        <is>
          <t>Tech G</t>
        </is>
      </c>
      <c r="E648" s="35" t="n">
        <v>2.8</v>
      </c>
      <c r="F648" s="35" t="n">
        <v>2.3</v>
      </c>
      <c r="G648" s="37" t="inlineStr">
        <is>
          <t>Y</t>
        </is>
      </c>
      <c r="H648" s="37" t="inlineStr">
        <is>
          <t>N</t>
        </is>
      </c>
      <c r="I648" s="37">
        <f>COUNTIF(G$5:G648,"Y")/COUNTA(G$5:G648)</f>
        <v/>
      </c>
      <c r="J648" s="37">
        <f>COUNTIF(H$5:H648,"Y")/COUNTA(H$5:H648)</f>
        <v/>
      </c>
      <c r="K648" s="37">
        <f>AVERAGE(F$5:F648)</f>
        <v/>
      </c>
      <c r="L648" s="37">
        <f>SUM(F$5:F648)/SUM(E$5:E648)</f>
        <v/>
      </c>
    </row>
    <row r="649">
      <c r="A649" s="29" t="n">
        <v>45733</v>
      </c>
      <c r="B649" s="37" t="inlineStr">
        <is>
          <t>JOB-1645</t>
        </is>
      </c>
      <c r="C649" s="34" t="n">
        <v>1</v>
      </c>
      <c r="D649" s="37" t="inlineStr">
        <is>
          <t>Tech F</t>
        </is>
      </c>
      <c r="E649" s="35" t="n">
        <v>3.8</v>
      </c>
      <c r="F649" s="35" t="n">
        <v>3.2</v>
      </c>
      <c r="G649" s="37" t="inlineStr">
        <is>
          <t>Y</t>
        </is>
      </c>
      <c r="H649" s="37" t="inlineStr">
        <is>
          <t>N</t>
        </is>
      </c>
      <c r="I649" s="37">
        <f>COUNTIF(G$5:G649,"Y")/COUNTA(G$5:G649)</f>
        <v/>
      </c>
      <c r="J649" s="37">
        <f>COUNTIF(H$5:H649,"Y")/COUNTA(H$5:H649)</f>
        <v/>
      </c>
      <c r="K649" s="37">
        <f>AVERAGE(F$5:F649)</f>
        <v/>
      </c>
      <c r="L649" s="37">
        <f>SUM(F$5:F649)/SUM(E$5:E649)</f>
        <v/>
      </c>
    </row>
    <row r="650">
      <c r="A650" s="29" t="n">
        <v>45734</v>
      </c>
      <c r="B650" s="37" t="inlineStr">
        <is>
          <t>JOB-1646</t>
        </is>
      </c>
      <c r="C650" s="34" t="n">
        <v>1</v>
      </c>
      <c r="D650" s="37" t="inlineStr">
        <is>
          <t>Tech B</t>
        </is>
      </c>
      <c r="E650" s="35" t="n">
        <v>4.2</v>
      </c>
      <c r="F650" s="35" t="n">
        <v>3.1</v>
      </c>
      <c r="G650" s="37" t="inlineStr">
        <is>
          <t>Y</t>
        </is>
      </c>
      <c r="H650" s="37" t="inlineStr">
        <is>
          <t>N</t>
        </is>
      </c>
      <c r="I650" s="37">
        <f>COUNTIF(G$5:G650,"Y")/COUNTA(G$5:G650)</f>
        <v/>
      </c>
      <c r="J650" s="37">
        <f>COUNTIF(H$5:H650,"Y")/COUNTA(H$5:H650)</f>
        <v/>
      </c>
      <c r="K650" s="37">
        <f>AVERAGE(F$5:F650)</f>
        <v/>
      </c>
      <c r="L650" s="37">
        <f>SUM(F$5:F650)/SUM(E$5:E650)</f>
        <v/>
      </c>
    </row>
    <row r="651">
      <c r="A651" s="29" t="n">
        <v>45735</v>
      </c>
      <c r="B651" s="37" t="inlineStr">
        <is>
          <t>JOB-1647</t>
        </is>
      </c>
      <c r="C651" s="34" t="n">
        <v>1</v>
      </c>
      <c r="D651" s="37" t="inlineStr">
        <is>
          <t>Tech C</t>
        </is>
      </c>
      <c r="E651" s="35" t="n">
        <v>1.5</v>
      </c>
      <c r="F651" s="35" t="n">
        <v>1.2</v>
      </c>
      <c r="G651" s="37" t="inlineStr">
        <is>
          <t>Y</t>
        </is>
      </c>
      <c r="H651" s="37" t="inlineStr">
        <is>
          <t>N</t>
        </is>
      </c>
      <c r="I651" s="37">
        <f>COUNTIF(G$5:G651,"Y")/COUNTA(G$5:G651)</f>
        <v/>
      </c>
      <c r="J651" s="37">
        <f>COUNTIF(H$5:H651,"Y")/COUNTA(H$5:H651)</f>
        <v/>
      </c>
      <c r="K651" s="37">
        <f>AVERAGE(F$5:F651)</f>
        <v/>
      </c>
      <c r="L651" s="37">
        <f>SUM(F$5:F651)/SUM(E$5:E651)</f>
        <v/>
      </c>
    </row>
    <row r="652">
      <c r="A652" s="29" t="n">
        <v>45736</v>
      </c>
      <c r="B652" s="37" t="inlineStr">
        <is>
          <t>JOB-1648</t>
        </is>
      </c>
      <c r="C652" s="34" t="n">
        <v>1</v>
      </c>
      <c r="D652" s="37" t="inlineStr">
        <is>
          <t>Tech B</t>
        </is>
      </c>
      <c r="E652" s="35" t="n">
        <v>1.8</v>
      </c>
      <c r="F652" s="35" t="n">
        <v>1.5</v>
      </c>
      <c r="G652" s="37" t="inlineStr">
        <is>
          <t>Y</t>
        </is>
      </c>
      <c r="H652" s="37" t="inlineStr">
        <is>
          <t>Y</t>
        </is>
      </c>
      <c r="I652" s="37">
        <f>COUNTIF(G$5:G652,"Y")/COUNTA(G$5:G652)</f>
        <v/>
      </c>
      <c r="J652" s="37">
        <f>COUNTIF(H$5:H652,"Y")/COUNTA(H$5:H652)</f>
        <v/>
      </c>
      <c r="K652" s="37">
        <f>AVERAGE(F$5:F652)</f>
        <v/>
      </c>
      <c r="L652" s="37">
        <f>SUM(F$5:F652)/SUM(E$5:E652)</f>
        <v/>
      </c>
    </row>
    <row r="653">
      <c r="A653" s="29" t="n">
        <v>45737</v>
      </c>
      <c r="B653" s="37" t="inlineStr">
        <is>
          <t>JOB-1649</t>
        </is>
      </c>
      <c r="C653" s="34" t="n">
        <v>1</v>
      </c>
      <c r="D653" s="37" t="inlineStr">
        <is>
          <t>Tech C</t>
        </is>
      </c>
      <c r="E653" s="35" t="n">
        <v>3.5</v>
      </c>
      <c r="F653" s="35" t="n">
        <v>3.2</v>
      </c>
      <c r="G653" s="37" t="inlineStr">
        <is>
          <t>Y</t>
        </is>
      </c>
      <c r="H653" s="37" t="inlineStr">
        <is>
          <t>N</t>
        </is>
      </c>
      <c r="I653" s="37">
        <f>COUNTIF(G$5:G653,"Y")/COUNTA(G$5:G653)</f>
        <v/>
      </c>
      <c r="J653" s="37">
        <f>COUNTIF(H$5:H653,"Y")/COUNTA(H$5:H653)</f>
        <v/>
      </c>
      <c r="K653" s="37">
        <f>AVERAGE(F$5:F653)</f>
        <v/>
      </c>
      <c r="L653" s="37">
        <f>SUM(F$5:F653)/SUM(E$5:E653)</f>
        <v/>
      </c>
    </row>
    <row r="654">
      <c r="A654" s="29" t="n">
        <v>45733</v>
      </c>
      <c r="B654" s="37" t="inlineStr">
        <is>
          <t>JOB-1650</t>
        </is>
      </c>
      <c r="C654" s="34" t="n">
        <v>1</v>
      </c>
      <c r="D654" s="37" t="inlineStr">
        <is>
          <t>Tech G</t>
        </is>
      </c>
      <c r="E654" s="35" t="n">
        <v>4.5</v>
      </c>
      <c r="F654" s="35" t="n">
        <v>3.2</v>
      </c>
      <c r="G654" s="37" t="inlineStr">
        <is>
          <t>Y</t>
        </is>
      </c>
      <c r="H654" s="37" t="inlineStr">
        <is>
          <t>N</t>
        </is>
      </c>
      <c r="I654" s="37">
        <f>COUNTIF(G$5:G654,"Y")/COUNTA(G$5:G654)</f>
        <v/>
      </c>
      <c r="J654" s="37">
        <f>COUNTIF(H$5:H654,"Y")/COUNTA(H$5:H654)</f>
        <v/>
      </c>
      <c r="K654" s="37">
        <f>AVERAGE(F$5:F654)</f>
        <v/>
      </c>
      <c r="L654" s="37">
        <f>SUM(F$5:F654)/SUM(E$5:E654)</f>
        <v/>
      </c>
    </row>
    <row r="655">
      <c r="A655" s="29" t="n">
        <v>45734</v>
      </c>
      <c r="B655" s="37" t="inlineStr">
        <is>
          <t>JOB-1651</t>
        </is>
      </c>
      <c r="C655" s="34" t="n">
        <v>1</v>
      </c>
      <c r="D655" s="37" t="inlineStr">
        <is>
          <t>Tech A</t>
        </is>
      </c>
      <c r="E655" s="35" t="n">
        <v>5.1</v>
      </c>
      <c r="F655" s="35" t="n">
        <v>4.1</v>
      </c>
      <c r="G655" s="37" t="inlineStr">
        <is>
          <t>Y</t>
        </is>
      </c>
      <c r="H655" s="37" t="inlineStr">
        <is>
          <t>N</t>
        </is>
      </c>
      <c r="I655" s="37">
        <f>COUNTIF(G$5:G655,"Y")/COUNTA(G$5:G655)</f>
        <v/>
      </c>
      <c r="J655" s="37">
        <f>COUNTIF(H$5:H655,"Y")/COUNTA(H$5:H655)</f>
        <v/>
      </c>
      <c r="K655" s="37">
        <f>AVERAGE(F$5:F655)</f>
        <v/>
      </c>
      <c r="L655" s="37">
        <f>SUM(F$5:F655)/SUM(E$5:E655)</f>
        <v/>
      </c>
    </row>
    <row r="656">
      <c r="A656" s="29" t="n">
        <v>45735</v>
      </c>
      <c r="B656" s="37" t="inlineStr">
        <is>
          <t>JOB-1652</t>
        </is>
      </c>
      <c r="C656" s="34" t="n">
        <v>1</v>
      </c>
      <c r="D656" s="37" t="inlineStr">
        <is>
          <t>Tech F</t>
        </is>
      </c>
      <c r="E656" s="35" t="n">
        <v>1.7</v>
      </c>
      <c r="F656" s="35" t="n">
        <v>1.5</v>
      </c>
      <c r="G656" s="37" t="inlineStr">
        <is>
          <t>Y</t>
        </is>
      </c>
      <c r="H656" s="37" t="inlineStr">
        <is>
          <t>N</t>
        </is>
      </c>
      <c r="I656" s="37">
        <f>COUNTIF(G$5:G656,"Y")/COUNTA(G$5:G656)</f>
        <v/>
      </c>
      <c r="J656" s="37">
        <f>COUNTIF(H$5:H656,"Y")/COUNTA(H$5:H656)</f>
        <v/>
      </c>
      <c r="K656" s="37">
        <f>AVERAGE(F$5:F656)</f>
        <v/>
      </c>
      <c r="L656" s="37">
        <f>SUM(F$5:F656)/SUM(E$5:E656)</f>
        <v/>
      </c>
    </row>
    <row r="657">
      <c r="A657" s="29" t="n">
        <v>45736</v>
      </c>
      <c r="B657" s="37" t="inlineStr">
        <is>
          <t>JOB-1653</t>
        </is>
      </c>
      <c r="C657" s="34" t="n">
        <v>1</v>
      </c>
      <c r="D657" s="37" t="inlineStr">
        <is>
          <t>Tech H</t>
        </is>
      </c>
      <c r="E657" s="35" t="n">
        <v>3.2</v>
      </c>
      <c r="F657" s="35" t="n">
        <v>2.3</v>
      </c>
      <c r="G657" s="37" t="inlineStr">
        <is>
          <t>Y</t>
        </is>
      </c>
      <c r="H657" s="37" t="inlineStr">
        <is>
          <t>Y</t>
        </is>
      </c>
      <c r="I657" s="37">
        <f>COUNTIF(G$5:G657,"Y")/COUNTA(G$5:G657)</f>
        <v/>
      </c>
      <c r="J657" s="37">
        <f>COUNTIF(H$5:H657,"Y")/COUNTA(H$5:H657)</f>
        <v/>
      </c>
      <c r="K657" s="37">
        <f>AVERAGE(F$5:F657)</f>
        <v/>
      </c>
      <c r="L657" s="37">
        <f>SUM(F$5:F657)/SUM(E$5:E657)</f>
        <v/>
      </c>
    </row>
    <row r="658">
      <c r="A658" s="29" t="n">
        <v>45737</v>
      </c>
      <c r="B658" s="37" t="inlineStr">
        <is>
          <t>JOB-1654</t>
        </is>
      </c>
      <c r="C658" s="34" t="n">
        <v>1</v>
      </c>
      <c r="D658" s="37" t="inlineStr">
        <is>
          <t>Tech H</t>
        </is>
      </c>
      <c r="E658" s="35" t="n">
        <v>1.8</v>
      </c>
      <c r="F658" s="35" t="n">
        <v>1.5</v>
      </c>
      <c r="G658" s="37" t="inlineStr">
        <is>
          <t>Y</t>
        </is>
      </c>
      <c r="H658" s="37" t="inlineStr">
        <is>
          <t>N</t>
        </is>
      </c>
      <c r="I658" s="37">
        <f>COUNTIF(G$5:G658,"Y")/COUNTA(G$5:G658)</f>
        <v/>
      </c>
      <c r="J658" s="37">
        <f>COUNTIF(H$5:H658,"Y")/COUNTA(H$5:H658)</f>
        <v/>
      </c>
      <c r="K658" s="37">
        <f>AVERAGE(F$5:F658)</f>
        <v/>
      </c>
      <c r="L658" s="37">
        <f>SUM(F$5:F658)/SUM(E$5:E658)</f>
        <v/>
      </c>
    </row>
    <row r="659">
      <c r="A659" s="29" t="n">
        <v>45733</v>
      </c>
      <c r="B659" s="37" t="inlineStr">
        <is>
          <t>JOB-1655</t>
        </is>
      </c>
      <c r="C659" s="34" t="n">
        <v>1</v>
      </c>
      <c r="D659" s="37" t="inlineStr">
        <is>
          <t>Tech A</t>
        </is>
      </c>
      <c r="E659" s="35" t="n">
        <v>4.3</v>
      </c>
      <c r="F659" s="35" t="n">
        <v>3.8</v>
      </c>
      <c r="G659" s="37" t="inlineStr">
        <is>
          <t>N</t>
        </is>
      </c>
      <c r="H659" s="37" t="inlineStr">
        <is>
          <t>N</t>
        </is>
      </c>
      <c r="I659" s="37">
        <f>COUNTIF(G$5:G659,"Y")/COUNTA(G$5:G659)</f>
        <v/>
      </c>
      <c r="J659" s="37">
        <f>COUNTIF(H$5:H659,"Y")/COUNTA(H$5:H659)</f>
        <v/>
      </c>
      <c r="K659" s="37">
        <f>AVERAGE(F$5:F659)</f>
        <v/>
      </c>
      <c r="L659" s="37">
        <f>SUM(F$5:F659)/SUM(E$5:E659)</f>
        <v/>
      </c>
    </row>
    <row r="660">
      <c r="A660" s="29" t="n">
        <v>45734</v>
      </c>
      <c r="B660" s="37" t="inlineStr">
        <is>
          <t>JOB-1656</t>
        </is>
      </c>
      <c r="C660" s="34" t="n">
        <v>1</v>
      </c>
      <c r="D660" s="37" t="inlineStr">
        <is>
          <t>Tech B</t>
        </is>
      </c>
      <c r="E660" s="35" t="n">
        <v>4.8</v>
      </c>
      <c r="F660" s="35" t="n">
        <v>3.5</v>
      </c>
      <c r="G660" s="37" t="inlineStr">
        <is>
          <t>Y</t>
        </is>
      </c>
      <c r="H660" s="37" t="inlineStr">
        <is>
          <t>N</t>
        </is>
      </c>
      <c r="I660" s="37">
        <f>COUNTIF(G$5:G660,"Y")/COUNTA(G$5:G660)</f>
        <v/>
      </c>
      <c r="J660" s="37">
        <f>COUNTIF(H$5:H660,"Y")/COUNTA(H$5:H660)</f>
        <v/>
      </c>
      <c r="K660" s="37">
        <f>AVERAGE(F$5:F660)</f>
        <v/>
      </c>
      <c r="L660" s="37">
        <f>SUM(F$5:F660)/SUM(E$5:E660)</f>
        <v/>
      </c>
    </row>
    <row r="661">
      <c r="A661" s="29" t="n">
        <v>45735</v>
      </c>
      <c r="B661" s="37" t="inlineStr">
        <is>
          <t>JOB-1657</t>
        </is>
      </c>
      <c r="C661" s="34" t="n">
        <v>1</v>
      </c>
      <c r="D661" s="37" t="inlineStr">
        <is>
          <t>Tech H</t>
        </is>
      </c>
      <c r="E661" s="35" t="n">
        <v>2.2</v>
      </c>
      <c r="F661" s="35" t="n">
        <v>1.5</v>
      </c>
      <c r="G661" s="37" t="inlineStr">
        <is>
          <t>Y</t>
        </is>
      </c>
      <c r="H661" s="37" t="inlineStr">
        <is>
          <t>N</t>
        </is>
      </c>
      <c r="I661" s="37">
        <f>COUNTIF(G$5:G661,"Y")/COUNTA(G$5:G661)</f>
        <v/>
      </c>
      <c r="J661" s="37">
        <f>COUNTIF(H$5:H661,"Y")/COUNTA(H$5:H661)</f>
        <v/>
      </c>
      <c r="K661" s="37">
        <f>AVERAGE(F$5:F661)</f>
        <v/>
      </c>
      <c r="L661" s="37">
        <f>SUM(F$5:F661)/SUM(E$5:E661)</f>
        <v/>
      </c>
    </row>
    <row r="662">
      <c r="A662" s="29" t="n">
        <v>45736</v>
      </c>
      <c r="B662" s="37" t="inlineStr">
        <is>
          <t>JOB-1658</t>
        </is>
      </c>
      <c r="C662" s="34" t="n">
        <v>1</v>
      </c>
      <c r="D662" s="37" t="inlineStr">
        <is>
          <t>Tech F</t>
        </is>
      </c>
      <c r="E662" s="35" t="n">
        <v>2.1</v>
      </c>
      <c r="F662" s="35" t="n">
        <v>1.6</v>
      </c>
      <c r="G662" s="37" t="inlineStr">
        <is>
          <t>Y</t>
        </is>
      </c>
      <c r="H662" s="37" t="inlineStr">
        <is>
          <t>N</t>
        </is>
      </c>
      <c r="I662" s="37">
        <f>COUNTIF(G$5:G662,"Y")/COUNTA(G$5:G662)</f>
        <v/>
      </c>
      <c r="J662" s="37">
        <f>COUNTIF(H$5:H662,"Y")/COUNTA(H$5:H662)</f>
        <v/>
      </c>
      <c r="K662" s="37">
        <f>AVERAGE(F$5:F662)</f>
        <v/>
      </c>
      <c r="L662" s="37">
        <f>SUM(F$5:F662)/SUM(E$5:E662)</f>
        <v/>
      </c>
    </row>
    <row r="663">
      <c r="A663" s="29" t="n">
        <v>45737</v>
      </c>
      <c r="B663" s="37" t="inlineStr">
        <is>
          <t>JOB-1659</t>
        </is>
      </c>
      <c r="C663" s="34" t="n">
        <v>1</v>
      </c>
      <c r="D663" s="37" t="inlineStr">
        <is>
          <t>Tech A</t>
        </is>
      </c>
      <c r="E663" s="35" t="n">
        <v>1.6</v>
      </c>
      <c r="F663" s="35" t="n">
        <v>1.2</v>
      </c>
      <c r="G663" s="37" t="inlineStr">
        <is>
          <t>Y</t>
        </is>
      </c>
      <c r="H663" s="37" t="inlineStr">
        <is>
          <t>N</t>
        </is>
      </c>
      <c r="I663" s="37">
        <f>COUNTIF(G$5:G663,"Y")/COUNTA(G$5:G663)</f>
        <v/>
      </c>
      <c r="J663" s="37">
        <f>COUNTIF(H$5:H663,"Y")/COUNTA(H$5:H663)</f>
        <v/>
      </c>
      <c r="K663" s="37">
        <f>AVERAGE(F$5:F663)</f>
        <v/>
      </c>
      <c r="L663" s="37">
        <f>SUM(F$5:F663)/SUM(E$5:E663)</f>
        <v/>
      </c>
    </row>
    <row r="664">
      <c r="A664" s="29" t="n">
        <v>45733</v>
      </c>
      <c r="B664" s="37" t="inlineStr">
        <is>
          <t>JOB-1660</t>
        </is>
      </c>
      <c r="C664" s="34" t="n">
        <v>1</v>
      </c>
      <c r="D664" s="37" t="inlineStr">
        <is>
          <t>Tech A</t>
        </is>
      </c>
      <c r="E664" s="35" t="n">
        <v>3.4</v>
      </c>
      <c r="F664" s="35" t="n">
        <v>2.5</v>
      </c>
      <c r="G664" s="37" t="inlineStr">
        <is>
          <t>Y</t>
        </is>
      </c>
      <c r="H664" s="37" t="inlineStr">
        <is>
          <t>N</t>
        </is>
      </c>
      <c r="I664" s="37">
        <f>COUNTIF(G$5:G664,"Y")/COUNTA(G$5:G664)</f>
        <v/>
      </c>
      <c r="J664" s="37">
        <f>COUNTIF(H$5:H664,"Y")/COUNTA(H$5:H664)</f>
        <v/>
      </c>
      <c r="K664" s="37">
        <f>AVERAGE(F$5:F664)</f>
        <v/>
      </c>
      <c r="L664" s="37">
        <f>SUM(F$5:F664)/SUM(E$5:E664)</f>
        <v/>
      </c>
    </row>
    <row r="665">
      <c r="A665" s="29" t="n">
        <v>45734</v>
      </c>
      <c r="B665" s="37" t="inlineStr">
        <is>
          <t>JOB-1661</t>
        </is>
      </c>
      <c r="C665" s="34" t="n">
        <v>1</v>
      </c>
      <c r="D665" s="37" t="inlineStr">
        <is>
          <t>Tech G</t>
        </is>
      </c>
      <c r="E665" s="35" t="n">
        <v>3.4</v>
      </c>
      <c r="F665" s="35" t="n">
        <v>3</v>
      </c>
      <c r="G665" s="37" t="inlineStr">
        <is>
          <t>Y</t>
        </is>
      </c>
      <c r="H665" s="37" t="inlineStr">
        <is>
          <t>N</t>
        </is>
      </c>
      <c r="I665" s="37">
        <f>COUNTIF(G$5:G665,"Y")/COUNTA(G$5:G665)</f>
        <v/>
      </c>
      <c r="J665" s="37">
        <f>COUNTIF(H$5:H665,"Y")/COUNTA(H$5:H665)</f>
        <v/>
      </c>
      <c r="K665" s="37">
        <f>AVERAGE(F$5:F665)</f>
        <v/>
      </c>
      <c r="L665" s="37">
        <f>SUM(F$5:F665)/SUM(E$5:E665)</f>
        <v/>
      </c>
    </row>
    <row r="666">
      <c r="A666" s="29" t="n">
        <v>45735</v>
      </c>
      <c r="B666" s="37" t="inlineStr">
        <is>
          <t>JOB-1662</t>
        </is>
      </c>
      <c r="C666" s="34" t="n">
        <v>1</v>
      </c>
      <c r="D666" s="37" t="inlineStr">
        <is>
          <t>Tech G</t>
        </is>
      </c>
      <c r="E666" s="35" t="n">
        <v>3.2</v>
      </c>
      <c r="F666" s="35" t="n">
        <v>2.4</v>
      </c>
      <c r="G666" s="37" t="inlineStr">
        <is>
          <t>N</t>
        </is>
      </c>
      <c r="H666" s="37" t="inlineStr">
        <is>
          <t>N</t>
        </is>
      </c>
      <c r="I666" s="37">
        <f>COUNTIF(G$5:G666,"Y")/COUNTA(G$5:G666)</f>
        <v/>
      </c>
      <c r="J666" s="37">
        <f>COUNTIF(H$5:H666,"Y")/COUNTA(H$5:H666)</f>
        <v/>
      </c>
      <c r="K666" s="37">
        <f>AVERAGE(F$5:F666)</f>
        <v/>
      </c>
      <c r="L666" s="37">
        <f>SUM(F$5:F666)/SUM(E$5:E666)</f>
        <v/>
      </c>
    </row>
    <row r="667">
      <c r="A667" s="29" t="n">
        <v>45736</v>
      </c>
      <c r="B667" s="37" t="inlineStr">
        <is>
          <t>JOB-1663</t>
        </is>
      </c>
      <c r="C667" s="34" t="n">
        <v>1</v>
      </c>
      <c r="D667" s="37" t="inlineStr">
        <is>
          <t>Tech A</t>
        </is>
      </c>
      <c r="E667" s="35" t="n">
        <v>4.2</v>
      </c>
      <c r="F667" s="35" t="n">
        <v>3.7</v>
      </c>
      <c r="G667" s="37" t="inlineStr">
        <is>
          <t>Y</t>
        </is>
      </c>
      <c r="H667" s="37" t="inlineStr">
        <is>
          <t>N</t>
        </is>
      </c>
      <c r="I667" s="37">
        <f>COUNTIF(G$5:G667,"Y")/COUNTA(G$5:G667)</f>
        <v/>
      </c>
      <c r="J667" s="37">
        <f>COUNTIF(H$5:H667,"Y")/COUNTA(H$5:H667)</f>
        <v/>
      </c>
      <c r="K667" s="37">
        <f>AVERAGE(F$5:F667)</f>
        <v/>
      </c>
      <c r="L667" s="37">
        <f>SUM(F$5:F667)/SUM(E$5:E667)</f>
        <v/>
      </c>
    </row>
    <row r="668">
      <c r="A668" s="29" t="n">
        <v>45737</v>
      </c>
      <c r="B668" s="37" t="inlineStr">
        <is>
          <t>JOB-1664</t>
        </is>
      </c>
      <c r="C668" s="34" t="n">
        <v>1</v>
      </c>
      <c r="D668" s="37" t="inlineStr">
        <is>
          <t>Tech B</t>
        </is>
      </c>
      <c r="E668" s="35" t="n">
        <v>2.1</v>
      </c>
      <c r="F668" s="35" t="n">
        <v>1.5</v>
      </c>
      <c r="G668" s="37" t="inlineStr">
        <is>
          <t>Y</t>
        </is>
      </c>
      <c r="H668" s="37" t="inlineStr">
        <is>
          <t>N</t>
        </is>
      </c>
      <c r="I668" s="37">
        <f>COUNTIF(G$5:G668,"Y")/COUNTA(G$5:G668)</f>
        <v/>
      </c>
      <c r="J668" s="37">
        <f>COUNTIF(H$5:H668,"Y")/COUNTA(H$5:H668)</f>
        <v/>
      </c>
      <c r="K668" s="37">
        <f>AVERAGE(F$5:F668)</f>
        <v/>
      </c>
      <c r="L668" s="37">
        <f>SUM(F$5:F668)/SUM(E$5:E668)</f>
        <v/>
      </c>
    </row>
    <row r="669">
      <c r="A669" s="29" t="n">
        <v>45733</v>
      </c>
      <c r="B669" s="37" t="inlineStr">
        <is>
          <t>JOB-1665</t>
        </is>
      </c>
      <c r="C669" s="34" t="n">
        <v>1</v>
      </c>
      <c r="D669" s="37" t="inlineStr">
        <is>
          <t>Tech A</t>
        </is>
      </c>
      <c r="E669" s="35" t="n">
        <v>3.6</v>
      </c>
      <c r="F669" s="35" t="n">
        <v>2.9</v>
      </c>
      <c r="G669" s="37" t="inlineStr">
        <is>
          <t>Y</t>
        </is>
      </c>
      <c r="H669" s="37" t="inlineStr">
        <is>
          <t>N</t>
        </is>
      </c>
      <c r="I669" s="37">
        <f>COUNTIF(G$5:G669,"Y")/COUNTA(G$5:G669)</f>
        <v/>
      </c>
      <c r="J669" s="37">
        <f>COUNTIF(H$5:H669,"Y")/COUNTA(H$5:H669)</f>
        <v/>
      </c>
      <c r="K669" s="37">
        <f>AVERAGE(F$5:F669)</f>
        <v/>
      </c>
      <c r="L669" s="37">
        <f>SUM(F$5:F669)/SUM(E$5:E669)</f>
        <v/>
      </c>
    </row>
    <row r="670">
      <c r="A670" s="29" t="n">
        <v>45734</v>
      </c>
      <c r="B670" s="37" t="inlineStr">
        <is>
          <t>JOB-1666</t>
        </is>
      </c>
      <c r="C670" s="34" t="n">
        <v>1</v>
      </c>
      <c r="D670" s="37" t="inlineStr">
        <is>
          <t>Tech D</t>
        </is>
      </c>
      <c r="E670" s="35" t="n">
        <v>4.8</v>
      </c>
      <c r="F670" s="35" t="n">
        <v>4</v>
      </c>
      <c r="G670" s="37" t="inlineStr">
        <is>
          <t>Y</t>
        </is>
      </c>
      <c r="H670" s="37" t="inlineStr">
        <is>
          <t>N</t>
        </is>
      </c>
      <c r="I670" s="37">
        <f>COUNTIF(G$5:G670,"Y")/COUNTA(G$5:G670)</f>
        <v/>
      </c>
      <c r="J670" s="37">
        <f>COUNTIF(H$5:H670,"Y")/COUNTA(H$5:H670)</f>
        <v/>
      </c>
      <c r="K670" s="37">
        <f>AVERAGE(F$5:F670)</f>
        <v/>
      </c>
      <c r="L670" s="37">
        <f>SUM(F$5:F670)/SUM(E$5:E670)</f>
        <v/>
      </c>
    </row>
    <row r="671">
      <c r="A671" s="29" t="n">
        <v>45735</v>
      </c>
      <c r="B671" s="37" t="inlineStr">
        <is>
          <t>JOB-1667</t>
        </is>
      </c>
      <c r="C671" s="34" t="n">
        <v>1</v>
      </c>
      <c r="D671" s="37" t="inlineStr">
        <is>
          <t>Tech C</t>
        </is>
      </c>
      <c r="E671" s="35" t="n">
        <v>1.9</v>
      </c>
      <c r="F671" s="35" t="n">
        <v>1.6</v>
      </c>
      <c r="G671" s="37" t="inlineStr">
        <is>
          <t>Y</t>
        </is>
      </c>
      <c r="H671" s="37" t="inlineStr">
        <is>
          <t>N</t>
        </is>
      </c>
      <c r="I671" s="37">
        <f>COUNTIF(G$5:G671,"Y")/COUNTA(G$5:G671)</f>
        <v/>
      </c>
      <c r="J671" s="37">
        <f>COUNTIF(H$5:H671,"Y")/COUNTA(H$5:H671)</f>
        <v/>
      </c>
      <c r="K671" s="37">
        <f>AVERAGE(F$5:F671)</f>
        <v/>
      </c>
      <c r="L671" s="37">
        <f>SUM(F$5:F671)/SUM(E$5:E671)</f>
        <v/>
      </c>
    </row>
    <row r="672">
      <c r="A672" s="29" t="n">
        <v>45736</v>
      </c>
      <c r="B672" s="37" t="inlineStr">
        <is>
          <t>JOB-1668</t>
        </is>
      </c>
      <c r="C672" s="34" t="n">
        <v>1</v>
      </c>
      <c r="D672" s="37" t="inlineStr">
        <is>
          <t>Tech D</t>
        </is>
      </c>
      <c r="E672" s="35" t="n">
        <v>1.8</v>
      </c>
      <c r="F672" s="35" t="n">
        <v>1.4</v>
      </c>
      <c r="G672" s="37" t="inlineStr">
        <is>
          <t>Y</t>
        </is>
      </c>
      <c r="H672" s="37" t="inlineStr">
        <is>
          <t>N</t>
        </is>
      </c>
      <c r="I672" s="37">
        <f>COUNTIF(G$5:G672,"Y")/COUNTA(G$5:G672)</f>
        <v/>
      </c>
      <c r="J672" s="37">
        <f>COUNTIF(H$5:H672,"Y")/COUNTA(H$5:H672)</f>
        <v/>
      </c>
      <c r="K672" s="37">
        <f>AVERAGE(F$5:F672)</f>
        <v/>
      </c>
      <c r="L672" s="37">
        <f>SUM(F$5:F672)/SUM(E$5:E672)</f>
        <v/>
      </c>
    </row>
    <row r="673">
      <c r="A673" s="29" t="n">
        <v>45737</v>
      </c>
      <c r="B673" s="37" t="inlineStr">
        <is>
          <t>JOB-1669</t>
        </is>
      </c>
      <c r="C673" s="34" t="n">
        <v>1</v>
      </c>
      <c r="D673" s="37" t="inlineStr">
        <is>
          <t>Tech B</t>
        </is>
      </c>
      <c r="E673" s="35" t="n">
        <v>3.8</v>
      </c>
      <c r="F673" s="35" t="n">
        <v>2.9</v>
      </c>
      <c r="G673" s="37" t="inlineStr">
        <is>
          <t>Y</t>
        </is>
      </c>
      <c r="H673" s="37" t="inlineStr">
        <is>
          <t>N</t>
        </is>
      </c>
      <c r="I673" s="37">
        <f>COUNTIF(G$5:G673,"Y")/COUNTA(G$5:G673)</f>
        <v/>
      </c>
      <c r="J673" s="37">
        <f>COUNTIF(H$5:H673,"Y")/COUNTA(H$5:H673)</f>
        <v/>
      </c>
      <c r="K673" s="37">
        <f>AVERAGE(F$5:F673)</f>
        <v/>
      </c>
      <c r="L673" s="37">
        <f>SUM(F$5:F673)/SUM(E$5:E673)</f>
        <v/>
      </c>
    </row>
    <row r="674">
      <c r="A674" s="29" t="n">
        <v>45733</v>
      </c>
      <c r="B674" s="37" t="inlineStr">
        <is>
          <t>JOB-1670</t>
        </is>
      </c>
      <c r="C674" s="34" t="n">
        <v>1</v>
      </c>
      <c r="D674" s="37" t="inlineStr">
        <is>
          <t>Tech B</t>
        </is>
      </c>
      <c r="E674" s="35" t="n">
        <v>4.7</v>
      </c>
      <c r="F674" s="35" t="n">
        <v>3.5</v>
      </c>
      <c r="G674" s="37" t="inlineStr">
        <is>
          <t>N</t>
        </is>
      </c>
      <c r="H674" s="37" t="inlineStr">
        <is>
          <t>N</t>
        </is>
      </c>
      <c r="I674" s="37">
        <f>COUNTIF(G$5:G674,"Y")/COUNTA(G$5:G674)</f>
        <v/>
      </c>
      <c r="J674" s="37">
        <f>COUNTIF(H$5:H674,"Y")/COUNTA(H$5:H674)</f>
        <v/>
      </c>
      <c r="K674" s="37">
        <f>AVERAGE(F$5:F674)</f>
        <v/>
      </c>
      <c r="L674" s="37">
        <f>SUM(F$5:F674)/SUM(E$5:E674)</f>
        <v/>
      </c>
    </row>
    <row r="675">
      <c r="A675" s="29" t="n">
        <v>45734</v>
      </c>
      <c r="B675" s="37" t="inlineStr">
        <is>
          <t>JOB-1671</t>
        </is>
      </c>
      <c r="C675" s="34" t="n">
        <v>1</v>
      </c>
      <c r="D675" s="37" t="inlineStr">
        <is>
          <t>Tech G</t>
        </is>
      </c>
      <c r="E675" s="35" t="n">
        <v>2.6</v>
      </c>
      <c r="F675" s="35" t="n">
        <v>1.9</v>
      </c>
      <c r="G675" s="37" t="inlineStr">
        <is>
          <t>N</t>
        </is>
      </c>
      <c r="H675" s="37" t="inlineStr">
        <is>
          <t>N</t>
        </is>
      </c>
      <c r="I675" s="37">
        <f>COUNTIF(G$5:G675,"Y")/COUNTA(G$5:G675)</f>
        <v/>
      </c>
      <c r="J675" s="37">
        <f>COUNTIF(H$5:H675,"Y")/COUNTA(H$5:H675)</f>
        <v/>
      </c>
      <c r="K675" s="37">
        <f>AVERAGE(F$5:F675)</f>
        <v/>
      </c>
      <c r="L675" s="37">
        <f>SUM(F$5:F675)/SUM(E$5:E675)</f>
        <v/>
      </c>
    </row>
    <row r="676">
      <c r="A676" s="29" t="n">
        <v>45735</v>
      </c>
      <c r="B676" s="37" t="inlineStr">
        <is>
          <t>JOB-1672</t>
        </is>
      </c>
      <c r="C676" s="34" t="n">
        <v>1</v>
      </c>
      <c r="D676" s="37" t="inlineStr">
        <is>
          <t>Tech A</t>
        </is>
      </c>
      <c r="E676" s="35" t="n">
        <v>0.6</v>
      </c>
      <c r="F676" s="35" t="n">
        <v>0.5</v>
      </c>
      <c r="G676" s="37" t="inlineStr">
        <is>
          <t>Y</t>
        </is>
      </c>
      <c r="H676" s="37" t="inlineStr">
        <is>
          <t>N</t>
        </is>
      </c>
      <c r="I676" s="37">
        <f>COUNTIF(G$5:G676,"Y")/COUNTA(G$5:G676)</f>
        <v/>
      </c>
      <c r="J676" s="37">
        <f>COUNTIF(H$5:H676,"Y")/COUNTA(H$5:H676)</f>
        <v/>
      </c>
      <c r="K676" s="37">
        <f>AVERAGE(F$5:F676)</f>
        <v/>
      </c>
      <c r="L676" s="37">
        <f>SUM(F$5:F676)/SUM(E$5:E676)</f>
        <v/>
      </c>
    </row>
    <row r="677">
      <c r="A677" s="29" t="n">
        <v>45736</v>
      </c>
      <c r="B677" s="37" t="inlineStr">
        <is>
          <t>JOB-1673</t>
        </is>
      </c>
      <c r="C677" s="34" t="n">
        <v>1</v>
      </c>
      <c r="D677" s="37" t="inlineStr">
        <is>
          <t>Tech F</t>
        </is>
      </c>
      <c r="E677" s="35" t="n">
        <v>0.7</v>
      </c>
      <c r="F677" s="35" t="n">
        <v>0.5</v>
      </c>
      <c r="G677" s="37" t="inlineStr">
        <is>
          <t>Y</t>
        </is>
      </c>
      <c r="H677" s="37" t="inlineStr">
        <is>
          <t>N</t>
        </is>
      </c>
      <c r="I677" s="37">
        <f>COUNTIF(G$5:G677,"Y")/COUNTA(G$5:G677)</f>
        <v/>
      </c>
      <c r="J677" s="37">
        <f>COUNTIF(H$5:H677,"Y")/COUNTA(H$5:H677)</f>
        <v/>
      </c>
      <c r="K677" s="37">
        <f>AVERAGE(F$5:F677)</f>
        <v/>
      </c>
      <c r="L677" s="37">
        <f>SUM(F$5:F677)/SUM(E$5:E677)</f>
        <v/>
      </c>
    </row>
    <row r="678">
      <c r="A678" s="29" t="n">
        <v>45737</v>
      </c>
      <c r="B678" s="37" t="inlineStr">
        <is>
          <t>JOB-1674</t>
        </is>
      </c>
      <c r="C678" s="34" t="n">
        <v>1</v>
      </c>
      <c r="D678" s="37" t="inlineStr">
        <is>
          <t>Tech G</t>
        </is>
      </c>
      <c r="E678" s="35" t="n">
        <v>0.6</v>
      </c>
      <c r="F678" s="35" t="n">
        <v>0.5</v>
      </c>
      <c r="G678" s="37" t="inlineStr">
        <is>
          <t>Y</t>
        </is>
      </c>
      <c r="H678" s="37" t="inlineStr">
        <is>
          <t>N</t>
        </is>
      </c>
      <c r="I678" s="37">
        <f>COUNTIF(G$5:G678,"Y")/COUNTA(G$5:G678)</f>
        <v/>
      </c>
      <c r="J678" s="37">
        <f>COUNTIF(H$5:H678,"Y")/COUNTA(H$5:H678)</f>
        <v/>
      </c>
      <c r="K678" s="37">
        <f>AVERAGE(F$5:F678)</f>
        <v/>
      </c>
      <c r="L678" s="37">
        <f>SUM(F$5:F678)/SUM(E$5:E678)</f>
        <v/>
      </c>
    </row>
    <row r="679">
      <c r="A679" s="29" t="n">
        <v>45733</v>
      </c>
      <c r="B679" s="37" t="inlineStr">
        <is>
          <t>JOB-1675</t>
        </is>
      </c>
      <c r="C679" s="34" t="n">
        <v>1</v>
      </c>
      <c r="D679" s="37" t="inlineStr">
        <is>
          <t>Tech H</t>
        </is>
      </c>
      <c r="E679" s="35" t="n">
        <v>3.1</v>
      </c>
      <c r="F679" s="35" t="n">
        <v>0.5</v>
      </c>
      <c r="G679" s="37" t="inlineStr">
        <is>
          <t>Y</t>
        </is>
      </c>
      <c r="H679" s="37" t="inlineStr">
        <is>
          <t>N</t>
        </is>
      </c>
      <c r="I679" s="37">
        <f>COUNTIF(G$5:G679,"Y")/COUNTA(G$5:G679)</f>
        <v/>
      </c>
      <c r="J679" s="37">
        <f>COUNTIF(H$5:H679,"Y")/COUNTA(H$5:H679)</f>
        <v/>
      </c>
      <c r="K679" s="37">
        <f>AVERAGE(F$5:F679)</f>
        <v/>
      </c>
      <c r="L679" s="37">
        <f>SUM(F$5:F679)/SUM(E$5:E679)</f>
        <v/>
      </c>
      <c r="M679" s="37" t="n">
        <v>9</v>
      </c>
    </row>
    <row r="680">
      <c r="A680" s="29" t="n">
        <v>45740</v>
      </c>
      <c r="B680" s="37" t="inlineStr">
        <is>
          <t>JOB-1676</t>
        </is>
      </c>
      <c r="C680" s="34" t="n">
        <v>1</v>
      </c>
      <c r="D680" s="37" t="inlineStr">
        <is>
          <t>Tech C</t>
        </is>
      </c>
      <c r="E680" s="35" t="n">
        <v>4</v>
      </c>
      <c r="F680" s="35" t="n">
        <v>3.2</v>
      </c>
      <c r="G680" s="37" t="inlineStr">
        <is>
          <t>Y</t>
        </is>
      </c>
      <c r="H680" s="37" t="inlineStr">
        <is>
          <t>N</t>
        </is>
      </c>
      <c r="I680" s="37">
        <f>COUNTIF(G$5:G680,"Y")/COUNTA(G$5:G680)</f>
        <v/>
      </c>
      <c r="J680" s="37">
        <f>COUNTIF(H$5:H680,"Y")/COUNTA(H$5:H680)</f>
        <v/>
      </c>
      <c r="K680" s="37">
        <f>AVERAGE(F$5:F680)</f>
        <v/>
      </c>
      <c r="L680" s="37">
        <f>SUM(F$5:F680)/SUM(E$5:E680)</f>
        <v/>
      </c>
    </row>
    <row r="681">
      <c r="A681" s="29" t="n">
        <v>45741</v>
      </c>
      <c r="B681" s="37" t="inlineStr">
        <is>
          <t>JOB-1677</t>
        </is>
      </c>
      <c r="C681" s="34" t="n">
        <v>1</v>
      </c>
      <c r="D681" s="37" t="inlineStr">
        <is>
          <t>Tech D</t>
        </is>
      </c>
      <c r="E681" s="35" t="n">
        <v>2.5</v>
      </c>
      <c r="F681" s="35" t="n">
        <v>2</v>
      </c>
      <c r="G681" s="37" t="inlineStr">
        <is>
          <t>Y</t>
        </is>
      </c>
      <c r="H681" s="37" t="inlineStr">
        <is>
          <t>N</t>
        </is>
      </c>
      <c r="I681" s="37">
        <f>COUNTIF(G$5:G681,"Y")/COUNTA(G$5:G681)</f>
        <v/>
      </c>
      <c r="J681" s="37">
        <f>COUNTIF(H$5:H681,"Y")/COUNTA(H$5:H681)</f>
        <v/>
      </c>
      <c r="K681" s="37">
        <f>AVERAGE(F$5:F681)</f>
        <v/>
      </c>
      <c r="L681" s="37">
        <f>SUM(F$5:F681)/SUM(E$5:E681)</f>
        <v/>
      </c>
    </row>
    <row r="682">
      <c r="A682" s="29" t="n">
        <v>45742</v>
      </c>
      <c r="B682" s="37" t="inlineStr">
        <is>
          <t>JOB-1678</t>
        </is>
      </c>
      <c r="C682" s="34" t="n">
        <v>1</v>
      </c>
      <c r="D682" s="37" t="inlineStr">
        <is>
          <t>Tech B</t>
        </is>
      </c>
      <c r="E682" s="35" t="n">
        <v>3.9</v>
      </c>
      <c r="F682" s="35" t="n">
        <v>3.2</v>
      </c>
      <c r="G682" s="37" t="inlineStr">
        <is>
          <t>Y</t>
        </is>
      </c>
      <c r="H682" s="37" t="inlineStr">
        <is>
          <t>N</t>
        </is>
      </c>
      <c r="I682" s="37">
        <f>COUNTIF(G$5:G682,"Y")/COUNTA(G$5:G682)</f>
        <v/>
      </c>
      <c r="J682" s="37">
        <f>COUNTIF(H$5:H682,"Y")/COUNTA(H$5:H682)</f>
        <v/>
      </c>
      <c r="K682" s="37">
        <f>AVERAGE(F$5:F682)</f>
        <v/>
      </c>
      <c r="L682" s="37">
        <f>SUM(F$5:F682)/SUM(E$5:E682)</f>
        <v/>
      </c>
    </row>
    <row r="683">
      <c r="A683" s="29" t="n">
        <v>45743</v>
      </c>
      <c r="B683" s="37" t="inlineStr">
        <is>
          <t>JOB-1679</t>
        </is>
      </c>
      <c r="C683" s="34" t="n">
        <v>1</v>
      </c>
      <c r="D683" s="37" t="inlineStr">
        <is>
          <t>Tech D</t>
        </is>
      </c>
      <c r="E683" s="35" t="n">
        <v>1.6</v>
      </c>
      <c r="F683" s="35" t="n">
        <v>1.3</v>
      </c>
      <c r="G683" s="37" t="inlineStr">
        <is>
          <t>Y</t>
        </is>
      </c>
      <c r="H683" s="37" t="inlineStr">
        <is>
          <t>N</t>
        </is>
      </c>
      <c r="I683" s="37">
        <f>COUNTIF(G$5:G683,"Y")/COUNTA(G$5:G683)</f>
        <v/>
      </c>
      <c r="J683" s="37">
        <f>COUNTIF(H$5:H683,"Y")/COUNTA(H$5:H683)</f>
        <v/>
      </c>
      <c r="K683" s="37">
        <f>AVERAGE(F$5:F683)</f>
        <v/>
      </c>
      <c r="L683" s="37">
        <f>SUM(F$5:F683)/SUM(E$5:E683)</f>
        <v/>
      </c>
    </row>
    <row r="684">
      <c r="A684" s="29" t="n">
        <v>45744</v>
      </c>
      <c r="B684" s="37" t="inlineStr">
        <is>
          <t>JOB-1680</t>
        </is>
      </c>
      <c r="C684" s="34" t="n">
        <v>1</v>
      </c>
      <c r="D684" s="37" t="inlineStr">
        <is>
          <t>Tech B</t>
        </is>
      </c>
      <c r="E684" s="35" t="n">
        <v>3.6</v>
      </c>
      <c r="F684" s="35" t="n">
        <v>2.5</v>
      </c>
      <c r="G684" s="37" t="inlineStr">
        <is>
          <t>Y</t>
        </is>
      </c>
      <c r="H684" s="37" t="inlineStr">
        <is>
          <t>N</t>
        </is>
      </c>
      <c r="I684" s="37">
        <f>COUNTIF(G$5:G684,"Y")/COUNTA(G$5:G684)</f>
        <v/>
      </c>
      <c r="J684" s="37">
        <f>COUNTIF(H$5:H684,"Y")/COUNTA(H$5:H684)</f>
        <v/>
      </c>
      <c r="K684" s="37">
        <f>AVERAGE(F$5:F684)</f>
        <v/>
      </c>
      <c r="L684" s="37">
        <f>SUM(F$5:F684)/SUM(E$5:E684)</f>
        <v/>
      </c>
    </row>
    <row r="685">
      <c r="A685" s="29" t="n">
        <v>45740</v>
      </c>
      <c r="B685" s="37" t="inlineStr">
        <is>
          <t>JOB-1681</t>
        </is>
      </c>
      <c r="C685" s="34" t="n">
        <v>1</v>
      </c>
      <c r="D685" s="37" t="inlineStr">
        <is>
          <t>Tech H</t>
        </is>
      </c>
      <c r="E685" s="35" t="n">
        <v>2.3</v>
      </c>
      <c r="F685" s="35" t="n">
        <v>1.6</v>
      </c>
      <c r="G685" s="37" t="inlineStr">
        <is>
          <t>Y</t>
        </is>
      </c>
      <c r="H685" s="37" t="inlineStr">
        <is>
          <t>N</t>
        </is>
      </c>
      <c r="I685" s="37">
        <f>COUNTIF(G$5:G685,"Y")/COUNTA(G$5:G685)</f>
        <v/>
      </c>
      <c r="J685" s="37">
        <f>COUNTIF(H$5:H685,"Y")/COUNTA(H$5:H685)</f>
        <v/>
      </c>
      <c r="K685" s="37">
        <f>AVERAGE(F$5:F685)</f>
        <v/>
      </c>
      <c r="L685" s="37">
        <f>SUM(F$5:F685)/SUM(E$5:E685)</f>
        <v/>
      </c>
    </row>
    <row r="686">
      <c r="A686" s="29" t="n">
        <v>45741</v>
      </c>
      <c r="B686" s="37" t="inlineStr">
        <is>
          <t>JOB-1682</t>
        </is>
      </c>
      <c r="C686" s="34" t="n">
        <v>1</v>
      </c>
      <c r="D686" s="37" t="inlineStr">
        <is>
          <t>Tech G</t>
        </is>
      </c>
      <c r="E686" s="35" t="n">
        <v>5.7</v>
      </c>
      <c r="F686" s="35" t="n">
        <v>3.9</v>
      </c>
      <c r="G686" s="37" t="inlineStr">
        <is>
          <t>Y</t>
        </is>
      </c>
      <c r="H686" s="37" t="inlineStr">
        <is>
          <t>N</t>
        </is>
      </c>
      <c r="I686" s="37">
        <f>COUNTIF(G$5:G686,"Y")/COUNTA(G$5:G686)</f>
        <v/>
      </c>
      <c r="J686" s="37">
        <f>COUNTIF(H$5:H686,"Y")/COUNTA(H$5:H686)</f>
        <v/>
      </c>
      <c r="K686" s="37">
        <f>AVERAGE(F$5:F686)</f>
        <v/>
      </c>
      <c r="L686" s="37">
        <f>SUM(F$5:F686)/SUM(E$5:E686)</f>
        <v/>
      </c>
    </row>
    <row r="687">
      <c r="A687" s="29" t="n">
        <v>45742</v>
      </c>
      <c r="B687" s="37" t="inlineStr">
        <is>
          <t>JOB-1683</t>
        </is>
      </c>
      <c r="C687" s="34" t="n">
        <v>1</v>
      </c>
      <c r="D687" s="37" t="inlineStr">
        <is>
          <t>Tech F</t>
        </is>
      </c>
      <c r="E687" s="35" t="n">
        <v>1.7</v>
      </c>
      <c r="F687" s="35" t="n">
        <v>1.3</v>
      </c>
      <c r="G687" s="37" t="inlineStr">
        <is>
          <t>Y</t>
        </is>
      </c>
      <c r="H687" s="37" t="inlineStr">
        <is>
          <t>N</t>
        </is>
      </c>
      <c r="I687" s="37">
        <f>COUNTIF(G$5:G687,"Y")/COUNTA(G$5:G687)</f>
        <v/>
      </c>
      <c r="J687" s="37">
        <f>COUNTIF(H$5:H687,"Y")/COUNTA(H$5:H687)</f>
        <v/>
      </c>
      <c r="K687" s="37">
        <f>AVERAGE(F$5:F687)</f>
        <v/>
      </c>
      <c r="L687" s="37">
        <f>SUM(F$5:F687)/SUM(E$5:E687)</f>
        <v/>
      </c>
    </row>
    <row r="688">
      <c r="A688" s="29" t="n">
        <v>45743</v>
      </c>
      <c r="B688" s="37" t="inlineStr">
        <is>
          <t>JOB-1684</t>
        </is>
      </c>
      <c r="C688" s="34" t="n">
        <v>1</v>
      </c>
      <c r="D688" s="37" t="inlineStr">
        <is>
          <t>Tech B</t>
        </is>
      </c>
      <c r="E688" s="35" t="n">
        <v>2.7</v>
      </c>
      <c r="F688" s="35" t="n">
        <v>1.9</v>
      </c>
      <c r="G688" s="37" t="inlineStr">
        <is>
          <t>N</t>
        </is>
      </c>
      <c r="H688" s="37" t="inlineStr">
        <is>
          <t>N</t>
        </is>
      </c>
      <c r="I688" s="37">
        <f>COUNTIF(G$5:G688,"Y")/COUNTA(G$5:G688)</f>
        <v/>
      </c>
      <c r="J688" s="37">
        <f>COUNTIF(H$5:H688,"Y")/COUNTA(H$5:H688)</f>
        <v/>
      </c>
      <c r="K688" s="37">
        <f>AVERAGE(F$5:F688)</f>
        <v/>
      </c>
      <c r="L688" s="37">
        <f>SUM(F$5:F688)/SUM(E$5:E688)</f>
        <v/>
      </c>
    </row>
    <row r="689">
      <c r="A689" s="29" t="n">
        <v>45744</v>
      </c>
      <c r="B689" s="37" t="inlineStr">
        <is>
          <t>JOB-1685</t>
        </is>
      </c>
      <c r="C689" s="34" t="n">
        <v>1</v>
      </c>
      <c r="D689" s="37" t="inlineStr">
        <is>
          <t>Tech H</t>
        </is>
      </c>
      <c r="E689" s="35" t="n">
        <v>2.6</v>
      </c>
      <c r="F689" s="35" t="n">
        <v>2</v>
      </c>
      <c r="G689" s="37" t="inlineStr">
        <is>
          <t>Y</t>
        </is>
      </c>
      <c r="H689" s="37" t="inlineStr">
        <is>
          <t>N</t>
        </is>
      </c>
      <c r="I689" s="37">
        <f>COUNTIF(G$5:G689,"Y")/COUNTA(G$5:G689)</f>
        <v/>
      </c>
      <c r="J689" s="37">
        <f>COUNTIF(H$5:H689,"Y")/COUNTA(H$5:H689)</f>
        <v/>
      </c>
      <c r="K689" s="37">
        <f>AVERAGE(F$5:F689)</f>
        <v/>
      </c>
      <c r="L689" s="37">
        <f>SUM(F$5:F689)/SUM(E$5:E689)</f>
        <v/>
      </c>
    </row>
    <row r="690">
      <c r="A690" s="29" t="n">
        <v>45740</v>
      </c>
      <c r="B690" s="37" t="inlineStr">
        <is>
          <t>JOB-1686</t>
        </is>
      </c>
      <c r="C690" s="34" t="n">
        <v>1</v>
      </c>
      <c r="D690" s="37" t="inlineStr">
        <is>
          <t>Tech G</t>
        </is>
      </c>
      <c r="E690" s="35" t="n">
        <v>1.3</v>
      </c>
      <c r="F690" s="35" t="n">
        <v>1.1</v>
      </c>
      <c r="G690" s="37" t="inlineStr">
        <is>
          <t>Y</t>
        </is>
      </c>
      <c r="H690" s="37" t="inlineStr">
        <is>
          <t>N</t>
        </is>
      </c>
      <c r="I690" s="37">
        <f>COUNTIF(G$5:G690,"Y")/COUNTA(G$5:G690)</f>
        <v/>
      </c>
      <c r="J690" s="37">
        <f>COUNTIF(H$5:H690,"Y")/COUNTA(H$5:H690)</f>
        <v/>
      </c>
      <c r="K690" s="37">
        <f>AVERAGE(F$5:F690)</f>
        <v/>
      </c>
      <c r="L690" s="37">
        <f>SUM(F$5:F690)/SUM(E$5:E690)</f>
        <v/>
      </c>
    </row>
    <row r="691">
      <c r="A691" s="29" t="n">
        <v>45741</v>
      </c>
      <c r="B691" s="37" t="inlineStr">
        <is>
          <t>JOB-1687</t>
        </is>
      </c>
      <c r="C691" s="34" t="n">
        <v>1</v>
      </c>
      <c r="D691" s="37" t="inlineStr">
        <is>
          <t>Tech F</t>
        </is>
      </c>
      <c r="E691" s="35" t="n">
        <v>3.3</v>
      </c>
      <c r="F691" s="35" t="n">
        <v>2.7</v>
      </c>
      <c r="G691" s="37" t="inlineStr">
        <is>
          <t>N</t>
        </is>
      </c>
      <c r="H691" s="37" t="inlineStr">
        <is>
          <t>N</t>
        </is>
      </c>
      <c r="I691" s="37">
        <f>COUNTIF(G$5:G691,"Y")/COUNTA(G$5:G691)</f>
        <v/>
      </c>
      <c r="J691" s="37">
        <f>COUNTIF(H$5:H691,"Y")/COUNTA(H$5:H691)</f>
        <v/>
      </c>
      <c r="K691" s="37">
        <f>AVERAGE(F$5:F691)</f>
        <v/>
      </c>
      <c r="L691" s="37">
        <f>SUM(F$5:F691)/SUM(E$5:E691)</f>
        <v/>
      </c>
    </row>
    <row r="692">
      <c r="A692" s="29" t="n">
        <v>45742</v>
      </c>
      <c r="B692" s="37" t="inlineStr">
        <is>
          <t>JOB-1688</t>
        </is>
      </c>
      <c r="C692" s="34" t="n">
        <v>1</v>
      </c>
      <c r="D692" s="37" t="inlineStr">
        <is>
          <t>Tech G</t>
        </is>
      </c>
      <c r="E692" s="35" t="n">
        <v>3.7</v>
      </c>
      <c r="F692" s="35" t="n">
        <v>2.9</v>
      </c>
      <c r="G692" s="37" t="inlineStr">
        <is>
          <t>Y</t>
        </is>
      </c>
      <c r="H692" s="37" t="inlineStr">
        <is>
          <t>N</t>
        </is>
      </c>
      <c r="I692" s="37">
        <f>COUNTIF(G$5:G692,"Y")/COUNTA(G$5:G692)</f>
        <v/>
      </c>
      <c r="J692" s="37">
        <f>COUNTIF(H$5:H692,"Y")/COUNTA(H$5:H692)</f>
        <v/>
      </c>
      <c r="K692" s="37">
        <f>AVERAGE(F$5:F692)</f>
        <v/>
      </c>
      <c r="L692" s="37">
        <f>SUM(F$5:F692)/SUM(E$5:E692)</f>
        <v/>
      </c>
    </row>
    <row r="693">
      <c r="A693" s="29" t="n">
        <v>45743</v>
      </c>
      <c r="B693" s="37" t="inlineStr">
        <is>
          <t>JOB-1689</t>
        </is>
      </c>
      <c r="C693" s="34" t="n">
        <v>1</v>
      </c>
      <c r="D693" s="37" t="inlineStr">
        <is>
          <t>Tech A</t>
        </is>
      </c>
      <c r="E693" s="35" t="n">
        <v>3.6</v>
      </c>
      <c r="F693" s="35" t="n">
        <v>2.8</v>
      </c>
      <c r="G693" s="37" t="inlineStr">
        <is>
          <t>Y</t>
        </is>
      </c>
      <c r="H693" s="37" t="inlineStr">
        <is>
          <t>N</t>
        </is>
      </c>
      <c r="I693" s="37">
        <f>COUNTIF(G$5:G693,"Y")/COUNTA(G$5:G693)</f>
        <v/>
      </c>
      <c r="J693" s="37">
        <f>COUNTIF(H$5:H693,"Y")/COUNTA(H$5:H693)</f>
        <v/>
      </c>
      <c r="K693" s="37">
        <f>AVERAGE(F$5:F693)</f>
        <v/>
      </c>
      <c r="L693" s="37">
        <f>SUM(F$5:F693)/SUM(E$5:E693)</f>
        <v/>
      </c>
    </row>
    <row r="694">
      <c r="A694" s="29" t="n">
        <v>45744</v>
      </c>
      <c r="B694" s="37" t="inlineStr">
        <is>
          <t>JOB-1690</t>
        </is>
      </c>
      <c r="C694" s="34" t="n">
        <v>1</v>
      </c>
      <c r="D694" s="37" t="inlineStr">
        <is>
          <t>Tech D</t>
        </is>
      </c>
      <c r="E694" s="35" t="n">
        <v>3.9</v>
      </c>
      <c r="F694" s="35" t="n">
        <v>3.3</v>
      </c>
      <c r="G694" s="37" t="inlineStr">
        <is>
          <t>Y</t>
        </is>
      </c>
      <c r="H694" s="37" t="inlineStr">
        <is>
          <t>N</t>
        </is>
      </c>
      <c r="I694" s="37">
        <f>COUNTIF(G$5:G694,"Y")/COUNTA(G$5:G694)</f>
        <v/>
      </c>
      <c r="J694" s="37">
        <f>COUNTIF(H$5:H694,"Y")/COUNTA(H$5:H694)</f>
        <v/>
      </c>
      <c r="K694" s="37">
        <f>AVERAGE(F$5:F694)</f>
        <v/>
      </c>
      <c r="L694" s="37">
        <f>SUM(F$5:F694)/SUM(E$5:E694)</f>
        <v/>
      </c>
    </row>
    <row r="695">
      <c r="A695" s="29" t="n">
        <v>45740</v>
      </c>
      <c r="B695" s="37" t="inlineStr">
        <is>
          <t>JOB-1691</t>
        </is>
      </c>
      <c r="C695" s="34" t="n">
        <v>1</v>
      </c>
      <c r="D695" s="37" t="inlineStr">
        <is>
          <t>Tech G</t>
        </is>
      </c>
      <c r="E695" s="35" t="n">
        <v>5.2</v>
      </c>
      <c r="F695" s="35" t="n">
        <v>3.7</v>
      </c>
      <c r="G695" s="37" t="inlineStr">
        <is>
          <t>Y</t>
        </is>
      </c>
      <c r="H695" s="37" t="inlineStr">
        <is>
          <t>N</t>
        </is>
      </c>
      <c r="I695" s="37">
        <f>COUNTIF(G$5:G695,"Y")/COUNTA(G$5:G695)</f>
        <v/>
      </c>
      <c r="J695" s="37">
        <f>COUNTIF(H$5:H695,"Y")/COUNTA(H$5:H695)</f>
        <v/>
      </c>
      <c r="K695" s="37">
        <f>AVERAGE(F$5:F695)</f>
        <v/>
      </c>
      <c r="L695" s="37">
        <f>SUM(F$5:F695)/SUM(E$5:E695)</f>
        <v/>
      </c>
    </row>
    <row r="696">
      <c r="A696" s="29" t="n">
        <v>45741</v>
      </c>
      <c r="B696" s="37" t="inlineStr">
        <is>
          <t>JOB-1692</t>
        </is>
      </c>
      <c r="C696" s="34" t="n">
        <v>1</v>
      </c>
      <c r="D696" s="37" t="inlineStr">
        <is>
          <t>Tech H</t>
        </is>
      </c>
      <c r="E696" s="35" t="n">
        <v>2</v>
      </c>
      <c r="F696" s="35" t="n">
        <v>1.8</v>
      </c>
      <c r="G696" s="37" t="inlineStr">
        <is>
          <t>Y</t>
        </is>
      </c>
      <c r="H696" s="37" t="inlineStr">
        <is>
          <t>N</t>
        </is>
      </c>
      <c r="I696" s="37">
        <f>COUNTIF(G$5:G696,"Y")/COUNTA(G$5:G696)</f>
        <v/>
      </c>
      <c r="J696" s="37">
        <f>COUNTIF(H$5:H696,"Y")/COUNTA(H$5:H696)</f>
        <v/>
      </c>
      <c r="K696" s="37">
        <f>AVERAGE(F$5:F696)</f>
        <v/>
      </c>
      <c r="L696" s="37">
        <f>SUM(F$5:F696)/SUM(E$5:E696)</f>
        <v/>
      </c>
    </row>
    <row r="697">
      <c r="A697" s="29" t="n">
        <v>45742</v>
      </c>
      <c r="B697" s="37" t="inlineStr">
        <is>
          <t>JOB-1693</t>
        </is>
      </c>
      <c r="C697" s="34" t="n">
        <v>1</v>
      </c>
      <c r="D697" s="37" t="inlineStr">
        <is>
          <t>Tech C</t>
        </is>
      </c>
      <c r="E697" s="35" t="n">
        <v>2.7</v>
      </c>
      <c r="F697" s="35" t="n">
        <v>2.3</v>
      </c>
      <c r="G697" s="37" t="inlineStr">
        <is>
          <t>Y</t>
        </is>
      </c>
      <c r="H697" s="37" t="inlineStr">
        <is>
          <t>N</t>
        </is>
      </c>
      <c r="I697" s="37">
        <f>COUNTIF(G$5:G697,"Y")/COUNTA(G$5:G697)</f>
        <v/>
      </c>
      <c r="J697" s="37">
        <f>COUNTIF(H$5:H697,"Y")/COUNTA(H$5:H697)</f>
        <v/>
      </c>
      <c r="K697" s="37">
        <f>AVERAGE(F$5:F697)</f>
        <v/>
      </c>
      <c r="L697" s="37">
        <f>SUM(F$5:F697)/SUM(E$5:E697)</f>
        <v/>
      </c>
    </row>
    <row r="698">
      <c r="A698" s="29" t="n">
        <v>45743</v>
      </c>
      <c r="B698" s="37" t="inlineStr">
        <is>
          <t>JOB-1694</t>
        </is>
      </c>
      <c r="C698" s="34" t="n">
        <v>1</v>
      </c>
      <c r="D698" s="37" t="inlineStr">
        <is>
          <t>Tech D</t>
        </is>
      </c>
      <c r="E698" s="35" t="n">
        <v>3</v>
      </c>
      <c r="F698" s="35" t="n">
        <v>2.1</v>
      </c>
      <c r="G698" s="37" t="inlineStr">
        <is>
          <t>Y</t>
        </is>
      </c>
      <c r="H698" s="37" t="inlineStr">
        <is>
          <t>N</t>
        </is>
      </c>
      <c r="I698" s="37">
        <f>COUNTIF(G$5:G698,"Y")/COUNTA(G$5:G698)</f>
        <v/>
      </c>
      <c r="J698" s="37">
        <f>COUNTIF(H$5:H698,"Y")/COUNTA(H$5:H698)</f>
        <v/>
      </c>
      <c r="K698" s="37">
        <f>AVERAGE(F$5:F698)</f>
        <v/>
      </c>
      <c r="L698" s="37">
        <f>SUM(F$5:F698)/SUM(E$5:E698)</f>
        <v/>
      </c>
    </row>
    <row r="699">
      <c r="A699" s="29" t="n">
        <v>45744</v>
      </c>
      <c r="B699" s="37" t="inlineStr">
        <is>
          <t>JOB-1695</t>
        </is>
      </c>
      <c r="C699" s="34" t="n">
        <v>1</v>
      </c>
      <c r="D699" s="37" t="inlineStr">
        <is>
          <t>Tech F</t>
        </is>
      </c>
      <c r="E699" s="35" t="n">
        <v>5.3</v>
      </c>
      <c r="F699" s="35" t="n">
        <v>3.6</v>
      </c>
      <c r="G699" s="37" t="inlineStr">
        <is>
          <t>Y</t>
        </is>
      </c>
      <c r="H699" s="37" t="inlineStr">
        <is>
          <t>N</t>
        </is>
      </c>
      <c r="I699" s="37">
        <f>COUNTIF(G$5:G699,"Y")/COUNTA(G$5:G699)</f>
        <v/>
      </c>
      <c r="J699" s="37">
        <f>COUNTIF(H$5:H699,"Y")/COUNTA(H$5:H699)</f>
        <v/>
      </c>
      <c r="K699" s="37">
        <f>AVERAGE(F$5:F699)</f>
        <v/>
      </c>
      <c r="L699" s="37">
        <f>SUM(F$5:F699)/SUM(E$5:E699)</f>
        <v/>
      </c>
    </row>
    <row r="700">
      <c r="A700" s="29" t="n">
        <v>45740</v>
      </c>
      <c r="B700" s="37" t="inlineStr">
        <is>
          <t>JOB-1696</t>
        </is>
      </c>
      <c r="C700" s="34" t="n">
        <v>1</v>
      </c>
      <c r="D700" s="37" t="inlineStr">
        <is>
          <t>Tech G</t>
        </is>
      </c>
      <c r="E700" s="35" t="n">
        <v>1.5</v>
      </c>
      <c r="F700" s="35" t="n">
        <v>1.1</v>
      </c>
      <c r="G700" s="37" t="inlineStr">
        <is>
          <t>Y</t>
        </is>
      </c>
      <c r="H700" s="37" t="inlineStr">
        <is>
          <t>N</t>
        </is>
      </c>
      <c r="I700" s="37">
        <f>COUNTIF(G$5:G700,"Y")/COUNTA(G$5:G700)</f>
        <v/>
      </c>
      <c r="J700" s="37">
        <f>COUNTIF(H$5:H700,"Y")/COUNTA(H$5:H700)</f>
        <v/>
      </c>
      <c r="K700" s="37">
        <f>AVERAGE(F$5:F700)</f>
        <v/>
      </c>
      <c r="L700" s="37">
        <f>SUM(F$5:F700)/SUM(E$5:E700)</f>
        <v/>
      </c>
    </row>
    <row r="701">
      <c r="A701" s="29" t="n">
        <v>45741</v>
      </c>
      <c r="B701" s="37" t="inlineStr">
        <is>
          <t>JOB-1697</t>
        </is>
      </c>
      <c r="C701" s="34" t="n">
        <v>1</v>
      </c>
      <c r="D701" s="37" t="inlineStr">
        <is>
          <t>Tech D</t>
        </is>
      </c>
      <c r="E701" s="35" t="n">
        <v>4.8</v>
      </c>
      <c r="F701" s="35" t="n">
        <v>3.5</v>
      </c>
      <c r="G701" s="37" t="inlineStr">
        <is>
          <t>Y</t>
        </is>
      </c>
      <c r="H701" s="37" t="inlineStr">
        <is>
          <t>Y</t>
        </is>
      </c>
      <c r="I701" s="37">
        <f>COUNTIF(G$5:G701,"Y")/COUNTA(G$5:G701)</f>
        <v/>
      </c>
      <c r="J701" s="37">
        <f>COUNTIF(H$5:H701,"Y")/COUNTA(H$5:H701)</f>
        <v/>
      </c>
      <c r="K701" s="37">
        <f>AVERAGE(F$5:F701)</f>
        <v/>
      </c>
      <c r="L701" s="37">
        <f>SUM(F$5:F701)/SUM(E$5:E701)</f>
        <v/>
      </c>
    </row>
    <row r="702">
      <c r="A702" s="29" t="n">
        <v>45742</v>
      </c>
      <c r="B702" s="37" t="inlineStr">
        <is>
          <t>JOB-1698</t>
        </is>
      </c>
      <c r="C702" s="34" t="n">
        <v>1</v>
      </c>
      <c r="D702" s="37" t="inlineStr">
        <is>
          <t>Tech C</t>
        </is>
      </c>
      <c r="E702" s="35" t="n">
        <v>1.8</v>
      </c>
      <c r="F702" s="35" t="n">
        <v>1.4</v>
      </c>
      <c r="G702" s="37" t="inlineStr">
        <is>
          <t>Y</t>
        </is>
      </c>
      <c r="H702" s="37" t="inlineStr">
        <is>
          <t>N</t>
        </is>
      </c>
      <c r="I702" s="37">
        <f>COUNTIF(G$5:G702,"Y")/COUNTA(G$5:G702)</f>
        <v/>
      </c>
      <c r="J702" s="37">
        <f>COUNTIF(H$5:H702,"Y")/COUNTA(H$5:H702)</f>
        <v/>
      </c>
      <c r="K702" s="37">
        <f>AVERAGE(F$5:F702)</f>
        <v/>
      </c>
      <c r="L702" s="37">
        <f>SUM(F$5:F702)/SUM(E$5:E702)</f>
        <v/>
      </c>
    </row>
    <row r="703">
      <c r="A703" s="29" t="n">
        <v>45743</v>
      </c>
      <c r="B703" s="37" t="inlineStr">
        <is>
          <t>JOB-1699</t>
        </is>
      </c>
      <c r="C703" s="34" t="n">
        <v>1</v>
      </c>
      <c r="D703" s="37" t="inlineStr">
        <is>
          <t>Tech F</t>
        </is>
      </c>
      <c r="E703" s="35" t="n">
        <v>2.3</v>
      </c>
      <c r="F703" s="35" t="n">
        <v>1.8</v>
      </c>
      <c r="G703" s="37" t="inlineStr">
        <is>
          <t>Y</t>
        </is>
      </c>
      <c r="H703" s="37" t="inlineStr">
        <is>
          <t>N</t>
        </is>
      </c>
      <c r="I703" s="37">
        <f>COUNTIF(G$5:G703,"Y")/COUNTA(G$5:G703)</f>
        <v/>
      </c>
      <c r="J703" s="37">
        <f>COUNTIF(H$5:H703,"Y")/COUNTA(H$5:H703)</f>
        <v/>
      </c>
      <c r="K703" s="37">
        <f>AVERAGE(F$5:F703)</f>
        <v/>
      </c>
      <c r="L703" s="37">
        <f>SUM(F$5:F703)/SUM(E$5:E703)</f>
        <v/>
      </c>
    </row>
    <row r="704">
      <c r="A704" s="29" t="n">
        <v>45744</v>
      </c>
      <c r="B704" s="37" t="inlineStr">
        <is>
          <t>JOB-1700</t>
        </is>
      </c>
      <c r="C704" s="34" t="n">
        <v>1</v>
      </c>
      <c r="D704" s="37" t="inlineStr">
        <is>
          <t>Tech F</t>
        </is>
      </c>
      <c r="E704" s="35" t="n">
        <v>1.9</v>
      </c>
      <c r="F704" s="35" t="n">
        <v>1.3</v>
      </c>
      <c r="G704" s="37" t="inlineStr">
        <is>
          <t>N</t>
        </is>
      </c>
      <c r="H704" s="37" t="inlineStr">
        <is>
          <t>N</t>
        </is>
      </c>
      <c r="I704" s="37">
        <f>COUNTIF(G$5:G704,"Y")/COUNTA(G$5:G704)</f>
        <v/>
      </c>
      <c r="J704" s="37">
        <f>COUNTIF(H$5:H704,"Y")/COUNTA(H$5:H704)</f>
        <v/>
      </c>
      <c r="K704" s="37">
        <f>AVERAGE(F$5:F704)</f>
        <v/>
      </c>
      <c r="L704" s="37">
        <f>SUM(F$5:F704)/SUM(E$5:E704)</f>
        <v/>
      </c>
    </row>
    <row r="705">
      <c r="A705" s="29" t="n">
        <v>45740</v>
      </c>
      <c r="B705" s="37" t="inlineStr">
        <is>
          <t>JOB-1701</t>
        </is>
      </c>
      <c r="C705" s="34" t="n">
        <v>1</v>
      </c>
      <c r="D705" s="37" t="inlineStr">
        <is>
          <t>Tech C</t>
        </is>
      </c>
      <c r="E705" s="35" t="n">
        <v>3.5</v>
      </c>
      <c r="F705" s="35" t="n">
        <v>3.1</v>
      </c>
      <c r="G705" s="37" t="inlineStr">
        <is>
          <t>Y</t>
        </is>
      </c>
      <c r="H705" s="37" t="inlineStr">
        <is>
          <t>N</t>
        </is>
      </c>
      <c r="I705" s="37">
        <f>COUNTIF(G$5:G705,"Y")/COUNTA(G$5:G705)</f>
        <v/>
      </c>
      <c r="J705" s="37">
        <f>COUNTIF(H$5:H705,"Y")/COUNTA(H$5:H705)</f>
        <v/>
      </c>
      <c r="K705" s="37">
        <f>AVERAGE(F$5:F705)</f>
        <v/>
      </c>
      <c r="L705" s="37">
        <f>SUM(F$5:F705)/SUM(E$5:E705)</f>
        <v/>
      </c>
    </row>
    <row r="706">
      <c r="A706" s="29" t="n">
        <v>45741</v>
      </c>
      <c r="B706" s="37" t="inlineStr">
        <is>
          <t>JOB-1702</t>
        </is>
      </c>
      <c r="C706" s="34" t="n">
        <v>1</v>
      </c>
      <c r="D706" s="37" t="inlineStr">
        <is>
          <t>Tech D</t>
        </is>
      </c>
      <c r="E706" s="35" t="n">
        <v>5.4</v>
      </c>
      <c r="F706" s="35" t="n">
        <v>3.7</v>
      </c>
      <c r="G706" s="37" t="inlineStr">
        <is>
          <t>Y</t>
        </is>
      </c>
      <c r="H706" s="37" t="inlineStr">
        <is>
          <t>N</t>
        </is>
      </c>
      <c r="I706" s="37">
        <f>COUNTIF(G$5:G706,"Y")/COUNTA(G$5:G706)</f>
        <v/>
      </c>
      <c r="J706" s="37">
        <f>COUNTIF(H$5:H706,"Y")/COUNTA(H$5:H706)</f>
        <v/>
      </c>
      <c r="K706" s="37">
        <f>AVERAGE(F$5:F706)</f>
        <v/>
      </c>
      <c r="L706" s="37">
        <f>SUM(F$5:F706)/SUM(E$5:E706)</f>
        <v/>
      </c>
    </row>
    <row r="707">
      <c r="A707" s="29" t="n">
        <v>45742</v>
      </c>
      <c r="B707" s="37" t="inlineStr">
        <is>
          <t>JOB-1703</t>
        </is>
      </c>
      <c r="C707" s="34" t="n">
        <v>1</v>
      </c>
      <c r="D707" s="37" t="inlineStr">
        <is>
          <t>Tech C</t>
        </is>
      </c>
      <c r="E707" s="35" t="n">
        <v>3.6</v>
      </c>
      <c r="F707" s="35" t="n">
        <v>2.6</v>
      </c>
      <c r="G707" s="37" t="inlineStr">
        <is>
          <t>Y</t>
        </is>
      </c>
      <c r="H707" s="37" t="inlineStr">
        <is>
          <t>N</t>
        </is>
      </c>
      <c r="I707" s="37">
        <f>COUNTIF(G$5:G707,"Y")/COUNTA(G$5:G707)</f>
        <v/>
      </c>
      <c r="J707" s="37">
        <f>COUNTIF(H$5:H707,"Y")/COUNTA(H$5:H707)</f>
        <v/>
      </c>
      <c r="K707" s="37">
        <f>AVERAGE(F$5:F707)</f>
        <v/>
      </c>
      <c r="L707" s="37">
        <f>SUM(F$5:F707)/SUM(E$5:E707)</f>
        <v/>
      </c>
    </row>
    <row r="708">
      <c r="A708" s="29" t="n">
        <v>45743</v>
      </c>
      <c r="B708" s="37" t="inlineStr">
        <is>
          <t>JOB-1704</t>
        </is>
      </c>
      <c r="C708" s="34" t="n">
        <v>1</v>
      </c>
      <c r="D708" s="37" t="inlineStr">
        <is>
          <t>Tech B</t>
        </is>
      </c>
      <c r="E708" s="35" t="n">
        <v>3.3</v>
      </c>
      <c r="F708" s="35" t="n">
        <v>2.2</v>
      </c>
      <c r="G708" s="37" t="inlineStr">
        <is>
          <t>Y</t>
        </is>
      </c>
      <c r="H708" s="37" t="inlineStr">
        <is>
          <t>N</t>
        </is>
      </c>
      <c r="I708" s="37">
        <f>COUNTIF(G$5:G708,"Y")/COUNTA(G$5:G708)</f>
        <v/>
      </c>
      <c r="J708" s="37">
        <f>COUNTIF(H$5:H708,"Y")/COUNTA(H$5:H708)</f>
        <v/>
      </c>
      <c r="K708" s="37">
        <f>AVERAGE(F$5:F708)</f>
        <v/>
      </c>
      <c r="L708" s="37">
        <f>SUM(F$5:F708)/SUM(E$5:E708)</f>
        <v/>
      </c>
    </row>
    <row r="709">
      <c r="A709" s="29" t="n">
        <v>45744</v>
      </c>
      <c r="B709" s="37" t="inlineStr">
        <is>
          <t>JOB-1705</t>
        </is>
      </c>
      <c r="C709" s="34" t="n">
        <v>1</v>
      </c>
      <c r="D709" s="37" t="inlineStr">
        <is>
          <t>Tech A</t>
        </is>
      </c>
      <c r="E709" s="35" t="n">
        <v>1.5</v>
      </c>
      <c r="F709" s="35" t="n">
        <v>1.3</v>
      </c>
      <c r="G709" s="37" t="inlineStr">
        <is>
          <t>Y</t>
        </is>
      </c>
      <c r="H709" s="37" t="inlineStr">
        <is>
          <t>N</t>
        </is>
      </c>
      <c r="I709" s="37">
        <f>COUNTIF(G$5:G709,"Y")/COUNTA(G$5:G709)</f>
        <v/>
      </c>
      <c r="J709" s="37">
        <f>COUNTIF(H$5:H709,"Y")/COUNTA(H$5:H709)</f>
        <v/>
      </c>
      <c r="K709" s="37">
        <f>AVERAGE(F$5:F709)</f>
        <v/>
      </c>
      <c r="L709" s="37">
        <f>SUM(F$5:F709)/SUM(E$5:E709)</f>
        <v/>
      </c>
    </row>
    <row r="710">
      <c r="A710" s="29" t="n">
        <v>45740</v>
      </c>
      <c r="B710" s="37" t="inlineStr">
        <is>
          <t>JOB-1706</t>
        </is>
      </c>
      <c r="C710" s="34" t="n">
        <v>1</v>
      </c>
      <c r="D710" s="37" t="inlineStr">
        <is>
          <t>Tech C</t>
        </is>
      </c>
      <c r="E710" s="35" t="n">
        <v>2.1</v>
      </c>
      <c r="F710" s="35" t="n">
        <v>1.5</v>
      </c>
      <c r="G710" s="37" t="inlineStr">
        <is>
          <t>Y</t>
        </is>
      </c>
      <c r="H710" s="37" t="inlineStr">
        <is>
          <t>N</t>
        </is>
      </c>
      <c r="I710" s="37">
        <f>COUNTIF(G$5:G710,"Y")/COUNTA(G$5:G710)</f>
        <v/>
      </c>
      <c r="J710" s="37">
        <f>COUNTIF(H$5:H710,"Y")/COUNTA(H$5:H710)</f>
        <v/>
      </c>
      <c r="K710" s="37">
        <f>AVERAGE(F$5:F710)</f>
        <v/>
      </c>
      <c r="L710" s="37">
        <f>SUM(F$5:F710)/SUM(E$5:E710)</f>
        <v/>
      </c>
    </row>
    <row r="711">
      <c r="A711" s="29" t="n">
        <v>45741</v>
      </c>
      <c r="B711" s="37" t="inlineStr">
        <is>
          <t>JOB-1707</t>
        </is>
      </c>
      <c r="C711" s="34" t="n">
        <v>1</v>
      </c>
      <c r="D711" s="37" t="inlineStr">
        <is>
          <t>Tech F</t>
        </is>
      </c>
      <c r="E711" s="35" t="n">
        <v>1.7</v>
      </c>
      <c r="F711" s="35" t="n">
        <v>1.3</v>
      </c>
      <c r="G711" s="37" t="inlineStr">
        <is>
          <t>Y</t>
        </is>
      </c>
      <c r="H711" s="37" t="inlineStr">
        <is>
          <t>N</t>
        </is>
      </c>
      <c r="I711" s="37">
        <f>COUNTIF(G$5:G711,"Y")/COUNTA(G$5:G711)</f>
        <v/>
      </c>
      <c r="J711" s="37">
        <f>COUNTIF(H$5:H711,"Y")/COUNTA(H$5:H711)</f>
        <v/>
      </c>
      <c r="K711" s="37">
        <f>AVERAGE(F$5:F711)</f>
        <v/>
      </c>
      <c r="L711" s="37">
        <f>SUM(F$5:F711)/SUM(E$5:E711)</f>
        <v/>
      </c>
    </row>
    <row r="712">
      <c r="A712" s="29" t="n">
        <v>45742</v>
      </c>
      <c r="B712" s="37" t="inlineStr">
        <is>
          <t>JOB-1708</t>
        </is>
      </c>
      <c r="C712" s="34" t="n">
        <v>1</v>
      </c>
      <c r="D712" s="37" t="inlineStr">
        <is>
          <t>Tech B</t>
        </is>
      </c>
      <c r="E712" s="35" t="n">
        <v>3.4</v>
      </c>
      <c r="F712" s="35" t="n">
        <v>2.3</v>
      </c>
      <c r="G712" s="37" t="inlineStr">
        <is>
          <t>N</t>
        </is>
      </c>
      <c r="H712" s="37" t="inlineStr">
        <is>
          <t>N</t>
        </is>
      </c>
      <c r="I712" s="37">
        <f>COUNTIF(G$5:G712,"Y")/COUNTA(G$5:G712)</f>
        <v/>
      </c>
      <c r="J712" s="37">
        <f>COUNTIF(H$5:H712,"Y")/COUNTA(H$5:H712)</f>
        <v/>
      </c>
      <c r="K712" s="37">
        <f>AVERAGE(F$5:F712)</f>
        <v/>
      </c>
      <c r="L712" s="37">
        <f>SUM(F$5:F712)/SUM(E$5:E712)</f>
        <v/>
      </c>
    </row>
    <row r="713">
      <c r="A713" s="29" t="n">
        <v>45743</v>
      </c>
      <c r="B713" s="37" t="inlineStr">
        <is>
          <t>JOB-1709</t>
        </is>
      </c>
      <c r="C713" s="34" t="n">
        <v>1</v>
      </c>
      <c r="D713" s="37" t="inlineStr">
        <is>
          <t>Tech A</t>
        </is>
      </c>
      <c r="E713" s="35" t="n">
        <v>2.2</v>
      </c>
      <c r="F713" s="35" t="n">
        <v>1.8</v>
      </c>
      <c r="G713" s="37" t="inlineStr">
        <is>
          <t>Y</t>
        </is>
      </c>
      <c r="H713" s="37" t="inlineStr">
        <is>
          <t>N</t>
        </is>
      </c>
      <c r="I713" s="37">
        <f>COUNTIF(G$5:G713,"Y")/COUNTA(G$5:G713)</f>
        <v/>
      </c>
      <c r="J713" s="37">
        <f>COUNTIF(H$5:H713,"Y")/COUNTA(H$5:H713)</f>
        <v/>
      </c>
      <c r="K713" s="37">
        <f>AVERAGE(F$5:F713)</f>
        <v/>
      </c>
      <c r="L713" s="37">
        <f>SUM(F$5:F713)/SUM(E$5:E713)</f>
        <v/>
      </c>
    </row>
    <row r="714">
      <c r="A714" s="29" t="n">
        <v>45744</v>
      </c>
      <c r="B714" s="37" t="inlineStr">
        <is>
          <t>JOB-1710</t>
        </is>
      </c>
      <c r="C714" s="34" t="n">
        <v>1</v>
      </c>
      <c r="D714" s="37" t="inlineStr">
        <is>
          <t>Tech G</t>
        </is>
      </c>
      <c r="E714" s="35" t="n">
        <v>2.8</v>
      </c>
      <c r="F714" s="35" t="n">
        <v>2</v>
      </c>
      <c r="G714" s="37" t="inlineStr">
        <is>
          <t>N</t>
        </is>
      </c>
      <c r="H714" s="37" t="inlineStr">
        <is>
          <t>N</t>
        </is>
      </c>
      <c r="I714" s="37">
        <f>COUNTIF(G$5:G714,"Y")/COUNTA(G$5:G714)</f>
        <v/>
      </c>
      <c r="J714" s="37">
        <f>COUNTIF(H$5:H714,"Y")/COUNTA(H$5:H714)</f>
        <v/>
      </c>
      <c r="K714" s="37">
        <f>AVERAGE(F$5:F714)</f>
        <v/>
      </c>
      <c r="L714" s="37">
        <f>SUM(F$5:F714)/SUM(E$5:E714)</f>
        <v/>
      </c>
    </row>
    <row r="715">
      <c r="A715" s="29" t="n">
        <v>45740</v>
      </c>
      <c r="B715" s="37" t="inlineStr">
        <is>
          <t>JOB-1711</t>
        </is>
      </c>
      <c r="C715" s="34" t="n">
        <v>1</v>
      </c>
      <c r="D715" s="37" t="inlineStr">
        <is>
          <t>Tech G</t>
        </is>
      </c>
      <c r="E715" s="35" t="n">
        <v>4.3</v>
      </c>
      <c r="F715" s="35" t="n">
        <v>3.1</v>
      </c>
      <c r="G715" s="37" t="inlineStr">
        <is>
          <t>Y</t>
        </is>
      </c>
      <c r="H715" s="37" t="inlineStr">
        <is>
          <t>N</t>
        </is>
      </c>
      <c r="I715" s="37">
        <f>COUNTIF(G$5:G715,"Y")/COUNTA(G$5:G715)</f>
        <v/>
      </c>
      <c r="J715" s="37">
        <f>COUNTIF(H$5:H715,"Y")/COUNTA(H$5:H715)</f>
        <v/>
      </c>
      <c r="K715" s="37">
        <f>AVERAGE(F$5:F715)</f>
        <v/>
      </c>
      <c r="L715" s="37">
        <f>SUM(F$5:F715)/SUM(E$5:E715)</f>
        <v/>
      </c>
    </row>
    <row r="716">
      <c r="A716" s="29" t="n">
        <v>45741</v>
      </c>
      <c r="B716" s="37" t="inlineStr">
        <is>
          <t>JOB-1712</t>
        </is>
      </c>
      <c r="C716" s="34" t="n">
        <v>1</v>
      </c>
      <c r="D716" s="37" t="inlineStr">
        <is>
          <t>Tech C</t>
        </is>
      </c>
      <c r="E716" s="35" t="n">
        <v>2.4</v>
      </c>
      <c r="F716" s="35" t="n">
        <v>2</v>
      </c>
      <c r="G716" s="37" t="inlineStr">
        <is>
          <t>Y</t>
        </is>
      </c>
      <c r="H716" s="37" t="inlineStr">
        <is>
          <t>N</t>
        </is>
      </c>
      <c r="I716" s="37">
        <f>COUNTIF(G$5:G716,"Y")/COUNTA(G$5:G716)</f>
        <v/>
      </c>
      <c r="J716" s="37">
        <f>COUNTIF(H$5:H716,"Y")/COUNTA(H$5:H716)</f>
        <v/>
      </c>
      <c r="K716" s="37">
        <f>AVERAGE(F$5:F716)</f>
        <v/>
      </c>
      <c r="L716" s="37">
        <f>SUM(F$5:F716)/SUM(E$5:E716)</f>
        <v/>
      </c>
    </row>
    <row r="717">
      <c r="A717" s="29" t="n">
        <v>45742</v>
      </c>
      <c r="B717" s="37" t="inlineStr">
        <is>
          <t>JOB-1713</t>
        </is>
      </c>
      <c r="C717" s="34" t="n">
        <v>1</v>
      </c>
      <c r="D717" s="37" t="inlineStr">
        <is>
          <t>Tech A</t>
        </is>
      </c>
      <c r="E717" s="35" t="n">
        <v>1.5</v>
      </c>
      <c r="F717" s="35" t="n">
        <v>1.3</v>
      </c>
      <c r="G717" s="37" t="inlineStr">
        <is>
          <t>Y</t>
        </is>
      </c>
      <c r="H717" s="37" t="inlineStr">
        <is>
          <t>N</t>
        </is>
      </c>
      <c r="I717" s="37">
        <f>COUNTIF(G$5:G717,"Y")/COUNTA(G$5:G717)</f>
        <v/>
      </c>
      <c r="J717" s="37">
        <f>COUNTIF(H$5:H717,"Y")/COUNTA(H$5:H717)</f>
        <v/>
      </c>
      <c r="K717" s="37">
        <f>AVERAGE(F$5:F717)</f>
        <v/>
      </c>
      <c r="L717" s="37">
        <f>SUM(F$5:F717)/SUM(E$5:E717)</f>
        <v/>
      </c>
    </row>
    <row r="718">
      <c r="A718" s="29" t="n">
        <v>45743</v>
      </c>
      <c r="B718" s="37" t="inlineStr">
        <is>
          <t>JOB-1714</t>
        </is>
      </c>
      <c r="C718" s="34" t="n">
        <v>1</v>
      </c>
      <c r="D718" s="37" t="inlineStr">
        <is>
          <t>Tech G</t>
        </is>
      </c>
      <c r="E718" s="35" t="n">
        <v>4.4</v>
      </c>
      <c r="F718" s="35" t="n">
        <v>3.3</v>
      </c>
      <c r="G718" s="37" t="inlineStr">
        <is>
          <t>Y</t>
        </is>
      </c>
      <c r="H718" s="37" t="inlineStr">
        <is>
          <t>Y</t>
        </is>
      </c>
      <c r="I718" s="37">
        <f>COUNTIF(G$5:G718,"Y")/COUNTA(G$5:G718)</f>
        <v/>
      </c>
      <c r="J718" s="37">
        <f>COUNTIF(H$5:H718,"Y")/COUNTA(H$5:H718)</f>
        <v/>
      </c>
      <c r="K718" s="37">
        <f>AVERAGE(F$5:F718)</f>
        <v/>
      </c>
      <c r="L718" s="37">
        <f>SUM(F$5:F718)/SUM(E$5:E718)</f>
        <v/>
      </c>
    </row>
    <row r="719">
      <c r="A719" s="29" t="n">
        <v>45744</v>
      </c>
      <c r="B719" s="37" t="inlineStr">
        <is>
          <t>JOB-1715</t>
        </is>
      </c>
      <c r="C719" s="34" t="n">
        <v>1</v>
      </c>
      <c r="D719" s="37" t="inlineStr">
        <is>
          <t>Tech D</t>
        </is>
      </c>
      <c r="E719" s="35" t="n">
        <v>1.7</v>
      </c>
      <c r="F719" s="35" t="n">
        <v>1.5</v>
      </c>
      <c r="G719" s="37" t="inlineStr">
        <is>
          <t>Y</t>
        </is>
      </c>
      <c r="H719" s="37" t="inlineStr">
        <is>
          <t>N</t>
        </is>
      </c>
      <c r="I719" s="37">
        <f>COUNTIF(G$5:G719,"Y")/COUNTA(G$5:G719)</f>
        <v/>
      </c>
      <c r="J719" s="37">
        <f>COUNTIF(H$5:H719,"Y")/COUNTA(H$5:H719)</f>
        <v/>
      </c>
      <c r="K719" s="37">
        <f>AVERAGE(F$5:F719)</f>
        <v/>
      </c>
      <c r="L719" s="37">
        <f>SUM(F$5:F719)/SUM(E$5:E719)</f>
        <v/>
      </c>
    </row>
    <row r="720">
      <c r="A720" s="29" t="n">
        <v>45740</v>
      </c>
      <c r="B720" s="37" t="inlineStr">
        <is>
          <t>JOB-1716</t>
        </is>
      </c>
      <c r="C720" s="34" t="n">
        <v>1</v>
      </c>
      <c r="D720" s="37" t="inlineStr">
        <is>
          <t>Tech F</t>
        </is>
      </c>
      <c r="E720" s="35" t="n">
        <v>0.8</v>
      </c>
      <c r="F720" s="35" t="n">
        <v>2.3</v>
      </c>
      <c r="G720" s="37" t="inlineStr">
        <is>
          <t>Y</t>
        </is>
      </c>
      <c r="H720" s="37" t="inlineStr">
        <is>
          <t>N</t>
        </is>
      </c>
      <c r="I720" s="37">
        <f>COUNTIF(G$5:G720,"Y")/COUNTA(G$5:G720)</f>
        <v/>
      </c>
      <c r="J720" s="37">
        <f>COUNTIF(H$5:H720,"Y")/COUNTA(H$5:H720)</f>
        <v/>
      </c>
      <c r="K720" s="37">
        <f>AVERAGE(F$5:F720)</f>
        <v/>
      </c>
      <c r="L720" s="37">
        <f>SUM(F$5:F720)/SUM(E$5:E720)</f>
        <v/>
      </c>
    </row>
    <row r="721">
      <c r="A721" s="29" t="n">
        <v>45741</v>
      </c>
      <c r="B721" s="37" t="inlineStr">
        <is>
          <t>JOB-1717</t>
        </is>
      </c>
      <c r="C721" s="34" t="n">
        <v>1</v>
      </c>
      <c r="D721" s="37" t="inlineStr">
        <is>
          <t>Tech C</t>
        </is>
      </c>
      <c r="E721" s="35" t="n">
        <v>0.5</v>
      </c>
      <c r="F721" s="35" t="n">
        <v>0.5</v>
      </c>
      <c r="G721" s="37" t="inlineStr">
        <is>
          <t>Y</t>
        </is>
      </c>
      <c r="H721" s="37" t="inlineStr">
        <is>
          <t>N</t>
        </is>
      </c>
      <c r="I721" s="37">
        <f>COUNTIF(G$5:G721,"Y")/COUNTA(G$5:G721)</f>
        <v/>
      </c>
      <c r="J721" s="37">
        <f>COUNTIF(H$5:H721,"Y")/COUNTA(H$5:H721)</f>
        <v/>
      </c>
      <c r="K721" s="37">
        <f>AVERAGE(F$5:F721)</f>
        <v/>
      </c>
      <c r="L721" s="37">
        <f>SUM(F$5:F721)/SUM(E$5:E721)</f>
        <v/>
      </c>
    </row>
    <row r="722">
      <c r="A722" s="29" t="n">
        <v>45742</v>
      </c>
      <c r="B722" s="37" t="inlineStr">
        <is>
          <t>JOB-1718</t>
        </is>
      </c>
      <c r="C722" s="34" t="n">
        <v>1</v>
      </c>
      <c r="D722" s="37" t="inlineStr">
        <is>
          <t>Tech G</t>
        </is>
      </c>
      <c r="E722" s="35" t="n">
        <v>0.5</v>
      </c>
      <c r="F722" s="35" t="n">
        <v>0.5</v>
      </c>
      <c r="G722" s="37" t="inlineStr">
        <is>
          <t>Y</t>
        </is>
      </c>
      <c r="H722" s="37" t="inlineStr">
        <is>
          <t>N</t>
        </is>
      </c>
      <c r="I722" s="37">
        <f>COUNTIF(G$5:G722,"Y")/COUNTA(G$5:G722)</f>
        <v/>
      </c>
      <c r="J722" s="37">
        <f>COUNTIF(H$5:H722,"Y")/COUNTA(H$5:H722)</f>
        <v/>
      </c>
      <c r="K722" s="37">
        <f>AVERAGE(F$5:F722)</f>
        <v/>
      </c>
      <c r="L722" s="37">
        <f>SUM(F$5:F722)/SUM(E$5:E722)</f>
        <v/>
      </c>
      <c r="M722" s="37" t="n">
        <v>11</v>
      </c>
    </row>
    <row r="723">
      <c r="A723" s="29" t="n">
        <v>45747</v>
      </c>
      <c r="B723" s="37" t="inlineStr">
        <is>
          <t>JOB-1719</t>
        </is>
      </c>
      <c r="C723" s="34" t="n">
        <v>1</v>
      </c>
      <c r="D723" s="37" t="inlineStr">
        <is>
          <t>Tech H</t>
        </is>
      </c>
      <c r="E723" s="35" t="n">
        <v>3.4</v>
      </c>
      <c r="F723" s="35" t="n">
        <v>2.9</v>
      </c>
      <c r="G723" s="37" t="inlineStr">
        <is>
          <t>Y</t>
        </is>
      </c>
      <c r="H723" s="37" t="inlineStr">
        <is>
          <t>N</t>
        </is>
      </c>
      <c r="I723" s="37">
        <f>COUNTIF(G$5:G723,"Y")/COUNTA(G$5:G723)</f>
        <v/>
      </c>
      <c r="J723" s="37">
        <f>COUNTIF(H$5:H723,"Y")/COUNTA(H$5:H723)</f>
        <v/>
      </c>
      <c r="K723" s="37">
        <f>AVERAGE(F$5:F723)</f>
        <v/>
      </c>
      <c r="L723" s="37">
        <f>SUM(F$5:F723)/SUM(E$5:E723)</f>
        <v/>
      </c>
    </row>
    <row r="724">
      <c r="A724" s="29" t="n">
        <v>45748</v>
      </c>
      <c r="B724" s="37" t="inlineStr">
        <is>
          <t>JOB-1720</t>
        </is>
      </c>
      <c r="C724" s="34" t="n">
        <v>1</v>
      </c>
      <c r="D724" s="37" t="inlineStr">
        <is>
          <t>Tech C</t>
        </is>
      </c>
      <c r="E724" s="35" t="n">
        <v>1.9</v>
      </c>
      <c r="F724" s="35" t="n">
        <v>1.6</v>
      </c>
      <c r="G724" s="37" t="inlineStr">
        <is>
          <t>Y</t>
        </is>
      </c>
      <c r="H724" s="37" t="inlineStr">
        <is>
          <t>N</t>
        </is>
      </c>
      <c r="I724" s="37">
        <f>COUNTIF(G$5:G724,"Y")/COUNTA(G$5:G724)</f>
        <v/>
      </c>
      <c r="J724" s="37">
        <f>COUNTIF(H$5:H724,"Y")/COUNTA(H$5:H724)</f>
        <v/>
      </c>
      <c r="K724" s="37">
        <f>AVERAGE(F$5:F724)</f>
        <v/>
      </c>
      <c r="L724" s="37">
        <f>SUM(F$5:F724)/SUM(E$5:E724)</f>
        <v/>
      </c>
    </row>
    <row r="725">
      <c r="A725" s="29" t="n">
        <v>45749</v>
      </c>
      <c r="B725" s="37" t="inlineStr">
        <is>
          <t>JOB-1721</t>
        </is>
      </c>
      <c r="C725" s="34" t="n">
        <v>1</v>
      </c>
      <c r="D725" s="37" t="inlineStr">
        <is>
          <t>Tech A</t>
        </is>
      </c>
      <c r="E725" s="35" t="n">
        <v>2.4</v>
      </c>
      <c r="F725" s="35" t="n">
        <v>1.9</v>
      </c>
      <c r="G725" s="37" t="inlineStr">
        <is>
          <t>Y</t>
        </is>
      </c>
      <c r="H725" s="37" t="inlineStr">
        <is>
          <t>N</t>
        </is>
      </c>
      <c r="I725" s="37">
        <f>COUNTIF(G$5:G725,"Y")/COUNTA(G$5:G725)</f>
        <v/>
      </c>
      <c r="J725" s="37">
        <f>COUNTIF(H$5:H725,"Y")/COUNTA(H$5:H725)</f>
        <v/>
      </c>
      <c r="K725" s="37">
        <f>AVERAGE(F$5:F725)</f>
        <v/>
      </c>
      <c r="L725" s="37">
        <f>SUM(F$5:F725)/SUM(E$5:E725)</f>
        <v/>
      </c>
    </row>
    <row r="726">
      <c r="A726" s="29" t="n">
        <v>45750</v>
      </c>
      <c r="B726" s="37" t="inlineStr">
        <is>
          <t>JOB-1722</t>
        </is>
      </c>
      <c r="C726" s="34" t="n">
        <v>1</v>
      </c>
      <c r="D726" s="37" t="inlineStr">
        <is>
          <t>Tech H</t>
        </is>
      </c>
      <c r="E726" s="35" t="n">
        <v>4.8</v>
      </c>
      <c r="F726" s="35" t="n">
        <v>3.5</v>
      </c>
      <c r="G726" s="37" t="inlineStr">
        <is>
          <t>Y</t>
        </is>
      </c>
      <c r="H726" s="37" t="inlineStr">
        <is>
          <t>N</t>
        </is>
      </c>
      <c r="I726" s="37">
        <f>COUNTIF(G$5:G726,"Y")/COUNTA(G$5:G726)</f>
        <v/>
      </c>
      <c r="J726" s="37">
        <f>COUNTIF(H$5:H726,"Y")/COUNTA(H$5:H726)</f>
        <v/>
      </c>
      <c r="K726" s="37">
        <f>AVERAGE(F$5:F726)</f>
        <v/>
      </c>
      <c r="L726" s="37">
        <f>SUM(F$5:F726)/SUM(E$5:E726)</f>
        <v/>
      </c>
    </row>
    <row r="727">
      <c r="A727" s="29" t="n">
        <v>45751</v>
      </c>
      <c r="B727" s="37" t="inlineStr">
        <is>
          <t>JOB-1723</t>
        </is>
      </c>
      <c r="C727" s="34" t="n">
        <v>1</v>
      </c>
      <c r="D727" s="37" t="inlineStr">
        <is>
          <t>Tech F</t>
        </is>
      </c>
      <c r="E727" s="35" t="n">
        <v>4.9</v>
      </c>
      <c r="F727" s="35" t="n">
        <v>3.4</v>
      </c>
      <c r="G727" s="37" t="inlineStr">
        <is>
          <t>Y</t>
        </is>
      </c>
      <c r="H727" s="37" t="inlineStr">
        <is>
          <t>N</t>
        </is>
      </c>
      <c r="I727" s="37">
        <f>COUNTIF(G$5:G727,"Y")/COUNTA(G$5:G727)</f>
        <v/>
      </c>
      <c r="J727" s="37">
        <f>COUNTIF(H$5:H727,"Y")/COUNTA(H$5:H727)</f>
        <v/>
      </c>
      <c r="K727" s="37">
        <f>AVERAGE(F$5:F727)</f>
        <v/>
      </c>
      <c r="L727" s="37">
        <f>SUM(F$5:F727)/SUM(E$5:E727)</f>
        <v/>
      </c>
    </row>
    <row r="728">
      <c r="A728" s="29" t="n">
        <v>45747</v>
      </c>
      <c r="B728" s="37" t="inlineStr">
        <is>
          <t>JOB-1724</t>
        </is>
      </c>
      <c r="C728" s="34" t="n">
        <v>1</v>
      </c>
      <c r="D728" s="37" t="inlineStr">
        <is>
          <t>Tech D</t>
        </is>
      </c>
      <c r="E728" s="35" t="n">
        <v>4.2</v>
      </c>
      <c r="F728" s="35" t="n">
        <v>2.9</v>
      </c>
      <c r="G728" s="37" t="inlineStr">
        <is>
          <t>Y</t>
        </is>
      </c>
      <c r="H728" s="37" t="inlineStr">
        <is>
          <t>N</t>
        </is>
      </c>
      <c r="I728" s="37">
        <f>COUNTIF(G$5:G728,"Y")/COUNTA(G$5:G728)</f>
        <v/>
      </c>
      <c r="J728" s="37">
        <f>COUNTIF(H$5:H728,"Y")/COUNTA(H$5:H728)</f>
        <v/>
      </c>
      <c r="K728" s="37">
        <f>AVERAGE(F$5:F728)</f>
        <v/>
      </c>
      <c r="L728" s="37">
        <f>SUM(F$5:F728)/SUM(E$5:E728)</f>
        <v/>
      </c>
    </row>
    <row r="729">
      <c r="A729" s="29" t="n">
        <v>45748</v>
      </c>
      <c r="B729" s="37" t="inlineStr">
        <is>
          <t>JOB-1725</t>
        </is>
      </c>
      <c r="C729" s="34" t="n">
        <v>1</v>
      </c>
      <c r="D729" s="37" t="inlineStr">
        <is>
          <t>Tech B</t>
        </is>
      </c>
      <c r="E729" s="35" t="n">
        <v>3.3</v>
      </c>
      <c r="F729" s="35" t="n">
        <v>2.3</v>
      </c>
      <c r="G729" s="37" t="inlineStr">
        <is>
          <t>Y</t>
        </is>
      </c>
      <c r="H729" s="37" t="inlineStr">
        <is>
          <t>N</t>
        </is>
      </c>
      <c r="I729" s="37">
        <f>COUNTIF(G$5:G729,"Y")/COUNTA(G$5:G729)</f>
        <v/>
      </c>
      <c r="J729" s="37">
        <f>COUNTIF(H$5:H729,"Y")/COUNTA(H$5:H729)</f>
        <v/>
      </c>
      <c r="K729" s="37">
        <f>AVERAGE(F$5:F729)</f>
        <v/>
      </c>
      <c r="L729" s="37">
        <f>SUM(F$5:F729)/SUM(E$5:E729)</f>
        <v/>
      </c>
    </row>
    <row r="730">
      <c r="A730" s="29" t="n">
        <v>45749</v>
      </c>
      <c r="B730" s="37" t="inlineStr">
        <is>
          <t>JOB-1726</t>
        </is>
      </c>
      <c r="C730" s="34" t="n">
        <v>1</v>
      </c>
      <c r="D730" s="37" t="inlineStr">
        <is>
          <t>Tech C</t>
        </is>
      </c>
      <c r="E730" s="35" t="n">
        <v>4.7</v>
      </c>
      <c r="F730" s="35" t="n">
        <v>4.1</v>
      </c>
      <c r="G730" s="37" t="inlineStr">
        <is>
          <t>Y</t>
        </is>
      </c>
      <c r="H730" s="37" t="inlineStr">
        <is>
          <t>N</t>
        </is>
      </c>
      <c r="I730" s="37">
        <f>COUNTIF(G$5:G730,"Y")/COUNTA(G$5:G730)</f>
        <v/>
      </c>
      <c r="J730" s="37">
        <f>COUNTIF(H$5:H730,"Y")/COUNTA(H$5:H730)</f>
        <v/>
      </c>
      <c r="K730" s="37">
        <f>AVERAGE(F$5:F730)</f>
        <v/>
      </c>
      <c r="L730" s="37">
        <f>SUM(F$5:F730)/SUM(E$5:E730)</f>
        <v/>
      </c>
    </row>
    <row r="731">
      <c r="A731" s="29" t="n">
        <v>45750</v>
      </c>
      <c r="B731" s="37" t="inlineStr">
        <is>
          <t>JOB-1727</t>
        </is>
      </c>
      <c r="C731" s="34" t="n">
        <v>1</v>
      </c>
      <c r="D731" s="37" t="inlineStr">
        <is>
          <t>Tech D</t>
        </is>
      </c>
      <c r="E731" s="35" t="n">
        <v>2.3</v>
      </c>
      <c r="F731" s="35" t="n">
        <v>1.9</v>
      </c>
      <c r="G731" s="37" t="inlineStr">
        <is>
          <t>Y</t>
        </is>
      </c>
      <c r="H731" s="37" t="inlineStr">
        <is>
          <t>N</t>
        </is>
      </c>
      <c r="I731" s="37">
        <f>COUNTIF(G$5:G731,"Y")/COUNTA(G$5:G731)</f>
        <v/>
      </c>
      <c r="J731" s="37">
        <f>COUNTIF(H$5:H731,"Y")/COUNTA(H$5:H731)</f>
        <v/>
      </c>
      <c r="K731" s="37">
        <f>AVERAGE(F$5:F731)</f>
        <v/>
      </c>
      <c r="L731" s="37">
        <f>SUM(F$5:F731)/SUM(E$5:E731)</f>
        <v/>
      </c>
    </row>
    <row r="732">
      <c r="A732" s="29" t="n">
        <v>45751</v>
      </c>
      <c r="B732" s="37" t="inlineStr">
        <is>
          <t>JOB-1728</t>
        </is>
      </c>
      <c r="C732" s="34" t="n">
        <v>1</v>
      </c>
      <c r="D732" s="37" t="inlineStr">
        <is>
          <t>Tech C</t>
        </is>
      </c>
      <c r="E732" s="35" t="n">
        <v>4.1</v>
      </c>
      <c r="F732" s="35" t="n">
        <v>3.4</v>
      </c>
      <c r="G732" s="37" t="inlineStr">
        <is>
          <t>Y</t>
        </is>
      </c>
      <c r="H732" s="37" t="inlineStr">
        <is>
          <t>N</t>
        </is>
      </c>
      <c r="I732" s="37">
        <f>COUNTIF(G$5:G732,"Y")/COUNTA(G$5:G732)</f>
        <v/>
      </c>
      <c r="J732" s="37">
        <f>COUNTIF(H$5:H732,"Y")/COUNTA(H$5:H732)</f>
        <v/>
      </c>
      <c r="K732" s="37">
        <f>AVERAGE(F$5:F732)</f>
        <v/>
      </c>
      <c r="L732" s="37">
        <f>SUM(F$5:F732)/SUM(E$5:E732)</f>
        <v/>
      </c>
    </row>
    <row r="733">
      <c r="A733" s="29" t="n">
        <v>45747</v>
      </c>
      <c r="B733" s="37" t="inlineStr">
        <is>
          <t>JOB-1729</t>
        </is>
      </c>
      <c r="C733" s="34" t="n">
        <v>1</v>
      </c>
      <c r="D733" s="37" t="inlineStr">
        <is>
          <t>Tech B</t>
        </is>
      </c>
      <c r="E733" s="35" t="n">
        <v>3.9</v>
      </c>
      <c r="F733" s="35" t="n">
        <v>2.9</v>
      </c>
      <c r="G733" s="37" t="inlineStr">
        <is>
          <t>Y</t>
        </is>
      </c>
      <c r="H733" s="37" t="inlineStr">
        <is>
          <t>N</t>
        </is>
      </c>
      <c r="I733" s="37">
        <f>COUNTIF(G$5:G733,"Y")/COUNTA(G$5:G733)</f>
        <v/>
      </c>
      <c r="J733" s="37">
        <f>COUNTIF(H$5:H733,"Y")/COUNTA(H$5:H733)</f>
        <v/>
      </c>
      <c r="K733" s="37">
        <f>AVERAGE(F$5:F733)</f>
        <v/>
      </c>
      <c r="L733" s="37">
        <f>SUM(F$5:F733)/SUM(E$5:E733)</f>
        <v/>
      </c>
    </row>
    <row r="734">
      <c r="A734" s="29" t="n">
        <v>45748</v>
      </c>
      <c r="B734" s="37" t="inlineStr">
        <is>
          <t>JOB-1730</t>
        </is>
      </c>
      <c r="C734" s="34" t="n">
        <v>1</v>
      </c>
      <c r="D734" s="37" t="inlineStr">
        <is>
          <t>Tech D</t>
        </is>
      </c>
      <c r="E734" s="35" t="n">
        <v>2.8</v>
      </c>
      <c r="F734" s="35" t="n">
        <v>2.2</v>
      </c>
      <c r="G734" s="37" t="inlineStr">
        <is>
          <t>Y</t>
        </is>
      </c>
      <c r="H734" s="37" t="inlineStr">
        <is>
          <t>N</t>
        </is>
      </c>
      <c r="I734" s="37">
        <f>COUNTIF(G$5:G734,"Y")/COUNTA(G$5:G734)</f>
        <v/>
      </c>
      <c r="J734" s="37">
        <f>COUNTIF(H$5:H734,"Y")/COUNTA(H$5:H734)</f>
        <v/>
      </c>
      <c r="K734" s="37">
        <f>AVERAGE(F$5:F734)</f>
        <v/>
      </c>
      <c r="L734" s="37">
        <f>SUM(F$5:F734)/SUM(E$5:E734)</f>
        <v/>
      </c>
    </row>
    <row r="735">
      <c r="A735" s="29" t="n">
        <v>45749</v>
      </c>
      <c r="B735" s="37" t="inlineStr">
        <is>
          <t>JOB-1731</t>
        </is>
      </c>
      <c r="C735" s="34" t="n">
        <v>1</v>
      </c>
      <c r="D735" s="37" t="inlineStr">
        <is>
          <t>Tech A</t>
        </is>
      </c>
      <c r="E735" s="35" t="n">
        <v>2.3</v>
      </c>
      <c r="F735" s="35" t="n">
        <v>1.6</v>
      </c>
      <c r="G735" s="37" t="inlineStr">
        <is>
          <t>N</t>
        </is>
      </c>
      <c r="H735" s="37" t="inlineStr">
        <is>
          <t>N</t>
        </is>
      </c>
      <c r="I735" s="37">
        <f>COUNTIF(G$5:G735,"Y")/COUNTA(G$5:G735)</f>
        <v/>
      </c>
      <c r="J735" s="37">
        <f>COUNTIF(H$5:H735,"Y")/COUNTA(H$5:H735)</f>
        <v/>
      </c>
      <c r="K735" s="37">
        <f>AVERAGE(F$5:F735)</f>
        <v/>
      </c>
      <c r="L735" s="37">
        <f>SUM(F$5:F735)/SUM(E$5:E735)</f>
        <v/>
      </c>
    </row>
    <row r="736">
      <c r="A736" s="29" t="n">
        <v>45750</v>
      </c>
      <c r="B736" s="37" t="inlineStr">
        <is>
          <t>JOB-1732</t>
        </is>
      </c>
      <c r="C736" s="34" t="n">
        <v>1</v>
      </c>
      <c r="D736" s="37" t="inlineStr">
        <is>
          <t>Tech C</t>
        </is>
      </c>
      <c r="E736" s="35" t="n">
        <v>5.1</v>
      </c>
      <c r="F736" s="35" t="n">
        <v>3.7</v>
      </c>
      <c r="G736" s="37" t="inlineStr">
        <is>
          <t>Y</t>
        </is>
      </c>
      <c r="H736" s="37" t="inlineStr">
        <is>
          <t>N</t>
        </is>
      </c>
      <c r="I736" s="37">
        <f>COUNTIF(G$5:G736,"Y")/COUNTA(G$5:G736)</f>
        <v/>
      </c>
      <c r="J736" s="37">
        <f>COUNTIF(H$5:H736,"Y")/COUNTA(H$5:H736)</f>
        <v/>
      </c>
      <c r="K736" s="37">
        <f>AVERAGE(F$5:F736)</f>
        <v/>
      </c>
      <c r="L736" s="37">
        <f>SUM(F$5:F736)/SUM(E$5:E736)</f>
        <v/>
      </c>
    </row>
    <row r="737">
      <c r="A737" s="29" t="n">
        <v>45751</v>
      </c>
      <c r="B737" s="37" t="inlineStr">
        <is>
          <t>JOB-1733</t>
        </is>
      </c>
      <c r="C737" s="34" t="n">
        <v>1</v>
      </c>
      <c r="D737" s="37" t="inlineStr">
        <is>
          <t>Tech D</t>
        </is>
      </c>
      <c r="E737" s="35" t="n">
        <v>5.3</v>
      </c>
      <c r="F737" s="35" t="n">
        <v>4.1</v>
      </c>
      <c r="G737" s="37" t="inlineStr">
        <is>
          <t>Y</t>
        </is>
      </c>
      <c r="H737" s="37" t="inlineStr">
        <is>
          <t>N</t>
        </is>
      </c>
      <c r="I737" s="37">
        <f>COUNTIF(G$5:G737,"Y")/COUNTA(G$5:G737)</f>
        <v/>
      </c>
      <c r="J737" s="37">
        <f>COUNTIF(H$5:H737,"Y")/COUNTA(H$5:H737)</f>
        <v/>
      </c>
      <c r="K737" s="37">
        <f>AVERAGE(F$5:F737)</f>
        <v/>
      </c>
      <c r="L737" s="37">
        <f>SUM(F$5:F737)/SUM(E$5:E737)</f>
        <v/>
      </c>
    </row>
    <row r="738">
      <c r="A738" s="29" t="n">
        <v>45747</v>
      </c>
      <c r="B738" s="37" t="inlineStr">
        <is>
          <t>JOB-1734</t>
        </is>
      </c>
      <c r="C738" s="34" t="n">
        <v>1</v>
      </c>
      <c r="D738" s="37" t="inlineStr">
        <is>
          <t>Tech D</t>
        </is>
      </c>
      <c r="E738" s="35" t="n">
        <v>1.9</v>
      </c>
      <c r="F738" s="35" t="n">
        <v>1.7</v>
      </c>
      <c r="G738" s="37" t="inlineStr">
        <is>
          <t>Y</t>
        </is>
      </c>
      <c r="H738" s="37" t="inlineStr">
        <is>
          <t>N</t>
        </is>
      </c>
      <c r="I738" s="37">
        <f>COUNTIF(G$5:G738,"Y")/COUNTA(G$5:G738)</f>
        <v/>
      </c>
      <c r="J738" s="37">
        <f>COUNTIF(H$5:H738,"Y")/COUNTA(H$5:H738)</f>
        <v/>
      </c>
      <c r="K738" s="37">
        <f>AVERAGE(F$5:F738)</f>
        <v/>
      </c>
      <c r="L738" s="37">
        <f>SUM(F$5:F738)/SUM(E$5:E738)</f>
        <v/>
      </c>
    </row>
    <row r="739">
      <c r="A739" s="29" t="n">
        <v>45748</v>
      </c>
      <c r="B739" s="37" t="inlineStr">
        <is>
          <t>JOB-1735</t>
        </is>
      </c>
      <c r="C739" s="34" t="n">
        <v>1</v>
      </c>
      <c r="D739" s="37" t="inlineStr">
        <is>
          <t>Tech C</t>
        </is>
      </c>
      <c r="E739" s="35" t="n">
        <v>1.7</v>
      </c>
      <c r="F739" s="35" t="n">
        <v>1.3</v>
      </c>
      <c r="G739" s="37" t="inlineStr">
        <is>
          <t>Y</t>
        </is>
      </c>
      <c r="H739" s="37" t="inlineStr">
        <is>
          <t>N</t>
        </is>
      </c>
      <c r="I739" s="37">
        <f>COUNTIF(G$5:G739,"Y")/COUNTA(G$5:G739)</f>
        <v/>
      </c>
      <c r="J739" s="37">
        <f>COUNTIF(H$5:H739,"Y")/COUNTA(H$5:H739)</f>
        <v/>
      </c>
      <c r="K739" s="37">
        <f>AVERAGE(F$5:F739)</f>
        <v/>
      </c>
      <c r="L739" s="37">
        <f>SUM(F$5:F739)/SUM(E$5:E739)</f>
        <v/>
      </c>
    </row>
    <row r="740">
      <c r="A740" s="29" t="n">
        <v>45749</v>
      </c>
      <c r="B740" s="37" t="inlineStr">
        <is>
          <t>JOB-1736</t>
        </is>
      </c>
      <c r="C740" s="34" t="n">
        <v>1</v>
      </c>
      <c r="D740" s="37" t="inlineStr">
        <is>
          <t>Tech B</t>
        </is>
      </c>
      <c r="E740" s="35" t="n">
        <v>1.5</v>
      </c>
      <c r="F740" s="35" t="n">
        <v>1.2</v>
      </c>
      <c r="G740" s="37" t="inlineStr">
        <is>
          <t>Y</t>
        </is>
      </c>
      <c r="H740" s="37" t="inlineStr">
        <is>
          <t>N</t>
        </is>
      </c>
      <c r="I740" s="37">
        <f>COUNTIF(G$5:G740,"Y")/COUNTA(G$5:G740)</f>
        <v/>
      </c>
      <c r="J740" s="37">
        <f>COUNTIF(H$5:H740,"Y")/COUNTA(H$5:H740)</f>
        <v/>
      </c>
      <c r="K740" s="37">
        <f>AVERAGE(F$5:F740)</f>
        <v/>
      </c>
      <c r="L740" s="37">
        <f>SUM(F$5:F740)/SUM(E$5:E740)</f>
        <v/>
      </c>
    </row>
    <row r="741">
      <c r="A741" s="29" t="n">
        <v>45750</v>
      </c>
      <c r="B741" s="37" t="inlineStr">
        <is>
          <t>JOB-1737</t>
        </is>
      </c>
      <c r="C741" s="34" t="n">
        <v>1</v>
      </c>
      <c r="D741" s="37" t="inlineStr">
        <is>
          <t>Tech G</t>
        </is>
      </c>
      <c r="E741" s="35" t="n">
        <v>2.8</v>
      </c>
      <c r="F741" s="35" t="n">
        <v>2.1</v>
      </c>
      <c r="G741" s="37" t="inlineStr">
        <is>
          <t>Y</t>
        </is>
      </c>
      <c r="H741" s="37" t="inlineStr">
        <is>
          <t>N</t>
        </is>
      </c>
      <c r="I741" s="37">
        <f>COUNTIF(G$5:G741,"Y")/COUNTA(G$5:G741)</f>
        <v/>
      </c>
      <c r="J741" s="37">
        <f>COUNTIF(H$5:H741,"Y")/COUNTA(H$5:H741)</f>
        <v/>
      </c>
      <c r="K741" s="37">
        <f>AVERAGE(F$5:F741)</f>
        <v/>
      </c>
      <c r="L741" s="37">
        <f>SUM(F$5:F741)/SUM(E$5:E741)</f>
        <v/>
      </c>
    </row>
    <row r="742">
      <c r="A742" s="29" t="n">
        <v>45751</v>
      </c>
      <c r="B742" s="37" t="inlineStr">
        <is>
          <t>JOB-1738</t>
        </is>
      </c>
      <c r="C742" s="34" t="n">
        <v>1</v>
      </c>
      <c r="D742" s="37" t="inlineStr">
        <is>
          <t>Tech C</t>
        </is>
      </c>
      <c r="E742" s="35" t="n">
        <v>4.4</v>
      </c>
      <c r="F742" s="35" t="n">
        <v>3.6</v>
      </c>
      <c r="G742" s="37" t="inlineStr">
        <is>
          <t>Y</t>
        </is>
      </c>
      <c r="H742" s="37" t="inlineStr">
        <is>
          <t>N</t>
        </is>
      </c>
      <c r="I742" s="37">
        <f>COUNTIF(G$5:G742,"Y")/COUNTA(G$5:G742)</f>
        <v/>
      </c>
      <c r="J742" s="37">
        <f>COUNTIF(H$5:H742,"Y")/COUNTA(H$5:H742)</f>
        <v/>
      </c>
      <c r="K742" s="37">
        <f>AVERAGE(F$5:F742)</f>
        <v/>
      </c>
      <c r="L742" s="37">
        <f>SUM(F$5:F742)/SUM(E$5:E742)</f>
        <v/>
      </c>
    </row>
    <row r="743">
      <c r="A743" s="29" t="n">
        <v>45747</v>
      </c>
      <c r="B743" s="37" t="inlineStr">
        <is>
          <t>JOB-1739</t>
        </is>
      </c>
      <c r="C743" s="34" t="n">
        <v>1</v>
      </c>
      <c r="D743" s="37" t="inlineStr">
        <is>
          <t>Tech F</t>
        </is>
      </c>
      <c r="E743" s="35" t="n">
        <v>2.4</v>
      </c>
      <c r="F743" s="35" t="n">
        <v>1.7</v>
      </c>
      <c r="G743" s="37" t="inlineStr">
        <is>
          <t>Y</t>
        </is>
      </c>
      <c r="H743" s="37" t="inlineStr">
        <is>
          <t>Y</t>
        </is>
      </c>
      <c r="I743" s="37">
        <f>COUNTIF(G$5:G743,"Y")/COUNTA(G$5:G743)</f>
        <v/>
      </c>
      <c r="J743" s="37">
        <f>COUNTIF(H$5:H743,"Y")/COUNTA(H$5:H743)</f>
        <v/>
      </c>
      <c r="K743" s="37">
        <f>AVERAGE(F$5:F743)</f>
        <v/>
      </c>
      <c r="L743" s="37">
        <f>SUM(F$5:F743)/SUM(E$5:E743)</f>
        <v/>
      </c>
    </row>
    <row r="744">
      <c r="A744" s="29" t="n">
        <v>45748</v>
      </c>
      <c r="B744" s="37" t="inlineStr">
        <is>
          <t>JOB-1740</t>
        </is>
      </c>
      <c r="C744" s="34" t="n">
        <v>1</v>
      </c>
      <c r="D744" s="37" t="inlineStr">
        <is>
          <t>Tech A</t>
        </is>
      </c>
      <c r="E744" s="35" t="n">
        <v>4.1</v>
      </c>
      <c r="F744" s="35" t="n">
        <v>3.7</v>
      </c>
      <c r="G744" s="37" t="inlineStr">
        <is>
          <t>Y</t>
        </is>
      </c>
      <c r="H744" s="37" t="inlineStr">
        <is>
          <t>N</t>
        </is>
      </c>
      <c r="I744" s="37">
        <f>COUNTIF(G$5:G744,"Y")/COUNTA(G$5:G744)</f>
        <v/>
      </c>
      <c r="J744" s="37">
        <f>COUNTIF(H$5:H744,"Y")/COUNTA(H$5:H744)</f>
        <v/>
      </c>
      <c r="K744" s="37">
        <f>AVERAGE(F$5:F744)</f>
        <v/>
      </c>
      <c r="L744" s="37">
        <f>SUM(F$5:F744)/SUM(E$5:E744)</f>
        <v/>
      </c>
    </row>
    <row r="745">
      <c r="A745" s="29" t="n">
        <v>45749</v>
      </c>
      <c r="B745" s="37" t="inlineStr">
        <is>
          <t>JOB-1741</t>
        </is>
      </c>
      <c r="C745" s="34" t="n">
        <v>1</v>
      </c>
      <c r="D745" s="37" t="inlineStr">
        <is>
          <t>Tech B</t>
        </is>
      </c>
      <c r="E745" s="35" t="n">
        <v>2.2</v>
      </c>
      <c r="F745" s="35" t="n">
        <v>1.6</v>
      </c>
      <c r="G745" s="37" t="inlineStr">
        <is>
          <t>Y</t>
        </is>
      </c>
      <c r="H745" s="37" t="inlineStr">
        <is>
          <t>N</t>
        </is>
      </c>
      <c r="I745" s="37">
        <f>COUNTIF(G$5:G745,"Y")/COUNTA(G$5:G745)</f>
        <v/>
      </c>
      <c r="J745" s="37">
        <f>COUNTIF(H$5:H745,"Y")/COUNTA(H$5:H745)</f>
        <v/>
      </c>
      <c r="K745" s="37">
        <f>AVERAGE(F$5:F745)</f>
        <v/>
      </c>
      <c r="L745" s="37">
        <f>SUM(F$5:F745)/SUM(E$5:E745)</f>
        <v/>
      </c>
    </row>
    <row r="746">
      <c r="A746" s="29" t="n">
        <v>45750</v>
      </c>
      <c r="B746" s="37" t="inlineStr">
        <is>
          <t>JOB-1742</t>
        </is>
      </c>
      <c r="C746" s="34" t="n">
        <v>1</v>
      </c>
      <c r="D746" s="37" t="inlineStr">
        <is>
          <t>Tech G</t>
        </is>
      </c>
      <c r="E746" s="35" t="n">
        <v>1.8</v>
      </c>
      <c r="F746" s="35" t="n">
        <v>1.6</v>
      </c>
      <c r="G746" s="37" t="inlineStr">
        <is>
          <t>Y</t>
        </is>
      </c>
      <c r="H746" s="37" t="inlineStr">
        <is>
          <t>N</t>
        </is>
      </c>
      <c r="I746" s="37">
        <f>COUNTIF(G$5:G746,"Y")/COUNTA(G$5:G746)</f>
        <v/>
      </c>
      <c r="J746" s="37">
        <f>COUNTIF(H$5:H746,"Y")/COUNTA(H$5:H746)</f>
        <v/>
      </c>
      <c r="K746" s="37">
        <f>AVERAGE(F$5:F746)</f>
        <v/>
      </c>
      <c r="L746" s="37">
        <f>SUM(F$5:F746)/SUM(E$5:E746)</f>
        <v/>
      </c>
    </row>
    <row r="747">
      <c r="A747" s="29" t="n">
        <v>45751</v>
      </c>
      <c r="B747" s="37" t="inlineStr">
        <is>
          <t>JOB-1743</t>
        </is>
      </c>
      <c r="C747" s="34" t="n">
        <v>1</v>
      </c>
      <c r="D747" s="37" t="inlineStr">
        <is>
          <t>Tech H</t>
        </is>
      </c>
      <c r="E747" s="35" t="n">
        <v>3.3</v>
      </c>
      <c r="F747" s="35" t="n">
        <v>2.7</v>
      </c>
      <c r="G747" s="37" t="inlineStr">
        <is>
          <t>Y</t>
        </is>
      </c>
      <c r="H747" s="37" t="inlineStr">
        <is>
          <t>N</t>
        </is>
      </c>
      <c r="I747" s="37">
        <f>COUNTIF(G$5:G747,"Y")/COUNTA(G$5:G747)</f>
        <v/>
      </c>
      <c r="J747" s="37">
        <f>COUNTIF(H$5:H747,"Y")/COUNTA(H$5:H747)</f>
        <v/>
      </c>
      <c r="K747" s="37">
        <f>AVERAGE(F$5:F747)</f>
        <v/>
      </c>
      <c r="L747" s="37">
        <f>SUM(F$5:F747)/SUM(E$5:E747)</f>
        <v/>
      </c>
    </row>
    <row r="748">
      <c r="A748" s="29" t="n">
        <v>45747</v>
      </c>
      <c r="B748" s="37" t="inlineStr">
        <is>
          <t>JOB-1744</t>
        </is>
      </c>
      <c r="C748" s="34" t="n">
        <v>1</v>
      </c>
      <c r="D748" s="37" t="inlineStr">
        <is>
          <t>Tech H</t>
        </is>
      </c>
      <c r="E748" s="35" t="n">
        <v>1.9</v>
      </c>
      <c r="F748" s="35" t="n">
        <v>1.4</v>
      </c>
      <c r="G748" s="37" t="inlineStr">
        <is>
          <t>Y</t>
        </is>
      </c>
      <c r="H748" s="37" t="inlineStr">
        <is>
          <t>N</t>
        </is>
      </c>
      <c r="I748" s="37">
        <f>COUNTIF(G$5:G748,"Y")/COUNTA(G$5:G748)</f>
        <v/>
      </c>
      <c r="J748" s="37">
        <f>COUNTIF(H$5:H748,"Y")/COUNTA(H$5:H748)</f>
        <v/>
      </c>
      <c r="K748" s="37">
        <f>AVERAGE(F$5:F748)</f>
        <v/>
      </c>
      <c r="L748" s="37">
        <f>SUM(F$5:F748)/SUM(E$5:E748)</f>
        <v/>
      </c>
    </row>
    <row r="749">
      <c r="A749" s="29" t="n">
        <v>45748</v>
      </c>
      <c r="B749" s="37" t="inlineStr">
        <is>
          <t>JOB-1745</t>
        </is>
      </c>
      <c r="C749" s="34" t="n">
        <v>1</v>
      </c>
      <c r="D749" s="37" t="inlineStr">
        <is>
          <t>Tech A</t>
        </is>
      </c>
      <c r="E749" s="35" t="n">
        <v>4</v>
      </c>
      <c r="F749" s="35" t="n">
        <v>3.1</v>
      </c>
      <c r="G749" s="37" t="inlineStr">
        <is>
          <t>Y</t>
        </is>
      </c>
      <c r="H749" s="37" t="inlineStr">
        <is>
          <t>N</t>
        </is>
      </c>
      <c r="I749" s="37">
        <f>COUNTIF(G$5:G749,"Y")/COUNTA(G$5:G749)</f>
        <v/>
      </c>
      <c r="J749" s="37">
        <f>COUNTIF(H$5:H749,"Y")/COUNTA(H$5:H749)</f>
        <v/>
      </c>
      <c r="K749" s="37">
        <f>AVERAGE(F$5:F749)</f>
        <v/>
      </c>
      <c r="L749" s="37">
        <f>SUM(F$5:F749)/SUM(E$5:E749)</f>
        <v/>
      </c>
    </row>
    <row r="750">
      <c r="A750" s="29" t="n">
        <v>45749</v>
      </c>
      <c r="B750" s="37" t="inlineStr">
        <is>
          <t>JOB-1746</t>
        </is>
      </c>
      <c r="C750" s="34" t="n">
        <v>1</v>
      </c>
      <c r="D750" s="37" t="inlineStr">
        <is>
          <t>Tech A</t>
        </is>
      </c>
      <c r="E750" s="35" t="n">
        <v>2.6</v>
      </c>
      <c r="F750" s="35" t="n">
        <v>2.2</v>
      </c>
      <c r="G750" s="37" t="inlineStr">
        <is>
          <t>Y</t>
        </is>
      </c>
      <c r="H750" s="37" t="inlineStr">
        <is>
          <t>N</t>
        </is>
      </c>
      <c r="I750" s="37">
        <f>COUNTIF(G$5:G750,"Y")/COUNTA(G$5:G750)</f>
        <v/>
      </c>
      <c r="J750" s="37">
        <f>COUNTIF(H$5:H750,"Y")/COUNTA(H$5:H750)</f>
        <v/>
      </c>
      <c r="K750" s="37">
        <f>AVERAGE(F$5:F750)</f>
        <v/>
      </c>
      <c r="L750" s="37">
        <f>SUM(F$5:F750)/SUM(E$5:E750)</f>
        <v/>
      </c>
    </row>
    <row r="751">
      <c r="A751" s="29" t="n">
        <v>45750</v>
      </c>
      <c r="B751" s="37" t="inlineStr">
        <is>
          <t>JOB-1747</t>
        </is>
      </c>
      <c r="C751" s="34" t="n">
        <v>1</v>
      </c>
      <c r="D751" s="37" t="inlineStr">
        <is>
          <t>Tech H</t>
        </is>
      </c>
      <c r="E751" s="35" t="n">
        <v>5.6</v>
      </c>
      <c r="F751" s="35" t="n">
        <v>4.1</v>
      </c>
      <c r="G751" s="37" t="inlineStr">
        <is>
          <t>Y</t>
        </is>
      </c>
      <c r="H751" s="37" t="inlineStr">
        <is>
          <t>N</t>
        </is>
      </c>
      <c r="I751" s="37">
        <f>COUNTIF(G$5:G751,"Y")/COUNTA(G$5:G751)</f>
        <v/>
      </c>
      <c r="J751" s="37">
        <f>COUNTIF(H$5:H751,"Y")/COUNTA(H$5:H751)</f>
        <v/>
      </c>
      <c r="K751" s="37">
        <f>AVERAGE(F$5:F751)</f>
        <v/>
      </c>
      <c r="L751" s="37">
        <f>SUM(F$5:F751)/SUM(E$5:E751)</f>
        <v/>
      </c>
    </row>
    <row r="752">
      <c r="A752" s="29" t="n">
        <v>45751</v>
      </c>
      <c r="B752" s="37" t="inlineStr">
        <is>
          <t>JOB-1748</t>
        </is>
      </c>
      <c r="C752" s="34" t="n">
        <v>1</v>
      </c>
      <c r="D752" s="37" t="inlineStr">
        <is>
          <t>Tech C</t>
        </is>
      </c>
      <c r="E752" s="35" t="n">
        <v>3.3</v>
      </c>
      <c r="F752" s="35" t="n">
        <v>2.5</v>
      </c>
      <c r="G752" s="37" t="inlineStr">
        <is>
          <t>Y</t>
        </is>
      </c>
      <c r="H752" s="37" t="inlineStr">
        <is>
          <t>N</t>
        </is>
      </c>
      <c r="I752" s="37">
        <f>COUNTIF(G$5:G752,"Y")/COUNTA(G$5:G752)</f>
        <v/>
      </c>
      <c r="J752" s="37">
        <f>COUNTIF(H$5:H752,"Y")/COUNTA(H$5:H752)</f>
        <v/>
      </c>
      <c r="K752" s="37">
        <f>AVERAGE(F$5:F752)</f>
        <v/>
      </c>
      <c r="L752" s="37">
        <f>SUM(F$5:F752)/SUM(E$5:E752)</f>
        <v/>
      </c>
    </row>
    <row r="753">
      <c r="A753" s="29" t="n">
        <v>45747</v>
      </c>
      <c r="B753" s="37" t="inlineStr">
        <is>
          <t>JOB-1749</t>
        </is>
      </c>
      <c r="C753" s="34" t="n">
        <v>1</v>
      </c>
      <c r="D753" s="37" t="inlineStr">
        <is>
          <t>Tech G</t>
        </is>
      </c>
      <c r="E753" s="35" t="n">
        <v>3.1</v>
      </c>
      <c r="F753" s="35" t="n">
        <v>2.6</v>
      </c>
      <c r="G753" s="37" t="inlineStr">
        <is>
          <t>Y</t>
        </is>
      </c>
      <c r="H753" s="37" t="inlineStr">
        <is>
          <t>N</t>
        </is>
      </c>
      <c r="I753" s="37">
        <f>COUNTIF(G$5:G753,"Y")/COUNTA(G$5:G753)</f>
        <v/>
      </c>
      <c r="J753" s="37">
        <f>COUNTIF(H$5:H753,"Y")/COUNTA(H$5:H753)</f>
        <v/>
      </c>
      <c r="K753" s="37">
        <f>AVERAGE(F$5:F753)</f>
        <v/>
      </c>
      <c r="L753" s="37">
        <f>SUM(F$5:F753)/SUM(E$5:E753)</f>
        <v/>
      </c>
    </row>
    <row r="754">
      <c r="A754" s="29" t="n">
        <v>45748</v>
      </c>
      <c r="B754" s="37" t="inlineStr">
        <is>
          <t>JOB-1750</t>
        </is>
      </c>
      <c r="C754" s="34" t="n">
        <v>1</v>
      </c>
      <c r="D754" s="37" t="inlineStr">
        <is>
          <t>Tech F</t>
        </is>
      </c>
      <c r="E754" s="35" t="n">
        <v>4.3</v>
      </c>
      <c r="F754" s="35" t="n">
        <v>3.3</v>
      </c>
      <c r="G754" s="37" t="inlineStr">
        <is>
          <t>Y</t>
        </is>
      </c>
      <c r="H754" s="37" t="inlineStr">
        <is>
          <t>N</t>
        </is>
      </c>
      <c r="I754" s="37">
        <f>COUNTIF(G$5:G754,"Y")/COUNTA(G$5:G754)</f>
        <v/>
      </c>
      <c r="J754" s="37">
        <f>COUNTIF(H$5:H754,"Y")/COUNTA(H$5:H754)</f>
        <v/>
      </c>
      <c r="K754" s="37">
        <f>AVERAGE(F$5:F754)</f>
        <v/>
      </c>
      <c r="L754" s="37">
        <f>SUM(F$5:F754)/SUM(E$5:E754)</f>
        <v/>
      </c>
    </row>
    <row r="755">
      <c r="A755" s="29" t="n">
        <v>45749</v>
      </c>
      <c r="B755" s="37" t="inlineStr">
        <is>
          <t>JOB-1751</t>
        </is>
      </c>
      <c r="C755" s="34" t="n">
        <v>1</v>
      </c>
      <c r="D755" s="37" t="inlineStr">
        <is>
          <t>Tech D</t>
        </is>
      </c>
      <c r="E755" s="35" t="n">
        <v>5</v>
      </c>
      <c r="F755" s="35" t="n">
        <v>3.8</v>
      </c>
      <c r="G755" s="37" t="inlineStr">
        <is>
          <t>Y</t>
        </is>
      </c>
      <c r="H755" s="37" t="inlineStr">
        <is>
          <t>N</t>
        </is>
      </c>
      <c r="I755" s="37">
        <f>COUNTIF(G$5:G755,"Y")/COUNTA(G$5:G755)</f>
        <v/>
      </c>
      <c r="J755" s="37">
        <f>COUNTIF(H$5:H755,"Y")/COUNTA(H$5:H755)</f>
        <v/>
      </c>
      <c r="K755" s="37">
        <f>AVERAGE(F$5:F755)</f>
        <v/>
      </c>
      <c r="L755" s="37">
        <f>SUM(F$5:F755)/SUM(E$5:E755)</f>
        <v/>
      </c>
    </row>
    <row r="756">
      <c r="A756" s="29" t="n">
        <v>45750</v>
      </c>
      <c r="B756" s="37" t="inlineStr">
        <is>
          <t>JOB-1752</t>
        </is>
      </c>
      <c r="C756" s="34" t="n">
        <v>1</v>
      </c>
      <c r="D756" s="37" t="inlineStr">
        <is>
          <t>Tech G</t>
        </is>
      </c>
      <c r="E756" s="35" t="n">
        <v>2.9</v>
      </c>
      <c r="F756" s="35" t="n">
        <v>2.2</v>
      </c>
      <c r="G756" s="37" t="inlineStr">
        <is>
          <t>N</t>
        </is>
      </c>
      <c r="H756" s="37" t="inlineStr">
        <is>
          <t>N</t>
        </is>
      </c>
      <c r="I756" s="37">
        <f>COUNTIF(G$5:G756,"Y")/COUNTA(G$5:G756)</f>
        <v/>
      </c>
      <c r="J756" s="37">
        <f>COUNTIF(H$5:H756,"Y")/COUNTA(H$5:H756)</f>
        <v/>
      </c>
      <c r="K756" s="37">
        <f>AVERAGE(F$5:F756)</f>
        <v/>
      </c>
      <c r="L756" s="37">
        <f>SUM(F$5:F756)/SUM(E$5:E756)</f>
        <v/>
      </c>
    </row>
    <row r="757">
      <c r="A757" s="29" t="n">
        <v>45751</v>
      </c>
      <c r="B757" s="37" t="inlineStr">
        <is>
          <t>JOB-1753</t>
        </is>
      </c>
      <c r="C757" s="34" t="n">
        <v>1</v>
      </c>
      <c r="D757" s="37" t="inlineStr">
        <is>
          <t>Tech F</t>
        </is>
      </c>
      <c r="E757" s="35" t="n">
        <v>4.4</v>
      </c>
      <c r="F757" s="35" t="n">
        <v>3.6</v>
      </c>
      <c r="G757" s="37" t="inlineStr">
        <is>
          <t>Y</t>
        </is>
      </c>
      <c r="H757" s="37" t="inlineStr">
        <is>
          <t>N</t>
        </is>
      </c>
      <c r="I757" s="37">
        <f>COUNTIF(G$5:G757,"Y")/COUNTA(G$5:G757)</f>
        <v/>
      </c>
      <c r="J757" s="37">
        <f>COUNTIF(H$5:H757,"Y")/COUNTA(H$5:H757)</f>
        <v/>
      </c>
      <c r="K757" s="37">
        <f>AVERAGE(F$5:F757)</f>
        <v/>
      </c>
      <c r="L757" s="37">
        <f>SUM(F$5:F757)/SUM(E$5:E757)</f>
        <v/>
      </c>
    </row>
    <row r="758">
      <c r="A758" s="29" t="n">
        <v>45747</v>
      </c>
      <c r="B758" s="37" t="inlineStr">
        <is>
          <t>JOB-1754</t>
        </is>
      </c>
      <c r="C758" s="34" t="n">
        <v>1</v>
      </c>
      <c r="D758" s="37" t="inlineStr">
        <is>
          <t>Tech B</t>
        </is>
      </c>
      <c r="E758" s="35" t="n">
        <v>3.9</v>
      </c>
      <c r="F758" s="35" t="n">
        <v>3.3</v>
      </c>
      <c r="G758" s="37" t="inlineStr">
        <is>
          <t>Y</t>
        </is>
      </c>
      <c r="H758" s="37" t="inlineStr">
        <is>
          <t>N</t>
        </is>
      </c>
      <c r="I758" s="37">
        <f>COUNTIF(G$5:G758,"Y")/COUNTA(G$5:G758)</f>
        <v/>
      </c>
      <c r="J758" s="37">
        <f>COUNTIF(H$5:H758,"Y")/COUNTA(H$5:H758)</f>
        <v/>
      </c>
      <c r="K758" s="37">
        <f>AVERAGE(F$5:F758)</f>
        <v/>
      </c>
      <c r="L758" s="37">
        <f>SUM(F$5:F758)/SUM(E$5:E758)</f>
        <v/>
      </c>
    </row>
    <row r="759">
      <c r="A759" s="29" t="n">
        <v>45748</v>
      </c>
      <c r="B759" s="37" t="inlineStr">
        <is>
          <t>JOB-1755</t>
        </is>
      </c>
      <c r="C759" s="34" t="n">
        <v>1</v>
      </c>
      <c r="D759" s="37" t="inlineStr">
        <is>
          <t>Tech F</t>
        </is>
      </c>
      <c r="E759" s="35" t="n">
        <v>1.8</v>
      </c>
      <c r="F759" s="35" t="n">
        <v>1.7</v>
      </c>
      <c r="G759" s="37" t="inlineStr">
        <is>
          <t>N</t>
        </is>
      </c>
      <c r="H759" s="37" t="inlineStr">
        <is>
          <t>N</t>
        </is>
      </c>
      <c r="I759" s="37">
        <f>COUNTIF(G$5:G759,"Y")/COUNTA(G$5:G759)</f>
        <v/>
      </c>
      <c r="J759" s="37">
        <f>COUNTIF(H$5:H759,"Y")/COUNTA(H$5:H759)</f>
        <v/>
      </c>
      <c r="K759" s="37">
        <f>AVERAGE(F$5:F759)</f>
        <v/>
      </c>
      <c r="L759" s="37">
        <f>SUM(F$5:F759)/SUM(E$5:E759)</f>
        <v/>
      </c>
    </row>
    <row r="760">
      <c r="A760" s="29" t="n">
        <v>45749</v>
      </c>
      <c r="B760" s="37" t="inlineStr">
        <is>
          <t>JOB-1756</t>
        </is>
      </c>
      <c r="C760" s="34" t="n">
        <v>1</v>
      </c>
      <c r="D760" s="37" t="inlineStr">
        <is>
          <t>Tech A</t>
        </is>
      </c>
      <c r="E760" s="35" t="n">
        <v>4.1</v>
      </c>
      <c r="F760" s="35" t="n">
        <v>3.2</v>
      </c>
      <c r="G760" s="37" t="inlineStr">
        <is>
          <t>Y</t>
        </is>
      </c>
      <c r="H760" s="37" t="inlineStr">
        <is>
          <t>N</t>
        </is>
      </c>
      <c r="I760" s="37">
        <f>COUNTIF(G$5:G760,"Y")/COUNTA(G$5:G760)</f>
        <v/>
      </c>
      <c r="J760" s="37">
        <f>COUNTIF(H$5:H760,"Y")/COUNTA(H$5:H760)</f>
        <v/>
      </c>
      <c r="K760" s="37">
        <f>AVERAGE(F$5:F760)</f>
        <v/>
      </c>
      <c r="L760" s="37">
        <f>SUM(F$5:F760)/SUM(E$5:E760)</f>
        <v/>
      </c>
    </row>
    <row r="761">
      <c r="A761" s="29" t="n">
        <v>45750</v>
      </c>
      <c r="B761" s="37" t="inlineStr">
        <is>
          <t>JOB-1757</t>
        </is>
      </c>
      <c r="C761" s="34" t="n">
        <v>1</v>
      </c>
      <c r="D761" s="37" t="inlineStr">
        <is>
          <t>Tech G</t>
        </is>
      </c>
      <c r="E761" s="35" t="n">
        <v>5.1</v>
      </c>
      <c r="F761" s="35" t="n">
        <v>3.7</v>
      </c>
      <c r="G761" s="37" t="inlineStr">
        <is>
          <t>Y</t>
        </is>
      </c>
      <c r="H761" s="37" t="inlineStr">
        <is>
          <t>N</t>
        </is>
      </c>
      <c r="I761" s="37">
        <f>COUNTIF(G$5:G761,"Y")/COUNTA(G$5:G761)</f>
        <v/>
      </c>
      <c r="J761" s="37">
        <f>COUNTIF(H$5:H761,"Y")/COUNTA(H$5:H761)</f>
        <v/>
      </c>
      <c r="K761" s="37">
        <f>AVERAGE(F$5:F761)</f>
        <v/>
      </c>
      <c r="L761" s="37">
        <f>SUM(F$5:F761)/SUM(E$5:E761)</f>
        <v/>
      </c>
    </row>
    <row r="762">
      <c r="A762" s="29" t="n">
        <v>45751</v>
      </c>
      <c r="B762" s="37" t="inlineStr">
        <is>
          <t>JOB-1758</t>
        </is>
      </c>
      <c r="C762" s="34" t="n">
        <v>1</v>
      </c>
      <c r="D762" s="37" t="inlineStr">
        <is>
          <t>Tech D</t>
        </is>
      </c>
      <c r="E762" s="35" t="n">
        <v>2.4</v>
      </c>
      <c r="F762" s="35" t="n">
        <v>2.1</v>
      </c>
      <c r="G762" s="37" t="inlineStr">
        <is>
          <t>Y</t>
        </is>
      </c>
      <c r="H762" s="37" t="inlineStr">
        <is>
          <t>N</t>
        </is>
      </c>
      <c r="I762" s="37">
        <f>COUNTIF(G$5:G762,"Y")/COUNTA(G$5:G762)</f>
        <v/>
      </c>
      <c r="J762" s="37">
        <f>COUNTIF(H$5:H762,"Y")/COUNTA(H$5:H762)</f>
        <v/>
      </c>
      <c r="K762" s="37">
        <f>AVERAGE(F$5:F762)</f>
        <v/>
      </c>
      <c r="L762" s="37">
        <f>SUM(F$5:F762)/SUM(E$5:E762)</f>
        <v/>
      </c>
    </row>
    <row r="763">
      <c r="A763" s="29" t="n">
        <v>45747</v>
      </c>
      <c r="B763" s="37" t="inlineStr">
        <is>
          <t>JOB-1759</t>
        </is>
      </c>
      <c r="C763" s="34" t="n">
        <v>1</v>
      </c>
      <c r="D763" s="37" t="inlineStr">
        <is>
          <t>Tech G</t>
        </is>
      </c>
      <c r="E763" s="35" t="n">
        <v>0.7</v>
      </c>
      <c r="F763" s="35" t="n">
        <v>0.5</v>
      </c>
      <c r="G763" s="37" t="inlineStr">
        <is>
          <t>Y</t>
        </is>
      </c>
      <c r="H763" s="37" t="inlineStr">
        <is>
          <t>N</t>
        </is>
      </c>
      <c r="I763" s="37">
        <f>COUNTIF(G$5:G763,"Y")/COUNTA(G$5:G763)</f>
        <v/>
      </c>
      <c r="J763" s="37">
        <f>COUNTIF(H$5:H763,"Y")/COUNTA(H$5:H763)</f>
        <v/>
      </c>
      <c r="K763" s="37">
        <f>AVERAGE(F$5:F763)</f>
        <v/>
      </c>
      <c r="L763" s="37">
        <f>SUM(F$5:F763)/SUM(E$5:E763)</f>
        <v/>
      </c>
    </row>
    <row r="764">
      <c r="A764" s="29" t="n">
        <v>45748</v>
      </c>
      <c r="B764" s="37" t="inlineStr">
        <is>
          <t>JOB-1760</t>
        </is>
      </c>
      <c r="C764" s="34" t="n">
        <v>1</v>
      </c>
      <c r="D764" s="37" t="inlineStr">
        <is>
          <t>Tech F</t>
        </is>
      </c>
      <c r="E764" s="35" t="n">
        <v>0.5</v>
      </c>
      <c r="F764" s="35" t="n">
        <v>0.5</v>
      </c>
      <c r="G764" s="37" t="inlineStr">
        <is>
          <t>Y</t>
        </is>
      </c>
      <c r="H764" s="37" t="inlineStr">
        <is>
          <t>N</t>
        </is>
      </c>
      <c r="I764" s="37">
        <f>COUNTIF(G$5:G764,"Y")/COUNTA(G$5:G764)</f>
        <v/>
      </c>
      <c r="J764" s="37">
        <f>COUNTIF(H$5:H764,"Y")/COUNTA(H$5:H764)</f>
        <v/>
      </c>
      <c r="K764" s="37">
        <f>AVERAGE(F$5:F764)</f>
        <v/>
      </c>
      <c r="L764" s="37">
        <f>SUM(F$5:F764)/SUM(E$5:E764)</f>
        <v/>
      </c>
    </row>
    <row r="765">
      <c r="A765" s="29" t="n">
        <v>45749</v>
      </c>
      <c r="B765" s="37" t="inlineStr">
        <is>
          <t>JOB-1761</t>
        </is>
      </c>
      <c r="C765" s="34" t="n">
        <v>1</v>
      </c>
      <c r="D765" s="37" t="inlineStr">
        <is>
          <t>Tech D</t>
        </is>
      </c>
      <c r="E765" s="35" t="n">
        <v>0.5</v>
      </c>
      <c r="F765" s="35" t="n">
        <v>0.5</v>
      </c>
      <c r="G765" s="37" t="inlineStr">
        <is>
          <t>Y</t>
        </is>
      </c>
      <c r="H765" s="37" t="inlineStr">
        <is>
          <t>N</t>
        </is>
      </c>
      <c r="I765" s="37">
        <f>COUNTIF(G$5:G765,"Y")/COUNTA(G$5:G765)</f>
        <v/>
      </c>
      <c r="J765" s="37">
        <f>COUNTIF(H$5:H765,"Y")/COUNTA(H$5:H765)</f>
        <v/>
      </c>
      <c r="K765" s="37">
        <f>AVERAGE(F$5:F765)</f>
        <v/>
      </c>
      <c r="L765" s="37">
        <f>SUM(F$5:F765)/SUM(E$5:E765)</f>
        <v/>
      </c>
    </row>
    <row r="766">
      <c r="A766" s="29" t="n">
        <v>45750</v>
      </c>
      <c r="B766" s="37" t="inlineStr">
        <is>
          <t>JOB-1762</t>
        </is>
      </c>
      <c r="C766" s="34" t="n">
        <v>1</v>
      </c>
      <c r="D766" s="37" t="inlineStr">
        <is>
          <t>Tech F</t>
        </is>
      </c>
      <c r="E766" s="35" t="n">
        <v>0.5</v>
      </c>
      <c r="F766" s="35" t="n">
        <v>0.5</v>
      </c>
      <c r="G766" s="37" t="inlineStr">
        <is>
          <t>Y</t>
        </is>
      </c>
      <c r="H766" s="37" t="inlineStr">
        <is>
          <t>N</t>
        </is>
      </c>
      <c r="I766" s="37">
        <f>COUNTIF(G$5:G766,"Y")/COUNTA(G$5:G766)</f>
        <v/>
      </c>
      <c r="J766" s="37">
        <f>COUNTIF(H$5:H766,"Y")/COUNTA(H$5:H766)</f>
        <v/>
      </c>
      <c r="K766" s="37">
        <f>AVERAGE(F$5:F766)</f>
        <v/>
      </c>
      <c r="L766" s="37">
        <f>SUM(F$5:F766)/SUM(E$5:E766)</f>
        <v/>
      </c>
    </row>
    <row r="767">
      <c r="A767" s="29" t="n">
        <v>45751</v>
      </c>
      <c r="B767" s="37" t="inlineStr">
        <is>
          <t>JOB-1763</t>
        </is>
      </c>
      <c r="C767" s="34" t="n">
        <v>1</v>
      </c>
      <c r="D767" s="37" t="inlineStr">
        <is>
          <t>Tech H</t>
        </is>
      </c>
      <c r="E767" s="35" t="n">
        <v>0.5</v>
      </c>
      <c r="F767" s="35" t="n">
        <v>0.5</v>
      </c>
      <c r="G767" s="37" t="inlineStr">
        <is>
          <t>Y</t>
        </is>
      </c>
      <c r="H767" s="37" t="inlineStr">
        <is>
          <t>N</t>
        </is>
      </c>
      <c r="I767" s="37">
        <f>COUNTIF(G$5:G767,"Y")/COUNTA(G$5:G767)</f>
        <v/>
      </c>
      <c r="J767" s="37">
        <f>COUNTIF(H$5:H767,"Y")/COUNTA(H$5:H767)</f>
        <v/>
      </c>
      <c r="K767" s="37">
        <f>AVERAGE(F$5:F767)</f>
        <v/>
      </c>
      <c r="L767" s="37">
        <f>SUM(F$5:F767)/SUM(E$5:E767)</f>
        <v/>
      </c>
    </row>
    <row r="768">
      <c r="A768" s="29" t="n">
        <v>45747</v>
      </c>
      <c r="B768" s="37" t="inlineStr">
        <is>
          <t>JOB-1764</t>
        </is>
      </c>
      <c r="C768" s="34" t="n">
        <v>1</v>
      </c>
      <c r="D768" s="37" t="inlineStr">
        <is>
          <t>Tech G</t>
        </is>
      </c>
      <c r="E768" s="35" t="n">
        <v>0.5</v>
      </c>
      <c r="F768" s="35" t="n">
        <v>0.5</v>
      </c>
      <c r="G768" s="37" t="inlineStr">
        <is>
          <t>Y</t>
        </is>
      </c>
      <c r="H768" s="37" t="inlineStr">
        <is>
          <t>N</t>
        </is>
      </c>
      <c r="I768" s="37">
        <f>COUNTIF(G$5:G768,"Y")/COUNTA(G$5:G768)</f>
        <v/>
      </c>
      <c r="J768" s="37">
        <f>COUNTIF(H$5:H768,"Y")/COUNTA(H$5:H768)</f>
        <v/>
      </c>
      <c r="K768" s="37">
        <f>AVERAGE(F$5:F768)</f>
        <v/>
      </c>
      <c r="L768" s="37">
        <f>SUM(F$5:F768)/SUM(E$5:E768)</f>
        <v/>
      </c>
    </row>
    <row r="769">
      <c r="A769" s="29" t="n">
        <v>45748</v>
      </c>
      <c r="B769" s="37" t="inlineStr">
        <is>
          <t>JOB-1765</t>
        </is>
      </c>
      <c r="C769" s="34" t="n">
        <v>1</v>
      </c>
      <c r="D769" s="37" t="inlineStr">
        <is>
          <t>Tech D</t>
        </is>
      </c>
      <c r="E769" s="35" t="n">
        <v>0.5</v>
      </c>
      <c r="F769" s="35" t="n">
        <v>0.5</v>
      </c>
      <c r="G769" s="37" t="inlineStr">
        <is>
          <t>Y</t>
        </is>
      </c>
      <c r="H769" s="37" t="inlineStr">
        <is>
          <t>Y</t>
        </is>
      </c>
      <c r="I769" s="37">
        <f>COUNTIF(G$5:G769,"Y")/COUNTA(G$5:G769)</f>
        <v/>
      </c>
      <c r="J769" s="37">
        <f>COUNTIF(H$5:H769,"Y")/COUNTA(H$5:H769)</f>
        <v/>
      </c>
      <c r="K769" s="37">
        <f>AVERAGE(F$5:F769)</f>
        <v/>
      </c>
      <c r="L769" s="37">
        <f>SUM(F$5:F769)/SUM(E$5:E769)</f>
        <v/>
      </c>
    </row>
    <row r="770">
      <c r="A770" s="29" t="n">
        <v>45749</v>
      </c>
      <c r="B770" s="37" t="inlineStr">
        <is>
          <t>JOB-1766</t>
        </is>
      </c>
      <c r="C770" s="34" t="n">
        <v>1</v>
      </c>
      <c r="D770" s="37" t="inlineStr">
        <is>
          <t>Tech F</t>
        </is>
      </c>
      <c r="E770" s="35" t="n">
        <v>0.5</v>
      </c>
      <c r="F770" s="35" t="n">
        <v>0.5</v>
      </c>
      <c r="G770" s="37" t="inlineStr">
        <is>
          <t>N</t>
        </is>
      </c>
      <c r="H770" s="37" t="inlineStr">
        <is>
          <t>N</t>
        </is>
      </c>
      <c r="I770" s="37">
        <f>COUNTIF(G$5:G770,"Y")/COUNTA(G$5:G770)</f>
        <v/>
      </c>
      <c r="J770" s="37">
        <f>COUNTIF(H$5:H770,"Y")/COUNTA(H$5:H770)</f>
        <v/>
      </c>
      <c r="K770" s="37">
        <f>AVERAGE(F$5:F770)</f>
        <v/>
      </c>
      <c r="L770" s="37">
        <f>SUM(F$5:F770)/SUM(E$5:E770)</f>
        <v/>
      </c>
      <c r="M770" s="37" t="n">
        <v>7</v>
      </c>
    </row>
    <row r="771">
      <c r="A771" s="29" t="n">
        <v>45754</v>
      </c>
      <c r="B771" s="37" t="inlineStr">
        <is>
          <t>JOB-1767</t>
        </is>
      </c>
      <c r="C771" s="34" t="n">
        <v>1</v>
      </c>
      <c r="D771" s="37" t="inlineStr">
        <is>
          <t>Tech D</t>
        </is>
      </c>
      <c r="E771" s="35" t="n">
        <v>4.7</v>
      </c>
      <c r="F771" s="35" t="n">
        <v>3.6</v>
      </c>
      <c r="G771" s="37" t="inlineStr">
        <is>
          <t>N</t>
        </is>
      </c>
      <c r="H771" s="37" t="inlineStr">
        <is>
          <t>N</t>
        </is>
      </c>
      <c r="I771" s="37">
        <f>COUNTIF(G$5:G771,"Y")/COUNTA(G$5:G771)</f>
        <v/>
      </c>
      <c r="J771" s="37">
        <f>COUNTIF(H$5:H771,"Y")/COUNTA(H$5:H771)</f>
        <v/>
      </c>
      <c r="K771" s="37">
        <f>AVERAGE(F$5:F771)</f>
        <v/>
      </c>
      <c r="L771" s="37">
        <f>SUM(F$5:F771)/SUM(E$5:E771)</f>
        <v/>
      </c>
    </row>
    <row r="772">
      <c r="A772" s="29" t="n">
        <v>45755</v>
      </c>
      <c r="B772" s="37" t="inlineStr">
        <is>
          <t>JOB-1768</t>
        </is>
      </c>
      <c r="C772" s="34" t="n">
        <v>1</v>
      </c>
      <c r="D772" s="37" t="inlineStr">
        <is>
          <t>Tech A</t>
        </is>
      </c>
      <c r="E772" s="35" t="n">
        <v>1.9</v>
      </c>
      <c r="F772" s="35" t="n">
        <v>1.3</v>
      </c>
      <c r="G772" s="37" t="inlineStr">
        <is>
          <t>Y</t>
        </is>
      </c>
      <c r="H772" s="37" t="inlineStr">
        <is>
          <t>N</t>
        </is>
      </c>
      <c r="I772" s="37">
        <f>COUNTIF(G$5:G772,"Y")/COUNTA(G$5:G772)</f>
        <v/>
      </c>
      <c r="J772" s="37">
        <f>COUNTIF(H$5:H772,"Y")/COUNTA(H$5:H772)</f>
        <v/>
      </c>
      <c r="K772" s="37">
        <f>AVERAGE(F$5:F772)</f>
        <v/>
      </c>
      <c r="L772" s="37">
        <f>SUM(F$5:F772)/SUM(E$5:E772)</f>
        <v/>
      </c>
    </row>
    <row r="773">
      <c r="A773" s="29" t="n">
        <v>45756</v>
      </c>
      <c r="B773" s="37" t="inlineStr">
        <is>
          <t>JOB-1769</t>
        </is>
      </c>
      <c r="C773" s="34" t="n">
        <v>1</v>
      </c>
      <c r="D773" s="37" t="inlineStr">
        <is>
          <t>Tech C</t>
        </is>
      </c>
      <c r="E773" s="35" t="n">
        <v>4.1</v>
      </c>
      <c r="F773" s="35" t="n">
        <v>3.1</v>
      </c>
      <c r="G773" s="37" t="inlineStr">
        <is>
          <t>N</t>
        </is>
      </c>
      <c r="H773" s="37" t="inlineStr">
        <is>
          <t>N</t>
        </is>
      </c>
      <c r="I773" s="37">
        <f>COUNTIF(G$5:G773,"Y")/COUNTA(G$5:G773)</f>
        <v/>
      </c>
      <c r="J773" s="37">
        <f>COUNTIF(H$5:H773,"Y")/COUNTA(H$5:H773)</f>
        <v/>
      </c>
      <c r="K773" s="37">
        <f>AVERAGE(F$5:F773)</f>
        <v/>
      </c>
      <c r="L773" s="37">
        <f>SUM(F$5:F773)/SUM(E$5:E773)</f>
        <v/>
      </c>
    </row>
    <row r="774">
      <c r="A774" s="29" t="n">
        <v>45757</v>
      </c>
      <c r="B774" s="37" t="inlineStr">
        <is>
          <t>JOB-1770</t>
        </is>
      </c>
      <c r="C774" s="34" t="n">
        <v>1</v>
      </c>
      <c r="D774" s="37" t="inlineStr">
        <is>
          <t>Tech C</t>
        </is>
      </c>
      <c r="E774" s="35" t="n">
        <v>5.3</v>
      </c>
      <c r="F774" s="35" t="n">
        <v>3.7</v>
      </c>
      <c r="G774" s="37" t="inlineStr">
        <is>
          <t>Y</t>
        </is>
      </c>
      <c r="H774" s="37" t="inlineStr">
        <is>
          <t>N</t>
        </is>
      </c>
      <c r="I774" s="37">
        <f>COUNTIF(G$5:G774,"Y")/COUNTA(G$5:G774)</f>
        <v/>
      </c>
      <c r="J774" s="37">
        <f>COUNTIF(H$5:H774,"Y")/COUNTA(H$5:H774)</f>
        <v/>
      </c>
      <c r="K774" s="37">
        <f>AVERAGE(F$5:F774)</f>
        <v/>
      </c>
      <c r="L774" s="37">
        <f>SUM(F$5:F774)/SUM(E$5:E774)</f>
        <v/>
      </c>
    </row>
    <row r="775">
      <c r="A775" s="29" t="n">
        <v>45758</v>
      </c>
      <c r="B775" s="37" t="inlineStr">
        <is>
          <t>JOB-1771</t>
        </is>
      </c>
      <c r="C775" s="34" t="n">
        <v>1</v>
      </c>
      <c r="D775" s="37" t="inlineStr">
        <is>
          <t>Tech H</t>
        </is>
      </c>
      <c r="E775" s="35" t="n">
        <v>4.1</v>
      </c>
      <c r="F775" s="35" t="n">
        <v>3</v>
      </c>
      <c r="G775" s="37" t="inlineStr">
        <is>
          <t>Y</t>
        </is>
      </c>
      <c r="H775" s="37" t="inlineStr">
        <is>
          <t>N</t>
        </is>
      </c>
      <c r="I775" s="37">
        <f>COUNTIF(G$5:G775,"Y")/COUNTA(G$5:G775)</f>
        <v/>
      </c>
      <c r="J775" s="37">
        <f>COUNTIF(H$5:H775,"Y")/COUNTA(H$5:H775)</f>
        <v/>
      </c>
      <c r="K775" s="37">
        <f>AVERAGE(F$5:F775)</f>
        <v/>
      </c>
      <c r="L775" s="37">
        <f>SUM(F$5:F775)/SUM(E$5:E775)</f>
        <v/>
      </c>
    </row>
    <row r="776">
      <c r="A776" s="29" t="n">
        <v>45754</v>
      </c>
      <c r="B776" s="37" t="inlineStr">
        <is>
          <t>JOB-1772</t>
        </is>
      </c>
      <c r="C776" s="34" t="n">
        <v>1</v>
      </c>
      <c r="D776" s="37" t="inlineStr">
        <is>
          <t>Tech C</t>
        </is>
      </c>
      <c r="E776" s="35" t="n">
        <v>2</v>
      </c>
      <c r="F776" s="35" t="n">
        <v>1.4</v>
      </c>
      <c r="G776" s="37" t="inlineStr">
        <is>
          <t>Y</t>
        </is>
      </c>
      <c r="H776" s="37" t="inlineStr">
        <is>
          <t>N</t>
        </is>
      </c>
      <c r="I776" s="37">
        <f>COUNTIF(G$5:G776,"Y")/COUNTA(G$5:G776)</f>
        <v/>
      </c>
      <c r="J776" s="37">
        <f>COUNTIF(H$5:H776,"Y")/COUNTA(H$5:H776)</f>
        <v/>
      </c>
      <c r="K776" s="37">
        <f>AVERAGE(F$5:F776)</f>
        <v/>
      </c>
      <c r="L776" s="37">
        <f>SUM(F$5:F776)/SUM(E$5:E776)</f>
        <v/>
      </c>
    </row>
    <row r="777">
      <c r="A777" s="29" t="n">
        <v>45755</v>
      </c>
      <c r="B777" s="37" t="inlineStr">
        <is>
          <t>JOB-1773</t>
        </is>
      </c>
      <c r="C777" s="34" t="n">
        <v>1</v>
      </c>
      <c r="D777" s="37" t="inlineStr">
        <is>
          <t>Tech G</t>
        </is>
      </c>
      <c r="E777" s="35" t="n">
        <v>2.4</v>
      </c>
      <c r="F777" s="35" t="n">
        <v>1.6</v>
      </c>
      <c r="G777" s="37" t="inlineStr">
        <is>
          <t>Y</t>
        </is>
      </c>
      <c r="H777" s="37" t="inlineStr">
        <is>
          <t>N</t>
        </is>
      </c>
      <c r="I777" s="37">
        <f>COUNTIF(G$5:G777,"Y")/COUNTA(G$5:G777)</f>
        <v/>
      </c>
      <c r="J777" s="37">
        <f>COUNTIF(H$5:H777,"Y")/COUNTA(H$5:H777)</f>
        <v/>
      </c>
      <c r="K777" s="37">
        <f>AVERAGE(F$5:F777)</f>
        <v/>
      </c>
      <c r="L777" s="37">
        <f>SUM(F$5:F777)/SUM(E$5:E777)</f>
        <v/>
      </c>
    </row>
    <row r="778">
      <c r="A778" s="29" t="n">
        <v>45756</v>
      </c>
      <c r="B778" s="37" t="inlineStr">
        <is>
          <t>JOB-1774</t>
        </is>
      </c>
      <c r="C778" s="34" t="n">
        <v>1</v>
      </c>
      <c r="D778" s="37" t="inlineStr">
        <is>
          <t>Tech C</t>
        </is>
      </c>
      <c r="E778" s="35" t="n">
        <v>5.6</v>
      </c>
      <c r="F778" s="35" t="n">
        <v>3.9</v>
      </c>
      <c r="G778" s="37" t="inlineStr">
        <is>
          <t>Y</t>
        </is>
      </c>
      <c r="H778" s="37" t="inlineStr">
        <is>
          <t>N</t>
        </is>
      </c>
      <c r="I778" s="37">
        <f>COUNTIF(G$5:G778,"Y")/COUNTA(G$5:G778)</f>
        <v/>
      </c>
      <c r="J778" s="37">
        <f>COUNTIF(H$5:H778,"Y")/COUNTA(H$5:H778)</f>
        <v/>
      </c>
      <c r="K778" s="37">
        <f>AVERAGE(F$5:F778)</f>
        <v/>
      </c>
      <c r="L778" s="37">
        <f>SUM(F$5:F778)/SUM(E$5:E778)</f>
        <v/>
      </c>
    </row>
    <row r="779">
      <c r="A779" s="29" t="n">
        <v>45757</v>
      </c>
      <c r="B779" s="37" t="inlineStr">
        <is>
          <t>JOB-1775</t>
        </is>
      </c>
      <c r="C779" s="34" t="n">
        <v>1</v>
      </c>
      <c r="D779" s="37" t="inlineStr">
        <is>
          <t>Tech C</t>
        </is>
      </c>
      <c r="E779" s="35" t="n">
        <v>1.9</v>
      </c>
      <c r="F779" s="35" t="n">
        <v>1.5</v>
      </c>
      <c r="G779" s="37" t="inlineStr">
        <is>
          <t>Y</t>
        </is>
      </c>
      <c r="H779" s="37" t="inlineStr">
        <is>
          <t>N</t>
        </is>
      </c>
      <c r="I779" s="37">
        <f>COUNTIF(G$5:G779,"Y")/COUNTA(G$5:G779)</f>
        <v/>
      </c>
      <c r="J779" s="37">
        <f>COUNTIF(H$5:H779,"Y")/COUNTA(H$5:H779)</f>
        <v/>
      </c>
      <c r="K779" s="37">
        <f>AVERAGE(F$5:F779)</f>
        <v/>
      </c>
      <c r="L779" s="37">
        <f>SUM(F$5:F779)/SUM(E$5:E779)</f>
        <v/>
      </c>
    </row>
    <row r="780">
      <c r="A780" s="29" t="n">
        <v>45758</v>
      </c>
      <c r="B780" s="37" t="inlineStr">
        <is>
          <t>JOB-1776</t>
        </is>
      </c>
      <c r="C780" s="34" t="n">
        <v>1</v>
      </c>
      <c r="D780" s="37" t="inlineStr">
        <is>
          <t>Tech H</t>
        </is>
      </c>
      <c r="E780" s="35" t="n">
        <v>5</v>
      </c>
      <c r="F780" s="35" t="n">
        <v>3.9</v>
      </c>
      <c r="G780" s="37" t="inlineStr">
        <is>
          <t>Y</t>
        </is>
      </c>
      <c r="H780" s="37" t="inlineStr">
        <is>
          <t>N</t>
        </is>
      </c>
      <c r="I780" s="37">
        <f>COUNTIF(G$5:G780,"Y")/COUNTA(G$5:G780)</f>
        <v/>
      </c>
      <c r="J780" s="37">
        <f>COUNTIF(H$5:H780,"Y")/COUNTA(H$5:H780)</f>
        <v/>
      </c>
      <c r="K780" s="37">
        <f>AVERAGE(F$5:F780)</f>
        <v/>
      </c>
      <c r="L780" s="37">
        <f>SUM(F$5:F780)/SUM(E$5:E780)</f>
        <v/>
      </c>
    </row>
    <row r="781">
      <c r="A781" s="29" t="n">
        <v>45754</v>
      </c>
      <c r="B781" s="37" t="inlineStr">
        <is>
          <t>JOB-1777</t>
        </is>
      </c>
      <c r="C781" s="34" t="n">
        <v>1</v>
      </c>
      <c r="D781" s="37" t="inlineStr">
        <is>
          <t>Tech H</t>
        </is>
      </c>
      <c r="E781" s="35" t="n">
        <v>5.4</v>
      </c>
      <c r="F781" s="35" t="n">
        <v>4</v>
      </c>
      <c r="G781" s="37" t="inlineStr">
        <is>
          <t>N</t>
        </is>
      </c>
      <c r="H781" s="37" t="inlineStr">
        <is>
          <t>N</t>
        </is>
      </c>
      <c r="I781" s="37">
        <f>COUNTIF(G$5:G781,"Y")/COUNTA(G$5:G781)</f>
        <v/>
      </c>
      <c r="J781" s="37">
        <f>COUNTIF(H$5:H781,"Y")/COUNTA(H$5:H781)</f>
        <v/>
      </c>
      <c r="K781" s="37">
        <f>AVERAGE(F$5:F781)</f>
        <v/>
      </c>
      <c r="L781" s="37">
        <f>SUM(F$5:F781)/SUM(E$5:E781)</f>
        <v/>
      </c>
    </row>
    <row r="782">
      <c r="A782" s="29" t="n">
        <v>45755</v>
      </c>
      <c r="B782" s="37" t="inlineStr">
        <is>
          <t>JOB-1778</t>
        </is>
      </c>
      <c r="C782" s="34" t="n">
        <v>1</v>
      </c>
      <c r="D782" s="37" t="inlineStr">
        <is>
          <t>Tech H</t>
        </is>
      </c>
      <c r="E782" s="35" t="n">
        <v>4.2</v>
      </c>
      <c r="F782" s="35" t="n">
        <v>3.5</v>
      </c>
      <c r="G782" s="37" t="inlineStr">
        <is>
          <t>Y</t>
        </is>
      </c>
      <c r="H782" s="37" t="inlineStr">
        <is>
          <t>N</t>
        </is>
      </c>
      <c r="I782" s="37">
        <f>COUNTIF(G$5:G782,"Y")/COUNTA(G$5:G782)</f>
        <v/>
      </c>
      <c r="J782" s="37">
        <f>COUNTIF(H$5:H782,"Y")/COUNTA(H$5:H782)</f>
        <v/>
      </c>
      <c r="K782" s="37">
        <f>AVERAGE(F$5:F782)</f>
        <v/>
      </c>
      <c r="L782" s="37">
        <f>SUM(F$5:F782)/SUM(E$5:E782)</f>
        <v/>
      </c>
    </row>
    <row r="783">
      <c r="A783" s="29" t="n">
        <v>45756</v>
      </c>
      <c r="B783" s="37" t="inlineStr">
        <is>
          <t>JOB-1779</t>
        </is>
      </c>
      <c r="C783" s="34" t="n">
        <v>1</v>
      </c>
      <c r="D783" s="37" t="inlineStr">
        <is>
          <t>Tech C</t>
        </is>
      </c>
      <c r="E783" s="35" t="n">
        <v>5.4</v>
      </c>
      <c r="F783" s="35" t="n">
        <v>3.7</v>
      </c>
      <c r="G783" s="37" t="inlineStr">
        <is>
          <t>Y</t>
        </is>
      </c>
      <c r="H783" s="37" t="inlineStr">
        <is>
          <t>N</t>
        </is>
      </c>
      <c r="I783" s="37">
        <f>COUNTIF(G$5:G783,"Y")/COUNTA(G$5:G783)</f>
        <v/>
      </c>
      <c r="J783" s="37">
        <f>COUNTIF(H$5:H783,"Y")/COUNTA(H$5:H783)</f>
        <v/>
      </c>
      <c r="K783" s="37">
        <f>AVERAGE(F$5:F783)</f>
        <v/>
      </c>
      <c r="L783" s="37">
        <f>SUM(F$5:F783)/SUM(E$5:E783)</f>
        <v/>
      </c>
    </row>
    <row r="784">
      <c r="A784" s="29" t="n">
        <v>45757</v>
      </c>
      <c r="B784" s="37" t="inlineStr">
        <is>
          <t>JOB-1780</t>
        </is>
      </c>
      <c r="C784" s="34" t="n">
        <v>1</v>
      </c>
      <c r="D784" s="37" t="inlineStr">
        <is>
          <t>Tech B</t>
        </is>
      </c>
      <c r="E784" s="35" t="n">
        <v>1.6</v>
      </c>
      <c r="F784" s="35" t="n">
        <v>1.3</v>
      </c>
      <c r="G784" s="37" t="inlineStr">
        <is>
          <t>Y</t>
        </is>
      </c>
      <c r="H784" s="37" t="inlineStr">
        <is>
          <t>N</t>
        </is>
      </c>
      <c r="I784" s="37">
        <f>COUNTIF(G$5:G784,"Y")/COUNTA(G$5:G784)</f>
        <v/>
      </c>
      <c r="J784" s="37">
        <f>COUNTIF(H$5:H784,"Y")/COUNTA(H$5:H784)</f>
        <v/>
      </c>
      <c r="K784" s="37">
        <f>AVERAGE(F$5:F784)</f>
        <v/>
      </c>
      <c r="L784" s="37">
        <f>SUM(F$5:F784)/SUM(E$5:E784)</f>
        <v/>
      </c>
    </row>
    <row r="785">
      <c r="A785" s="29" t="n">
        <v>45758</v>
      </c>
      <c r="B785" s="37" t="inlineStr">
        <is>
          <t>JOB-1781</t>
        </is>
      </c>
      <c r="C785" s="34" t="n">
        <v>1</v>
      </c>
      <c r="D785" s="37" t="inlineStr">
        <is>
          <t>Tech B</t>
        </is>
      </c>
      <c r="E785" s="35" t="n">
        <v>2.7</v>
      </c>
      <c r="F785" s="35" t="n">
        <v>2.2</v>
      </c>
      <c r="G785" s="37" t="inlineStr">
        <is>
          <t>Y</t>
        </is>
      </c>
      <c r="H785" s="37" t="inlineStr">
        <is>
          <t>N</t>
        </is>
      </c>
      <c r="I785" s="37">
        <f>COUNTIF(G$5:G785,"Y")/COUNTA(G$5:G785)</f>
        <v/>
      </c>
      <c r="J785" s="37">
        <f>COUNTIF(H$5:H785,"Y")/COUNTA(H$5:H785)</f>
        <v/>
      </c>
      <c r="K785" s="37">
        <f>AVERAGE(F$5:F785)</f>
        <v/>
      </c>
      <c r="L785" s="37">
        <f>SUM(F$5:F785)/SUM(E$5:E785)</f>
        <v/>
      </c>
    </row>
    <row r="786">
      <c r="A786" s="29" t="n">
        <v>45754</v>
      </c>
      <c r="B786" s="37" t="inlineStr">
        <is>
          <t>JOB-1782</t>
        </is>
      </c>
      <c r="C786" s="34" t="n">
        <v>1</v>
      </c>
      <c r="D786" s="37" t="inlineStr">
        <is>
          <t>Tech F</t>
        </is>
      </c>
      <c r="E786" s="35" t="n">
        <v>2.5</v>
      </c>
      <c r="F786" s="35" t="n">
        <v>1.9</v>
      </c>
      <c r="G786" s="37" t="inlineStr">
        <is>
          <t>Y</t>
        </is>
      </c>
      <c r="H786" s="37" t="inlineStr">
        <is>
          <t>N</t>
        </is>
      </c>
      <c r="I786" s="37">
        <f>COUNTIF(G$5:G786,"Y")/COUNTA(G$5:G786)</f>
        <v/>
      </c>
      <c r="J786" s="37">
        <f>COUNTIF(H$5:H786,"Y")/COUNTA(H$5:H786)</f>
        <v/>
      </c>
      <c r="K786" s="37">
        <f>AVERAGE(F$5:F786)</f>
        <v/>
      </c>
      <c r="L786" s="37">
        <f>SUM(F$5:F786)/SUM(E$5:E786)</f>
        <v/>
      </c>
    </row>
    <row r="787">
      <c r="A787" s="29" t="n">
        <v>45755</v>
      </c>
      <c r="B787" s="37" t="inlineStr">
        <is>
          <t>JOB-1783</t>
        </is>
      </c>
      <c r="C787" s="34" t="n">
        <v>1</v>
      </c>
      <c r="D787" s="37" t="inlineStr">
        <is>
          <t>Tech G</t>
        </is>
      </c>
      <c r="E787" s="35" t="n">
        <v>5.1</v>
      </c>
      <c r="F787" s="35" t="n">
        <v>3.6</v>
      </c>
      <c r="G787" s="37" t="inlineStr">
        <is>
          <t>Y</t>
        </is>
      </c>
      <c r="H787" s="37" t="inlineStr">
        <is>
          <t>N</t>
        </is>
      </c>
      <c r="I787" s="37">
        <f>COUNTIF(G$5:G787,"Y")/COUNTA(G$5:G787)</f>
        <v/>
      </c>
      <c r="J787" s="37">
        <f>COUNTIF(H$5:H787,"Y")/COUNTA(H$5:H787)</f>
        <v/>
      </c>
      <c r="K787" s="37">
        <f>AVERAGE(F$5:F787)</f>
        <v/>
      </c>
      <c r="L787" s="37">
        <f>SUM(F$5:F787)/SUM(E$5:E787)</f>
        <v/>
      </c>
    </row>
    <row r="788">
      <c r="A788" s="29" t="n">
        <v>45756</v>
      </c>
      <c r="B788" s="37" t="inlineStr">
        <is>
          <t>JOB-1784</t>
        </is>
      </c>
      <c r="C788" s="34" t="n">
        <v>1</v>
      </c>
      <c r="D788" s="37" t="inlineStr">
        <is>
          <t>Tech B</t>
        </is>
      </c>
      <c r="E788" s="35" t="n">
        <v>3.8</v>
      </c>
      <c r="F788" s="35" t="n">
        <v>2.9</v>
      </c>
      <c r="G788" s="37" t="inlineStr">
        <is>
          <t>Y</t>
        </is>
      </c>
      <c r="H788" s="37" t="inlineStr">
        <is>
          <t>N</t>
        </is>
      </c>
      <c r="I788" s="37">
        <f>COUNTIF(G$5:G788,"Y")/COUNTA(G$5:G788)</f>
        <v/>
      </c>
      <c r="J788" s="37">
        <f>COUNTIF(H$5:H788,"Y")/COUNTA(H$5:H788)</f>
        <v/>
      </c>
      <c r="K788" s="37">
        <f>AVERAGE(F$5:F788)</f>
        <v/>
      </c>
      <c r="L788" s="37">
        <f>SUM(F$5:F788)/SUM(E$5:E788)</f>
        <v/>
      </c>
    </row>
    <row r="789">
      <c r="A789" s="29" t="n">
        <v>45757</v>
      </c>
      <c r="B789" s="37" t="inlineStr">
        <is>
          <t>JOB-1785</t>
        </is>
      </c>
      <c r="C789" s="34" t="n">
        <v>1</v>
      </c>
      <c r="D789" s="37" t="inlineStr">
        <is>
          <t>Tech A</t>
        </is>
      </c>
      <c r="E789" s="35" t="n">
        <v>2.9</v>
      </c>
      <c r="F789" s="35" t="n">
        <v>2.3</v>
      </c>
      <c r="G789" s="37" t="inlineStr">
        <is>
          <t>Y</t>
        </is>
      </c>
      <c r="H789" s="37" t="inlineStr">
        <is>
          <t>N</t>
        </is>
      </c>
      <c r="I789" s="37">
        <f>COUNTIF(G$5:G789,"Y")/COUNTA(G$5:G789)</f>
        <v/>
      </c>
      <c r="J789" s="37">
        <f>COUNTIF(H$5:H789,"Y")/COUNTA(H$5:H789)</f>
        <v/>
      </c>
      <c r="K789" s="37">
        <f>AVERAGE(F$5:F789)</f>
        <v/>
      </c>
      <c r="L789" s="37">
        <f>SUM(F$5:F789)/SUM(E$5:E789)</f>
        <v/>
      </c>
    </row>
    <row r="790">
      <c r="A790" s="29" t="n">
        <v>45758</v>
      </c>
      <c r="B790" s="37" t="inlineStr">
        <is>
          <t>JOB-1786</t>
        </is>
      </c>
      <c r="C790" s="34" t="n">
        <v>1</v>
      </c>
      <c r="D790" s="37" t="inlineStr">
        <is>
          <t>Tech G</t>
        </is>
      </c>
      <c r="E790" s="35" t="n">
        <v>2</v>
      </c>
      <c r="F790" s="35" t="n">
        <v>1.5</v>
      </c>
      <c r="G790" s="37" t="inlineStr">
        <is>
          <t>N</t>
        </is>
      </c>
      <c r="H790" s="37" t="inlineStr">
        <is>
          <t>N</t>
        </is>
      </c>
      <c r="I790" s="37">
        <f>COUNTIF(G$5:G790,"Y")/COUNTA(G$5:G790)</f>
        <v/>
      </c>
      <c r="J790" s="37">
        <f>COUNTIF(H$5:H790,"Y")/COUNTA(H$5:H790)</f>
        <v/>
      </c>
      <c r="K790" s="37">
        <f>AVERAGE(F$5:F790)</f>
        <v/>
      </c>
      <c r="L790" s="37">
        <f>SUM(F$5:F790)/SUM(E$5:E790)</f>
        <v/>
      </c>
    </row>
    <row r="791">
      <c r="A791" s="29" t="n">
        <v>45754</v>
      </c>
      <c r="B791" s="37" t="inlineStr">
        <is>
          <t>JOB-1787</t>
        </is>
      </c>
      <c r="C791" s="34" t="n">
        <v>1</v>
      </c>
      <c r="D791" s="37" t="inlineStr">
        <is>
          <t>Tech G</t>
        </is>
      </c>
      <c r="E791" s="35" t="n">
        <v>4.9</v>
      </c>
      <c r="F791" s="35" t="n">
        <v>3.3</v>
      </c>
      <c r="G791" s="37" t="inlineStr">
        <is>
          <t>Y</t>
        </is>
      </c>
      <c r="H791" s="37" t="inlineStr">
        <is>
          <t>N</t>
        </is>
      </c>
      <c r="I791" s="37">
        <f>COUNTIF(G$5:G791,"Y")/COUNTA(G$5:G791)</f>
        <v/>
      </c>
      <c r="J791" s="37">
        <f>COUNTIF(H$5:H791,"Y")/COUNTA(H$5:H791)</f>
        <v/>
      </c>
      <c r="K791" s="37">
        <f>AVERAGE(F$5:F791)</f>
        <v/>
      </c>
      <c r="L791" s="37">
        <f>SUM(F$5:F791)/SUM(E$5:E791)</f>
        <v/>
      </c>
    </row>
    <row r="792">
      <c r="A792" s="29" t="n">
        <v>45755</v>
      </c>
      <c r="B792" s="37" t="inlineStr">
        <is>
          <t>JOB-1788</t>
        </is>
      </c>
      <c r="C792" s="34" t="n">
        <v>1</v>
      </c>
      <c r="D792" s="37" t="inlineStr">
        <is>
          <t>Tech G</t>
        </is>
      </c>
      <c r="E792" s="35" t="n">
        <v>4.9</v>
      </c>
      <c r="F792" s="35" t="n">
        <v>3.7</v>
      </c>
      <c r="G792" s="37" t="inlineStr">
        <is>
          <t>Y</t>
        </is>
      </c>
      <c r="H792" s="37" t="inlineStr">
        <is>
          <t>N</t>
        </is>
      </c>
      <c r="I792" s="37">
        <f>COUNTIF(G$5:G792,"Y")/COUNTA(G$5:G792)</f>
        <v/>
      </c>
      <c r="J792" s="37">
        <f>COUNTIF(H$5:H792,"Y")/COUNTA(H$5:H792)</f>
        <v/>
      </c>
      <c r="K792" s="37">
        <f>AVERAGE(F$5:F792)</f>
        <v/>
      </c>
      <c r="L792" s="37">
        <f>SUM(F$5:F792)/SUM(E$5:E792)</f>
        <v/>
      </c>
    </row>
    <row r="793">
      <c r="A793" s="29" t="n">
        <v>45756</v>
      </c>
      <c r="B793" s="37" t="inlineStr">
        <is>
          <t>JOB-1789</t>
        </is>
      </c>
      <c r="C793" s="34" t="n">
        <v>1</v>
      </c>
      <c r="D793" s="37" t="inlineStr">
        <is>
          <t>Tech G</t>
        </is>
      </c>
      <c r="E793" s="35" t="n">
        <v>1.7</v>
      </c>
      <c r="F793" s="35" t="n">
        <v>1.4</v>
      </c>
      <c r="G793" s="37" t="inlineStr">
        <is>
          <t>Y</t>
        </is>
      </c>
      <c r="H793" s="37" t="inlineStr">
        <is>
          <t>N</t>
        </is>
      </c>
      <c r="I793" s="37">
        <f>COUNTIF(G$5:G793,"Y")/COUNTA(G$5:G793)</f>
        <v/>
      </c>
      <c r="J793" s="37">
        <f>COUNTIF(H$5:H793,"Y")/COUNTA(H$5:H793)</f>
        <v/>
      </c>
      <c r="K793" s="37">
        <f>AVERAGE(F$5:F793)</f>
        <v/>
      </c>
      <c r="L793" s="37">
        <f>SUM(F$5:F793)/SUM(E$5:E793)</f>
        <v/>
      </c>
    </row>
    <row r="794">
      <c r="A794" s="29" t="n">
        <v>45757</v>
      </c>
      <c r="B794" s="37" t="inlineStr">
        <is>
          <t>JOB-1790</t>
        </is>
      </c>
      <c r="C794" s="34" t="n">
        <v>1</v>
      </c>
      <c r="D794" s="37" t="inlineStr">
        <is>
          <t>Tech F</t>
        </is>
      </c>
      <c r="E794" s="35" t="n">
        <v>3.2</v>
      </c>
      <c r="F794" s="35" t="n">
        <v>2.6</v>
      </c>
      <c r="G794" s="37" t="inlineStr">
        <is>
          <t>Y</t>
        </is>
      </c>
      <c r="H794" s="37" t="inlineStr">
        <is>
          <t>N</t>
        </is>
      </c>
      <c r="I794" s="37">
        <f>COUNTIF(G$5:G794,"Y")/COUNTA(G$5:G794)</f>
        <v/>
      </c>
      <c r="J794" s="37">
        <f>COUNTIF(H$5:H794,"Y")/COUNTA(H$5:H794)</f>
        <v/>
      </c>
      <c r="K794" s="37">
        <f>AVERAGE(F$5:F794)</f>
        <v/>
      </c>
      <c r="L794" s="37">
        <f>SUM(F$5:F794)/SUM(E$5:E794)</f>
        <v/>
      </c>
    </row>
    <row r="795">
      <c r="A795" s="29" t="n">
        <v>45758</v>
      </c>
      <c r="B795" s="37" t="inlineStr">
        <is>
          <t>JOB-1791</t>
        </is>
      </c>
      <c r="C795" s="34" t="n">
        <v>1</v>
      </c>
      <c r="D795" s="37" t="inlineStr">
        <is>
          <t>Tech D</t>
        </is>
      </c>
      <c r="E795" s="35" t="n">
        <v>2.9</v>
      </c>
      <c r="F795" s="35" t="n">
        <v>2.3</v>
      </c>
      <c r="G795" s="37" t="inlineStr">
        <is>
          <t>Y</t>
        </is>
      </c>
      <c r="H795" s="37" t="inlineStr">
        <is>
          <t>N</t>
        </is>
      </c>
      <c r="I795" s="37">
        <f>COUNTIF(G$5:G795,"Y")/COUNTA(G$5:G795)</f>
        <v/>
      </c>
      <c r="J795" s="37">
        <f>COUNTIF(H$5:H795,"Y")/COUNTA(H$5:H795)</f>
        <v/>
      </c>
      <c r="K795" s="37">
        <f>AVERAGE(F$5:F795)</f>
        <v/>
      </c>
      <c r="L795" s="37">
        <f>SUM(F$5:F795)/SUM(E$5:E795)</f>
        <v/>
      </c>
    </row>
    <row r="796">
      <c r="A796" s="29" t="n">
        <v>45754</v>
      </c>
      <c r="B796" s="37" t="inlineStr">
        <is>
          <t>JOB-1792</t>
        </is>
      </c>
      <c r="C796" s="34" t="n">
        <v>1</v>
      </c>
      <c r="D796" s="37" t="inlineStr">
        <is>
          <t>Tech H</t>
        </is>
      </c>
      <c r="E796" s="35" t="n">
        <v>3.4</v>
      </c>
      <c r="F796" s="35" t="n">
        <v>2.5</v>
      </c>
      <c r="G796" s="37" t="inlineStr">
        <is>
          <t>Y</t>
        </is>
      </c>
      <c r="H796" s="37" t="inlineStr">
        <is>
          <t>N</t>
        </is>
      </c>
      <c r="I796" s="37">
        <f>COUNTIF(G$5:G796,"Y")/COUNTA(G$5:G796)</f>
        <v/>
      </c>
      <c r="J796" s="37">
        <f>COUNTIF(H$5:H796,"Y")/COUNTA(H$5:H796)</f>
        <v/>
      </c>
      <c r="K796" s="37">
        <f>AVERAGE(F$5:F796)</f>
        <v/>
      </c>
      <c r="L796" s="37">
        <f>SUM(F$5:F796)/SUM(E$5:E796)</f>
        <v/>
      </c>
    </row>
    <row r="797">
      <c r="A797" s="29" t="n">
        <v>45755</v>
      </c>
      <c r="B797" s="37" t="inlineStr">
        <is>
          <t>JOB-1793</t>
        </is>
      </c>
      <c r="C797" s="34" t="n">
        <v>1</v>
      </c>
      <c r="D797" s="37" t="inlineStr">
        <is>
          <t>Tech C</t>
        </is>
      </c>
      <c r="E797" s="35" t="n">
        <v>1.5</v>
      </c>
      <c r="F797" s="35" t="n">
        <v>1.2</v>
      </c>
      <c r="G797" s="37" t="inlineStr">
        <is>
          <t>Y</t>
        </is>
      </c>
      <c r="H797" s="37" t="inlineStr">
        <is>
          <t>N</t>
        </is>
      </c>
      <c r="I797" s="37">
        <f>COUNTIF(G$5:G797,"Y")/COUNTA(G$5:G797)</f>
        <v/>
      </c>
      <c r="J797" s="37">
        <f>COUNTIF(H$5:H797,"Y")/COUNTA(H$5:H797)</f>
        <v/>
      </c>
      <c r="K797" s="37">
        <f>AVERAGE(F$5:F797)</f>
        <v/>
      </c>
      <c r="L797" s="37">
        <f>SUM(F$5:F797)/SUM(E$5:E797)</f>
        <v/>
      </c>
    </row>
    <row r="798">
      <c r="A798" s="29" t="n">
        <v>45756</v>
      </c>
      <c r="B798" s="37" t="inlineStr">
        <is>
          <t>JOB-1794</t>
        </is>
      </c>
      <c r="C798" s="34" t="n">
        <v>1</v>
      </c>
      <c r="D798" s="37" t="inlineStr">
        <is>
          <t>Tech H</t>
        </is>
      </c>
      <c r="E798" s="35" t="n">
        <v>2</v>
      </c>
      <c r="F798" s="35" t="n">
        <v>1.5</v>
      </c>
      <c r="G798" s="37" t="inlineStr">
        <is>
          <t>Y</t>
        </is>
      </c>
      <c r="H798" s="37" t="inlineStr">
        <is>
          <t>N</t>
        </is>
      </c>
      <c r="I798" s="37">
        <f>COUNTIF(G$5:G798,"Y")/COUNTA(G$5:G798)</f>
        <v/>
      </c>
      <c r="J798" s="37">
        <f>COUNTIF(H$5:H798,"Y")/COUNTA(H$5:H798)</f>
        <v/>
      </c>
      <c r="K798" s="37">
        <f>AVERAGE(F$5:F798)</f>
        <v/>
      </c>
      <c r="L798" s="37">
        <f>SUM(F$5:F798)/SUM(E$5:E798)</f>
        <v/>
      </c>
    </row>
    <row r="799">
      <c r="A799" s="29" t="n">
        <v>45757</v>
      </c>
      <c r="B799" s="37" t="inlineStr">
        <is>
          <t>JOB-1795</t>
        </is>
      </c>
      <c r="C799" s="34" t="n">
        <v>1</v>
      </c>
      <c r="D799" s="37" t="inlineStr">
        <is>
          <t>Tech B</t>
        </is>
      </c>
      <c r="E799" s="35" t="n">
        <v>3.5</v>
      </c>
      <c r="F799" s="35" t="n">
        <v>3.1</v>
      </c>
      <c r="G799" s="37" t="inlineStr">
        <is>
          <t>Y</t>
        </is>
      </c>
      <c r="H799" s="37" t="inlineStr">
        <is>
          <t>N</t>
        </is>
      </c>
      <c r="I799" s="37">
        <f>COUNTIF(G$5:G799,"Y")/COUNTA(G$5:G799)</f>
        <v/>
      </c>
      <c r="J799" s="37">
        <f>COUNTIF(H$5:H799,"Y")/COUNTA(H$5:H799)</f>
        <v/>
      </c>
      <c r="K799" s="37">
        <f>AVERAGE(F$5:F799)</f>
        <v/>
      </c>
      <c r="L799" s="37">
        <f>SUM(F$5:F799)/SUM(E$5:E799)</f>
        <v/>
      </c>
    </row>
    <row r="800">
      <c r="A800" s="29" t="n">
        <v>45758</v>
      </c>
      <c r="B800" s="37" t="inlineStr">
        <is>
          <t>JOB-1796</t>
        </is>
      </c>
      <c r="C800" s="34" t="n">
        <v>1</v>
      </c>
      <c r="D800" s="37" t="inlineStr">
        <is>
          <t>Tech H</t>
        </is>
      </c>
      <c r="E800" s="35" t="n">
        <v>4.5</v>
      </c>
      <c r="F800" s="35" t="n">
        <v>3.6</v>
      </c>
      <c r="G800" s="37" t="inlineStr">
        <is>
          <t>Y</t>
        </is>
      </c>
      <c r="H800" s="37" t="inlineStr">
        <is>
          <t>N</t>
        </is>
      </c>
      <c r="I800" s="37">
        <f>COUNTIF(G$5:G800,"Y")/COUNTA(G$5:G800)</f>
        <v/>
      </c>
      <c r="J800" s="37">
        <f>COUNTIF(H$5:H800,"Y")/COUNTA(H$5:H800)</f>
        <v/>
      </c>
      <c r="K800" s="37">
        <f>AVERAGE(F$5:F800)</f>
        <v/>
      </c>
      <c r="L800" s="37">
        <f>SUM(F$5:F800)/SUM(E$5:E800)</f>
        <v/>
      </c>
    </row>
    <row r="801">
      <c r="A801" s="29" t="n">
        <v>45754</v>
      </c>
      <c r="B801" s="37" t="inlineStr">
        <is>
          <t>JOB-1797</t>
        </is>
      </c>
      <c r="C801" s="34" t="n">
        <v>1</v>
      </c>
      <c r="D801" s="37" t="inlineStr">
        <is>
          <t>Tech A</t>
        </is>
      </c>
      <c r="E801" s="35" t="n">
        <v>2.5</v>
      </c>
      <c r="F801" s="35" t="n">
        <v>1.8</v>
      </c>
      <c r="G801" s="37" t="inlineStr">
        <is>
          <t>Y</t>
        </is>
      </c>
      <c r="H801" s="37" t="inlineStr">
        <is>
          <t>N</t>
        </is>
      </c>
      <c r="I801" s="37">
        <f>COUNTIF(G$5:G801,"Y")/COUNTA(G$5:G801)</f>
        <v/>
      </c>
      <c r="J801" s="37">
        <f>COUNTIF(H$5:H801,"Y")/COUNTA(H$5:H801)</f>
        <v/>
      </c>
      <c r="K801" s="37">
        <f>AVERAGE(F$5:F801)</f>
        <v/>
      </c>
      <c r="L801" s="37">
        <f>SUM(F$5:F801)/SUM(E$5:E801)</f>
        <v/>
      </c>
    </row>
    <row r="802">
      <c r="A802" s="29" t="n">
        <v>45755</v>
      </c>
      <c r="B802" s="37" t="inlineStr">
        <is>
          <t>JOB-1798</t>
        </is>
      </c>
      <c r="C802" s="34" t="n">
        <v>1</v>
      </c>
      <c r="D802" s="37" t="inlineStr">
        <is>
          <t>Tech H</t>
        </is>
      </c>
      <c r="E802" s="35" t="n">
        <v>5.4</v>
      </c>
      <c r="F802" s="35" t="n">
        <v>3.7</v>
      </c>
      <c r="G802" s="37" t="inlineStr">
        <is>
          <t>Y</t>
        </is>
      </c>
      <c r="H802" s="37" t="inlineStr">
        <is>
          <t>Y</t>
        </is>
      </c>
      <c r="I802" s="37">
        <f>COUNTIF(G$5:G802,"Y")/COUNTA(G$5:G802)</f>
        <v/>
      </c>
      <c r="J802" s="37">
        <f>COUNTIF(H$5:H802,"Y")/COUNTA(H$5:H802)</f>
        <v/>
      </c>
      <c r="K802" s="37">
        <f>AVERAGE(F$5:F802)</f>
        <v/>
      </c>
      <c r="L802" s="37">
        <f>SUM(F$5:F802)/SUM(E$5:E802)</f>
        <v/>
      </c>
    </row>
    <row r="803">
      <c r="A803" s="29" t="n">
        <v>45756</v>
      </c>
      <c r="B803" s="37" t="inlineStr">
        <is>
          <t>JOB-1799</t>
        </is>
      </c>
      <c r="C803" s="34" t="n">
        <v>1</v>
      </c>
      <c r="D803" s="37" t="inlineStr">
        <is>
          <t>Tech D</t>
        </is>
      </c>
      <c r="E803" s="35" t="n">
        <v>1.7</v>
      </c>
      <c r="F803" s="35" t="n">
        <v>1.2</v>
      </c>
      <c r="G803" s="37" t="inlineStr">
        <is>
          <t>Y</t>
        </is>
      </c>
      <c r="H803" s="37" t="inlineStr">
        <is>
          <t>Y</t>
        </is>
      </c>
      <c r="I803" s="37">
        <f>COUNTIF(G$5:G803,"Y")/COUNTA(G$5:G803)</f>
        <v/>
      </c>
      <c r="J803" s="37">
        <f>COUNTIF(H$5:H803,"Y")/COUNTA(H$5:H803)</f>
        <v/>
      </c>
      <c r="K803" s="37">
        <f>AVERAGE(F$5:F803)</f>
        <v/>
      </c>
      <c r="L803" s="37">
        <f>SUM(F$5:F803)/SUM(E$5:E803)</f>
        <v/>
      </c>
    </row>
    <row r="804">
      <c r="A804" s="29" t="n">
        <v>45757</v>
      </c>
      <c r="B804" s="37" t="inlineStr">
        <is>
          <t>JOB-1800</t>
        </is>
      </c>
      <c r="C804" s="34" t="n">
        <v>1</v>
      </c>
      <c r="D804" s="37" t="inlineStr">
        <is>
          <t>Tech C</t>
        </is>
      </c>
      <c r="E804" s="35" t="n">
        <v>2.4</v>
      </c>
      <c r="F804" s="35" t="n">
        <v>2</v>
      </c>
      <c r="G804" s="37" t="inlineStr">
        <is>
          <t>Y</t>
        </is>
      </c>
      <c r="H804" s="37" t="inlineStr">
        <is>
          <t>N</t>
        </is>
      </c>
      <c r="I804" s="37">
        <f>COUNTIF(G$5:G804,"Y")/COUNTA(G$5:G804)</f>
        <v/>
      </c>
      <c r="J804" s="37">
        <f>COUNTIF(H$5:H804,"Y")/COUNTA(H$5:H804)</f>
        <v/>
      </c>
      <c r="K804" s="37">
        <f>AVERAGE(F$5:F804)</f>
        <v/>
      </c>
      <c r="L804" s="37">
        <f>SUM(F$5:F804)/SUM(E$5:E804)</f>
        <v/>
      </c>
    </row>
    <row r="805">
      <c r="A805" s="29" t="n">
        <v>45758</v>
      </c>
      <c r="B805" s="37" t="inlineStr">
        <is>
          <t>JOB-1801</t>
        </is>
      </c>
      <c r="C805" s="34" t="n">
        <v>1</v>
      </c>
      <c r="D805" s="37" t="inlineStr">
        <is>
          <t>Tech C</t>
        </is>
      </c>
      <c r="E805" s="35" t="n">
        <v>3.5</v>
      </c>
      <c r="F805" s="35" t="n">
        <v>2.5</v>
      </c>
      <c r="G805" s="37" t="inlineStr">
        <is>
          <t>Y</t>
        </is>
      </c>
      <c r="H805" s="37" t="inlineStr">
        <is>
          <t>N</t>
        </is>
      </c>
      <c r="I805" s="37">
        <f>COUNTIF(G$5:G805,"Y")/COUNTA(G$5:G805)</f>
        <v/>
      </c>
      <c r="J805" s="37">
        <f>COUNTIF(H$5:H805,"Y")/COUNTA(H$5:H805)</f>
        <v/>
      </c>
      <c r="K805" s="37">
        <f>AVERAGE(F$5:F805)</f>
        <v/>
      </c>
      <c r="L805" s="37">
        <f>SUM(F$5:F805)/SUM(E$5:E805)</f>
        <v/>
      </c>
    </row>
    <row r="806">
      <c r="A806" s="29" t="n">
        <v>45754</v>
      </c>
      <c r="B806" s="37" t="inlineStr">
        <is>
          <t>JOB-1802</t>
        </is>
      </c>
      <c r="C806" s="34" t="n">
        <v>1</v>
      </c>
      <c r="D806" s="37" t="inlineStr">
        <is>
          <t>Tech D</t>
        </is>
      </c>
      <c r="E806" s="35" t="n">
        <v>2</v>
      </c>
      <c r="F806" s="35" t="n">
        <v>1.4</v>
      </c>
      <c r="G806" s="37" t="inlineStr">
        <is>
          <t>Y</t>
        </is>
      </c>
      <c r="H806" s="37" t="inlineStr">
        <is>
          <t>N</t>
        </is>
      </c>
      <c r="I806" s="37">
        <f>COUNTIF(G$5:G806,"Y")/COUNTA(G$5:G806)</f>
        <v/>
      </c>
      <c r="J806" s="37">
        <f>COUNTIF(H$5:H806,"Y")/COUNTA(H$5:H806)</f>
        <v/>
      </c>
      <c r="K806" s="37">
        <f>AVERAGE(F$5:F806)</f>
        <v/>
      </c>
      <c r="L806" s="37">
        <f>SUM(F$5:F806)/SUM(E$5:E806)</f>
        <v/>
      </c>
    </row>
    <row r="807">
      <c r="A807" s="29" t="n">
        <v>45755</v>
      </c>
      <c r="B807" s="37" t="inlineStr">
        <is>
          <t>JOB-1803</t>
        </is>
      </c>
      <c r="C807" s="34" t="n">
        <v>1</v>
      </c>
      <c r="D807" s="37" t="inlineStr">
        <is>
          <t>Tech D</t>
        </is>
      </c>
      <c r="E807" s="35" t="n">
        <v>0.6</v>
      </c>
      <c r="F807" s="35" t="n">
        <v>1.5</v>
      </c>
      <c r="G807" s="37" t="inlineStr">
        <is>
          <t>Y</t>
        </is>
      </c>
      <c r="H807" s="37" t="inlineStr">
        <is>
          <t>N</t>
        </is>
      </c>
      <c r="I807" s="37">
        <f>COUNTIF(G$5:G807,"Y")/COUNTA(G$5:G807)</f>
        <v/>
      </c>
      <c r="J807" s="37">
        <f>COUNTIF(H$5:H807,"Y")/COUNTA(H$5:H807)</f>
        <v/>
      </c>
      <c r="K807" s="37">
        <f>AVERAGE(F$5:F807)</f>
        <v/>
      </c>
      <c r="L807" s="37">
        <f>SUM(F$5:F807)/SUM(E$5:E807)</f>
        <v/>
      </c>
    </row>
    <row r="808">
      <c r="A808" s="29" t="n">
        <v>45756</v>
      </c>
      <c r="B808" s="37" t="inlineStr">
        <is>
          <t>JOB-1804</t>
        </is>
      </c>
      <c r="C808" s="34" t="n">
        <v>1</v>
      </c>
      <c r="D808" s="37" t="inlineStr">
        <is>
          <t>Tech D</t>
        </is>
      </c>
      <c r="E808" s="35" t="n">
        <v>0.5</v>
      </c>
      <c r="F808" s="35" t="n">
        <v>0.6</v>
      </c>
      <c r="G808" s="37" t="inlineStr">
        <is>
          <t>Y</t>
        </is>
      </c>
      <c r="H808" s="37" t="inlineStr">
        <is>
          <t>N</t>
        </is>
      </c>
      <c r="I808" s="37">
        <f>COUNTIF(G$5:G808,"Y")/COUNTA(G$5:G808)</f>
        <v/>
      </c>
      <c r="J808" s="37">
        <f>COUNTIF(H$5:H808,"Y")/COUNTA(H$5:H808)</f>
        <v/>
      </c>
      <c r="K808" s="37">
        <f>AVERAGE(F$5:F808)</f>
        <v/>
      </c>
      <c r="L808" s="37">
        <f>SUM(F$5:F808)/SUM(E$5:E808)</f>
        <v/>
      </c>
    </row>
    <row r="809">
      <c r="A809" s="29" t="n">
        <v>45757</v>
      </c>
      <c r="B809" s="37" t="inlineStr">
        <is>
          <t>JOB-1805</t>
        </is>
      </c>
      <c r="C809" s="34" t="n">
        <v>1</v>
      </c>
      <c r="D809" s="37" t="inlineStr">
        <is>
          <t>Tech H</t>
        </is>
      </c>
      <c r="E809" s="35" t="n">
        <v>0.5</v>
      </c>
      <c r="F809" s="35" t="n">
        <v>0.5</v>
      </c>
      <c r="G809" s="37" t="inlineStr">
        <is>
          <t>Y</t>
        </is>
      </c>
      <c r="H809" s="37" t="inlineStr">
        <is>
          <t>N</t>
        </is>
      </c>
      <c r="I809" s="37">
        <f>COUNTIF(G$5:G809,"Y")/COUNTA(G$5:G809)</f>
        <v/>
      </c>
      <c r="J809" s="37">
        <f>COUNTIF(H$5:H809,"Y")/COUNTA(H$5:H809)</f>
        <v/>
      </c>
      <c r="K809" s="37">
        <f>AVERAGE(F$5:F809)</f>
        <v/>
      </c>
      <c r="L809" s="37">
        <f>SUM(F$5:F809)/SUM(E$5:E809)</f>
        <v/>
      </c>
    </row>
    <row r="810">
      <c r="A810" s="29" t="n">
        <v>45758</v>
      </c>
      <c r="B810" s="37" t="inlineStr">
        <is>
          <t>JOB-1806</t>
        </is>
      </c>
      <c r="C810" s="34" t="n">
        <v>1</v>
      </c>
      <c r="D810" s="37" t="inlineStr">
        <is>
          <t>Tech A</t>
        </is>
      </c>
      <c r="E810" s="35" t="n">
        <v>0.5</v>
      </c>
      <c r="F810" s="35" t="n">
        <v>0.5</v>
      </c>
      <c r="G810" s="37" t="inlineStr">
        <is>
          <t>N</t>
        </is>
      </c>
      <c r="H810" s="37" t="inlineStr">
        <is>
          <t>N</t>
        </is>
      </c>
      <c r="I810" s="37">
        <f>COUNTIF(G$5:G810,"Y")/COUNTA(G$5:G810)</f>
        <v/>
      </c>
      <c r="J810" s="37">
        <f>COUNTIF(H$5:H810,"Y")/COUNTA(H$5:H810)</f>
        <v/>
      </c>
      <c r="K810" s="37">
        <f>AVERAGE(F$5:F810)</f>
        <v/>
      </c>
      <c r="L810" s="37">
        <f>SUM(F$5:F810)/SUM(E$5:E810)</f>
        <v/>
      </c>
    </row>
    <row r="811">
      <c r="A811" s="29" t="n">
        <v>45754</v>
      </c>
      <c r="B811" s="37" t="inlineStr">
        <is>
          <t>JOB-1807</t>
        </is>
      </c>
      <c r="C811" s="34" t="n">
        <v>1</v>
      </c>
      <c r="D811" s="37" t="inlineStr">
        <is>
          <t>Tech F</t>
        </is>
      </c>
      <c r="E811" s="35" t="n">
        <v>0.5</v>
      </c>
      <c r="F811" s="35" t="n">
        <v>0.5</v>
      </c>
      <c r="G811" s="37" t="inlineStr">
        <is>
          <t>Y</t>
        </is>
      </c>
      <c r="H811" s="37" t="inlineStr">
        <is>
          <t>N</t>
        </is>
      </c>
      <c r="I811" s="37">
        <f>COUNTIF(G$5:G811,"Y")/COUNTA(G$5:G811)</f>
        <v/>
      </c>
      <c r="J811" s="37">
        <f>COUNTIF(H$5:H811,"Y")/COUNTA(H$5:H811)</f>
        <v/>
      </c>
      <c r="K811" s="37">
        <f>AVERAGE(F$5:F811)</f>
        <v/>
      </c>
      <c r="L811" s="37">
        <f>SUM(F$5:F811)/SUM(E$5:E811)</f>
        <v/>
      </c>
    </row>
    <row r="812">
      <c r="A812" s="29" t="n">
        <v>45755</v>
      </c>
      <c r="B812" s="37" t="inlineStr">
        <is>
          <t>JOB-1808</t>
        </is>
      </c>
      <c r="C812" s="34" t="n">
        <v>1</v>
      </c>
      <c r="D812" s="37" t="inlineStr">
        <is>
          <t>Tech H</t>
        </is>
      </c>
      <c r="E812" s="35" t="n">
        <v>0.5</v>
      </c>
      <c r="F812" s="35" t="n">
        <v>0.5</v>
      </c>
      <c r="G812" s="37" t="inlineStr">
        <is>
          <t>Y</t>
        </is>
      </c>
      <c r="H812" s="37" t="inlineStr">
        <is>
          <t>N</t>
        </is>
      </c>
      <c r="I812" s="37">
        <f>COUNTIF(G$5:G812,"Y")/COUNTA(G$5:G812)</f>
        <v/>
      </c>
      <c r="J812" s="37">
        <f>COUNTIF(H$5:H812,"Y")/COUNTA(H$5:H812)</f>
        <v/>
      </c>
      <c r="K812" s="37">
        <f>AVERAGE(F$5:F812)</f>
        <v/>
      </c>
      <c r="L812" s="37">
        <f>SUM(F$5:F812)/SUM(E$5:E812)</f>
        <v/>
      </c>
    </row>
    <row r="813">
      <c r="A813" s="29" t="n">
        <v>45756</v>
      </c>
      <c r="B813" s="37" t="inlineStr">
        <is>
          <t>JOB-1809</t>
        </is>
      </c>
      <c r="C813" s="34" t="n">
        <v>1</v>
      </c>
      <c r="D813" s="37" t="inlineStr">
        <is>
          <t>Tech F</t>
        </is>
      </c>
      <c r="E813" s="35" t="n">
        <v>0.5</v>
      </c>
      <c r="F813" s="35" t="n">
        <v>0.5</v>
      </c>
      <c r="G813" s="37" t="inlineStr">
        <is>
          <t>Y</t>
        </is>
      </c>
      <c r="H813" s="37" t="inlineStr">
        <is>
          <t>N</t>
        </is>
      </c>
      <c r="I813" s="37">
        <f>COUNTIF(G$5:G813,"Y")/COUNTA(G$5:G813)</f>
        <v/>
      </c>
      <c r="J813" s="37">
        <f>COUNTIF(H$5:H813,"Y")/COUNTA(H$5:H813)</f>
        <v/>
      </c>
      <c r="K813" s="37">
        <f>AVERAGE(F$5:F813)</f>
        <v/>
      </c>
      <c r="L813" s="37">
        <f>SUM(F$5:F813)/SUM(E$5:E813)</f>
        <v/>
      </c>
    </row>
    <row r="814">
      <c r="A814" s="29" t="n">
        <v>45757</v>
      </c>
      <c r="B814" s="37" t="inlineStr">
        <is>
          <t>JOB-1810</t>
        </is>
      </c>
      <c r="C814" s="34" t="n">
        <v>1</v>
      </c>
      <c r="D814" s="37" t="inlineStr">
        <is>
          <t>Tech G</t>
        </is>
      </c>
      <c r="E814" s="35" t="n">
        <v>0.5</v>
      </c>
      <c r="F814" s="35" t="n">
        <v>0.5</v>
      </c>
      <c r="G814" s="37" t="inlineStr">
        <is>
          <t>Y</t>
        </is>
      </c>
      <c r="H814" s="37" t="inlineStr">
        <is>
          <t>N</t>
        </is>
      </c>
      <c r="I814" s="37">
        <f>COUNTIF(G$5:G814,"Y")/COUNTA(G$5:G814)</f>
        <v/>
      </c>
      <c r="J814" s="37">
        <f>COUNTIF(H$5:H814,"Y")/COUNTA(H$5:H814)</f>
        <v/>
      </c>
      <c r="K814" s="37">
        <f>AVERAGE(F$5:F814)</f>
        <v/>
      </c>
      <c r="L814" s="37">
        <f>SUM(F$5:F814)/SUM(E$5:E814)</f>
        <v/>
      </c>
      <c r="M814" s="37" t="n">
        <v>13</v>
      </c>
    </row>
    <row r="815">
      <c r="A815" s="29" t="n">
        <v>45761</v>
      </c>
      <c r="B815" s="37" t="inlineStr">
        <is>
          <t>JOB-1811</t>
        </is>
      </c>
      <c r="C815" s="34" t="n">
        <v>1</v>
      </c>
      <c r="D815" s="37" t="inlineStr">
        <is>
          <t>Tech F</t>
        </is>
      </c>
      <c r="E815" s="35" t="n">
        <v>2.4</v>
      </c>
      <c r="F815" s="35" t="n">
        <v>1.7</v>
      </c>
      <c r="G815" s="37" t="inlineStr">
        <is>
          <t>Y</t>
        </is>
      </c>
      <c r="H815" s="37" t="inlineStr">
        <is>
          <t>N</t>
        </is>
      </c>
      <c r="I815" s="37">
        <f>COUNTIF(G$5:G815,"Y")/COUNTA(G$5:G815)</f>
        <v/>
      </c>
      <c r="J815" s="37">
        <f>COUNTIF(H$5:H815,"Y")/COUNTA(H$5:H815)</f>
        <v/>
      </c>
      <c r="K815" s="37">
        <f>AVERAGE(F$5:F815)</f>
        <v/>
      </c>
      <c r="L815" s="37">
        <f>SUM(F$5:F815)/SUM(E$5:E815)</f>
        <v/>
      </c>
    </row>
    <row r="816">
      <c r="A816" s="29" t="n">
        <v>45762</v>
      </c>
      <c r="B816" s="37" t="inlineStr">
        <is>
          <t>JOB-1812</t>
        </is>
      </c>
      <c r="C816" s="34" t="n">
        <v>1</v>
      </c>
      <c r="D816" s="37" t="inlineStr">
        <is>
          <t>Tech D</t>
        </is>
      </c>
      <c r="E816" s="35" t="n">
        <v>2.4</v>
      </c>
      <c r="F816" s="35" t="n">
        <v>1.8</v>
      </c>
      <c r="G816" s="37" t="inlineStr">
        <is>
          <t>N</t>
        </is>
      </c>
      <c r="H816" s="37" t="inlineStr">
        <is>
          <t>N</t>
        </is>
      </c>
      <c r="I816" s="37">
        <f>COUNTIF(G$5:G816,"Y")/COUNTA(G$5:G816)</f>
        <v/>
      </c>
      <c r="J816" s="37">
        <f>COUNTIF(H$5:H816,"Y")/COUNTA(H$5:H816)</f>
        <v/>
      </c>
      <c r="K816" s="37">
        <f>AVERAGE(F$5:F816)</f>
        <v/>
      </c>
      <c r="L816" s="37">
        <f>SUM(F$5:F816)/SUM(E$5:E816)</f>
        <v/>
      </c>
    </row>
    <row r="817">
      <c r="A817" s="29" t="n">
        <v>45763</v>
      </c>
      <c r="B817" s="37" t="inlineStr">
        <is>
          <t>JOB-1813</t>
        </is>
      </c>
      <c r="C817" s="34" t="n">
        <v>1</v>
      </c>
      <c r="D817" s="37" t="inlineStr">
        <is>
          <t>Tech B</t>
        </is>
      </c>
      <c r="E817" s="35" t="n">
        <v>5.2</v>
      </c>
      <c r="F817" s="35" t="n">
        <v>3.5</v>
      </c>
      <c r="G817" s="37" t="inlineStr">
        <is>
          <t>Y</t>
        </is>
      </c>
      <c r="H817" s="37" t="inlineStr">
        <is>
          <t>N</t>
        </is>
      </c>
      <c r="I817" s="37">
        <f>COUNTIF(G$5:G817,"Y")/COUNTA(G$5:G817)</f>
        <v/>
      </c>
      <c r="J817" s="37">
        <f>COUNTIF(H$5:H817,"Y")/COUNTA(H$5:H817)</f>
        <v/>
      </c>
      <c r="K817" s="37">
        <f>AVERAGE(F$5:F817)</f>
        <v/>
      </c>
      <c r="L817" s="37">
        <f>SUM(F$5:F817)/SUM(E$5:E817)</f>
        <v/>
      </c>
    </row>
    <row r="818">
      <c r="A818" s="29" t="n">
        <v>45764</v>
      </c>
      <c r="B818" s="37" t="inlineStr">
        <is>
          <t>JOB-1814</t>
        </is>
      </c>
      <c r="C818" s="34" t="n">
        <v>1</v>
      </c>
      <c r="D818" s="37" t="inlineStr">
        <is>
          <t>Tech H</t>
        </is>
      </c>
      <c r="E818" s="35" t="n">
        <v>4.2</v>
      </c>
      <c r="F818" s="35" t="n">
        <v>3.2</v>
      </c>
      <c r="G818" s="37" t="inlineStr">
        <is>
          <t>Y</t>
        </is>
      </c>
      <c r="H818" s="37" t="inlineStr">
        <is>
          <t>N</t>
        </is>
      </c>
      <c r="I818" s="37">
        <f>COUNTIF(G$5:G818,"Y")/COUNTA(G$5:G818)</f>
        <v/>
      </c>
      <c r="J818" s="37">
        <f>COUNTIF(H$5:H818,"Y")/COUNTA(H$5:H818)</f>
        <v/>
      </c>
      <c r="K818" s="37">
        <f>AVERAGE(F$5:F818)</f>
        <v/>
      </c>
      <c r="L818" s="37">
        <f>SUM(F$5:F818)/SUM(E$5:E818)</f>
        <v/>
      </c>
    </row>
    <row r="819">
      <c r="A819" s="29" t="n">
        <v>45765</v>
      </c>
      <c r="B819" s="37" t="inlineStr">
        <is>
          <t>JOB-1815</t>
        </is>
      </c>
      <c r="C819" s="34" t="n">
        <v>1</v>
      </c>
      <c r="D819" s="37" t="inlineStr">
        <is>
          <t>Tech D</t>
        </is>
      </c>
      <c r="E819" s="35" t="n">
        <v>5.4</v>
      </c>
      <c r="F819" s="35" t="n">
        <v>3.7</v>
      </c>
      <c r="G819" s="37" t="inlineStr">
        <is>
          <t>Y</t>
        </is>
      </c>
      <c r="H819" s="37" t="inlineStr">
        <is>
          <t>N</t>
        </is>
      </c>
      <c r="I819" s="37">
        <f>COUNTIF(G$5:G819,"Y")/COUNTA(G$5:G819)</f>
        <v/>
      </c>
      <c r="J819" s="37">
        <f>COUNTIF(H$5:H819,"Y")/COUNTA(H$5:H819)</f>
        <v/>
      </c>
      <c r="K819" s="37">
        <f>AVERAGE(F$5:F819)</f>
        <v/>
      </c>
      <c r="L819" s="37">
        <f>SUM(F$5:F819)/SUM(E$5:E819)</f>
        <v/>
      </c>
    </row>
    <row r="820">
      <c r="A820" s="29" t="n">
        <v>45761</v>
      </c>
      <c r="B820" s="37" t="inlineStr">
        <is>
          <t>JOB-1816</t>
        </is>
      </c>
      <c r="C820" s="34" t="n">
        <v>1</v>
      </c>
      <c r="D820" s="37" t="inlineStr">
        <is>
          <t>Tech C</t>
        </is>
      </c>
      <c r="E820" s="35" t="n">
        <v>4.5</v>
      </c>
      <c r="F820" s="35" t="n">
        <v>3.8</v>
      </c>
      <c r="G820" s="37" t="inlineStr">
        <is>
          <t>Y</t>
        </is>
      </c>
      <c r="H820" s="37" t="inlineStr">
        <is>
          <t>N</t>
        </is>
      </c>
      <c r="I820" s="37">
        <f>COUNTIF(G$5:G820,"Y")/COUNTA(G$5:G820)</f>
        <v/>
      </c>
      <c r="J820" s="37">
        <f>COUNTIF(H$5:H820,"Y")/COUNTA(H$5:H820)</f>
        <v/>
      </c>
      <c r="K820" s="37">
        <f>AVERAGE(F$5:F820)</f>
        <v/>
      </c>
      <c r="L820" s="37">
        <f>SUM(F$5:F820)/SUM(E$5:E820)</f>
        <v/>
      </c>
    </row>
    <row r="821">
      <c r="A821" s="29" t="n">
        <v>45762</v>
      </c>
      <c r="B821" s="37" t="inlineStr">
        <is>
          <t>JOB-1817</t>
        </is>
      </c>
      <c r="C821" s="34" t="n">
        <v>1</v>
      </c>
      <c r="D821" s="37" t="inlineStr">
        <is>
          <t>Tech B</t>
        </is>
      </c>
      <c r="E821" s="35" t="n">
        <v>1.6</v>
      </c>
      <c r="F821" s="35" t="n">
        <v>1.4</v>
      </c>
      <c r="G821" s="37" t="inlineStr">
        <is>
          <t>Y</t>
        </is>
      </c>
      <c r="H821" s="37" t="inlineStr">
        <is>
          <t>N</t>
        </is>
      </c>
      <c r="I821" s="37">
        <f>COUNTIF(G$5:G821,"Y")/COUNTA(G$5:G821)</f>
        <v/>
      </c>
      <c r="J821" s="37">
        <f>COUNTIF(H$5:H821,"Y")/COUNTA(H$5:H821)</f>
        <v/>
      </c>
      <c r="K821" s="37">
        <f>AVERAGE(F$5:F821)</f>
        <v/>
      </c>
      <c r="L821" s="37">
        <f>SUM(F$5:F821)/SUM(E$5:E821)</f>
        <v/>
      </c>
    </row>
    <row r="822">
      <c r="A822" s="29" t="n">
        <v>45763</v>
      </c>
      <c r="B822" s="37" t="inlineStr">
        <is>
          <t>JOB-1818</t>
        </is>
      </c>
      <c r="C822" s="34" t="n">
        <v>1</v>
      </c>
      <c r="D822" s="37" t="inlineStr">
        <is>
          <t>Tech A</t>
        </is>
      </c>
      <c r="E822" s="35" t="n">
        <v>2.7</v>
      </c>
      <c r="F822" s="35" t="n">
        <v>1.9</v>
      </c>
      <c r="G822" s="37" t="inlineStr">
        <is>
          <t>Y</t>
        </is>
      </c>
      <c r="H822" s="37" t="inlineStr">
        <is>
          <t>N</t>
        </is>
      </c>
      <c r="I822" s="37">
        <f>COUNTIF(G$5:G822,"Y")/COUNTA(G$5:G822)</f>
        <v/>
      </c>
      <c r="J822" s="37">
        <f>COUNTIF(H$5:H822,"Y")/COUNTA(H$5:H822)</f>
        <v/>
      </c>
      <c r="K822" s="37">
        <f>AVERAGE(F$5:F822)</f>
        <v/>
      </c>
      <c r="L822" s="37">
        <f>SUM(F$5:F822)/SUM(E$5:E822)</f>
        <v/>
      </c>
    </row>
    <row r="823">
      <c r="A823" s="29" t="n">
        <v>45764</v>
      </c>
      <c r="B823" s="37" t="inlineStr">
        <is>
          <t>JOB-1819</t>
        </is>
      </c>
      <c r="C823" s="34" t="n">
        <v>1</v>
      </c>
      <c r="D823" s="37" t="inlineStr">
        <is>
          <t>Tech A</t>
        </is>
      </c>
      <c r="E823" s="35" t="n">
        <v>4.1</v>
      </c>
      <c r="F823" s="35" t="n">
        <v>3.4</v>
      </c>
      <c r="G823" s="37" t="inlineStr">
        <is>
          <t>N</t>
        </is>
      </c>
      <c r="H823" s="37" t="inlineStr">
        <is>
          <t>N</t>
        </is>
      </c>
      <c r="I823" s="37">
        <f>COUNTIF(G$5:G823,"Y")/COUNTA(G$5:G823)</f>
        <v/>
      </c>
      <c r="J823" s="37">
        <f>COUNTIF(H$5:H823,"Y")/COUNTA(H$5:H823)</f>
        <v/>
      </c>
      <c r="K823" s="37">
        <f>AVERAGE(F$5:F823)</f>
        <v/>
      </c>
      <c r="L823" s="37">
        <f>SUM(F$5:F823)/SUM(E$5:E823)</f>
        <v/>
      </c>
    </row>
    <row r="824">
      <c r="A824" s="29" t="n">
        <v>45765</v>
      </c>
      <c r="B824" s="37" t="inlineStr">
        <is>
          <t>JOB-1820</t>
        </is>
      </c>
      <c r="C824" s="34" t="n">
        <v>1</v>
      </c>
      <c r="D824" s="37" t="inlineStr">
        <is>
          <t>Tech H</t>
        </is>
      </c>
      <c r="E824" s="35" t="n">
        <v>4</v>
      </c>
      <c r="F824" s="35" t="n">
        <v>3.2</v>
      </c>
      <c r="G824" s="37" t="inlineStr">
        <is>
          <t>N</t>
        </is>
      </c>
      <c r="H824" s="37" t="inlineStr">
        <is>
          <t>N</t>
        </is>
      </c>
      <c r="I824" s="37">
        <f>COUNTIF(G$5:G824,"Y")/COUNTA(G$5:G824)</f>
        <v/>
      </c>
      <c r="J824" s="37">
        <f>COUNTIF(H$5:H824,"Y")/COUNTA(H$5:H824)</f>
        <v/>
      </c>
      <c r="K824" s="37">
        <f>AVERAGE(F$5:F824)</f>
        <v/>
      </c>
      <c r="L824" s="37">
        <f>SUM(F$5:F824)/SUM(E$5:E824)</f>
        <v/>
      </c>
    </row>
    <row r="825">
      <c r="A825" s="29" t="n">
        <v>45761</v>
      </c>
      <c r="B825" s="37" t="inlineStr">
        <is>
          <t>JOB-1821</t>
        </is>
      </c>
      <c r="C825" s="34" t="n">
        <v>1</v>
      </c>
      <c r="D825" s="37" t="inlineStr">
        <is>
          <t>Tech A</t>
        </is>
      </c>
      <c r="E825" s="35" t="n">
        <v>1.8</v>
      </c>
      <c r="F825" s="35" t="n">
        <v>1.4</v>
      </c>
      <c r="G825" s="37" t="inlineStr">
        <is>
          <t>Y</t>
        </is>
      </c>
      <c r="H825" s="37" t="inlineStr">
        <is>
          <t>N</t>
        </is>
      </c>
      <c r="I825" s="37">
        <f>COUNTIF(G$5:G825,"Y")/COUNTA(G$5:G825)</f>
        <v/>
      </c>
      <c r="J825" s="37">
        <f>COUNTIF(H$5:H825,"Y")/COUNTA(H$5:H825)</f>
        <v/>
      </c>
      <c r="K825" s="37">
        <f>AVERAGE(F$5:F825)</f>
        <v/>
      </c>
      <c r="L825" s="37">
        <f>SUM(F$5:F825)/SUM(E$5:E825)</f>
        <v/>
      </c>
    </row>
    <row r="826">
      <c r="A826" s="29" t="n">
        <v>45762</v>
      </c>
      <c r="B826" s="37" t="inlineStr">
        <is>
          <t>JOB-1822</t>
        </is>
      </c>
      <c r="C826" s="34" t="n">
        <v>1</v>
      </c>
      <c r="D826" s="37" t="inlineStr">
        <is>
          <t>Tech A</t>
        </is>
      </c>
      <c r="E826" s="35" t="n">
        <v>4.2</v>
      </c>
      <c r="F826" s="35" t="n">
        <v>3.4</v>
      </c>
      <c r="G826" s="37" t="inlineStr">
        <is>
          <t>Y</t>
        </is>
      </c>
      <c r="H826" s="37" t="inlineStr">
        <is>
          <t>N</t>
        </is>
      </c>
      <c r="I826" s="37">
        <f>COUNTIF(G$5:G826,"Y")/COUNTA(G$5:G826)</f>
        <v/>
      </c>
      <c r="J826" s="37">
        <f>COUNTIF(H$5:H826,"Y")/COUNTA(H$5:H826)</f>
        <v/>
      </c>
      <c r="K826" s="37">
        <f>AVERAGE(F$5:F826)</f>
        <v/>
      </c>
      <c r="L826" s="37">
        <f>SUM(F$5:F826)/SUM(E$5:E826)</f>
        <v/>
      </c>
    </row>
    <row r="827">
      <c r="A827" s="29" t="n">
        <v>45763</v>
      </c>
      <c r="B827" s="37" t="inlineStr">
        <is>
          <t>JOB-1823</t>
        </is>
      </c>
      <c r="C827" s="34" t="n">
        <v>1</v>
      </c>
      <c r="D827" s="37" t="inlineStr">
        <is>
          <t>Tech G</t>
        </is>
      </c>
      <c r="E827" s="35" t="n">
        <v>4.4</v>
      </c>
      <c r="F827" s="35" t="n">
        <v>3.5</v>
      </c>
      <c r="G827" s="37" t="inlineStr">
        <is>
          <t>Y</t>
        </is>
      </c>
      <c r="H827" s="37" t="inlineStr">
        <is>
          <t>N</t>
        </is>
      </c>
      <c r="I827" s="37">
        <f>COUNTIF(G$5:G827,"Y")/COUNTA(G$5:G827)</f>
        <v/>
      </c>
      <c r="J827" s="37">
        <f>COUNTIF(H$5:H827,"Y")/COUNTA(H$5:H827)</f>
        <v/>
      </c>
      <c r="K827" s="37">
        <f>AVERAGE(F$5:F827)</f>
        <v/>
      </c>
      <c r="L827" s="37">
        <f>SUM(F$5:F827)/SUM(E$5:E827)</f>
        <v/>
      </c>
    </row>
    <row r="828">
      <c r="A828" s="29" t="n">
        <v>45764</v>
      </c>
      <c r="B828" s="37" t="inlineStr">
        <is>
          <t>JOB-1824</t>
        </is>
      </c>
      <c r="C828" s="34" t="n">
        <v>1</v>
      </c>
      <c r="D828" s="37" t="inlineStr">
        <is>
          <t>Tech F</t>
        </is>
      </c>
      <c r="E828" s="35" t="n">
        <v>2.4</v>
      </c>
      <c r="F828" s="35" t="n">
        <v>1.9</v>
      </c>
      <c r="G828" s="37" t="inlineStr">
        <is>
          <t>Y</t>
        </is>
      </c>
      <c r="H828" s="37" t="inlineStr">
        <is>
          <t>Y</t>
        </is>
      </c>
      <c r="I828" s="37">
        <f>COUNTIF(G$5:G828,"Y")/COUNTA(G$5:G828)</f>
        <v/>
      </c>
      <c r="J828" s="37">
        <f>COUNTIF(H$5:H828,"Y")/COUNTA(H$5:H828)</f>
        <v/>
      </c>
      <c r="K828" s="37">
        <f>AVERAGE(F$5:F828)</f>
        <v/>
      </c>
      <c r="L828" s="37">
        <f>SUM(F$5:F828)/SUM(E$5:E828)</f>
        <v/>
      </c>
    </row>
    <row r="829">
      <c r="A829" s="29" t="n">
        <v>45765</v>
      </c>
      <c r="B829" s="37" t="inlineStr">
        <is>
          <t>JOB-1825</t>
        </is>
      </c>
      <c r="C829" s="34" t="n">
        <v>1</v>
      </c>
      <c r="D829" s="37" t="inlineStr">
        <is>
          <t>Tech H</t>
        </is>
      </c>
      <c r="E829" s="35" t="n">
        <v>4.8</v>
      </c>
      <c r="F829" s="35" t="n">
        <v>3.7</v>
      </c>
      <c r="G829" s="37" t="inlineStr">
        <is>
          <t>Y</t>
        </is>
      </c>
      <c r="H829" s="37" t="inlineStr">
        <is>
          <t>N</t>
        </is>
      </c>
      <c r="I829" s="37">
        <f>COUNTIF(G$5:G829,"Y")/COUNTA(G$5:G829)</f>
        <v/>
      </c>
      <c r="J829" s="37">
        <f>COUNTIF(H$5:H829,"Y")/COUNTA(H$5:H829)</f>
        <v/>
      </c>
      <c r="K829" s="37">
        <f>AVERAGE(F$5:F829)</f>
        <v/>
      </c>
      <c r="L829" s="37">
        <f>SUM(F$5:F829)/SUM(E$5:E829)</f>
        <v/>
      </c>
    </row>
    <row r="830">
      <c r="A830" s="29" t="n">
        <v>45761</v>
      </c>
      <c r="B830" s="37" t="inlineStr">
        <is>
          <t>JOB-1826</t>
        </is>
      </c>
      <c r="C830" s="34" t="n">
        <v>1</v>
      </c>
      <c r="D830" s="37" t="inlineStr">
        <is>
          <t>Tech D</t>
        </is>
      </c>
      <c r="E830" s="35" t="n">
        <v>5</v>
      </c>
      <c r="F830" s="35" t="n">
        <v>3.7</v>
      </c>
      <c r="G830" s="37" t="inlineStr">
        <is>
          <t>Y</t>
        </is>
      </c>
      <c r="H830" s="37" t="inlineStr">
        <is>
          <t>N</t>
        </is>
      </c>
      <c r="I830" s="37">
        <f>COUNTIF(G$5:G830,"Y")/COUNTA(G$5:G830)</f>
        <v/>
      </c>
      <c r="J830" s="37">
        <f>COUNTIF(H$5:H830,"Y")/COUNTA(H$5:H830)</f>
        <v/>
      </c>
      <c r="K830" s="37">
        <f>AVERAGE(F$5:F830)</f>
        <v/>
      </c>
      <c r="L830" s="37">
        <f>SUM(F$5:F830)/SUM(E$5:E830)</f>
        <v/>
      </c>
    </row>
    <row r="831">
      <c r="A831" s="29" t="n">
        <v>45762</v>
      </c>
      <c r="B831" s="37" t="inlineStr">
        <is>
          <t>JOB-1827</t>
        </is>
      </c>
      <c r="C831" s="34" t="n">
        <v>1</v>
      </c>
      <c r="D831" s="37" t="inlineStr">
        <is>
          <t>Tech B</t>
        </is>
      </c>
      <c r="E831" s="35" t="n">
        <v>4.6</v>
      </c>
      <c r="F831" s="35" t="n">
        <v>4</v>
      </c>
      <c r="G831" s="37" t="inlineStr">
        <is>
          <t>Y</t>
        </is>
      </c>
      <c r="H831" s="37" t="inlineStr">
        <is>
          <t>N</t>
        </is>
      </c>
      <c r="I831" s="37">
        <f>COUNTIF(G$5:G831,"Y")/COUNTA(G$5:G831)</f>
        <v/>
      </c>
      <c r="J831" s="37">
        <f>COUNTIF(H$5:H831,"Y")/COUNTA(H$5:H831)</f>
        <v/>
      </c>
      <c r="K831" s="37">
        <f>AVERAGE(F$5:F831)</f>
        <v/>
      </c>
      <c r="L831" s="37">
        <f>SUM(F$5:F831)/SUM(E$5:E831)</f>
        <v/>
      </c>
    </row>
    <row r="832">
      <c r="A832" s="29" t="n">
        <v>45763</v>
      </c>
      <c r="B832" s="37" t="inlineStr">
        <is>
          <t>JOB-1828</t>
        </is>
      </c>
      <c r="C832" s="34" t="n">
        <v>1</v>
      </c>
      <c r="D832" s="37" t="inlineStr">
        <is>
          <t>Tech A</t>
        </is>
      </c>
      <c r="E832" s="35" t="n">
        <v>5</v>
      </c>
      <c r="F832" s="35" t="n">
        <v>3.8</v>
      </c>
      <c r="G832" s="37" t="inlineStr">
        <is>
          <t>Y</t>
        </is>
      </c>
      <c r="H832" s="37" t="inlineStr">
        <is>
          <t>N</t>
        </is>
      </c>
      <c r="I832" s="37">
        <f>COUNTIF(G$5:G832,"Y")/COUNTA(G$5:G832)</f>
        <v/>
      </c>
      <c r="J832" s="37">
        <f>COUNTIF(H$5:H832,"Y")/COUNTA(H$5:H832)</f>
        <v/>
      </c>
      <c r="K832" s="37">
        <f>AVERAGE(F$5:F832)</f>
        <v/>
      </c>
      <c r="L832" s="37">
        <f>SUM(F$5:F832)/SUM(E$5:E832)</f>
        <v/>
      </c>
    </row>
    <row r="833">
      <c r="A833" s="29" t="n">
        <v>45764</v>
      </c>
      <c r="B833" s="37" t="inlineStr">
        <is>
          <t>JOB-1829</t>
        </is>
      </c>
      <c r="C833" s="34" t="n">
        <v>1</v>
      </c>
      <c r="D833" s="37" t="inlineStr">
        <is>
          <t>Tech G</t>
        </is>
      </c>
      <c r="E833" s="35" t="n">
        <v>4.7</v>
      </c>
      <c r="F833" s="35" t="n">
        <v>3.7</v>
      </c>
      <c r="G833" s="37" t="inlineStr">
        <is>
          <t>Y</t>
        </is>
      </c>
      <c r="H833" s="37" t="inlineStr">
        <is>
          <t>N</t>
        </is>
      </c>
      <c r="I833" s="37">
        <f>COUNTIF(G$5:G833,"Y")/COUNTA(G$5:G833)</f>
        <v/>
      </c>
      <c r="J833" s="37">
        <f>COUNTIF(H$5:H833,"Y")/COUNTA(H$5:H833)</f>
        <v/>
      </c>
      <c r="K833" s="37">
        <f>AVERAGE(F$5:F833)</f>
        <v/>
      </c>
      <c r="L833" s="37">
        <f>SUM(F$5:F833)/SUM(E$5:E833)</f>
        <v/>
      </c>
    </row>
    <row r="834">
      <c r="A834" s="29" t="n">
        <v>45765</v>
      </c>
      <c r="B834" s="37" t="inlineStr">
        <is>
          <t>JOB-1830</t>
        </is>
      </c>
      <c r="C834" s="34" t="n">
        <v>1</v>
      </c>
      <c r="D834" s="37" t="inlineStr">
        <is>
          <t>Tech F</t>
        </is>
      </c>
      <c r="E834" s="35" t="n">
        <v>2.3</v>
      </c>
      <c r="F834" s="35" t="n">
        <v>2</v>
      </c>
      <c r="G834" s="37" t="inlineStr">
        <is>
          <t>N</t>
        </is>
      </c>
      <c r="H834" s="37" t="inlineStr">
        <is>
          <t>N</t>
        </is>
      </c>
      <c r="I834" s="37">
        <f>COUNTIF(G$5:G834,"Y")/COUNTA(G$5:G834)</f>
        <v/>
      </c>
      <c r="J834" s="37">
        <f>COUNTIF(H$5:H834,"Y")/COUNTA(H$5:H834)</f>
        <v/>
      </c>
      <c r="K834" s="37">
        <f>AVERAGE(F$5:F834)</f>
        <v/>
      </c>
      <c r="L834" s="37">
        <f>SUM(F$5:F834)/SUM(E$5:E834)</f>
        <v/>
      </c>
    </row>
    <row r="835">
      <c r="A835" s="29" t="n">
        <v>45761</v>
      </c>
      <c r="B835" s="37" t="inlineStr">
        <is>
          <t>JOB-1831</t>
        </is>
      </c>
      <c r="C835" s="34" t="n">
        <v>1</v>
      </c>
      <c r="D835" s="37" t="inlineStr">
        <is>
          <t>Tech A</t>
        </is>
      </c>
      <c r="E835" s="35" t="n">
        <v>4.4</v>
      </c>
      <c r="F835" s="35" t="n">
        <v>3.7</v>
      </c>
      <c r="G835" s="37" t="inlineStr">
        <is>
          <t>Y</t>
        </is>
      </c>
      <c r="H835" s="37" t="inlineStr">
        <is>
          <t>N</t>
        </is>
      </c>
      <c r="I835" s="37">
        <f>COUNTIF(G$5:G835,"Y")/COUNTA(G$5:G835)</f>
        <v/>
      </c>
      <c r="J835" s="37">
        <f>COUNTIF(H$5:H835,"Y")/COUNTA(H$5:H835)</f>
        <v/>
      </c>
      <c r="K835" s="37">
        <f>AVERAGE(F$5:F835)</f>
        <v/>
      </c>
      <c r="L835" s="37">
        <f>SUM(F$5:F835)/SUM(E$5:E835)</f>
        <v/>
      </c>
    </row>
    <row r="836">
      <c r="A836" s="29" t="n">
        <v>45762</v>
      </c>
      <c r="B836" s="37" t="inlineStr">
        <is>
          <t>JOB-1832</t>
        </is>
      </c>
      <c r="C836" s="34" t="n">
        <v>1</v>
      </c>
      <c r="D836" s="37" t="inlineStr">
        <is>
          <t>Tech H</t>
        </is>
      </c>
      <c r="E836" s="35" t="n">
        <v>2.2</v>
      </c>
      <c r="F836" s="35" t="n">
        <v>1.7</v>
      </c>
      <c r="G836" s="37" t="inlineStr">
        <is>
          <t>Y</t>
        </is>
      </c>
      <c r="H836" s="37" t="inlineStr">
        <is>
          <t>N</t>
        </is>
      </c>
      <c r="I836" s="37">
        <f>COUNTIF(G$5:G836,"Y")/COUNTA(G$5:G836)</f>
        <v/>
      </c>
      <c r="J836" s="37">
        <f>COUNTIF(H$5:H836,"Y")/COUNTA(H$5:H836)</f>
        <v/>
      </c>
      <c r="K836" s="37">
        <f>AVERAGE(F$5:F836)</f>
        <v/>
      </c>
      <c r="L836" s="37">
        <f>SUM(F$5:F836)/SUM(E$5:E836)</f>
        <v/>
      </c>
    </row>
    <row r="837">
      <c r="A837" s="29" t="n">
        <v>45763</v>
      </c>
      <c r="B837" s="37" t="inlineStr">
        <is>
          <t>JOB-1833</t>
        </is>
      </c>
      <c r="C837" s="34" t="n">
        <v>1</v>
      </c>
      <c r="D837" s="37" t="inlineStr">
        <is>
          <t>Tech H</t>
        </is>
      </c>
      <c r="E837" s="35" t="n">
        <v>4.3</v>
      </c>
      <c r="F837" s="35" t="n">
        <v>2.9</v>
      </c>
      <c r="G837" s="37" t="inlineStr">
        <is>
          <t>Y</t>
        </is>
      </c>
      <c r="H837" s="37" t="inlineStr">
        <is>
          <t>N</t>
        </is>
      </c>
      <c r="I837" s="37">
        <f>COUNTIF(G$5:G837,"Y")/COUNTA(G$5:G837)</f>
        <v/>
      </c>
      <c r="J837" s="37">
        <f>COUNTIF(H$5:H837,"Y")/COUNTA(H$5:H837)</f>
        <v/>
      </c>
      <c r="K837" s="37">
        <f>AVERAGE(F$5:F837)</f>
        <v/>
      </c>
      <c r="L837" s="37">
        <f>SUM(F$5:F837)/SUM(E$5:E837)</f>
        <v/>
      </c>
    </row>
    <row r="838">
      <c r="A838" s="29" t="n">
        <v>45764</v>
      </c>
      <c r="B838" s="37" t="inlineStr">
        <is>
          <t>JOB-1834</t>
        </is>
      </c>
      <c r="C838" s="34" t="n">
        <v>1</v>
      </c>
      <c r="D838" s="37" t="inlineStr">
        <is>
          <t>Tech A</t>
        </is>
      </c>
      <c r="E838" s="35" t="n">
        <v>3.1</v>
      </c>
      <c r="F838" s="35" t="n">
        <v>2.5</v>
      </c>
      <c r="G838" s="37" t="inlineStr">
        <is>
          <t>Y</t>
        </is>
      </c>
      <c r="H838" s="37" t="inlineStr">
        <is>
          <t>N</t>
        </is>
      </c>
      <c r="I838" s="37">
        <f>COUNTIF(G$5:G838,"Y")/COUNTA(G$5:G838)</f>
        <v/>
      </c>
      <c r="J838" s="37">
        <f>COUNTIF(H$5:H838,"Y")/COUNTA(H$5:H838)</f>
        <v/>
      </c>
      <c r="K838" s="37">
        <f>AVERAGE(F$5:F838)</f>
        <v/>
      </c>
      <c r="L838" s="37">
        <f>SUM(F$5:F838)/SUM(E$5:E838)</f>
        <v/>
      </c>
    </row>
    <row r="839">
      <c r="A839" s="29" t="n">
        <v>45765</v>
      </c>
      <c r="B839" s="37" t="inlineStr">
        <is>
          <t>JOB-1835</t>
        </is>
      </c>
      <c r="C839" s="34" t="n">
        <v>1</v>
      </c>
      <c r="D839" s="37" t="inlineStr">
        <is>
          <t>Tech C</t>
        </is>
      </c>
      <c r="E839" s="35" t="n">
        <v>4.7</v>
      </c>
      <c r="F839" s="35" t="n">
        <v>3.3</v>
      </c>
      <c r="G839" s="37" t="inlineStr">
        <is>
          <t>Y</t>
        </is>
      </c>
      <c r="H839" s="37" t="inlineStr">
        <is>
          <t>N</t>
        </is>
      </c>
      <c r="I839" s="37">
        <f>COUNTIF(G$5:G839,"Y")/COUNTA(G$5:G839)</f>
        <v/>
      </c>
      <c r="J839" s="37">
        <f>COUNTIF(H$5:H839,"Y")/COUNTA(H$5:H839)</f>
        <v/>
      </c>
      <c r="K839" s="37">
        <f>AVERAGE(F$5:F839)</f>
        <v/>
      </c>
      <c r="L839" s="37">
        <f>SUM(F$5:F839)/SUM(E$5:E839)</f>
        <v/>
      </c>
    </row>
    <row r="840">
      <c r="A840" s="29" t="n">
        <v>45761</v>
      </c>
      <c r="B840" s="37" t="inlineStr">
        <is>
          <t>JOB-1836</t>
        </is>
      </c>
      <c r="C840" s="34" t="n">
        <v>1</v>
      </c>
      <c r="D840" s="37" t="inlineStr">
        <is>
          <t>Tech H</t>
        </is>
      </c>
      <c r="E840" s="35" t="n">
        <v>3.6</v>
      </c>
      <c r="F840" s="35" t="n">
        <v>2.6</v>
      </c>
      <c r="G840" s="37" t="inlineStr">
        <is>
          <t>Y</t>
        </is>
      </c>
      <c r="H840" s="37" t="inlineStr">
        <is>
          <t>N</t>
        </is>
      </c>
      <c r="I840" s="37">
        <f>COUNTIF(G$5:G840,"Y")/COUNTA(G$5:G840)</f>
        <v/>
      </c>
      <c r="J840" s="37">
        <f>COUNTIF(H$5:H840,"Y")/COUNTA(H$5:H840)</f>
        <v/>
      </c>
      <c r="K840" s="37">
        <f>AVERAGE(F$5:F840)</f>
        <v/>
      </c>
      <c r="L840" s="37">
        <f>SUM(F$5:F840)/SUM(E$5:E840)</f>
        <v/>
      </c>
    </row>
    <row r="841">
      <c r="A841" s="29" t="n">
        <v>45762</v>
      </c>
      <c r="B841" s="37" t="inlineStr">
        <is>
          <t>JOB-1837</t>
        </is>
      </c>
      <c r="C841" s="34" t="n">
        <v>1</v>
      </c>
      <c r="D841" s="37" t="inlineStr">
        <is>
          <t>Tech B</t>
        </is>
      </c>
      <c r="E841" s="35" t="n">
        <v>2.3</v>
      </c>
      <c r="F841" s="35" t="n">
        <v>1.7</v>
      </c>
      <c r="G841" s="37" t="inlineStr">
        <is>
          <t>Y</t>
        </is>
      </c>
      <c r="H841" s="37" t="inlineStr">
        <is>
          <t>N</t>
        </is>
      </c>
      <c r="I841" s="37">
        <f>COUNTIF(G$5:G841,"Y")/COUNTA(G$5:G841)</f>
        <v/>
      </c>
      <c r="J841" s="37">
        <f>COUNTIF(H$5:H841,"Y")/COUNTA(H$5:H841)</f>
        <v/>
      </c>
      <c r="K841" s="37">
        <f>AVERAGE(F$5:F841)</f>
        <v/>
      </c>
      <c r="L841" s="37">
        <f>SUM(F$5:F841)/SUM(E$5:E841)</f>
        <v/>
      </c>
    </row>
    <row r="842">
      <c r="A842" s="29" t="n">
        <v>45763</v>
      </c>
      <c r="B842" s="37" t="inlineStr">
        <is>
          <t>JOB-1838</t>
        </is>
      </c>
      <c r="C842" s="34" t="n">
        <v>1</v>
      </c>
      <c r="D842" s="37" t="inlineStr">
        <is>
          <t>Tech D</t>
        </is>
      </c>
      <c r="E842" s="35" t="n">
        <v>1.5</v>
      </c>
      <c r="F842" s="35" t="n">
        <v>1.2</v>
      </c>
      <c r="G842" s="37" t="inlineStr">
        <is>
          <t>Y</t>
        </is>
      </c>
      <c r="H842" s="37" t="inlineStr">
        <is>
          <t>N</t>
        </is>
      </c>
      <c r="I842" s="37">
        <f>COUNTIF(G$5:G842,"Y")/COUNTA(G$5:G842)</f>
        <v/>
      </c>
      <c r="J842" s="37">
        <f>COUNTIF(H$5:H842,"Y")/COUNTA(H$5:H842)</f>
        <v/>
      </c>
      <c r="K842" s="37">
        <f>AVERAGE(F$5:F842)</f>
        <v/>
      </c>
      <c r="L842" s="37">
        <f>SUM(F$5:F842)/SUM(E$5:E842)</f>
        <v/>
      </c>
    </row>
    <row r="843">
      <c r="A843" s="29" t="n">
        <v>45764</v>
      </c>
      <c r="B843" s="37" t="inlineStr">
        <is>
          <t>JOB-1839</t>
        </is>
      </c>
      <c r="C843" s="34" t="n">
        <v>1</v>
      </c>
      <c r="D843" s="37" t="inlineStr">
        <is>
          <t>Tech C</t>
        </is>
      </c>
      <c r="E843" s="35" t="n">
        <v>4</v>
      </c>
      <c r="F843" s="35" t="n">
        <v>3.4</v>
      </c>
      <c r="G843" s="37" t="inlineStr">
        <is>
          <t>Y</t>
        </is>
      </c>
      <c r="H843" s="37" t="inlineStr">
        <is>
          <t>N</t>
        </is>
      </c>
      <c r="I843" s="37">
        <f>COUNTIF(G$5:G843,"Y")/COUNTA(G$5:G843)</f>
        <v/>
      </c>
      <c r="J843" s="37">
        <f>COUNTIF(H$5:H843,"Y")/COUNTA(H$5:H843)</f>
        <v/>
      </c>
      <c r="K843" s="37">
        <f>AVERAGE(F$5:F843)</f>
        <v/>
      </c>
      <c r="L843" s="37">
        <f>SUM(F$5:F843)/SUM(E$5:E843)</f>
        <v/>
      </c>
    </row>
    <row r="844">
      <c r="A844" s="29" t="n">
        <v>45765</v>
      </c>
      <c r="B844" s="37" t="inlineStr">
        <is>
          <t>JOB-1840</t>
        </is>
      </c>
      <c r="C844" s="34" t="n">
        <v>1</v>
      </c>
      <c r="D844" s="37" t="inlineStr">
        <is>
          <t>Tech C</t>
        </is>
      </c>
      <c r="E844" s="35" t="n">
        <v>4.5</v>
      </c>
      <c r="F844" s="35" t="n">
        <v>3.4</v>
      </c>
      <c r="G844" s="37" t="inlineStr">
        <is>
          <t>Y</t>
        </is>
      </c>
      <c r="H844" s="37" t="inlineStr">
        <is>
          <t>N</t>
        </is>
      </c>
      <c r="I844" s="37">
        <f>COUNTIF(G$5:G844,"Y")/COUNTA(G$5:G844)</f>
        <v/>
      </c>
      <c r="J844" s="37">
        <f>COUNTIF(H$5:H844,"Y")/COUNTA(H$5:H844)</f>
        <v/>
      </c>
      <c r="K844" s="37">
        <f>AVERAGE(F$5:F844)</f>
        <v/>
      </c>
      <c r="L844" s="37">
        <f>SUM(F$5:F844)/SUM(E$5:E844)</f>
        <v/>
      </c>
    </row>
    <row r="845">
      <c r="A845" s="29" t="n">
        <v>45761</v>
      </c>
      <c r="B845" s="37" t="inlineStr">
        <is>
          <t>JOB-1841</t>
        </is>
      </c>
      <c r="C845" s="34" t="n">
        <v>1</v>
      </c>
      <c r="D845" s="37" t="inlineStr">
        <is>
          <t>Tech D</t>
        </is>
      </c>
      <c r="E845" s="35" t="n">
        <v>3.9</v>
      </c>
      <c r="F845" s="35" t="n">
        <v>3.4</v>
      </c>
      <c r="G845" s="37" t="inlineStr">
        <is>
          <t>N</t>
        </is>
      </c>
      <c r="H845" s="37" t="inlineStr">
        <is>
          <t>N</t>
        </is>
      </c>
      <c r="I845" s="37">
        <f>COUNTIF(G$5:G845,"Y")/COUNTA(G$5:G845)</f>
        <v/>
      </c>
      <c r="J845" s="37">
        <f>COUNTIF(H$5:H845,"Y")/COUNTA(H$5:H845)</f>
        <v/>
      </c>
      <c r="K845" s="37">
        <f>AVERAGE(F$5:F845)</f>
        <v/>
      </c>
      <c r="L845" s="37">
        <f>SUM(F$5:F845)/SUM(E$5:E845)</f>
        <v/>
      </c>
    </row>
    <row r="846">
      <c r="A846" s="29" t="n">
        <v>45762</v>
      </c>
      <c r="B846" s="37" t="inlineStr">
        <is>
          <t>JOB-1842</t>
        </is>
      </c>
      <c r="C846" s="34" t="n">
        <v>1</v>
      </c>
      <c r="D846" s="37" t="inlineStr">
        <is>
          <t>Tech A</t>
        </is>
      </c>
      <c r="E846" s="35" t="n">
        <v>4.1</v>
      </c>
      <c r="F846" s="35" t="n">
        <v>3</v>
      </c>
      <c r="G846" s="37" t="inlineStr">
        <is>
          <t>Y</t>
        </is>
      </c>
      <c r="H846" s="37" t="inlineStr">
        <is>
          <t>N</t>
        </is>
      </c>
      <c r="I846" s="37">
        <f>COUNTIF(G$5:G846,"Y")/COUNTA(G$5:G846)</f>
        <v/>
      </c>
      <c r="J846" s="37">
        <f>COUNTIF(H$5:H846,"Y")/COUNTA(H$5:H846)</f>
        <v/>
      </c>
      <c r="K846" s="37">
        <f>AVERAGE(F$5:F846)</f>
        <v/>
      </c>
      <c r="L846" s="37">
        <f>SUM(F$5:F846)/SUM(E$5:E846)</f>
        <v/>
      </c>
    </row>
    <row r="847">
      <c r="A847" s="29" t="n">
        <v>45763</v>
      </c>
      <c r="B847" s="37" t="inlineStr">
        <is>
          <t>JOB-1843</t>
        </is>
      </c>
      <c r="C847" s="34" t="n">
        <v>1</v>
      </c>
      <c r="D847" s="37" t="inlineStr">
        <is>
          <t>Tech A</t>
        </is>
      </c>
      <c r="E847" s="35" t="n">
        <v>0.9</v>
      </c>
      <c r="F847" s="35" t="n">
        <v>0.6</v>
      </c>
      <c r="G847" s="37" t="inlineStr">
        <is>
          <t>Y</t>
        </is>
      </c>
      <c r="H847" s="37" t="inlineStr">
        <is>
          <t>Y</t>
        </is>
      </c>
      <c r="I847" s="37">
        <f>COUNTIF(G$5:G847,"Y")/COUNTA(G$5:G847)</f>
        <v/>
      </c>
      <c r="J847" s="37">
        <f>COUNTIF(H$5:H847,"Y")/COUNTA(H$5:H847)</f>
        <v/>
      </c>
      <c r="K847" s="37">
        <f>AVERAGE(F$5:F847)</f>
        <v/>
      </c>
      <c r="L847" s="37">
        <f>SUM(F$5:F847)/SUM(E$5:E847)</f>
        <v/>
      </c>
    </row>
    <row r="848">
      <c r="A848" s="29" t="n">
        <v>45764</v>
      </c>
      <c r="B848" s="37" t="inlineStr">
        <is>
          <t>JOB-1844</t>
        </is>
      </c>
      <c r="C848" s="34" t="n">
        <v>1</v>
      </c>
      <c r="D848" s="37" t="inlineStr">
        <is>
          <t>Tech G</t>
        </is>
      </c>
      <c r="E848" s="35" t="n">
        <v>0.6</v>
      </c>
      <c r="F848" s="35" t="n">
        <v>0.5</v>
      </c>
      <c r="G848" s="37" t="inlineStr">
        <is>
          <t>Y</t>
        </is>
      </c>
      <c r="H848" s="37" t="inlineStr">
        <is>
          <t>N</t>
        </is>
      </c>
      <c r="I848" s="37">
        <f>COUNTIF(G$5:G848,"Y")/COUNTA(G$5:G848)</f>
        <v/>
      </c>
      <c r="J848" s="37">
        <f>COUNTIF(H$5:H848,"Y")/COUNTA(H$5:H848)</f>
        <v/>
      </c>
      <c r="K848" s="37">
        <f>AVERAGE(F$5:F848)</f>
        <v/>
      </c>
      <c r="L848" s="37">
        <f>SUM(F$5:F848)/SUM(E$5:E848)</f>
        <v/>
      </c>
    </row>
    <row r="849">
      <c r="A849" s="29" t="n">
        <v>45765</v>
      </c>
      <c r="B849" s="37" t="inlineStr">
        <is>
          <t>JOB-1845</t>
        </is>
      </c>
      <c r="C849" s="34" t="n">
        <v>1</v>
      </c>
      <c r="D849" s="37" t="inlineStr">
        <is>
          <t>Tech B</t>
        </is>
      </c>
      <c r="E849" s="35" t="n">
        <v>0.6</v>
      </c>
      <c r="F849" s="35" t="n">
        <v>0.5</v>
      </c>
      <c r="G849" s="37" t="inlineStr">
        <is>
          <t>Y</t>
        </is>
      </c>
      <c r="H849" s="37" t="inlineStr">
        <is>
          <t>N</t>
        </is>
      </c>
      <c r="I849" s="37">
        <f>COUNTIF(G$5:G849,"Y")/COUNTA(G$5:G849)</f>
        <v/>
      </c>
      <c r="J849" s="37">
        <f>COUNTIF(H$5:H849,"Y")/COUNTA(H$5:H849)</f>
        <v/>
      </c>
      <c r="K849" s="37">
        <f>AVERAGE(F$5:F849)</f>
        <v/>
      </c>
      <c r="L849" s="37">
        <f>SUM(F$5:F849)/SUM(E$5:E849)</f>
        <v/>
      </c>
    </row>
    <row r="850">
      <c r="A850" s="29" t="n">
        <v>45761</v>
      </c>
      <c r="B850" s="37" t="inlineStr">
        <is>
          <t>JOB-1846</t>
        </is>
      </c>
      <c r="C850" s="34" t="n">
        <v>1</v>
      </c>
      <c r="D850" s="37" t="inlineStr">
        <is>
          <t>Tech G</t>
        </is>
      </c>
      <c r="E850" s="35" t="n">
        <v>0.6</v>
      </c>
      <c r="F850" s="35" t="n">
        <v>0.5</v>
      </c>
      <c r="G850" s="37" t="inlineStr">
        <is>
          <t>Y</t>
        </is>
      </c>
      <c r="H850" s="37" t="inlineStr">
        <is>
          <t>N</t>
        </is>
      </c>
      <c r="I850" s="37">
        <f>COUNTIF(G$5:G850,"Y")/COUNTA(G$5:G850)</f>
        <v/>
      </c>
      <c r="J850" s="37">
        <f>COUNTIF(H$5:H850,"Y")/COUNTA(H$5:H850)</f>
        <v/>
      </c>
      <c r="K850" s="37">
        <f>AVERAGE(F$5:F850)</f>
        <v/>
      </c>
      <c r="L850" s="37">
        <f>SUM(F$5:F850)/SUM(E$5:E850)</f>
        <v/>
      </c>
    </row>
    <row r="851">
      <c r="A851" s="29" t="n">
        <v>45762</v>
      </c>
      <c r="B851" s="37" t="inlineStr">
        <is>
          <t>JOB-1847</t>
        </is>
      </c>
      <c r="C851" s="34" t="n">
        <v>1</v>
      </c>
      <c r="D851" s="37" t="inlineStr">
        <is>
          <t>Tech A</t>
        </is>
      </c>
      <c r="E851" s="35" t="n">
        <v>0.6</v>
      </c>
      <c r="F851" s="35" t="n">
        <v>0.5</v>
      </c>
      <c r="G851" s="37" t="inlineStr">
        <is>
          <t>Y</t>
        </is>
      </c>
      <c r="H851" s="37" t="inlineStr">
        <is>
          <t>N</t>
        </is>
      </c>
      <c r="I851" s="37">
        <f>COUNTIF(G$5:G851,"Y")/COUNTA(G$5:G851)</f>
        <v/>
      </c>
      <c r="J851" s="37">
        <f>COUNTIF(H$5:H851,"Y")/COUNTA(H$5:H851)</f>
        <v/>
      </c>
      <c r="K851" s="37">
        <f>AVERAGE(F$5:F851)</f>
        <v/>
      </c>
      <c r="L851" s="37">
        <f>SUM(F$5:F851)/SUM(E$5:E851)</f>
        <v/>
      </c>
    </row>
    <row r="852">
      <c r="A852" s="29" t="n">
        <v>45763</v>
      </c>
      <c r="B852" s="37" t="inlineStr">
        <is>
          <t>JOB-1848</t>
        </is>
      </c>
      <c r="C852" s="34" t="n">
        <v>1</v>
      </c>
      <c r="D852" s="37" t="inlineStr">
        <is>
          <t>Tech G</t>
        </is>
      </c>
      <c r="E852" s="35" t="n">
        <v>0.7</v>
      </c>
      <c r="F852" s="35" t="n">
        <v>0.5</v>
      </c>
      <c r="G852" s="37" t="inlineStr">
        <is>
          <t>Y</t>
        </is>
      </c>
      <c r="H852" s="37" t="inlineStr">
        <is>
          <t>N</t>
        </is>
      </c>
      <c r="I852" s="37">
        <f>COUNTIF(G$5:G852,"Y")/COUNTA(G$5:G852)</f>
        <v/>
      </c>
      <c r="J852" s="37">
        <f>COUNTIF(H$5:H852,"Y")/COUNTA(H$5:H852)</f>
        <v/>
      </c>
      <c r="K852" s="37">
        <f>AVERAGE(F$5:F852)</f>
        <v/>
      </c>
      <c r="L852" s="37">
        <f>SUM(F$5:F852)/SUM(E$5:E852)</f>
        <v/>
      </c>
    </row>
    <row r="853">
      <c r="A853" s="29" t="n">
        <v>45764</v>
      </c>
      <c r="B853" s="37" t="inlineStr">
        <is>
          <t>JOB-1849</t>
        </is>
      </c>
      <c r="C853" s="34" t="n">
        <v>1</v>
      </c>
      <c r="D853" s="37" t="inlineStr">
        <is>
          <t>Tech C</t>
        </is>
      </c>
      <c r="E853" s="35" t="n">
        <v>0.7</v>
      </c>
      <c r="F853" s="35" t="n">
        <v>0.5</v>
      </c>
      <c r="G853" s="37" t="inlineStr">
        <is>
          <t>Y</t>
        </is>
      </c>
      <c r="H853" s="37" t="inlineStr">
        <is>
          <t>N</t>
        </is>
      </c>
      <c r="I853" s="37">
        <f>COUNTIF(G$5:G853,"Y")/COUNTA(G$5:G853)</f>
        <v/>
      </c>
      <c r="J853" s="37">
        <f>COUNTIF(H$5:H853,"Y")/COUNTA(H$5:H853)</f>
        <v/>
      </c>
      <c r="K853" s="37">
        <f>AVERAGE(F$5:F853)</f>
        <v/>
      </c>
      <c r="L853" s="37">
        <f>SUM(F$5:F853)/SUM(E$5:E853)</f>
        <v/>
      </c>
    </row>
    <row r="854">
      <c r="A854" s="29" t="n">
        <v>45765</v>
      </c>
      <c r="B854" s="37" t="inlineStr">
        <is>
          <t>JOB-1850</t>
        </is>
      </c>
      <c r="C854" s="34" t="n">
        <v>1</v>
      </c>
      <c r="D854" s="37" t="inlineStr">
        <is>
          <t>Tech C</t>
        </is>
      </c>
      <c r="E854" s="35" t="n">
        <v>0.6</v>
      </c>
      <c r="F854" s="35" t="n">
        <v>0.5</v>
      </c>
      <c r="G854" s="37" t="inlineStr">
        <is>
          <t>Y</t>
        </is>
      </c>
      <c r="H854" s="37" t="inlineStr">
        <is>
          <t>N</t>
        </is>
      </c>
      <c r="I854" s="37">
        <f>COUNTIF(G$5:G854,"Y")/COUNTA(G$5:G854)</f>
        <v/>
      </c>
      <c r="J854" s="37">
        <f>COUNTIF(H$5:H854,"Y")/COUNTA(H$5:H854)</f>
        <v/>
      </c>
      <c r="K854" s="37">
        <f>AVERAGE(F$5:F854)</f>
        <v/>
      </c>
      <c r="L854" s="37">
        <f>SUM(F$5:F854)/SUM(E$5:E854)</f>
        <v/>
      </c>
    </row>
    <row r="855">
      <c r="A855" s="29" t="n">
        <v>45761</v>
      </c>
      <c r="B855" s="37" t="inlineStr">
        <is>
          <t>JOB-1851</t>
        </is>
      </c>
      <c r="C855" s="34" t="n">
        <v>1</v>
      </c>
      <c r="D855" s="37" t="inlineStr">
        <is>
          <t>Tech G</t>
        </is>
      </c>
      <c r="E855" s="35" t="n">
        <v>0.7</v>
      </c>
      <c r="F855" s="35" t="n">
        <v>0.5</v>
      </c>
      <c r="G855" s="37" t="inlineStr">
        <is>
          <t>Y</t>
        </is>
      </c>
      <c r="H855" s="37" t="inlineStr">
        <is>
          <t>N</t>
        </is>
      </c>
      <c r="I855" s="37">
        <f>COUNTIF(G$5:G855,"Y")/COUNTA(G$5:G855)</f>
        <v/>
      </c>
      <c r="J855" s="37">
        <f>COUNTIF(H$5:H855,"Y")/COUNTA(H$5:H855)</f>
        <v/>
      </c>
      <c r="K855" s="37">
        <f>AVERAGE(F$5:F855)</f>
        <v/>
      </c>
      <c r="L855" s="37">
        <f>SUM(F$5:F855)/SUM(E$5:E855)</f>
        <v/>
      </c>
    </row>
    <row r="856">
      <c r="A856" s="29" t="n">
        <v>45762</v>
      </c>
      <c r="B856" s="37" t="inlineStr">
        <is>
          <t>JOB-1852</t>
        </is>
      </c>
      <c r="C856" s="34" t="n">
        <v>1</v>
      </c>
      <c r="D856" s="37" t="inlineStr">
        <is>
          <t>Tech H</t>
        </is>
      </c>
      <c r="E856" s="35" t="n">
        <v>3.3</v>
      </c>
      <c r="F856" s="35" t="n">
        <v>0.5</v>
      </c>
      <c r="G856" s="37" t="inlineStr">
        <is>
          <t>Y</t>
        </is>
      </c>
      <c r="H856" s="37" t="inlineStr">
        <is>
          <t>N</t>
        </is>
      </c>
      <c r="I856" s="37">
        <f>COUNTIF(G$5:G856,"Y")/COUNTA(G$5:G856)</f>
        <v/>
      </c>
      <c r="J856" s="37">
        <f>COUNTIF(H$5:H856,"Y")/COUNTA(H$5:H856)</f>
        <v/>
      </c>
      <c r="K856" s="37">
        <f>AVERAGE(F$5:F856)</f>
        <v/>
      </c>
      <c r="L856" s="37">
        <f>SUM(F$5:F856)/SUM(E$5:E856)</f>
        <v/>
      </c>
      <c r="M856" s="37" t="n">
        <v>9</v>
      </c>
    </row>
    <row r="857">
      <c r="A857" s="29" t="n">
        <v>45768</v>
      </c>
      <c r="B857" s="37" t="inlineStr">
        <is>
          <t>JOB-1853</t>
        </is>
      </c>
      <c r="C857" s="34" t="n">
        <v>1</v>
      </c>
      <c r="D857" s="37" t="inlineStr">
        <is>
          <t>Tech F</t>
        </is>
      </c>
      <c r="E857" s="35" t="n">
        <v>2.8</v>
      </c>
      <c r="F857" s="35" t="n">
        <v>2</v>
      </c>
      <c r="G857" s="37" t="inlineStr">
        <is>
          <t>Y</t>
        </is>
      </c>
      <c r="H857" s="37" t="inlineStr">
        <is>
          <t>N</t>
        </is>
      </c>
      <c r="I857" s="37">
        <f>COUNTIF(G$5:G857,"Y")/COUNTA(G$5:G857)</f>
        <v/>
      </c>
      <c r="J857" s="37">
        <f>COUNTIF(H$5:H857,"Y")/COUNTA(H$5:H857)</f>
        <v/>
      </c>
      <c r="K857" s="37">
        <f>AVERAGE(F$5:F857)</f>
        <v/>
      </c>
      <c r="L857" s="37">
        <f>SUM(F$5:F857)/SUM(E$5:E857)</f>
        <v/>
      </c>
    </row>
    <row r="858">
      <c r="A858" s="29" t="n">
        <v>45769</v>
      </c>
      <c r="B858" s="37" t="inlineStr">
        <is>
          <t>JOB-1854</t>
        </is>
      </c>
      <c r="C858" s="34" t="n">
        <v>1</v>
      </c>
      <c r="D858" s="37" t="inlineStr">
        <is>
          <t>Tech H</t>
        </is>
      </c>
      <c r="E858" s="35" t="n">
        <v>2</v>
      </c>
      <c r="F858" s="35" t="n">
        <v>1.4</v>
      </c>
      <c r="G858" s="37" t="inlineStr">
        <is>
          <t>Y</t>
        </is>
      </c>
      <c r="H858" s="37" t="inlineStr">
        <is>
          <t>N</t>
        </is>
      </c>
      <c r="I858" s="37">
        <f>COUNTIF(G$5:G858,"Y")/COUNTA(G$5:G858)</f>
        <v/>
      </c>
      <c r="J858" s="37">
        <f>COUNTIF(H$5:H858,"Y")/COUNTA(H$5:H858)</f>
        <v/>
      </c>
      <c r="K858" s="37">
        <f>AVERAGE(F$5:F858)</f>
        <v/>
      </c>
      <c r="L858" s="37">
        <f>SUM(F$5:F858)/SUM(E$5:E858)</f>
        <v/>
      </c>
    </row>
    <row r="859">
      <c r="A859" s="29" t="n">
        <v>45770</v>
      </c>
      <c r="B859" s="37" t="inlineStr">
        <is>
          <t>JOB-1855</t>
        </is>
      </c>
      <c r="C859" s="34" t="n">
        <v>1</v>
      </c>
      <c r="D859" s="37" t="inlineStr">
        <is>
          <t>Tech A</t>
        </is>
      </c>
      <c r="E859" s="35" t="n">
        <v>1.7</v>
      </c>
      <c r="F859" s="35" t="n">
        <v>1.2</v>
      </c>
      <c r="G859" s="37" t="inlineStr">
        <is>
          <t>Y</t>
        </is>
      </c>
      <c r="H859" s="37" t="inlineStr">
        <is>
          <t>N</t>
        </is>
      </c>
      <c r="I859" s="37">
        <f>COUNTIF(G$5:G859,"Y")/COUNTA(G$5:G859)</f>
        <v/>
      </c>
      <c r="J859" s="37">
        <f>COUNTIF(H$5:H859,"Y")/COUNTA(H$5:H859)</f>
        <v/>
      </c>
      <c r="K859" s="37">
        <f>AVERAGE(F$5:F859)</f>
        <v/>
      </c>
      <c r="L859" s="37">
        <f>SUM(F$5:F859)/SUM(E$5:E859)</f>
        <v/>
      </c>
    </row>
    <row r="860">
      <c r="A860" s="29" t="n">
        <v>45771</v>
      </c>
      <c r="B860" s="37" t="inlineStr">
        <is>
          <t>JOB-1856</t>
        </is>
      </c>
      <c r="C860" s="34" t="n">
        <v>1</v>
      </c>
      <c r="D860" s="37" t="inlineStr">
        <is>
          <t>Tech F</t>
        </is>
      </c>
      <c r="E860" s="35" t="n">
        <v>3.5</v>
      </c>
      <c r="F860" s="35" t="n">
        <v>3</v>
      </c>
      <c r="G860" s="37" t="inlineStr">
        <is>
          <t>Y</t>
        </is>
      </c>
      <c r="H860" s="37" t="inlineStr">
        <is>
          <t>N</t>
        </is>
      </c>
      <c r="I860" s="37">
        <f>COUNTIF(G$5:G860,"Y")/COUNTA(G$5:G860)</f>
        <v/>
      </c>
      <c r="J860" s="37">
        <f>COUNTIF(H$5:H860,"Y")/COUNTA(H$5:H860)</f>
        <v/>
      </c>
      <c r="K860" s="37">
        <f>AVERAGE(F$5:F860)</f>
        <v/>
      </c>
      <c r="L860" s="37">
        <f>SUM(F$5:F860)/SUM(E$5:E860)</f>
        <v/>
      </c>
    </row>
    <row r="861">
      <c r="A861" s="29" t="n">
        <v>45772</v>
      </c>
      <c r="B861" s="37" t="inlineStr">
        <is>
          <t>JOB-1857</t>
        </is>
      </c>
      <c r="C861" s="34" t="n">
        <v>1</v>
      </c>
      <c r="D861" s="37" t="inlineStr">
        <is>
          <t>Tech D</t>
        </is>
      </c>
      <c r="E861" s="35" t="n">
        <v>2.7</v>
      </c>
      <c r="F861" s="35" t="n">
        <v>2.1</v>
      </c>
      <c r="G861" s="37" t="inlineStr">
        <is>
          <t>Y</t>
        </is>
      </c>
      <c r="H861" s="37" t="inlineStr">
        <is>
          <t>N</t>
        </is>
      </c>
      <c r="I861" s="37">
        <f>COUNTIF(G$5:G861,"Y")/COUNTA(G$5:G861)</f>
        <v/>
      </c>
      <c r="J861" s="37">
        <f>COUNTIF(H$5:H861,"Y")/COUNTA(H$5:H861)</f>
        <v/>
      </c>
      <c r="K861" s="37">
        <f>AVERAGE(F$5:F861)</f>
        <v/>
      </c>
      <c r="L861" s="37">
        <f>SUM(F$5:F861)/SUM(E$5:E861)</f>
        <v/>
      </c>
    </row>
    <row r="862">
      <c r="A862" s="29" t="n">
        <v>45768</v>
      </c>
      <c r="B862" s="37" t="inlineStr">
        <is>
          <t>JOB-1858</t>
        </is>
      </c>
      <c r="C862" s="34" t="n">
        <v>1</v>
      </c>
      <c r="D862" s="37" t="inlineStr">
        <is>
          <t>Tech G</t>
        </is>
      </c>
      <c r="E862" s="35" t="n">
        <v>4.2</v>
      </c>
      <c r="F862" s="35" t="n">
        <v>2.9</v>
      </c>
      <c r="G862" s="37" t="inlineStr">
        <is>
          <t>Y</t>
        </is>
      </c>
      <c r="H862" s="37" t="inlineStr">
        <is>
          <t>N</t>
        </is>
      </c>
      <c r="I862" s="37">
        <f>COUNTIF(G$5:G862,"Y")/COUNTA(G$5:G862)</f>
        <v/>
      </c>
      <c r="J862" s="37">
        <f>COUNTIF(H$5:H862,"Y")/COUNTA(H$5:H862)</f>
        <v/>
      </c>
      <c r="K862" s="37">
        <f>AVERAGE(F$5:F862)</f>
        <v/>
      </c>
      <c r="L862" s="37">
        <f>SUM(F$5:F862)/SUM(E$5:E862)</f>
        <v/>
      </c>
    </row>
    <row r="863">
      <c r="A863" s="29" t="n">
        <v>45769</v>
      </c>
      <c r="B863" s="37" t="inlineStr">
        <is>
          <t>JOB-1859</t>
        </is>
      </c>
      <c r="C863" s="34" t="n">
        <v>1</v>
      </c>
      <c r="D863" s="37" t="inlineStr">
        <is>
          <t>Tech F</t>
        </is>
      </c>
      <c r="E863" s="35" t="n">
        <v>2</v>
      </c>
      <c r="F863" s="35" t="n">
        <v>1.4</v>
      </c>
      <c r="G863" s="37" t="inlineStr">
        <is>
          <t>Y</t>
        </is>
      </c>
      <c r="H863" s="37" t="inlineStr">
        <is>
          <t>N</t>
        </is>
      </c>
      <c r="I863" s="37">
        <f>COUNTIF(G$5:G863,"Y")/COUNTA(G$5:G863)</f>
        <v/>
      </c>
      <c r="J863" s="37">
        <f>COUNTIF(H$5:H863,"Y")/COUNTA(H$5:H863)</f>
        <v/>
      </c>
      <c r="K863" s="37">
        <f>AVERAGE(F$5:F863)</f>
        <v/>
      </c>
      <c r="L863" s="37">
        <f>SUM(F$5:F863)/SUM(E$5:E863)</f>
        <v/>
      </c>
    </row>
    <row r="864">
      <c r="A864" s="29" t="n">
        <v>45770</v>
      </c>
      <c r="B864" s="37" t="inlineStr">
        <is>
          <t>JOB-1860</t>
        </is>
      </c>
      <c r="C864" s="34" t="n">
        <v>1</v>
      </c>
      <c r="D864" s="37" t="inlineStr">
        <is>
          <t>Tech D</t>
        </is>
      </c>
      <c r="E864" s="35" t="n">
        <v>2</v>
      </c>
      <c r="F864" s="35" t="n">
        <v>1.6</v>
      </c>
      <c r="G864" s="37" t="inlineStr">
        <is>
          <t>Y</t>
        </is>
      </c>
      <c r="H864" s="37" t="inlineStr">
        <is>
          <t>N</t>
        </is>
      </c>
      <c r="I864" s="37">
        <f>COUNTIF(G$5:G864,"Y")/COUNTA(G$5:G864)</f>
        <v/>
      </c>
      <c r="J864" s="37">
        <f>COUNTIF(H$5:H864,"Y")/COUNTA(H$5:H864)</f>
        <v/>
      </c>
      <c r="K864" s="37">
        <f>AVERAGE(F$5:F864)</f>
        <v/>
      </c>
      <c r="L864" s="37">
        <f>SUM(F$5:F864)/SUM(E$5:E864)</f>
        <v/>
      </c>
    </row>
    <row r="865">
      <c r="A865" s="29" t="n">
        <v>45771</v>
      </c>
      <c r="B865" s="37" t="inlineStr">
        <is>
          <t>JOB-1861</t>
        </is>
      </c>
      <c r="C865" s="34" t="n">
        <v>1</v>
      </c>
      <c r="D865" s="37" t="inlineStr">
        <is>
          <t>Tech F</t>
        </is>
      </c>
      <c r="E865" s="35" t="n">
        <v>4.8</v>
      </c>
      <c r="F865" s="35" t="n">
        <v>3.9</v>
      </c>
      <c r="G865" s="37" t="inlineStr">
        <is>
          <t>Y</t>
        </is>
      </c>
      <c r="H865" s="37" t="inlineStr">
        <is>
          <t>N</t>
        </is>
      </c>
      <c r="I865" s="37">
        <f>COUNTIF(G$5:G865,"Y")/COUNTA(G$5:G865)</f>
        <v/>
      </c>
      <c r="J865" s="37">
        <f>COUNTIF(H$5:H865,"Y")/COUNTA(H$5:H865)</f>
        <v/>
      </c>
      <c r="K865" s="37">
        <f>AVERAGE(F$5:F865)</f>
        <v/>
      </c>
      <c r="L865" s="37">
        <f>SUM(F$5:F865)/SUM(E$5:E865)</f>
        <v/>
      </c>
    </row>
    <row r="866">
      <c r="A866" s="29" t="n">
        <v>45772</v>
      </c>
      <c r="B866" s="37" t="inlineStr">
        <is>
          <t>JOB-1862</t>
        </is>
      </c>
      <c r="C866" s="34" t="n">
        <v>1</v>
      </c>
      <c r="D866" s="37" t="inlineStr">
        <is>
          <t>Tech G</t>
        </is>
      </c>
      <c r="E866" s="35" t="n">
        <v>3.2</v>
      </c>
      <c r="F866" s="35" t="n">
        <v>2.2</v>
      </c>
      <c r="G866" s="37" t="inlineStr">
        <is>
          <t>Y</t>
        </is>
      </c>
      <c r="H866" s="37" t="inlineStr">
        <is>
          <t>N</t>
        </is>
      </c>
      <c r="I866" s="37">
        <f>COUNTIF(G$5:G866,"Y")/COUNTA(G$5:G866)</f>
        <v/>
      </c>
      <c r="J866" s="37">
        <f>COUNTIF(H$5:H866,"Y")/COUNTA(H$5:H866)</f>
        <v/>
      </c>
      <c r="K866" s="37">
        <f>AVERAGE(F$5:F866)</f>
        <v/>
      </c>
      <c r="L866" s="37">
        <f>SUM(F$5:F866)/SUM(E$5:E866)</f>
        <v/>
      </c>
    </row>
    <row r="867">
      <c r="A867" s="29" t="n">
        <v>45768</v>
      </c>
      <c r="B867" s="37" t="inlineStr">
        <is>
          <t>JOB-1863</t>
        </is>
      </c>
      <c r="C867" s="34" t="n">
        <v>1</v>
      </c>
      <c r="D867" s="37" t="inlineStr">
        <is>
          <t>Tech B</t>
        </is>
      </c>
      <c r="E867" s="35" t="n">
        <v>4.7</v>
      </c>
      <c r="F867" s="35" t="n">
        <v>3.4</v>
      </c>
      <c r="G867" s="37" t="inlineStr">
        <is>
          <t>N</t>
        </is>
      </c>
      <c r="H867" s="37" t="inlineStr">
        <is>
          <t>N</t>
        </is>
      </c>
      <c r="I867" s="37">
        <f>COUNTIF(G$5:G867,"Y")/COUNTA(G$5:G867)</f>
        <v/>
      </c>
      <c r="J867" s="37">
        <f>COUNTIF(H$5:H867,"Y")/COUNTA(H$5:H867)</f>
        <v/>
      </c>
      <c r="K867" s="37">
        <f>AVERAGE(F$5:F867)</f>
        <v/>
      </c>
      <c r="L867" s="37">
        <f>SUM(F$5:F867)/SUM(E$5:E867)</f>
        <v/>
      </c>
    </row>
    <row r="868">
      <c r="A868" s="29" t="n">
        <v>45769</v>
      </c>
      <c r="B868" s="37" t="inlineStr">
        <is>
          <t>JOB-1864</t>
        </is>
      </c>
      <c r="C868" s="34" t="n">
        <v>1</v>
      </c>
      <c r="D868" s="37" t="inlineStr">
        <is>
          <t>Tech H</t>
        </is>
      </c>
      <c r="E868" s="35" t="n">
        <v>3.9</v>
      </c>
      <c r="F868" s="35" t="n">
        <v>3.4</v>
      </c>
      <c r="G868" s="37" t="inlineStr">
        <is>
          <t>N</t>
        </is>
      </c>
      <c r="H868" s="37" t="inlineStr">
        <is>
          <t>N</t>
        </is>
      </c>
      <c r="I868" s="37">
        <f>COUNTIF(G$5:G868,"Y")/COUNTA(G$5:G868)</f>
        <v/>
      </c>
      <c r="J868" s="37">
        <f>COUNTIF(H$5:H868,"Y")/COUNTA(H$5:H868)</f>
        <v/>
      </c>
      <c r="K868" s="37">
        <f>AVERAGE(F$5:F868)</f>
        <v/>
      </c>
      <c r="L868" s="37">
        <f>SUM(F$5:F868)/SUM(E$5:E868)</f>
        <v/>
      </c>
    </row>
    <row r="869">
      <c r="A869" s="29" t="n">
        <v>45770</v>
      </c>
      <c r="B869" s="37" t="inlineStr">
        <is>
          <t>JOB-1865</t>
        </is>
      </c>
      <c r="C869" s="34" t="n">
        <v>1</v>
      </c>
      <c r="D869" s="37" t="inlineStr">
        <is>
          <t>Tech F</t>
        </is>
      </c>
      <c r="E869" s="35" t="n">
        <v>3.5</v>
      </c>
      <c r="F869" s="35" t="n">
        <v>3.1</v>
      </c>
      <c r="G869" s="37" t="inlineStr">
        <is>
          <t>Y</t>
        </is>
      </c>
      <c r="H869" s="37" t="inlineStr">
        <is>
          <t>Y</t>
        </is>
      </c>
      <c r="I869" s="37">
        <f>COUNTIF(G$5:G869,"Y")/COUNTA(G$5:G869)</f>
        <v/>
      </c>
      <c r="J869" s="37">
        <f>COUNTIF(H$5:H869,"Y")/COUNTA(H$5:H869)</f>
        <v/>
      </c>
      <c r="K869" s="37">
        <f>AVERAGE(F$5:F869)</f>
        <v/>
      </c>
      <c r="L869" s="37">
        <f>SUM(F$5:F869)/SUM(E$5:E869)</f>
        <v/>
      </c>
    </row>
    <row r="870">
      <c r="A870" s="29" t="n">
        <v>45771</v>
      </c>
      <c r="B870" s="37" t="inlineStr">
        <is>
          <t>JOB-1866</t>
        </is>
      </c>
      <c r="C870" s="34" t="n">
        <v>1</v>
      </c>
      <c r="D870" s="37" t="inlineStr">
        <is>
          <t>Tech B</t>
        </is>
      </c>
      <c r="E870" s="35" t="n">
        <v>4.5</v>
      </c>
      <c r="F870" s="35" t="n">
        <v>3.8</v>
      </c>
      <c r="G870" s="37" t="inlineStr">
        <is>
          <t>Y</t>
        </is>
      </c>
      <c r="H870" s="37" t="inlineStr">
        <is>
          <t>N</t>
        </is>
      </c>
      <c r="I870" s="37">
        <f>COUNTIF(G$5:G870,"Y")/COUNTA(G$5:G870)</f>
        <v/>
      </c>
      <c r="J870" s="37">
        <f>COUNTIF(H$5:H870,"Y")/COUNTA(H$5:H870)</f>
        <v/>
      </c>
      <c r="K870" s="37">
        <f>AVERAGE(F$5:F870)</f>
        <v/>
      </c>
      <c r="L870" s="37">
        <f>SUM(F$5:F870)/SUM(E$5:E870)</f>
        <v/>
      </c>
    </row>
    <row r="871">
      <c r="A871" s="29" t="n">
        <v>45772</v>
      </c>
      <c r="B871" s="37" t="inlineStr">
        <is>
          <t>JOB-1867</t>
        </is>
      </c>
      <c r="C871" s="34" t="n">
        <v>1</v>
      </c>
      <c r="D871" s="37" t="inlineStr">
        <is>
          <t>Tech H</t>
        </is>
      </c>
      <c r="E871" s="35" t="n">
        <v>3.1</v>
      </c>
      <c r="F871" s="35" t="n">
        <v>2.3</v>
      </c>
      <c r="G871" s="37" t="inlineStr">
        <is>
          <t>Y</t>
        </is>
      </c>
      <c r="H871" s="37" t="inlineStr">
        <is>
          <t>N</t>
        </is>
      </c>
      <c r="I871" s="37">
        <f>COUNTIF(G$5:G871,"Y")/COUNTA(G$5:G871)</f>
        <v/>
      </c>
      <c r="J871" s="37">
        <f>COUNTIF(H$5:H871,"Y")/COUNTA(H$5:H871)</f>
        <v/>
      </c>
      <c r="K871" s="37">
        <f>AVERAGE(F$5:F871)</f>
        <v/>
      </c>
      <c r="L871" s="37">
        <f>SUM(F$5:F871)/SUM(E$5:E871)</f>
        <v/>
      </c>
    </row>
    <row r="872">
      <c r="A872" s="29" t="n">
        <v>45768</v>
      </c>
      <c r="B872" s="37" t="inlineStr">
        <is>
          <t>JOB-1868</t>
        </is>
      </c>
      <c r="C872" s="34" t="n">
        <v>1</v>
      </c>
      <c r="D872" s="37" t="inlineStr">
        <is>
          <t>Tech G</t>
        </is>
      </c>
      <c r="E872" s="35" t="n">
        <v>4.7</v>
      </c>
      <c r="F872" s="35" t="n">
        <v>3.4</v>
      </c>
      <c r="G872" s="37" t="inlineStr">
        <is>
          <t>Y</t>
        </is>
      </c>
      <c r="H872" s="37" t="inlineStr">
        <is>
          <t>N</t>
        </is>
      </c>
      <c r="I872" s="37">
        <f>COUNTIF(G$5:G872,"Y")/COUNTA(G$5:G872)</f>
        <v/>
      </c>
      <c r="J872" s="37">
        <f>COUNTIF(H$5:H872,"Y")/COUNTA(H$5:H872)</f>
        <v/>
      </c>
      <c r="K872" s="37">
        <f>AVERAGE(F$5:F872)</f>
        <v/>
      </c>
      <c r="L872" s="37">
        <f>SUM(F$5:F872)/SUM(E$5:E872)</f>
        <v/>
      </c>
    </row>
    <row r="873">
      <c r="A873" s="29" t="n">
        <v>45769</v>
      </c>
      <c r="B873" s="37" t="inlineStr">
        <is>
          <t>JOB-1869</t>
        </is>
      </c>
      <c r="C873" s="34" t="n">
        <v>1</v>
      </c>
      <c r="D873" s="37" t="inlineStr">
        <is>
          <t>Tech B</t>
        </is>
      </c>
      <c r="E873" s="35" t="n">
        <v>2</v>
      </c>
      <c r="F873" s="35" t="n">
        <v>1.6</v>
      </c>
      <c r="G873" s="37" t="inlineStr">
        <is>
          <t>Y</t>
        </is>
      </c>
      <c r="H873" s="37" t="inlineStr">
        <is>
          <t>N</t>
        </is>
      </c>
      <c r="I873" s="37">
        <f>COUNTIF(G$5:G873,"Y")/COUNTA(G$5:G873)</f>
        <v/>
      </c>
      <c r="J873" s="37">
        <f>COUNTIF(H$5:H873,"Y")/COUNTA(H$5:H873)</f>
        <v/>
      </c>
      <c r="K873" s="37">
        <f>AVERAGE(F$5:F873)</f>
        <v/>
      </c>
      <c r="L873" s="37">
        <f>SUM(F$5:F873)/SUM(E$5:E873)</f>
        <v/>
      </c>
    </row>
    <row r="874">
      <c r="A874" s="29" t="n">
        <v>45770</v>
      </c>
      <c r="B874" s="37" t="inlineStr">
        <is>
          <t>JOB-1870</t>
        </is>
      </c>
      <c r="C874" s="34" t="n">
        <v>1</v>
      </c>
      <c r="D874" s="37" t="inlineStr">
        <is>
          <t>Tech A</t>
        </is>
      </c>
      <c r="E874" s="35" t="n">
        <v>2.4</v>
      </c>
      <c r="F874" s="35" t="n">
        <v>2.1</v>
      </c>
      <c r="G874" s="37" t="inlineStr">
        <is>
          <t>Y</t>
        </is>
      </c>
      <c r="H874" s="37" t="inlineStr">
        <is>
          <t>N</t>
        </is>
      </c>
      <c r="I874" s="37">
        <f>COUNTIF(G$5:G874,"Y")/COUNTA(G$5:G874)</f>
        <v/>
      </c>
      <c r="J874" s="37">
        <f>COUNTIF(H$5:H874,"Y")/COUNTA(H$5:H874)</f>
        <v/>
      </c>
      <c r="K874" s="37">
        <f>AVERAGE(F$5:F874)</f>
        <v/>
      </c>
      <c r="L874" s="37">
        <f>SUM(F$5:F874)/SUM(E$5:E874)</f>
        <v/>
      </c>
    </row>
    <row r="875">
      <c r="A875" s="29" t="n">
        <v>45771</v>
      </c>
      <c r="B875" s="37" t="inlineStr">
        <is>
          <t>JOB-1871</t>
        </is>
      </c>
      <c r="C875" s="34" t="n">
        <v>1</v>
      </c>
      <c r="D875" s="37" t="inlineStr">
        <is>
          <t>Tech D</t>
        </is>
      </c>
      <c r="E875" s="35" t="n">
        <v>4.5</v>
      </c>
      <c r="F875" s="35" t="n">
        <v>3.1</v>
      </c>
      <c r="G875" s="37" t="inlineStr">
        <is>
          <t>Y</t>
        </is>
      </c>
      <c r="H875" s="37" t="inlineStr">
        <is>
          <t>N</t>
        </is>
      </c>
      <c r="I875" s="37">
        <f>COUNTIF(G$5:G875,"Y")/COUNTA(G$5:G875)</f>
        <v/>
      </c>
      <c r="J875" s="37">
        <f>COUNTIF(H$5:H875,"Y")/COUNTA(H$5:H875)</f>
        <v/>
      </c>
      <c r="K875" s="37">
        <f>AVERAGE(F$5:F875)</f>
        <v/>
      </c>
      <c r="L875" s="37">
        <f>SUM(F$5:F875)/SUM(E$5:E875)</f>
        <v/>
      </c>
    </row>
    <row r="876">
      <c r="A876" s="29" t="n">
        <v>45772</v>
      </c>
      <c r="B876" s="37" t="inlineStr">
        <is>
          <t>JOB-1872</t>
        </is>
      </c>
      <c r="C876" s="34" t="n">
        <v>1</v>
      </c>
      <c r="D876" s="37" t="inlineStr">
        <is>
          <t>Tech H</t>
        </is>
      </c>
      <c r="E876" s="35" t="n">
        <v>4.6</v>
      </c>
      <c r="F876" s="35" t="n">
        <v>3.9</v>
      </c>
      <c r="G876" s="37" t="inlineStr">
        <is>
          <t>N</t>
        </is>
      </c>
      <c r="H876" s="37" t="inlineStr">
        <is>
          <t>N</t>
        </is>
      </c>
      <c r="I876" s="37">
        <f>COUNTIF(G$5:G876,"Y")/COUNTA(G$5:G876)</f>
        <v/>
      </c>
      <c r="J876" s="37">
        <f>COUNTIF(H$5:H876,"Y")/COUNTA(H$5:H876)</f>
        <v/>
      </c>
      <c r="K876" s="37">
        <f>AVERAGE(F$5:F876)</f>
        <v/>
      </c>
      <c r="L876" s="37">
        <f>SUM(F$5:F876)/SUM(E$5:E876)</f>
        <v/>
      </c>
    </row>
    <row r="877">
      <c r="A877" s="29" t="n">
        <v>45768</v>
      </c>
      <c r="B877" s="37" t="inlineStr">
        <is>
          <t>JOB-1873</t>
        </is>
      </c>
      <c r="C877" s="34" t="n">
        <v>1</v>
      </c>
      <c r="D877" s="37" t="inlineStr">
        <is>
          <t>Tech F</t>
        </is>
      </c>
      <c r="E877" s="35" t="n">
        <v>4.3</v>
      </c>
      <c r="F877" s="35" t="n">
        <v>3.7</v>
      </c>
      <c r="G877" s="37" t="inlineStr">
        <is>
          <t>Y</t>
        </is>
      </c>
      <c r="H877" s="37" t="inlineStr">
        <is>
          <t>N</t>
        </is>
      </c>
      <c r="I877" s="37">
        <f>COUNTIF(G$5:G877,"Y")/COUNTA(G$5:G877)</f>
        <v/>
      </c>
      <c r="J877" s="37">
        <f>COUNTIF(H$5:H877,"Y")/COUNTA(H$5:H877)</f>
        <v/>
      </c>
      <c r="K877" s="37">
        <f>AVERAGE(F$5:F877)</f>
        <v/>
      </c>
      <c r="L877" s="37">
        <f>SUM(F$5:F877)/SUM(E$5:E877)</f>
        <v/>
      </c>
    </row>
    <row r="878">
      <c r="A878" s="29" t="n">
        <v>45769</v>
      </c>
      <c r="B878" s="37" t="inlineStr">
        <is>
          <t>JOB-1874</t>
        </is>
      </c>
      <c r="C878" s="34" t="n">
        <v>1</v>
      </c>
      <c r="D878" s="37" t="inlineStr">
        <is>
          <t>Tech F</t>
        </is>
      </c>
      <c r="E878" s="35" t="n">
        <v>2.6</v>
      </c>
      <c r="F878" s="35" t="n">
        <v>2.3</v>
      </c>
      <c r="G878" s="37" t="inlineStr">
        <is>
          <t>Y</t>
        </is>
      </c>
      <c r="H878" s="37" t="inlineStr">
        <is>
          <t>N</t>
        </is>
      </c>
      <c r="I878" s="37">
        <f>COUNTIF(G$5:G878,"Y")/COUNTA(G$5:G878)</f>
        <v/>
      </c>
      <c r="J878" s="37">
        <f>COUNTIF(H$5:H878,"Y")/COUNTA(H$5:H878)</f>
        <v/>
      </c>
      <c r="K878" s="37">
        <f>AVERAGE(F$5:F878)</f>
        <v/>
      </c>
      <c r="L878" s="37">
        <f>SUM(F$5:F878)/SUM(E$5:E878)</f>
        <v/>
      </c>
    </row>
    <row r="879">
      <c r="A879" s="29" t="n">
        <v>45770</v>
      </c>
      <c r="B879" s="37" t="inlineStr">
        <is>
          <t>JOB-1875</t>
        </is>
      </c>
      <c r="C879" s="34" t="n">
        <v>1</v>
      </c>
      <c r="D879" s="37" t="inlineStr">
        <is>
          <t>Tech C</t>
        </is>
      </c>
      <c r="E879" s="35" t="n">
        <v>2.2</v>
      </c>
      <c r="F879" s="35" t="n">
        <v>1.8</v>
      </c>
      <c r="G879" s="37" t="inlineStr">
        <is>
          <t>N</t>
        </is>
      </c>
      <c r="H879" s="37" t="inlineStr">
        <is>
          <t>N</t>
        </is>
      </c>
      <c r="I879" s="37">
        <f>COUNTIF(G$5:G879,"Y")/COUNTA(G$5:G879)</f>
        <v/>
      </c>
      <c r="J879" s="37">
        <f>COUNTIF(H$5:H879,"Y")/COUNTA(H$5:H879)</f>
        <v/>
      </c>
      <c r="K879" s="37">
        <f>AVERAGE(F$5:F879)</f>
        <v/>
      </c>
      <c r="L879" s="37">
        <f>SUM(F$5:F879)/SUM(E$5:E879)</f>
        <v/>
      </c>
    </row>
    <row r="880">
      <c r="A880" s="29" t="n">
        <v>45771</v>
      </c>
      <c r="B880" s="37" t="inlineStr">
        <is>
          <t>JOB-1876</t>
        </is>
      </c>
      <c r="C880" s="34" t="n">
        <v>1</v>
      </c>
      <c r="D880" s="37" t="inlineStr">
        <is>
          <t>Tech F</t>
        </is>
      </c>
      <c r="E880" s="35" t="n">
        <v>4.3</v>
      </c>
      <c r="F880" s="35" t="n">
        <v>3.1</v>
      </c>
      <c r="G880" s="37" t="inlineStr">
        <is>
          <t>Y</t>
        </is>
      </c>
      <c r="H880" s="37" t="inlineStr">
        <is>
          <t>N</t>
        </is>
      </c>
      <c r="I880" s="37">
        <f>COUNTIF(G$5:G880,"Y")/COUNTA(G$5:G880)</f>
        <v/>
      </c>
      <c r="J880" s="37">
        <f>COUNTIF(H$5:H880,"Y")/COUNTA(H$5:H880)</f>
        <v/>
      </c>
      <c r="K880" s="37">
        <f>AVERAGE(F$5:F880)</f>
        <v/>
      </c>
      <c r="L880" s="37">
        <f>SUM(F$5:F880)/SUM(E$5:E880)</f>
        <v/>
      </c>
    </row>
    <row r="881">
      <c r="A881" s="29" t="n">
        <v>45772</v>
      </c>
      <c r="B881" s="37" t="inlineStr">
        <is>
          <t>JOB-1877</t>
        </is>
      </c>
      <c r="C881" s="34" t="n">
        <v>1</v>
      </c>
      <c r="D881" s="37" t="inlineStr">
        <is>
          <t>Tech D</t>
        </is>
      </c>
      <c r="E881" s="35" t="n">
        <v>4.4</v>
      </c>
      <c r="F881" s="35" t="n">
        <v>3.3</v>
      </c>
      <c r="G881" s="37" t="inlineStr">
        <is>
          <t>Y</t>
        </is>
      </c>
      <c r="H881" s="37" t="inlineStr">
        <is>
          <t>N</t>
        </is>
      </c>
      <c r="I881" s="37">
        <f>COUNTIF(G$5:G881,"Y")/COUNTA(G$5:G881)</f>
        <v/>
      </c>
      <c r="J881" s="37">
        <f>COUNTIF(H$5:H881,"Y")/COUNTA(H$5:H881)</f>
        <v/>
      </c>
      <c r="K881" s="37">
        <f>AVERAGE(F$5:F881)</f>
        <v/>
      </c>
      <c r="L881" s="37">
        <f>SUM(F$5:F881)/SUM(E$5:E881)</f>
        <v/>
      </c>
    </row>
    <row r="882">
      <c r="A882" s="29" t="n">
        <v>45768</v>
      </c>
      <c r="B882" s="37" t="inlineStr">
        <is>
          <t>JOB-1878</t>
        </is>
      </c>
      <c r="C882" s="34" t="n">
        <v>1</v>
      </c>
      <c r="D882" s="37" t="inlineStr">
        <is>
          <t>Tech D</t>
        </is>
      </c>
      <c r="E882" s="35" t="n">
        <v>4.1</v>
      </c>
      <c r="F882" s="35" t="n">
        <v>2.7</v>
      </c>
      <c r="G882" s="37" t="inlineStr">
        <is>
          <t>Y</t>
        </is>
      </c>
      <c r="H882" s="37" t="inlineStr">
        <is>
          <t>N</t>
        </is>
      </c>
      <c r="I882" s="37">
        <f>COUNTIF(G$5:G882,"Y")/COUNTA(G$5:G882)</f>
        <v/>
      </c>
      <c r="J882" s="37">
        <f>COUNTIF(H$5:H882,"Y")/COUNTA(H$5:H882)</f>
        <v/>
      </c>
      <c r="K882" s="37">
        <f>AVERAGE(F$5:F882)</f>
        <v/>
      </c>
      <c r="L882" s="37">
        <f>SUM(F$5:F882)/SUM(E$5:E882)</f>
        <v/>
      </c>
    </row>
    <row r="883">
      <c r="A883" s="29" t="n">
        <v>45769</v>
      </c>
      <c r="B883" s="37" t="inlineStr">
        <is>
          <t>JOB-1879</t>
        </is>
      </c>
      <c r="C883" s="34" t="n">
        <v>1</v>
      </c>
      <c r="D883" s="37" t="inlineStr">
        <is>
          <t>Tech F</t>
        </is>
      </c>
      <c r="E883" s="35" t="n">
        <v>3.7</v>
      </c>
      <c r="F883" s="35" t="n">
        <v>3</v>
      </c>
      <c r="G883" s="37" t="inlineStr">
        <is>
          <t>Y</t>
        </is>
      </c>
      <c r="H883" s="37" t="inlineStr">
        <is>
          <t>N</t>
        </is>
      </c>
      <c r="I883" s="37">
        <f>COUNTIF(G$5:G883,"Y")/COUNTA(G$5:G883)</f>
        <v/>
      </c>
      <c r="J883" s="37">
        <f>COUNTIF(H$5:H883,"Y")/COUNTA(H$5:H883)</f>
        <v/>
      </c>
      <c r="K883" s="37">
        <f>AVERAGE(F$5:F883)</f>
        <v/>
      </c>
      <c r="L883" s="37">
        <f>SUM(F$5:F883)/SUM(E$5:E883)</f>
        <v/>
      </c>
    </row>
    <row r="884">
      <c r="A884" s="29" t="n">
        <v>45770</v>
      </c>
      <c r="B884" s="37" t="inlineStr">
        <is>
          <t>JOB-1880</t>
        </is>
      </c>
      <c r="C884" s="34" t="n">
        <v>1</v>
      </c>
      <c r="D884" s="37" t="inlineStr">
        <is>
          <t>Tech H</t>
        </is>
      </c>
      <c r="E884" s="35" t="n">
        <v>3.6</v>
      </c>
      <c r="F884" s="35" t="n">
        <v>2.6</v>
      </c>
      <c r="G884" s="37" t="inlineStr">
        <is>
          <t>Y</t>
        </is>
      </c>
      <c r="H884" s="37" t="inlineStr">
        <is>
          <t>N</t>
        </is>
      </c>
      <c r="I884" s="37">
        <f>COUNTIF(G$5:G884,"Y")/COUNTA(G$5:G884)</f>
        <v/>
      </c>
      <c r="J884" s="37">
        <f>COUNTIF(H$5:H884,"Y")/COUNTA(H$5:H884)</f>
        <v/>
      </c>
      <c r="K884" s="37">
        <f>AVERAGE(F$5:F884)</f>
        <v/>
      </c>
      <c r="L884" s="37">
        <f>SUM(F$5:F884)/SUM(E$5:E884)</f>
        <v/>
      </c>
    </row>
    <row r="885">
      <c r="A885" s="29" t="n">
        <v>45771</v>
      </c>
      <c r="B885" s="37" t="inlineStr">
        <is>
          <t>JOB-1881</t>
        </is>
      </c>
      <c r="C885" s="34" t="n">
        <v>1</v>
      </c>
      <c r="D885" s="37" t="inlineStr">
        <is>
          <t>Tech G</t>
        </is>
      </c>
      <c r="E885" s="35" t="n">
        <v>1.9</v>
      </c>
      <c r="F885" s="35" t="n">
        <v>1.4</v>
      </c>
      <c r="G885" s="37" t="inlineStr">
        <is>
          <t>Y</t>
        </is>
      </c>
      <c r="H885" s="37" t="inlineStr">
        <is>
          <t>N</t>
        </is>
      </c>
      <c r="I885" s="37">
        <f>COUNTIF(G$5:G885,"Y")/COUNTA(G$5:G885)</f>
        <v/>
      </c>
      <c r="J885" s="37">
        <f>COUNTIF(H$5:H885,"Y")/COUNTA(H$5:H885)</f>
        <v/>
      </c>
      <c r="K885" s="37">
        <f>AVERAGE(F$5:F885)</f>
        <v/>
      </c>
      <c r="L885" s="37">
        <f>SUM(F$5:F885)/SUM(E$5:E885)</f>
        <v/>
      </c>
    </row>
    <row r="886">
      <c r="A886" s="29" t="n">
        <v>45772</v>
      </c>
      <c r="B886" s="37" t="inlineStr">
        <is>
          <t>JOB-1882</t>
        </is>
      </c>
      <c r="C886" s="34" t="n">
        <v>1</v>
      </c>
      <c r="D886" s="37" t="inlineStr">
        <is>
          <t>Tech B</t>
        </is>
      </c>
      <c r="E886" s="35" t="n">
        <v>2.3</v>
      </c>
      <c r="F886" s="35" t="n">
        <v>1.8</v>
      </c>
      <c r="G886" s="37" t="inlineStr">
        <is>
          <t>Y</t>
        </is>
      </c>
      <c r="H886" s="37" t="inlineStr">
        <is>
          <t>N</t>
        </is>
      </c>
      <c r="I886" s="37">
        <f>COUNTIF(G$5:G886,"Y")/COUNTA(G$5:G886)</f>
        <v/>
      </c>
      <c r="J886" s="37">
        <f>COUNTIF(H$5:H886,"Y")/COUNTA(H$5:H886)</f>
        <v/>
      </c>
      <c r="K886" s="37">
        <f>AVERAGE(F$5:F886)</f>
        <v/>
      </c>
      <c r="L886" s="37">
        <f>SUM(F$5:F886)/SUM(E$5:E886)</f>
        <v/>
      </c>
    </row>
    <row r="887">
      <c r="A887" s="29" t="n">
        <v>45768</v>
      </c>
      <c r="B887" s="37" t="inlineStr">
        <is>
          <t>JOB-1883</t>
        </is>
      </c>
      <c r="C887" s="34" t="n">
        <v>1</v>
      </c>
      <c r="D887" s="37" t="inlineStr">
        <is>
          <t>Tech C</t>
        </is>
      </c>
      <c r="E887" s="35" t="n">
        <v>3.8</v>
      </c>
      <c r="F887" s="35" t="n">
        <v>3</v>
      </c>
      <c r="G887" s="37" t="inlineStr">
        <is>
          <t>Y</t>
        </is>
      </c>
      <c r="H887" s="37" t="inlineStr">
        <is>
          <t>N</t>
        </is>
      </c>
      <c r="I887" s="37">
        <f>COUNTIF(G$5:G887,"Y")/COUNTA(G$5:G887)</f>
        <v/>
      </c>
      <c r="J887" s="37">
        <f>COUNTIF(H$5:H887,"Y")/COUNTA(H$5:H887)</f>
        <v/>
      </c>
      <c r="K887" s="37">
        <f>AVERAGE(F$5:F887)</f>
        <v/>
      </c>
      <c r="L887" s="37">
        <f>SUM(F$5:F887)/SUM(E$5:E887)</f>
        <v/>
      </c>
    </row>
    <row r="888">
      <c r="A888" s="29" t="n">
        <v>45769</v>
      </c>
      <c r="B888" s="37" t="inlineStr">
        <is>
          <t>JOB-1884</t>
        </is>
      </c>
      <c r="C888" s="34" t="n">
        <v>1</v>
      </c>
      <c r="D888" s="37" t="inlineStr">
        <is>
          <t>Tech D</t>
        </is>
      </c>
      <c r="E888" s="35" t="n">
        <v>4.7</v>
      </c>
      <c r="F888" s="35" t="n">
        <v>3.5</v>
      </c>
      <c r="G888" s="37" t="inlineStr">
        <is>
          <t>Y</t>
        </is>
      </c>
      <c r="H888" s="37" t="inlineStr">
        <is>
          <t>N</t>
        </is>
      </c>
      <c r="I888" s="37">
        <f>COUNTIF(G$5:G888,"Y")/COUNTA(G$5:G888)</f>
        <v/>
      </c>
      <c r="J888" s="37">
        <f>COUNTIF(H$5:H888,"Y")/COUNTA(H$5:H888)</f>
        <v/>
      </c>
      <c r="K888" s="37">
        <f>AVERAGE(F$5:F888)</f>
        <v/>
      </c>
      <c r="L888" s="37">
        <f>SUM(F$5:F888)/SUM(E$5:E888)</f>
        <v/>
      </c>
    </row>
    <row r="889">
      <c r="A889" s="29" t="n">
        <v>45770</v>
      </c>
      <c r="B889" s="37" t="inlineStr">
        <is>
          <t>JOB-1885</t>
        </is>
      </c>
      <c r="C889" s="34" t="n">
        <v>1</v>
      </c>
      <c r="D889" s="37" t="inlineStr">
        <is>
          <t>Tech C</t>
        </is>
      </c>
      <c r="E889" s="35" t="n">
        <v>4.4</v>
      </c>
      <c r="F889" s="35" t="n">
        <v>3.9</v>
      </c>
      <c r="G889" s="37" t="inlineStr">
        <is>
          <t>Y</t>
        </is>
      </c>
      <c r="H889" s="37" t="inlineStr">
        <is>
          <t>N</t>
        </is>
      </c>
      <c r="I889" s="37">
        <f>COUNTIF(G$5:G889,"Y")/COUNTA(G$5:G889)</f>
        <v/>
      </c>
      <c r="J889" s="37">
        <f>COUNTIF(H$5:H889,"Y")/COUNTA(H$5:H889)</f>
        <v/>
      </c>
      <c r="K889" s="37">
        <f>AVERAGE(F$5:F889)</f>
        <v/>
      </c>
      <c r="L889" s="37">
        <f>SUM(F$5:F889)/SUM(E$5:E889)</f>
        <v/>
      </c>
    </row>
    <row r="890">
      <c r="A890" s="29" t="n">
        <v>45771</v>
      </c>
      <c r="B890" s="37" t="inlineStr">
        <is>
          <t>JOB-1886</t>
        </is>
      </c>
      <c r="C890" s="34" t="n">
        <v>1</v>
      </c>
      <c r="D890" s="37" t="inlineStr">
        <is>
          <t>Tech C</t>
        </is>
      </c>
      <c r="E890" s="35" t="n">
        <v>0.6</v>
      </c>
      <c r="F890" s="35" t="n">
        <v>0.5</v>
      </c>
      <c r="G890" s="37" t="inlineStr">
        <is>
          <t>Y</t>
        </is>
      </c>
      <c r="H890" s="37" t="inlineStr">
        <is>
          <t>N</t>
        </is>
      </c>
      <c r="I890" s="37">
        <f>COUNTIF(G$5:G890,"Y")/COUNTA(G$5:G890)</f>
        <v/>
      </c>
      <c r="J890" s="37">
        <f>COUNTIF(H$5:H890,"Y")/COUNTA(H$5:H890)</f>
        <v/>
      </c>
      <c r="K890" s="37">
        <f>AVERAGE(F$5:F890)</f>
        <v/>
      </c>
      <c r="L890" s="37">
        <f>SUM(F$5:F890)/SUM(E$5:E890)</f>
        <v/>
      </c>
    </row>
    <row r="891">
      <c r="A891" s="29" t="n">
        <v>45772</v>
      </c>
      <c r="B891" s="37" t="inlineStr">
        <is>
          <t>JOB-1887</t>
        </is>
      </c>
      <c r="C891" s="34" t="n">
        <v>1</v>
      </c>
      <c r="D891" s="37" t="inlineStr">
        <is>
          <t>Tech D</t>
        </is>
      </c>
      <c r="E891" s="35" t="n">
        <v>0.7</v>
      </c>
      <c r="F891" s="35" t="n">
        <v>0.5</v>
      </c>
      <c r="G891" s="37" t="inlineStr">
        <is>
          <t>Y</t>
        </is>
      </c>
      <c r="H891" s="37" t="inlineStr">
        <is>
          <t>N</t>
        </is>
      </c>
      <c r="I891" s="37">
        <f>COUNTIF(G$5:G891,"Y")/COUNTA(G$5:G891)</f>
        <v/>
      </c>
      <c r="J891" s="37">
        <f>COUNTIF(H$5:H891,"Y")/COUNTA(H$5:H891)</f>
        <v/>
      </c>
      <c r="K891" s="37">
        <f>AVERAGE(F$5:F891)</f>
        <v/>
      </c>
      <c r="L891" s="37">
        <f>SUM(F$5:F891)/SUM(E$5:E891)</f>
        <v/>
      </c>
    </row>
    <row r="892">
      <c r="A892" s="29" t="n">
        <v>45768</v>
      </c>
      <c r="B892" s="37" t="inlineStr">
        <is>
          <t>JOB-1888</t>
        </is>
      </c>
      <c r="C892" s="34" t="n">
        <v>1</v>
      </c>
      <c r="D892" s="37" t="inlineStr">
        <is>
          <t>Tech G</t>
        </is>
      </c>
      <c r="E892" s="35" t="n">
        <v>0.6</v>
      </c>
      <c r="F892" s="35" t="n">
        <v>0.5</v>
      </c>
      <c r="G892" s="37" t="inlineStr">
        <is>
          <t>N</t>
        </is>
      </c>
      <c r="H892" s="37" t="inlineStr">
        <is>
          <t>N</t>
        </is>
      </c>
      <c r="I892" s="37">
        <f>COUNTIF(G$5:G892,"Y")/COUNTA(G$5:G892)</f>
        <v/>
      </c>
      <c r="J892" s="37">
        <f>COUNTIF(H$5:H892,"Y")/COUNTA(H$5:H892)</f>
        <v/>
      </c>
      <c r="K892" s="37">
        <f>AVERAGE(F$5:F892)</f>
        <v/>
      </c>
      <c r="L892" s="37">
        <f>SUM(F$5:F892)/SUM(E$5:E892)</f>
        <v/>
      </c>
    </row>
    <row r="893">
      <c r="A893" s="29" t="n">
        <v>45769</v>
      </c>
      <c r="B893" s="37" t="inlineStr">
        <is>
          <t>JOB-1889</t>
        </is>
      </c>
      <c r="C893" s="34" t="n">
        <v>1</v>
      </c>
      <c r="D893" s="37" t="inlineStr">
        <is>
          <t>Tech B</t>
        </is>
      </c>
      <c r="E893" s="35" t="n">
        <v>0.6</v>
      </c>
      <c r="F893" s="35" t="n">
        <v>0.5</v>
      </c>
      <c r="G893" s="37" t="inlineStr">
        <is>
          <t>Y</t>
        </is>
      </c>
      <c r="H893" s="37" t="inlineStr">
        <is>
          <t>N</t>
        </is>
      </c>
      <c r="I893" s="37">
        <f>COUNTIF(G$5:G893,"Y")/COUNTA(G$5:G893)</f>
        <v/>
      </c>
      <c r="J893" s="37">
        <f>COUNTIF(H$5:H893,"Y")/COUNTA(H$5:H893)</f>
        <v/>
      </c>
      <c r="K893" s="37">
        <f>AVERAGE(F$5:F893)</f>
        <v/>
      </c>
      <c r="L893" s="37">
        <f>SUM(F$5:F893)/SUM(E$5:E893)</f>
        <v/>
      </c>
    </row>
    <row r="894">
      <c r="A894" s="29" t="n">
        <v>45770</v>
      </c>
      <c r="B894" s="37" t="inlineStr">
        <is>
          <t>JOB-1890</t>
        </is>
      </c>
      <c r="C894" s="34" t="n">
        <v>1</v>
      </c>
      <c r="D894" s="37" t="inlineStr">
        <is>
          <t>Tech B</t>
        </is>
      </c>
      <c r="E894" s="35" t="n">
        <v>0.6</v>
      </c>
      <c r="F894" s="35" t="n">
        <v>0.5</v>
      </c>
      <c r="G894" s="37" t="inlineStr">
        <is>
          <t>Y</t>
        </is>
      </c>
      <c r="H894" s="37" t="inlineStr">
        <is>
          <t>N</t>
        </is>
      </c>
      <c r="I894" s="37">
        <f>COUNTIF(G$5:G894,"Y")/COUNTA(G$5:G894)</f>
        <v/>
      </c>
      <c r="J894" s="37">
        <f>COUNTIF(H$5:H894,"Y")/COUNTA(H$5:H894)</f>
        <v/>
      </c>
      <c r="K894" s="37">
        <f>AVERAGE(F$5:F894)</f>
        <v/>
      </c>
      <c r="L894" s="37">
        <f>SUM(F$5:F894)/SUM(E$5:E894)</f>
        <v/>
      </c>
    </row>
    <row r="895">
      <c r="A895" s="29" t="n">
        <v>45771</v>
      </c>
      <c r="B895" s="37" t="inlineStr">
        <is>
          <t>JOB-1891</t>
        </is>
      </c>
      <c r="C895" s="34" t="n">
        <v>1</v>
      </c>
      <c r="D895" s="37" t="inlineStr">
        <is>
          <t>Tech D</t>
        </is>
      </c>
      <c r="E895" s="35" t="n">
        <v>0.7</v>
      </c>
      <c r="F895" s="35" t="n">
        <v>0.5</v>
      </c>
      <c r="G895" s="37" t="inlineStr">
        <is>
          <t>N</t>
        </is>
      </c>
      <c r="H895" s="37" t="inlineStr">
        <is>
          <t>N</t>
        </is>
      </c>
      <c r="I895" s="37">
        <f>COUNTIF(G$5:G895,"Y")/COUNTA(G$5:G895)</f>
        <v/>
      </c>
      <c r="J895" s="37">
        <f>COUNTIF(H$5:H895,"Y")/COUNTA(H$5:H895)</f>
        <v/>
      </c>
      <c r="K895" s="37">
        <f>AVERAGE(F$5:F895)</f>
        <v/>
      </c>
      <c r="L895" s="37">
        <f>SUM(F$5:F895)/SUM(E$5:E895)</f>
        <v/>
      </c>
    </row>
    <row r="896">
      <c r="A896" s="29" t="n">
        <v>45772</v>
      </c>
      <c r="B896" s="37" t="inlineStr">
        <is>
          <t>JOB-1892</t>
        </is>
      </c>
      <c r="C896" s="34" t="n">
        <v>1</v>
      </c>
      <c r="D896" s="37" t="inlineStr">
        <is>
          <t>Tech F</t>
        </is>
      </c>
      <c r="E896" s="35" t="n">
        <v>0.6</v>
      </c>
      <c r="F896" s="35" t="n">
        <v>0.5</v>
      </c>
      <c r="G896" s="37" t="inlineStr">
        <is>
          <t>Y</t>
        </is>
      </c>
      <c r="H896" s="37" t="inlineStr">
        <is>
          <t>N</t>
        </is>
      </c>
      <c r="I896" s="37">
        <f>COUNTIF(G$5:G896,"Y")/COUNTA(G$5:G896)</f>
        <v/>
      </c>
      <c r="J896" s="37">
        <f>COUNTIF(H$5:H896,"Y")/COUNTA(H$5:H896)</f>
        <v/>
      </c>
      <c r="K896" s="37">
        <f>AVERAGE(F$5:F896)</f>
        <v/>
      </c>
      <c r="L896" s="37">
        <f>SUM(F$5:F896)/SUM(E$5:E896)</f>
        <v/>
      </c>
    </row>
    <row r="897">
      <c r="A897" s="29" t="n">
        <v>45768</v>
      </c>
      <c r="B897" s="37" t="inlineStr">
        <is>
          <t>JOB-1893</t>
        </is>
      </c>
      <c r="C897" s="34" t="n">
        <v>1</v>
      </c>
      <c r="D897" s="37" t="inlineStr">
        <is>
          <t>Tech H</t>
        </is>
      </c>
      <c r="E897" s="35" t="n">
        <v>0.7</v>
      </c>
      <c r="F897" s="35" t="n">
        <v>0.5</v>
      </c>
      <c r="G897" s="37" t="inlineStr">
        <is>
          <t>Y</t>
        </is>
      </c>
      <c r="H897" s="37" t="inlineStr">
        <is>
          <t>N</t>
        </is>
      </c>
      <c r="I897" s="37">
        <f>COUNTIF(G$5:G897,"Y")/COUNTA(G$5:G897)</f>
        <v/>
      </c>
      <c r="J897" s="37">
        <f>COUNTIF(H$5:H897,"Y")/COUNTA(H$5:H897)</f>
        <v/>
      </c>
      <c r="K897" s="37">
        <f>AVERAGE(F$5:F897)</f>
        <v/>
      </c>
      <c r="L897" s="37">
        <f>SUM(F$5:F897)/SUM(E$5:E897)</f>
        <v/>
      </c>
    </row>
    <row r="898">
      <c r="A898" s="29" t="n">
        <v>45769</v>
      </c>
      <c r="B898" s="37" t="inlineStr">
        <is>
          <t>JOB-1894</t>
        </is>
      </c>
      <c r="C898" s="34" t="n">
        <v>1</v>
      </c>
      <c r="D898" s="37" t="inlineStr">
        <is>
          <t>Tech H</t>
        </is>
      </c>
      <c r="E898" s="35" t="n">
        <v>3.1</v>
      </c>
      <c r="F898" s="35" t="n">
        <v>0.5</v>
      </c>
      <c r="G898" s="37" t="inlineStr">
        <is>
          <t>Y</t>
        </is>
      </c>
      <c r="H898" s="37" t="inlineStr">
        <is>
          <t>Y</t>
        </is>
      </c>
      <c r="I898" s="37">
        <f>COUNTIF(G$5:G898,"Y")/COUNTA(G$5:G898)</f>
        <v/>
      </c>
      <c r="J898" s="37">
        <f>COUNTIF(H$5:H898,"Y")/COUNTA(H$5:H898)</f>
        <v/>
      </c>
      <c r="K898" s="37">
        <f>AVERAGE(F$5:F898)</f>
        <v/>
      </c>
      <c r="L898" s="37">
        <f>SUM(F$5:F898)/SUM(E$5:E898)</f>
        <v/>
      </c>
      <c r="M898" s="37" t="n">
        <v>14</v>
      </c>
    </row>
    <row r="899">
      <c r="A899" s="29" t="n">
        <v>45775</v>
      </c>
      <c r="B899" s="37" t="inlineStr">
        <is>
          <t>JOB-1895</t>
        </is>
      </c>
      <c r="C899" s="34" t="n">
        <v>1</v>
      </c>
      <c r="D899" s="37" t="inlineStr">
        <is>
          <t>Tech A</t>
        </is>
      </c>
      <c r="E899" s="35" t="n">
        <v>3.8</v>
      </c>
      <c r="F899" s="35" t="n">
        <v>2.7</v>
      </c>
      <c r="G899" s="37" t="inlineStr">
        <is>
          <t>Y</t>
        </is>
      </c>
      <c r="H899" s="37" t="inlineStr">
        <is>
          <t>N</t>
        </is>
      </c>
      <c r="I899" s="37">
        <f>COUNTIF(G$5:G899,"Y")/COUNTA(G$5:G899)</f>
        <v/>
      </c>
      <c r="J899" s="37">
        <f>COUNTIF(H$5:H899,"Y")/COUNTA(H$5:H899)</f>
        <v/>
      </c>
      <c r="K899" s="37">
        <f>AVERAGE(F$5:F899)</f>
        <v/>
      </c>
      <c r="L899" s="37">
        <f>SUM(F$5:F899)/SUM(E$5:E899)</f>
        <v/>
      </c>
    </row>
    <row r="900">
      <c r="A900" s="29" t="n">
        <v>45776</v>
      </c>
      <c r="B900" s="37" t="inlineStr">
        <is>
          <t>JOB-1896</t>
        </is>
      </c>
      <c r="C900" s="34" t="n">
        <v>1</v>
      </c>
      <c r="D900" s="37" t="inlineStr">
        <is>
          <t>Tech B</t>
        </is>
      </c>
      <c r="E900" s="35" t="n">
        <v>3.4</v>
      </c>
      <c r="F900" s="35" t="n">
        <v>2.8</v>
      </c>
      <c r="G900" s="37" t="inlineStr">
        <is>
          <t>Y</t>
        </is>
      </c>
      <c r="H900" s="37" t="inlineStr">
        <is>
          <t>N</t>
        </is>
      </c>
      <c r="I900" s="37">
        <f>COUNTIF(G$5:G900,"Y")/COUNTA(G$5:G900)</f>
        <v/>
      </c>
      <c r="J900" s="37">
        <f>COUNTIF(H$5:H900,"Y")/COUNTA(H$5:H900)</f>
        <v/>
      </c>
      <c r="K900" s="37">
        <f>AVERAGE(F$5:F900)</f>
        <v/>
      </c>
      <c r="L900" s="37">
        <f>SUM(F$5:F900)/SUM(E$5:E900)</f>
        <v/>
      </c>
    </row>
    <row r="901">
      <c r="A901" s="29" t="n">
        <v>45777</v>
      </c>
      <c r="B901" s="37" t="inlineStr">
        <is>
          <t>JOB-1897</t>
        </is>
      </c>
      <c r="C901" s="34" t="n">
        <v>1</v>
      </c>
      <c r="D901" s="37" t="inlineStr">
        <is>
          <t>Tech G</t>
        </is>
      </c>
      <c r="E901" s="35" t="n">
        <v>4.4</v>
      </c>
      <c r="F901" s="35" t="n">
        <v>3.4</v>
      </c>
      <c r="G901" s="37" t="inlineStr">
        <is>
          <t>Y</t>
        </is>
      </c>
      <c r="H901" s="37" t="inlineStr">
        <is>
          <t>N</t>
        </is>
      </c>
      <c r="I901" s="37">
        <f>COUNTIF(G$5:G901,"Y")/COUNTA(G$5:G901)</f>
        <v/>
      </c>
      <c r="J901" s="37">
        <f>COUNTIF(H$5:H901,"Y")/COUNTA(H$5:H901)</f>
        <v/>
      </c>
      <c r="K901" s="37">
        <f>AVERAGE(F$5:F901)</f>
        <v/>
      </c>
      <c r="L901" s="37">
        <f>SUM(F$5:F901)/SUM(E$5:E901)</f>
        <v/>
      </c>
    </row>
    <row r="902">
      <c r="A902" s="29" t="n">
        <v>45778</v>
      </c>
      <c r="B902" s="37" t="inlineStr">
        <is>
          <t>JOB-1898</t>
        </is>
      </c>
      <c r="C902" s="34" t="n">
        <v>1</v>
      </c>
      <c r="D902" s="37" t="inlineStr">
        <is>
          <t>Tech F</t>
        </is>
      </c>
      <c r="E902" s="35" t="n">
        <v>2.1</v>
      </c>
      <c r="F902" s="35" t="n">
        <v>1.8</v>
      </c>
      <c r="G902" s="37" t="inlineStr">
        <is>
          <t>N</t>
        </is>
      </c>
      <c r="H902" s="37" t="inlineStr">
        <is>
          <t>N</t>
        </is>
      </c>
      <c r="I902" s="37">
        <f>COUNTIF(G$5:G902,"Y")/COUNTA(G$5:G902)</f>
        <v/>
      </c>
      <c r="J902" s="37">
        <f>COUNTIF(H$5:H902,"Y")/COUNTA(H$5:H902)</f>
        <v/>
      </c>
      <c r="K902" s="37">
        <f>AVERAGE(F$5:F902)</f>
        <v/>
      </c>
      <c r="L902" s="37">
        <f>SUM(F$5:F902)/SUM(E$5:E902)</f>
        <v/>
      </c>
    </row>
    <row r="903">
      <c r="A903" s="29" t="n">
        <v>45779</v>
      </c>
      <c r="B903" s="37" t="inlineStr">
        <is>
          <t>JOB-1899</t>
        </is>
      </c>
      <c r="C903" s="34" t="n">
        <v>1</v>
      </c>
      <c r="D903" s="37" t="inlineStr">
        <is>
          <t>Tech F</t>
        </is>
      </c>
      <c r="E903" s="35" t="n">
        <v>4.5</v>
      </c>
      <c r="F903" s="35" t="n">
        <v>3.3</v>
      </c>
      <c r="G903" s="37" t="inlineStr">
        <is>
          <t>Y</t>
        </is>
      </c>
      <c r="H903" s="37" t="inlineStr">
        <is>
          <t>N</t>
        </is>
      </c>
      <c r="I903" s="37">
        <f>COUNTIF(G$5:G903,"Y")/COUNTA(G$5:G903)</f>
        <v/>
      </c>
      <c r="J903" s="37">
        <f>COUNTIF(H$5:H903,"Y")/COUNTA(H$5:H903)</f>
        <v/>
      </c>
      <c r="K903" s="37">
        <f>AVERAGE(F$5:F903)</f>
        <v/>
      </c>
      <c r="L903" s="37">
        <f>SUM(F$5:F903)/SUM(E$5:E903)</f>
        <v/>
      </c>
    </row>
    <row r="904">
      <c r="A904" s="29" t="n">
        <v>45775</v>
      </c>
      <c r="B904" s="37" t="inlineStr">
        <is>
          <t>JOB-1900</t>
        </is>
      </c>
      <c r="C904" s="34" t="n">
        <v>1</v>
      </c>
      <c r="D904" s="37" t="inlineStr">
        <is>
          <t>Tech A</t>
        </is>
      </c>
      <c r="E904" s="35" t="n">
        <v>4.4</v>
      </c>
      <c r="F904" s="35" t="n">
        <v>3.9</v>
      </c>
      <c r="G904" s="37" t="inlineStr">
        <is>
          <t>Y</t>
        </is>
      </c>
      <c r="H904" s="37" t="inlineStr">
        <is>
          <t>N</t>
        </is>
      </c>
      <c r="I904" s="37">
        <f>COUNTIF(G$5:G904,"Y")/COUNTA(G$5:G904)</f>
        <v/>
      </c>
      <c r="J904" s="37">
        <f>COUNTIF(H$5:H904,"Y")/COUNTA(H$5:H904)</f>
        <v/>
      </c>
      <c r="K904" s="37">
        <f>AVERAGE(F$5:F904)</f>
        <v/>
      </c>
      <c r="L904" s="37">
        <f>SUM(F$5:F904)/SUM(E$5:E904)</f>
        <v/>
      </c>
    </row>
    <row r="905">
      <c r="A905" s="29" t="n">
        <v>45776</v>
      </c>
      <c r="B905" s="37" t="inlineStr">
        <is>
          <t>JOB-1901</t>
        </is>
      </c>
      <c r="C905" s="34" t="n">
        <v>1</v>
      </c>
      <c r="D905" s="37" t="inlineStr">
        <is>
          <t>Tech H</t>
        </is>
      </c>
      <c r="E905" s="35" t="n">
        <v>4.8</v>
      </c>
      <c r="F905" s="35" t="n">
        <v>3.3</v>
      </c>
      <c r="G905" s="37" t="inlineStr">
        <is>
          <t>Y</t>
        </is>
      </c>
      <c r="H905" s="37" t="inlineStr">
        <is>
          <t>N</t>
        </is>
      </c>
      <c r="I905" s="37">
        <f>COUNTIF(G$5:G905,"Y")/COUNTA(G$5:G905)</f>
        <v/>
      </c>
      <c r="J905" s="37">
        <f>COUNTIF(H$5:H905,"Y")/COUNTA(H$5:H905)</f>
        <v/>
      </c>
      <c r="K905" s="37">
        <f>AVERAGE(F$5:F905)</f>
        <v/>
      </c>
      <c r="L905" s="37">
        <f>SUM(F$5:F905)/SUM(E$5:E905)</f>
        <v/>
      </c>
    </row>
    <row r="906">
      <c r="A906" s="29" t="n">
        <v>45777</v>
      </c>
      <c r="B906" s="37" t="inlineStr">
        <is>
          <t>JOB-1902</t>
        </is>
      </c>
      <c r="C906" s="34" t="n">
        <v>1</v>
      </c>
      <c r="D906" s="37" t="inlineStr">
        <is>
          <t>Tech A</t>
        </is>
      </c>
      <c r="E906" s="35" t="n">
        <v>2.2</v>
      </c>
      <c r="F906" s="35" t="n">
        <v>1.7</v>
      </c>
      <c r="G906" s="37" t="inlineStr">
        <is>
          <t>Y</t>
        </is>
      </c>
      <c r="H906" s="37" t="inlineStr">
        <is>
          <t>N</t>
        </is>
      </c>
      <c r="I906" s="37">
        <f>COUNTIF(G$5:G906,"Y")/COUNTA(G$5:G906)</f>
        <v/>
      </c>
      <c r="J906" s="37">
        <f>COUNTIF(H$5:H906,"Y")/COUNTA(H$5:H906)</f>
        <v/>
      </c>
      <c r="K906" s="37">
        <f>AVERAGE(F$5:F906)</f>
        <v/>
      </c>
      <c r="L906" s="37">
        <f>SUM(F$5:F906)/SUM(E$5:E906)</f>
        <v/>
      </c>
    </row>
    <row r="907">
      <c r="A907" s="29" t="n">
        <v>45778</v>
      </c>
      <c r="B907" s="37" t="inlineStr">
        <is>
          <t>JOB-1903</t>
        </is>
      </c>
      <c r="C907" s="34" t="n">
        <v>1</v>
      </c>
      <c r="D907" s="37" t="inlineStr">
        <is>
          <t>Tech B</t>
        </is>
      </c>
      <c r="E907" s="35" t="n">
        <v>4.2</v>
      </c>
      <c r="F907" s="35" t="n">
        <v>3.1</v>
      </c>
      <c r="G907" s="37" t="inlineStr">
        <is>
          <t>Y</t>
        </is>
      </c>
      <c r="H907" s="37" t="inlineStr">
        <is>
          <t>N</t>
        </is>
      </c>
      <c r="I907" s="37">
        <f>COUNTIF(G$5:G907,"Y")/COUNTA(G$5:G907)</f>
        <v/>
      </c>
      <c r="J907" s="37">
        <f>COUNTIF(H$5:H907,"Y")/COUNTA(H$5:H907)</f>
        <v/>
      </c>
      <c r="K907" s="37">
        <f>AVERAGE(F$5:F907)</f>
        <v/>
      </c>
      <c r="L907" s="37">
        <f>SUM(F$5:F907)/SUM(E$5:E907)</f>
        <v/>
      </c>
    </row>
    <row r="908">
      <c r="A908" s="29" t="n">
        <v>45779</v>
      </c>
      <c r="B908" s="37" t="inlineStr">
        <is>
          <t>JOB-1904</t>
        </is>
      </c>
      <c r="C908" s="34" t="n">
        <v>1</v>
      </c>
      <c r="D908" s="37" t="inlineStr">
        <is>
          <t>Tech H</t>
        </is>
      </c>
      <c r="E908" s="35" t="n">
        <v>4.4</v>
      </c>
      <c r="F908" s="35" t="n">
        <v>3.4</v>
      </c>
      <c r="G908" s="37" t="inlineStr">
        <is>
          <t>Y</t>
        </is>
      </c>
      <c r="H908" s="37" t="inlineStr">
        <is>
          <t>N</t>
        </is>
      </c>
      <c r="I908" s="37">
        <f>COUNTIF(G$5:G908,"Y")/COUNTA(G$5:G908)</f>
        <v/>
      </c>
      <c r="J908" s="37">
        <f>COUNTIF(H$5:H908,"Y")/COUNTA(H$5:H908)</f>
        <v/>
      </c>
      <c r="K908" s="37">
        <f>AVERAGE(F$5:F908)</f>
        <v/>
      </c>
      <c r="L908" s="37">
        <f>SUM(F$5:F908)/SUM(E$5:E908)</f>
        <v/>
      </c>
    </row>
    <row r="909">
      <c r="A909" s="29" t="n">
        <v>45775</v>
      </c>
      <c r="B909" s="37" t="inlineStr">
        <is>
          <t>JOB-1905</t>
        </is>
      </c>
      <c r="C909" s="34" t="n">
        <v>1</v>
      </c>
      <c r="D909" s="37" t="inlineStr">
        <is>
          <t>Tech H</t>
        </is>
      </c>
      <c r="E909" s="35" t="n">
        <v>4.2</v>
      </c>
      <c r="F909" s="35" t="n">
        <v>2.9</v>
      </c>
      <c r="G909" s="37" t="inlineStr">
        <is>
          <t>Y</t>
        </is>
      </c>
      <c r="H909" s="37" t="inlineStr">
        <is>
          <t>N</t>
        </is>
      </c>
      <c r="I909" s="37">
        <f>COUNTIF(G$5:G909,"Y")/COUNTA(G$5:G909)</f>
        <v/>
      </c>
      <c r="J909" s="37">
        <f>COUNTIF(H$5:H909,"Y")/COUNTA(H$5:H909)</f>
        <v/>
      </c>
      <c r="K909" s="37">
        <f>AVERAGE(F$5:F909)</f>
        <v/>
      </c>
      <c r="L909" s="37">
        <f>SUM(F$5:F909)/SUM(E$5:E909)</f>
        <v/>
      </c>
    </row>
    <row r="910">
      <c r="A910" s="29" t="n">
        <v>45776</v>
      </c>
      <c r="B910" s="37" t="inlineStr">
        <is>
          <t>JOB-1906</t>
        </is>
      </c>
      <c r="C910" s="34" t="n">
        <v>1</v>
      </c>
      <c r="D910" s="37" t="inlineStr">
        <is>
          <t>Tech G</t>
        </is>
      </c>
      <c r="E910" s="35" t="n">
        <v>4.4</v>
      </c>
      <c r="F910" s="35" t="n">
        <v>3.3</v>
      </c>
      <c r="G910" s="37" t="inlineStr">
        <is>
          <t>Y</t>
        </is>
      </c>
      <c r="H910" s="37" t="inlineStr">
        <is>
          <t>N</t>
        </is>
      </c>
      <c r="I910" s="37">
        <f>COUNTIF(G$5:G910,"Y")/COUNTA(G$5:G910)</f>
        <v/>
      </c>
      <c r="J910" s="37">
        <f>COUNTIF(H$5:H910,"Y")/COUNTA(H$5:H910)</f>
        <v/>
      </c>
      <c r="K910" s="37">
        <f>AVERAGE(F$5:F910)</f>
        <v/>
      </c>
      <c r="L910" s="37">
        <f>SUM(F$5:F910)/SUM(E$5:E910)</f>
        <v/>
      </c>
    </row>
    <row r="911">
      <c r="A911" s="29" t="n">
        <v>45777</v>
      </c>
      <c r="B911" s="37" t="inlineStr">
        <is>
          <t>JOB-1907</t>
        </is>
      </c>
      <c r="C911" s="34" t="n">
        <v>1</v>
      </c>
      <c r="D911" s="37" t="inlineStr">
        <is>
          <t>Tech B</t>
        </is>
      </c>
      <c r="E911" s="35" t="n">
        <v>4.9</v>
      </c>
      <c r="F911" s="35" t="n">
        <v>3.8</v>
      </c>
      <c r="G911" s="37" t="inlineStr">
        <is>
          <t>Y</t>
        </is>
      </c>
      <c r="H911" s="37" t="inlineStr">
        <is>
          <t>N</t>
        </is>
      </c>
      <c r="I911" s="37">
        <f>COUNTIF(G$5:G911,"Y")/COUNTA(G$5:G911)</f>
        <v/>
      </c>
      <c r="J911" s="37">
        <f>COUNTIF(H$5:H911,"Y")/COUNTA(H$5:H911)</f>
        <v/>
      </c>
      <c r="K911" s="37">
        <f>AVERAGE(F$5:F911)</f>
        <v/>
      </c>
      <c r="L911" s="37">
        <f>SUM(F$5:F911)/SUM(E$5:E911)</f>
        <v/>
      </c>
    </row>
    <row r="912">
      <c r="A912" s="29" t="n">
        <v>45778</v>
      </c>
      <c r="B912" s="37" t="inlineStr">
        <is>
          <t>JOB-1908</t>
        </is>
      </c>
      <c r="C912" s="34" t="n">
        <v>1</v>
      </c>
      <c r="D912" s="37" t="inlineStr">
        <is>
          <t>Tech G</t>
        </is>
      </c>
      <c r="E912" s="35" t="n">
        <v>4.7</v>
      </c>
      <c r="F912" s="35" t="n">
        <v>3.8</v>
      </c>
      <c r="G912" s="37" t="inlineStr">
        <is>
          <t>Y</t>
        </is>
      </c>
      <c r="H912" s="37" t="inlineStr">
        <is>
          <t>N</t>
        </is>
      </c>
      <c r="I912" s="37">
        <f>COUNTIF(G$5:G912,"Y")/COUNTA(G$5:G912)</f>
        <v/>
      </c>
      <c r="J912" s="37">
        <f>COUNTIF(H$5:H912,"Y")/COUNTA(H$5:H912)</f>
        <v/>
      </c>
      <c r="K912" s="37">
        <f>AVERAGE(F$5:F912)</f>
        <v/>
      </c>
      <c r="L912" s="37">
        <f>SUM(F$5:F912)/SUM(E$5:E912)</f>
        <v/>
      </c>
    </row>
    <row r="913">
      <c r="A913" s="29" t="n">
        <v>45779</v>
      </c>
      <c r="B913" s="37" t="inlineStr">
        <is>
          <t>JOB-1909</t>
        </is>
      </c>
      <c r="C913" s="34" t="n">
        <v>1</v>
      </c>
      <c r="D913" s="37" t="inlineStr">
        <is>
          <t>Tech H</t>
        </is>
      </c>
      <c r="E913" s="35" t="n">
        <v>1.4</v>
      </c>
      <c r="F913" s="35" t="n">
        <v>1.2</v>
      </c>
      <c r="G913" s="37" t="inlineStr">
        <is>
          <t>N</t>
        </is>
      </c>
      <c r="H913" s="37" t="inlineStr">
        <is>
          <t>N</t>
        </is>
      </c>
      <c r="I913" s="37">
        <f>COUNTIF(G$5:G913,"Y")/COUNTA(G$5:G913)</f>
        <v/>
      </c>
      <c r="J913" s="37">
        <f>COUNTIF(H$5:H913,"Y")/COUNTA(H$5:H913)</f>
        <v/>
      </c>
      <c r="K913" s="37">
        <f>AVERAGE(F$5:F913)</f>
        <v/>
      </c>
      <c r="L913" s="37">
        <f>SUM(F$5:F913)/SUM(E$5:E913)</f>
        <v/>
      </c>
    </row>
    <row r="914">
      <c r="A914" s="29" t="n">
        <v>45775</v>
      </c>
      <c r="B914" s="37" t="inlineStr">
        <is>
          <t>JOB-1910</t>
        </is>
      </c>
      <c r="C914" s="34" t="n">
        <v>1</v>
      </c>
      <c r="D914" s="37" t="inlineStr">
        <is>
          <t>Tech D</t>
        </is>
      </c>
      <c r="E914" s="35" t="n">
        <v>2.5</v>
      </c>
      <c r="F914" s="35" t="n">
        <v>2.3</v>
      </c>
      <c r="G914" s="37" t="inlineStr">
        <is>
          <t>Y</t>
        </is>
      </c>
      <c r="H914" s="37" t="inlineStr">
        <is>
          <t>N</t>
        </is>
      </c>
      <c r="I914" s="37">
        <f>COUNTIF(G$5:G914,"Y")/COUNTA(G$5:G914)</f>
        <v/>
      </c>
      <c r="J914" s="37">
        <f>COUNTIF(H$5:H914,"Y")/COUNTA(H$5:H914)</f>
        <v/>
      </c>
      <c r="K914" s="37">
        <f>AVERAGE(F$5:F914)</f>
        <v/>
      </c>
      <c r="L914" s="37">
        <f>SUM(F$5:F914)/SUM(E$5:E914)</f>
        <v/>
      </c>
    </row>
    <row r="915">
      <c r="A915" s="29" t="n">
        <v>45776</v>
      </c>
      <c r="B915" s="37" t="inlineStr">
        <is>
          <t>JOB-1911</t>
        </is>
      </c>
      <c r="C915" s="34" t="n">
        <v>1</v>
      </c>
      <c r="D915" s="37" t="inlineStr">
        <is>
          <t>Tech G</t>
        </is>
      </c>
      <c r="E915" s="35" t="n">
        <v>1.5</v>
      </c>
      <c r="F915" s="35" t="n">
        <v>1.3</v>
      </c>
      <c r="G915" s="37" t="inlineStr">
        <is>
          <t>Y</t>
        </is>
      </c>
      <c r="H915" s="37" t="inlineStr">
        <is>
          <t>N</t>
        </is>
      </c>
      <c r="I915" s="37">
        <f>COUNTIF(G$5:G915,"Y")/COUNTA(G$5:G915)</f>
        <v/>
      </c>
      <c r="J915" s="37">
        <f>COUNTIF(H$5:H915,"Y")/COUNTA(H$5:H915)</f>
        <v/>
      </c>
      <c r="K915" s="37">
        <f>AVERAGE(F$5:F915)</f>
        <v/>
      </c>
      <c r="L915" s="37">
        <f>SUM(F$5:F915)/SUM(E$5:E915)</f>
        <v/>
      </c>
    </row>
    <row r="916">
      <c r="A916" s="29" t="n">
        <v>45777</v>
      </c>
      <c r="B916" s="37" t="inlineStr">
        <is>
          <t>JOB-1912</t>
        </is>
      </c>
      <c r="C916" s="34" t="n">
        <v>1</v>
      </c>
      <c r="D916" s="37" t="inlineStr">
        <is>
          <t>Tech A</t>
        </is>
      </c>
      <c r="E916" s="35" t="n">
        <v>5.1</v>
      </c>
      <c r="F916" s="35" t="n">
        <v>3.5</v>
      </c>
      <c r="G916" s="37" t="inlineStr">
        <is>
          <t>Y</t>
        </is>
      </c>
      <c r="H916" s="37" t="inlineStr">
        <is>
          <t>N</t>
        </is>
      </c>
      <c r="I916" s="37">
        <f>COUNTIF(G$5:G916,"Y")/COUNTA(G$5:G916)</f>
        <v/>
      </c>
      <c r="J916" s="37">
        <f>COUNTIF(H$5:H916,"Y")/COUNTA(H$5:H916)</f>
        <v/>
      </c>
      <c r="K916" s="37">
        <f>AVERAGE(F$5:F916)</f>
        <v/>
      </c>
      <c r="L916" s="37">
        <f>SUM(F$5:F916)/SUM(E$5:E916)</f>
        <v/>
      </c>
    </row>
    <row r="917">
      <c r="A917" s="29" t="n">
        <v>45778</v>
      </c>
      <c r="B917" s="37" t="inlineStr">
        <is>
          <t>JOB-1913</t>
        </is>
      </c>
      <c r="C917" s="34" t="n">
        <v>1</v>
      </c>
      <c r="D917" s="37" t="inlineStr">
        <is>
          <t>Tech B</t>
        </is>
      </c>
      <c r="E917" s="35" t="n">
        <v>3.7</v>
      </c>
      <c r="F917" s="35" t="n">
        <v>3.2</v>
      </c>
      <c r="G917" s="37" t="inlineStr">
        <is>
          <t>N</t>
        </is>
      </c>
      <c r="H917" s="37" t="inlineStr">
        <is>
          <t>N</t>
        </is>
      </c>
      <c r="I917" s="37">
        <f>COUNTIF(G$5:G917,"Y")/COUNTA(G$5:G917)</f>
        <v/>
      </c>
      <c r="J917" s="37">
        <f>COUNTIF(H$5:H917,"Y")/COUNTA(H$5:H917)</f>
        <v/>
      </c>
      <c r="K917" s="37">
        <f>AVERAGE(F$5:F917)</f>
        <v/>
      </c>
      <c r="L917" s="37">
        <f>SUM(F$5:F917)/SUM(E$5:E917)</f>
        <v/>
      </c>
    </row>
    <row r="918">
      <c r="A918" s="29" t="n">
        <v>45779</v>
      </c>
      <c r="B918" s="37" t="inlineStr">
        <is>
          <t>JOB-1914</t>
        </is>
      </c>
      <c r="C918" s="34" t="n">
        <v>1</v>
      </c>
      <c r="D918" s="37" t="inlineStr">
        <is>
          <t>Tech F</t>
        </is>
      </c>
      <c r="E918" s="35" t="n">
        <v>1.8</v>
      </c>
      <c r="F918" s="35" t="n">
        <v>1.3</v>
      </c>
      <c r="G918" s="37" t="inlineStr">
        <is>
          <t>Y</t>
        </is>
      </c>
      <c r="H918" s="37" t="inlineStr">
        <is>
          <t>N</t>
        </is>
      </c>
      <c r="I918" s="37">
        <f>COUNTIF(G$5:G918,"Y")/COUNTA(G$5:G918)</f>
        <v/>
      </c>
      <c r="J918" s="37">
        <f>COUNTIF(H$5:H918,"Y")/COUNTA(H$5:H918)</f>
        <v/>
      </c>
      <c r="K918" s="37">
        <f>AVERAGE(F$5:F918)</f>
        <v/>
      </c>
      <c r="L918" s="37">
        <f>SUM(F$5:F918)/SUM(E$5:E918)</f>
        <v/>
      </c>
    </row>
    <row r="919">
      <c r="A919" s="29" t="n">
        <v>45775</v>
      </c>
      <c r="B919" s="37" t="inlineStr">
        <is>
          <t>JOB-1915</t>
        </is>
      </c>
      <c r="C919" s="34" t="n">
        <v>1</v>
      </c>
      <c r="D919" s="37" t="inlineStr">
        <is>
          <t>Tech G</t>
        </is>
      </c>
      <c r="E919" s="35" t="n">
        <v>2.3</v>
      </c>
      <c r="F919" s="35" t="n">
        <v>1.8</v>
      </c>
      <c r="G919" s="37" t="inlineStr">
        <is>
          <t>Y</t>
        </is>
      </c>
      <c r="H919" s="37" t="inlineStr">
        <is>
          <t>N</t>
        </is>
      </c>
      <c r="I919" s="37">
        <f>COUNTIF(G$5:G919,"Y")/COUNTA(G$5:G919)</f>
        <v/>
      </c>
      <c r="J919" s="37">
        <f>COUNTIF(H$5:H919,"Y")/COUNTA(H$5:H919)</f>
        <v/>
      </c>
      <c r="K919" s="37">
        <f>AVERAGE(F$5:F919)</f>
        <v/>
      </c>
      <c r="L919" s="37">
        <f>SUM(F$5:F919)/SUM(E$5:E919)</f>
        <v/>
      </c>
    </row>
    <row r="920">
      <c r="A920" s="29" t="n">
        <v>45776</v>
      </c>
      <c r="B920" s="37" t="inlineStr">
        <is>
          <t>JOB-1916</t>
        </is>
      </c>
      <c r="C920" s="34" t="n">
        <v>1</v>
      </c>
      <c r="D920" s="37" t="inlineStr">
        <is>
          <t>Tech H</t>
        </is>
      </c>
      <c r="E920" s="35" t="n">
        <v>2.8</v>
      </c>
      <c r="F920" s="35" t="n">
        <v>2.2</v>
      </c>
      <c r="G920" s="37" t="inlineStr">
        <is>
          <t>Y</t>
        </is>
      </c>
      <c r="H920" s="37" t="inlineStr">
        <is>
          <t>N</t>
        </is>
      </c>
      <c r="I920" s="37">
        <f>COUNTIF(G$5:G920,"Y")/COUNTA(G$5:G920)</f>
        <v/>
      </c>
      <c r="J920" s="37">
        <f>COUNTIF(H$5:H920,"Y")/COUNTA(H$5:H920)</f>
        <v/>
      </c>
      <c r="K920" s="37">
        <f>AVERAGE(F$5:F920)</f>
        <v/>
      </c>
      <c r="L920" s="37">
        <f>SUM(F$5:F920)/SUM(E$5:E920)</f>
        <v/>
      </c>
    </row>
    <row r="921">
      <c r="A921" s="29" t="n">
        <v>45777</v>
      </c>
      <c r="B921" s="37" t="inlineStr">
        <is>
          <t>JOB-1917</t>
        </is>
      </c>
      <c r="C921" s="34" t="n">
        <v>1</v>
      </c>
      <c r="D921" s="37" t="inlineStr">
        <is>
          <t>Tech H</t>
        </is>
      </c>
      <c r="E921" s="35" t="n">
        <v>4</v>
      </c>
      <c r="F921" s="35" t="n">
        <v>3</v>
      </c>
      <c r="G921" s="37" t="inlineStr">
        <is>
          <t>Y</t>
        </is>
      </c>
      <c r="H921" s="37" t="inlineStr">
        <is>
          <t>N</t>
        </is>
      </c>
      <c r="I921" s="37">
        <f>COUNTIF(G$5:G921,"Y")/COUNTA(G$5:G921)</f>
        <v/>
      </c>
      <c r="J921" s="37">
        <f>COUNTIF(H$5:H921,"Y")/COUNTA(H$5:H921)</f>
        <v/>
      </c>
      <c r="K921" s="37">
        <f>AVERAGE(F$5:F921)</f>
        <v/>
      </c>
      <c r="L921" s="37">
        <f>SUM(F$5:F921)/SUM(E$5:E921)</f>
        <v/>
      </c>
    </row>
    <row r="922">
      <c r="A922" s="29" t="n">
        <v>45778</v>
      </c>
      <c r="B922" s="37" t="inlineStr">
        <is>
          <t>JOB-1918</t>
        </is>
      </c>
      <c r="C922" s="34" t="n">
        <v>1</v>
      </c>
      <c r="D922" s="37" t="inlineStr">
        <is>
          <t>Tech G</t>
        </is>
      </c>
      <c r="E922" s="35" t="n">
        <v>3.3</v>
      </c>
      <c r="F922" s="35" t="n">
        <v>2.8</v>
      </c>
      <c r="G922" s="37" t="inlineStr">
        <is>
          <t>Y</t>
        </is>
      </c>
      <c r="H922" s="37" t="inlineStr">
        <is>
          <t>Y</t>
        </is>
      </c>
      <c r="I922" s="37">
        <f>COUNTIF(G$5:G922,"Y")/COUNTA(G$5:G922)</f>
        <v/>
      </c>
      <c r="J922" s="37">
        <f>COUNTIF(H$5:H922,"Y")/COUNTA(H$5:H922)</f>
        <v/>
      </c>
      <c r="K922" s="37">
        <f>AVERAGE(F$5:F922)</f>
        <v/>
      </c>
      <c r="L922" s="37">
        <f>SUM(F$5:F922)/SUM(E$5:E922)</f>
        <v/>
      </c>
    </row>
    <row r="923">
      <c r="A923" s="29" t="n">
        <v>45779</v>
      </c>
      <c r="B923" s="37" t="inlineStr">
        <is>
          <t>JOB-1919</t>
        </is>
      </c>
      <c r="C923" s="34" t="n">
        <v>1</v>
      </c>
      <c r="D923" s="37" t="inlineStr">
        <is>
          <t>Tech D</t>
        </is>
      </c>
      <c r="E923" s="35" t="n">
        <v>3.8</v>
      </c>
      <c r="F923" s="35" t="n">
        <v>3.1</v>
      </c>
      <c r="G923" s="37" t="inlineStr">
        <is>
          <t>Y</t>
        </is>
      </c>
      <c r="H923" s="37" t="inlineStr">
        <is>
          <t>N</t>
        </is>
      </c>
      <c r="I923" s="37">
        <f>COUNTIF(G$5:G923,"Y")/COUNTA(G$5:G923)</f>
        <v/>
      </c>
      <c r="J923" s="37">
        <f>COUNTIF(H$5:H923,"Y")/COUNTA(H$5:H923)</f>
        <v/>
      </c>
      <c r="K923" s="37">
        <f>AVERAGE(F$5:F923)</f>
        <v/>
      </c>
      <c r="L923" s="37">
        <f>SUM(F$5:F923)/SUM(E$5:E923)</f>
        <v/>
      </c>
    </row>
    <row r="924">
      <c r="A924" s="29" t="n">
        <v>45775</v>
      </c>
      <c r="B924" s="37" t="inlineStr">
        <is>
          <t>JOB-1920</t>
        </is>
      </c>
      <c r="C924" s="34" t="n">
        <v>1</v>
      </c>
      <c r="D924" s="37" t="inlineStr">
        <is>
          <t>Tech H</t>
        </is>
      </c>
      <c r="E924" s="35" t="n">
        <v>3.8</v>
      </c>
      <c r="F924" s="35" t="n">
        <v>2.7</v>
      </c>
      <c r="G924" s="37" t="inlineStr">
        <is>
          <t>Y</t>
        </is>
      </c>
      <c r="H924" s="37" t="inlineStr">
        <is>
          <t>N</t>
        </is>
      </c>
      <c r="I924" s="37">
        <f>COUNTIF(G$5:G924,"Y")/COUNTA(G$5:G924)</f>
        <v/>
      </c>
      <c r="J924" s="37">
        <f>COUNTIF(H$5:H924,"Y")/COUNTA(H$5:H924)</f>
        <v/>
      </c>
      <c r="K924" s="37">
        <f>AVERAGE(F$5:F924)</f>
        <v/>
      </c>
      <c r="L924" s="37">
        <f>SUM(F$5:F924)/SUM(E$5:E924)</f>
        <v/>
      </c>
    </row>
    <row r="925">
      <c r="A925" s="29" t="n">
        <v>45776</v>
      </c>
      <c r="B925" s="37" t="inlineStr">
        <is>
          <t>JOB-1921</t>
        </is>
      </c>
      <c r="C925" s="34" t="n">
        <v>1</v>
      </c>
      <c r="D925" s="37" t="inlineStr">
        <is>
          <t>Tech G</t>
        </is>
      </c>
      <c r="E925" s="35" t="n">
        <v>4.3</v>
      </c>
      <c r="F925" s="35" t="n">
        <v>3.2</v>
      </c>
      <c r="G925" s="37" t="inlineStr">
        <is>
          <t>Y</t>
        </is>
      </c>
      <c r="H925" s="37" t="inlineStr">
        <is>
          <t>N</t>
        </is>
      </c>
      <c r="I925" s="37">
        <f>COUNTIF(G$5:G925,"Y")/COUNTA(G$5:G925)</f>
        <v/>
      </c>
      <c r="J925" s="37">
        <f>COUNTIF(H$5:H925,"Y")/COUNTA(H$5:H925)</f>
        <v/>
      </c>
      <c r="K925" s="37">
        <f>AVERAGE(F$5:F925)</f>
        <v/>
      </c>
      <c r="L925" s="37">
        <f>SUM(F$5:F925)/SUM(E$5:E925)</f>
        <v/>
      </c>
    </row>
    <row r="926">
      <c r="A926" s="29" t="n">
        <v>45777</v>
      </c>
      <c r="B926" s="37" t="inlineStr">
        <is>
          <t>JOB-1922</t>
        </is>
      </c>
      <c r="C926" s="34" t="n">
        <v>1</v>
      </c>
      <c r="D926" s="37" t="inlineStr">
        <is>
          <t>Tech A</t>
        </is>
      </c>
      <c r="E926" s="35" t="n">
        <v>1.6</v>
      </c>
      <c r="F926" s="35" t="n">
        <v>1.3</v>
      </c>
      <c r="G926" s="37" t="inlineStr">
        <is>
          <t>Y</t>
        </is>
      </c>
      <c r="H926" s="37" t="inlineStr">
        <is>
          <t>N</t>
        </is>
      </c>
      <c r="I926" s="37">
        <f>COUNTIF(G$5:G926,"Y")/COUNTA(G$5:G926)</f>
        <v/>
      </c>
      <c r="J926" s="37">
        <f>COUNTIF(H$5:H926,"Y")/COUNTA(H$5:H926)</f>
        <v/>
      </c>
      <c r="K926" s="37">
        <f>AVERAGE(F$5:F926)</f>
        <v/>
      </c>
      <c r="L926" s="37">
        <f>SUM(F$5:F926)/SUM(E$5:E926)</f>
        <v/>
      </c>
    </row>
    <row r="927">
      <c r="A927" s="29" t="n">
        <v>45778</v>
      </c>
      <c r="B927" s="37" t="inlineStr">
        <is>
          <t>JOB-1923</t>
        </is>
      </c>
      <c r="C927" s="34" t="n">
        <v>1</v>
      </c>
      <c r="D927" s="37" t="inlineStr">
        <is>
          <t>Tech H</t>
        </is>
      </c>
      <c r="E927" s="35" t="n">
        <v>3.3</v>
      </c>
      <c r="F927" s="35" t="n">
        <v>2.4</v>
      </c>
      <c r="G927" s="37" t="inlineStr">
        <is>
          <t>Y</t>
        </is>
      </c>
      <c r="H927" s="37" t="inlineStr">
        <is>
          <t>N</t>
        </is>
      </c>
      <c r="I927" s="37">
        <f>COUNTIF(G$5:G927,"Y")/COUNTA(G$5:G927)</f>
        <v/>
      </c>
      <c r="J927" s="37">
        <f>COUNTIF(H$5:H927,"Y")/COUNTA(H$5:H927)</f>
        <v/>
      </c>
      <c r="K927" s="37">
        <f>AVERAGE(F$5:F927)</f>
        <v/>
      </c>
      <c r="L927" s="37">
        <f>SUM(F$5:F927)/SUM(E$5:E927)</f>
        <v/>
      </c>
    </row>
    <row r="928">
      <c r="A928" s="29" t="n">
        <v>45779</v>
      </c>
      <c r="B928" s="37" t="inlineStr">
        <is>
          <t>JOB-1924</t>
        </is>
      </c>
      <c r="C928" s="34" t="n">
        <v>1</v>
      </c>
      <c r="D928" s="37" t="inlineStr">
        <is>
          <t>Tech H</t>
        </is>
      </c>
      <c r="E928" s="35" t="n">
        <v>4.7</v>
      </c>
      <c r="F928" s="35" t="n">
        <v>3.2</v>
      </c>
      <c r="G928" s="37" t="inlineStr">
        <is>
          <t>Y</t>
        </is>
      </c>
      <c r="H928" s="37" t="inlineStr">
        <is>
          <t>N</t>
        </is>
      </c>
      <c r="I928" s="37">
        <f>COUNTIF(G$5:G928,"Y")/COUNTA(G$5:G928)</f>
        <v/>
      </c>
      <c r="J928" s="37">
        <f>COUNTIF(H$5:H928,"Y")/COUNTA(H$5:H928)</f>
        <v/>
      </c>
      <c r="K928" s="37">
        <f>AVERAGE(F$5:F928)</f>
        <v/>
      </c>
      <c r="L928" s="37">
        <f>SUM(F$5:F928)/SUM(E$5:E928)</f>
        <v/>
      </c>
    </row>
    <row r="929">
      <c r="A929" s="29" t="n">
        <v>45775</v>
      </c>
      <c r="B929" s="37" t="inlineStr">
        <is>
          <t>JOB-1925</t>
        </is>
      </c>
      <c r="C929" s="34" t="n">
        <v>1</v>
      </c>
      <c r="D929" s="37" t="inlineStr">
        <is>
          <t>Tech B</t>
        </is>
      </c>
      <c r="E929" s="35" t="n">
        <v>1.8</v>
      </c>
      <c r="F929" s="35" t="n">
        <v>1.3</v>
      </c>
      <c r="G929" s="37" t="inlineStr">
        <is>
          <t>Y</t>
        </is>
      </c>
      <c r="H929" s="37" t="inlineStr">
        <is>
          <t>N</t>
        </is>
      </c>
      <c r="I929" s="37">
        <f>COUNTIF(G$5:G929,"Y")/COUNTA(G$5:G929)</f>
        <v/>
      </c>
      <c r="J929" s="37">
        <f>COUNTIF(H$5:H929,"Y")/COUNTA(H$5:H929)</f>
        <v/>
      </c>
      <c r="K929" s="37">
        <f>AVERAGE(F$5:F929)</f>
        <v/>
      </c>
      <c r="L929" s="37">
        <f>SUM(F$5:F929)/SUM(E$5:E929)</f>
        <v/>
      </c>
    </row>
    <row r="930">
      <c r="A930" s="29" t="n">
        <v>45776</v>
      </c>
      <c r="B930" s="37" t="inlineStr">
        <is>
          <t>JOB-1926</t>
        </is>
      </c>
      <c r="C930" s="34" t="n">
        <v>1</v>
      </c>
      <c r="D930" s="37" t="inlineStr">
        <is>
          <t>Tech A</t>
        </is>
      </c>
      <c r="E930" s="35" t="n">
        <v>2.6</v>
      </c>
      <c r="F930" s="35" t="n">
        <v>1.8</v>
      </c>
      <c r="G930" s="37" t="inlineStr">
        <is>
          <t>Y</t>
        </is>
      </c>
      <c r="H930" s="37" t="inlineStr">
        <is>
          <t>N</t>
        </is>
      </c>
      <c r="I930" s="37">
        <f>COUNTIF(G$5:G930,"Y")/COUNTA(G$5:G930)</f>
        <v/>
      </c>
      <c r="J930" s="37">
        <f>COUNTIF(H$5:H930,"Y")/COUNTA(H$5:H930)</f>
        <v/>
      </c>
      <c r="K930" s="37">
        <f>AVERAGE(F$5:F930)</f>
        <v/>
      </c>
      <c r="L930" s="37">
        <f>SUM(F$5:F930)/SUM(E$5:E930)</f>
        <v/>
      </c>
    </row>
    <row r="931">
      <c r="A931" s="29" t="n">
        <v>45777</v>
      </c>
      <c r="B931" s="37" t="inlineStr">
        <is>
          <t>JOB-1927</t>
        </is>
      </c>
      <c r="C931" s="34" t="n">
        <v>1</v>
      </c>
      <c r="D931" s="37" t="inlineStr">
        <is>
          <t>Tech D</t>
        </is>
      </c>
      <c r="E931" s="35" t="n">
        <v>4.6</v>
      </c>
      <c r="F931" s="35" t="n">
        <v>3.7</v>
      </c>
      <c r="G931" s="37" t="inlineStr">
        <is>
          <t>Y</t>
        </is>
      </c>
      <c r="H931" s="37" t="inlineStr">
        <is>
          <t>N</t>
        </is>
      </c>
      <c r="I931" s="37">
        <f>COUNTIF(G$5:G931,"Y")/COUNTA(G$5:G931)</f>
        <v/>
      </c>
      <c r="J931" s="37">
        <f>COUNTIF(H$5:H931,"Y")/COUNTA(H$5:H931)</f>
        <v/>
      </c>
      <c r="K931" s="37">
        <f>AVERAGE(F$5:F931)</f>
        <v/>
      </c>
      <c r="L931" s="37">
        <f>SUM(F$5:F931)/SUM(E$5:E931)</f>
        <v/>
      </c>
    </row>
    <row r="932">
      <c r="A932" s="29" t="n">
        <v>45778</v>
      </c>
      <c r="B932" s="37" t="inlineStr">
        <is>
          <t>JOB-1928</t>
        </is>
      </c>
      <c r="C932" s="34" t="n">
        <v>1</v>
      </c>
      <c r="D932" s="37" t="inlineStr">
        <is>
          <t>Tech H</t>
        </is>
      </c>
      <c r="E932" s="35" t="n">
        <v>2.4</v>
      </c>
      <c r="F932" s="35" t="n">
        <v>1.8</v>
      </c>
      <c r="G932" s="37" t="inlineStr">
        <is>
          <t>Y</t>
        </is>
      </c>
      <c r="H932" s="37" t="inlineStr">
        <is>
          <t>Y</t>
        </is>
      </c>
      <c r="I932" s="37">
        <f>COUNTIF(G$5:G932,"Y")/COUNTA(G$5:G932)</f>
        <v/>
      </c>
      <c r="J932" s="37">
        <f>COUNTIF(H$5:H932,"Y")/COUNTA(H$5:H932)</f>
        <v/>
      </c>
      <c r="K932" s="37">
        <f>AVERAGE(F$5:F932)</f>
        <v/>
      </c>
      <c r="L932" s="37">
        <f>SUM(F$5:F932)/SUM(E$5:E932)</f>
        <v/>
      </c>
    </row>
    <row r="933">
      <c r="A933" s="29" t="n">
        <v>45779</v>
      </c>
      <c r="B933" s="37" t="inlineStr">
        <is>
          <t>JOB-1929</t>
        </is>
      </c>
      <c r="C933" s="34" t="n">
        <v>1</v>
      </c>
      <c r="D933" s="37" t="inlineStr">
        <is>
          <t>Tech C</t>
        </is>
      </c>
      <c r="E933" s="35" t="n">
        <v>2.2</v>
      </c>
      <c r="F933" s="35" t="n">
        <v>2.8</v>
      </c>
      <c r="G933" s="37" t="inlineStr">
        <is>
          <t>Y</t>
        </is>
      </c>
      <c r="H933" s="37" t="inlineStr">
        <is>
          <t>N</t>
        </is>
      </c>
      <c r="I933" s="37">
        <f>COUNTIF(G$5:G933,"Y")/COUNTA(G$5:G933)</f>
        <v/>
      </c>
      <c r="J933" s="37">
        <f>COUNTIF(H$5:H933,"Y")/COUNTA(H$5:H933)</f>
        <v/>
      </c>
      <c r="K933" s="37">
        <f>AVERAGE(F$5:F933)</f>
        <v/>
      </c>
      <c r="L933" s="37">
        <f>SUM(F$5:F933)/SUM(E$5:E933)</f>
        <v/>
      </c>
    </row>
    <row r="934">
      <c r="A934" s="29" t="n">
        <v>45775</v>
      </c>
      <c r="B934" s="37" t="inlineStr">
        <is>
          <t>JOB-1930</t>
        </is>
      </c>
      <c r="C934" s="34" t="n">
        <v>1</v>
      </c>
      <c r="D934" s="37" t="inlineStr">
        <is>
          <t>Tech A</t>
        </is>
      </c>
      <c r="E934" s="35" t="n">
        <v>0.5</v>
      </c>
      <c r="F934" s="35" t="n">
        <v>0.5</v>
      </c>
      <c r="G934" s="37" t="inlineStr">
        <is>
          <t>Y</t>
        </is>
      </c>
      <c r="H934" s="37" t="inlineStr">
        <is>
          <t>N</t>
        </is>
      </c>
      <c r="I934" s="37">
        <f>COUNTIF(G$5:G934,"Y")/COUNTA(G$5:G934)</f>
        <v/>
      </c>
      <c r="J934" s="37">
        <f>COUNTIF(H$5:H934,"Y")/COUNTA(H$5:H934)</f>
        <v/>
      </c>
      <c r="K934" s="37">
        <f>AVERAGE(F$5:F934)</f>
        <v/>
      </c>
      <c r="L934" s="37">
        <f>SUM(F$5:F934)/SUM(E$5:E934)</f>
        <v/>
      </c>
    </row>
    <row r="935">
      <c r="A935" s="29" t="n">
        <v>45776</v>
      </c>
      <c r="B935" s="37" t="inlineStr">
        <is>
          <t>JOB-1931</t>
        </is>
      </c>
      <c r="C935" s="34" t="n">
        <v>1</v>
      </c>
      <c r="D935" s="37" t="inlineStr">
        <is>
          <t>Tech A</t>
        </is>
      </c>
      <c r="E935" s="35" t="n">
        <v>0.5</v>
      </c>
      <c r="F935" s="35" t="n">
        <v>0.5</v>
      </c>
      <c r="G935" s="37" t="inlineStr">
        <is>
          <t>N</t>
        </is>
      </c>
      <c r="H935" s="37" t="inlineStr">
        <is>
          <t>N</t>
        </is>
      </c>
      <c r="I935" s="37">
        <f>COUNTIF(G$5:G935,"Y")/COUNTA(G$5:G935)</f>
        <v/>
      </c>
      <c r="J935" s="37">
        <f>COUNTIF(H$5:H935,"Y")/COUNTA(H$5:H935)</f>
        <v/>
      </c>
      <c r="K935" s="37">
        <f>AVERAGE(F$5:F935)</f>
        <v/>
      </c>
      <c r="L935" s="37">
        <f>SUM(F$5:F935)/SUM(E$5:E935)</f>
        <v/>
      </c>
    </row>
    <row r="936">
      <c r="A936" s="29" t="n">
        <v>45777</v>
      </c>
      <c r="B936" s="37" t="inlineStr">
        <is>
          <t>JOB-1932</t>
        </is>
      </c>
      <c r="C936" s="34" t="n">
        <v>1</v>
      </c>
      <c r="D936" s="37" t="inlineStr">
        <is>
          <t>Tech A</t>
        </is>
      </c>
      <c r="E936" s="35" t="n">
        <v>0.5</v>
      </c>
      <c r="F936" s="35" t="n">
        <v>0.5</v>
      </c>
      <c r="G936" s="37" t="inlineStr">
        <is>
          <t>Y</t>
        </is>
      </c>
      <c r="H936" s="37" t="inlineStr">
        <is>
          <t>N</t>
        </is>
      </c>
      <c r="I936" s="37">
        <f>COUNTIF(G$5:G936,"Y")/COUNTA(G$5:G936)</f>
        <v/>
      </c>
      <c r="J936" s="37">
        <f>COUNTIF(H$5:H936,"Y")/COUNTA(H$5:H936)</f>
        <v/>
      </c>
      <c r="K936" s="37">
        <f>AVERAGE(F$5:F936)</f>
        <v/>
      </c>
      <c r="L936" s="37">
        <f>SUM(F$5:F936)/SUM(E$5:E936)</f>
        <v/>
      </c>
    </row>
    <row r="937">
      <c r="A937" s="29" t="n">
        <v>45778</v>
      </c>
      <c r="B937" s="37" t="inlineStr">
        <is>
          <t>JOB-1933</t>
        </is>
      </c>
      <c r="C937" s="34" t="n">
        <v>1</v>
      </c>
      <c r="D937" s="37" t="inlineStr">
        <is>
          <t>Tech A</t>
        </is>
      </c>
      <c r="E937" s="35" t="n">
        <v>0.5</v>
      </c>
      <c r="F937" s="35" t="n">
        <v>0.5</v>
      </c>
      <c r="G937" s="37" t="inlineStr">
        <is>
          <t>Y</t>
        </is>
      </c>
      <c r="H937" s="37" t="inlineStr">
        <is>
          <t>N</t>
        </is>
      </c>
      <c r="I937" s="37">
        <f>COUNTIF(G$5:G937,"Y")/COUNTA(G$5:G937)</f>
        <v/>
      </c>
      <c r="J937" s="37">
        <f>COUNTIF(H$5:H937,"Y")/COUNTA(H$5:H937)</f>
        <v/>
      </c>
      <c r="K937" s="37">
        <f>AVERAGE(F$5:F937)</f>
        <v/>
      </c>
      <c r="L937" s="37">
        <f>SUM(F$5:F937)/SUM(E$5:E937)</f>
        <v/>
      </c>
    </row>
    <row r="938">
      <c r="A938" s="29" t="n">
        <v>45779</v>
      </c>
      <c r="B938" s="37" t="inlineStr">
        <is>
          <t>JOB-1934</t>
        </is>
      </c>
      <c r="C938" s="34" t="n">
        <v>1</v>
      </c>
      <c r="D938" s="37" t="inlineStr">
        <is>
          <t>Tech B</t>
        </is>
      </c>
      <c r="E938" s="35" t="n">
        <v>0.5</v>
      </c>
      <c r="F938" s="35" t="n">
        <v>0.5</v>
      </c>
      <c r="G938" s="37" t="inlineStr">
        <is>
          <t>Y</t>
        </is>
      </c>
      <c r="H938" s="37" t="inlineStr">
        <is>
          <t>N</t>
        </is>
      </c>
      <c r="I938" s="37">
        <f>COUNTIF(G$5:G938,"Y")/COUNTA(G$5:G938)</f>
        <v/>
      </c>
      <c r="J938" s="37">
        <f>COUNTIF(H$5:H938,"Y")/COUNTA(H$5:H938)</f>
        <v/>
      </c>
      <c r="K938" s="37">
        <f>AVERAGE(F$5:F938)</f>
        <v/>
      </c>
      <c r="L938" s="37">
        <f>SUM(F$5:F938)/SUM(E$5:E938)</f>
        <v/>
      </c>
    </row>
    <row r="939">
      <c r="A939" s="29" t="n">
        <v>45775</v>
      </c>
      <c r="B939" s="37" t="inlineStr">
        <is>
          <t>JOB-1935</t>
        </is>
      </c>
      <c r="C939" s="34" t="n">
        <v>1</v>
      </c>
      <c r="D939" s="37" t="inlineStr">
        <is>
          <t>Tech G</t>
        </is>
      </c>
      <c r="E939" s="35" t="n">
        <v>0.5</v>
      </c>
      <c r="F939" s="35" t="n">
        <v>0.5</v>
      </c>
      <c r="G939" s="37" t="inlineStr">
        <is>
          <t>Y</t>
        </is>
      </c>
      <c r="H939" s="37" t="inlineStr">
        <is>
          <t>N</t>
        </is>
      </c>
      <c r="I939" s="37">
        <f>COUNTIF(G$5:G939,"Y")/COUNTA(G$5:G939)</f>
        <v/>
      </c>
      <c r="J939" s="37">
        <f>COUNTIF(H$5:H939,"Y")/COUNTA(H$5:H939)</f>
        <v/>
      </c>
      <c r="K939" s="37">
        <f>AVERAGE(F$5:F939)</f>
        <v/>
      </c>
      <c r="L939" s="37">
        <f>SUM(F$5:F939)/SUM(E$5:E939)</f>
        <v/>
      </c>
    </row>
    <row r="940">
      <c r="A940" s="29" t="n">
        <v>45776</v>
      </c>
      <c r="B940" s="37" t="inlineStr">
        <is>
          <t>JOB-1936</t>
        </is>
      </c>
      <c r="C940" s="34" t="n">
        <v>1</v>
      </c>
      <c r="D940" s="37" t="inlineStr">
        <is>
          <t>Tech C</t>
        </is>
      </c>
      <c r="E940" s="35" t="n">
        <v>0.5</v>
      </c>
      <c r="F940" s="35" t="n">
        <v>0.5</v>
      </c>
      <c r="G940" s="37" t="inlineStr">
        <is>
          <t>Y</t>
        </is>
      </c>
      <c r="H940" s="37" t="inlineStr">
        <is>
          <t>N</t>
        </is>
      </c>
      <c r="I940" s="37">
        <f>COUNTIF(G$5:G940,"Y")/COUNTA(G$5:G940)</f>
        <v/>
      </c>
      <c r="J940" s="37">
        <f>COUNTIF(H$5:H940,"Y")/COUNTA(H$5:H940)</f>
        <v/>
      </c>
      <c r="K940" s="37">
        <f>AVERAGE(F$5:F940)</f>
        <v/>
      </c>
      <c r="L940" s="37">
        <f>SUM(F$5:F940)/SUM(E$5:E940)</f>
        <v/>
      </c>
      <c r="M940" s="37" t="n">
        <v>10</v>
      </c>
    </row>
    <row r="941">
      <c r="A941" s="29" t="n">
        <v>45782</v>
      </c>
      <c r="B941" s="37" t="inlineStr">
        <is>
          <t>JOB-1937</t>
        </is>
      </c>
      <c r="C941" s="34" t="n">
        <v>1</v>
      </c>
      <c r="D941" s="37" t="inlineStr">
        <is>
          <t>Tech C</t>
        </is>
      </c>
      <c r="E941" s="35" t="n">
        <v>3.9</v>
      </c>
      <c r="F941" s="35" t="n">
        <v>2.9</v>
      </c>
      <c r="G941" s="37" t="inlineStr">
        <is>
          <t>N</t>
        </is>
      </c>
      <c r="H941" s="37" t="inlineStr">
        <is>
          <t>N</t>
        </is>
      </c>
      <c r="I941" s="37">
        <f>COUNTIF(G$5:G941,"Y")/COUNTA(G$5:G941)</f>
        <v/>
      </c>
      <c r="J941" s="37">
        <f>COUNTIF(H$5:H941,"Y")/COUNTA(H$5:H941)</f>
        <v/>
      </c>
      <c r="K941" s="37">
        <f>AVERAGE(F$5:F941)</f>
        <v/>
      </c>
      <c r="L941" s="37">
        <f>SUM(F$5:F941)/SUM(E$5:E941)</f>
        <v/>
      </c>
    </row>
    <row r="942">
      <c r="A942" s="29" t="n">
        <v>45783</v>
      </c>
      <c r="B942" s="37" t="inlineStr">
        <is>
          <t>JOB-1938</t>
        </is>
      </c>
      <c r="C942" s="34" t="n">
        <v>1</v>
      </c>
      <c r="D942" s="37" t="inlineStr">
        <is>
          <t>Tech A</t>
        </is>
      </c>
      <c r="E942" s="35" t="n">
        <v>2.3</v>
      </c>
      <c r="F942" s="35" t="n">
        <v>1.9</v>
      </c>
      <c r="G942" s="37" t="inlineStr">
        <is>
          <t>Y</t>
        </is>
      </c>
      <c r="H942" s="37" t="inlineStr">
        <is>
          <t>N</t>
        </is>
      </c>
      <c r="I942" s="37">
        <f>COUNTIF(G$5:G942,"Y")/COUNTA(G$5:G942)</f>
        <v/>
      </c>
      <c r="J942" s="37">
        <f>COUNTIF(H$5:H942,"Y")/COUNTA(H$5:H942)</f>
        <v/>
      </c>
      <c r="K942" s="37">
        <f>AVERAGE(F$5:F942)</f>
        <v/>
      </c>
      <c r="L942" s="37">
        <f>SUM(F$5:F942)/SUM(E$5:E942)</f>
        <v/>
      </c>
    </row>
    <row r="943">
      <c r="A943" s="29" t="n">
        <v>45784</v>
      </c>
      <c r="B943" s="37" t="inlineStr">
        <is>
          <t>JOB-1939</t>
        </is>
      </c>
      <c r="C943" s="34" t="n">
        <v>1</v>
      </c>
      <c r="D943" s="37" t="inlineStr">
        <is>
          <t>Tech B</t>
        </is>
      </c>
      <c r="E943" s="35" t="n">
        <v>3.3</v>
      </c>
      <c r="F943" s="35" t="n">
        <v>2.4</v>
      </c>
      <c r="G943" s="37" t="inlineStr">
        <is>
          <t>Y</t>
        </is>
      </c>
      <c r="H943" s="37" t="inlineStr">
        <is>
          <t>N</t>
        </is>
      </c>
      <c r="I943" s="37">
        <f>COUNTIF(G$5:G943,"Y")/COUNTA(G$5:G943)</f>
        <v/>
      </c>
      <c r="J943" s="37">
        <f>COUNTIF(H$5:H943,"Y")/COUNTA(H$5:H943)</f>
        <v/>
      </c>
      <c r="K943" s="37">
        <f>AVERAGE(F$5:F943)</f>
        <v/>
      </c>
      <c r="L943" s="37">
        <f>SUM(F$5:F943)/SUM(E$5:E943)</f>
        <v/>
      </c>
    </row>
    <row r="944">
      <c r="A944" s="29" t="n">
        <v>45785</v>
      </c>
      <c r="B944" s="37" t="inlineStr">
        <is>
          <t>JOB-1940</t>
        </is>
      </c>
      <c r="C944" s="34" t="n">
        <v>1</v>
      </c>
      <c r="D944" s="37" t="inlineStr">
        <is>
          <t>Tech G</t>
        </is>
      </c>
      <c r="E944" s="35" t="n">
        <v>2.9</v>
      </c>
      <c r="F944" s="35" t="n">
        <v>2.6</v>
      </c>
      <c r="G944" s="37" t="inlineStr">
        <is>
          <t>Y</t>
        </is>
      </c>
      <c r="H944" s="37" t="inlineStr">
        <is>
          <t>N</t>
        </is>
      </c>
      <c r="I944" s="37">
        <f>COUNTIF(G$5:G944,"Y")/COUNTA(G$5:G944)</f>
        <v/>
      </c>
      <c r="J944" s="37">
        <f>COUNTIF(H$5:H944,"Y")/COUNTA(H$5:H944)</f>
        <v/>
      </c>
      <c r="K944" s="37">
        <f>AVERAGE(F$5:F944)</f>
        <v/>
      </c>
      <c r="L944" s="37">
        <f>SUM(F$5:F944)/SUM(E$5:E944)</f>
        <v/>
      </c>
    </row>
    <row r="945">
      <c r="A945" s="29" t="n">
        <v>45786</v>
      </c>
      <c r="B945" s="37" t="inlineStr">
        <is>
          <t>JOB-1941</t>
        </is>
      </c>
      <c r="C945" s="34" t="n">
        <v>1</v>
      </c>
      <c r="D945" s="37" t="inlineStr">
        <is>
          <t>Tech D</t>
        </is>
      </c>
      <c r="E945" s="35" t="n">
        <v>4.3</v>
      </c>
      <c r="F945" s="35" t="n">
        <v>3.3</v>
      </c>
      <c r="G945" s="37" t="inlineStr">
        <is>
          <t>Y</t>
        </is>
      </c>
      <c r="H945" s="37" t="inlineStr">
        <is>
          <t>N</t>
        </is>
      </c>
      <c r="I945" s="37">
        <f>COUNTIF(G$5:G945,"Y")/COUNTA(G$5:G945)</f>
        <v/>
      </c>
      <c r="J945" s="37">
        <f>COUNTIF(H$5:H945,"Y")/COUNTA(H$5:H945)</f>
        <v/>
      </c>
      <c r="K945" s="37">
        <f>AVERAGE(F$5:F945)</f>
        <v/>
      </c>
      <c r="L945" s="37">
        <f>SUM(F$5:F945)/SUM(E$5:E945)</f>
        <v/>
      </c>
    </row>
    <row r="946">
      <c r="A946" s="29" t="n">
        <v>45782</v>
      </c>
      <c r="B946" s="37" t="inlineStr">
        <is>
          <t>JOB-1942</t>
        </is>
      </c>
      <c r="C946" s="34" t="n">
        <v>1</v>
      </c>
      <c r="D946" s="37" t="inlineStr">
        <is>
          <t>Tech B</t>
        </is>
      </c>
      <c r="E946" s="35" t="n">
        <v>4.3</v>
      </c>
      <c r="F946" s="35" t="n">
        <v>3.2</v>
      </c>
      <c r="G946" s="37" t="inlineStr">
        <is>
          <t>Y</t>
        </is>
      </c>
      <c r="H946" s="37" t="inlineStr">
        <is>
          <t>N</t>
        </is>
      </c>
      <c r="I946" s="37">
        <f>COUNTIF(G$5:G946,"Y")/COUNTA(G$5:G946)</f>
        <v/>
      </c>
      <c r="J946" s="37">
        <f>COUNTIF(H$5:H946,"Y")/COUNTA(H$5:H946)</f>
        <v/>
      </c>
      <c r="K946" s="37">
        <f>AVERAGE(F$5:F946)</f>
        <v/>
      </c>
      <c r="L946" s="37">
        <f>SUM(F$5:F946)/SUM(E$5:E946)</f>
        <v/>
      </c>
    </row>
    <row r="947">
      <c r="A947" s="29" t="n">
        <v>45783</v>
      </c>
      <c r="B947" s="37" t="inlineStr">
        <is>
          <t>JOB-1943</t>
        </is>
      </c>
      <c r="C947" s="34" t="n">
        <v>1</v>
      </c>
      <c r="D947" s="37" t="inlineStr">
        <is>
          <t>Tech A</t>
        </is>
      </c>
      <c r="E947" s="35" t="n">
        <v>4.8</v>
      </c>
      <c r="F947" s="35" t="n">
        <v>3.6</v>
      </c>
      <c r="G947" s="37" t="inlineStr">
        <is>
          <t>Y</t>
        </is>
      </c>
      <c r="H947" s="37" t="inlineStr">
        <is>
          <t>N</t>
        </is>
      </c>
      <c r="I947" s="37">
        <f>COUNTIF(G$5:G947,"Y")/COUNTA(G$5:G947)</f>
        <v/>
      </c>
      <c r="J947" s="37">
        <f>COUNTIF(H$5:H947,"Y")/COUNTA(H$5:H947)</f>
        <v/>
      </c>
      <c r="K947" s="37">
        <f>AVERAGE(F$5:F947)</f>
        <v/>
      </c>
      <c r="L947" s="37">
        <f>SUM(F$5:F947)/SUM(E$5:E947)</f>
        <v/>
      </c>
    </row>
    <row r="948">
      <c r="A948" s="29" t="n">
        <v>45784</v>
      </c>
      <c r="B948" s="37" t="inlineStr">
        <is>
          <t>JOB-1944</t>
        </is>
      </c>
      <c r="C948" s="34" t="n">
        <v>1</v>
      </c>
      <c r="D948" s="37" t="inlineStr">
        <is>
          <t>Tech C</t>
        </is>
      </c>
      <c r="E948" s="35" t="n">
        <v>3.9</v>
      </c>
      <c r="F948" s="35" t="n">
        <v>3.4</v>
      </c>
      <c r="G948" s="37" t="inlineStr">
        <is>
          <t>Y</t>
        </is>
      </c>
      <c r="H948" s="37" t="inlineStr">
        <is>
          <t>N</t>
        </is>
      </c>
      <c r="I948" s="37">
        <f>COUNTIF(G$5:G948,"Y")/COUNTA(G$5:G948)</f>
        <v/>
      </c>
      <c r="J948" s="37">
        <f>COUNTIF(H$5:H948,"Y")/COUNTA(H$5:H948)</f>
        <v/>
      </c>
      <c r="K948" s="37">
        <f>AVERAGE(F$5:F948)</f>
        <v/>
      </c>
      <c r="L948" s="37">
        <f>SUM(F$5:F948)/SUM(E$5:E948)</f>
        <v/>
      </c>
    </row>
    <row r="949">
      <c r="A949" s="29" t="n">
        <v>45785</v>
      </c>
      <c r="B949" s="37" t="inlineStr">
        <is>
          <t>JOB-1945</t>
        </is>
      </c>
      <c r="C949" s="34" t="n">
        <v>1</v>
      </c>
      <c r="D949" s="37" t="inlineStr">
        <is>
          <t>Tech C</t>
        </is>
      </c>
      <c r="E949" s="35" t="n">
        <v>4.7</v>
      </c>
      <c r="F949" s="35" t="n">
        <v>4.1</v>
      </c>
      <c r="G949" s="37" t="inlineStr">
        <is>
          <t>N</t>
        </is>
      </c>
      <c r="H949" s="37" t="inlineStr">
        <is>
          <t>N</t>
        </is>
      </c>
      <c r="I949" s="37">
        <f>COUNTIF(G$5:G949,"Y")/COUNTA(G$5:G949)</f>
        <v/>
      </c>
      <c r="J949" s="37">
        <f>COUNTIF(H$5:H949,"Y")/COUNTA(H$5:H949)</f>
        <v/>
      </c>
      <c r="K949" s="37">
        <f>AVERAGE(F$5:F949)</f>
        <v/>
      </c>
      <c r="L949" s="37">
        <f>SUM(F$5:F949)/SUM(E$5:E949)</f>
        <v/>
      </c>
    </row>
    <row r="950">
      <c r="A950" s="29" t="n">
        <v>45786</v>
      </c>
      <c r="B950" s="37" t="inlineStr">
        <is>
          <t>JOB-1946</t>
        </is>
      </c>
      <c r="C950" s="34" t="n">
        <v>1</v>
      </c>
      <c r="D950" s="37" t="inlineStr">
        <is>
          <t>Tech B</t>
        </is>
      </c>
      <c r="E950" s="35" t="n">
        <v>4.5</v>
      </c>
      <c r="F950" s="35" t="n">
        <v>3.7</v>
      </c>
      <c r="G950" s="37" t="inlineStr">
        <is>
          <t>Y</t>
        </is>
      </c>
      <c r="H950" s="37" t="inlineStr">
        <is>
          <t>N</t>
        </is>
      </c>
      <c r="I950" s="37">
        <f>COUNTIF(G$5:G950,"Y")/COUNTA(G$5:G950)</f>
        <v/>
      </c>
      <c r="J950" s="37">
        <f>COUNTIF(H$5:H950,"Y")/COUNTA(H$5:H950)</f>
        <v/>
      </c>
      <c r="K950" s="37">
        <f>AVERAGE(F$5:F950)</f>
        <v/>
      </c>
      <c r="L950" s="37">
        <f>SUM(F$5:F950)/SUM(E$5:E950)</f>
        <v/>
      </c>
    </row>
    <row r="951">
      <c r="A951" s="29" t="n">
        <v>45782</v>
      </c>
      <c r="B951" s="37" t="inlineStr">
        <is>
          <t>JOB-1947</t>
        </is>
      </c>
      <c r="C951" s="34" t="n">
        <v>1</v>
      </c>
      <c r="D951" s="37" t="inlineStr">
        <is>
          <t>Tech A</t>
        </is>
      </c>
      <c r="E951" s="35" t="n">
        <v>2.1</v>
      </c>
      <c r="F951" s="35" t="n">
        <v>1.5</v>
      </c>
      <c r="G951" s="37" t="inlineStr">
        <is>
          <t>Y</t>
        </is>
      </c>
      <c r="H951" s="37" t="inlineStr">
        <is>
          <t>N</t>
        </is>
      </c>
      <c r="I951" s="37">
        <f>COUNTIF(G$5:G951,"Y")/COUNTA(G$5:G951)</f>
        <v/>
      </c>
      <c r="J951" s="37">
        <f>COUNTIF(H$5:H951,"Y")/COUNTA(H$5:H951)</f>
        <v/>
      </c>
      <c r="K951" s="37">
        <f>AVERAGE(F$5:F951)</f>
        <v/>
      </c>
      <c r="L951" s="37">
        <f>SUM(F$5:F951)/SUM(E$5:E951)</f>
        <v/>
      </c>
    </row>
    <row r="952">
      <c r="A952" s="29" t="n">
        <v>45783</v>
      </c>
      <c r="B952" s="37" t="inlineStr">
        <is>
          <t>JOB-1948</t>
        </is>
      </c>
      <c r="C952" s="34" t="n">
        <v>1</v>
      </c>
      <c r="D952" s="37" t="inlineStr">
        <is>
          <t>Tech H</t>
        </is>
      </c>
      <c r="E952" s="35" t="n">
        <v>3.3</v>
      </c>
      <c r="F952" s="35" t="n">
        <v>2.6</v>
      </c>
      <c r="G952" s="37" t="inlineStr">
        <is>
          <t>Y</t>
        </is>
      </c>
      <c r="H952" s="37" t="inlineStr">
        <is>
          <t>N</t>
        </is>
      </c>
      <c r="I952" s="37">
        <f>COUNTIF(G$5:G952,"Y")/COUNTA(G$5:G952)</f>
        <v/>
      </c>
      <c r="J952" s="37">
        <f>COUNTIF(H$5:H952,"Y")/COUNTA(H$5:H952)</f>
        <v/>
      </c>
      <c r="K952" s="37">
        <f>AVERAGE(F$5:F952)</f>
        <v/>
      </c>
      <c r="L952" s="37">
        <f>SUM(F$5:F952)/SUM(E$5:E952)</f>
        <v/>
      </c>
    </row>
    <row r="953">
      <c r="A953" s="29" t="n">
        <v>45784</v>
      </c>
      <c r="B953" s="37" t="inlineStr">
        <is>
          <t>JOB-1949</t>
        </is>
      </c>
      <c r="C953" s="34" t="n">
        <v>1</v>
      </c>
      <c r="D953" s="37" t="inlineStr">
        <is>
          <t>Tech B</t>
        </is>
      </c>
      <c r="E953" s="35" t="n">
        <v>4.3</v>
      </c>
      <c r="F953" s="35" t="n">
        <v>3.3</v>
      </c>
      <c r="G953" s="37" t="inlineStr">
        <is>
          <t>Y</t>
        </is>
      </c>
      <c r="H953" s="37" t="inlineStr">
        <is>
          <t>N</t>
        </is>
      </c>
      <c r="I953" s="37">
        <f>COUNTIF(G$5:G953,"Y")/COUNTA(G$5:G953)</f>
        <v/>
      </c>
      <c r="J953" s="37">
        <f>COUNTIF(H$5:H953,"Y")/COUNTA(H$5:H953)</f>
        <v/>
      </c>
      <c r="K953" s="37">
        <f>AVERAGE(F$5:F953)</f>
        <v/>
      </c>
      <c r="L953" s="37">
        <f>SUM(F$5:F953)/SUM(E$5:E953)</f>
        <v/>
      </c>
    </row>
    <row r="954">
      <c r="A954" s="29" t="n">
        <v>45785</v>
      </c>
      <c r="B954" s="37" t="inlineStr">
        <is>
          <t>JOB-1950</t>
        </is>
      </c>
      <c r="C954" s="34" t="n">
        <v>1</v>
      </c>
      <c r="D954" s="37" t="inlineStr">
        <is>
          <t>Tech F</t>
        </is>
      </c>
      <c r="E954" s="35" t="n">
        <v>3.4</v>
      </c>
      <c r="F954" s="35" t="n">
        <v>2.9</v>
      </c>
      <c r="G954" s="37" t="inlineStr">
        <is>
          <t>Y</t>
        </is>
      </c>
      <c r="H954" s="37" t="inlineStr">
        <is>
          <t>Y</t>
        </is>
      </c>
      <c r="I954" s="37">
        <f>COUNTIF(G$5:G954,"Y")/COUNTA(G$5:G954)</f>
        <v/>
      </c>
      <c r="J954" s="37">
        <f>COUNTIF(H$5:H954,"Y")/COUNTA(H$5:H954)</f>
        <v/>
      </c>
      <c r="K954" s="37">
        <f>AVERAGE(F$5:F954)</f>
        <v/>
      </c>
      <c r="L954" s="37">
        <f>SUM(F$5:F954)/SUM(E$5:E954)</f>
        <v/>
      </c>
    </row>
    <row r="955">
      <c r="A955" s="29" t="n">
        <v>45786</v>
      </c>
      <c r="B955" s="37" t="inlineStr">
        <is>
          <t>JOB-1951</t>
        </is>
      </c>
      <c r="C955" s="34" t="n">
        <v>1</v>
      </c>
      <c r="D955" s="37" t="inlineStr">
        <is>
          <t>Tech G</t>
        </is>
      </c>
      <c r="E955" s="35" t="n">
        <v>3.4</v>
      </c>
      <c r="F955" s="35" t="n">
        <v>2.4</v>
      </c>
      <c r="G955" s="37" t="inlineStr">
        <is>
          <t>Y</t>
        </is>
      </c>
      <c r="H955" s="37" t="inlineStr">
        <is>
          <t>N</t>
        </is>
      </c>
      <c r="I955" s="37">
        <f>COUNTIF(G$5:G955,"Y")/COUNTA(G$5:G955)</f>
        <v/>
      </c>
      <c r="J955" s="37">
        <f>COUNTIF(H$5:H955,"Y")/COUNTA(H$5:H955)</f>
        <v/>
      </c>
      <c r="K955" s="37">
        <f>AVERAGE(F$5:F955)</f>
        <v/>
      </c>
      <c r="L955" s="37">
        <f>SUM(F$5:F955)/SUM(E$5:E955)</f>
        <v/>
      </c>
    </row>
    <row r="956">
      <c r="A956" s="29" t="n">
        <v>45782</v>
      </c>
      <c r="B956" s="37" t="inlineStr">
        <is>
          <t>JOB-1952</t>
        </is>
      </c>
      <c r="C956" s="34" t="n">
        <v>1</v>
      </c>
      <c r="D956" s="37" t="inlineStr">
        <is>
          <t>Tech C</t>
        </is>
      </c>
      <c r="E956" s="35" t="n">
        <v>4.3</v>
      </c>
      <c r="F956" s="35" t="n">
        <v>2.9</v>
      </c>
      <c r="G956" s="37" t="inlineStr">
        <is>
          <t>Y</t>
        </is>
      </c>
      <c r="H956" s="37" t="inlineStr">
        <is>
          <t>N</t>
        </is>
      </c>
      <c r="I956" s="37">
        <f>COUNTIF(G$5:G956,"Y")/COUNTA(G$5:G956)</f>
        <v/>
      </c>
      <c r="J956" s="37">
        <f>COUNTIF(H$5:H956,"Y")/COUNTA(H$5:H956)</f>
        <v/>
      </c>
      <c r="K956" s="37">
        <f>AVERAGE(F$5:F956)</f>
        <v/>
      </c>
      <c r="L956" s="37">
        <f>SUM(F$5:F956)/SUM(E$5:E956)</f>
        <v/>
      </c>
    </row>
    <row r="957">
      <c r="A957" s="29" t="n">
        <v>45783</v>
      </c>
      <c r="B957" s="37" t="inlineStr">
        <is>
          <t>JOB-1953</t>
        </is>
      </c>
      <c r="C957" s="34" t="n">
        <v>1</v>
      </c>
      <c r="D957" s="37" t="inlineStr">
        <is>
          <t>Tech D</t>
        </is>
      </c>
      <c r="E957" s="35" t="n">
        <v>2.2</v>
      </c>
      <c r="F957" s="35" t="n">
        <v>1.6</v>
      </c>
      <c r="G957" s="37" t="inlineStr">
        <is>
          <t>Y</t>
        </is>
      </c>
      <c r="H957" s="37" t="inlineStr">
        <is>
          <t>N</t>
        </is>
      </c>
      <c r="I957" s="37">
        <f>COUNTIF(G$5:G957,"Y")/COUNTA(G$5:G957)</f>
        <v/>
      </c>
      <c r="J957" s="37">
        <f>COUNTIF(H$5:H957,"Y")/COUNTA(H$5:H957)</f>
        <v/>
      </c>
      <c r="K957" s="37">
        <f>AVERAGE(F$5:F957)</f>
        <v/>
      </c>
      <c r="L957" s="37">
        <f>SUM(F$5:F957)/SUM(E$5:E957)</f>
        <v/>
      </c>
    </row>
    <row r="958">
      <c r="A958" s="29" t="n">
        <v>45784</v>
      </c>
      <c r="B958" s="37" t="inlineStr">
        <is>
          <t>JOB-1954</t>
        </is>
      </c>
      <c r="C958" s="34" t="n">
        <v>1</v>
      </c>
      <c r="D958" s="37" t="inlineStr">
        <is>
          <t>Tech D</t>
        </is>
      </c>
      <c r="E958" s="35" t="n">
        <v>5.8</v>
      </c>
      <c r="F958" s="35" t="n">
        <v>4.1</v>
      </c>
      <c r="G958" s="37" t="inlineStr">
        <is>
          <t>Y</t>
        </is>
      </c>
      <c r="H958" s="37" t="inlineStr">
        <is>
          <t>N</t>
        </is>
      </c>
      <c r="I958" s="37">
        <f>COUNTIF(G$5:G958,"Y")/COUNTA(G$5:G958)</f>
        <v/>
      </c>
      <c r="J958" s="37">
        <f>COUNTIF(H$5:H958,"Y")/COUNTA(H$5:H958)</f>
        <v/>
      </c>
      <c r="K958" s="37">
        <f>AVERAGE(F$5:F958)</f>
        <v/>
      </c>
      <c r="L958" s="37">
        <f>SUM(F$5:F958)/SUM(E$5:E958)</f>
        <v/>
      </c>
    </row>
    <row r="959">
      <c r="A959" s="29" t="n">
        <v>45785</v>
      </c>
      <c r="B959" s="37" t="inlineStr">
        <is>
          <t>JOB-1955</t>
        </is>
      </c>
      <c r="C959" s="34" t="n">
        <v>1</v>
      </c>
      <c r="D959" s="37" t="inlineStr">
        <is>
          <t>Tech D</t>
        </is>
      </c>
      <c r="E959" s="35" t="n">
        <v>4.4</v>
      </c>
      <c r="F959" s="35" t="n">
        <v>3.5</v>
      </c>
      <c r="G959" s="37" t="inlineStr">
        <is>
          <t>Y</t>
        </is>
      </c>
      <c r="H959" s="37" t="inlineStr">
        <is>
          <t>N</t>
        </is>
      </c>
      <c r="I959" s="37">
        <f>COUNTIF(G$5:G959,"Y")/COUNTA(G$5:G959)</f>
        <v/>
      </c>
      <c r="J959" s="37">
        <f>COUNTIF(H$5:H959,"Y")/COUNTA(H$5:H959)</f>
        <v/>
      </c>
      <c r="K959" s="37">
        <f>AVERAGE(F$5:F959)</f>
        <v/>
      </c>
      <c r="L959" s="37">
        <f>SUM(F$5:F959)/SUM(E$5:E959)</f>
        <v/>
      </c>
    </row>
    <row r="960">
      <c r="A960" s="29" t="n">
        <v>45786</v>
      </c>
      <c r="B960" s="37" t="inlineStr">
        <is>
          <t>JOB-1956</t>
        </is>
      </c>
      <c r="C960" s="34" t="n">
        <v>1</v>
      </c>
      <c r="D960" s="37" t="inlineStr">
        <is>
          <t>Tech A</t>
        </is>
      </c>
      <c r="E960" s="35" t="n">
        <v>5.6</v>
      </c>
      <c r="F960" s="35" t="n">
        <v>4.2</v>
      </c>
      <c r="G960" s="37" t="inlineStr">
        <is>
          <t>Y</t>
        </is>
      </c>
      <c r="H960" s="37" t="inlineStr">
        <is>
          <t>N</t>
        </is>
      </c>
      <c r="I960" s="37">
        <f>COUNTIF(G$5:G960,"Y")/COUNTA(G$5:G960)</f>
        <v/>
      </c>
      <c r="J960" s="37">
        <f>COUNTIF(H$5:H960,"Y")/COUNTA(H$5:H960)</f>
        <v/>
      </c>
      <c r="K960" s="37">
        <f>AVERAGE(F$5:F960)</f>
        <v/>
      </c>
      <c r="L960" s="37">
        <f>SUM(F$5:F960)/SUM(E$5:E960)</f>
        <v/>
      </c>
    </row>
    <row r="961">
      <c r="A961" s="29" t="n">
        <v>45782</v>
      </c>
      <c r="B961" s="37" t="inlineStr">
        <is>
          <t>JOB-1957</t>
        </is>
      </c>
      <c r="C961" s="34" t="n">
        <v>1</v>
      </c>
      <c r="D961" s="37" t="inlineStr">
        <is>
          <t>Tech A</t>
        </is>
      </c>
      <c r="E961" s="35" t="n">
        <v>3.4</v>
      </c>
      <c r="F961" s="35" t="n">
        <v>2.9</v>
      </c>
      <c r="G961" s="37" t="inlineStr">
        <is>
          <t>Y</t>
        </is>
      </c>
      <c r="H961" s="37" t="inlineStr">
        <is>
          <t>N</t>
        </is>
      </c>
      <c r="I961" s="37">
        <f>COUNTIF(G$5:G961,"Y")/COUNTA(G$5:G961)</f>
        <v/>
      </c>
      <c r="J961" s="37">
        <f>COUNTIF(H$5:H961,"Y")/COUNTA(H$5:H961)</f>
        <v/>
      </c>
      <c r="K961" s="37">
        <f>AVERAGE(F$5:F961)</f>
        <v/>
      </c>
      <c r="L961" s="37">
        <f>SUM(F$5:F961)/SUM(E$5:E961)</f>
        <v/>
      </c>
    </row>
    <row r="962">
      <c r="A962" s="29" t="n">
        <v>45783</v>
      </c>
      <c r="B962" s="37" t="inlineStr">
        <is>
          <t>JOB-1958</t>
        </is>
      </c>
      <c r="C962" s="34" t="n">
        <v>1</v>
      </c>
      <c r="D962" s="37" t="inlineStr">
        <is>
          <t>Tech H</t>
        </is>
      </c>
      <c r="E962" s="35" t="n">
        <v>1.6</v>
      </c>
      <c r="F962" s="35" t="n">
        <v>1.2</v>
      </c>
      <c r="G962" s="37" t="inlineStr">
        <is>
          <t>Y</t>
        </is>
      </c>
      <c r="H962" s="37" t="inlineStr">
        <is>
          <t>N</t>
        </is>
      </c>
      <c r="I962" s="37">
        <f>COUNTIF(G$5:G962,"Y")/COUNTA(G$5:G962)</f>
        <v/>
      </c>
      <c r="J962" s="37">
        <f>COUNTIF(H$5:H962,"Y")/COUNTA(H$5:H962)</f>
        <v/>
      </c>
      <c r="K962" s="37">
        <f>AVERAGE(F$5:F962)</f>
        <v/>
      </c>
      <c r="L962" s="37">
        <f>SUM(F$5:F962)/SUM(E$5:E962)</f>
        <v/>
      </c>
    </row>
    <row r="963">
      <c r="A963" s="29" t="n">
        <v>45784</v>
      </c>
      <c r="B963" s="37" t="inlineStr">
        <is>
          <t>JOB-1959</t>
        </is>
      </c>
      <c r="C963" s="34" t="n">
        <v>1</v>
      </c>
      <c r="D963" s="37" t="inlineStr">
        <is>
          <t>Tech C</t>
        </is>
      </c>
      <c r="E963" s="35" t="n">
        <v>4.3</v>
      </c>
      <c r="F963" s="35" t="n">
        <v>2.9</v>
      </c>
      <c r="G963" s="37" t="inlineStr">
        <is>
          <t>Y</t>
        </is>
      </c>
      <c r="H963" s="37" t="inlineStr">
        <is>
          <t>N</t>
        </is>
      </c>
      <c r="I963" s="37">
        <f>COUNTIF(G$5:G963,"Y")/COUNTA(G$5:G963)</f>
        <v/>
      </c>
      <c r="J963" s="37">
        <f>COUNTIF(H$5:H963,"Y")/COUNTA(H$5:H963)</f>
        <v/>
      </c>
      <c r="K963" s="37">
        <f>AVERAGE(F$5:F963)</f>
        <v/>
      </c>
      <c r="L963" s="37">
        <f>SUM(F$5:F963)/SUM(E$5:E963)</f>
        <v/>
      </c>
    </row>
    <row r="964">
      <c r="A964" s="29" t="n">
        <v>45785</v>
      </c>
      <c r="B964" s="37" t="inlineStr">
        <is>
          <t>JOB-1960</t>
        </is>
      </c>
      <c r="C964" s="34" t="n">
        <v>1</v>
      </c>
      <c r="D964" s="37" t="inlineStr">
        <is>
          <t>Tech A</t>
        </is>
      </c>
      <c r="E964" s="35" t="n">
        <v>3.1</v>
      </c>
      <c r="F964" s="35" t="n">
        <v>2.2</v>
      </c>
      <c r="G964" s="37" t="inlineStr">
        <is>
          <t>Y</t>
        </is>
      </c>
      <c r="H964" s="37" t="inlineStr">
        <is>
          <t>N</t>
        </is>
      </c>
      <c r="I964" s="37">
        <f>COUNTIF(G$5:G964,"Y")/COUNTA(G$5:G964)</f>
        <v/>
      </c>
      <c r="J964" s="37">
        <f>COUNTIF(H$5:H964,"Y")/COUNTA(H$5:H964)</f>
        <v/>
      </c>
      <c r="K964" s="37">
        <f>AVERAGE(F$5:F964)</f>
        <v/>
      </c>
      <c r="L964" s="37">
        <f>SUM(F$5:F964)/SUM(E$5:E964)</f>
        <v/>
      </c>
    </row>
    <row r="965">
      <c r="A965" s="29" t="n">
        <v>45786</v>
      </c>
      <c r="B965" s="37" t="inlineStr">
        <is>
          <t>JOB-1961</t>
        </is>
      </c>
      <c r="C965" s="34" t="n">
        <v>1</v>
      </c>
      <c r="D965" s="37" t="inlineStr">
        <is>
          <t>Tech H</t>
        </is>
      </c>
      <c r="E965" s="35" t="n">
        <v>5</v>
      </c>
      <c r="F965" s="35" t="n">
        <v>4</v>
      </c>
      <c r="G965" s="37" t="inlineStr">
        <is>
          <t>Y</t>
        </is>
      </c>
      <c r="H965" s="37" t="inlineStr">
        <is>
          <t>N</t>
        </is>
      </c>
      <c r="I965" s="37">
        <f>COUNTIF(G$5:G965,"Y")/COUNTA(G$5:G965)</f>
        <v/>
      </c>
      <c r="J965" s="37">
        <f>COUNTIF(H$5:H965,"Y")/COUNTA(H$5:H965)</f>
        <v/>
      </c>
      <c r="K965" s="37">
        <f>AVERAGE(F$5:F965)</f>
        <v/>
      </c>
      <c r="L965" s="37">
        <f>SUM(F$5:F965)/SUM(E$5:E965)</f>
        <v/>
      </c>
    </row>
    <row r="966">
      <c r="A966" s="29" t="n">
        <v>45782</v>
      </c>
      <c r="B966" s="37" t="inlineStr">
        <is>
          <t>JOB-1962</t>
        </is>
      </c>
      <c r="C966" s="34" t="n">
        <v>1</v>
      </c>
      <c r="D966" s="37" t="inlineStr">
        <is>
          <t>Tech F</t>
        </is>
      </c>
      <c r="E966" s="35" t="n">
        <v>3.4</v>
      </c>
      <c r="F966" s="35" t="n">
        <v>2.5</v>
      </c>
      <c r="G966" s="37" t="inlineStr">
        <is>
          <t>N</t>
        </is>
      </c>
      <c r="H966" s="37" t="inlineStr">
        <is>
          <t>N</t>
        </is>
      </c>
      <c r="I966" s="37">
        <f>COUNTIF(G$5:G966,"Y")/COUNTA(G$5:G966)</f>
        <v/>
      </c>
      <c r="J966" s="37">
        <f>COUNTIF(H$5:H966,"Y")/COUNTA(H$5:H966)</f>
        <v/>
      </c>
      <c r="K966" s="37">
        <f>AVERAGE(F$5:F966)</f>
        <v/>
      </c>
      <c r="L966" s="37">
        <f>SUM(F$5:F966)/SUM(E$5:E966)</f>
        <v/>
      </c>
    </row>
    <row r="967">
      <c r="A967" s="29" t="n">
        <v>45783</v>
      </c>
      <c r="B967" s="37" t="inlineStr">
        <is>
          <t>JOB-1963</t>
        </is>
      </c>
      <c r="C967" s="34" t="n">
        <v>1</v>
      </c>
      <c r="D967" s="37" t="inlineStr">
        <is>
          <t>Tech H</t>
        </is>
      </c>
      <c r="E967" s="35" t="n">
        <v>3.3</v>
      </c>
      <c r="F967" s="35" t="n">
        <v>2.8</v>
      </c>
      <c r="G967" s="37" t="inlineStr">
        <is>
          <t>Y</t>
        </is>
      </c>
      <c r="H967" s="37" t="inlineStr">
        <is>
          <t>N</t>
        </is>
      </c>
      <c r="I967" s="37">
        <f>COUNTIF(G$5:G967,"Y")/COUNTA(G$5:G967)</f>
        <v/>
      </c>
      <c r="J967" s="37">
        <f>COUNTIF(H$5:H967,"Y")/COUNTA(H$5:H967)</f>
        <v/>
      </c>
      <c r="K967" s="37">
        <f>AVERAGE(F$5:F967)</f>
        <v/>
      </c>
      <c r="L967" s="37">
        <f>SUM(F$5:F967)/SUM(E$5:E967)</f>
        <v/>
      </c>
    </row>
    <row r="968">
      <c r="A968" s="29" t="n">
        <v>45784</v>
      </c>
      <c r="B968" s="37" t="inlineStr">
        <is>
          <t>JOB-1964</t>
        </is>
      </c>
      <c r="C968" s="34" t="n">
        <v>1</v>
      </c>
      <c r="D968" s="37" t="inlineStr">
        <is>
          <t>Tech G</t>
        </is>
      </c>
      <c r="E968" s="35" t="n">
        <v>2.7</v>
      </c>
      <c r="F968" s="35" t="n">
        <v>1.9</v>
      </c>
      <c r="G968" s="37" t="inlineStr">
        <is>
          <t>Y</t>
        </is>
      </c>
      <c r="H968" s="37" t="inlineStr">
        <is>
          <t>N</t>
        </is>
      </c>
      <c r="I968" s="37">
        <f>COUNTIF(G$5:G968,"Y")/COUNTA(G$5:G968)</f>
        <v/>
      </c>
      <c r="J968" s="37">
        <f>COUNTIF(H$5:H968,"Y")/COUNTA(H$5:H968)</f>
        <v/>
      </c>
      <c r="K968" s="37">
        <f>AVERAGE(F$5:F968)</f>
        <v/>
      </c>
      <c r="L968" s="37">
        <f>SUM(F$5:F968)/SUM(E$5:E968)</f>
        <v/>
      </c>
    </row>
    <row r="969">
      <c r="A969" s="29" t="n">
        <v>45785</v>
      </c>
      <c r="B969" s="37" t="inlineStr">
        <is>
          <t>JOB-1965</t>
        </is>
      </c>
      <c r="C969" s="34" t="n">
        <v>1</v>
      </c>
      <c r="D969" s="37" t="inlineStr">
        <is>
          <t>Tech C</t>
        </is>
      </c>
      <c r="E969" s="35" t="n">
        <v>2.1</v>
      </c>
      <c r="F969" s="35" t="n">
        <v>1.8</v>
      </c>
      <c r="G969" s="37" t="inlineStr">
        <is>
          <t>Y</t>
        </is>
      </c>
      <c r="H969" s="37" t="inlineStr">
        <is>
          <t>N</t>
        </is>
      </c>
      <c r="I969" s="37">
        <f>COUNTIF(G$5:G969,"Y")/COUNTA(G$5:G969)</f>
        <v/>
      </c>
      <c r="J969" s="37">
        <f>COUNTIF(H$5:H969,"Y")/COUNTA(H$5:H969)</f>
        <v/>
      </c>
      <c r="K969" s="37">
        <f>AVERAGE(F$5:F969)</f>
        <v/>
      </c>
      <c r="L969" s="37">
        <f>SUM(F$5:F969)/SUM(E$5:E969)</f>
        <v/>
      </c>
    </row>
    <row r="970">
      <c r="A970" s="29" t="n">
        <v>45786</v>
      </c>
      <c r="B970" s="37" t="inlineStr">
        <is>
          <t>JOB-1966</t>
        </is>
      </c>
      <c r="C970" s="34" t="n">
        <v>1</v>
      </c>
      <c r="D970" s="37" t="inlineStr">
        <is>
          <t>Tech G</t>
        </is>
      </c>
      <c r="E970" s="35" t="n">
        <v>5.3</v>
      </c>
      <c r="F970" s="35" t="n">
        <v>3.7</v>
      </c>
      <c r="G970" s="37" t="inlineStr">
        <is>
          <t>Y</t>
        </is>
      </c>
      <c r="H970" s="37" t="inlineStr">
        <is>
          <t>N</t>
        </is>
      </c>
      <c r="I970" s="37">
        <f>COUNTIF(G$5:G970,"Y")/COUNTA(G$5:G970)</f>
        <v/>
      </c>
      <c r="J970" s="37">
        <f>COUNTIF(H$5:H970,"Y")/COUNTA(H$5:H970)</f>
        <v/>
      </c>
      <c r="K970" s="37">
        <f>AVERAGE(F$5:F970)</f>
        <v/>
      </c>
      <c r="L970" s="37">
        <f>SUM(F$5:F970)/SUM(E$5:E970)</f>
        <v/>
      </c>
    </row>
    <row r="971">
      <c r="A971" s="29" t="n">
        <v>45782</v>
      </c>
      <c r="B971" s="37" t="inlineStr">
        <is>
          <t>JOB-1967</t>
        </is>
      </c>
      <c r="C971" s="34" t="n">
        <v>1</v>
      </c>
      <c r="D971" s="37" t="inlineStr">
        <is>
          <t>Tech H</t>
        </is>
      </c>
      <c r="E971" s="35" t="n">
        <v>5.7</v>
      </c>
      <c r="F971" s="35" t="n">
        <v>3.9</v>
      </c>
      <c r="G971" s="37" t="inlineStr">
        <is>
          <t>Y</t>
        </is>
      </c>
      <c r="H971" s="37" t="inlineStr">
        <is>
          <t>N</t>
        </is>
      </c>
      <c r="I971" s="37">
        <f>COUNTIF(G$5:G971,"Y")/COUNTA(G$5:G971)</f>
        <v/>
      </c>
      <c r="J971" s="37">
        <f>COUNTIF(H$5:H971,"Y")/COUNTA(H$5:H971)</f>
        <v/>
      </c>
      <c r="K971" s="37">
        <f>AVERAGE(F$5:F971)</f>
        <v/>
      </c>
      <c r="L971" s="37">
        <f>SUM(F$5:F971)/SUM(E$5:E971)</f>
        <v/>
      </c>
    </row>
    <row r="972">
      <c r="A972" s="29" t="n">
        <v>45783</v>
      </c>
      <c r="B972" s="37" t="inlineStr">
        <is>
          <t>JOB-1968</t>
        </is>
      </c>
      <c r="C972" s="34" t="n">
        <v>1</v>
      </c>
      <c r="D972" s="37" t="inlineStr">
        <is>
          <t>Tech C</t>
        </is>
      </c>
      <c r="E972" s="35" t="n">
        <v>2.7</v>
      </c>
      <c r="F972" s="35" t="n">
        <v>2.1</v>
      </c>
      <c r="G972" s="37" t="inlineStr">
        <is>
          <t>Y</t>
        </is>
      </c>
      <c r="H972" s="37" t="inlineStr">
        <is>
          <t>N</t>
        </is>
      </c>
      <c r="I972" s="37">
        <f>COUNTIF(G$5:G972,"Y")/COUNTA(G$5:G972)</f>
        <v/>
      </c>
      <c r="J972" s="37">
        <f>COUNTIF(H$5:H972,"Y")/COUNTA(H$5:H972)</f>
        <v/>
      </c>
      <c r="K972" s="37">
        <f>AVERAGE(F$5:F972)</f>
        <v/>
      </c>
      <c r="L972" s="37">
        <f>SUM(F$5:F972)/SUM(E$5:E972)</f>
        <v/>
      </c>
    </row>
    <row r="973">
      <c r="A973" s="29" t="n">
        <v>45784</v>
      </c>
      <c r="B973" s="37" t="inlineStr">
        <is>
          <t>JOB-1969</t>
        </is>
      </c>
      <c r="C973" s="34" t="n">
        <v>1</v>
      </c>
      <c r="D973" s="37" t="inlineStr">
        <is>
          <t>Tech F</t>
        </is>
      </c>
      <c r="E973" s="35" t="n">
        <v>0.6</v>
      </c>
      <c r="F973" s="35" t="n">
        <v>0.5</v>
      </c>
      <c r="G973" s="37" t="inlineStr">
        <is>
          <t>Y</t>
        </is>
      </c>
      <c r="H973" s="37" t="inlineStr">
        <is>
          <t>N</t>
        </is>
      </c>
      <c r="I973" s="37">
        <f>COUNTIF(G$5:G973,"Y")/COUNTA(G$5:G973)</f>
        <v/>
      </c>
      <c r="J973" s="37">
        <f>COUNTIF(H$5:H973,"Y")/COUNTA(H$5:H973)</f>
        <v/>
      </c>
      <c r="K973" s="37">
        <f>AVERAGE(F$5:F973)</f>
        <v/>
      </c>
      <c r="L973" s="37">
        <f>SUM(F$5:F973)/SUM(E$5:E973)</f>
        <v/>
      </c>
    </row>
    <row r="974">
      <c r="A974" s="29" t="n">
        <v>45785</v>
      </c>
      <c r="B974" s="37" t="inlineStr">
        <is>
          <t>JOB-1970</t>
        </is>
      </c>
      <c r="C974" s="34" t="n">
        <v>1</v>
      </c>
      <c r="D974" s="37" t="inlineStr">
        <is>
          <t>Tech F</t>
        </is>
      </c>
      <c r="E974" s="35" t="n">
        <v>0.6</v>
      </c>
      <c r="F974" s="35" t="n">
        <v>0.5</v>
      </c>
      <c r="G974" s="37" t="inlineStr">
        <is>
          <t>Y</t>
        </is>
      </c>
      <c r="H974" s="37" t="inlineStr">
        <is>
          <t>N</t>
        </is>
      </c>
      <c r="I974" s="37">
        <f>COUNTIF(G$5:G974,"Y")/COUNTA(G$5:G974)</f>
        <v/>
      </c>
      <c r="J974" s="37">
        <f>COUNTIF(H$5:H974,"Y")/COUNTA(H$5:H974)</f>
        <v/>
      </c>
      <c r="K974" s="37">
        <f>AVERAGE(F$5:F974)</f>
        <v/>
      </c>
      <c r="L974" s="37">
        <f>SUM(F$5:F974)/SUM(E$5:E974)</f>
        <v/>
      </c>
    </row>
    <row r="975">
      <c r="A975" s="29" t="n">
        <v>45786</v>
      </c>
      <c r="B975" s="37" t="inlineStr">
        <is>
          <t>JOB-1971</t>
        </is>
      </c>
      <c r="C975" s="34" t="n">
        <v>1</v>
      </c>
      <c r="D975" s="37" t="inlineStr">
        <is>
          <t>Tech F</t>
        </is>
      </c>
      <c r="E975" s="35" t="n">
        <v>0.6</v>
      </c>
      <c r="F975" s="35" t="n">
        <v>0.5</v>
      </c>
      <c r="G975" s="37" t="inlineStr">
        <is>
          <t>Y</t>
        </is>
      </c>
      <c r="H975" s="37" t="inlineStr">
        <is>
          <t>N</t>
        </is>
      </c>
      <c r="I975" s="37">
        <f>COUNTIF(G$5:G975,"Y")/COUNTA(G$5:G975)</f>
        <v/>
      </c>
      <c r="J975" s="37">
        <f>COUNTIF(H$5:H975,"Y")/COUNTA(H$5:H975)</f>
        <v/>
      </c>
      <c r="K975" s="37">
        <f>AVERAGE(F$5:F975)</f>
        <v/>
      </c>
      <c r="L975" s="37">
        <f>SUM(F$5:F975)/SUM(E$5:E975)</f>
        <v/>
      </c>
    </row>
    <row r="976">
      <c r="A976" s="29" t="n">
        <v>45782</v>
      </c>
      <c r="B976" s="37" t="inlineStr">
        <is>
          <t>JOB-1972</t>
        </is>
      </c>
      <c r="C976" s="34" t="n">
        <v>1</v>
      </c>
      <c r="D976" s="37" t="inlineStr">
        <is>
          <t>Tech B</t>
        </is>
      </c>
      <c r="E976" s="35" t="n">
        <v>0.6</v>
      </c>
      <c r="F976" s="35" t="n">
        <v>0.5</v>
      </c>
      <c r="G976" s="37" t="inlineStr">
        <is>
          <t>Y</t>
        </is>
      </c>
      <c r="H976" s="37" t="inlineStr">
        <is>
          <t>N</t>
        </is>
      </c>
      <c r="I976" s="37">
        <f>COUNTIF(G$5:G976,"Y")/COUNTA(G$5:G976)</f>
        <v/>
      </c>
      <c r="J976" s="37">
        <f>COUNTIF(H$5:H976,"Y")/COUNTA(H$5:H976)</f>
        <v/>
      </c>
      <c r="K976" s="37">
        <f>AVERAGE(F$5:F976)</f>
        <v/>
      </c>
      <c r="L976" s="37">
        <f>SUM(F$5:F976)/SUM(E$5:E976)</f>
        <v/>
      </c>
    </row>
    <row r="977">
      <c r="A977" s="29" t="n">
        <v>45783</v>
      </c>
      <c r="B977" s="37" t="inlineStr">
        <is>
          <t>JOB-1973</t>
        </is>
      </c>
      <c r="C977" s="34" t="n">
        <v>1</v>
      </c>
      <c r="D977" s="37" t="inlineStr">
        <is>
          <t>Tech D</t>
        </is>
      </c>
      <c r="E977" s="35" t="n">
        <v>0.6</v>
      </c>
      <c r="F977" s="35" t="n">
        <v>0.5</v>
      </c>
      <c r="G977" s="37" t="inlineStr">
        <is>
          <t>Y</t>
        </is>
      </c>
      <c r="H977" s="37" t="inlineStr">
        <is>
          <t>N</t>
        </is>
      </c>
      <c r="I977" s="37">
        <f>COUNTIF(G$5:G977,"Y")/COUNTA(G$5:G977)</f>
        <v/>
      </c>
      <c r="J977" s="37">
        <f>COUNTIF(H$5:H977,"Y")/COUNTA(H$5:H977)</f>
        <v/>
      </c>
      <c r="K977" s="37">
        <f>AVERAGE(F$5:F977)</f>
        <v/>
      </c>
      <c r="L977" s="37">
        <f>SUM(F$5:F977)/SUM(E$5:E977)</f>
        <v/>
      </c>
    </row>
    <row r="978">
      <c r="A978" s="29" t="n">
        <v>45784</v>
      </c>
      <c r="B978" s="37" t="inlineStr">
        <is>
          <t>JOB-1974</t>
        </is>
      </c>
      <c r="C978" s="34" t="n">
        <v>1</v>
      </c>
      <c r="D978" s="37" t="inlineStr">
        <is>
          <t>Tech H</t>
        </is>
      </c>
      <c r="E978" s="35" t="n">
        <v>0.7</v>
      </c>
      <c r="F978" s="35" t="n">
        <v>0.5</v>
      </c>
      <c r="G978" s="37" t="inlineStr">
        <is>
          <t>N</t>
        </is>
      </c>
      <c r="H978" s="37" t="inlineStr">
        <is>
          <t>N</t>
        </is>
      </c>
      <c r="I978" s="37">
        <f>COUNTIF(G$5:G978,"Y")/COUNTA(G$5:G978)</f>
        <v/>
      </c>
      <c r="J978" s="37">
        <f>COUNTIF(H$5:H978,"Y")/COUNTA(H$5:H978)</f>
        <v/>
      </c>
      <c r="K978" s="37">
        <f>AVERAGE(F$5:F978)</f>
        <v/>
      </c>
      <c r="L978" s="37">
        <f>SUM(F$5:F978)/SUM(E$5:E978)</f>
        <v/>
      </c>
    </row>
    <row r="979">
      <c r="A979" s="29" t="n">
        <v>45785</v>
      </c>
      <c r="B979" s="37" t="inlineStr">
        <is>
          <t>JOB-1975</t>
        </is>
      </c>
      <c r="C979" s="34" t="n">
        <v>1</v>
      </c>
      <c r="D979" s="37" t="inlineStr">
        <is>
          <t>Tech D</t>
        </is>
      </c>
      <c r="E979" s="35" t="n">
        <v>0.6</v>
      </c>
      <c r="F979" s="35" t="n">
        <v>0.5</v>
      </c>
      <c r="G979" s="37" t="inlineStr">
        <is>
          <t>Y</t>
        </is>
      </c>
      <c r="H979" s="37" t="inlineStr">
        <is>
          <t>Y</t>
        </is>
      </c>
      <c r="I979" s="37">
        <f>COUNTIF(G$5:G979,"Y")/COUNTA(G$5:G979)</f>
        <v/>
      </c>
      <c r="J979" s="37">
        <f>COUNTIF(H$5:H979,"Y")/COUNTA(H$5:H979)</f>
        <v/>
      </c>
      <c r="K979" s="37">
        <f>AVERAGE(F$5:F979)</f>
        <v/>
      </c>
      <c r="L979" s="37">
        <f>SUM(F$5:F979)/SUM(E$5:E979)</f>
        <v/>
      </c>
    </row>
    <row r="980">
      <c r="A980" s="29" t="n">
        <v>45786</v>
      </c>
      <c r="B980" s="37" t="inlineStr">
        <is>
          <t>JOB-1976</t>
        </is>
      </c>
      <c r="C980" s="34" t="n">
        <v>1</v>
      </c>
      <c r="D980" s="37" t="inlineStr">
        <is>
          <t>Tech C</t>
        </is>
      </c>
      <c r="E980" s="35" t="n">
        <v>0.6</v>
      </c>
      <c r="F980" s="35" t="n">
        <v>0.5</v>
      </c>
      <c r="G980" s="37" t="inlineStr">
        <is>
          <t>N</t>
        </is>
      </c>
      <c r="H980" s="37" t="inlineStr">
        <is>
          <t>N</t>
        </is>
      </c>
      <c r="I980" s="37">
        <f>COUNTIF(G$5:G980,"Y")/COUNTA(G$5:G980)</f>
        <v/>
      </c>
      <c r="J980" s="37">
        <f>COUNTIF(H$5:H980,"Y")/COUNTA(H$5:H980)</f>
        <v/>
      </c>
      <c r="K980" s="37">
        <f>AVERAGE(F$5:F980)</f>
        <v/>
      </c>
      <c r="L980" s="37">
        <f>SUM(F$5:F980)/SUM(E$5:E980)</f>
        <v/>
      </c>
      <c r="M980" s="37" t="n">
        <v>12</v>
      </c>
    </row>
    <row r="981">
      <c r="A981" s="29" t="n">
        <v>45789</v>
      </c>
      <c r="B981" s="37" t="inlineStr">
        <is>
          <t>JOB-1977</t>
        </is>
      </c>
      <c r="C981" s="34" t="n">
        <v>1</v>
      </c>
      <c r="D981" s="37" t="inlineStr">
        <is>
          <t>Tech H</t>
        </is>
      </c>
      <c r="E981" s="35" t="n">
        <v>4</v>
      </c>
      <c r="F981" s="35" t="n">
        <v>2.8</v>
      </c>
      <c r="G981" s="37" t="inlineStr">
        <is>
          <t>Y</t>
        </is>
      </c>
      <c r="H981" s="37" t="inlineStr">
        <is>
          <t>N</t>
        </is>
      </c>
      <c r="I981" s="37">
        <f>COUNTIF(G$5:G981,"Y")/COUNTA(G$5:G981)</f>
        <v/>
      </c>
      <c r="J981" s="37">
        <f>COUNTIF(H$5:H981,"Y")/COUNTA(H$5:H981)</f>
        <v/>
      </c>
      <c r="K981" s="37">
        <f>AVERAGE(F$5:F981)</f>
        <v/>
      </c>
      <c r="L981" s="37">
        <f>SUM(F$5:F981)/SUM(E$5:E981)</f>
        <v/>
      </c>
    </row>
    <row r="982">
      <c r="A982" s="29" t="n">
        <v>45790</v>
      </c>
      <c r="B982" s="37" t="inlineStr">
        <is>
          <t>JOB-1978</t>
        </is>
      </c>
      <c r="C982" s="34" t="n">
        <v>1</v>
      </c>
      <c r="D982" s="37" t="inlineStr">
        <is>
          <t>Tech D</t>
        </is>
      </c>
      <c r="E982" s="35" t="n">
        <v>1.5</v>
      </c>
      <c r="F982" s="35" t="n">
        <v>1.3</v>
      </c>
      <c r="G982" s="37" t="inlineStr">
        <is>
          <t>Y</t>
        </is>
      </c>
      <c r="H982" s="37" t="inlineStr">
        <is>
          <t>N</t>
        </is>
      </c>
      <c r="I982" s="37">
        <f>COUNTIF(G$5:G982,"Y")/COUNTA(G$5:G982)</f>
        <v/>
      </c>
      <c r="J982" s="37">
        <f>COUNTIF(H$5:H982,"Y")/COUNTA(H$5:H982)</f>
        <v/>
      </c>
      <c r="K982" s="37">
        <f>AVERAGE(F$5:F982)</f>
        <v/>
      </c>
      <c r="L982" s="37">
        <f>SUM(F$5:F982)/SUM(E$5:E982)</f>
        <v/>
      </c>
    </row>
    <row r="983">
      <c r="A983" s="29" t="n">
        <v>45791</v>
      </c>
      <c r="B983" s="37" t="inlineStr">
        <is>
          <t>JOB-1979</t>
        </is>
      </c>
      <c r="C983" s="34" t="n">
        <v>1</v>
      </c>
      <c r="D983" s="37" t="inlineStr">
        <is>
          <t>Tech D</t>
        </is>
      </c>
      <c r="E983" s="35" t="n">
        <v>4.5</v>
      </c>
      <c r="F983" s="35" t="n">
        <v>3.9</v>
      </c>
      <c r="G983" s="37" t="inlineStr">
        <is>
          <t>Y</t>
        </is>
      </c>
      <c r="H983" s="37" t="inlineStr">
        <is>
          <t>N</t>
        </is>
      </c>
      <c r="I983" s="37">
        <f>COUNTIF(G$5:G983,"Y")/COUNTA(G$5:G983)</f>
        <v/>
      </c>
      <c r="J983" s="37">
        <f>COUNTIF(H$5:H983,"Y")/COUNTA(H$5:H983)</f>
        <v/>
      </c>
      <c r="K983" s="37">
        <f>AVERAGE(F$5:F983)</f>
        <v/>
      </c>
      <c r="L983" s="37">
        <f>SUM(F$5:F983)/SUM(E$5:E983)</f>
        <v/>
      </c>
    </row>
    <row r="984">
      <c r="A984" s="29" t="n">
        <v>45792</v>
      </c>
      <c r="B984" s="37" t="inlineStr">
        <is>
          <t>JOB-1980</t>
        </is>
      </c>
      <c r="C984" s="34" t="n">
        <v>1</v>
      </c>
      <c r="D984" s="37" t="inlineStr">
        <is>
          <t>Tech F</t>
        </is>
      </c>
      <c r="E984" s="35" t="n">
        <v>3.2</v>
      </c>
      <c r="F984" s="35" t="n">
        <v>2.3</v>
      </c>
      <c r="G984" s="37" t="inlineStr">
        <is>
          <t>N</t>
        </is>
      </c>
      <c r="H984" s="37" t="inlineStr">
        <is>
          <t>N</t>
        </is>
      </c>
      <c r="I984" s="37">
        <f>COUNTIF(G$5:G984,"Y")/COUNTA(G$5:G984)</f>
        <v/>
      </c>
      <c r="J984" s="37">
        <f>COUNTIF(H$5:H984,"Y")/COUNTA(H$5:H984)</f>
        <v/>
      </c>
      <c r="K984" s="37">
        <f>AVERAGE(F$5:F984)</f>
        <v/>
      </c>
      <c r="L984" s="37">
        <f>SUM(F$5:F984)/SUM(E$5:E984)</f>
        <v/>
      </c>
    </row>
    <row r="985">
      <c r="A985" s="29" t="n">
        <v>45793</v>
      </c>
      <c r="B985" s="37" t="inlineStr">
        <is>
          <t>JOB-1981</t>
        </is>
      </c>
      <c r="C985" s="34" t="n">
        <v>1</v>
      </c>
      <c r="D985" s="37" t="inlineStr">
        <is>
          <t>Tech H</t>
        </is>
      </c>
      <c r="E985" s="35" t="n">
        <v>2.9</v>
      </c>
      <c r="F985" s="35" t="n">
        <v>2.1</v>
      </c>
      <c r="G985" s="37" t="inlineStr">
        <is>
          <t>Y</t>
        </is>
      </c>
      <c r="H985" s="37" t="inlineStr">
        <is>
          <t>N</t>
        </is>
      </c>
      <c r="I985" s="37">
        <f>COUNTIF(G$5:G985,"Y")/COUNTA(G$5:G985)</f>
        <v/>
      </c>
      <c r="J985" s="37">
        <f>COUNTIF(H$5:H985,"Y")/COUNTA(H$5:H985)</f>
        <v/>
      </c>
      <c r="K985" s="37">
        <f>AVERAGE(F$5:F985)</f>
        <v/>
      </c>
      <c r="L985" s="37">
        <f>SUM(F$5:F985)/SUM(E$5:E985)</f>
        <v/>
      </c>
    </row>
    <row r="986">
      <c r="A986" s="29" t="n">
        <v>45789</v>
      </c>
      <c r="B986" s="37" t="inlineStr">
        <is>
          <t>JOB-1982</t>
        </is>
      </c>
      <c r="C986" s="34" t="n">
        <v>1</v>
      </c>
      <c r="D986" s="37" t="inlineStr">
        <is>
          <t>Tech F</t>
        </is>
      </c>
      <c r="E986" s="35" t="n">
        <v>3.9</v>
      </c>
      <c r="F986" s="35" t="n">
        <v>3.6</v>
      </c>
      <c r="G986" s="37" t="inlineStr">
        <is>
          <t>N</t>
        </is>
      </c>
      <c r="H986" s="37" t="inlineStr">
        <is>
          <t>N</t>
        </is>
      </c>
      <c r="I986" s="37">
        <f>COUNTIF(G$5:G986,"Y")/COUNTA(G$5:G986)</f>
        <v/>
      </c>
      <c r="J986" s="37">
        <f>COUNTIF(H$5:H986,"Y")/COUNTA(H$5:H986)</f>
        <v/>
      </c>
      <c r="K986" s="37">
        <f>AVERAGE(F$5:F986)</f>
        <v/>
      </c>
      <c r="L986" s="37">
        <f>SUM(F$5:F986)/SUM(E$5:E986)</f>
        <v/>
      </c>
    </row>
    <row r="987">
      <c r="A987" s="29" t="n">
        <v>45790</v>
      </c>
      <c r="B987" s="37" t="inlineStr">
        <is>
          <t>JOB-1983</t>
        </is>
      </c>
      <c r="C987" s="34" t="n">
        <v>1</v>
      </c>
      <c r="D987" s="37" t="inlineStr">
        <is>
          <t>Tech C</t>
        </is>
      </c>
      <c r="E987" s="35" t="n">
        <v>4.5</v>
      </c>
      <c r="F987" s="35" t="n">
        <v>3.6</v>
      </c>
      <c r="G987" s="37" t="inlineStr">
        <is>
          <t>Y</t>
        </is>
      </c>
      <c r="H987" s="37" t="inlineStr">
        <is>
          <t>N</t>
        </is>
      </c>
      <c r="I987" s="37">
        <f>COUNTIF(G$5:G987,"Y")/COUNTA(G$5:G987)</f>
        <v/>
      </c>
      <c r="J987" s="37">
        <f>COUNTIF(H$5:H987,"Y")/COUNTA(H$5:H987)</f>
        <v/>
      </c>
      <c r="K987" s="37">
        <f>AVERAGE(F$5:F987)</f>
        <v/>
      </c>
      <c r="L987" s="37">
        <f>SUM(F$5:F987)/SUM(E$5:E987)</f>
        <v/>
      </c>
    </row>
    <row r="988">
      <c r="A988" s="29" t="n">
        <v>45791</v>
      </c>
      <c r="B988" s="37" t="inlineStr">
        <is>
          <t>JOB-1984</t>
        </is>
      </c>
      <c r="C988" s="34" t="n">
        <v>1</v>
      </c>
      <c r="D988" s="37" t="inlineStr">
        <is>
          <t>Tech H</t>
        </is>
      </c>
      <c r="E988" s="35" t="n">
        <v>2.3</v>
      </c>
      <c r="F988" s="35" t="n">
        <v>1.8</v>
      </c>
      <c r="G988" s="37" t="inlineStr">
        <is>
          <t>Y</t>
        </is>
      </c>
      <c r="H988" s="37" t="inlineStr">
        <is>
          <t>N</t>
        </is>
      </c>
      <c r="I988" s="37">
        <f>COUNTIF(G$5:G988,"Y")/COUNTA(G$5:G988)</f>
        <v/>
      </c>
      <c r="J988" s="37">
        <f>COUNTIF(H$5:H988,"Y")/COUNTA(H$5:H988)</f>
        <v/>
      </c>
      <c r="K988" s="37">
        <f>AVERAGE(F$5:F988)</f>
        <v/>
      </c>
      <c r="L988" s="37">
        <f>SUM(F$5:F988)/SUM(E$5:E988)</f>
        <v/>
      </c>
    </row>
    <row r="989">
      <c r="A989" s="29" t="n">
        <v>45792</v>
      </c>
      <c r="B989" s="37" t="inlineStr">
        <is>
          <t>JOB-1985</t>
        </is>
      </c>
      <c r="C989" s="34" t="n">
        <v>1</v>
      </c>
      <c r="D989" s="37" t="inlineStr">
        <is>
          <t>Tech F</t>
        </is>
      </c>
      <c r="E989" s="35" t="n">
        <v>2.2</v>
      </c>
      <c r="F989" s="35" t="n">
        <v>1.9</v>
      </c>
      <c r="G989" s="37" t="inlineStr">
        <is>
          <t>Y</t>
        </is>
      </c>
      <c r="H989" s="37" t="inlineStr">
        <is>
          <t>N</t>
        </is>
      </c>
      <c r="I989" s="37">
        <f>COUNTIF(G$5:G989,"Y")/COUNTA(G$5:G989)</f>
        <v/>
      </c>
      <c r="J989" s="37">
        <f>COUNTIF(H$5:H989,"Y")/COUNTA(H$5:H989)</f>
        <v/>
      </c>
      <c r="K989" s="37">
        <f>AVERAGE(F$5:F989)</f>
        <v/>
      </c>
      <c r="L989" s="37">
        <f>SUM(F$5:F989)/SUM(E$5:E989)</f>
        <v/>
      </c>
    </row>
    <row r="990">
      <c r="A990" s="29" t="n">
        <v>45793</v>
      </c>
      <c r="B990" s="37" t="inlineStr">
        <is>
          <t>JOB-1986</t>
        </is>
      </c>
      <c r="C990" s="34" t="n">
        <v>1</v>
      </c>
      <c r="D990" s="37" t="inlineStr">
        <is>
          <t>Tech A</t>
        </is>
      </c>
      <c r="E990" s="35" t="n">
        <v>2.1</v>
      </c>
      <c r="F990" s="35" t="n">
        <v>1.6</v>
      </c>
      <c r="G990" s="37" t="inlineStr">
        <is>
          <t>Y</t>
        </is>
      </c>
      <c r="H990" s="37" t="inlineStr">
        <is>
          <t>N</t>
        </is>
      </c>
      <c r="I990" s="37">
        <f>COUNTIF(G$5:G990,"Y")/COUNTA(G$5:G990)</f>
        <v/>
      </c>
      <c r="J990" s="37">
        <f>COUNTIF(H$5:H990,"Y")/COUNTA(H$5:H990)</f>
        <v/>
      </c>
      <c r="K990" s="37">
        <f>AVERAGE(F$5:F990)</f>
        <v/>
      </c>
      <c r="L990" s="37">
        <f>SUM(F$5:F990)/SUM(E$5:E990)</f>
        <v/>
      </c>
    </row>
    <row r="991">
      <c r="A991" s="29" t="n">
        <v>45789</v>
      </c>
      <c r="B991" s="37" t="inlineStr">
        <is>
          <t>JOB-1987</t>
        </is>
      </c>
      <c r="C991" s="34" t="n">
        <v>1</v>
      </c>
      <c r="D991" s="37" t="inlineStr">
        <is>
          <t>Tech G</t>
        </is>
      </c>
      <c r="E991" s="35" t="n">
        <v>4.5</v>
      </c>
      <c r="F991" s="35" t="n">
        <v>3.4</v>
      </c>
      <c r="G991" s="37" t="inlineStr">
        <is>
          <t>Y</t>
        </is>
      </c>
      <c r="H991" s="37" t="inlineStr">
        <is>
          <t>N</t>
        </is>
      </c>
      <c r="I991" s="37">
        <f>COUNTIF(G$5:G991,"Y")/COUNTA(G$5:G991)</f>
        <v/>
      </c>
      <c r="J991" s="37">
        <f>COUNTIF(H$5:H991,"Y")/COUNTA(H$5:H991)</f>
        <v/>
      </c>
      <c r="K991" s="37">
        <f>AVERAGE(F$5:F991)</f>
        <v/>
      </c>
      <c r="L991" s="37">
        <f>SUM(F$5:F991)/SUM(E$5:E991)</f>
        <v/>
      </c>
    </row>
    <row r="992">
      <c r="A992" s="29" t="n">
        <v>45790</v>
      </c>
      <c r="B992" s="37" t="inlineStr">
        <is>
          <t>JOB-1988</t>
        </is>
      </c>
      <c r="C992" s="34" t="n">
        <v>1</v>
      </c>
      <c r="D992" s="37" t="inlineStr">
        <is>
          <t>Tech G</t>
        </is>
      </c>
      <c r="E992" s="35" t="n">
        <v>2.8</v>
      </c>
      <c r="F992" s="35" t="n">
        <v>2.3</v>
      </c>
      <c r="G992" s="37" t="inlineStr">
        <is>
          <t>Y</t>
        </is>
      </c>
      <c r="H992" s="37" t="inlineStr">
        <is>
          <t>N</t>
        </is>
      </c>
      <c r="I992" s="37">
        <f>COUNTIF(G$5:G992,"Y")/COUNTA(G$5:G992)</f>
        <v/>
      </c>
      <c r="J992" s="37">
        <f>COUNTIF(H$5:H992,"Y")/COUNTA(H$5:H992)</f>
        <v/>
      </c>
      <c r="K992" s="37">
        <f>AVERAGE(F$5:F992)</f>
        <v/>
      </c>
      <c r="L992" s="37">
        <f>SUM(F$5:F992)/SUM(E$5:E992)</f>
        <v/>
      </c>
    </row>
    <row r="993">
      <c r="A993" s="29" t="n">
        <v>45791</v>
      </c>
      <c r="B993" s="37" t="inlineStr">
        <is>
          <t>JOB-1989</t>
        </is>
      </c>
      <c r="C993" s="34" t="n">
        <v>1</v>
      </c>
      <c r="D993" s="37" t="inlineStr">
        <is>
          <t>Tech B</t>
        </is>
      </c>
      <c r="E993" s="35" t="n">
        <v>1.9</v>
      </c>
      <c r="F993" s="35" t="n">
        <v>1.4</v>
      </c>
      <c r="G993" s="37" t="inlineStr">
        <is>
          <t>Y</t>
        </is>
      </c>
      <c r="H993" s="37" t="inlineStr">
        <is>
          <t>N</t>
        </is>
      </c>
      <c r="I993" s="37">
        <f>COUNTIF(G$5:G993,"Y")/COUNTA(G$5:G993)</f>
        <v/>
      </c>
      <c r="J993" s="37">
        <f>COUNTIF(H$5:H993,"Y")/COUNTA(H$5:H993)</f>
        <v/>
      </c>
      <c r="K993" s="37">
        <f>AVERAGE(F$5:F993)</f>
        <v/>
      </c>
      <c r="L993" s="37">
        <f>SUM(F$5:F993)/SUM(E$5:E993)</f>
        <v/>
      </c>
    </row>
    <row r="994">
      <c r="A994" s="29" t="n">
        <v>45792</v>
      </c>
      <c r="B994" s="37" t="inlineStr">
        <is>
          <t>JOB-1990</t>
        </is>
      </c>
      <c r="C994" s="34" t="n">
        <v>1</v>
      </c>
      <c r="D994" s="37" t="inlineStr">
        <is>
          <t>Tech H</t>
        </is>
      </c>
      <c r="E994" s="35" t="n">
        <v>3.3</v>
      </c>
      <c r="F994" s="35" t="n">
        <v>2.5</v>
      </c>
      <c r="G994" s="37" t="inlineStr">
        <is>
          <t>Y</t>
        </is>
      </c>
      <c r="H994" s="37" t="inlineStr">
        <is>
          <t>N</t>
        </is>
      </c>
      <c r="I994" s="37">
        <f>COUNTIF(G$5:G994,"Y")/COUNTA(G$5:G994)</f>
        <v/>
      </c>
      <c r="J994" s="37">
        <f>COUNTIF(H$5:H994,"Y")/COUNTA(H$5:H994)</f>
        <v/>
      </c>
      <c r="K994" s="37">
        <f>AVERAGE(F$5:F994)</f>
        <v/>
      </c>
      <c r="L994" s="37">
        <f>SUM(F$5:F994)/SUM(E$5:E994)</f>
        <v/>
      </c>
    </row>
    <row r="995">
      <c r="A995" s="29" t="n">
        <v>45793</v>
      </c>
      <c r="B995" s="37" t="inlineStr">
        <is>
          <t>JOB-1991</t>
        </is>
      </c>
      <c r="C995" s="34" t="n">
        <v>1</v>
      </c>
      <c r="D995" s="37" t="inlineStr">
        <is>
          <t>Tech D</t>
        </is>
      </c>
      <c r="E995" s="35" t="n">
        <v>3.7</v>
      </c>
      <c r="F995" s="35" t="n">
        <v>3</v>
      </c>
      <c r="G995" s="37" t="inlineStr">
        <is>
          <t>Y</t>
        </is>
      </c>
      <c r="H995" s="37" t="inlineStr">
        <is>
          <t>N</t>
        </is>
      </c>
      <c r="I995" s="37">
        <f>COUNTIF(G$5:G995,"Y")/COUNTA(G$5:G995)</f>
        <v/>
      </c>
      <c r="J995" s="37">
        <f>COUNTIF(H$5:H995,"Y")/COUNTA(H$5:H995)</f>
        <v/>
      </c>
      <c r="K995" s="37">
        <f>AVERAGE(F$5:F995)</f>
        <v/>
      </c>
      <c r="L995" s="37">
        <f>SUM(F$5:F995)/SUM(E$5:E995)</f>
        <v/>
      </c>
    </row>
    <row r="996">
      <c r="A996" s="29" t="n">
        <v>45789</v>
      </c>
      <c r="B996" s="37" t="inlineStr">
        <is>
          <t>JOB-1992</t>
        </is>
      </c>
      <c r="C996" s="34" t="n">
        <v>1</v>
      </c>
      <c r="D996" s="37" t="inlineStr">
        <is>
          <t>Tech D</t>
        </is>
      </c>
      <c r="E996" s="35" t="n">
        <v>2</v>
      </c>
      <c r="F996" s="35" t="n">
        <v>1.8</v>
      </c>
      <c r="G996" s="37" t="inlineStr">
        <is>
          <t>Y</t>
        </is>
      </c>
      <c r="H996" s="37" t="inlineStr">
        <is>
          <t>Y</t>
        </is>
      </c>
      <c r="I996" s="37">
        <f>COUNTIF(G$5:G996,"Y")/COUNTA(G$5:G996)</f>
        <v/>
      </c>
      <c r="J996" s="37">
        <f>COUNTIF(H$5:H996,"Y")/COUNTA(H$5:H996)</f>
        <v/>
      </c>
      <c r="K996" s="37">
        <f>AVERAGE(F$5:F996)</f>
        <v/>
      </c>
      <c r="L996" s="37">
        <f>SUM(F$5:F996)/SUM(E$5:E996)</f>
        <v/>
      </c>
    </row>
    <row r="997">
      <c r="A997" s="29" t="n">
        <v>45790</v>
      </c>
      <c r="B997" s="37" t="inlineStr">
        <is>
          <t>JOB-1993</t>
        </is>
      </c>
      <c r="C997" s="34" t="n">
        <v>1</v>
      </c>
      <c r="D997" s="37" t="inlineStr">
        <is>
          <t>Tech A</t>
        </is>
      </c>
      <c r="E997" s="35" t="n">
        <v>3.2</v>
      </c>
      <c r="F997" s="35" t="n">
        <v>2.8</v>
      </c>
      <c r="G997" s="37" t="inlineStr">
        <is>
          <t>Y</t>
        </is>
      </c>
      <c r="H997" s="37" t="inlineStr">
        <is>
          <t>N</t>
        </is>
      </c>
      <c r="I997" s="37">
        <f>COUNTIF(G$5:G997,"Y")/COUNTA(G$5:G997)</f>
        <v/>
      </c>
      <c r="J997" s="37">
        <f>COUNTIF(H$5:H997,"Y")/COUNTA(H$5:H997)</f>
        <v/>
      </c>
      <c r="K997" s="37">
        <f>AVERAGE(F$5:F997)</f>
        <v/>
      </c>
      <c r="L997" s="37">
        <f>SUM(F$5:F997)/SUM(E$5:E997)</f>
        <v/>
      </c>
    </row>
    <row r="998">
      <c r="A998" s="29" t="n">
        <v>45791</v>
      </c>
      <c r="B998" s="37" t="inlineStr">
        <is>
          <t>JOB-1994</t>
        </is>
      </c>
      <c r="C998" s="34" t="n">
        <v>1</v>
      </c>
      <c r="D998" s="37" t="inlineStr">
        <is>
          <t>Tech B</t>
        </is>
      </c>
      <c r="E998" s="35" t="n">
        <v>3.7</v>
      </c>
      <c r="F998" s="35" t="n">
        <v>2.6</v>
      </c>
      <c r="G998" s="37" t="inlineStr">
        <is>
          <t>Y</t>
        </is>
      </c>
      <c r="H998" s="37" t="inlineStr">
        <is>
          <t>N</t>
        </is>
      </c>
      <c r="I998" s="37">
        <f>COUNTIF(G$5:G998,"Y")/COUNTA(G$5:G998)</f>
        <v/>
      </c>
      <c r="J998" s="37">
        <f>COUNTIF(H$5:H998,"Y")/COUNTA(H$5:H998)</f>
        <v/>
      </c>
      <c r="K998" s="37">
        <f>AVERAGE(F$5:F998)</f>
        <v/>
      </c>
      <c r="L998" s="37">
        <f>SUM(F$5:F998)/SUM(E$5:E998)</f>
        <v/>
      </c>
    </row>
    <row r="999">
      <c r="A999" s="29" t="n">
        <v>45792</v>
      </c>
      <c r="B999" s="37" t="inlineStr">
        <is>
          <t>JOB-1995</t>
        </is>
      </c>
      <c r="C999" s="34" t="n">
        <v>1</v>
      </c>
      <c r="D999" s="37" t="inlineStr">
        <is>
          <t>Tech G</t>
        </is>
      </c>
      <c r="E999" s="35" t="n">
        <v>1.7</v>
      </c>
      <c r="F999" s="35" t="n">
        <v>1.5</v>
      </c>
      <c r="G999" s="37" t="inlineStr">
        <is>
          <t>Y</t>
        </is>
      </c>
      <c r="H999" s="37" t="inlineStr">
        <is>
          <t>Y</t>
        </is>
      </c>
      <c r="I999" s="37">
        <f>COUNTIF(G$5:G999,"Y")/COUNTA(G$5:G999)</f>
        <v/>
      </c>
      <c r="J999" s="37">
        <f>COUNTIF(H$5:H999,"Y")/COUNTA(H$5:H999)</f>
        <v/>
      </c>
      <c r="K999" s="37">
        <f>AVERAGE(F$5:F999)</f>
        <v/>
      </c>
      <c r="L999" s="37">
        <f>SUM(F$5:F999)/SUM(E$5:E999)</f>
        <v/>
      </c>
    </row>
    <row r="1000">
      <c r="A1000" s="29" t="n">
        <v>45793</v>
      </c>
      <c r="B1000" s="37" t="inlineStr">
        <is>
          <t>JOB-1996</t>
        </is>
      </c>
      <c r="C1000" s="34" t="n">
        <v>1</v>
      </c>
      <c r="D1000" s="37" t="inlineStr">
        <is>
          <t>Tech H</t>
        </is>
      </c>
      <c r="E1000" s="35" t="n">
        <v>4.7</v>
      </c>
      <c r="F1000" s="35" t="n">
        <v>3.7</v>
      </c>
      <c r="G1000" s="37" t="inlineStr">
        <is>
          <t>Y</t>
        </is>
      </c>
      <c r="H1000" s="37" t="inlineStr">
        <is>
          <t>N</t>
        </is>
      </c>
      <c r="I1000" s="37">
        <f>COUNTIF(G$5:G1000,"Y")/COUNTA(G$5:G1000)</f>
        <v/>
      </c>
      <c r="J1000" s="37">
        <f>COUNTIF(H$5:H1000,"Y")/COUNTA(H$5:H1000)</f>
        <v/>
      </c>
      <c r="K1000" s="37">
        <f>AVERAGE(F$5:F1000)</f>
        <v/>
      </c>
      <c r="L1000" s="37">
        <f>SUM(F$5:F1000)/SUM(E$5:E1000)</f>
        <v/>
      </c>
    </row>
    <row r="1001">
      <c r="A1001" s="29" t="n">
        <v>45789</v>
      </c>
      <c r="B1001" s="37" t="inlineStr">
        <is>
          <t>JOB-1997</t>
        </is>
      </c>
      <c r="C1001" s="34" t="n">
        <v>1</v>
      </c>
      <c r="D1001" s="37" t="inlineStr">
        <is>
          <t>Tech G</t>
        </is>
      </c>
      <c r="E1001" s="35" t="n">
        <v>3.3</v>
      </c>
      <c r="F1001" s="35" t="n">
        <v>2.3</v>
      </c>
      <c r="G1001" s="37" t="inlineStr">
        <is>
          <t>Y</t>
        </is>
      </c>
      <c r="H1001" s="37" t="inlineStr">
        <is>
          <t>N</t>
        </is>
      </c>
      <c r="I1001" s="37">
        <f>COUNTIF(G$5:G1001,"Y")/COUNTA(G$5:G1001)</f>
        <v/>
      </c>
      <c r="J1001" s="37">
        <f>COUNTIF(H$5:H1001,"Y")/COUNTA(H$5:H1001)</f>
        <v/>
      </c>
      <c r="K1001" s="37">
        <f>AVERAGE(F$5:F1001)</f>
        <v/>
      </c>
      <c r="L1001" s="37">
        <f>SUM(F$5:F1001)/SUM(E$5:E1001)</f>
        <v/>
      </c>
    </row>
    <row r="1002">
      <c r="A1002" s="29" t="n">
        <v>45790</v>
      </c>
      <c r="B1002" s="37" t="inlineStr">
        <is>
          <t>JOB-1998</t>
        </is>
      </c>
      <c r="C1002" s="34" t="n">
        <v>1</v>
      </c>
      <c r="D1002" s="37" t="inlineStr">
        <is>
          <t>Tech F</t>
        </is>
      </c>
      <c r="E1002" s="35" t="n">
        <v>4.1</v>
      </c>
      <c r="F1002" s="35" t="n">
        <v>2.9</v>
      </c>
      <c r="G1002" s="37" t="inlineStr">
        <is>
          <t>Y</t>
        </is>
      </c>
      <c r="H1002" s="37" t="inlineStr">
        <is>
          <t>N</t>
        </is>
      </c>
      <c r="I1002" s="37">
        <f>COUNTIF(G$5:G1002,"Y")/COUNTA(G$5:G1002)</f>
        <v/>
      </c>
      <c r="J1002" s="37">
        <f>COUNTIF(H$5:H1002,"Y")/COUNTA(H$5:H1002)</f>
        <v/>
      </c>
      <c r="K1002" s="37">
        <f>AVERAGE(F$5:F1002)</f>
        <v/>
      </c>
      <c r="L1002" s="37">
        <f>SUM(F$5:F1002)/SUM(E$5:E1002)</f>
        <v/>
      </c>
    </row>
    <row r="1003">
      <c r="A1003" s="29" t="n">
        <v>45791</v>
      </c>
      <c r="B1003" s="37" t="inlineStr">
        <is>
          <t>JOB-1999</t>
        </is>
      </c>
      <c r="C1003" s="34" t="n">
        <v>1</v>
      </c>
      <c r="D1003" s="37" t="inlineStr">
        <is>
          <t>Tech C</t>
        </is>
      </c>
      <c r="E1003" s="35" t="n">
        <v>4.5</v>
      </c>
      <c r="F1003" s="35" t="n">
        <v>3.2</v>
      </c>
      <c r="G1003" s="37" t="inlineStr">
        <is>
          <t>Y</t>
        </is>
      </c>
      <c r="H1003" s="37" t="inlineStr">
        <is>
          <t>N</t>
        </is>
      </c>
      <c r="I1003" s="37">
        <f>COUNTIF(G$5:G1003,"Y")/COUNTA(G$5:G1003)</f>
        <v/>
      </c>
      <c r="J1003" s="37">
        <f>COUNTIF(H$5:H1003,"Y")/COUNTA(H$5:H1003)</f>
        <v/>
      </c>
      <c r="K1003" s="37">
        <f>AVERAGE(F$5:F1003)</f>
        <v/>
      </c>
      <c r="L1003" s="37">
        <f>SUM(F$5:F1003)/SUM(E$5:E1003)</f>
        <v/>
      </c>
    </row>
    <row r="1004">
      <c r="A1004" s="29" t="n">
        <v>45792</v>
      </c>
      <c r="B1004" s="37" t="inlineStr">
        <is>
          <t>JOB-2000</t>
        </is>
      </c>
      <c r="C1004" s="34" t="n">
        <v>1</v>
      </c>
      <c r="D1004" s="37" t="inlineStr">
        <is>
          <t>Tech B</t>
        </is>
      </c>
      <c r="E1004" s="35" t="n">
        <v>4.4</v>
      </c>
      <c r="F1004" s="35" t="n">
        <v>3.8</v>
      </c>
      <c r="G1004" s="37" t="inlineStr">
        <is>
          <t>Y</t>
        </is>
      </c>
      <c r="H1004" s="37" t="inlineStr">
        <is>
          <t>N</t>
        </is>
      </c>
      <c r="I1004" s="37">
        <f>COUNTIF(G$5:G1004,"Y")/COUNTA(G$5:G1004)</f>
        <v/>
      </c>
      <c r="J1004" s="37">
        <f>COUNTIF(H$5:H1004,"Y")/COUNTA(H$5:H1004)</f>
        <v/>
      </c>
      <c r="K1004" s="37">
        <f>AVERAGE(F$5:F1004)</f>
        <v/>
      </c>
      <c r="L1004" s="37">
        <f>SUM(F$5:F1004)/SUM(E$5:E1004)</f>
        <v/>
      </c>
    </row>
    <row r="1005">
      <c r="A1005" s="29" t="n">
        <v>45793</v>
      </c>
      <c r="B1005" s="37" t="inlineStr">
        <is>
          <t>JOB-2001</t>
        </is>
      </c>
      <c r="C1005" s="34" t="n">
        <v>1</v>
      </c>
      <c r="D1005" s="37" t="inlineStr">
        <is>
          <t>Tech A</t>
        </is>
      </c>
      <c r="E1005" s="35" t="n">
        <v>3.5</v>
      </c>
      <c r="F1005" s="35" t="n">
        <v>2.8</v>
      </c>
      <c r="G1005" s="37" t="inlineStr">
        <is>
          <t>Y</t>
        </is>
      </c>
      <c r="H1005" s="37" t="inlineStr">
        <is>
          <t>N</t>
        </is>
      </c>
      <c r="I1005" s="37">
        <f>COUNTIF(G$5:G1005,"Y")/COUNTA(G$5:G1005)</f>
        <v/>
      </c>
      <c r="J1005" s="37">
        <f>COUNTIF(H$5:H1005,"Y")/COUNTA(H$5:H1005)</f>
        <v/>
      </c>
      <c r="K1005" s="37">
        <f>AVERAGE(F$5:F1005)</f>
        <v/>
      </c>
      <c r="L1005" s="37">
        <f>SUM(F$5:F1005)/SUM(E$5:E1005)</f>
        <v/>
      </c>
    </row>
    <row r="1006">
      <c r="A1006" s="29" t="n">
        <v>45789</v>
      </c>
      <c r="B1006" s="37" t="inlineStr">
        <is>
          <t>JOB-2002</t>
        </is>
      </c>
      <c r="C1006" s="34" t="n">
        <v>1</v>
      </c>
      <c r="D1006" s="37" t="inlineStr">
        <is>
          <t>Tech G</t>
        </is>
      </c>
      <c r="E1006" s="35" t="n">
        <v>2.9</v>
      </c>
      <c r="F1006" s="35" t="n">
        <v>2.5</v>
      </c>
      <c r="G1006" s="37" t="inlineStr">
        <is>
          <t>Y</t>
        </is>
      </c>
      <c r="H1006" s="37" t="inlineStr">
        <is>
          <t>N</t>
        </is>
      </c>
      <c r="I1006" s="37">
        <f>COUNTIF(G$5:G1006,"Y")/COUNTA(G$5:G1006)</f>
        <v/>
      </c>
      <c r="J1006" s="37">
        <f>COUNTIF(H$5:H1006,"Y")/COUNTA(H$5:H1006)</f>
        <v/>
      </c>
      <c r="K1006" s="37">
        <f>AVERAGE(F$5:F1006)</f>
        <v/>
      </c>
      <c r="L1006" s="37">
        <f>SUM(F$5:F1006)/SUM(E$5:E1006)</f>
        <v/>
      </c>
    </row>
    <row r="1007">
      <c r="A1007" s="29" t="n">
        <v>45790</v>
      </c>
      <c r="B1007" s="37" t="inlineStr">
        <is>
          <t>JOB-2003</t>
        </is>
      </c>
      <c r="C1007" s="34" t="n">
        <v>1</v>
      </c>
      <c r="D1007" s="37" t="inlineStr">
        <is>
          <t>Tech F</t>
        </is>
      </c>
      <c r="E1007" s="35" t="n">
        <v>2.6</v>
      </c>
      <c r="F1007" s="35" t="n">
        <v>2.3</v>
      </c>
      <c r="G1007" s="37" t="inlineStr">
        <is>
          <t>Y</t>
        </is>
      </c>
      <c r="H1007" s="37" t="inlineStr">
        <is>
          <t>N</t>
        </is>
      </c>
      <c r="I1007" s="37">
        <f>COUNTIF(G$5:G1007,"Y")/COUNTA(G$5:G1007)</f>
        <v/>
      </c>
      <c r="J1007" s="37">
        <f>COUNTIF(H$5:H1007,"Y")/COUNTA(H$5:H1007)</f>
        <v/>
      </c>
      <c r="K1007" s="37">
        <f>AVERAGE(F$5:F1007)</f>
        <v/>
      </c>
      <c r="L1007" s="37">
        <f>SUM(F$5:F1007)/SUM(E$5:E1007)</f>
        <v/>
      </c>
    </row>
    <row r="1008">
      <c r="A1008" s="29" t="n">
        <v>45791</v>
      </c>
      <c r="B1008" s="37" t="inlineStr">
        <is>
          <t>JOB-2004</t>
        </is>
      </c>
      <c r="C1008" s="34" t="n">
        <v>1</v>
      </c>
      <c r="D1008" s="37" t="inlineStr">
        <is>
          <t>Tech F</t>
        </is>
      </c>
      <c r="E1008" s="35" t="n">
        <v>3.8</v>
      </c>
      <c r="F1008" s="35" t="n">
        <v>2.8</v>
      </c>
      <c r="G1008" s="37" t="inlineStr">
        <is>
          <t>Y</t>
        </is>
      </c>
      <c r="H1008" s="37" t="inlineStr">
        <is>
          <t>N</t>
        </is>
      </c>
      <c r="I1008" s="37">
        <f>COUNTIF(G$5:G1008,"Y")/COUNTA(G$5:G1008)</f>
        <v/>
      </c>
      <c r="J1008" s="37">
        <f>COUNTIF(H$5:H1008,"Y")/COUNTA(H$5:H1008)</f>
        <v/>
      </c>
      <c r="K1008" s="37">
        <f>AVERAGE(F$5:F1008)</f>
        <v/>
      </c>
      <c r="L1008" s="37">
        <f>SUM(F$5:F1008)/SUM(E$5:E1008)</f>
        <v/>
      </c>
    </row>
    <row r="1009">
      <c r="A1009" s="29" t="n">
        <v>45792</v>
      </c>
      <c r="B1009" s="37" t="inlineStr">
        <is>
          <t>JOB-2005</t>
        </is>
      </c>
      <c r="C1009" s="34" t="n">
        <v>1</v>
      </c>
      <c r="D1009" s="37" t="inlineStr">
        <is>
          <t>Tech F</t>
        </is>
      </c>
      <c r="E1009" s="35" t="n">
        <v>3.7</v>
      </c>
      <c r="F1009" s="35" t="n">
        <v>2.9</v>
      </c>
      <c r="G1009" s="37" t="inlineStr">
        <is>
          <t>Y</t>
        </is>
      </c>
      <c r="H1009" s="37" t="inlineStr">
        <is>
          <t>N</t>
        </is>
      </c>
      <c r="I1009" s="37">
        <f>COUNTIF(G$5:G1009,"Y")/COUNTA(G$5:G1009)</f>
        <v/>
      </c>
      <c r="J1009" s="37">
        <f>COUNTIF(H$5:H1009,"Y")/COUNTA(H$5:H1009)</f>
        <v/>
      </c>
      <c r="K1009" s="37">
        <f>AVERAGE(F$5:F1009)</f>
        <v/>
      </c>
      <c r="L1009" s="37">
        <f>SUM(F$5:F1009)/SUM(E$5:E1009)</f>
        <v/>
      </c>
    </row>
    <row r="1010">
      <c r="A1010" s="29" t="n">
        <v>45793</v>
      </c>
      <c r="B1010" s="37" t="inlineStr">
        <is>
          <t>JOB-2006</t>
        </is>
      </c>
      <c r="C1010" s="34" t="n">
        <v>1</v>
      </c>
      <c r="D1010" s="37" t="inlineStr">
        <is>
          <t>Tech H</t>
        </is>
      </c>
      <c r="E1010" s="35" t="n">
        <v>2.1</v>
      </c>
      <c r="F1010" s="35" t="n">
        <v>1.6</v>
      </c>
      <c r="G1010" s="37" t="inlineStr">
        <is>
          <t>N</t>
        </is>
      </c>
      <c r="H1010" s="37" t="inlineStr">
        <is>
          <t>N</t>
        </is>
      </c>
      <c r="I1010" s="37">
        <f>COUNTIF(G$5:G1010,"Y")/COUNTA(G$5:G1010)</f>
        <v/>
      </c>
      <c r="J1010" s="37">
        <f>COUNTIF(H$5:H1010,"Y")/COUNTA(H$5:H1010)</f>
        <v/>
      </c>
      <c r="K1010" s="37">
        <f>AVERAGE(F$5:F1010)</f>
        <v/>
      </c>
      <c r="L1010" s="37">
        <f>SUM(F$5:F1010)/SUM(E$5:E1010)</f>
        <v/>
      </c>
    </row>
    <row r="1011">
      <c r="A1011" s="29" t="n">
        <v>45789</v>
      </c>
      <c r="B1011" s="37" t="inlineStr">
        <is>
          <t>JOB-2007</t>
        </is>
      </c>
      <c r="C1011" s="34" t="n">
        <v>1</v>
      </c>
      <c r="D1011" s="37" t="inlineStr">
        <is>
          <t>Tech B</t>
        </is>
      </c>
      <c r="E1011" s="35" t="n">
        <v>4.8</v>
      </c>
      <c r="F1011" s="35" t="n">
        <v>3.7</v>
      </c>
      <c r="G1011" s="37" t="inlineStr">
        <is>
          <t>Y</t>
        </is>
      </c>
      <c r="H1011" s="37" t="inlineStr">
        <is>
          <t>N</t>
        </is>
      </c>
      <c r="I1011" s="37">
        <f>COUNTIF(G$5:G1011,"Y")/COUNTA(G$5:G1011)</f>
        <v/>
      </c>
      <c r="J1011" s="37">
        <f>COUNTIF(H$5:H1011,"Y")/COUNTA(H$5:H1011)</f>
        <v/>
      </c>
      <c r="K1011" s="37">
        <f>AVERAGE(F$5:F1011)</f>
        <v/>
      </c>
      <c r="L1011" s="37">
        <f>SUM(F$5:F1011)/SUM(E$5:E1011)</f>
        <v/>
      </c>
    </row>
    <row r="1012">
      <c r="A1012" s="29" t="n">
        <v>45790</v>
      </c>
      <c r="B1012" s="37" t="inlineStr">
        <is>
          <t>JOB-2008</t>
        </is>
      </c>
      <c r="C1012" s="34" t="n">
        <v>1</v>
      </c>
      <c r="D1012" s="37" t="inlineStr">
        <is>
          <t>Tech F</t>
        </is>
      </c>
      <c r="E1012" s="35" t="n">
        <v>1.6</v>
      </c>
      <c r="F1012" s="35" t="n">
        <v>1.3</v>
      </c>
      <c r="G1012" s="37" t="inlineStr">
        <is>
          <t>Y</t>
        </is>
      </c>
      <c r="H1012" s="37" t="inlineStr">
        <is>
          <t>N</t>
        </is>
      </c>
      <c r="I1012" s="37">
        <f>COUNTIF(G$5:G1012,"Y")/COUNTA(G$5:G1012)</f>
        <v/>
      </c>
      <c r="J1012" s="37">
        <f>COUNTIF(H$5:H1012,"Y")/COUNTA(H$5:H1012)</f>
        <v/>
      </c>
      <c r="K1012" s="37">
        <f>AVERAGE(F$5:F1012)</f>
        <v/>
      </c>
      <c r="L1012" s="37">
        <f>SUM(F$5:F1012)/SUM(E$5:E1012)</f>
        <v/>
      </c>
    </row>
    <row r="1013">
      <c r="A1013" s="29" t="n">
        <v>45791</v>
      </c>
      <c r="B1013" s="37" t="inlineStr">
        <is>
          <t>JOB-2009</t>
        </is>
      </c>
      <c r="C1013" s="34" t="n">
        <v>1</v>
      </c>
      <c r="D1013" s="37" t="inlineStr">
        <is>
          <t>Tech B</t>
        </is>
      </c>
      <c r="E1013" s="35" t="n">
        <v>1.6</v>
      </c>
      <c r="F1013" s="35" t="n">
        <v>1.5</v>
      </c>
      <c r="G1013" s="37" t="inlineStr">
        <is>
          <t>Y</t>
        </is>
      </c>
      <c r="H1013" s="37" t="inlineStr">
        <is>
          <t>N</t>
        </is>
      </c>
      <c r="I1013" s="37">
        <f>COUNTIF(G$5:G1013,"Y")/COUNTA(G$5:G1013)</f>
        <v/>
      </c>
      <c r="J1013" s="37">
        <f>COUNTIF(H$5:H1013,"Y")/COUNTA(H$5:H1013)</f>
        <v/>
      </c>
      <c r="K1013" s="37">
        <f>AVERAGE(F$5:F1013)</f>
        <v/>
      </c>
      <c r="L1013" s="37">
        <f>SUM(F$5:F1013)/SUM(E$5:E1013)</f>
        <v/>
      </c>
    </row>
    <row r="1014">
      <c r="A1014" s="29" t="n">
        <v>45792</v>
      </c>
      <c r="B1014" s="37" t="inlineStr">
        <is>
          <t>JOB-2010</t>
        </is>
      </c>
      <c r="C1014" s="34" t="n">
        <v>1</v>
      </c>
      <c r="D1014" s="37" t="inlineStr">
        <is>
          <t>Tech H</t>
        </is>
      </c>
      <c r="E1014" s="35" t="n">
        <v>3.7</v>
      </c>
      <c r="F1014" s="35" t="n">
        <v>2.6</v>
      </c>
      <c r="G1014" s="37" t="inlineStr">
        <is>
          <t>Y</t>
        </is>
      </c>
      <c r="H1014" s="37" t="inlineStr">
        <is>
          <t>N</t>
        </is>
      </c>
      <c r="I1014" s="37">
        <f>COUNTIF(G$5:G1014,"Y")/COUNTA(G$5:G1014)</f>
        <v/>
      </c>
      <c r="J1014" s="37">
        <f>COUNTIF(H$5:H1014,"Y")/COUNTA(H$5:H1014)</f>
        <v/>
      </c>
      <c r="K1014" s="37">
        <f>AVERAGE(F$5:F1014)</f>
        <v/>
      </c>
      <c r="L1014" s="37">
        <f>SUM(F$5:F1014)/SUM(E$5:E1014)</f>
        <v/>
      </c>
    </row>
    <row r="1015">
      <c r="A1015" s="29" t="n">
        <v>45793</v>
      </c>
      <c r="B1015" s="37" t="inlineStr">
        <is>
          <t>JOB-2011</t>
        </is>
      </c>
      <c r="C1015" s="34" t="n">
        <v>1</v>
      </c>
      <c r="D1015" s="37" t="inlineStr">
        <is>
          <t>Tech A</t>
        </is>
      </c>
      <c r="E1015" s="35" t="n">
        <v>4.3</v>
      </c>
      <c r="F1015" s="35" t="n">
        <v>3.1</v>
      </c>
      <c r="G1015" s="37" t="inlineStr">
        <is>
          <t>Y</t>
        </is>
      </c>
      <c r="H1015" s="37" t="inlineStr">
        <is>
          <t>N</t>
        </is>
      </c>
      <c r="I1015" s="37">
        <f>COUNTIF(G$5:G1015,"Y")/COUNTA(G$5:G1015)</f>
        <v/>
      </c>
      <c r="J1015" s="37">
        <f>COUNTIF(H$5:H1015,"Y")/COUNTA(H$5:H1015)</f>
        <v/>
      </c>
      <c r="K1015" s="37">
        <f>AVERAGE(F$5:F1015)</f>
        <v/>
      </c>
      <c r="L1015" s="37">
        <f>SUM(F$5:F1015)/SUM(E$5:E1015)</f>
        <v/>
      </c>
    </row>
    <row r="1016">
      <c r="A1016" s="29" t="n">
        <v>45789</v>
      </c>
      <c r="B1016" s="37" t="inlineStr">
        <is>
          <t>JOB-2012</t>
        </is>
      </c>
      <c r="C1016" s="34" t="n">
        <v>1</v>
      </c>
      <c r="D1016" s="37" t="inlineStr">
        <is>
          <t>Tech C</t>
        </is>
      </c>
      <c r="E1016" s="35" t="n">
        <v>3.2</v>
      </c>
      <c r="F1016" s="35" t="n">
        <v>2.8</v>
      </c>
      <c r="G1016" s="37" t="inlineStr">
        <is>
          <t>Y</t>
        </is>
      </c>
      <c r="H1016" s="37" t="inlineStr">
        <is>
          <t>N</t>
        </is>
      </c>
      <c r="I1016" s="37">
        <f>COUNTIF(G$5:G1016,"Y")/COUNTA(G$5:G1016)</f>
        <v/>
      </c>
      <c r="J1016" s="37">
        <f>COUNTIF(H$5:H1016,"Y")/COUNTA(H$5:H1016)</f>
        <v/>
      </c>
      <c r="K1016" s="37">
        <f>AVERAGE(F$5:F1016)</f>
        <v/>
      </c>
      <c r="L1016" s="37">
        <f>SUM(F$5:F1016)/SUM(E$5:E1016)</f>
        <v/>
      </c>
    </row>
    <row r="1017">
      <c r="A1017" s="29" t="n">
        <v>45790</v>
      </c>
      <c r="B1017" s="37" t="inlineStr">
        <is>
          <t>JOB-2013</t>
        </is>
      </c>
      <c r="C1017" s="34" t="n">
        <v>1</v>
      </c>
      <c r="D1017" s="37" t="inlineStr">
        <is>
          <t>Tech B</t>
        </is>
      </c>
      <c r="E1017" s="35" t="n">
        <v>4.8</v>
      </c>
      <c r="F1017" s="35" t="n">
        <v>3.7</v>
      </c>
      <c r="G1017" s="37" t="inlineStr">
        <is>
          <t>Y</t>
        </is>
      </c>
      <c r="H1017" s="37" t="inlineStr">
        <is>
          <t>N</t>
        </is>
      </c>
      <c r="I1017" s="37">
        <f>COUNTIF(G$5:G1017,"Y")/COUNTA(G$5:G1017)</f>
        <v/>
      </c>
      <c r="J1017" s="37">
        <f>COUNTIF(H$5:H1017,"Y")/COUNTA(H$5:H1017)</f>
        <v/>
      </c>
      <c r="K1017" s="37">
        <f>AVERAGE(F$5:F1017)</f>
        <v/>
      </c>
      <c r="L1017" s="37">
        <f>SUM(F$5:F1017)/SUM(E$5:E1017)</f>
        <v/>
      </c>
    </row>
    <row r="1018">
      <c r="A1018" s="29" t="n">
        <v>45791</v>
      </c>
      <c r="B1018" s="37" t="inlineStr">
        <is>
          <t>JOB-2014</t>
        </is>
      </c>
      <c r="C1018" s="34" t="n">
        <v>1</v>
      </c>
      <c r="D1018" s="37" t="inlineStr">
        <is>
          <t>Tech H</t>
        </is>
      </c>
      <c r="E1018" s="35" t="n">
        <v>4.1</v>
      </c>
      <c r="F1018" s="35" t="n">
        <v>3.2</v>
      </c>
      <c r="G1018" s="37" t="inlineStr">
        <is>
          <t>Y</t>
        </is>
      </c>
      <c r="H1018" s="37" t="inlineStr">
        <is>
          <t>N</t>
        </is>
      </c>
      <c r="I1018" s="37">
        <f>COUNTIF(G$5:G1018,"Y")/COUNTA(G$5:G1018)</f>
        <v/>
      </c>
      <c r="J1018" s="37">
        <f>COUNTIF(H$5:H1018,"Y")/COUNTA(H$5:H1018)</f>
        <v/>
      </c>
      <c r="K1018" s="37">
        <f>AVERAGE(F$5:F1018)</f>
        <v/>
      </c>
      <c r="L1018" s="37">
        <f>SUM(F$5:F1018)/SUM(E$5:E1018)</f>
        <v/>
      </c>
    </row>
    <row r="1019">
      <c r="A1019" s="29" t="n">
        <v>45792</v>
      </c>
      <c r="B1019" s="37" t="inlineStr">
        <is>
          <t>JOB-2015</t>
        </is>
      </c>
      <c r="C1019" s="34" t="n">
        <v>1</v>
      </c>
      <c r="D1019" s="37" t="inlineStr">
        <is>
          <t>Tech A</t>
        </is>
      </c>
      <c r="E1019" s="35" t="n">
        <v>0.6</v>
      </c>
      <c r="F1019" s="35" t="n">
        <v>0.5</v>
      </c>
      <c r="G1019" s="37" t="inlineStr">
        <is>
          <t>Y</t>
        </is>
      </c>
      <c r="H1019" s="37" t="inlineStr">
        <is>
          <t>N</t>
        </is>
      </c>
      <c r="I1019" s="37">
        <f>COUNTIF(G$5:G1019,"Y")/COUNTA(G$5:G1019)</f>
        <v/>
      </c>
      <c r="J1019" s="37">
        <f>COUNTIF(H$5:H1019,"Y")/COUNTA(H$5:H1019)</f>
        <v/>
      </c>
      <c r="K1019" s="37">
        <f>AVERAGE(F$5:F1019)</f>
        <v/>
      </c>
      <c r="L1019" s="37">
        <f>SUM(F$5:F1019)/SUM(E$5:E1019)</f>
        <v/>
      </c>
    </row>
    <row r="1020">
      <c r="A1020" s="29" t="n">
        <v>45793</v>
      </c>
      <c r="B1020" s="37" t="inlineStr">
        <is>
          <t>JOB-2016</t>
        </is>
      </c>
      <c r="C1020" s="34" t="n">
        <v>1</v>
      </c>
      <c r="D1020" s="37" t="inlineStr">
        <is>
          <t>Tech B</t>
        </is>
      </c>
      <c r="E1020" s="35" t="n">
        <v>0.7</v>
      </c>
      <c r="F1020" s="35" t="n">
        <v>0.5</v>
      </c>
      <c r="G1020" s="37" t="inlineStr">
        <is>
          <t>Y</t>
        </is>
      </c>
      <c r="H1020" s="37" t="inlineStr">
        <is>
          <t>N</t>
        </is>
      </c>
      <c r="I1020" s="37">
        <f>COUNTIF(G$5:G1020,"Y")/COUNTA(G$5:G1020)</f>
        <v/>
      </c>
      <c r="J1020" s="37">
        <f>COUNTIF(H$5:H1020,"Y")/COUNTA(H$5:H1020)</f>
        <v/>
      </c>
      <c r="K1020" s="37">
        <f>AVERAGE(F$5:F1020)</f>
        <v/>
      </c>
      <c r="L1020" s="37">
        <f>SUM(F$5:F1020)/SUM(E$5:E1020)</f>
        <v/>
      </c>
    </row>
    <row r="1021">
      <c r="A1021" s="29" t="n">
        <v>45789</v>
      </c>
      <c r="B1021" s="37" t="inlineStr">
        <is>
          <t>JOB-2017</t>
        </is>
      </c>
      <c r="C1021" s="34" t="n">
        <v>1</v>
      </c>
      <c r="D1021" s="37" t="inlineStr">
        <is>
          <t>Tech A</t>
        </is>
      </c>
      <c r="E1021" s="35" t="n">
        <v>0.5</v>
      </c>
      <c r="F1021" s="35" t="n">
        <v>0.5</v>
      </c>
      <c r="G1021" s="37" t="inlineStr">
        <is>
          <t>Y</t>
        </is>
      </c>
      <c r="H1021" s="37" t="inlineStr">
        <is>
          <t>N</t>
        </is>
      </c>
      <c r="I1021" s="37">
        <f>COUNTIF(G$5:G1021,"Y")/COUNTA(G$5:G1021)</f>
        <v/>
      </c>
      <c r="J1021" s="37">
        <f>COUNTIF(H$5:H1021,"Y")/COUNTA(H$5:H1021)</f>
        <v/>
      </c>
      <c r="K1021" s="37">
        <f>AVERAGE(F$5:F1021)</f>
        <v/>
      </c>
      <c r="L1021" s="37">
        <f>SUM(F$5:F1021)/SUM(E$5:E1021)</f>
        <v/>
      </c>
    </row>
    <row r="1022">
      <c r="A1022" s="29" t="n">
        <v>45790</v>
      </c>
      <c r="B1022" s="37" t="inlineStr">
        <is>
          <t>JOB-2018</t>
        </is>
      </c>
      <c r="C1022" s="34" t="n">
        <v>1</v>
      </c>
      <c r="D1022" s="37" t="inlineStr">
        <is>
          <t>Tech C</t>
        </is>
      </c>
      <c r="E1022" s="35" t="n">
        <v>0.7</v>
      </c>
      <c r="F1022" s="35" t="n">
        <v>0.5</v>
      </c>
      <c r="G1022" s="37" t="inlineStr">
        <is>
          <t>Y</t>
        </is>
      </c>
      <c r="H1022" s="37" t="inlineStr">
        <is>
          <t>N</t>
        </is>
      </c>
      <c r="I1022" s="37">
        <f>COUNTIF(G$5:G1022,"Y")/COUNTA(G$5:G1022)</f>
        <v/>
      </c>
      <c r="J1022" s="37">
        <f>COUNTIF(H$5:H1022,"Y")/COUNTA(H$5:H1022)</f>
        <v/>
      </c>
      <c r="K1022" s="37">
        <f>AVERAGE(F$5:F1022)</f>
        <v/>
      </c>
      <c r="L1022" s="37">
        <f>SUM(F$5:F1022)/SUM(E$5:E1022)</f>
        <v/>
      </c>
    </row>
    <row r="1023">
      <c r="A1023" s="29" t="n">
        <v>45791</v>
      </c>
      <c r="B1023" s="37" t="inlineStr">
        <is>
          <t>JOB-2019</t>
        </is>
      </c>
      <c r="C1023" s="34" t="n">
        <v>1</v>
      </c>
      <c r="D1023" s="37" t="inlineStr">
        <is>
          <t>Tech G</t>
        </is>
      </c>
      <c r="E1023" s="35" t="n">
        <v>0.6</v>
      </c>
      <c r="F1023" s="35" t="n">
        <v>0.5</v>
      </c>
      <c r="G1023" s="37" t="inlineStr">
        <is>
          <t>Y</t>
        </is>
      </c>
      <c r="H1023" s="37" t="inlineStr">
        <is>
          <t>N</t>
        </is>
      </c>
      <c r="I1023" s="37">
        <f>COUNTIF(G$5:G1023,"Y")/COUNTA(G$5:G1023)</f>
        <v/>
      </c>
      <c r="J1023" s="37">
        <f>COUNTIF(H$5:H1023,"Y")/COUNTA(H$5:H1023)</f>
        <v/>
      </c>
      <c r="K1023" s="37">
        <f>AVERAGE(F$5:F1023)</f>
        <v/>
      </c>
      <c r="L1023" s="37">
        <f>SUM(F$5:F1023)/SUM(E$5:E1023)</f>
        <v/>
      </c>
    </row>
    <row r="1024">
      <c r="A1024" s="29" t="n">
        <v>45792</v>
      </c>
      <c r="B1024" s="37" t="inlineStr">
        <is>
          <t>JOB-2020</t>
        </is>
      </c>
      <c r="C1024" s="34" t="n">
        <v>1</v>
      </c>
      <c r="D1024" s="37" t="inlineStr">
        <is>
          <t>Tech D</t>
        </is>
      </c>
      <c r="E1024" s="35" t="n">
        <v>0.7</v>
      </c>
      <c r="F1024" s="35" t="n">
        <v>0.5</v>
      </c>
      <c r="G1024" s="37" t="inlineStr">
        <is>
          <t>Y</t>
        </is>
      </c>
      <c r="H1024" s="37" t="inlineStr">
        <is>
          <t>N</t>
        </is>
      </c>
      <c r="I1024" s="37">
        <f>COUNTIF(G$5:G1024,"Y")/COUNTA(G$5:G1024)</f>
        <v/>
      </c>
      <c r="J1024" s="37">
        <f>COUNTIF(H$5:H1024,"Y")/COUNTA(H$5:H1024)</f>
        <v/>
      </c>
      <c r="K1024" s="37">
        <f>AVERAGE(F$5:F1024)</f>
        <v/>
      </c>
      <c r="L1024" s="37">
        <f>SUM(F$5:F1024)/SUM(E$5:E1024)</f>
        <v/>
      </c>
    </row>
    <row r="1025">
      <c r="A1025" s="29" t="n">
        <v>45793</v>
      </c>
      <c r="B1025" s="37" t="inlineStr">
        <is>
          <t>JOB-2021</t>
        </is>
      </c>
      <c r="C1025" s="34" t="n">
        <v>1</v>
      </c>
      <c r="D1025" s="37" t="inlineStr">
        <is>
          <t>Tech C</t>
        </is>
      </c>
      <c r="E1025" s="35" t="n">
        <v>0.7</v>
      </c>
      <c r="F1025" s="35" t="n">
        <v>0.5</v>
      </c>
      <c r="G1025" s="37" t="inlineStr">
        <is>
          <t>N</t>
        </is>
      </c>
      <c r="H1025" s="37" t="inlineStr">
        <is>
          <t>N</t>
        </is>
      </c>
      <c r="I1025" s="37">
        <f>COUNTIF(G$5:G1025,"Y")/COUNTA(G$5:G1025)</f>
        <v/>
      </c>
      <c r="J1025" s="37">
        <f>COUNTIF(H$5:H1025,"Y")/COUNTA(H$5:H1025)</f>
        <v/>
      </c>
      <c r="K1025" s="37">
        <f>AVERAGE(F$5:F1025)</f>
        <v/>
      </c>
      <c r="L1025" s="37">
        <f>SUM(F$5:F1025)/SUM(E$5:E1025)</f>
        <v/>
      </c>
    </row>
    <row r="1026">
      <c r="A1026" s="29" t="n">
        <v>45789</v>
      </c>
      <c r="B1026" s="37" t="inlineStr">
        <is>
          <t>JOB-2022</t>
        </is>
      </c>
      <c r="C1026" s="34" t="n">
        <v>1</v>
      </c>
      <c r="D1026" s="37" t="inlineStr">
        <is>
          <t>Tech H</t>
        </is>
      </c>
      <c r="E1026" s="35" t="n">
        <v>0.6</v>
      </c>
      <c r="F1026" s="35" t="n">
        <v>0.5</v>
      </c>
      <c r="G1026" s="37" t="inlineStr">
        <is>
          <t>Y</t>
        </is>
      </c>
      <c r="H1026" s="37" t="inlineStr">
        <is>
          <t>N</t>
        </is>
      </c>
      <c r="I1026" s="37">
        <f>COUNTIF(G$5:G1026,"Y")/COUNTA(G$5:G1026)</f>
        <v/>
      </c>
      <c r="J1026" s="37">
        <f>COUNTIF(H$5:H1026,"Y")/COUNTA(H$5:H1026)</f>
        <v/>
      </c>
      <c r="K1026" s="37">
        <f>AVERAGE(F$5:F1026)</f>
        <v/>
      </c>
      <c r="L1026" s="37">
        <f>SUM(F$5:F1026)/SUM(E$5:E1026)</f>
        <v/>
      </c>
    </row>
    <row r="1027">
      <c r="A1027" s="29" t="n">
        <v>45790</v>
      </c>
      <c r="B1027" s="37" t="inlineStr">
        <is>
          <t>JOB-2023</t>
        </is>
      </c>
      <c r="C1027" s="34" t="n">
        <v>1</v>
      </c>
      <c r="D1027" s="37" t="inlineStr">
        <is>
          <t>Tech D</t>
        </is>
      </c>
      <c r="E1027" s="35" t="n">
        <v>0.5</v>
      </c>
      <c r="F1027" s="35" t="n">
        <v>0.5</v>
      </c>
      <c r="G1027" s="37" t="inlineStr">
        <is>
          <t>Y</t>
        </is>
      </c>
      <c r="H1027" s="37" t="inlineStr">
        <is>
          <t>N</t>
        </is>
      </c>
      <c r="I1027" s="37">
        <f>COUNTIF(G$5:G1027,"Y")/COUNTA(G$5:G1027)</f>
        <v/>
      </c>
      <c r="J1027" s="37">
        <f>COUNTIF(H$5:H1027,"Y")/COUNTA(H$5:H1027)</f>
        <v/>
      </c>
      <c r="K1027" s="37">
        <f>AVERAGE(F$5:F1027)</f>
        <v/>
      </c>
      <c r="L1027" s="37">
        <f>SUM(F$5:F1027)/SUM(E$5:E1027)</f>
        <v/>
      </c>
      <c r="M1027" s="37" t="n">
        <v>7</v>
      </c>
    </row>
    <row r="1028">
      <c r="A1028" s="29" t="n">
        <v>45796</v>
      </c>
      <c r="B1028" s="37" t="inlineStr">
        <is>
          <t>JOB-2024</t>
        </is>
      </c>
      <c r="C1028" s="34" t="n">
        <v>1</v>
      </c>
      <c r="D1028" s="37" t="inlineStr">
        <is>
          <t>Tech C</t>
        </is>
      </c>
      <c r="E1028" s="35" t="n">
        <v>2.6</v>
      </c>
      <c r="F1028" s="35" t="n">
        <v>2.2</v>
      </c>
      <c r="G1028" s="37" t="inlineStr">
        <is>
          <t>Y</t>
        </is>
      </c>
      <c r="H1028" s="37" t="inlineStr">
        <is>
          <t>N</t>
        </is>
      </c>
      <c r="I1028" s="37">
        <f>COUNTIF(G$5:G1028,"Y")/COUNTA(G$5:G1028)</f>
        <v/>
      </c>
      <c r="J1028" s="37">
        <f>COUNTIF(H$5:H1028,"Y")/COUNTA(H$5:H1028)</f>
        <v/>
      </c>
      <c r="K1028" s="37">
        <f>AVERAGE(F$5:F1028)</f>
        <v/>
      </c>
      <c r="L1028" s="37">
        <f>SUM(F$5:F1028)/SUM(E$5:E1028)</f>
        <v/>
      </c>
    </row>
    <row r="1029">
      <c r="A1029" s="29" t="n">
        <v>45797</v>
      </c>
      <c r="B1029" s="37" t="inlineStr">
        <is>
          <t>JOB-2025</t>
        </is>
      </c>
      <c r="C1029" s="34" t="n">
        <v>1</v>
      </c>
      <c r="D1029" s="37" t="inlineStr">
        <is>
          <t>Tech F</t>
        </is>
      </c>
      <c r="E1029" s="35" t="n">
        <v>1.5</v>
      </c>
      <c r="F1029" s="35" t="n">
        <v>1.1</v>
      </c>
      <c r="G1029" s="37" t="inlineStr">
        <is>
          <t>Y</t>
        </is>
      </c>
      <c r="H1029" s="37" t="inlineStr">
        <is>
          <t>N</t>
        </is>
      </c>
      <c r="I1029" s="37">
        <f>COUNTIF(G$5:G1029,"Y")/COUNTA(G$5:G1029)</f>
        <v/>
      </c>
      <c r="J1029" s="37">
        <f>COUNTIF(H$5:H1029,"Y")/COUNTA(H$5:H1029)</f>
        <v/>
      </c>
      <c r="K1029" s="37">
        <f>AVERAGE(F$5:F1029)</f>
        <v/>
      </c>
      <c r="L1029" s="37">
        <f>SUM(F$5:F1029)/SUM(E$5:E1029)</f>
        <v/>
      </c>
    </row>
    <row r="1030">
      <c r="A1030" s="29" t="n">
        <v>45798</v>
      </c>
      <c r="B1030" s="37" t="inlineStr">
        <is>
          <t>JOB-2026</t>
        </is>
      </c>
      <c r="C1030" s="34" t="n">
        <v>1</v>
      </c>
      <c r="D1030" s="37" t="inlineStr">
        <is>
          <t>Tech G</t>
        </is>
      </c>
      <c r="E1030" s="35" t="n">
        <v>4.7</v>
      </c>
      <c r="F1030" s="35" t="n">
        <v>3.6</v>
      </c>
      <c r="G1030" s="37" t="inlineStr">
        <is>
          <t>Y</t>
        </is>
      </c>
      <c r="H1030" s="37" t="inlineStr">
        <is>
          <t>N</t>
        </is>
      </c>
      <c r="I1030" s="37">
        <f>COUNTIF(G$5:G1030,"Y")/COUNTA(G$5:G1030)</f>
        <v/>
      </c>
      <c r="J1030" s="37">
        <f>COUNTIF(H$5:H1030,"Y")/COUNTA(H$5:H1030)</f>
        <v/>
      </c>
      <c r="K1030" s="37">
        <f>AVERAGE(F$5:F1030)</f>
        <v/>
      </c>
      <c r="L1030" s="37">
        <f>SUM(F$5:F1030)/SUM(E$5:E1030)</f>
        <v/>
      </c>
    </row>
    <row r="1031">
      <c r="A1031" s="29" t="n">
        <v>45799</v>
      </c>
      <c r="B1031" s="37" t="inlineStr">
        <is>
          <t>JOB-2027</t>
        </is>
      </c>
      <c r="C1031" s="34" t="n">
        <v>1</v>
      </c>
      <c r="D1031" s="37" t="inlineStr">
        <is>
          <t>Tech F</t>
        </is>
      </c>
      <c r="E1031" s="35" t="n">
        <v>4</v>
      </c>
      <c r="F1031" s="35" t="n">
        <v>3</v>
      </c>
      <c r="G1031" s="37" t="inlineStr">
        <is>
          <t>N</t>
        </is>
      </c>
      <c r="H1031" s="37" t="inlineStr">
        <is>
          <t>N</t>
        </is>
      </c>
      <c r="I1031" s="37">
        <f>COUNTIF(G$5:G1031,"Y")/COUNTA(G$5:G1031)</f>
        <v/>
      </c>
      <c r="J1031" s="37">
        <f>COUNTIF(H$5:H1031,"Y")/COUNTA(H$5:H1031)</f>
        <v/>
      </c>
      <c r="K1031" s="37">
        <f>AVERAGE(F$5:F1031)</f>
        <v/>
      </c>
      <c r="L1031" s="37">
        <f>SUM(F$5:F1031)/SUM(E$5:E1031)</f>
        <v/>
      </c>
    </row>
    <row r="1032">
      <c r="A1032" s="29" t="n">
        <v>45800</v>
      </c>
      <c r="B1032" s="37" t="inlineStr">
        <is>
          <t>JOB-2028</t>
        </is>
      </c>
      <c r="C1032" s="34" t="n">
        <v>1</v>
      </c>
      <c r="D1032" s="37" t="inlineStr">
        <is>
          <t>Tech A</t>
        </is>
      </c>
      <c r="E1032" s="35" t="n">
        <v>3.2</v>
      </c>
      <c r="F1032" s="35" t="n">
        <v>2.6</v>
      </c>
      <c r="G1032" s="37" t="inlineStr">
        <is>
          <t>Y</t>
        </is>
      </c>
      <c r="H1032" s="37" t="inlineStr">
        <is>
          <t>Y</t>
        </is>
      </c>
      <c r="I1032" s="37">
        <f>COUNTIF(G$5:G1032,"Y")/COUNTA(G$5:G1032)</f>
        <v/>
      </c>
      <c r="J1032" s="37">
        <f>COUNTIF(H$5:H1032,"Y")/COUNTA(H$5:H1032)</f>
        <v/>
      </c>
      <c r="K1032" s="37">
        <f>AVERAGE(F$5:F1032)</f>
        <v/>
      </c>
      <c r="L1032" s="37">
        <f>SUM(F$5:F1032)/SUM(E$5:E1032)</f>
        <v/>
      </c>
    </row>
    <row r="1033">
      <c r="A1033" s="29" t="n">
        <v>45796</v>
      </c>
      <c r="B1033" s="37" t="inlineStr">
        <is>
          <t>JOB-2029</t>
        </is>
      </c>
      <c r="C1033" s="34" t="n">
        <v>1</v>
      </c>
      <c r="D1033" s="37" t="inlineStr">
        <is>
          <t>Tech D</t>
        </is>
      </c>
      <c r="E1033" s="35" t="n">
        <v>3.9</v>
      </c>
      <c r="F1033" s="35" t="n">
        <v>3.3</v>
      </c>
      <c r="G1033" s="37" t="inlineStr">
        <is>
          <t>Y</t>
        </is>
      </c>
      <c r="H1033" s="37" t="inlineStr">
        <is>
          <t>N</t>
        </is>
      </c>
      <c r="I1033" s="37">
        <f>COUNTIF(G$5:G1033,"Y")/COUNTA(G$5:G1033)</f>
        <v/>
      </c>
      <c r="J1033" s="37">
        <f>COUNTIF(H$5:H1033,"Y")/COUNTA(H$5:H1033)</f>
        <v/>
      </c>
      <c r="K1033" s="37">
        <f>AVERAGE(F$5:F1033)</f>
        <v/>
      </c>
      <c r="L1033" s="37">
        <f>SUM(F$5:F1033)/SUM(E$5:E1033)</f>
        <v/>
      </c>
    </row>
    <row r="1034">
      <c r="A1034" s="29" t="n">
        <v>45797</v>
      </c>
      <c r="B1034" s="37" t="inlineStr">
        <is>
          <t>JOB-2030</t>
        </is>
      </c>
      <c r="C1034" s="34" t="n">
        <v>1</v>
      </c>
      <c r="D1034" s="37" t="inlineStr">
        <is>
          <t>Tech A</t>
        </is>
      </c>
      <c r="E1034" s="35" t="n">
        <v>4.7</v>
      </c>
      <c r="F1034" s="35" t="n">
        <v>3.7</v>
      </c>
      <c r="G1034" s="37" t="inlineStr">
        <is>
          <t>Y</t>
        </is>
      </c>
      <c r="H1034" s="37" t="inlineStr">
        <is>
          <t>N</t>
        </is>
      </c>
      <c r="I1034" s="37">
        <f>COUNTIF(G$5:G1034,"Y")/COUNTA(G$5:G1034)</f>
        <v/>
      </c>
      <c r="J1034" s="37">
        <f>COUNTIF(H$5:H1034,"Y")/COUNTA(H$5:H1034)</f>
        <v/>
      </c>
      <c r="K1034" s="37">
        <f>AVERAGE(F$5:F1034)</f>
        <v/>
      </c>
      <c r="L1034" s="37">
        <f>SUM(F$5:F1034)/SUM(E$5:E1034)</f>
        <v/>
      </c>
    </row>
    <row r="1035">
      <c r="A1035" s="29" t="n">
        <v>45798</v>
      </c>
      <c r="B1035" s="37" t="inlineStr">
        <is>
          <t>JOB-2031</t>
        </is>
      </c>
      <c r="C1035" s="34" t="n">
        <v>1</v>
      </c>
      <c r="D1035" s="37" t="inlineStr">
        <is>
          <t>Tech H</t>
        </is>
      </c>
      <c r="E1035" s="35" t="n">
        <v>2.4</v>
      </c>
      <c r="F1035" s="35" t="n">
        <v>2.2</v>
      </c>
      <c r="G1035" s="37" t="inlineStr">
        <is>
          <t>Y</t>
        </is>
      </c>
      <c r="H1035" s="37" t="inlineStr">
        <is>
          <t>N</t>
        </is>
      </c>
      <c r="I1035" s="37">
        <f>COUNTIF(G$5:G1035,"Y")/COUNTA(G$5:G1035)</f>
        <v/>
      </c>
      <c r="J1035" s="37">
        <f>COUNTIF(H$5:H1035,"Y")/COUNTA(H$5:H1035)</f>
        <v/>
      </c>
      <c r="K1035" s="37">
        <f>AVERAGE(F$5:F1035)</f>
        <v/>
      </c>
      <c r="L1035" s="37">
        <f>SUM(F$5:F1035)/SUM(E$5:E1035)</f>
        <v/>
      </c>
    </row>
    <row r="1036">
      <c r="A1036" s="29" t="n">
        <v>45799</v>
      </c>
      <c r="B1036" s="37" t="inlineStr">
        <is>
          <t>JOB-2032</t>
        </is>
      </c>
      <c r="C1036" s="34" t="n">
        <v>1</v>
      </c>
      <c r="D1036" s="37" t="inlineStr">
        <is>
          <t>Tech B</t>
        </is>
      </c>
      <c r="E1036" s="35" t="n">
        <v>2</v>
      </c>
      <c r="F1036" s="35" t="n">
        <v>1.5</v>
      </c>
      <c r="G1036" s="37" t="inlineStr">
        <is>
          <t>Y</t>
        </is>
      </c>
      <c r="H1036" s="37" t="inlineStr">
        <is>
          <t>Y</t>
        </is>
      </c>
      <c r="I1036" s="37">
        <f>COUNTIF(G$5:G1036,"Y")/COUNTA(G$5:G1036)</f>
        <v/>
      </c>
      <c r="J1036" s="37">
        <f>COUNTIF(H$5:H1036,"Y")/COUNTA(H$5:H1036)</f>
        <v/>
      </c>
      <c r="K1036" s="37">
        <f>AVERAGE(F$5:F1036)</f>
        <v/>
      </c>
      <c r="L1036" s="37">
        <f>SUM(F$5:F1036)/SUM(E$5:E1036)</f>
        <v/>
      </c>
    </row>
    <row r="1037">
      <c r="A1037" s="29" t="n">
        <v>45800</v>
      </c>
      <c r="B1037" s="37" t="inlineStr">
        <is>
          <t>JOB-2033</t>
        </is>
      </c>
      <c r="C1037" s="34" t="n">
        <v>1</v>
      </c>
      <c r="D1037" s="37" t="inlineStr">
        <is>
          <t>Tech A</t>
        </is>
      </c>
      <c r="E1037" s="35" t="n">
        <v>3.4</v>
      </c>
      <c r="F1037" s="35" t="n">
        <v>2.6</v>
      </c>
      <c r="G1037" s="37" t="inlineStr">
        <is>
          <t>Y</t>
        </is>
      </c>
      <c r="H1037" s="37" t="inlineStr">
        <is>
          <t>N</t>
        </is>
      </c>
      <c r="I1037" s="37">
        <f>COUNTIF(G$5:G1037,"Y")/COUNTA(G$5:G1037)</f>
        <v/>
      </c>
      <c r="J1037" s="37">
        <f>COUNTIF(H$5:H1037,"Y")/COUNTA(H$5:H1037)</f>
        <v/>
      </c>
      <c r="K1037" s="37">
        <f>AVERAGE(F$5:F1037)</f>
        <v/>
      </c>
      <c r="L1037" s="37">
        <f>SUM(F$5:F1037)/SUM(E$5:E1037)</f>
        <v/>
      </c>
    </row>
    <row r="1038">
      <c r="A1038" s="29" t="n">
        <v>45796</v>
      </c>
      <c r="B1038" s="37" t="inlineStr">
        <is>
          <t>JOB-2034</t>
        </is>
      </c>
      <c r="C1038" s="34" t="n">
        <v>1</v>
      </c>
      <c r="D1038" s="37" t="inlineStr">
        <is>
          <t>Tech B</t>
        </is>
      </c>
      <c r="E1038" s="35" t="n">
        <v>2.3</v>
      </c>
      <c r="F1038" s="35" t="n">
        <v>2</v>
      </c>
      <c r="G1038" s="37" t="inlineStr">
        <is>
          <t>Y</t>
        </is>
      </c>
      <c r="H1038" s="37" t="inlineStr">
        <is>
          <t>N</t>
        </is>
      </c>
      <c r="I1038" s="37">
        <f>COUNTIF(G$5:G1038,"Y")/COUNTA(G$5:G1038)</f>
        <v/>
      </c>
      <c r="J1038" s="37">
        <f>COUNTIF(H$5:H1038,"Y")/COUNTA(H$5:H1038)</f>
        <v/>
      </c>
      <c r="K1038" s="37">
        <f>AVERAGE(F$5:F1038)</f>
        <v/>
      </c>
      <c r="L1038" s="37">
        <f>SUM(F$5:F1038)/SUM(E$5:E1038)</f>
        <v/>
      </c>
    </row>
    <row r="1039">
      <c r="A1039" s="29" t="n">
        <v>45797</v>
      </c>
      <c r="B1039" s="37" t="inlineStr">
        <is>
          <t>JOB-2035</t>
        </is>
      </c>
      <c r="C1039" s="34" t="n">
        <v>1</v>
      </c>
      <c r="D1039" s="37" t="inlineStr">
        <is>
          <t>Tech G</t>
        </is>
      </c>
      <c r="E1039" s="35" t="n">
        <v>3</v>
      </c>
      <c r="F1039" s="35" t="n">
        <v>2.5</v>
      </c>
      <c r="G1039" s="37" t="inlineStr">
        <is>
          <t>Y</t>
        </is>
      </c>
      <c r="H1039" s="37" t="inlineStr">
        <is>
          <t>N</t>
        </is>
      </c>
      <c r="I1039" s="37">
        <f>COUNTIF(G$5:G1039,"Y")/COUNTA(G$5:G1039)</f>
        <v/>
      </c>
      <c r="J1039" s="37">
        <f>COUNTIF(H$5:H1039,"Y")/COUNTA(H$5:H1039)</f>
        <v/>
      </c>
      <c r="K1039" s="37">
        <f>AVERAGE(F$5:F1039)</f>
        <v/>
      </c>
      <c r="L1039" s="37">
        <f>SUM(F$5:F1039)/SUM(E$5:E1039)</f>
        <v/>
      </c>
    </row>
    <row r="1040">
      <c r="A1040" s="29" t="n">
        <v>45798</v>
      </c>
      <c r="B1040" s="37" t="inlineStr">
        <is>
          <t>JOB-2036</t>
        </is>
      </c>
      <c r="C1040" s="34" t="n">
        <v>1</v>
      </c>
      <c r="D1040" s="37" t="inlineStr">
        <is>
          <t>Tech C</t>
        </is>
      </c>
      <c r="E1040" s="35" t="n">
        <v>3.5</v>
      </c>
      <c r="F1040" s="35" t="n">
        <v>2.5</v>
      </c>
      <c r="G1040" s="37" t="inlineStr">
        <is>
          <t>Y</t>
        </is>
      </c>
      <c r="H1040" s="37" t="inlineStr">
        <is>
          <t>N</t>
        </is>
      </c>
      <c r="I1040" s="37">
        <f>COUNTIF(G$5:G1040,"Y")/COUNTA(G$5:G1040)</f>
        <v/>
      </c>
      <c r="J1040" s="37">
        <f>COUNTIF(H$5:H1040,"Y")/COUNTA(H$5:H1040)</f>
        <v/>
      </c>
      <c r="K1040" s="37">
        <f>AVERAGE(F$5:F1040)</f>
        <v/>
      </c>
      <c r="L1040" s="37">
        <f>SUM(F$5:F1040)/SUM(E$5:E1040)</f>
        <v/>
      </c>
    </row>
    <row r="1041">
      <c r="A1041" s="29" t="n">
        <v>45799</v>
      </c>
      <c r="B1041" s="37" t="inlineStr">
        <is>
          <t>JOB-2037</t>
        </is>
      </c>
      <c r="C1041" s="34" t="n">
        <v>1</v>
      </c>
      <c r="D1041" s="37" t="inlineStr">
        <is>
          <t>Tech D</t>
        </is>
      </c>
      <c r="E1041" s="35" t="n">
        <v>2.2</v>
      </c>
      <c r="F1041" s="35" t="n">
        <v>1.7</v>
      </c>
      <c r="G1041" s="37" t="inlineStr">
        <is>
          <t>Y</t>
        </is>
      </c>
      <c r="H1041" s="37" t="inlineStr">
        <is>
          <t>N</t>
        </is>
      </c>
      <c r="I1041" s="37">
        <f>COUNTIF(G$5:G1041,"Y")/COUNTA(G$5:G1041)</f>
        <v/>
      </c>
      <c r="J1041" s="37">
        <f>COUNTIF(H$5:H1041,"Y")/COUNTA(H$5:H1041)</f>
        <v/>
      </c>
      <c r="K1041" s="37">
        <f>AVERAGE(F$5:F1041)</f>
        <v/>
      </c>
      <c r="L1041" s="37">
        <f>SUM(F$5:F1041)/SUM(E$5:E1041)</f>
        <v/>
      </c>
    </row>
    <row r="1042">
      <c r="A1042" s="29" t="n">
        <v>45800</v>
      </c>
      <c r="B1042" s="37" t="inlineStr">
        <is>
          <t>JOB-2038</t>
        </is>
      </c>
      <c r="C1042" s="34" t="n">
        <v>1</v>
      </c>
      <c r="D1042" s="37" t="inlineStr">
        <is>
          <t>Tech G</t>
        </is>
      </c>
      <c r="E1042" s="35" t="n">
        <v>2.7</v>
      </c>
      <c r="F1042" s="35" t="n">
        <v>2.1</v>
      </c>
      <c r="G1042" s="37" t="inlineStr">
        <is>
          <t>Y</t>
        </is>
      </c>
      <c r="H1042" s="37" t="inlineStr">
        <is>
          <t>N</t>
        </is>
      </c>
      <c r="I1042" s="37">
        <f>COUNTIF(G$5:G1042,"Y")/COUNTA(G$5:G1042)</f>
        <v/>
      </c>
      <c r="J1042" s="37">
        <f>COUNTIF(H$5:H1042,"Y")/COUNTA(H$5:H1042)</f>
        <v/>
      </c>
      <c r="K1042" s="37">
        <f>AVERAGE(F$5:F1042)</f>
        <v/>
      </c>
      <c r="L1042" s="37">
        <f>SUM(F$5:F1042)/SUM(E$5:E1042)</f>
        <v/>
      </c>
    </row>
    <row r="1043">
      <c r="A1043" s="29" t="n">
        <v>45796</v>
      </c>
      <c r="B1043" s="37" t="inlineStr">
        <is>
          <t>JOB-2039</t>
        </is>
      </c>
      <c r="C1043" s="34" t="n">
        <v>1</v>
      </c>
      <c r="D1043" s="37" t="inlineStr">
        <is>
          <t>Tech H</t>
        </is>
      </c>
      <c r="E1043" s="35" t="n">
        <v>2.1</v>
      </c>
      <c r="F1043" s="35" t="n">
        <v>1.7</v>
      </c>
      <c r="G1043" s="37" t="inlineStr">
        <is>
          <t>Y</t>
        </is>
      </c>
      <c r="H1043" s="37" t="inlineStr">
        <is>
          <t>N</t>
        </is>
      </c>
      <c r="I1043" s="37">
        <f>COUNTIF(G$5:G1043,"Y")/COUNTA(G$5:G1043)</f>
        <v/>
      </c>
      <c r="J1043" s="37">
        <f>COUNTIF(H$5:H1043,"Y")/COUNTA(H$5:H1043)</f>
        <v/>
      </c>
      <c r="K1043" s="37">
        <f>AVERAGE(F$5:F1043)</f>
        <v/>
      </c>
      <c r="L1043" s="37">
        <f>SUM(F$5:F1043)/SUM(E$5:E1043)</f>
        <v/>
      </c>
    </row>
    <row r="1044">
      <c r="A1044" s="29" t="n">
        <v>45797</v>
      </c>
      <c r="B1044" s="37" t="inlineStr">
        <is>
          <t>JOB-2040</t>
        </is>
      </c>
      <c r="C1044" s="34" t="n">
        <v>1</v>
      </c>
      <c r="D1044" s="37" t="inlineStr">
        <is>
          <t>Tech A</t>
        </is>
      </c>
      <c r="E1044" s="35" t="n">
        <v>4.4</v>
      </c>
      <c r="F1044" s="35" t="n">
        <v>3.2</v>
      </c>
      <c r="G1044" s="37" t="inlineStr">
        <is>
          <t>Y</t>
        </is>
      </c>
      <c r="H1044" s="37" t="inlineStr">
        <is>
          <t>N</t>
        </is>
      </c>
      <c r="I1044" s="37">
        <f>COUNTIF(G$5:G1044,"Y")/COUNTA(G$5:G1044)</f>
        <v/>
      </c>
      <c r="J1044" s="37">
        <f>COUNTIF(H$5:H1044,"Y")/COUNTA(H$5:H1044)</f>
        <v/>
      </c>
      <c r="K1044" s="37">
        <f>AVERAGE(F$5:F1044)</f>
        <v/>
      </c>
      <c r="L1044" s="37">
        <f>SUM(F$5:F1044)/SUM(E$5:E1044)</f>
        <v/>
      </c>
    </row>
    <row r="1045">
      <c r="A1045" s="29" t="n">
        <v>45798</v>
      </c>
      <c r="B1045" s="37" t="inlineStr">
        <is>
          <t>JOB-2041</t>
        </is>
      </c>
      <c r="C1045" s="34" t="n">
        <v>1</v>
      </c>
      <c r="D1045" s="37" t="inlineStr">
        <is>
          <t>Tech D</t>
        </is>
      </c>
      <c r="E1045" s="35" t="n">
        <v>5</v>
      </c>
      <c r="F1045" s="35" t="n">
        <v>3.5</v>
      </c>
      <c r="G1045" s="37" t="inlineStr">
        <is>
          <t>Y</t>
        </is>
      </c>
      <c r="H1045" s="37" t="inlineStr">
        <is>
          <t>N</t>
        </is>
      </c>
      <c r="I1045" s="37">
        <f>COUNTIF(G$5:G1045,"Y")/COUNTA(G$5:G1045)</f>
        <v/>
      </c>
      <c r="J1045" s="37">
        <f>COUNTIF(H$5:H1045,"Y")/COUNTA(H$5:H1045)</f>
        <v/>
      </c>
      <c r="K1045" s="37">
        <f>AVERAGE(F$5:F1045)</f>
        <v/>
      </c>
      <c r="L1045" s="37">
        <f>SUM(F$5:F1045)/SUM(E$5:E1045)</f>
        <v/>
      </c>
    </row>
    <row r="1046">
      <c r="A1046" s="29" t="n">
        <v>45799</v>
      </c>
      <c r="B1046" s="37" t="inlineStr">
        <is>
          <t>JOB-2042</t>
        </is>
      </c>
      <c r="C1046" s="34" t="n">
        <v>1</v>
      </c>
      <c r="D1046" s="37" t="inlineStr">
        <is>
          <t>Tech H</t>
        </is>
      </c>
      <c r="E1046" s="35" t="n">
        <v>2.9</v>
      </c>
      <c r="F1046" s="35" t="n">
        <v>2.4</v>
      </c>
      <c r="G1046" s="37" t="inlineStr">
        <is>
          <t>N</t>
        </is>
      </c>
      <c r="H1046" s="37" t="inlineStr">
        <is>
          <t>N</t>
        </is>
      </c>
      <c r="I1046" s="37">
        <f>COUNTIF(G$5:G1046,"Y")/COUNTA(G$5:G1046)</f>
        <v/>
      </c>
      <c r="J1046" s="37">
        <f>COUNTIF(H$5:H1046,"Y")/COUNTA(H$5:H1046)</f>
        <v/>
      </c>
      <c r="K1046" s="37">
        <f>AVERAGE(F$5:F1046)</f>
        <v/>
      </c>
      <c r="L1046" s="37">
        <f>SUM(F$5:F1046)/SUM(E$5:E1046)</f>
        <v/>
      </c>
    </row>
    <row r="1047">
      <c r="A1047" s="29" t="n">
        <v>45800</v>
      </c>
      <c r="B1047" s="37" t="inlineStr">
        <is>
          <t>JOB-2043</t>
        </is>
      </c>
      <c r="C1047" s="34" t="n">
        <v>1</v>
      </c>
      <c r="D1047" s="37" t="inlineStr">
        <is>
          <t>Tech C</t>
        </is>
      </c>
      <c r="E1047" s="35" t="n">
        <v>3</v>
      </c>
      <c r="F1047" s="35" t="n">
        <v>2.1</v>
      </c>
      <c r="G1047" s="37" t="inlineStr">
        <is>
          <t>Y</t>
        </is>
      </c>
      <c r="H1047" s="37" t="inlineStr">
        <is>
          <t>N</t>
        </is>
      </c>
      <c r="I1047" s="37">
        <f>COUNTIF(G$5:G1047,"Y")/COUNTA(G$5:G1047)</f>
        <v/>
      </c>
      <c r="J1047" s="37">
        <f>COUNTIF(H$5:H1047,"Y")/COUNTA(H$5:H1047)</f>
        <v/>
      </c>
      <c r="K1047" s="37">
        <f>AVERAGE(F$5:F1047)</f>
        <v/>
      </c>
      <c r="L1047" s="37">
        <f>SUM(F$5:F1047)/SUM(E$5:E1047)</f>
        <v/>
      </c>
    </row>
    <row r="1048">
      <c r="A1048" s="29" t="n">
        <v>45796</v>
      </c>
      <c r="B1048" s="37" t="inlineStr">
        <is>
          <t>JOB-2044</t>
        </is>
      </c>
      <c r="C1048" s="34" t="n">
        <v>1</v>
      </c>
      <c r="D1048" s="37" t="inlineStr">
        <is>
          <t>Tech C</t>
        </is>
      </c>
      <c r="E1048" s="35" t="n">
        <v>2.3</v>
      </c>
      <c r="F1048" s="35" t="n">
        <v>1.7</v>
      </c>
      <c r="G1048" s="37" t="inlineStr">
        <is>
          <t>Y</t>
        </is>
      </c>
      <c r="H1048" s="37" t="inlineStr">
        <is>
          <t>N</t>
        </is>
      </c>
      <c r="I1048" s="37">
        <f>COUNTIF(G$5:G1048,"Y")/COUNTA(G$5:G1048)</f>
        <v/>
      </c>
      <c r="J1048" s="37">
        <f>COUNTIF(H$5:H1048,"Y")/COUNTA(H$5:H1048)</f>
        <v/>
      </c>
      <c r="K1048" s="37">
        <f>AVERAGE(F$5:F1048)</f>
        <v/>
      </c>
      <c r="L1048" s="37">
        <f>SUM(F$5:F1048)/SUM(E$5:E1048)</f>
        <v/>
      </c>
    </row>
    <row r="1049">
      <c r="A1049" s="29" t="n">
        <v>45797</v>
      </c>
      <c r="B1049" s="37" t="inlineStr">
        <is>
          <t>JOB-2045</t>
        </is>
      </c>
      <c r="C1049" s="34" t="n">
        <v>1</v>
      </c>
      <c r="D1049" s="37" t="inlineStr">
        <is>
          <t>Tech C</t>
        </is>
      </c>
      <c r="E1049" s="35" t="n">
        <v>4</v>
      </c>
      <c r="F1049" s="35" t="n">
        <v>3.2</v>
      </c>
      <c r="G1049" s="37" t="inlineStr">
        <is>
          <t>Y</t>
        </is>
      </c>
      <c r="H1049" s="37" t="inlineStr">
        <is>
          <t>N</t>
        </is>
      </c>
      <c r="I1049" s="37">
        <f>COUNTIF(G$5:G1049,"Y")/COUNTA(G$5:G1049)</f>
        <v/>
      </c>
      <c r="J1049" s="37">
        <f>COUNTIF(H$5:H1049,"Y")/COUNTA(H$5:H1049)</f>
        <v/>
      </c>
      <c r="K1049" s="37">
        <f>AVERAGE(F$5:F1049)</f>
        <v/>
      </c>
      <c r="L1049" s="37">
        <f>SUM(F$5:F1049)/SUM(E$5:E1049)</f>
        <v/>
      </c>
    </row>
    <row r="1050">
      <c r="A1050" s="29" t="n">
        <v>45798</v>
      </c>
      <c r="B1050" s="37" t="inlineStr">
        <is>
          <t>JOB-2046</t>
        </is>
      </c>
      <c r="C1050" s="34" t="n">
        <v>1</v>
      </c>
      <c r="D1050" s="37" t="inlineStr">
        <is>
          <t>Tech C</t>
        </is>
      </c>
      <c r="E1050" s="35" t="n">
        <v>2.6</v>
      </c>
      <c r="F1050" s="35" t="n">
        <v>2</v>
      </c>
      <c r="G1050" s="37" t="inlineStr">
        <is>
          <t>Y</t>
        </is>
      </c>
      <c r="H1050" s="37" t="inlineStr">
        <is>
          <t>N</t>
        </is>
      </c>
      <c r="I1050" s="37">
        <f>COUNTIF(G$5:G1050,"Y")/COUNTA(G$5:G1050)</f>
        <v/>
      </c>
      <c r="J1050" s="37">
        <f>COUNTIF(H$5:H1050,"Y")/COUNTA(H$5:H1050)</f>
        <v/>
      </c>
      <c r="K1050" s="37">
        <f>AVERAGE(F$5:F1050)</f>
        <v/>
      </c>
      <c r="L1050" s="37">
        <f>SUM(F$5:F1050)/SUM(E$5:E1050)</f>
        <v/>
      </c>
    </row>
    <row r="1051">
      <c r="A1051" s="29" t="n">
        <v>45799</v>
      </c>
      <c r="B1051" s="37" t="inlineStr">
        <is>
          <t>JOB-2047</t>
        </is>
      </c>
      <c r="C1051" s="34" t="n">
        <v>1</v>
      </c>
      <c r="D1051" s="37" t="inlineStr">
        <is>
          <t>Tech F</t>
        </is>
      </c>
      <c r="E1051" s="35" t="n">
        <v>3.6</v>
      </c>
      <c r="F1051" s="35" t="n">
        <v>3</v>
      </c>
      <c r="G1051" s="37" t="inlineStr">
        <is>
          <t>N</t>
        </is>
      </c>
      <c r="H1051" s="37" t="inlineStr">
        <is>
          <t>N</t>
        </is>
      </c>
      <c r="I1051" s="37">
        <f>COUNTIF(G$5:G1051,"Y")/COUNTA(G$5:G1051)</f>
        <v/>
      </c>
      <c r="J1051" s="37">
        <f>COUNTIF(H$5:H1051,"Y")/COUNTA(H$5:H1051)</f>
        <v/>
      </c>
      <c r="K1051" s="37">
        <f>AVERAGE(F$5:F1051)</f>
        <v/>
      </c>
      <c r="L1051" s="37">
        <f>SUM(F$5:F1051)/SUM(E$5:E1051)</f>
        <v/>
      </c>
    </row>
    <row r="1052">
      <c r="A1052" s="29" t="n">
        <v>45800</v>
      </c>
      <c r="B1052" s="37" t="inlineStr">
        <is>
          <t>JOB-2048</t>
        </is>
      </c>
      <c r="C1052" s="34" t="n">
        <v>1</v>
      </c>
      <c r="D1052" s="37" t="inlineStr">
        <is>
          <t>Tech F</t>
        </is>
      </c>
      <c r="E1052" s="35" t="n">
        <v>2.3</v>
      </c>
      <c r="F1052" s="35" t="n">
        <v>1.8</v>
      </c>
      <c r="G1052" s="37" t="inlineStr">
        <is>
          <t>Y</t>
        </is>
      </c>
      <c r="H1052" s="37" t="inlineStr">
        <is>
          <t>N</t>
        </is>
      </c>
      <c r="I1052" s="37">
        <f>COUNTIF(G$5:G1052,"Y")/COUNTA(G$5:G1052)</f>
        <v/>
      </c>
      <c r="J1052" s="37">
        <f>COUNTIF(H$5:H1052,"Y")/COUNTA(H$5:H1052)</f>
        <v/>
      </c>
      <c r="K1052" s="37">
        <f>AVERAGE(F$5:F1052)</f>
        <v/>
      </c>
      <c r="L1052" s="37">
        <f>SUM(F$5:F1052)/SUM(E$5:E1052)</f>
        <v/>
      </c>
    </row>
    <row r="1053">
      <c r="A1053" s="29" t="n">
        <v>45796</v>
      </c>
      <c r="B1053" s="37" t="inlineStr">
        <is>
          <t>JOB-2049</t>
        </is>
      </c>
      <c r="C1053" s="34" t="n">
        <v>1</v>
      </c>
      <c r="D1053" s="37" t="inlineStr">
        <is>
          <t>Tech G</t>
        </is>
      </c>
      <c r="E1053" s="35" t="n">
        <v>3.8</v>
      </c>
      <c r="F1053" s="35" t="n">
        <v>3.1</v>
      </c>
      <c r="G1053" s="37" t="inlineStr">
        <is>
          <t>Y</t>
        </is>
      </c>
      <c r="H1053" s="37" t="inlineStr">
        <is>
          <t>N</t>
        </is>
      </c>
      <c r="I1053" s="37">
        <f>COUNTIF(G$5:G1053,"Y")/COUNTA(G$5:G1053)</f>
        <v/>
      </c>
      <c r="J1053" s="37">
        <f>COUNTIF(H$5:H1053,"Y")/COUNTA(H$5:H1053)</f>
        <v/>
      </c>
      <c r="K1053" s="37">
        <f>AVERAGE(F$5:F1053)</f>
        <v/>
      </c>
      <c r="L1053" s="37">
        <f>SUM(F$5:F1053)/SUM(E$5:E1053)</f>
        <v/>
      </c>
    </row>
    <row r="1054">
      <c r="A1054" s="29" t="n">
        <v>45797</v>
      </c>
      <c r="B1054" s="37" t="inlineStr">
        <is>
          <t>JOB-2050</t>
        </is>
      </c>
      <c r="C1054" s="34" t="n">
        <v>1</v>
      </c>
      <c r="D1054" s="37" t="inlineStr">
        <is>
          <t>Tech C</t>
        </is>
      </c>
      <c r="E1054" s="35" t="n">
        <v>3.1</v>
      </c>
      <c r="F1054" s="35" t="n">
        <v>2.6</v>
      </c>
      <c r="G1054" s="37" t="inlineStr">
        <is>
          <t>Y</t>
        </is>
      </c>
      <c r="H1054" s="37" t="inlineStr">
        <is>
          <t>N</t>
        </is>
      </c>
      <c r="I1054" s="37">
        <f>COUNTIF(G$5:G1054,"Y")/COUNTA(G$5:G1054)</f>
        <v/>
      </c>
      <c r="J1054" s="37">
        <f>COUNTIF(H$5:H1054,"Y")/COUNTA(H$5:H1054)</f>
        <v/>
      </c>
      <c r="K1054" s="37">
        <f>AVERAGE(F$5:F1054)</f>
        <v/>
      </c>
      <c r="L1054" s="37">
        <f>SUM(F$5:F1054)/SUM(E$5:E1054)</f>
        <v/>
      </c>
    </row>
    <row r="1055">
      <c r="A1055" s="29" t="n">
        <v>45798</v>
      </c>
      <c r="B1055" s="37" t="inlineStr">
        <is>
          <t>JOB-2051</t>
        </is>
      </c>
      <c r="C1055" s="34" t="n">
        <v>1</v>
      </c>
      <c r="D1055" s="37" t="inlineStr">
        <is>
          <t>Tech C</t>
        </is>
      </c>
      <c r="E1055" s="35" t="n">
        <v>2.3</v>
      </c>
      <c r="F1055" s="35" t="n">
        <v>1.9</v>
      </c>
      <c r="G1055" s="37" t="inlineStr">
        <is>
          <t>Y</t>
        </is>
      </c>
      <c r="H1055" s="37" t="inlineStr">
        <is>
          <t>N</t>
        </is>
      </c>
      <c r="I1055" s="37">
        <f>COUNTIF(G$5:G1055,"Y")/COUNTA(G$5:G1055)</f>
        <v/>
      </c>
      <c r="J1055" s="37">
        <f>COUNTIF(H$5:H1055,"Y")/COUNTA(H$5:H1055)</f>
        <v/>
      </c>
      <c r="K1055" s="37">
        <f>AVERAGE(F$5:F1055)</f>
        <v/>
      </c>
      <c r="L1055" s="37">
        <f>SUM(F$5:F1055)/SUM(E$5:E1055)</f>
        <v/>
      </c>
    </row>
    <row r="1056">
      <c r="A1056" s="29" t="n">
        <v>45799</v>
      </c>
      <c r="B1056" s="37" t="inlineStr">
        <is>
          <t>JOB-2052</t>
        </is>
      </c>
      <c r="C1056" s="34" t="n">
        <v>1</v>
      </c>
      <c r="D1056" s="37" t="inlineStr">
        <is>
          <t>Tech A</t>
        </is>
      </c>
      <c r="E1056" s="35" t="n">
        <v>3.1</v>
      </c>
      <c r="F1056" s="35" t="n">
        <v>2.6</v>
      </c>
      <c r="G1056" s="37" t="inlineStr">
        <is>
          <t>Y</t>
        </is>
      </c>
      <c r="H1056" s="37" t="inlineStr">
        <is>
          <t>N</t>
        </is>
      </c>
      <c r="I1056" s="37">
        <f>COUNTIF(G$5:G1056,"Y")/COUNTA(G$5:G1056)</f>
        <v/>
      </c>
      <c r="J1056" s="37">
        <f>COUNTIF(H$5:H1056,"Y")/COUNTA(H$5:H1056)</f>
        <v/>
      </c>
      <c r="K1056" s="37">
        <f>AVERAGE(F$5:F1056)</f>
        <v/>
      </c>
      <c r="L1056" s="37">
        <f>SUM(F$5:F1056)/SUM(E$5:E1056)</f>
        <v/>
      </c>
    </row>
    <row r="1057">
      <c r="A1057" s="29" t="n">
        <v>45800</v>
      </c>
      <c r="B1057" s="37" t="inlineStr">
        <is>
          <t>JOB-2053</t>
        </is>
      </c>
      <c r="C1057" s="34" t="n">
        <v>1</v>
      </c>
      <c r="D1057" s="37" t="inlineStr">
        <is>
          <t>Tech D</t>
        </is>
      </c>
      <c r="E1057" s="35" t="n">
        <v>4.5</v>
      </c>
      <c r="F1057" s="35" t="n">
        <v>3.1</v>
      </c>
      <c r="G1057" s="37" t="inlineStr">
        <is>
          <t>Y</t>
        </is>
      </c>
      <c r="H1057" s="37" t="inlineStr">
        <is>
          <t>N</t>
        </is>
      </c>
      <c r="I1057" s="37">
        <f>COUNTIF(G$5:G1057,"Y")/COUNTA(G$5:G1057)</f>
        <v/>
      </c>
      <c r="J1057" s="37">
        <f>COUNTIF(H$5:H1057,"Y")/COUNTA(H$5:H1057)</f>
        <v/>
      </c>
      <c r="K1057" s="37">
        <f>AVERAGE(F$5:F1057)</f>
        <v/>
      </c>
      <c r="L1057" s="37">
        <f>SUM(F$5:F1057)/SUM(E$5:E1057)</f>
        <v/>
      </c>
    </row>
    <row r="1058">
      <c r="A1058" s="29" t="n">
        <v>45796</v>
      </c>
      <c r="B1058" s="37" t="inlineStr">
        <is>
          <t>JOB-2054</t>
        </is>
      </c>
      <c r="C1058" s="34" t="n">
        <v>1</v>
      </c>
      <c r="D1058" s="37" t="inlineStr">
        <is>
          <t>Tech A</t>
        </is>
      </c>
      <c r="E1058" s="35" t="n">
        <v>2.2</v>
      </c>
      <c r="F1058" s="35" t="n">
        <v>1.6</v>
      </c>
      <c r="G1058" s="37" t="inlineStr">
        <is>
          <t>Y</t>
        </is>
      </c>
      <c r="H1058" s="37" t="inlineStr">
        <is>
          <t>N</t>
        </is>
      </c>
      <c r="I1058" s="37">
        <f>COUNTIF(G$5:G1058,"Y")/COUNTA(G$5:G1058)</f>
        <v/>
      </c>
      <c r="J1058" s="37">
        <f>COUNTIF(H$5:H1058,"Y")/COUNTA(H$5:H1058)</f>
        <v/>
      </c>
      <c r="K1058" s="37">
        <f>AVERAGE(F$5:F1058)</f>
        <v/>
      </c>
      <c r="L1058" s="37">
        <f>SUM(F$5:F1058)/SUM(E$5:E1058)</f>
        <v/>
      </c>
    </row>
    <row r="1059">
      <c r="A1059" s="29" t="n">
        <v>45797</v>
      </c>
      <c r="B1059" s="37" t="inlineStr">
        <is>
          <t>JOB-2055</t>
        </is>
      </c>
      <c r="C1059" s="34" t="n">
        <v>1</v>
      </c>
      <c r="D1059" s="37" t="inlineStr">
        <is>
          <t>Tech C</t>
        </is>
      </c>
      <c r="E1059" s="35" t="n">
        <v>2</v>
      </c>
      <c r="F1059" s="35" t="n">
        <v>1.7</v>
      </c>
      <c r="G1059" s="37" t="inlineStr">
        <is>
          <t>Y</t>
        </is>
      </c>
      <c r="H1059" s="37" t="inlineStr">
        <is>
          <t>N</t>
        </is>
      </c>
      <c r="I1059" s="37">
        <f>COUNTIF(G$5:G1059,"Y")/COUNTA(G$5:G1059)</f>
        <v/>
      </c>
      <c r="J1059" s="37">
        <f>COUNTIF(H$5:H1059,"Y")/COUNTA(H$5:H1059)</f>
        <v/>
      </c>
      <c r="K1059" s="37">
        <f>AVERAGE(F$5:F1059)</f>
        <v/>
      </c>
      <c r="L1059" s="37">
        <f>SUM(F$5:F1059)/SUM(E$5:E1059)</f>
        <v/>
      </c>
    </row>
    <row r="1060">
      <c r="A1060" s="29" t="n">
        <v>45798</v>
      </c>
      <c r="B1060" s="37" t="inlineStr">
        <is>
          <t>JOB-2056</t>
        </is>
      </c>
      <c r="C1060" s="34" t="n">
        <v>1</v>
      </c>
      <c r="D1060" s="37" t="inlineStr">
        <is>
          <t>Tech G</t>
        </is>
      </c>
      <c r="E1060" s="35" t="n">
        <v>2.1</v>
      </c>
      <c r="F1060" s="35" t="n">
        <v>1.8</v>
      </c>
      <c r="G1060" s="37" t="inlineStr">
        <is>
          <t>Y</t>
        </is>
      </c>
      <c r="H1060" s="37" t="inlineStr">
        <is>
          <t>N</t>
        </is>
      </c>
      <c r="I1060" s="37">
        <f>COUNTIF(G$5:G1060,"Y")/COUNTA(G$5:G1060)</f>
        <v/>
      </c>
      <c r="J1060" s="37">
        <f>COUNTIF(H$5:H1060,"Y")/COUNTA(H$5:H1060)</f>
        <v/>
      </c>
      <c r="K1060" s="37">
        <f>AVERAGE(F$5:F1060)</f>
        <v/>
      </c>
      <c r="L1060" s="37">
        <f>SUM(F$5:F1060)/SUM(E$5:E1060)</f>
        <v/>
      </c>
    </row>
    <row r="1061">
      <c r="A1061" s="29" t="n">
        <v>45799</v>
      </c>
      <c r="B1061" s="37" t="inlineStr">
        <is>
          <t>JOB-2057</t>
        </is>
      </c>
      <c r="C1061" s="34" t="n">
        <v>1</v>
      </c>
      <c r="D1061" s="37" t="inlineStr">
        <is>
          <t>Tech H</t>
        </is>
      </c>
      <c r="E1061" s="35" t="n">
        <v>4.3</v>
      </c>
      <c r="F1061" s="35" t="n">
        <v>3</v>
      </c>
      <c r="G1061" s="37" t="inlineStr">
        <is>
          <t>Y</t>
        </is>
      </c>
      <c r="H1061" s="37" t="inlineStr">
        <is>
          <t>N</t>
        </is>
      </c>
      <c r="I1061" s="37">
        <f>COUNTIF(G$5:G1061,"Y")/COUNTA(G$5:G1061)</f>
        <v/>
      </c>
      <c r="J1061" s="37">
        <f>COUNTIF(H$5:H1061,"Y")/COUNTA(H$5:H1061)</f>
        <v/>
      </c>
      <c r="K1061" s="37">
        <f>AVERAGE(F$5:F1061)</f>
        <v/>
      </c>
      <c r="L1061" s="37">
        <f>SUM(F$5:F1061)/SUM(E$5:E1061)</f>
        <v/>
      </c>
    </row>
    <row r="1062">
      <c r="A1062" s="29" t="n">
        <v>45800</v>
      </c>
      <c r="B1062" s="37" t="inlineStr">
        <is>
          <t>JOB-2058</t>
        </is>
      </c>
      <c r="C1062" s="34" t="n">
        <v>1</v>
      </c>
      <c r="D1062" s="37" t="inlineStr">
        <is>
          <t>Tech F</t>
        </is>
      </c>
      <c r="E1062" s="35" t="n">
        <v>0.7</v>
      </c>
      <c r="F1062" s="35" t="n">
        <v>0.5</v>
      </c>
      <c r="G1062" s="37" t="inlineStr">
        <is>
          <t>Y</t>
        </is>
      </c>
      <c r="H1062" s="37" t="inlineStr">
        <is>
          <t>N</t>
        </is>
      </c>
      <c r="I1062" s="37">
        <f>COUNTIF(G$5:G1062,"Y")/COUNTA(G$5:G1062)</f>
        <v/>
      </c>
      <c r="J1062" s="37">
        <f>COUNTIF(H$5:H1062,"Y")/COUNTA(H$5:H1062)</f>
        <v/>
      </c>
      <c r="K1062" s="37">
        <f>AVERAGE(F$5:F1062)</f>
        <v/>
      </c>
      <c r="L1062" s="37">
        <f>SUM(F$5:F1062)/SUM(E$5:E1062)</f>
        <v/>
      </c>
    </row>
    <row r="1063">
      <c r="A1063" s="29" t="n">
        <v>45796</v>
      </c>
      <c r="B1063" s="37" t="inlineStr">
        <is>
          <t>JOB-2059</t>
        </is>
      </c>
      <c r="C1063" s="34" t="n">
        <v>1</v>
      </c>
      <c r="D1063" s="37" t="inlineStr">
        <is>
          <t>Tech B</t>
        </is>
      </c>
      <c r="E1063" s="35" t="n">
        <v>0.6</v>
      </c>
      <c r="F1063" s="35" t="n">
        <v>0.5</v>
      </c>
      <c r="G1063" s="37" t="inlineStr">
        <is>
          <t>N</t>
        </is>
      </c>
      <c r="H1063" s="37" t="inlineStr">
        <is>
          <t>N</t>
        </is>
      </c>
      <c r="I1063" s="37">
        <f>COUNTIF(G$5:G1063,"Y")/COUNTA(G$5:G1063)</f>
        <v/>
      </c>
      <c r="J1063" s="37">
        <f>COUNTIF(H$5:H1063,"Y")/COUNTA(H$5:H1063)</f>
        <v/>
      </c>
      <c r="K1063" s="37">
        <f>AVERAGE(F$5:F1063)</f>
        <v/>
      </c>
      <c r="L1063" s="37">
        <f>SUM(F$5:F1063)/SUM(E$5:E1063)</f>
        <v/>
      </c>
    </row>
    <row r="1064">
      <c r="A1064" s="29" t="n">
        <v>45797</v>
      </c>
      <c r="B1064" s="37" t="inlineStr">
        <is>
          <t>JOB-2060</t>
        </is>
      </c>
      <c r="C1064" s="34" t="n">
        <v>1</v>
      </c>
      <c r="D1064" s="37" t="inlineStr">
        <is>
          <t>Tech F</t>
        </is>
      </c>
      <c r="E1064" s="35" t="n">
        <v>0.6</v>
      </c>
      <c r="F1064" s="35" t="n">
        <v>0.5</v>
      </c>
      <c r="G1064" s="37" t="inlineStr">
        <is>
          <t>Y</t>
        </is>
      </c>
      <c r="H1064" s="37" t="inlineStr">
        <is>
          <t>N</t>
        </is>
      </c>
      <c r="I1064" s="37">
        <f>COUNTIF(G$5:G1064,"Y")/COUNTA(G$5:G1064)</f>
        <v/>
      </c>
      <c r="J1064" s="37">
        <f>COUNTIF(H$5:H1064,"Y")/COUNTA(H$5:H1064)</f>
        <v/>
      </c>
      <c r="K1064" s="37">
        <f>AVERAGE(F$5:F1064)</f>
        <v/>
      </c>
      <c r="L1064" s="37">
        <f>SUM(F$5:F1064)/SUM(E$5:E1064)</f>
        <v/>
      </c>
    </row>
    <row r="1065">
      <c r="A1065" s="29" t="n">
        <v>45798</v>
      </c>
      <c r="B1065" s="37" t="inlineStr">
        <is>
          <t>JOB-2061</t>
        </is>
      </c>
      <c r="C1065" s="34" t="n">
        <v>1</v>
      </c>
      <c r="D1065" s="37" t="inlineStr">
        <is>
          <t>Tech F</t>
        </is>
      </c>
      <c r="E1065" s="35" t="n">
        <v>0.7</v>
      </c>
      <c r="F1065" s="35" t="n">
        <v>0.5</v>
      </c>
      <c r="G1065" s="37" t="inlineStr">
        <is>
          <t>Y</t>
        </is>
      </c>
      <c r="H1065" s="37" t="inlineStr">
        <is>
          <t>N</t>
        </is>
      </c>
      <c r="I1065" s="37">
        <f>COUNTIF(G$5:G1065,"Y")/COUNTA(G$5:G1065)</f>
        <v/>
      </c>
      <c r="J1065" s="37">
        <f>COUNTIF(H$5:H1065,"Y")/COUNTA(H$5:H1065)</f>
        <v/>
      </c>
      <c r="K1065" s="37">
        <f>AVERAGE(F$5:F1065)</f>
        <v/>
      </c>
      <c r="L1065" s="37">
        <f>SUM(F$5:F1065)/SUM(E$5:E1065)</f>
        <v/>
      </c>
    </row>
    <row r="1066">
      <c r="A1066" s="29" t="n">
        <v>45799</v>
      </c>
      <c r="B1066" s="37" t="inlineStr">
        <is>
          <t>JOB-2062</t>
        </is>
      </c>
      <c r="C1066" s="34" t="n">
        <v>1</v>
      </c>
      <c r="D1066" s="37" t="inlineStr">
        <is>
          <t>Tech H</t>
        </is>
      </c>
      <c r="E1066" s="35" t="n">
        <v>0.7</v>
      </c>
      <c r="F1066" s="35" t="n">
        <v>0.5</v>
      </c>
      <c r="G1066" s="37" t="inlineStr">
        <is>
          <t>Y</t>
        </is>
      </c>
      <c r="H1066" s="37" t="inlineStr">
        <is>
          <t>N</t>
        </is>
      </c>
      <c r="I1066" s="37">
        <f>COUNTIF(G$5:G1066,"Y")/COUNTA(G$5:G1066)</f>
        <v/>
      </c>
      <c r="J1066" s="37">
        <f>COUNTIF(H$5:H1066,"Y")/COUNTA(H$5:H1066)</f>
        <v/>
      </c>
      <c r="K1066" s="37">
        <f>AVERAGE(F$5:F1066)</f>
        <v/>
      </c>
      <c r="L1066" s="37">
        <f>SUM(F$5:F1066)/SUM(E$5:E1066)</f>
        <v/>
      </c>
    </row>
    <row r="1067">
      <c r="A1067" s="29" t="n">
        <v>45800</v>
      </c>
      <c r="B1067" s="37" t="inlineStr">
        <is>
          <t>JOB-2063</t>
        </is>
      </c>
      <c r="C1067" s="34" t="n">
        <v>1</v>
      </c>
      <c r="D1067" s="37" t="inlineStr">
        <is>
          <t>Tech H</t>
        </is>
      </c>
      <c r="E1067" s="35" t="n">
        <v>0.6</v>
      </c>
      <c r="F1067" s="35" t="n">
        <v>0.5</v>
      </c>
      <c r="G1067" s="37" t="inlineStr">
        <is>
          <t>Y</t>
        </is>
      </c>
      <c r="H1067" s="37" t="inlineStr">
        <is>
          <t>N</t>
        </is>
      </c>
      <c r="I1067" s="37">
        <f>COUNTIF(G$5:G1067,"Y")/COUNTA(G$5:G1067)</f>
        <v/>
      </c>
      <c r="J1067" s="37">
        <f>COUNTIF(H$5:H1067,"Y")/COUNTA(H$5:H1067)</f>
        <v/>
      </c>
      <c r="K1067" s="37">
        <f>AVERAGE(F$5:F1067)</f>
        <v/>
      </c>
      <c r="L1067" s="37">
        <f>SUM(F$5:F1067)/SUM(E$5:E1067)</f>
        <v/>
      </c>
    </row>
    <row r="1068">
      <c r="A1068" s="29" t="n">
        <v>45796</v>
      </c>
      <c r="B1068" s="37" t="inlineStr">
        <is>
          <t>JOB-2064</t>
        </is>
      </c>
      <c r="C1068" s="34" t="n">
        <v>1</v>
      </c>
      <c r="D1068" s="37" t="inlineStr">
        <is>
          <t>Tech F</t>
        </is>
      </c>
      <c r="E1068" s="35" t="n">
        <v>2.2</v>
      </c>
      <c r="F1068" s="35" t="n">
        <v>0.5</v>
      </c>
      <c r="G1068" s="37" t="inlineStr">
        <is>
          <t>Y</t>
        </is>
      </c>
      <c r="H1068" s="37" t="inlineStr">
        <is>
          <t>N</t>
        </is>
      </c>
      <c r="I1068" s="37">
        <f>COUNTIF(G$5:G1068,"Y")/COUNTA(G$5:G1068)</f>
        <v/>
      </c>
      <c r="J1068" s="37">
        <f>COUNTIF(H$5:H1068,"Y")/COUNTA(H$5:H1068)</f>
        <v/>
      </c>
      <c r="K1068" s="37">
        <f>AVERAGE(F$5:F1068)</f>
        <v/>
      </c>
      <c r="L1068" s="37">
        <f>SUM(F$5:F1068)/SUM(E$5:E1068)</f>
        <v/>
      </c>
      <c r="M1068" s="37" t="n">
        <v>11</v>
      </c>
    </row>
    <row r="1069">
      <c r="A1069" s="29" t="n">
        <v>45803</v>
      </c>
      <c r="B1069" s="37" t="inlineStr">
        <is>
          <t>JOB-2065</t>
        </is>
      </c>
      <c r="C1069" s="34" t="n">
        <v>1</v>
      </c>
      <c r="D1069" s="37" t="inlineStr">
        <is>
          <t>Tech H</t>
        </is>
      </c>
      <c r="E1069" s="35" t="n">
        <v>2.4</v>
      </c>
      <c r="F1069" s="35" t="n">
        <v>1.7</v>
      </c>
      <c r="G1069" s="37" t="inlineStr">
        <is>
          <t>Y</t>
        </is>
      </c>
      <c r="H1069" s="37" t="inlineStr">
        <is>
          <t>N</t>
        </is>
      </c>
      <c r="I1069" s="37">
        <f>COUNTIF(G$5:G1069,"Y")/COUNTA(G$5:G1069)</f>
        <v/>
      </c>
      <c r="J1069" s="37">
        <f>COUNTIF(H$5:H1069,"Y")/COUNTA(H$5:H1069)</f>
        <v/>
      </c>
      <c r="K1069" s="37">
        <f>AVERAGE(F$5:F1069)</f>
        <v/>
      </c>
      <c r="L1069" s="37">
        <f>SUM(F$5:F1069)/SUM(E$5:E1069)</f>
        <v/>
      </c>
    </row>
    <row r="1070">
      <c r="A1070" s="29" t="n">
        <v>45804</v>
      </c>
      <c r="B1070" s="37" t="inlineStr">
        <is>
          <t>JOB-2066</t>
        </is>
      </c>
      <c r="C1070" s="34" t="n">
        <v>1</v>
      </c>
      <c r="D1070" s="37" t="inlineStr">
        <is>
          <t>Tech C</t>
        </is>
      </c>
      <c r="E1070" s="35" t="n">
        <v>3</v>
      </c>
      <c r="F1070" s="35" t="n">
        <v>2.2</v>
      </c>
      <c r="G1070" s="37" t="inlineStr">
        <is>
          <t>Y</t>
        </is>
      </c>
      <c r="H1070" s="37" t="inlineStr">
        <is>
          <t>N</t>
        </is>
      </c>
      <c r="I1070" s="37">
        <f>COUNTIF(G$5:G1070,"Y")/COUNTA(G$5:G1070)</f>
        <v/>
      </c>
      <c r="J1070" s="37">
        <f>COUNTIF(H$5:H1070,"Y")/COUNTA(H$5:H1070)</f>
        <v/>
      </c>
      <c r="K1070" s="37">
        <f>AVERAGE(F$5:F1070)</f>
        <v/>
      </c>
      <c r="L1070" s="37">
        <f>SUM(F$5:F1070)/SUM(E$5:E1070)</f>
        <v/>
      </c>
    </row>
    <row r="1071">
      <c r="A1071" s="29" t="n">
        <v>45805</v>
      </c>
      <c r="B1071" s="37" t="inlineStr">
        <is>
          <t>JOB-2067</t>
        </is>
      </c>
      <c r="C1071" s="34" t="n">
        <v>1</v>
      </c>
      <c r="D1071" s="37" t="inlineStr">
        <is>
          <t>Tech B</t>
        </is>
      </c>
      <c r="E1071" s="35" t="n">
        <v>3.6</v>
      </c>
      <c r="F1071" s="35" t="n">
        <v>2.6</v>
      </c>
      <c r="G1071" s="37" t="inlineStr">
        <is>
          <t>Y</t>
        </is>
      </c>
      <c r="H1071" s="37" t="inlineStr">
        <is>
          <t>N</t>
        </is>
      </c>
      <c r="I1071" s="37">
        <f>COUNTIF(G$5:G1071,"Y")/COUNTA(G$5:G1071)</f>
        <v/>
      </c>
      <c r="J1071" s="37">
        <f>COUNTIF(H$5:H1071,"Y")/COUNTA(H$5:H1071)</f>
        <v/>
      </c>
      <c r="K1071" s="37">
        <f>AVERAGE(F$5:F1071)</f>
        <v/>
      </c>
      <c r="L1071" s="37">
        <f>SUM(F$5:F1071)/SUM(E$5:E1071)</f>
        <v/>
      </c>
    </row>
    <row r="1072">
      <c r="A1072" s="29" t="n">
        <v>45806</v>
      </c>
      <c r="B1072" s="37" t="inlineStr">
        <is>
          <t>JOB-2068</t>
        </is>
      </c>
      <c r="C1072" s="34" t="n">
        <v>1</v>
      </c>
      <c r="D1072" s="37" t="inlineStr">
        <is>
          <t>Tech C</t>
        </is>
      </c>
      <c r="E1072" s="35" t="n">
        <v>4.7</v>
      </c>
      <c r="F1072" s="35" t="n">
        <v>3.8</v>
      </c>
      <c r="G1072" s="37" t="inlineStr">
        <is>
          <t>Y</t>
        </is>
      </c>
      <c r="H1072" s="37" t="inlineStr">
        <is>
          <t>N</t>
        </is>
      </c>
      <c r="I1072" s="37">
        <f>COUNTIF(G$5:G1072,"Y")/COUNTA(G$5:G1072)</f>
        <v/>
      </c>
      <c r="J1072" s="37">
        <f>COUNTIF(H$5:H1072,"Y")/COUNTA(H$5:H1072)</f>
        <v/>
      </c>
      <c r="K1072" s="37">
        <f>AVERAGE(F$5:F1072)</f>
        <v/>
      </c>
      <c r="L1072" s="37">
        <f>SUM(F$5:F1072)/SUM(E$5:E1072)</f>
        <v/>
      </c>
    </row>
    <row r="1073">
      <c r="A1073" s="29" t="n">
        <v>45807</v>
      </c>
      <c r="B1073" s="37" t="inlineStr">
        <is>
          <t>JOB-2069</t>
        </is>
      </c>
      <c r="C1073" s="34" t="n">
        <v>1</v>
      </c>
      <c r="D1073" s="37" t="inlineStr">
        <is>
          <t>Tech A</t>
        </is>
      </c>
      <c r="E1073" s="35" t="n">
        <v>2.7</v>
      </c>
      <c r="F1073" s="35" t="n">
        <v>2</v>
      </c>
      <c r="G1073" s="37" t="inlineStr">
        <is>
          <t>Y</t>
        </is>
      </c>
      <c r="H1073" s="37" t="inlineStr">
        <is>
          <t>N</t>
        </is>
      </c>
      <c r="I1073" s="37">
        <f>COUNTIF(G$5:G1073,"Y")/COUNTA(G$5:G1073)</f>
        <v/>
      </c>
      <c r="J1073" s="37">
        <f>COUNTIF(H$5:H1073,"Y")/COUNTA(H$5:H1073)</f>
        <v/>
      </c>
      <c r="K1073" s="37">
        <f>AVERAGE(F$5:F1073)</f>
        <v/>
      </c>
      <c r="L1073" s="37">
        <f>SUM(F$5:F1073)/SUM(E$5:E1073)</f>
        <v/>
      </c>
    </row>
    <row r="1074">
      <c r="A1074" s="29" t="n">
        <v>45803</v>
      </c>
      <c r="B1074" s="37" t="inlineStr">
        <is>
          <t>JOB-2070</t>
        </is>
      </c>
      <c r="C1074" s="34" t="n">
        <v>1</v>
      </c>
      <c r="D1074" s="37" t="inlineStr">
        <is>
          <t>Tech G</t>
        </is>
      </c>
      <c r="E1074" s="35" t="n">
        <v>1.8</v>
      </c>
      <c r="F1074" s="35" t="n">
        <v>1.6</v>
      </c>
      <c r="G1074" s="37" t="inlineStr">
        <is>
          <t>Y</t>
        </is>
      </c>
      <c r="H1074" s="37" t="inlineStr">
        <is>
          <t>N</t>
        </is>
      </c>
      <c r="I1074" s="37">
        <f>COUNTIF(G$5:G1074,"Y")/COUNTA(G$5:G1074)</f>
        <v/>
      </c>
      <c r="J1074" s="37">
        <f>COUNTIF(H$5:H1074,"Y")/COUNTA(H$5:H1074)</f>
        <v/>
      </c>
      <c r="K1074" s="37">
        <f>AVERAGE(F$5:F1074)</f>
        <v/>
      </c>
      <c r="L1074" s="37">
        <f>SUM(F$5:F1074)/SUM(E$5:E1074)</f>
        <v/>
      </c>
    </row>
    <row r="1075">
      <c r="A1075" s="29" t="n">
        <v>45804</v>
      </c>
      <c r="B1075" s="37" t="inlineStr">
        <is>
          <t>JOB-2071</t>
        </is>
      </c>
      <c r="C1075" s="34" t="n">
        <v>1</v>
      </c>
      <c r="D1075" s="37" t="inlineStr">
        <is>
          <t>Tech H</t>
        </is>
      </c>
      <c r="E1075" s="35" t="n">
        <v>4.4</v>
      </c>
      <c r="F1075" s="35" t="n">
        <v>3.6</v>
      </c>
      <c r="G1075" s="37" t="inlineStr">
        <is>
          <t>Y</t>
        </is>
      </c>
      <c r="H1075" s="37" t="inlineStr">
        <is>
          <t>N</t>
        </is>
      </c>
      <c r="I1075" s="37">
        <f>COUNTIF(G$5:G1075,"Y")/COUNTA(G$5:G1075)</f>
        <v/>
      </c>
      <c r="J1075" s="37">
        <f>COUNTIF(H$5:H1075,"Y")/COUNTA(H$5:H1075)</f>
        <v/>
      </c>
      <c r="K1075" s="37">
        <f>AVERAGE(F$5:F1075)</f>
        <v/>
      </c>
      <c r="L1075" s="37">
        <f>SUM(F$5:F1075)/SUM(E$5:E1075)</f>
        <v/>
      </c>
    </row>
    <row r="1076">
      <c r="A1076" s="29" t="n">
        <v>45805</v>
      </c>
      <c r="B1076" s="37" t="inlineStr">
        <is>
          <t>JOB-2072</t>
        </is>
      </c>
      <c r="C1076" s="34" t="n">
        <v>1</v>
      </c>
      <c r="D1076" s="37" t="inlineStr">
        <is>
          <t>Tech B</t>
        </is>
      </c>
      <c r="E1076" s="35" t="n">
        <v>3.9</v>
      </c>
      <c r="F1076" s="35" t="n">
        <v>3</v>
      </c>
      <c r="G1076" s="37" t="inlineStr">
        <is>
          <t>Y</t>
        </is>
      </c>
      <c r="H1076" s="37" t="inlineStr">
        <is>
          <t>N</t>
        </is>
      </c>
      <c r="I1076" s="37">
        <f>COUNTIF(G$5:G1076,"Y")/COUNTA(G$5:G1076)</f>
        <v/>
      </c>
      <c r="J1076" s="37">
        <f>COUNTIF(H$5:H1076,"Y")/COUNTA(H$5:H1076)</f>
        <v/>
      </c>
      <c r="K1076" s="37">
        <f>AVERAGE(F$5:F1076)</f>
        <v/>
      </c>
      <c r="L1076" s="37">
        <f>SUM(F$5:F1076)/SUM(E$5:E1076)</f>
        <v/>
      </c>
    </row>
    <row r="1077">
      <c r="A1077" s="29" t="n">
        <v>45806</v>
      </c>
      <c r="B1077" s="37" t="inlineStr">
        <is>
          <t>JOB-2073</t>
        </is>
      </c>
      <c r="C1077" s="34" t="n">
        <v>1</v>
      </c>
      <c r="D1077" s="37" t="inlineStr">
        <is>
          <t>Tech A</t>
        </is>
      </c>
      <c r="E1077" s="35" t="n">
        <v>4.1</v>
      </c>
      <c r="F1077" s="35" t="n">
        <v>3.7</v>
      </c>
      <c r="G1077" s="37" t="inlineStr">
        <is>
          <t>Y</t>
        </is>
      </c>
      <c r="H1077" s="37" t="inlineStr">
        <is>
          <t>N</t>
        </is>
      </c>
      <c r="I1077" s="37">
        <f>COUNTIF(G$5:G1077,"Y")/COUNTA(G$5:G1077)</f>
        <v/>
      </c>
      <c r="J1077" s="37">
        <f>COUNTIF(H$5:H1077,"Y")/COUNTA(H$5:H1077)</f>
        <v/>
      </c>
      <c r="K1077" s="37">
        <f>AVERAGE(F$5:F1077)</f>
        <v/>
      </c>
      <c r="L1077" s="37">
        <f>SUM(F$5:F1077)/SUM(E$5:E1077)</f>
        <v/>
      </c>
    </row>
    <row r="1078">
      <c r="A1078" s="29" t="n">
        <v>45807</v>
      </c>
      <c r="B1078" s="37" t="inlineStr">
        <is>
          <t>JOB-2074</t>
        </is>
      </c>
      <c r="C1078" s="34" t="n">
        <v>1</v>
      </c>
      <c r="D1078" s="37" t="inlineStr">
        <is>
          <t>Tech B</t>
        </is>
      </c>
      <c r="E1078" s="35" t="n">
        <v>1.9</v>
      </c>
      <c r="F1078" s="35" t="n">
        <v>1.6</v>
      </c>
      <c r="G1078" s="37" t="inlineStr">
        <is>
          <t>Y</t>
        </is>
      </c>
      <c r="H1078" s="37" t="inlineStr">
        <is>
          <t>N</t>
        </is>
      </c>
      <c r="I1078" s="37">
        <f>COUNTIF(G$5:G1078,"Y")/COUNTA(G$5:G1078)</f>
        <v/>
      </c>
      <c r="J1078" s="37">
        <f>COUNTIF(H$5:H1078,"Y")/COUNTA(H$5:H1078)</f>
        <v/>
      </c>
      <c r="K1078" s="37">
        <f>AVERAGE(F$5:F1078)</f>
        <v/>
      </c>
      <c r="L1078" s="37">
        <f>SUM(F$5:F1078)/SUM(E$5:E1078)</f>
        <v/>
      </c>
    </row>
    <row r="1079">
      <c r="A1079" s="29" t="n">
        <v>45803</v>
      </c>
      <c r="B1079" s="37" t="inlineStr">
        <is>
          <t>JOB-2075</t>
        </is>
      </c>
      <c r="C1079" s="34" t="n">
        <v>1</v>
      </c>
      <c r="D1079" s="37" t="inlineStr">
        <is>
          <t>Tech H</t>
        </is>
      </c>
      <c r="E1079" s="35" t="n">
        <v>2.5</v>
      </c>
      <c r="F1079" s="35" t="n">
        <v>2.1</v>
      </c>
      <c r="G1079" s="37" t="inlineStr">
        <is>
          <t>Y</t>
        </is>
      </c>
      <c r="H1079" s="37" t="inlineStr">
        <is>
          <t>N</t>
        </is>
      </c>
      <c r="I1079" s="37">
        <f>COUNTIF(G$5:G1079,"Y")/COUNTA(G$5:G1079)</f>
        <v/>
      </c>
      <c r="J1079" s="37">
        <f>COUNTIF(H$5:H1079,"Y")/COUNTA(H$5:H1079)</f>
        <v/>
      </c>
      <c r="K1079" s="37">
        <f>AVERAGE(F$5:F1079)</f>
        <v/>
      </c>
      <c r="L1079" s="37">
        <f>SUM(F$5:F1079)/SUM(E$5:E1079)</f>
        <v/>
      </c>
    </row>
    <row r="1080">
      <c r="A1080" s="29" t="n">
        <v>45804</v>
      </c>
      <c r="B1080" s="37" t="inlineStr">
        <is>
          <t>JOB-2076</t>
        </is>
      </c>
      <c r="C1080" s="34" t="n">
        <v>1</v>
      </c>
      <c r="D1080" s="37" t="inlineStr">
        <is>
          <t>Tech D</t>
        </is>
      </c>
      <c r="E1080" s="35" t="n">
        <v>2.5</v>
      </c>
      <c r="F1080" s="35" t="n">
        <v>1.9</v>
      </c>
      <c r="G1080" s="37" t="inlineStr">
        <is>
          <t>Y</t>
        </is>
      </c>
      <c r="H1080" s="37" t="inlineStr">
        <is>
          <t>N</t>
        </is>
      </c>
      <c r="I1080" s="37">
        <f>COUNTIF(G$5:G1080,"Y")/COUNTA(G$5:G1080)</f>
        <v/>
      </c>
      <c r="J1080" s="37">
        <f>COUNTIF(H$5:H1080,"Y")/COUNTA(H$5:H1080)</f>
        <v/>
      </c>
      <c r="K1080" s="37">
        <f>AVERAGE(F$5:F1080)</f>
        <v/>
      </c>
      <c r="L1080" s="37">
        <f>SUM(F$5:F1080)/SUM(E$5:E1080)</f>
        <v/>
      </c>
    </row>
    <row r="1081">
      <c r="A1081" s="29" t="n">
        <v>45805</v>
      </c>
      <c r="B1081" s="37" t="inlineStr">
        <is>
          <t>JOB-2077</t>
        </is>
      </c>
      <c r="C1081" s="34" t="n">
        <v>1</v>
      </c>
      <c r="D1081" s="37" t="inlineStr">
        <is>
          <t>Tech C</t>
        </is>
      </c>
      <c r="E1081" s="35" t="n">
        <v>2.5</v>
      </c>
      <c r="F1081" s="35" t="n">
        <v>2</v>
      </c>
      <c r="G1081" s="37" t="inlineStr">
        <is>
          <t>Y</t>
        </is>
      </c>
      <c r="H1081" s="37" t="inlineStr">
        <is>
          <t>N</t>
        </is>
      </c>
      <c r="I1081" s="37">
        <f>COUNTIF(G$5:G1081,"Y")/COUNTA(G$5:G1081)</f>
        <v/>
      </c>
      <c r="J1081" s="37">
        <f>COUNTIF(H$5:H1081,"Y")/COUNTA(H$5:H1081)</f>
        <v/>
      </c>
      <c r="K1081" s="37">
        <f>AVERAGE(F$5:F1081)</f>
        <v/>
      </c>
      <c r="L1081" s="37">
        <f>SUM(F$5:F1081)/SUM(E$5:E1081)</f>
        <v/>
      </c>
    </row>
    <row r="1082">
      <c r="A1082" s="29" t="n">
        <v>45806</v>
      </c>
      <c r="B1082" s="37" t="inlineStr">
        <is>
          <t>JOB-2078</t>
        </is>
      </c>
      <c r="C1082" s="34" t="n">
        <v>1</v>
      </c>
      <c r="D1082" s="37" t="inlineStr">
        <is>
          <t>Tech A</t>
        </is>
      </c>
      <c r="E1082" s="35" t="n">
        <v>4.5</v>
      </c>
      <c r="F1082" s="35" t="n">
        <v>3.7</v>
      </c>
      <c r="G1082" s="37" t="inlineStr">
        <is>
          <t>Y</t>
        </is>
      </c>
      <c r="H1082" s="37" t="inlineStr">
        <is>
          <t>N</t>
        </is>
      </c>
      <c r="I1082" s="37">
        <f>COUNTIF(G$5:G1082,"Y")/COUNTA(G$5:G1082)</f>
        <v/>
      </c>
      <c r="J1082" s="37">
        <f>COUNTIF(H$5:H1082,"Y")/COUNTA(H$5:H1082)</f>
        <v/>
      </c>
      <c r="K1082" s="37">
        <f>AVERAGE(F$5:F1082)</f>
        <v/>
      </c>
      <c r="L1082" s="37">
        <f>SUM(F$5:F1082)/SUM(E$5:E1082)</f>
        <v/>
      </c>
    </row>
    <row r="1083">
      <c r="A1083" s="29" t="n">
        <v>45807</v>
      </c>
      <c r="B1083" s="37" t="inlineStr">
        <is>
          <t>JOB-2079</t>
        </is>
      </c>
      <c r="C1083" s="34" t="n">
        <v>1</v>
      </c>
      <c r="D1083" s="37" t="inlineStr">
        <is>
          <t>Tech B</t>
        </is>
      </c>
      <c r="E1083" s="35" t="n">
        <v>4.2</v>
      </c>
      <c r="F1083" s="35" t="n">
        <v>2.9</v>
      </c>
      <c r="G1083" s="37" t="inlineStr">
        <is>
          <t>Y</t>
        </is>
      </c>
      <c r="H1083" s="37" t="inlineStr">
        <is>
          <t>N</t>
        </is>
      </c>
      <c r="I1083" s="37">
        <f>COUNTIF(G$5:G1083,"Y")/COUNTA(G$5:G1083)</f>
        <v/>
      </c>
      <c r="J1083" s="37">
        <f>COUNTIF(H$5:H1083,"Y")/COUNTA(H$5:H1083)</f>
        <v/>
      </c>
      <c r="K1083" s="37">
        <f>AVERAGE(F$5:F1083)</f>
        <v/>
      </c>
      <c r="L1083" s="37">
        <f>SUM(F$5:F1083)/SUM(E$5:E1083)</f>
        <v/>
      </c>
    </row>
    <row r="1084">
      <c r="A1084" s="29" t="n">
        <v>45803</v>
      </c>
      <c r="B1084" s="37" t="inlineStr">
        <is>
          <t>JOB-2080</t>
        </is>
      </c>
      <c r="C1084" s="34" t="n">
        <v>1</v>
      </c>
      <c r="D1084" s="37" t="inlineStr">
        <is>
          <t>Tech G</t>
        </is>
      </c>
      <c r="E1084" s="35" t="n">
        <v>2.8</v>
      </c>
      <c r="F1084" s="35" t="n">
        <v>2.4</v>
      </c>
      <c r="G1084" s="37" t="inlineStr">
        <is>
          <t>Y</t>
        </is>
      </c>
      <c r="H1084" s="37" t="inlineStr">
        <is>
          <t>N</t>
        </is>
      </c>
      <c r="I1084" s="37">
        <f>COUNTIF(G$5:G1084,"Y")/COUNTA(G$5:G1084)</f>
        <v/>
      </c>
      <c r="J1084" s="37">
        <f>COUNTIF(H$5:H1084,"Y")/COUNTA(H$5:H1084)</f>
        <v/>
      </c>
      <c r="K1084" s="37">
        <f>AVERAGE(F$5:F1084)</f>
        <v/>
      </c>
      <c r="L1084" s="37">
        <f>SUM(F$5:F1084)/SUM(E$5:E1084)</f>
        <v/>
      </c>
    </row>
    <row r="1085">
      <c r="A1085" s="29" t="n">
        <v>45804</v>
      </c>
      <c r="B1085" s="37" t="inlineStr">
        <is>
          <t>JOB-2081</t>
        </is>
      </c>
      <c r="C1085" s="34" t="n">
        <v>1</v>
      </c>
      <c r="D1085" s="37" t="inlineStr">
        <is>
          <t>Tech C</t>
        </is>
      </c>
      <c r="E1085" s="35" t="n">
        <v>1.6</v>
      </c>
      <c r="F1085" s="35" t="n">
        <v>1.2</v>
      </c>
      <c r="G1085" s="37" t="inlineStr">
        <is>
          <t>Y</t>
        </is>
      </c>
      <c r="H1085" s="37" t="inlineStr">
        <is>
          <t>N</t>
        </is>
      </c>
      <c r="I1085" s="37">
        <f>COUNTIF(G$5:G1085,"Y")/COUNTA(G$5:G1085)</f>
        <v/>
      </c>
      <c r="J1085" s="37">
        <f>COUNTIF(H$5:H1085,"Y")/COUNTA(H$5:H1085)</f>
        <v/>
      </c>
      <c r="K1085" s="37">
        <f>AVERAGE(F$5:F1085)</f>
        <v/>
      </c>
      <c r="L1085" s="37">
        <f>SUM(F$5:F1085)/SUM(E$5:E1085)</f>
        <v/>
      </c>
    </row>
    <row r="1086">
      <c r="A1086" s="29" t="n">
        <v>45805</v>
      </c>
      <c r="B1086" s="37" t="inlineStr">
        <is>
          <t>JOB-2082</t>
        </is>
      </c>
      <c r="C1086" s="34" t="n">
        <v>1</v>
      </c>
      <c r="D1086" s="37" t="inlineStr">
        <is>
          <t>Tech F</t>
        </is>
      </c>
      <c r="E1086" s="35" t="n">
        <v>4.5</v>
      </c>
      <c r="F1086" s="35" t="n">
        <v>3.1</v>
      </c>
      <c r="G1086" s="37" t="inlineStr">
        <is>
          <t>Y</t>
        </is>
      </c>
      <c r="H1086" s="37" t="inlineStr">
        <is>
          <t>N</t>
        </is>
      </c>
      <c r="I1086" s="37">
        <f>COUNTIF(G$5:G1086,"Y")/COUNTA(G$5:G1086)</f>
        <v/>
      </c>
      <c r="J1086" s="37">
        <f>COUNTIF(H$5:H1086,"Y")/COUNTA(H$5:H1086)</f>
        <v/>
      </c>
      <c r="K1086" s="37">
        <f>AVERAGE(F$5:F1086)</f>
        <v/>
      </c>
      <c r="L1086" s="37">
        <f>SUM(F$5:F1086)/SUM(E$5:E1086)</f>
        <v/>
      </c>
    </row>
    <row r="1087">
      <c r="A1087" s="29" t="n">
        <v>45806</v>
      </c>
      <c r="B1087" s="37" t="inlineStr">
        <is>
          <t>JOB-2083</t>
        </is>
      </c>
      <c r="C1087" s="34" t="n">
        <v>1</v>
      </c>
      <c r="D1087" s="37" t="inlineStr">
        <is>
          <t>Tech A</t>
        </is>
      </c>
      <c r="E1087" s="35" t="n">
        <v>3.6</v>
      </c>
      <c r="F1087" s="35" t="n">
        <v>3.2</v>
      </c>
      <c r="G1087" s="37" t="inlineStr">
        <is>
          <t>N</t>
        </is>
      </c>
      <c r="H1087" s="37" t="inlineStr">
        <is>
          <t>Y</t>
        </is>
      </c>
      <c r="I1087" s="37">
        <f>COUNTIF(G$5:G1087,"Y")/COUNTA(G$5:G1087)</f>
        <v/>
      </c>
      <c r="J1087" s="37">
        <f>COUNTIF(H$5:H1087,"Y")/COUNTA(H$5:H1087)</f>
        <v/>
      </c>
      <c r="K1087" s="37">
        <f>AVERAGE(F$5:F1087)</f>
        <v/>
      </c>
      <c r="L1087" s="37">
        <f>SUM(F$5:F1087)/SUM(E$5:E1087)</f>
        <v/>
      </c>
    </row>
    <row r="1088">
      <c r="A1088" s="29" t="n">
        <v>45807</v>
      </c>
      <c r="B1088" s="37" t="inlineStr">
        <is>
          <t>JOB-2084</t>
        </is>
      </c>
      <c r="C1088" s="34" t="n">
        <v>1</v>
      </c>
      <c r="D1088" s="37" t="inlineStr">
        <is>
          <t>Tech D</t>
        </is>
      </c>
      <c r="E1088" s="35" t="n">
        <v>1.8</v>
      </c>
      <c r="F1088" s="35" t="n">
        <v>1.6</v>
      </c>
      <c r="G1088" s="37" t="inlineStr">
        <is>
          <t>Y</t>
        </is>
      </c>
      <c r="H1088" s="37" t="inlineStr">
        <is>
          <t>N</t>
        </is>
      </c>
      <c r="I1088" s="37">
        <f>COUNTIF(G$5:G1088,"Y")/COUNTA(G$5:G1088)</f>
        <v/>
      </c>
      <c r="J1088" s="37">
        <f>COUNTIF(H$5:H1088,"Y")/COUNTA(H$5:H1088)</f>
        <v/>
      </c>
      <c r="K1088" s="37">
        <f>AVERAGE(F$5:F1088)</f>
        <v/>
      </c>
      <c r="L1088" s="37">
        <f>SUM(F$5:F1088)/SUM(E$5:E1088)</f>
        <v/>
      </c>
    </row>
    <row r="1089">
      <c r="A1089" s="29" t="n">
        <v>45803</v>
      </c>
      <c r="B1089" s="37" t="inlineStr">
        <is>
          <t>JOB-2085</t>
        </is>
      </c>
      <c r="C1089" s="34" t="n">
        <v>1</v>
      </c>
      <c r="D1089" s="37" t="inlineStr">
        <is>
          <t>Tech G</t>
        </is>
      </c>
      <c r="E1089" s="35" t="n">
        <v>1.9</v>
      </c>
      <c r="F1089" s="35" t="n">
        <v>1.3</v>
      </c>
      <c r="G1089" s="37" t="inlineStr">
        <is>
          <t>Y</t>
        </is>
      </c>
      <c r="H1089" s="37" t="inlineStr">
        <is>
          <t>N</t>
        </is>
      </c>
      <c r="I1089" s="37">
        <f>COUNTIF(G$5:G1089,"Y")/COUNTA(G$5:G1089)</f>
        <v/>
      </c>
      <c r="J1089" s="37">
        <f>COUNTIF(H$5:H1089,"Y")/COUNTA(H$5:H1089)</f>
        <v/>
      </c>
      <c r="K1089" s="37">
        <f>AVERAGE(F$5:F1089)</f>
        <v/>
      </c>
      <c r="L1089" s="37">
        <f>SUM(F$5:F1089)/SUM(E$5:E1089)</f>
        <v/>
      </c>
    </row>
    <row r="1090">
      <c r="A1090" s="29" t="n">
        <v>45804</v>
      </c>
      <c r="B1090" s="37" t="inlineStr">
        <is>
          <t>JOB-2086</t>
        </is>
      </c>
      <c r="C1090" s="34" t="n">
        <v>1</v>
      </c>
      <c r="D1090" s="37" t="inlineStr">
        <is>
          <t>Tech B</t>
        </is>
      </c>
      <c r="E1090" s="35" t="n">
        <v>3.1</v>
      </c>
      <c r="F1090" s="35" t="n">
        <v>2.8</v>
      </c>
      <c r="G1090" s="37" t="inlineStr">
        <is>
          <t>Y</t>
        </is>
      </c>
      <c r="H1090" s="37" t="inlineStr">
        <is>
          <t>N</t>
        </is>
      </c>
      <c r="I1090" s="37">
        <f>COUNTIF(G$5:G1090,"Y")/COUNTA(G$5:G1090)</f>
        <v/>
      </c>
      <c r="J1090" s="37">
        <f>COUNTIF(H$5:H1090,"Y")/COUNTA(H$5:H1090)</f>
        <v/>
      </c>
      <c r="K1090" s="37">
        <f>AVERAGE(F$5:F1090)</f>
        <v/>
      </c>
      <c r="L1090" s="37">
        <f>SUM(F$5:F1090)/SUM(E$5:E1090)</f>
        <v/>
      </c>
    </row>
    <row r="1091">
      <c r="A1091" s="29" t="n">
        <v>45805</v>
      </c>
      <c r="B1091" s="37" t="inlineStr">
        <is>
          <t>JOB-2087</t>
        </is>
      </c>
      <c r="C1091" s="34" t="n">
        <v>1</v>
      </c>
      <c r="D1091" s="37" t="inlineStr">
        <is>
          <t>Tech A</t>
        </is>
      </c>
      <c r="E1091" s="35" t="n">
        <v>3.2</v>
      </c>
      <c r="F1091" s="35" t="n">
        <v>2.3</v>
      </c>
      <c r="G1091" s="37" t="inlineStr">
        <is>
          <t>Y</t>
        </is>
      </c>
      <c r="H1091" s="37" t="inlineStr">
        <is>
          <t>N</t>
        </is>
      </c>
      <c r="I1091" s="37">
        <f>COUNTIF(G$5:G1091,"Y")/COUNTA(G$5:G1091)</f>
        <v/>
      </c>
      <c r="J1091" s="37">
        <f>COUNTIF(H$5:H1091,"Y")/COUNTA(H$5:H1091)</f>
        <v/>
      </c>
      <c r="K1091" s="37">
        <f>AVERAGE(F$5:F1091)</f>
        <v/>
      </c>
      <c r="L1091" s="37">
        <f>SUM(F$5:F1091)/SUM(E$5:E1091)</f>
        <v/>
      </c>
    </row>
    <row r="1092">
      <c r="A1092" s="29" t="n">
        <v>45806</v>
      </c>
      <c r="B1092" s="37" t="inlineStr">
        <is>
          <t>JOB-2088</t>
        </is>
      </c>
      <c r="C1092" s="34" t="n">
        <v>1</v>
      </c>
      <c r="D1092" s="37" t="inlineStr">
        <is>
          <t>Tech A</t>
        </is>
      </c>
      <c r="E1092" s="35" t="n">
        <v>1.7</v>
      </c>
      <c r="F1092" s="35" t="n">
        <v>1.4</v>
      </c>
      <c r="G1092" s="37" t="inlineStr">
        <is>
          <t>N</t>
        </is>
      </c>
      <c r="H1092" s="37" t="inlineStr">
        <is>
          <t>N</t>
        </is>
      </c>
      <c r="I1092" s="37">
        <f>COUNTIF(G$5:G1092,"Y")/COUNTA(G$5:G1092)</f>
        <v/>
      </c>
      <c r="J1092" s="37">
        <f>COUNTIF(H$5:H1092,"Y")/COUNTA(H$5:H1092)</f>
        <v/>
      </c>
      <c r="K1092" s="37">
        <f>AVERAGE(F$5:F1092)</f>
        <v/>
      </c>
      <c r="L1092" s="37">
        <f>SUM(F$5:F1092)/SUM(E$5:E1092)</f>
        <v/>
      </c>
    </row>
    <row r="1093">
      <c r="A1093" s="29" t="n">
        <v>45807</v>
      </c>
      <c r="B1093" s="37" t="inlineStr">
        <is>
          <t>JOB-2089</t>
        </is>
      </c>
      <c r="C1093" s="34" t="n">
        <v>1</v>
      </c>
      <c r="D1093" s="37" t="inlineStr">
        <is>
          <t>Tech F</t>
        </is>
      </c>
      <c r="E1093" s="35" t="n">
        <v>2.1</v>
      </c>
      <c r="F1093" s="35" t="n">
        <v>1.6</v>
      </c>
      <c r="G1093" s="37" t="inlineStr">
        <is>
          <t>Y</t>
        </is>
      </c>
      <c r="H1093" s="37" t="inlineStr">
        <is>
          <t>N</t>
        </is>
      </c>
      <c r="I1093" s="37">
        <f>COUNTIF(G$5:G1093,"Y")/COUNTA(G$5:G1093)</f>
        <v/>
      </c>
      <c r="J1093" s="37">
        <f>COUNTIF(H$5:H1093,"Y")/COUNTA(H$5:H1093)</f>
        <v/>
      </c>
      <c r="K1093" s="37">
        <f>AVERAGE(F$5:F1093)</f>
        <v/>
      </c>
      <c r="L1093" s="37">
        <f>SUM(F$5:F1093)/SUM(E$5:E1093)</f>
        <v/>
      </c>
    </row>
    <row r="1094">
      <c r="A1094" s="29" t="n">
        <v>45803</v>
      </c>
      <c r="B1094" s="37" t="inlineStr">
        <is>
          <t>JOB-2090</t>
        </is>
      </c>
      <c r="C1094" s="34" t="n">
        <v>1</v>
      </c>
      <c r="D1094" s="37" t="inlineStr">
        <is>
          <t>Tech G</t>
        </is>
      </c>
      <c r="E1094" s="35" t="n">
        <v>4.6</v>
      </c>
      <c r="F1094" s="35" t="n">
        <v>3.8</v>
      </c>
      <c r="G1094" s="37" t="inlineStr">
        <is>
          <t>Y</t>
        </is>
      </c>
      <c r="H1094" s="37" t="inlineStr">
        <is>
          <t>Y</t>
        </is>
      </c>
      <c r="I1094" s="37">
        <f>COUNTIF(G$5:G1094,"Y")/COUNTA(G$5:G1094)</f>
        <v/>
      </c>
      <c r="J1094" s="37">
        <f>COUNTIF(H$5:H1094,"Y")/COUNTA(H$5:H1094)</f>
        <v/>
      </c>
      <c r="K1094" s="37">
        <f>AVERAGE(F$5:F1094)</f>
        <v/>
      </c>
      <c r="L1094" s="37">
        <f>SUM(F$5:F1094)/SUM(E$5:E1094)</f>
        <v/>
      </c>
    </row>
    <row r="1095">
      <c r="A1095" s="29" t="n">
        <v>45804</v>
      </c>
      <c r="B1095" s="37" t="inlineStr">
        <is>
          <t>JOB-2091</t>
        </is>
      </c>
      <c r="C1095" s="34" t="n">
        <v>1</v>
      </c>
      <c r="D1095" s="37" t="inlineStr">
        <is>
          <t>Tech H</t>
        </is>
      </c>
      <c r="E1095" s="35" t="n">
        <v>2.3</v>
      </c>
      <c r="F1095" s="35" t="n">
        <v>1.9</v>
      </c>
      <c r="G1095" s="37" t="inlineStr">
        <is>
          <t>Y</t>
        </is>
      </c>
      <c r="H1095" s="37" t="inlineStr">
        <is>
          <t>N</t>
        </is>
      </c>
      <c r="I1095" s="37">
        <f>COUNTIF(G$5:G1095,"Y")/COUNTA(G$5:G1095)</f>
        <v/>
      </c>
      <c r="J1095" s="37">
        <f>COUNTIF(H$5:H1095,"Y")/COUNTA(H$5:H1095)</f>
        <v/>
      </c>
      <c r="K1095" s="37">
        <f>AVERAGE(F$5:F1095)</f>
        <v/>
      </c>
      <c r="L1095" s="37">
        <f>SUM(F$5:F1095)/SUM(E$5:E1095)</f>
        <v/>
      </c>
    </row>
    <row r="1096">
      <c r="A1096" s="29" t="n">
        <v>45805</v>
      </c>
      <c r="B1096" s="37" t="inlineStr">
        <is>
          <t>JOB-2092</t>
        </is>
      </c>
      <c r="C1096" s="34" t="n">
        <v>1</v>
      </c>
      <c r="D1096" s="37" t="inlineStr">
        <is>
          <t>Tech D</t>
        </is>
      </c>
      <c r="E1096" s="35" t="n">
        <v>3.4</v>
      </c>
      <c r="F1096" s="35" t="n">
        <v>3</v>
      </c>
      <c r="G1096" s="37" t="inlineStr">
        <is>
          <t>Y</t>
        </is>
      </c>
      <c r="H1096" s="37" t="inlineStr">
        <is>
          <t>N</t>
        </is>
      </c>
      <c r="I1096" s="37">
        <f>COUNTIF(G$5:G1096,"Y")/COUNTA(G$5:G1096)</f>
        <v/>
      </c>
      <c r="J1096" s="37">
        <f>COUNTIF(H$5:H1096,"Y")/COUNTA(H$5:H1096)</f>
        <v/>
      </c>
      <c r="K1096" s="37">
        <f>AVERAGE(F$5:F1096)</f>
        <v/>
      </c>
      <c r="L1096" s="37">
        <f>SUM(F$5:F1096)/SUM(E$5:E1096)</f>
        <v/>
      </c>
    </row>
    <row r="1097">
      <c r="A1097" s="29" t="n">
        <v>45806</v>
      </c>
      <c r="B1097" s="37" t="inlineStr">
        <is>
          <t>JOB-2093</t>
        </is>
      </c>
      <c r="C1097" s="34" t="n">
        <v>1</v>
      </c>
      <c r="D1097" s="37" t="inlineStr">
        <is>
          <t>Tech H</t>
        </is>
      </c>
      <c r="E1097" s="35" t="n">
        <v>4.1</v>
      </c>
      <c r="F1097" s="35" t="n">
        <v>3.7</v>
      </c>
      <c r="G1097" s="37" t="inlineStr">
        <is>
          <t>Y</t>
        </is>
      </c>
      <c r="H1097" s="37" t="inlineStr">
        <is>
          <t>N</t>
        </is>
      </c>
      <c r="I1097" s="37">
        <f>COUNTIF(G$5:G1097,"Y")/COUNTA(G$5:G1097)</f>
        <v/>
      </c>
      <c r="J1097" s="37">
        <f>COUNTIF(H$5:H1097,"Y")/COUNTA(H$5:H1097)</f>
        <v/>
      </c>
      <c r="K1097" s="37">
        <f>AVERAGE(F$5:F1097)</f>
        <v/>
      </c>
      <c r="L1097" s="37">
        <f>SUM(F$5:F1097)/SUM(E$5:E1097)</f>
        <v/>
      </c>
    </row>
    <row r="1098">
      <c r="A1098" s="29" t="n">
        <v>45807</v>
      </c>
      <c r="B1098" s="37" t="inlineStr">
        <is>
          <t>JOB-2094</t>
        </is>
      </c>
      <c r="C1098" s="34" t="n">
        <v>1</v>
      </c>
      <c r="D1098" s="37" t="inlineStr">
        <is>
          <t>Tech F</t>
        </is>
      </c>
      <c r="E1098" s="35" t="n">
        <v>4.4</v>
      </c>
      <c r="F1098" s="35" t="n">
        <v>3.1</v>
      </c>
      <c r="G1098" s="37" t="inlineStr">
        <is>
          <t>Y</t>
        </is>
      </c>
      <c r="H1098" s="37" t="inlineStr">
        <is>
          <t>N</t>
        </is>
      </c>
      <c r="I1098" s="37">
        <f>COUNTIF(G$5:G1098,"Y")/COUNTA(G$5:G1098)</f>
        <v/>
      </c>
      <c r="J1098" s="37">
        <f>COUNTIF(H$5:H1098,"Y")/COUNTA(H$5:H1098)</f>
        <v/>
      </c>
      <c r="K1098" s="37">
        <f>AVERAGE(F$5:F1098)</f>
        <v/>
      </c>
      <c r="L1098" s="37">
        <f>SUM(F$5:F1098)/SUM(E$5:E1098)</f>
        <v/>
      </c>
    </row>
    <row r="1099">
      <c r="A1099" s="29" t="n">
        <v>45803</v>
      </c>
      <c r="B1099" s="37" t="inlineStr">
        <is>
          <t>JOB-2095</t>
        </is>
      </c>
      <c r="C1099" s="34" t="n">
        <v>1</v>
      </c>
      <c r="D1099" s="37" t="inlineStr">
        <is>
          <t>Tech B</t>
        </is>
      </c>
      <c r="E1099" s="35" t="n">
        <v>2.7</v>
      </c>
      <c r="F1099" s="35" t="n">
        <v>2.1</v>
      </c>
      <c r="G1099" s="37" t="inlineStr">
        <is>
          <t>N</t>
        </is>
      </c>
      <c r="H1099" s="37" t="inlineStr">
        <is>
          <t>N</t>
        </is>
      </c>
      <c r="I1099" s="37">
        <f>COUNTIF(G$5:G1099,"Y")/COUNTA(G$5:G1099)</f>
        <v/>
      </c>
      <c r="J1099" s="37">
        <f>COUNTIF(H$5:H1099,"Y")/COUNTA(H$5:H1099)</f>
        <v/>
      </c>
      <c r="K1099" s="37">
        <f>AVERAGE(F$5:F1099)</f>
        <v/>
      </c>
      <c r="L1099" s="37">
        <f>SUM(F$5:F1099)/SUM(E$5:E1099)</f>
        <v/>
      </c>
    </row>
    <row r="1100">
      <c r="A1100" s="29" t="n">
        <v>45804</v>
      </c>
      <c r="B1100" s="37" t="inlineStr">
        <is>
          <t>JOB-2096</t>
        </is>
      </c>
      <c r="C1100" s="34" t="n">
        <v>1</v>
      </c>
      <c r="D1100" s="37" t="inlineStr">
        <is>
          <t>Tech C</t>
        </is>
      </c>
      <c r="E1100" s="35" t="n">
        <v>5.3</v>
      </c>
      <c r="F1100" s="35" t="n">
        <v>4.1</v>
      </c>
      <c r="G1100" s="37" t="inlineStr">
        <is>
          <t>Y</t>
        </is>
      </c>
      <c r="H1100" s="37" t="inlineStr">
        <is>
          <t>N</t>
        </is>
      </c>
      <c r="I1100" s="37">
        <f>COUNTIF(G$5:G1100,"Y")/COUNTA(G$5:G1100)</f>
        <v/>
      </c>
      <c r="J1100" s="37">
        <f>COUNTIF(H$5:H1100,"Y")/COUNTA(H$5:H1100)</f>
        <v/>
      </c>
      <c r="K1100" s="37">
        <f>AVERAGE(F$5:F1100)</f>
        <v/>
      </c>
      <c r="L1100" s="37">
        <f>SUM(F$5:F1100)/SUM(E$5:E1100)</f>
        <v/>
      </c>
    </row>
    <row r="1101">
      <c r="A1101" s="29" t="n">
        <v>45805</v>
      </c>
      <c r="B1101" s="37" t="inlineStr">
        <is>
          <t>JOB-2097</t>
        </is>
      </c>
      <c r="C1101" s="34" t="n">
        <v>1</v>
      </c>
      <c r="D1101" s="37" t="inlineStr">
        <is>
          <t>Tech G</t>
        </is>
      </c>
      <c r="E1101" s="35" t="n">
        <v>2.5</v>
      </c>
      <c r="F1101" s="35" t="n">
        <v>2</v>
      </c>
      <c r="G1101" s="37" t="inlineStr">
        <is>
          <t>Y</t>
        </is>
      </c>
      <c r="H1101" s="37" t="inlineStr">
        <is>
          <t>N</t>
        </is>
      </c>
      <c r="I1101" s="37">
        <f>COUNTIF(G$5:G1101,"Y")/COUNTA(G$5:G1101)</f>
        <v/>
      </c>
      <c r="J1101" s="37">
        <f>COUNTIF(H$5:H1101,"Y")/COUNTA(H$5:H1101)</f>
        <v/>
      </c>
      <c r="K1101" s="37">
        <f>AVERAGE(F$5:F1101)</f>
        <v/>
      </c>
      <c r="L1101" s="37">
        <f>SUM(F$5:F1101)/SUM(E$5:E1101)</f>
        <v/>
      </c>
    </row>
    <row r="1102">
      <c r="A1102" s="29" t="n">
        <v>45806</v>
      </c>
      <c r="B1102" s="37" t="inlineStr">
        <is>
          <t>JOB-2098</t>
        </is>
      </c>
      <c r="C1102" s="34" t="n">
        <v>1</v>
      </c>
      <c r="D1102" s="37" t="inlineStr">
        <is>
          <t>Tech A</t>
        </is>
      </c>
      <c r="E1102" s="35" t="n">
        <v>5.4</v>
      </c>
      <c r="F1102" s="35" t="n">
        <v>4</v>
      </c>
      <c r="G1102" s="37" t="inlineStr">
        <is>
          <t>Y</t>
        </is>
      </c>
      <c r="H1102" s="37" t="inlineStr">
        <is>
          <t>N</t>
        </is>
      </c>
      <c r="I1102" s="37">
        <f>COUNTIF(G$5:G1102,"Y")/COUNTA(G$5:G1102)</f>
        <v/>
      </c>
      <c r="J1102" s="37">
        <f>COUNTIF(H$5:H1102,"Y")/COUNTA(H$5:H1102)</f>
        <v/>
      </c>
      <c r="K1102" s="37">
        <f>AVERAGE(F$5:F1102)</f>
        <v/>
      </c>
      <c r="L1102" s="37">
        <f>SUM(F$5:F1102)/SUM(E$5:E1102)</f>
        <v/>
      </c>
    </row>
    <row r="1103">
      <c r="A1103" s="29" t="n">
        <v>45807</v>
      </c>
      <c r="B1103" s="37" t="inlineStr">
        <is>
          <t>JOB-2099</t>
        </is>
      </c>
      <c r="C1103" s="34" t="n">
        <v>1</v>
      </c>
      <c r="D1103" s="37" t="inlineStr">
        <is>
          <t>Tech B</t>
        </is>
      </c>
      <c r="E1103" s="35" t="n">
        <v>2.2</v>
      </c>
      <c r="F1103" s="35" t="n">
        <v>1.7</v>
      </c>
      <c r="G1103" s="37" t="inlineStr">
        <is>
          <t>Y</t>
        </is>
      </c>
      <c r="H1103" s="37" t="inlineStr">
        <is>
          <t>N</t>
        </is>
      </c>
      <c r="I1103" s="37">
        <f>COUNTIF(G$5:G1103,"Y")/COUNTA(G$5:G1103)</f>
        <v/>
      </c>
      <c r="J1103" s="37">
        <f>COUNTIF(H$5:H1103,"Y")/COUNTA(H$5:H1103)</f>
        <v/>
      </c>
      <c r="K1103" s="37">
        <f>AVERAGE(F$5:F1103)</f>
        <v/>
      </c>
      <c r="L1103" s="37">
        <f>SUM(F$5:F1103)/SUM(E$5:E1103)</f>
        <v/>
      </c>
    </row>
    <row r="1104">
      <c r="A1104" s="29" t="n">
        <v>45803</v>
      </c>
      <c r="B1104" s="37" t="inlineStr">
        <is>
          <t>JOB-2100</t>
        </is>
      </c>
      <c r="C1104" s="34" t="n">
        <v>1</v>
      </c>
      <c r="D1104" s="37" t="inlineStr">
        <is>
          <t>Tech B</t>
        </is>
      </c>
      <c r="E1104" s="35" t="n">
        <v>4</v>
      </c>
      <c r="F1104" s="35" t="n">
        <v>3</v>
      </c>
      <c r="G1104" s="37" t="inlineStr">
        <is>
          <t>Y</t>
        </is>
      </c>
      <c r="H1104" s="37" t="inlineStr">
        <is>
          <t>N</t>
        </is>
      </c>
      <c r="I1104" s="37">
        <f>COUNTIF(G$5:G1104,"Y")/COUNTA(G$5:G1104)</f>
        <v/>
      </c>
      <c r="J1104" s="37">
        <f>COUNTIF(H$5:H1104,"Y")/COUNTA(H$5:H1104)</f>
        <v/>
      </c>
      <c r="K1104" s="37">
        <f>AVERAGE(F$5:F1104)</f>
        <v/>
      </c>
      <c r="L1104" s="37">
        <f>SUM(F$5:F1104)/SUM(E$5:E1104)</f>
        <v/>
      </c>
    </row>
    <row r="1105">
      <c r="A1105" s="29" t="n">
        <v>45804</v>
      </c>
      <c r="B1105" s="37" t="inlineStr">
        <is>
          <t>JOB-2101</t>
        </is>
      </c>
      <c r="C1105" s="34" t="n">
        <v>1</v>
      </c>
      <c r="D1105" s="37" t="inlineStr">
        <is>
          <t>Tech D</t>
        </is>
      </c>
      <c r="E1105" s="35" t="n">
        <v>3.6</v>
      </c>
      <c r="F1105" s="35" t="n">
        <v>2.8</v>
      </c>
      <c r="G1105" s="37" t="inlineStr">
        <is>
          <t>Y</t>
        </is>
      </c>
      <c r="H1105" s="37" t="inlineStr">
        <is>
          <t>N</t>
        </is>
      </c>
      <c r="I1105" s="37">
        <f>COUNTIF(G$5:G1105,"Y")/COUNTA(G$5:G1105)</f>
        <v/>
      </c>
      <c r="J1105" s="37">
        <f>COUNTIF(H$5:H1105,"Y")/COUNTA(H$5:H1105)</f>
        <v/>
      </c>
      <c r="K1105" s="37">
        <f>AVERAGE(F$5:F1105)</f>
        <v/>
      </c>
      <c r="L1105" s="37">
        <f>SUM(F$5:F1105)/SUM(E$5:E1105)</f>
        <v/>
      </c>
    </row>
    <row r="1106">
      <c r="A1106" s="29" t="n">
        <v>45805</v>
      </c>
      <c r="B1106" s="37" t="inlineStr">
        <is>
          <t>JOB-2102</t>
        </is>
      </c>
      <c r="C1106" s="34" t="n">
        <v>1</v>
      </c>
      <c r="D1106" s="37" t="inlineStr">
        <is>
          <t>Tech A</t>
        </is>
      </c>
      <c r="E1106" s="35" t="n">
        <v>3.7</v>
      </c>
      <c r="F1106" s="35" t="n">
        <v>3.1</v>
      </c>
      <c r="G1106" s="37" t="inlineStr">
        <is>
          <t>Y</t>
        </is>
      </c>
      <c r="H1106" s="37" t="inlineStr">
        <is>
          <t>N</t>
        </is>
      </c>
      <c r="I1106" s="37">
        <f>COUNTIF(G$5:G1106,"Y")/COUNTA(G$5:G1106)</f>
        <v/>
      </c>
      <c r="J1106" s="37">
        <f>COUNTIF(H$5:H1106,"Y")/COUNTA(H$5:H1106)</f>
        <v/>
      </c>
      <c r="K1106" s="37">
        <f>AVERAGE(F$5:F1106)</f>
        <v/>
      </c>
      <c r="L1106" s="37">
        <f>SUM(F$5:F1106)/SUM(E$5:E1106)</f>
        <v/>
      </c>
    </row>
    <row r="1107">
      <c r="A1107" s="29" t="n">
        <v>45806</v>
      </c>
      <c r="B1107" s="37" t="inlineStr">
        <is>
          <t>JOB-2103</t>
        </is>
      </c>
      <c r="C1107" s="34" t="n">
        <v>1</v>
      </c>
      <c r="D1107" s="37" t="inlineStr">
        <is>
          <t>Tech H</t>
        </is>
      </c>
      <c r="E1107" s="35" t="n">
        <v>2.9</v>
      </c>
      <c r="F1107" s="35" t="n">
        <v>2.2</v>
      </c>
      <c r="G1107" s="37" t="inlineStr">
        <is>
          <t>Y</t>
        </is>
      </c>
      <c r="H1107" s="37" t="inlineStr">
        <is>
          <t>N</t>
        </is>
      </c>
      <c r="I1107" s="37">
        <f>COUNTIF(G$5:G1107,"Y")/COUNTA(G$5:G1107)</f>
        <v/>
      </c>
      <c r="J1107" s="37">
        <f>COUNTIF(H$5:H1107,"Y")/COUNTA(H$5:H1107)</f>
        <v/>
      </c>
      <c r="K1107" s="37">
        <f>AVERAGE(F$5:F1107)</f>
        <v/>
      </c>
      <c r="L1107" s="37">
        <f>SUM(F$5:F1107)/SUM(E$5:E1107)</f>
        <v/>
      </c>
    </row>
    <row r="1108">
      <c r="A1108" s="29" t="n">
        <v>45807</v>
      </c>
      <c r="B1108" s="37" t="inlineStr">
        <is>
          <t>JOB-2104</t>
        </is>
      </c>
      <c r="C1108" s="34" t="n">
        <v>1</v>
      </c>
      <c r="D1108" s="37" t="inlineStr">
        <is>
          <t>Tech F</t>
        </is>
      </c>
      <c r="E1108" s="35" t="n">
        <v>4.5</v>
      </c>
      <c r="F1108" s="35" t="n">
        <v>3.6</v>
      </c>
      <c r="G1108" s="37" t="inlineStr">
        <is>
          <t>N</t>
        </is>
      </c>
      <c r="H1108" s="37" t="inlineStr">
        <is>
          <t>N</t>
        </is>
      </c>
      <c r="I1108" s="37">
        <f>COUNTIF(G$5:G1108,"Y")/COUNTA(G$5:G1108)</f>
        <v/>
      </c>
      <c r="J1108" s="37">
        <f>COUNTIF(H$5:H1108,"Y")/COUNTA(H$5:H1108)</f>
        <v/>
      </c>
      <c r="K1108" s="37">
        <f>AVERAGE(F$5:F1108)</f>
        <v/>
      </c>
      <c r="L1108" s="37">
        <f>SUM(F$5:F1108)/SUM(E$5:E1108)</f>
        <v/>
      </c>
    </row>
    <row r="1109">
      <c r="A1109" s="29" t="n">
        <v>45803</v>
      </c>
      <c r="B1109" s="37" t="inlineStr">
        <is>
          <t>JOB-2105</t>
        </is>
      </c>
      <c r="C1109" s="34" t="n">
        <v>1</v>
      </c>
      <c r="D1109" s="37" t="inlineStr">
        <is>
          <t>Tech C</t>
        </is>
      </c>
      <c r="E1109" s="35" t="n">
        <v>2.6</v>
      </c>
      <c r="F1109" s="35" t="n">
        <v>2.2</v>
      </c>
      <c r="G1109" s="37" t="inlineStr">
        <is>
          <t>Y</t>
        </is>
      </c>
      <c r="H1109" s="37" t="inlineStr">
        <is>
          <t>N</t>
        </is>
      </c>
      <c r="I1109" s="37">
        <f>COUNTIF(G$5:G1109,"Y")/COUNTA(G$5:G1109)</f>
        <v/>
      </c>
      <c r="J1109" s="37">
        <f>COUNTIF(H$5:H1109,"Y")/COUNTA(H$5:H1109)</f>
        <v/>
      </c>
      <c r="K1109" s="37">
        <f>AVERAGE(F$5:F1109)</f>
        <v/>
      </c>
      <c r="L1109" s="37">
        <f>SUM(F$5:F1109)/SUM(E$5:E1109)</f>
        <v/>
      </c>
    </row>
    <row r="1110">
      <c r="A1110" s="29" t="n">
        <v>45804</v>
      </c>
      <c r="B1110" s="37" t="inlineStr">
        <is>
          <t>JOB-2106</t>
        </is>
      </c>
      <c r="C1110" s="34" t="n">
        <v>1</v>
      </c>
      <c r="D1110" s="37" t="inlineStr">
        <is>
          <t>Tech G</t>
        </is>
      </c>
      <c r="E1110" s="35" t="n">
        <v>2.3</v>
      </c>
      <c r="F1110" s="35" t="n">
        <v>2.1</v>
      </c>
      <c r="G1110" s="37" t="inlineStr">
        <is>
          <t>Y</t>
        </is>
      </c>
      <c r="H1110" s="37" t="inlineStr">
        <is>
          <t>N</t>
        </is>
      </c>
      <c r="I1110" s="37">
        <f>COUNTIF(G$5:G1110,"Y")/COUNTA(G$5:G1110)</f>
        <v/>
      </c>
      <c r="J1110" s="37">
        <f>COUNTIF(H$5:H1110,"Y")/COUNTA(H$5:H1110)</f>
        <v/>
      </c>
      <c r="K1110" s="37">
        <f>AVERAGE(F$5:F1110)</f>
        <v/>
      </c>
      <c r="L1110" s="37">
        <f>SUM(F$5:F1110)/SUM(E$5:E1110)</f>
        <v/>
      </c>
    </row>
    <row r="1111">
      <c r="A1111" s="29" t="n">
        <v>45805</v>
      </c>
      <c r="B1111" s="37" t="inlineStr">
        <is>
          <t>JOB-2107</t>
        </is>
      </c>
      <c r="C1111" s="34" t="n">
        <v>1</v>
      </c>
      <c r="D1111" s="37" t="inlineStr">
        <is>
          <t>Tech H</t>
        </is>
      </c>
      <c r="E1111" s="35" t="n">
        <v>5.1</v>
      </c>
      <c r="F1111" s="35" t="n">
        <v>3.6</v>
      </c>
      <c r="G1111" s="37" t="inlineStr">
        <is>
          <t>Y</t>
        </is>
      </c>
      <c r="H1111" s="37" t="inlineStr">
        <is>
          <t>N</t>
        </is>
      </c>
      <c r="I1111" s="37">
        <f>COUNTIF(G$5:G1111,"Y")/COUNTA(G$5:G1111)</f>
        <v/>
      </c>
      <c r="J1111" s="37">
        <f>COUNTIF(H$5:H1111,"Y")/COUNTA(H$5:H1111)</f>
        <v/>
      </c>
      <c r="K1111" s="37">
        <f>AVERAGE(F$5:F1111)</f>
        <v/>
      </c>
      <c r="L1111" s="37">
        <f>SUM(F$5:F1111)/SUM(E$5:E1111)</f>
        <v/>
      </c>
    </row>
    <row r="1112">
      <c r="A1112" s="29" t="n">
        <v>45806</v>
      </c>
      <c r="B1112" s="37" t="inlineStr">
        <is>
          <t>JOB-2108</t>
        </is>
      </c>
      <c r="C1112" s="34" t="n">
        <v>1</v>
      </c>
      <c r="D1112" s="37" t="inlineStr">
        <is>
          <t>Tech A</t>
        </is>
      </c>
      <c r="E1112" s="35" t="n">
        <v>2.8</v>
      </c>
      <c r="F1112" s="35" t="n">
        <v>2.2</v>
      </c>
      <c r="G1112" s="37" t="inlineStr">
        <is>
          <t>Y</t>
        </is>
      </c>
      <c r="H1112" s="37" t="inlineStr">
        <is>
          <t>N</t>
        </is>
      </c>
      <c r="I1112" s="37">
        <f>COUNTIF(G$5:G1112,"Y")/COUNTA(G$5:G1112)</f>
        <v/>
      </c>
      <c r="J1112" s="37">
        <f>COUNTIF(H$5:H1112,"Y")/COUNTA(H$5:H1112)</f>
        <v/>
      </c>
      <c r="K1112" s="37">
        <f>AVERAGE(F$5:F1112)</f>
        <v/>
      </c>
      <c r="L1112" s="37">
        <f>SUM(F$5:F1112)/SUM(E$5:E1112)</f>
        <v/>
      </c>
    </row>
    <row r="1113">
      <c r="A1113" s="29" t="n">
        <v>45807</v>
      </c>
      <c r="B1113" s="37" t="inlineStr">
        <is>
          <t>JOB-2109</t>
        </is>
      </c>
      <c r="C1113" s="34" t="n">
        <v>1</v>
      </c>
      <c r="D1113" s="37" t="inlineStr">
        <is>
          <t>Tech A</t>
        </is>
      </c>
      <c r="E1113" s="35" t="n">
        <v>1.2</v>
      </c>
      <c r="F1113" s="35" t="n">
        <v>0.8</v>
      </c>
      <c r="G1113" s="37" t="inlineStr">
        <is>
          <t>N</t>
        </is>
      </c>
      <c r="H1113" s="37" t="inlineStr">
        <is>
          <t>N</t>
        </is>
      </c>
      <c r="I1113" s="37">
        <f>COUNTIF(G$5:G1113,"Y")/COUNTA(G$5:G1113)</f>
        <v/>
      </c>
      <c r="J1113" s="37">
        <f>COUNTIF(H$5:H1113,"Y")/COUNTA(H$5:H1113)</f>
        <v/>
      </c>
      <c r="K1113" s="37">
        <f>AVERAGE(F$5:F1113)</f>
        <v/>
      </c>
      <c r="L1113" s="37">
        <f>SUM(F$5:F1113)/SUM(E$5:E1113)</f>
        <v/>
      </c>
    </row>
    <row r="1114">
      <c r="A1114" s="29" t="n">
        <v>45803</v>
      </c>
      <c r="B1114" s="37" t="inlineStr">
        <is>
          <t>JOB-2110</t>
        </is>
      </c>
      <c r="C1114" s="34" t="n">
        <v>1</v>
      </c>
      <c r="D1114" s="37" t="inlineStr">
        <is>
          <t>Tech C</t>
        </is>
      </c>
      <c r="E1114" s="35" t="n">
        <v>0.6</v>
      </c>
      <c r="F1114" s="35" t="n">
        <v>0.5</v>
      </c>
      <c r="G1114" s="37" t="inlineStr">
        <is>
          <t>Y</t>
        </is>
      </c>
      <c r="H1114" s="37" t="inlineStr">
        <is>
          <t>N</t>
        </is>
      </c>
      <c r="I1114" s="37">
        <f>COUNTIF(G$5:G1114,"Y")/COUNTA(G$5:G1114)</f>
        <v/>
      </c>
      <c r="J1114" s="37">
        <f>COUNTIF(H$5:H1114,"Y")/COUNTA(H$5:H1114)</f>
        <v/>
      </c>
      <c r="K1114" s="37">
        <f>AVERAGE(F$5:F1114)</f>
        <v/>
      </c>
      <c r="L1114" s="37">
        <f>SUM(F$5:F1114)/SUM(E$5:E1114)</f>
        <v/>
      </c>
    </row>
    <row r="1115">
      <c r="A1115" s="29" t="n">
        <v>45804</v>
      </c>
      <c r="B1115" s="37" t="inlineStr">
        <is>
          <t>JOB-2111</t>
        </is>
      </c>
      <c r="C1115" s="34" t="n">
        <v>1</v>
      </c>
      <c r="D1115" s="37" t="inlineStr">
        <is>
          <t>Tech H</t>
        </is>
      </c>
      <c r="E1115" s="35" t="n">
        <v>0.6</v>
      </c>
      <c r="F1115" s="35" t="n">
        <v>0.5</v>
      </c>
      <c r="G1115" s="37" t="inlineStr">
        <is>
          <t>Y</t>
        </is>
      </c>
      <c r="H1115" s="37" t="inlineStr">
        <is>
          <t>N</t>
        </is>
      </c>
      <c r="I1115" s="37">
        <f>COUNTIF(G$5:G1115,"Y")/COUNTA(G$5:G1115)</f>
        <v/>
      </c>
      <c r="J1115" s="37">
        <f>COUNTIF(H$5:H1115,"Y")/COUNTA(H$5:H1115)</f>
        <v/>
      </c>
      <c r="K1115" s="37">
        <f>AVERAGE(F$5:F1115)</f>
        <v/>
      </c>
      <c r="L1115" s="37">
        <f>SUM(F$5:F1115)/SUM(E$5:E1115)</f>
        <v/>
      </c>
    </row>
    <row r="1116">
      <c r="A1116" s="29" t="n">
        <v>45805</v>
      </c>
      <c r="B1116" s="37" t="inlineStr">
        <is>
          <t>JOB-2112</t>
        </is>
      </c>
      <c r="C1116" s="34" t="n">
        <v>1</v>
      </c>
      <c r="D1116" s="37" t="inlineStr">
        <is>
          <t>Tech B</t>
        </is>
      </c>
      <c r="E1116" s="35" t="n">
        <v>0.6</v>
      </c>
      <c r="F1116" s="35" t="n">
        <v>0.5</v>
      </c>
      <c r="G1116" s="37" t="inlineStr">
        <is>
          <t>Y</t>
        </is>
      </c>
      <c r="H1116" s="37" t="inlineStr">
        <is>
          <t>N</t>
        </is>
      </c>
      <c r="I1116" s="37">
        <f>COUNTIF(G$5:G1116,"Y")/COUNTA(G$5:G1116)</f>
        <v/>
      </c>
      <c r="J1116" s="37">
        <f>COUNTIF(H$5:H1116,"Y")/COUNTA(H$5:H1116)</f>
        <v/>
      </c>
      <c r="K1116" s="37">
        <f>AVERAGE(F$5:F1116)</f>
        <v/>
      </c>
      <c r="L1116" s="37">
        <f>SUM(F$5:F1116)/SUM(E$5:E1116)</f>
        <v/>
      </c>
    </row>
    <row r="1117">
      <c r="A1117" s="29" t="n">
        <v>45806</v>
      </c>
      <c r="B1117" s="37" t="inlineStr">
        <is>
          <t>JOB-2113</t>
        </is>
      </c>
      <c r="C1117" s="34" t="n">
        <v>1</v>
      </c>
      <c r="D1117" s="37" t="inlineStr">
        <is>
          <t>Tech H</t>
        </is>
      </c>
      <c r="E1117" s="35" t="n">
        <v>0.6</v>
      </c>
      <c r="F1117" s="35" t="n">
        <v>0.5</v>
      </c>
      <c r="G1117" s="37" t="inlineStr">
        <is>
          <t>Y</t>
        </is>
      </c>
      <c r="H1117" s="37" t="inlineStr">
        <is>
          <t>N</t>
        </is>
      </c>
      <c r="I1117" s="37">
        <f>COUNTIF(G$5:G1117,"Y")/COUNTA(G$5:G1117)</f>
        <v/>
      </c>
      <c r="J1117" s="37">
        <f>COUNTIF(H$5:H1117,"Y")/COUNTA(H$5:H1117)</f>
        <v/>
      </c>
      <c r="K1117" s="37">
        <f>AVERAGE(F$5:F1117)</f>
        <v/>
      </c>
      <c r="L1117" s="37">
        <f>SUM(F$5:F1117)/SUM(E$5:E1117)</f>
        <v/>
      </c>
    </row>
    <row r="1118">
      <c r="A1118" s="29" t="n">
        <v>45807</v>
      </c>
      <c r="B1118" s="37" t="inlineStr">
        <is>
          <t>JOB-2114</t>
        </is>
      </c>
      <c r="C1118" s="34" t="n">
        <v>1</v>
      </c>
      <c r="D1118" s="37" t="inlineStr">
        <is>
          <t>Tech F</t>
        </is>
      </c>
      <c r="E1118" s="35" t="n">
        <v>0.7</v>
      </c>
      <c r="F1118" s="35" t="n">
        <v>0.5</v>
      </c>
      <c r="G1118" s="37" t="inlineStr">
        <is>
          <t>Y</t>
        </is>
      </c>
      <c r="H1118" s="37" t="inlineStr">
        <is>
          <t>N</t>
        </is>
      </c>
      <c r="I1118" s="37">
        <f>COUNTIF(G$5:G1118,"Y")/COUNTA(G$5:G1118)</f>
        <v/>
      </c>
      <c r="J1118" s="37">
        <f>COUNTIF(H$5:H1118,"Y")/COUNTA(H$5:H1118)</f>
        <v/>
      </c>
      <c r="K1118" s="37">
        <f>AVERAGE(F$5:F1118)</f>
        <v/>
      </c>
      <c r="L1118" s="37">
        <f>SUM(F$5:F1118)/SUM(E$5:E1118)</f>
        <v/>
      </c>
    </row>
    <row r="1119">
      <c r="A1119" s="29" t="n">
        <v>45803</v>
      </c>
      <c r="B1119" s="37" t="inlineStr">
        <is>
          <t>JOB-2115</t>
        </is>
      </c>
      <c r="C1119" s="34" t="n">
        <v>1</v>
      </c>
      <c r="D1119" s="37" t="inlineStr">
        <is>
          <t>Tech G</t>
        </is>
      </c>
      <c r="E1119" s="35" t="n">
        <v>2.7</v>
      </c>
      <c r="F1119" s="35" t="n">
        <v>0.5</v>
      </c>
      <c r="G1119" s="37" t="inlineStr">
        <is>
          <t>Y</t>
        </is>
      </c>
      <c r="H1119" s="37" t="inlineStr">
        <is>
          <t>N</t>
        </is>
      </c>
      <c r="I1119" s="37">
        <f>COUNTIF(G$5:G1119,"Y")/COUNTA(G$5:G1119)</f>
        <v/>
      </c>
      <c r="J1119" s="37">
        <f>COUNTIF(H$5:H1119,"Y")/COUNTA(H$5:H1119)</f>
        <v/>
      </c>
      <c r="K1119" s="37">
        <f>AVERAGE(F$5:F1119)</f>
        <v/>
      </c>
      <c r="L1119" s="37">
        <f>SUM(F$5:F1119)/SUM(E$5:E1119)</f>
        <v/>
      </c>
      <c r="M1119" s="37" t="n">
        <v>8</v>
      </c>
    </row>
    <row r="1120">
      <c r="A1120" s="29" t="n">
        <v>45810</v>
      </c>
      <c r="B1120" s="37" t="inlineStr">
        <is>
          <t>JOB-2116</t>
        </is>
      </c>
      <c r="C1120" s="34" t="n">
        <v>1</v>
      </c>
      <c r="D1120" s="37" t="inlineStr">
        <is>
          <t>Tech C</t>
        </is>
      </c>
      <c r="E1120" s="35" t="n">
        <v>1.8</v>
      </c>
      <c r="F1120" s="35" t="n">
        <v>1.4</v>
      </c>
      <c r="G1120" s="37" t="inlineStr">
        <is>
          <t>Y</t>
        </is>
      </c>
      <c r="H1120" s="37" t="inlineStr">
        <is>
          <t>N</t>
        </is>
      </c>
      <c r="I1120" s="37">
        <f>COUNTIF(G$5:G1120,"Y")/COUNTA(G$5:G1120)</f>
        <v/>
      </c>
      <c r="J1120" s="37">
        <f>COUNTIF(H$5:H1120,"Y")/COUNTA(H$5:H1120)</f>
        <v/>
      </c>
      <c r="K1120" s="37">
        <f>AVERAGE(F$5:F1120)</f>
        <v/>
      </c>
      <c r="L1120" s="37">
        <f>SUM(F$5:F1120)/SUM(E$5:E1120)</f>
        <v/>
      </c>
    </row>
    <row r="1121">
      <c r="A1121" s="29" t="n">
        <v>45811</v>
      </c>
      <c r="B1121" s="37" t="inlineStr">
        <is>
          <t>JOB-2117</t>
        </is>
      </c>
      <c r="C1121" s="34" t="n">
        <v>1</v>
      </c>
      <c r="D1121" s="37" t="inlineStr">
        <is>
          <t>Tech C</t>
        </is>
      </c>
      <c r="E1121" s="35" t="n">
        <v>2.7</v>
      </c>
      <c r="F1121" s="35" t="n">
        <v>2</v>
      </c>
      <c r="G1121" s="37" t="inlineStr">
        <is>
          <t>Y</t>
        </is>
      </c>
      <c r="H1121" s="37" t="inlineStr">
        <is>
          <t>N</t>
        </is>
      </c>
      <c r="I1121" s="37">
        <f>COUNTIF(G$5:G1121,"Y")/COUNTA(G$5:G1121)</f>
        <v/>
      </c>
      <c r="J1121" s="37">
        <f>COUNTIF(H$5:H1121,"Y")/COUNTA(H$5:H1121)</f>
        <v/>
      </c>
      <c r="K1121" s="37">
        <f>AVERAGE(F$5:F1121)</f>
        <v/>
      </c>
      <c r="L1121" s="37">
        <f>SUM(F$5:F1121)/SUM(E$5:E1121)</f>
        <v/>
      </c>
    </row>
    <row r="1122">
      <c r="A1122" s="29" t="n">
        <v>45812</v>
      </c>
      <c r="B1122" s="37" t="inlineStr">
        <is>
          <t>JOB-2118</t>
        </is>
      </c>
      <c r="C1122" s="34" t="n">
        <v>1</v>
      </c>
      <c r="D1122" s="37" t="inlineStr">
        <is>
          <t>Tech F</t>
        </is>
      </c>
      <c r="E1122" s="35" t="n">
        <v>3.6</v>
      </c>
      <c r="F1122" s="35" t="n">
        <v>2.9</v>
      </c>
      <c r="G1122" s="37" t="inlineStr">
        <is>
          <t>Y</t>
        </is>
      </c>
      <c r="H1122" s="37" t="inlineStr">
        <is>
          <t>N</t>
        </is>
      </c>
      <c r="I1122" s="37">
        <f>COUNTIF(G$5:G1122,"Y")/COUNTA(G$5:G1122)</f>
        <v/>
      </c>
      <c r="J1122" s="37">
        <f>COUNTIF(H$5:H1122,"Y")/COUNTA(H$5:H1122)</f>
        <v/>
      </c>
      <c r="K1122" s="37">
        <f>AVERAGE(F$5:F1122)</f>
        <v/>
      </c>
      <c r="L1122" s="37">
        <f>SUM(F$5:F1122)/SUM(E$5:E1122)</f>
        <v/>
      </c>
    </row>
    <row r="1123">
      <c r="A1123" s="29" t="n">
        <v>45813</v>
      </c>
      <c r="B1123" s="37" t="inlineStr">
        <is>
          <t>JOB-2119</t>
        </is>
      </c>
      <c r="C1123" s="34" t="n">
        <v>1</v>
      </c>
      <c r="D1123" s="37" t="inlineStr">
        <is>
          <t>Tech B</t>
        </is>
      </c>
      <c r="E1123" s="35" t="n">
        <v>5.2</v>
      </c>
      <c r="F1123" s="35" t="n">
        <v>3.7</v>
      </c>
      <c r="G1123" s="37" t="inlineStr">
        <is>
          <t>Y</t>
        </is>
      </c>
      <c r="H1123" s="37" t="inlineStr">
        <is>
          <t>N</t>
        </is>
      </c>
      <c r="I1123" s="37">
        <f>COUNTIF(G$5:G1123,"Y")/COUNTA(G$5:G1123)</f>
        <v/>
      </c>
      <c r="J1123" s="37">
        <f>COUNTIF(H$5:H1123,"Y")/COUNTA(H$5:H1123)</f>
        <v/>
      </c>
      <c r="K1123" s="37">
        <f>AVERAGE(F$5:F1123)</f>
        <v/>
      </c>
      <c r="L1123" s="37">
        <f>SUM(F$5:F1123)/SUM(E$5:E1123)</f>
        <v/>
      </c>
    </row>
    <row r="1124">
      <c r="A1124" s="29" t="n">
        <v>45814</v>
      </c>
      <c r="B1124" s="37" t="inlineStr">
        <is>
          <t>JOB-2120</t>
        </is>
      </c>
      <c r="C1124" s="34" t="n">
        <v>1</v>
      </c>
      <c r="D1124" s="37" t="inlineStr">
        <is>
          <t>Tech B</t>
        </is>
      </c>
      <c r="E1124" s="35" t="n">
        <v>1.5</v>
      </c>
      <c r="F1124" s="35" t="n">
        <v>1.2</v>
      </c>
      <c r="G1124" s="37" t="inlineStr">
        <is>
          <t>Y</t>
        </is>
      </c>
      <c r="H1124" s="37" t="inlineStr">
        <is>
          <t>N</t>
        </is>
      </c>
      <c r="I1124" s="37">
        <f>COUNTIF(G$5:G1124,"Y")/COUNTA(G$5:G1124)</f>
        <v/>
      </c>
      <c r="J1124" s="37">
        <f>COUNTIF(H$5:H1124,"Y")/COUNTA(H$5:H1124)</f>
        <v/>
      </c>
      <c r="K1124" s="37">
        <f>AVERAGE(F$5:F1124)</f>
        <v/>
      </c>
      <c r="L1124" s="37">
        <f>SUM(F$5:F1124)/SUM(E$5:E1124)</f>
        <v/>
      </c>
    </row>
    <row r="1125">
      <c r="A1125" s="29" t="n">
        <v>45810</v>
      </c>
      <c r="B1125" s="37" t="inlineStr">
        <is>
          <t>JOB-2121</t>
        </is>
      </c>
      <c r="C1125" s="34" t="n">
        <v>1</v>
      </c>
      <c r="D1125" s="37" t="inlineStr">
        <is>
          <t>Tech C</t>
        </is>
      </c>
      <c r="E1125" s="35" t="n">
        <v>3.9</v>
      </c>
      <c r="F1125" s="35" t="n">
        <v>3.2</v>
      </c>
      <c r="G1125" s="37" t="inlineStr">
        <is>
          <t>Y</t>
        </is>
      </c>
      <c r="H1125" s="37" t="inlineStr">
        <is>
          <t>N</t>
        </is>
      </c>
      <c r="I1125" s="37">
        <f>COUNTIF(G$5:G1125,"Y")/COUNTA(G$5:G1125)</f>
        <v/>
      </c>
      <c r="J1125" s="37">
        <f>COUNTIF(H$5:H1125,"Y")/COUNTA(H$5:H1125)</f>
        <v/>
      </c>
      <c r="K1125" s="37">
        <f>AVERAGE(F$5:F1125)</f>
        <v/>
      </c>
      <c r="L1125" s="37">
        <f>SUM(F$5:F1125)/SUM(E$5:E1125)</f>
        <v/>
      </c>
    </row>
    <row r="1126">
      <c r="A1126" s="29" t="n">
        <v>45811</v>
      </c>
      <c r="B1126" s="37" t="inlineStr">
        <is>
          <t>JOB-2122</t>
        </is>
      </c>
      <c r="C1126" s="34" t="n">
        <v>1</v>
      </c>
      <c r="D1126" s="37" t="inlineStr">
        <is>
          <t>Tech G</t>
        </is>
      </c>
      <c r="E1126" s="35" t="n">
        <v>1.7</v>
      </c>
      <c r="F1126" s="35" t="n">
        <v>1.2</v>
      </c>
      <c r="G1126" s="37" t="inlineStr">
        <is>
          <t>N</t>
        </is>
      </c>
      <c r="H1126" s="37" t="inlineStr">
        <is>
          <t>N</t>
        </is>
      </c>
      <c r="I1126" s="37">
        <f>COUNTIF(G$5:G1126,"Y")/COUNTA(G$5:G1126)</f>
        <v/>
      </c>
      <c r="J1126" s="37">
        <f>COUNTIF(H$5:H1126,"Y")/COUNTA(H$5:H1126)</f>
        <v/>
      </c>
      <c r="K1126" s="37">
        <f>AVERAGE(F$5:F1126)</f>
        <v/>
      </c>
      <c r="L1126" s="37">
        <f>SUM(F$5:F1126)/SUM(E$5:E1126)</f>
        <v/>
      </c>
    </row>
    <row r="1127">
      <c r="A1127" s="29" t="n">
        <v>45812</v>
      </c>
      <c r="B1127" s="37" t="inlineStr">
        <is>
          <t>JOB-2123</t>
        </is>
      </c>
      <c r="C1127" s="34" t="n">
        <v>1</v>
      </c>
      <c r="D1127" s="37" t="inlineStr">
        <is>
          <t>Tech C</t>
        </is>
      </c>
      <c r="E1127" s="35" t="n">
        <v>3.6</v>
      </c>
      <c r="F1127" s="35" t="n">
        <v>2.7</v>
      </c>
      <c r="G1127" s="37" t="inlineStr">
        <is>
          <t>Y</t>
        </is>
      </c>
      <c r="H1127" s="37" t="inlineStr">
        <is>
          <t>N</t>
        </is>
      </c>
      <c r="I1127" s="37">
        <f>COUNTIF(G$5:G1127,"Y")/COUNTA(G$5:G1127)</f>
        <v/>
      </c>
      <c r="J1127" s="37">
        <f>COUNTIF(H$5:H1127,"Y")/COUNTA(H$5:H1127)</f>
        <v/>
      </c>
      <c r="K1127" s="37">
        <f>AVERAGE(F$5:F1127)</f>
        <v/>
      </c>
      <c r="L1127" s="37">
        <f>SUM(F$5:F1127)/SUM(E$5:E1127)</f>
        <v/>
      </c>
    </row>
    <row r="1128">
      <c r="A1128" s="29" t="n">
        <v>45813</v>
      </c>
      <c r="B1128" s="37" t="inlineStr">
        <is>
          <t>JOB-2124</t>
        </is>
      </c>
      <c r="C1128" s="34" t="n">
        <v>1</v>
      </c>
      <c r="D1128" s="37" t="inlineStr">
        <is>
          <t>Tech A</t>
        </is>
      </c>
      <c r="E1128" s="35" t="n">
        <v>3.3</v>
      </c>
      <c r="F1128" s="35" t="n">
        <v>2.5</v>
      </c>
      <c r="G1128" s="37" t="inlineStr">
        <is>
          <t>Y</t>
        </is>
      </c>
      <c r="H1128" s="37" t="inlineStr">
        <is>
          <t>N</t>
        </is>
      </c>
      <c r="I1128" s="37">
        <f>COUNTIF(G$5:G1128,"Y")/COUNTA(G$5:G1128)</f>
        <v/>
      </c>
      <c r="J1128" s="37">
        <f>COUNTIF(H$5:H1128,"Y")/COUNTA(H$5:H1128)</f>
        <v/>
      </c>
      <c r="K1128" s="37">
        <f>AVERAGE(F$5:F1128)</f>
        <v/>
      </c>
      <c r="L1128" s="37">
        <f>SUM(F$5:F1128)/SUM(E$5:E1128)</f>
        <v/>
      </c>
    </row>
    <row r="1129">
      <c r="A1129" s="29" t="n">
        <v>45814</v>
      </c>
      <c r="B1129" s="37" t="inlineStr">
        <is>
          <t>JOB-2125</t>
        </is>
      </c>
      <c r="C1129" s="34" t="n">
        <v>1</v>
      </c>
      <c r="D1129" s="37" t="inlineStr">
        <is>
          <t>Tech F</t>
        </is>
      </c>
      <c r="E1129" s="35" t="n">
        <v>3.3</v>
      </c>
      <c r="F1129" s="35" t="n">
        <v>2.7</v>
      </c>
      <c r="G1129" s="37" t="inlineStr">
        <is>
          <t>N</t>
        </is>
      </c>
      <c r="H1129" s="37" t="inlineStr">
        <is>
          <t>N</t>
        </is>
      </c>
      <c r="I1129" s="37">
        <f>COUNTIF(G$5:G1129,"Y")/COUNTA(G$5:G1129)</f>
        <v/>
      </c>
      <c r="J1129" s="37">
        <f>COUNTIF(H$5:H1129,"Y")/COUNTA(H$5:H1129)</f>
        <v/>
      </c>
      <c r="K1129" s="37">
        <f>AVERAGE(F$5:F1129)</f>
        <v/>
      </c>
      <c r="L1129" s="37">
        <f>SUM(F$5:F1129)/SUM(E$5:E1129)</f>
        <v/>
      </c>
    </row>
    <row r="1130">
      <c r="A1130" s="29" t="n">
        <v>45810</v>
      </c>
      <c r="B1130" s="37" t="inlineStr">
        <is>
          <t>JOB-2126</t>
        </is>
      </c>
      <c r="C1130" s="34" t="n">
        <v>1</v>
      </c>
      <c r="D1130" s="37" t="inlineStr">
        <is>
          <t>Tech D</t>
        </is>
      </c>
      <c r="E1130" s="35" t="n">
        <v>3.5</v>
      </c>
      <c r="F1130" s="35" t="n">
        <v>2.4</v>
      </c>
      <c r="G1130" s="37" t="inlineStr">
        <is>
          <t>Y</t>
        </is>
      </c>
      <c r="H1130" s="37" t="inlineStr">
        <is>
          <t>N</t>
        </is>
      </c>
      <c r="I1130" s="37">
        <f>COUNTIF(G$5:G1130,"Y")/COUNTA(G$5:G1130)</f>
        <v/>
      </c>
      <c r="J1130" s="37">
        <f>COUNTIF(H$5:H1130,"Y")/COUNTA(H$5:H1130)</f>
        <v/>
      </c>
      <c r="K1130" s="37">
        <f>AVERAGE(F$5:F1130)</f>
        <v/>
      </c>
      <c r="L1130" s="37">
        <f>SUM(F$5:F1130)/SUM(E$5:E1130)</f>
        <v/>
      </c>
    </row>
    <row r="1131">
      <c r="A1131" s="29" t="n">
        <v>45811</v>
      </c>
      <c r="B1131" s="37" t="inlineStr">
        <is>
          <t>JOB-2127</t>
        </is>
      </c>
      <c r="C1131" s="34" t="n">
        <v>1</v>
      </c>
      <c r="D1131" s="37" t="inlineStr">
        <is>
          <t>Tech F</t>
        </is>
      </c>
      <c r="E1131" s="35" t="n">
        <v>4.1</v>
      </c>
      <c r="F1131" s="35" t="n">
        <v>2.8</v>
      </c>
      <c r="G1131" s="37" t="inlineStr">
        <is>
          <t>Y</t>
        </is>
      </c>
      <c r="H1131" s="37" t="inlineStr">
        <is>
          <t>N</t>
        </is>
      </c>
      <c r="I1131" s="37">
        <f>COUNTIF(G$5:G1131,"Y")/COUNTA(G$5:G1131)</f>
        <v/>
      </c>
      <c r="J1131" s="37">
        <f>COUNTIF(H$5:H1131,"Y")/COUNTA(H$5:H1131)</f>
        <v/>
      </c>
      <c r="K1131" s="37">
        <f>AVERAGE(F$5:F1131)</f>
        <v/>
      </c>
      <c r="L1131" s="37">
        <f>SUM(F$5:F1131)/SUM(E$5:E1131)</f>
        <v/>
      </c>
    </row>
    <row r="1132">
      <c r="A1132" s="29" t="n">
        <v>45812</v>
      </c>
      <c r="B1132" s="37" t="inlineStr">
        <is>
          <t>JOB-2128</t>
        </is>
      </c>
      <c r="C1132" s="34" t="n">
        <v>1</v>
      </c>
      <c r="D1132" s="37" t="inlineStr">
        <is>
          <t>Tech B</t>
        </is>
      </c>
      <c r="E1132" s="35" t="n">
        <v>2.1</v>
      </c>
      <c r="F1132" s="35" t="n">
        <v>1.6</v>
      </c>
      <c r="G1132" s="37" t="inlineStr">
        <is>
          <t>Y</t>
        </is>
      </c>
      <c r="H1132" s="37" t="inlineStr">
        <is>
          <t>N</t>
        </is>
      </c>
      <c r="I1132" s="37">
        <f>COUNTIF(G$5:G1132,"Y")/COUNTA(G$5:G1132)</f>
        <v/>
      </c>
      <c r="J1132" s="37">
        <f>COUNTIF(H$5:H1132,"Y")/COUNTA(H$5:H1132)</f>
        <v/>
      </c>
      <c r="K1132" s="37">
        <f>AVERAGE(F$5:F1132)</f>
        <v/>
      </c>
      <c r="L1132" s="37">
        <f>SUM(F$5:F1132)/SUM(E$5:E1132)</f>
        <v/>
      </c>
    </row>
    <row r="1133">
      <c r="A1133" s="29" t="n">
        <v>45813</v>
      </c>
      <c r="B1133" s="37" t="inlineStr">
        <is>
          <t>JOB-2129</t>
        </is>
      </c>
      <c r="C1133" s="34" t="n">
        <v>1</v>
      </c>
      <c r="D1133" s="37" t="inlineStr">
        <is>
          <t>Tech H</t>
        </is>
      </c>
      <c r="E1133" s="35" t="n">
        <v>3.4</v>
      </c>
      <c r="F1133" s="35" t="n">
        <v>2.4</v>
      </c>
      <c r="G1133" s="37" t="inlineStr">
        <is>
          <t>Y</t>
        </is>
      </c>
      <c r="H1133" s="37" t="inlineStr">
        <is>
          <t>N</t>
        </is>
      </c>
      <c r="I1133" s="37">
        <f>COUNTIF(G$5:G1133,"Y")/COUNTA(G$5:G1133)</f>
        <v/>
      </c>
      <c r="J1133" s="37">
        <f>COUNTIF(H$5:H1133,"Y")/COUNTA(H$5:H1133)</f>
        <v/>
      </c>
      <c r="K1133" s="37">
        <f>AVERAGE(F$5:F1133)</f>
        <v/>
      </c>
      <c r="L1133" s="37">
        <f>SUM(F$5:F1133)/SUM(E$5:E1133)</f>
        <v/>
      </c>
    </row>
    <row r="1134">
      <c r="A1134" s="29" t="n">
        <v>45814</v>
      </c>
      <c r="B1134" s="37" t="inlineStr">
        <is>
          <t>JOB-2130</t>
        </is>
      </c>
      <c r="C1134" s="34" t="n">
        <v>1</v>
      </c>
      <c r="D1134" s="37" t="inlineStr">
        <is>
          <t>Tech A</t>
        </is>
      </c>
      <c r="E1134" s="35" t="n">
        <v>3.3</v>
      </c>
      <c r="F1134" s="35" t="n">
        <v>2.6</v>
      </c>
      <c r="G1134" s="37" t="inlineStr">
        <is>
          <t>Y</t>
        </is>
      </c>
      <c r="H1134" s="37" t="inlineStr">
        <is>
          <t>N</t>
        </is>
      </c>
      <c r="I1134" s="37">
        <f>COUNTIF(G$5:G1134,"Y")/COUNTA(G$5:G1134)</f>
        <v/>
      </c>
      <c r="J1134" s="37">
        <f>COUNTIF(H$5:H1134,"Y")/COUNTA(H$5:H1134)</f>
        <v/>
      </c>
      <c r="K1134" s="37">
        <f>AVERAGE(F$5:F1134)</f>
        <v/>
      </c>
      <c r="L1134" s="37">
        <f>SUM(F$5:F1134)/SUM(E$5:E1134)</f>
        <v/>
      </c>
    </row>
    <row r="1135">
      <c r="A1135" s="29" t="n">
        <v>45810</v>
      </c>
      <c r="B1135" s="37" t="inlineStr">
        <is>
          <t>JOB-2131</t>
        </is>
      </c>
      <c r="C1135" s="34" t="n">
        <v>1</v>
      </c>
      <c r="D1135" s="37" t="inlineStr">
        <is>
          <t>Tech H</t>
        </is>
      </c>
      <c r="E1135" s="35" t="n">
        <v>4.3</v>
      </c>
      <c r="F1135" s="35" t="n">
        <v>3.3</v>
      </c>
      <c r="G1135" s="37" t="inlineStr">
        <is>
          <t>Y</t>
        </is>
      </c>
      <c r="H1135" s="37" t="inlineStr">
        <is>
          <t>N</t>
        </is>
      </c>
      <c r="I1135" s="37">
        <f>COUNTIF(G$5:G1135,"Y")/COUNTA(G$5:G1135)</f>
        <v/>
      </c>
      <c r="J1135" s="37">
        <f>COUNTIF(H$5:H1135,"Y")/COUNTA(H$5:H1135)</f>
        <v/>
      </c>
      <c r="K1135" s="37">
        <f>AVERAGE(F$5:F1135)</f>
        <v/>
      </c>
      <c r="L1135" s="37">
        <f>SUM(F$5:F1135)/SUM(E$5:E1135)</f>
        <v/>
      </c>
    </row>
    <row r="1136">
      <c r="A1136" s="29" t="n">
        <v>45811</v>
      </c>
      <c r="B1136" s="37" t="inlineStr">
        <is>
          <t>JOB-2132</t>
        </is>
      </c>
      <c r="C1136" s="34" t="n">
        <v>1</v>
      </c>
      <c r="D1136" s="37" t="inlineStr">
        <is>
          <t>Tech C</t>
        </is>
      </c>
      <c r="E1136" s="35" t="n">
        <v>4.7</v>
      </c>
      <c r="F1136" s="35" t="n">
        <v>3.2</v>
      </c>
      <c r="G1136" s="37" t="inlineStr">
        <is>
          <t>Y</t>
        </is>
      </c>
      <c r="H1136" s="37" t="inlineStr">
        <is>
          <t>N</t>
        </is>
      </c>
      <c r="I1136" s="37">
        <f>COUNTIF(G$5:G1136,"Y")/COUNTA(G$5:G1136)</f>
        <v/>
      </c>
      <c r="J1136" s="37">
        <f>COUNTIF(H$5:H1136,"Y")/COUNTA(H$5:H1136)</f>
        <v/>
      </c>
      <c r="K1136" s="37">
        <f>AVERAGE(F$5:F1136)</f>
        <v/>
      </c>
      <c r="L1136" s="37">
        <f>SUM(F$5:F1136)/SUM(E$5:E1136)</f>
        <v/>
      </c>
    </row>
    <row r="1137">
      <c r="A1137" s="29" t="n">
        <v>45812</v>
      </c>
      <c r="B1137" s="37" t="inlineStr">
        <is>
          <t>JOB-2133</t>
        </is>
      </c>
      <c r="C1137" s="34" t="n">
        <v>1</v>
      </c>
      <c r="D1137" s="37" t="inlineStr">
        <is>
          <t>Tech G</t>
        </is>
      </c>
      <c r="E1137" s="35" t="n">
        <v>3.6</v>
      </c>
      <c r="F1137" s="35" t="n">
        <v>2.9</v>
      </c>
      <c r="G1137" s="37" t="inlineStr">
        <is>
          <t>N</t>
        </is>
      </c>
      <c r="H1137" s="37" t="inlineStr">
        <is>
          <t>N</t>
        </is>
      </c>
      <c r="I1137" s="37">
        <f>COUNTIF(G$5:G1137,"Y")/COUNTA(G$5:G1137)</f>
        <v/>
      </c>
      <c r="J1137" s="37">
        <f>COUNTIF(H$5:H1137,"Y")/COUNTA(H$5:H1137)</f>
        <v/>
      </c>
      <c r="K1137" s="37">
        <f>AVERAGE(F$5:F1137)</f>
        <v/>
      </c>
      <c r="L1137" s="37">
        <f>SUM(F$5:F1137)/SUM(E$5:E1137)</f>
        <v/>
      </c>
    </row>
    <row r="1138">
      <c r="A1138" s="29" t="n">
        <v>45813</v>
      </c>
      <c r="B1138" s="37" t="inlineStr">
        <is>
          <t>JOB-2134</t>
        </is>
      </c>
      <c r="C1138" s="34" t="n">
        <v>1</v>
      </c>
      <c r="D1138" s="37" t="inlineStr">
        <is>
          <t>Tech D</t>
        </is>
      </c>
      <c r="E1138" s="35" t="n">
        <v>3.6</v>
      </c>
      <c r="F1138" s="35" t="n">
        <v>2.9</v>
      </c>
      <c r="G1138" s="37" t="inlineStr">
        <is>
          <t>Y</t>
        </is>
      </c>
      <c r="H1138" s="37" t="inlineStr">
        <is>
          <t>N</t>
        </is>
      </c>
      <c r="I1138" s="37">
        <f>COUNTIF(G$5:G1138,"Y")/COUNTA(G$5:G1138)</f>
        <v/>
      </c>
      <c r="J1138" s="37">
        <f>COUNTIF(H$5:H1138,"Y")/COUNTA(H$5:H1138)</f>
        <v/>
      </c>
      <c r="K1138" s="37">
        <f>AVERAGE(F$5:F1138)</f>
        <v/>
      </c>
      <c r="L1138" s="37">
        <f>SUM(F$5:F1138)/SUM(E$5:E1138)</f>
        <v/>
      </c>
    </row>
    <row r="1139">
      <c r="A1139" s="29" t="n">
        <v>45814</v>
      </c>
      <c r="B1139" s="37" t="inlineStr">
        <is>
          <t>JOB-2135</t>
        </is>
      </c>
      <c r="C1139" s="34" t="n">
        <v>1</v>
      </c>
      <c r="D1139" s="37" t="inlineStr">
        <is>
          <t>Tech B</t>
        </is>
      </c>
      <c r="E1139" s="35" t="n">
        <v>1.9</v>
      </c>
      <c r="F1139" s="35" t="n">
        <v>1.3</v>
      </c>
      <c r="G1139" s="37" t="inlineStr">
        <is>
          <t>Y</t>
        </is>
      </c>
      <c r="H1139" s="37" t="inlineStr">
        <is>
          <t>N</t>
        </is>
      </c>
      <c r="I1139" s="37">
        <f>COUNTIF(G$5:G1139,"Y")/COUNTA(G$5:G1139)</f>
        <v/>
      </c>
      <c r="J1139" s="37">
        <f>COUNTIF(H$5:H1139,"Y")/COUNTA(H$5:H1139)</f>
        <v/>
      </c>
      <c r="K1139" s="37">
        <f>AVERAGE(F$5:F1139)</f>
        <v/>
      </c>
      <c r="L1139" s="37">
        <f>SUM(F$5:F1139)/SUM(E$5:E1139)</f>
        <v/>
      </c>
    </row>
    <row r="1140">
      <c r="A1140" s="29" t="n">
        <v>45810</v>
      </c>
      <c r="B1140" s="37" t="inlineStr">
        <is>
          <t>JOB-2136</t>
        </is>
      </c>
      <c r="C1140" s="34" t="n">
        <v>1</v>
      </c>
      <c r="D1140" s="37" t="inlineStr">
        <is>
          <t>Tech D</t>
        </is>
      </c>
      <c r="E1140" s="35" t="n">
        <v>4</v>
      </c>
      <c r="F1140" s="35" t="n">
        <v>3.4</v>
      </c>
      <c r="G1140" s="37" t="inlineStr">
        <is>
          <t>Y</t>
        </is>
      </c>
      <c r="H1140" s="37" t="inlineStr">
        <is>
          <t>N</t>
        </is>
      </c>
      <c r="I1140" s="37">
        <f>COUNTIF(G$5:G1140,"Y")/COUNTA(G$5:G1140)</f>
        <v/>
      </c>
      <c r="J1140" s="37">
        <f>COUNTIF(H$5:H1140,"Y")/COUNTA(H$5:H1140)</f>
        <v/>
      </c>
      <c r="K1140" s="37">
        <f>AVERAGE(F$5:F1140)</f>
        <v/>
      </c>
      <c r="L1140" s="37">
        <f>SUM(F$5:F1140)/SUM(E$5:E1140)</f>
        <v/>
      </c>
    </row>
    <row r="1141">
      <c r="A1141" s="29" t="n">
        <v>45811</v>
      </c>
      <c r="B1141" s="37" t="inlineStr">
        <is>
          <t>JOB-2137</t>
        </is>
      </c>
      <c r="C1141" s="34" t="n">
        <v>1</v>
      </c>
      <c r="D1141" s="37" t="inlineStr">
        <is>
          <t>Tech G</t>
        </is>
      </c>
      <c r="E1141" s="35" t="n">
        <v>4.4</v>
      </c>
      <c r="F1141" s="35" t="n">
        <v>3.1</v>
      </c>
      <c r="G1141" s="37" t="inlineStr">
        <is>
          <t>N</t>
        </is>
      </c>
      <c r="H1141" s="37" t="inlineStr">
        <is>
          <t>N</t>
        </is>
      </c>
      <c r="I1141" s="37">
        <f>COUNTIF(G$5:G1141,"Y")/COUNTA(G$5:G1141)</f>
        <v/>
      </c>
      <c r="J1141" s="37">
        <f>COUNTIF(H$5:H1141,"Y")/COUNTA(H$5:H1141)</f>
        <v/>
      </c>
      <c r="K1141" s="37">
        <f>AVERAGE(F$5:F1141)</f>
        <v/>
      </c>
      <c r="L1141" s="37">
        <f>SUM(F$5:F1141)/SUM(E$5:E1141)</f>
        <v/>
      </c>
    </row>
    <row r="1142">
      <c r="A1142" s="29" t="n">
        <v>45812</v>
      </c>
      <c r="B1142" s="37" t="inlineStr">
        <is>
          <t>JOB-2138</t>
        </is>
      </c>
      <c r="C1142" s="34" t="n">
        <v>1</v>
      </c>
      <c r="D1142" s="37" t="inlineStr">
        <is>
          <t>Tech H</t>
        </is>
      </c>
      <c r="E1142" s="35" t="n">
        <v>1.8</v>
      </c>
      <c r="F1142" s="35" t="n">
        <v>1.5</v>
      </c>
      <c r="G1142" s="37" t="inlineStr">
        <is>
          <t>Y</t>
        </is>
      </c>
      <c r="H1142" s="37" t="inlineStr">
        <is>
          <t>N</t>
        </is>
      </c>
      <c r="I1142" s="37">
        <f>COUNTIF(G$5:G1142,"Y")/COUNTA(G$5:G1142)</f>
        <v/>
      </c>
      <c r="J1142" s="37">
        <f>COUNTIF(H$5:H1142,"Y")/COUNTA(H$5:H1142)</f>
        <v/>
      </c>
      <c r="K1142" s="37">
        <f>AVERAGE(F$5:F1142)</f>
        <v/>
      </c>
      <c r="L1142" s="37">
        <f>SUM(F$5:F1142)/SUM(E$5:E1142)</f>
        <v/>
      </c>
    </row>
    <row r="1143">
      <c r="A1143" s="29" t="n">
        <v>45813</v>
      </c>
      <c r="B1143" s="37" t="inlineStr">
        <is>
          <t>JOB-2139</t>
        </is>
      </c>
      <c r="C1143" s="34" t="n">
        <v>1</v>
      </c>
      <c r="D1143" s="37" t="inlineStr">
        <is>
          <t>Tech H</t>
        </is>
      </c>
      <c r="E1143" s="35" t="n">
        <v>2.8</v>
      </c>
      <c r="F1143" s="35" t="n">
        <v>2.3</v>
      </c>
      <c r="G1143" s="37" t="inlineStr">
        <is>
          <t>Y</t>
        </is>
      </c>
      <c r="H1143" s="37" t="inlineStr">
        <is>
          <t>N</t>
        </is>
      </c>
      <c r="I1143" s="37">
        <f>COUNTIF(G$5:G1143,"Y")/COUNTA(G$5:G1143)</f>
        <v/>
      </c>
      <c r="J1143" s="37">
        <f>COUNTIF(H$5:H1143,"Y")/COUNTA(H$5:H1143)</f>
        <v/>
      </c>
      <c r="K1143" s="37">
        <f>AVERAGE(F$5:F1143)</f>
        <v/>
      </c>
      <c r="L1143" s="37">
        <f>SUM(F$5:F1143)/SUM(E$5:E1143)</f>
        <v/>
      </c>
    </row>
    <row r="1144">
      <c r="A1144" s="29" t="n">
        <v>45814</v>
      </c>
      <c r="B1144" s="37" t="inlineStr">
        <is>
          <t>JOB-2140</t>
        </is>
      </c>
      <c r="C1144" s="34" t="n">
        <v>1</v>
      </c>
      <c r="D1144" s="37" t="inlineStr">
        <is>
          <t>Tech F</t>
        </is>
      </c>
      <c r="E1144" s="35" t="n">
        <v>1.9</v>
      </c>
      <c r="F1144" s="35" t="n">
        <v>1.4</v>
      </c>
      <c r="G1144" s="37" t="inlineStr">
        <is>
          <t>Y</t>
        </is>
      </c>
      <c r="H1144" s="37" t="inlineStr">
        <is>
          <t>Y</t>
        </is>
      </c>
      <c r="I1144" s="37">
        <f>COUNTIF(G$5:G1144,"Y")/COUNTA(G$5:G1144)</f>
        <v/>
      </c>
      <c r="J1144" s="37">
        <f>COUNTIF(H$5:H1144,"Y")/COUNTA(H$5:H1144)</f>
        <v/>
      </c>
      <c r="K1144" s="37">
        <f>AVERAGE(F$5:F1144)</f>
        <v/>
      </c>
      <c r="L1144" s="37">
        <f>SUM(F$5:F1144)/SUM(E$5:E1144)</f>
        <v/>
      </c>
    </row>
    <row r="1145">
      <c r="A1145" s="29" t="n">
        <v>45810</v>
      </c>
      <c r="B1145" s="37" t="inlineStr">
        <is>
          <t>JOB-2141</t>
        </is>
      </c>
      <c r="C1145" s="34" t="n">
        <v>1</v>
      </c>
      <c r="D1145" s="37" t="inlineStr">
        <is>
          <t>Tech G</t>
        </is>
      </c>
      <c r="E1145" s="35" t="n">
        <v>1.8</v>
      </c>
      <c r="F1145" s="35" t="n">
        <v>1.2</v>
      </c>
      <c r="G1145" s="37" t="inlineStr">
        <is>
          <t>Y</t>
        </is>
      </c>
      <c r="H1145" s="37" t="inlineStr">
        <is>
          <t>N</t>
        </is>
      </c>
      <c r="I1145" s="37">
        <f>COUNTIF(G$5:G1145,"Y")/COUNTA(G$5:G1145)</f>
        <v/>
      </c>
      <c r="J1145" s="37">
        <f>COUNTIF(H$5:H1145,"Y")/COUNTA(H$5:H1145)</f>
        <v/>
      </c>
      <c r="K1145" s="37">
        <f>AVERAGE(F$5:F1145)</f>
        <v/>
      </c>
      <c r="L1145" s="37">
        <f>SUM(F$5:F1145)/SUM(E$5:E1145)</f>
        <v/>
      </c>
    </row>
    <row r="1146">
      <c r="A1146" s="29" t="n">
        <v>45811</v>
      </c>
      <c r="B1146" s="37" t="inlineStr">
        <is>
          <t>JOB-2142</t>
        </is>
      </c>
      <c r="C1146" s="34" t="n">
        <v>1</v>
      </c>
      <c r="D1146" s="37" t="inlineStr">
        <is>
          <t>Tech A</t>
        </is>
      </c>
      <c r="E1146" s="35" t="n">
        <v>1.8</v>
      </c>
      <c r="F1146" s="35" t="n">
        <v>1.6</v>
      </c>
      <c r="G1146" s="37" t="inlineStr">
        <is>
          <t>Y</t>
        </is>
      </c>
      <c r="H1146" s="37" t="inlineStr">
        <is>
          <t>Y</t>
        </is>
      </c>
      <c r="I1146" s="37">
        <f>COUNTIF(G$5:G1146,"Y")/COUNTA(G$5:G1146)</f>
        <v/>
      </c>
      <c r="J1146" s="37">
        <f>COUNTIF(H$5:H1146,"Y")/COUNTA(H$5:H1146)</f>
        <v/>
      </c>
      <c r="K1146" s="37">
        <f>AVERAGE(F$5:F1146)</f>
        <v/>
      </c>
      <c r="L1146" s="37">
        <f>SUM(F$5:F1146)/SUM(E$5:E1146)</f>
        <v/>
      </c>
    </row>
    <row r="1147">
      <c r="A1147" s="29" t="n">
        <v>45812</v>
      </c>
      <c r="B1147" s="37" t="inlineStr">
        <is>
          <t>JOB-2143</t>
        </is>
      </c>
      <c r="C1147" s="34" t="n">
        <v>1</v>
      </c>
      <c r="D1147" s="37" t="inlineStr">
        <is>
          <t>Tech F</t>
        </is>
      </c>
      <c r="E1147" s="35" t="n">
        <v>1.7</v>
      </c>
      <c r="F1147" s="35" t="n">
        <v>1.4</v>
      </c>
      <c r="G1147" s="37" t="inlineStr">
        <is>
          <t>Y</t>
        </is>
      </c>
      <c r="H1147" s="37" t="inlineStr">
        <is>
          <t>N</t>
        </is>
      </c>
      <c r="I1147" s="37">
        <f>COUNTIF(G$5:G1147,"Y")/COUNTA(G$5:G1147)</f>
        <v/>
      </c>
      <c r="J1147" s="37">
        <f>COUNTIF(H$5:H1147,"Y")/COUNTA(H$5:H1147)</f>
        <v/>
      </c>
      <c r="K1147" s="37">
        <f>AVERAGE(F$5:F1147)</f>
        <v/>
      </c>
      <c r="L1147" s="37">
        <f>SUM(F$5:F1147)/SUM(E$5:E1147)</f>
        <v/>
      </c>
    </row>
    <row r="1148">
      <c r="A1148" s="29" t="n">
        <v>45813</v>
      </c>
      <c r="B1148" s="37" t="inlineStr">
        <is>
          <t>JOB-2144</t>
        </is>
      </c>
      <c r="C1148" s="34" t="n">
        <v>1</v>
      </c>
      <c r="D1148" s="37" t="inlineStr">
        <is>
          <t>Tech H</t>
        </is>
      </c>
      <c r="E1148" s="35" t="n">
        <v>1.6</v>
      </c>
      <c r="F1148" s="35" t="n">
        <v>1.2</v>
      </c>
      <c r="G1148" s="37" t="inlineStr">
        <is>
          <t>Y</t>
        </is>
      </c>
      <c r="H1148" s="37" t="inlineStr">
        <is>
          <t>N</t>
        </is>
      </c>
      <c r="I1148" s="37">
        <f>COUNTIF(G$5:G1148,"Y")/COUNTA(G$5:G1148)</f>
        <v/>
      </c>
      <c r="J1148" s="37">
        <f>COUNTIF(H$5:H1148,"Y")/COUNTA(H$5:H1148)</f>
        <v/>
      </c>
      <c r="K1148" s="37">
        <f>AVERAGE(F$5:F1148)</f>
        <v/>
      </c>
      <c r="L1148" s="37">
        <f>SUM(F$5:F1148)/SUM(E$5:E1148)</f>
        <v/>
      </c>
    </row>
    <row r="1149">
      <c r="A1149" s="29" t="n">
        <v>45814</v>
      </c>
      <c r="B1149" s="37" t="inlineStr">
        <is>
          <t>JOB-2145</t>
        </is>
      </c>
      <c r="C1149" s="34" t="n">
        <v>1</v>
      </c>
      <c r="D1149" s="37" t="inlineStr">
        <is>
          <t>Tech C</t>
        </is>
      </c>
      <c r="E1149" s="35" t="n">
        <v>2.9</v>
      </c>
      <c r="F1149" s="35" t="n">
        <v>2.2</v>
      </c>
      <c r="G1149" s="37" t="inlineStr">
        <is>
          <t>Y</t>
        </is>
      </c>
      <c r="H1149" s="37" t="inlineStr">
        <is>
          <t>N</t>
        </is>
      </c>
      <c r="I1149" s="37">
        <f>COUNTIF(G$5:G1149,"Y")/COUNTA(G$5:G1149)</f>
        <v/>
      </c>
      <c r="J1149" s="37">
        <f>COUNTIF(H$5:H1149,"Y")/COUNTA(H$5:H1149)</f>
        <v/>
      </c>
      <c r="K1149" s="37">
        <f>AVERAGE(F$5:F1149)</f>
        <v/>
      </c>
      <c r="L1149" s="37">
        <f>SUM(F$5:F1149)/SUM(E$5:E1149)</f>
        <v/>
      </c>
    </row>
    <row r="1150">
      <c r="A1150" s="29" t="n">
        <v>45810</v>
      </c>
      <c r="B1150" s="37" t="inlineStr">
        <is>
          <t>JOB-2146</t>
        </is>
      </c>
      <c r="C1150" s="34" t="n">
        <v>1</v>
      </c>
      <c r="D1150" s="37" t="inlineStr">
        <is>
          <t>Tech A</t>
        </is>
      </c>
      <c r="E1150" s="35" t="n">
        <v>3.9</v>
      </c>
      <c r="F1150" s="35" t="n">
        <v>2.9</v>
      </c>
      <c r="G1150" s="37" t="inlineStr">
        <is>
          <t>Y</t>
        </is>
      </c>
      <c r="H1150" s="37" t="inlineStr">
        <is>
          <t>N</t>
        </is>
      </c>
      <c r="I1150" s="37">
        <f>COUNTIF(G$5:G1150,"Y")/COUNTA(G$5:G1150)</f>
        <v/>
      </c>
      <c r="J1150" s="37">
        <f>COUNTIF(H$5:H1150,"Y")/COUNTA(H$5:H1150)</f>
        <v/>
      </c>
      <c r="K1150" s="37">
        <f>AVERAGE(F$5:F1150)</f>
        <v/>
      </c>
      <c r="L1150" s="37">
        <f>SUM(F$5:F1150)/SUM(E$5:E1150)</f>
        <v/>
      </c>
    </row>
    <row r="1151">
      <c r="A1151" s="29" t="n">
        <v>45811</v>
      </c>
      <c r="B1151" s="37" t="inlineStr">
        <is>
          <t>JOB-2147</t>
        </is>
      </c>
      <c r="C1151" s="34" t="n">
        <v>1</v>
      </c>
      <c r="D1151" s="37" t="inlineStr">
        <is>
          <t>Tech H</t>
        </is>
      </c>
      <c r="E1151" s="35" t="n">
        <v>1.4</v>
      </c>
      <c r="F1151" s="35" t="n">
        <v>1.2</v>
      </c>
      <c r="G1151" s="37" t="inlineStr">
        <is>
          <t>Y</t>
        </is>
      </c>
      <c r="H1151" s="37" t="inlineStr">
        <is>
          <t>N</t>
        </is>
      </c>
      <c r="I1151" s="37">
        <f>COUNTIF(G$5:G1151,"Y")/COUNTA(G$5:G1151)</f>
        <v/>
      </c>
      <c r="J1151" s="37">
        <f>COUNTIF(H$5:H1151,"Y")/COUNTA(H$5:H1151)</f>
        <v/>
      </c>
      <c r="K1151" s="37">
        <f>AVERAGE(F$5:F1151)</f>
        <v/>
      </c>
      <c r="L1151" s="37">
        <f>SUM(F$5:F1151)/SUM(E$5:E1151)</f>
        <v/>
      </c>
    </row>
    <row r="1152">
      <c r="A1152" s="29" t="n">
        <v>45812</v>
      </c>
      <c r="B1152" s="37" t="inlineStr">
        <is>
          <t>JOB-2148</t>
        </is>
      </c>
      <c r="C1152" s="34" t="n">
        <v>1</v>
      </c>
      <c r="D1152" s="37" t="inlineStr">
        <is>
          <t>Tech G</t>
        </is>
      </c>
      <c r="E1152" s="35" t="n">
        <v>3.6</v>
      </c>
      <c r="F1152" s="35" t="n">
        <v>3.2</v>
      </c>
      <c r="G1152" s="37" t="inlineStr">
        <is>
          <t>Y</t>
        </is>
      </c>
      <c r="H1152" s="37" t="inlineStr">
        <is>
          <t>N</t>
        </is>
      </c>
      <c r="I1152" s="37">
        <f>COUNTIF(G$5:G1152,"Y")/COUNTA(G$5:G1152)</f>
        <v/>
      </c>
      <c r="J1152" s="37">
        <f>COUNTIF(H$5:H1152,"Y")/COUNTA(H$5:H1152)</f>
        <v/>
      </c>
      <c r="K1152" s="37">
        <f>AVERAGE(F$5:F1152)</f>
        <v/>
      </c>
      <c r="L1152" s="37">
        <f>SUM(F$5:F1152)/SUM(E$5:E1152)</f>
        <v/>
      </c>
    </row>
    <row r="1153">
      <c r="A1153" s="29" t="n">
        <v>45813</v>
      </c>
      <c r="B1153" s="37" t="inlineStr">
        <is>
          <t>JOB-2149</t>
        </is>
      </c>
      <c r="C1153" s="34" t="n">
        <v>1</v>
      </c>
      <c r="D1153" s="37" t="inlineStr">
        <is>
          <t>Tech F</t>
        </is>
      </c>
      <c r="E1153" s="35" t="n">
        <v>5.1</v>
      </c>
      <c r="F1153" s="35" t="n">
        <v>3.7</v>
      </c>
      <c r="G1153" s="37" t="inlineStr">
        <is>
          <t>Y</t>
        </is>
      </c>
      <c r="H1153" s="37" t="inlineStr">
        <is>
          <t>N</t>
        </is>
      </c>
      <c r="I1153" s="37">
        <f>COUNTIF(G$5:G1153,"Y")/COUNTA(G$5:G1153)</f>
        <v/>
      </c>
      <c r="J1153" s="37">
        <f>COUNTIF(H$5:H1153,"Y")/COUNTA(H$5:H1153)</f>
        <v/>
      </c>
      <c r="K1153" s="37">
        <f>AVERAGE(F$5:F1153)</f>
        <v/>
      </c>
      <c r="L1153" s="37">
        <f>SUM(F$5:F1153)/SUM(E$5:E1153)</f>
        <v/>
      </c>
    </row>
    <row r="1154">
      <c r="A1154" s="29" t="n">
        <v>45814</v>
      </c>
      <c r="B1154" s="37" t="inlineStr">
        <is>
          <t>JOB-2150</t>
        </is>
      </c>
      <c r="C1154" s="34" t="n">
        <v>1</v>
      </c>
      <c r="D1154" s="37" t="inlineStr">
        <is>
          <t>Tech D</t>
        </is>
      </c>
      <c r="E1154" s="35" t="n">
        <v>5.5</v>
      </c>
      <c r="F1154" s="35" t="n">
        <v>3.8</v>
      </c>
      <c r="G1154" s="37" t="inlineStr">
        <is>
          <t>Y</t>
        </is>
      </c>
      <c r="H1154" s="37" t="inlineStr">
        <is>
          <t>N</t>
        </is>
      </c>
      <c r="I1154" s="37">
        <f>COUNTIF(G$5:G1154,"Y")/COUNTA(G$5:G1154)</f>
        <v/>
      </c>
      <c r="J1154" s="37">
        <f>COUNTIF(H$5:H1154,"Y")/COUNTA(H$5:H1154)</f>
        <v/>
      </c>
      <c r="K1154" s="37">
        <f>AVERAGE(F$5:F1154)</f>
        <v/>
      </c>
      <c r="L1154" s="37">
        <f>SUM(F$5:F1154)/SUM(E$5:E1154)</f>
        <v/>
      </c>
    </row>
    <row r="1155">
      <c r="A1155" s="29" t="n">
        <v>45810</v>
      </c>
      <c r="B1155" s="37" t="inlineStr">
        <is>
          <t>JOB-2151</t>
        </is>
      </c>
      <c r="C1155" s="34" t="n">
        <v>1</v>
      </c>
      <c r="D1155" s="37" t="inlineStr">
        <is>
          <t>Tech A</t>
        </is>
      </c>
      <c r="E1155" s="35" t="n">
        <v>3.3</v>
      </c>
      <c r="F1155" s="35" t="n">
        <v>2.4</v>
      </c>
      <c r="G1155" s="37" t="inlineStr">
        <is>
          <t>Y</t>
        </is>
      </c>
      <c r="H1155" s="37" t="inlineStr">
        <is>
          <t>N</t>
        </is>
      </c>
      <c r="I1155" s="37">
        <f>COUNTIF(G$5:G1155,"Y")/COUNTA(G$5:G1155)</f>
        <v/>
      </c>
      <c r="J1155" s="37">
        <f>COUNTIF(H$5:H1155,"Y")/COUNTA(H$5:H1155)</f>
        <v/>
      </c>
      <c r="K1155" s="37">
        <f>AVERAGE(F$5:F1155)</f>
        <v/>
      </c>
      <c r="L1155" s="37">
        <f>SUM(F$5:F1155)/SUM(E$5:E1155)</f>
        <v/>
      </c>
    </row>
    <row r="1156">
      <c r="A1156" s="29" t="n">
        <v>45811</v>
      </c>
      <c r="B1156" s="37" t="inlineStr">
        <is>
          <t>JOB-2152</t>
        </is>
      </c>
      <c r="C1156" s="34" t="n">
        <v>1</v>
      </c>
      <c r="D1156" s="37" t="inlineStr">
        <is>
          <t>Tech G</t>
        </is>
      </c>
      <c r="E1156" s="35" t="n">
        <v>2.9</v>
      </c>
      <c r="F1156" s="35" t="n">
        <v>2.1</v>
      </c>
      <c r="G1156" s="37" t="inlineStr">
        <is>
          <t>Y</t>
        </is>
      </c>
      <c r="H1156" s="37" t="inlineStr">
        <is>
          <t>N</t>
        </is>
      </c>
      <c r="I1156" s="37">
        <f>COUNTIF(G$5:G1156,"Y")/COUNTA(G$5:G1156)</f>
        <v/>
      </c>
      <c r="J1156" s="37">
        <f>COUNTIF(H$5:H1156,"Y")/COUNTA(H$5:H1156)</f>
        <v/>
      </c>
      <c r="K1156" s="37">
        <f>AVERAGE(F$5:F1156)</f>
        <v/>
      </c>
      <c r="L1156" s="37">
        <f>SUM(F$5:F1156)/SUM(E$5:E1156)</f>
        <v/>
      </c>
    </row>
    <row r="1157">
      <c r="A1157" s="29" t="n">
        <v>45812</v>
      </c>
      <c r="B1157" s="37" t="inlineStr">
        <is>
          <t>JOB-2153</t>
        </is>
      </c>
      <c r="C1157" s="34" t="n">
        <v>1</v>
      </c>
      <c r="D1157" s="37" t="inlineStr">
        <is>
          <t>Tech A</t>
        </is>
      </c>
      <c r="E1157" s="35" t="n">
        <v>0.8</v>
      </c>
      <c r="F1157" s="35" t="n">
        <v>1.2</v>
      </c>
      <c r="G1157" s="37" t="inlineStr">
        <is>
          <t>Y</t>
        </is>
      </c>
      <c r="H1157" s="37" t="inlineStr">
        <is>
          <t>N</t>
        </is>
      </c>
      <c r="I1157" s="37">
        <f>COUNTIF(G$5:G1157,"Y")/COUNTA(G$5:G1157)</f>
        <v/>
      </c>
      <c r="J1157" s="37">
        <f>COUNTIF(H$5:H1157,"Y")/COUNTA(H$5:H1157)</f>
        <v/>
      </c>
      <c r="K1157" s="37">
        <f>AVERAGE(F$5:F1157)</f>
        <v/>
      </c>
      <c r="L1157" s="37">
        <f>SUM(F$5:F1157)/SUM(E$5:E1157)</f>
        <v/>
      </c>
    </row>
    <row r="1158">
      <c r="A1158" s="29" t="n">
        <v>45813</v>
      </c>
      <c r="B1158" s="37" t="inlineStr">
        <is>
          <t>JOB-2154</t>
        </is>
      </c>
      <c r="C1158" s="34" t="n">
        <v>1</v>
      </c>
      <c r="D1158" s="37" t="inlineStr">
        <is>
          <t>Tech G</t>
        </is>
      </c>
      <c r="E1158" s="35" t="n">
        <v>0.5</v>
      </c>
      <c r="F1158" s="35" t="n">
        <v>0.5</v>
      </c>
      <c r="G1158" s="37" t="inlineStr">
        <is>
          <t>N</t>
        </is>
      </c>
      <c r="H1158" s="37" t="inlineStr">
        <is>
          <t>N</t>
        </is>
      </c>
      <c r="I1158" s="37">
        <f>COUNTIF(G$5:G1158,"Y")/COUNTA(G$5:G1158)</f>
        <v/>
      </c>
      <c r="J1158" s="37">
        <f>COUNTIF(H$5:H1158,"Y")/COUNTA(H$5:H1158)</f>
        <v/>
      </c>
      <c r="K1158" s="37">
        <f>AVERAGE(F$5:F1158)</f>
        <v/>
      </c>
      <c r="L1158" s="37">
        <f>SUM(F$5:F1158)/SUM(E$5:E1158)</f>
        <v/>
      </c>
    </row>
    <row r="1159">
      <c r="A1159" s="29" t="n">
        <v>45814</v>
      </c>
      <c r="B1159" s="37" t="inlineStr">
        <is>
          <t>JOB-2155</t>
        </is>
      </c>
      <c r="C1159" s="34" t="n">
        <v>1</v>
      </c>
      <c r="D1159" s="37" t="inlineStr">
        <is>
          <t>Tech C</t>
        </is>
      </c>
      <c r="E1159" s="35" t="n">
        <v>0.5</v>
      </c>
      <c r="F1159" s="35" t="n">
        <v>0.5</v>
      </c>
      <c r="G1159" s="37" t="inlineStr">
        <is>
          <t>Y</t>
        </is>
      </c>
      <c r="H1159" s="37" t="inlineStr">
        <is>
          <t>N</t>
        </is>
      </c>
      <c r="I1159" s="37">
        <f>COUNTIF(G$5:G1159,"Y")/COUNTA(G$5:G1159)</f>
        <v/>
      </c>
      <c r="J1159" s="37">
        <f>COUNTIF(H$5:H1159,"Y")/COUNTA(H$5:H1159)</f>
        <v/>
      </c>
      <c r="K1159" s="37">
        <f>AVERAGE(F$5:F1159)</f>
        <v/>
      </c>
      <c r="L1159" s="37">
        <f>SUM(F$5:F1159)/SUM(E$5:E1159)</f>
        <v/>
      </c>
    </row>
    <row r="1160">
      <c r="A1160" s="29" t="n">
        <v>45810</v>
      </c>
      <c r="B1160" s="37" t="inlineStr">
        <is>
          <t>JOB-2156</t>
        </is>
      </c>
      <c r="C1160" s="34" t="n">
        <v>1</v>
      </c>
      <c r="D1160" s="37" t="inlineStr">
        <is>
          <t>Tech C</t>
        </is>
      </c>
      <c r="E1160" s="35" t="n">
        <v>0.5</v>
      </c>
      <c r="F1160" s="35" t="n">
        <v>0.5</v>
      </c>
      <c r="G1160" s="37" t="inlineStr">
        <is>
          <t>Y</t>
        </is>
      </c>
      <c r="H1160" s="37" t="inlineStr">
        <is>
          <t>N</t>
        </is>
      </c>
      <c r="I1160" s="37">
        <f>COUNTIF(G$5:G1160,"Y")/COUNTA(G$5:G1160)</f>
        <v/>
      </c>
      <c r="J1160" s="37">
        <f>COUNTIF(H$5:H1160,"Y")/COUNTA(H$5:H1160)</f>
        <v/>
      </c>
      <c r="K1160" s="37">
        <f>AVERAGE(F$5:F1160)</f>
        <v/>
      </c>
      <c r="L1160" s="37">
        <f>SUM(F$5:F1160)/SUM(E$5:E1160)</f>
        <v/>
      </c>
      <c r="M1160" s="37" t="n">
        <v>12</v>
      </c>
    </row>
    <row r="1161">
      <c r="A1161" s="29" t="n">
        <v>45817</v>
      </c>
      <c r="B1161" s="37" t="inlineStr">
        <is>
          <t>JOB-2157</t>
        </is>
      </c>
      <c r="C1161" s="34" t="n">
        <v>1</v>
      </c>
      <c r="D1161" s="37" t="inlineStr">
        <is>
          <t>Tech F</t>
        </is>
      </c>
      <c r="E1161" s="35" t="n">
        <v>4.5</v>
      </c>
      <c r="F1161" s="35" t="n">
        <v>3.5</v>
      </c>
      <c r="G1161" s="37" t="inlineStr">
        <is>
          <t>Y</t>
        </is>
      </c>
      <c r="H1161" s="37" t="inlineStr">
        <is>
          <t>N</t>
        </is>
      </c>
      <c r="I1161" s="37">
        <f>COUNTIF(G$5:G1161,"Y")/COUNTA(G$5:G1161)</f>
        <v/>
      </c>
      <c r="J1161" s="37">
        <f>COUNTIF(H$5:H1161,"Y")/COUNTA(H$5:H1161)</f>
        <v/>
      </c>
      <c r="K1161" s="37">
        <f>AVERAGE(F$5:F1161)</f>
        <v/>
      </c>
      <c r="L1161" s="37">
        <f>SUM(F$5:F1161)/SUM(E$5:E1161)</f>
        <v/>
      </c>
    </row>
    <row r="1162">
      <c r="A1162" s="29" t="n">
        <v>45818</v>
      </c>
      <c r="B1162" s="37" t="inlineStr">
        <is>
          <t>JOB-2158</t>
        </is>
      </c>
      <c r="C1162" s="34" t="n">
        <v>1</v>
      </c>
      <c r="D1162" s="37" t="inlineStr">
        <is>
          <t>Tech B</t>
        </is>
      </c>
      <c r="E1162" s="35" t="n">
        <v>4.2</v>
      </c>
      <c r="F1162" s="35" t="n">
        <v>3.6</v>
      </c>
      <c r="G1162" s="37" t="inlineStr">
        <is>
          <t>Y</t>
        </is>
      </c>
      <c r="H1162" s="37" t="inlineStr">
        <is>
          <t>N</t>
        </is>
      </c>
      <c r="I1162" s="37">
        <f>COUNTIF(G$5:G1162,"Y")/COUNTA(G$5:G1162)</f>
        <v/>
      </c>
      <c r="J1162" s="37">
        <f>COUNTIF(H$5:H1162,"Y")/COUNTA(H$5:H1162)</f>
        <v/>
      </c>
      <c r="K1162" s="37">
        <f>AVERAGE(F$5:F1162)</f>
        <v/>
      </c>
      <c r="L1162" s="37">
        <f>SUM(F$5:F1162)/SUM(E$5:E1162)</f>
        <v/>
      </c>
    </row>
    <row r="1163">
      <c r="A1163" s="29" t="n">
        <v>45819</v>
      </c>
      <c r="B1163" s="37" t="inlineStr">
        <is>
          <t>JOB-2159</t>
        </is>
      </c>
      <c r="C1163" s="34" t="n">
        <v>1</v>
      </c>
      <c r="D1163" s="37" t="inlineStr">
        <is>
          <t>Tech D</t>
        </is>
      </c>
      <c r="E1163" s="35" t="n">
        <v>4.5</v>
      </c>
      <c r="F1163" s="35" t="n">
        <v>3.2</v>
      </c>
      <c r="G1163" s="37" t="inlineStr">
        <is>
          <t>N</t>
        </is>
      </c>
      <c r="H1163" s="37" t="inlineStr">
        <is>
          <t>N</t>
        </is>
      </c>
      <c r="I1163" s="37">
        <f>COUNTIF(G$5:G1163,"Y")/COUNTA(G$5:G1163)</f>
        <v/>
      </c>
      <c r="J1163" s="37">
        <f>COUNTIF(H$5:H1163,"Y")/COUNTA(H$5:H1163)</f>
        <v/>
      </c>
      <c r="K1163" s="37">
        <f>AVERAGE(F$5:F1163)</f>
        <v/>
      </c>
      <c r="L1163" s="37">
        <f>SUM(F$5:F1163)/SUM(E$5:E1163)</f>
        <v/>
      </c>
    </row>
    <row r="1164">
      <c r="A1164" s="29" t="n">
        <v>45820</v>
      </c>
      <c r="B1164" s="37" t="inlineStr">
        <is>
          <t>JOB-2160</t>
        </is>
      </c>
      <c r="C1164" s="34" t="n">
        <v>1</v>
      </c>
      <c r="D1164" s="37" t="inlineStr">
        <is>
          <t>Tech C</t>
        </is>
      </c>
      <c r="E1164" s="35" t="n">
        <v>5</v>
      </c>
      <c r="F1164" s="35" t="n">
        <v>3.4</v>
      </c>
      <c r="G1164" s="37" t="inlineStr">
        <is>
          <t>Y</t>
        </is>
      </c>
      <c r="H1164" s="37" t="inlineStr">
        <is>
          <t>N</t>
        </is>
      </c>
      <c r="I1164" s="37">
        <f>COUNTIF(G$5:G1164,"Y")/COUNTA(G$5:G1164)</f>
        <v/>
      </c>
      <c r="J1164" s="37">
        <f>COUNTIF(H$5:H1164,"Y")/COUNTA(H$5:H1164)</f>
        <v/>
      </c>
      <c r="K1164" s="37">
        <f>AVERAGE(F$5:F1164)</f>
        <v/>
      </c>
      <c r="L1164" s="37">
        <f>SUM(F$5:F1164)/SUM(E$5:E1164)</f>
        <v/>
      </c>
    </row>
    <row r="1165">
      <c r="A1165" s="29" t="n">
        <v>45821</v>
      </c>
      <c r="B1165" s="37" t="inlineStr">
        <is>
          <t>JOB-2161</t>
        </is>
      </c>
      <c r="C1165" s="34" t="n">
        <v>1</v>
      </c>
      <c r="D1165" s="37" t="inlineStr">
        <is>
          <t>Tech F</t>
        </is>
      </c>
      <c r="E1165" s="35" t="n">
        <v>3.8</v>
      </c>
      <c r="F1165" s="35" t="n">
        <v>2.8</v>
      </c>
      <c r="G1165" s="37" t="inlineStr">
        <is>
          <t>Y</t>
        </is>
      </c>
      <c r="H1165" s="37" t="inlineStr">
        <is>
          <t>N</t>
        </is>
      </c>
      <c r="I1165" s="37">
        <f>COUNTIF(G$5:G1165,"Y")/COUNTA(G$5:G1165)</f>
        <v/>
      </c>
      <c r="J1165" s="37">
        <f>COUNTIF(H$5:H1165,"Y")/COUNTA(H$5:H1165)</f>
        <v/>
      </c>
      <c r="K1165" s="37">
        <f>AVERAGE(F$5:F1165)</f>
        <v/>
      </c>
      <c r="L1165" s="37">
        <f>SUM(F$5:F1165)/SUM(E$5:E1165)</f>
        <v/>
      </c>
    </row>
    <row r="1166">
      <c r="A1166" s="29" t="n">
        <v>45817</v>
      </c>
      <c r="B1166" s="37" t="inlineStr">
        <is>
          <t>JOB-2162</t>
        </is>
      </c>
      <c r="C1166" s="34" t="n">
        <v>1</v>
      </c>
      <c r="D1166" s="37" t="inlineStr">
        <is>
          <t>Tech C</t>
        </is>
      </c>
      <c r="E1166" s="35" t="n">
        <v>1.6</v>
      </c>
      <c r="F1166" s="35" t="n">
        <v>1.2</v>
      </c>
      <c r="G1166" s="37" t="inlineStr">
        <is>
          <t>Y</t>
        </is>
      </c>
      <c r="H1166" s="37" t="inlineStr">
        <is>
          <t>N</t>
        </is>
      </c>
      <c r="I1166" s="37">
        <f>COUNTIF(G$5:G1166,"Y")/COUNTA(G$5:G1166)</f>
        <v/>
      </c>
      <c r="J1166" s="37">
        <f>COUNTIF(H$5:H1166,"Y")/COUNTA(H$5:H1166)</f>
        <v/>
      </c>
      <c r="K1166" s="37">
        <f>AVERAGE(F$5:F1166)</f>
        <v/>
      </c>
      <c r="L1166" s="37">
        <f>SUM(F$5:F1166)/SUM(E$5:E1166)</f>
        <v/>
      </c>
    </row>
    <row r="1167">
      <c r="A1167" s="29" t="n">
        <v>45818</v>
      </c>
      <c r="B1167" s="37" t="inlineStr">
        <is>
          <t>JOB-2163</t>
        </is>
      </c>
      <c r="C1167" s="34" t="n">
        <v>1</v>
      </c>
      <c r="D1167" s="37" t="inlineStr">
        <is>
          <t>Tech D</t>
        </is>
      </c>
      <c r="E1167" s="35" t="n">
        <v>2.5</v>
      </c>
      <c r="F1167" s="35" t="n">
        <v>1.9</v>
      </c>
      <c r="G1167" s="37" t="inlineStr">
        <is>
          <t>Y</t>
        </is>
      </c>
      <c r="H1167" s="37" t="inlineStr">
        <is>
          <t>N</t>
        </is>
      </c>
      <c r="I1167" s="37">
        <f>COUNTIF(G$5:G1167,"Y")/COUNTA(G$5:G1167)</f>
        <v/>
      </c>
      <c r="J1167" s="37">
        <f>COUNTIF(H$5:H1167,"Y")/COUNTA(H$5:H1167)</f>
        <v/>
      </c>
      <c r="K1167" s="37">
        <f>AVERAGE(F$5:F1167)</f>
        <v/>
      </c>
      <c r="L1167" s="37">
        <f>SUM(F$5:F1167)/SUM(E$5:E1167)</f>
        <v/>
      </c>
    </row>
    <row r="1168">
      <c r="A1168" s="29" t="n">
        <v>45819</v>
      </c>
      <c r="B1168" s="37" t="inlineStr">
        <is>
          <t>JOB-2164</t>
        </is>
      </c>
      <c r="C1168" s="34" t="n">
        <v>1</v>
      </c>
      <c r="D1168" s="37" t="inlineStr">
        <is>
          <t>Tech F</t>
        </is>
      </c>
      <c r="E1168" s="35" t="n">
        <v>2.6</v>
      </c>
      <c r="F1168" s="35" t="n">
        <v>1.9</v>
      </c>
      <c r="G1168" s="37" t="inlineStr">
        <is>
          <t>Y</t>
        </is>
      </c>
      <c r="H1168" s="37" t="inlineStr">
        <is>
          <t>N</t>
        </is>
      </c>
      <c r="I1168" s="37">
        <f>COUNTIF(G$5:G1168,"Y")/COUNTA(G$5:G1168)</f>
        <v/>
      </c>
      <c r="J1168" s="37">
        <f>COUNTIF(H$5:H1168,"Y")/COUNTA(H$5:H1168)</f>
        <v/>
      </c>
      <c r="K1168" s="37">
        <f>AVERAGE(F$5:F1168)</f>
        <v/>
      </c>
      <c r="L1168" s="37">
        <f>SUM(F$5:F1168)/SUM(E$5:E1168)</f>
        <v/>
      </c>
    </row>
    <row r="1169">
      <c r="A1169" s="29" t="n">
        <v>45820</v>
      </c>
      <c r="B1169" s="37" t="inlineStr">
        <is>
          <t>JOB-2165</t>
        </is>
      </c>
      <c r="C1169" s="34" t="n">
        <v>1</v>
      </c>
      <c r="D1169" s="37" t="inlineStr">
        <is>
          <t>Tech B</t>
        </is>
      </c>
      <c r="E1169" s="35" t="n">
        <v>2.1</v>
      </c>
      <c r="F1169" s="35" t="n">
        <v>1.5</v>
      </c>
      <c r="G1169" s="37" t="inlineStr">
        <is>
          <t>Y</t>
        </is>
      </c>
      <c r="H1169" s="37" t="inlineStr">
        <is>
          <t>N</t>
        </is>
      </c>
      <c r="I1169" s="37">
        <f>COUNTIF(G$5:G1169,"Y")/COUNTA(G$5:G1169)</f>
        <v/>
      </c>
      <c r="J1169" s="37">
        <f>COUNTIF(H$5:H1169,"Y")/COUNTA(H$5:H1169)</f>
        <v/>
      </c>
      <c r="K1169" s="37">
        <f>AVERAGE(F$5:F1169)</f>
        <v/>
      </c>
      <c r="L1169" s="37">
        <f>SUM(F$5:F1169)/SUM(E$5:E1169)</f>
        <v/>
      </c>
    </row>
    <row r="1170">
      <c r="A1170" s="29" t="n">
        <v>45821</v>
      </c>
      <c r="B1170" s="37" t="inlineStr">
        <is>
          <t>JOB-2166</t>
        </is>
      </c>
      <c r="C1170" s="34" t="n">
        <v>1</v>
      </c>
      <c r="D1170" s="37" t="inlineStr">
        <is>
          <t>Tech B</t>
        </is>
      </c>
      <c r="E1170" s="35" t="n">
        <v>5.7</v>
      </c>
      <c r="F1170" s="35" t="n">
        <v>3.8</v>
      </c>
      <c r="G1170" s="37" t="inlineStr">
        <is>
          <t>Y</t>
        </is>
      </c>
      <c r="H1170" s="37" t="inlineStr">
        <is>
          <t>N</t>
        </is>
      </c>
      <c r="I1170" s="37">
        <f>COUNTIF(G$5:G1170,"Y")/COUNTA(G$5:G1170)</f>
        <v/>
      </c>
      <c r="J1170" s="37">
        <f>COUNTIF(H$5:H1170,"Y")/COUNTA(H$5:H1170)</f>
        <v/>
      </c>
      <c r="K1170" s="37">
        <f>AVERAGE(F$5:F1170)</f>
        <v/>
      </c>
      <c r="L1170" s="37">
        <f>SUM(F$5:F1170)/SUM(E$5:E1170)</f>
        <v/>
      </c>
    </row>
    <row r="1171">
      <c r="A1171" s="29" t="n">
        <v>45817</v>
      </c>
      <c r="B1171" s="37" t="inlineStr">
        <is>
          <t>JOB-2167</t>
        </is>
      </c>
      <c r="C1171" s="34" t="n">
        <v>1</v>
      </c>
      <c r="D1171" s="37" t="inlineStr">
        <is>
          <t>Tech H</t>
        </is>
      </c>
      <c r="E1171" s="35" t="n">
        <v>4.2</v>
      </c>
      <c r="F1171" s="35" t="n">
        <v>3.1</v>
      </c>
      <c r="G1171" s="37" t="inlineStr">
        <is>
          <t>Y</t>
        </is>
      </c>
      <c r="H1171" s="37" t="inlineStr">
        <is>
          <t>N</t>
        </is>
      </c>
      <c r="I1171" s="37">
        <f>COUNTIF(G$5:G1171,"Y")/COUNTA(G$5:G1171)</f>
        <v/>
      </c>
      <c r="J1171" s="37">
        <f>COUNTIF(H$5:H1171,"Y")/COUNTA(H$5:H1171)</f>
        <v/>
      </c>
      <c r="K1171" s="37">
        <f>AVERAGE(F$5:F1171)</f>
        <v/>
      </c>
      <c r="L1171" s="37">
        <f>SUM(F$5:F1171)/SUM(E$5:E1171)</f>
        <v/>
      </c>
    </row>
    <row r="1172">
      <c r="A1172" s="29" t="n">
        <v>45818</v>
      </c>
      <c r="B1172" s="37" t="inlineStr">
        <is>
          <t>JOB-2168</t>
        </is>
      </c>
      <c r="C1172" s="34" t="n">
        <v>1</v>
      </c>
      <c r="D1172" s="37" t="inlineStr">
        <is>
          <t>Tech B</t>
        </is>
      </c>
      <c r="E1172" s="35" t="n">
        <v>1.7</v>
      </c>
      <c r="F1172" s="35" t="n">
        <v>1.3</v>
      </c>
      <c r="G1172" s="37" t="inlineStr">
        <is>
          <t>Y</t>
        </is>
      </c>
      <c r="H1172" s="37" t="inlineStr">
        <is>
          <t>N</t>
        </is>
      </c>
      <c r="I1172" s="37">
        <f>COUNTIF(G$5:G1172,"Y")/COUNTA(G$5:G1172)</f>
        <v/>
      </c>
      <c r="J1172" s="37">
        <f>COUNTIF(H$5:H1172,"Y")/COUNTA(H$5:H1172)</f>
        <v/>
      </c>
      <c r="K1172" s="37">
        <f>AVERAGE(F$5:F1172)</f>
        <v/>
      </c>
      <c r="L1172" s="37">
        <f>SUM(F$5:F1172)/SUM(E$5:E1172)</f>
        <v/>
      </c>
    </row>
    <row r="1173">
      <c r="A1173" s="29" t="n">
        <v>45819</v>
      </c>
      <c r="B1173" s="37" t="inlineStr">
        <is>
          <t>JOB-2169</t>
        </is>
      </c>
      <c r="C1173" s="34" t="n">
        <v>1</v>
      </c>
      <c r="D1173" s="37" t="inlineStr">
        <is>
          <t>Tech F</t>
        </is>
      </c>
      <c r="E1173" s="35" t="n">
        <v>3.8</v>
      </c>
      <c r="F1173" s="35" t="n">
        <v>3.2</v>
      </c>
      <c r="G1173" s="37" t="inlineStr">
        <is>
          <t>Y</t>
        </is>
      </c>
      <c r="H1173" s="37" t="inlineStr">
        <is>
          <t>N</t>
        </is>
      </c>
      <c r="I1173" s="37">
        <f>COUNTIF(G$5:G1173,"Y")/COUNTA(G$5:G1173)</f>
        <v/>
      </c>
      <c r="J1173" s="37">
        <f>COUNTIF(H$5:H1173,"Y")/COUNTA(H$5:H1173)</f>
        <v/>
      </c>
      <c r="K1173" s="37">
        <f>AVERAGE(F$5:F1173)</f>
        <v/>
      </c>
      <c r="L1173" s="37">
        <f>SUM(F$5:F1173)/SUM(E$5:E1173)</f>
        <v/>
      </c>
    </row>
    <row r="1174">
      <c r="A1174" s="29" t="n">
        <v>45820</v>
      </c>
      <c r="B1174" s="37" t="inlineStr">
        <is>
          <t>JOB-2170</t>
        </is>
      </c>
      <c r="C1174" s="34" t="n">
        <v>1</v>
      </c>
      <c r="D1174" s="37" t="inlineStr">
        <is>
          <t>Tech F</t>
        </is>
      </c>
      <c r="E1174" s="35" t="n">
        <v>2.6</v>
      </c>
      <c r="F1174" s="35" t="n">
        <v>2</v>
      </c>
      <c r="G1174" s="37" t="inlineStr">
        <is>
          <t>Y</t>
        </is>
      </c>
      <c r="H1174" s="37" t="inlineStr">
        <is>
          <t>N</t>
        </is>
      </c>
      <c r="I1174" s="37">
        <f>COUNTIF(G$5:G1174,"Y")/COUNTA(G$5:G1174)</f>
        <v/>
      </c>
      <c r="J1174" s="37">
        <f>COUNTIF(H$5:H1174,"Y")/COUNTA(H$5:H1174)</f>
        <v/>
      </c>
      <c r="K1174" s="37">
        <f>AVERAGE(F$5:F1174)</f>
        <v/>
      </c>
      <c r="L1174" s="37">
        <f>SUM(F$5:F1174)/SUM(E$5:E1174)</f>
        <v/>
      </c>
    </row>
    <row r="1175">
      <c r="A1175" s="29" t="n">
        <v>45821</v>
      </c>
      <c r="B1175" s="37" t="inlineStr">
        <is>
          <t>JOB-2171</t>
        </is>
      </c>
      <c r="C1175" s="34" t="n">
        <v>1</v>
      </c>
      <c r="D1175" s="37" t="inlineStr">
        <is>
          <t>Tech H</t>
        </is>
      </c>
      <c r="E1175" s="35" t="n">
        <v>4.1</v>
      </c>
      <c r="F1175" s="35" t="n">
        <v>3.1</v>
      </c>
      <c r="G1175" s="37" t="inlineStr">
        <is>
          <t>Y</t>
        </is>
      </c>
      <c r="H1175" s="37" t="inlineStr">
        <is>
          <t>N</t>
        </is>
      </c>
      <c r="I1175" s="37">
        <f>COUNTIF(G$5:G1175,"Y")/COUNTA(G$5:G1175)</f>
        <v/>
      </c>
      <c r="J1175" s="37">
        <f>COUNTIF(H$5:H1175,"Y")/COUNTA(H$5:H1175)</f>
        <v/>
      </c>
      <c r="K1175" s="37">
        <f>AVERAGE(F$5:F1175)</f>
        <v/>
      </c>
      <c r="L1175" s="37">
        <f>SUM(F$5:F1175)/SUM(E$5:E1175)</f>
        <v/>
      </c>
    </row>
    <row r="1176">
      <c r="A1176" s="29" t="n">
        <v>45817</v>
      </c>
      <c r="B1176" s="37" t="inlineStr">
        <is>
          <t>JOB-2172</t>
        </is>
      </c>
      <c r="C1176" s="34" t="n">
        <v>1</v>
      </c>
      <c r="D1176" s="37" t="inlineStr">
        <is>
          <t>Tech G</t>
        </is>
      </c>
      <c r="E1176" s="35" t="n">
        <v>2.3</v>
      </c>
      <c r="F1176" s="35" t="n">
        <v>1.8</v>
      </c>
      <c r="G1176" s="37" t="inlineStr">
        <is>
          <t>N</t>
        </is>
      </c>
      <c r="H1176" s="37" t="inlineStr">
        <is>
          <t>N</t>
        </is>
      </c>
      <c r="I1176" s="37">
        <f>COUNTIF(G$5:G1176,"Y")/COUNTA(G$5:G1176)</f>
        <v/>
      </c>
      <c r="J1176" s="37">
        <f>COUNTIF(H$5:H1176,"Y")/COUNTA(H$5:H1176)</f>
        <v/>
      </c>
      <c r="K1176" s="37">
        <f>AVERAGE(F$5:F1176)</f>
        <v/>
      </c>
      <c r="L1176" s="37">
        <f>SUM(F$5:F1176)/SUM(E$5:E1176)</f>
        <v/>
      </c>
    </row>
    <row r="1177">
      <c r="A1177" s="29" t="n">
        <v>45818</v>
      </c>
      <c r="B1177" s="37" t="inlineStr">
        <is>
          <t>JOB-2173</t>
        </is>
      </c>
      <c r="C1177" s="34" t="n">
        <v>1</v>
      </c>
      <c r="D1177" s="37" t="inlineStr">
        <is>
          <t>Tech B</t>
        </is>
      </c>
      <c r="E1177" s="35" t="n">
        <v>3.1</v>
      </c>
      <c r="F1177" s="35" t="n">
        <v>2.2</v>
      </c>
      <c r="G1177" s="37" t="inlineStr">
        <is>
          <t>Y</t>
        </is>
      </c>
      <c r="H1177" s="37" t="inlineStr">
        <is>
          <t>N</t>
        </is>
      </c>
      <c r="I1177" s="37">
        <f>COUNTIF(G$5:G1177,"Y")/COUNTA(G$5:G1177)</f>
        <v/>
      </c>
      <c r="J1177" s="37">
        <f>COUNTIF(H$5:H1177,"Y")/COUNTA(H$5:H1177)</f>
        <v/>
      </c>
      <c r="K1177" s="37">
        <f>AVERAGE(F$5:F1177)</f>
        <v/>
      </c>
      <c r="L1177" s="37">
        <f>SUM(F$5:F1177)/SUM(E$5:E1177)</f>
        <v/>
      </c>
    </row>
    <row r="1178">
      <c r="A1178" s="29" t="n">
        <v>45819</v>
      </c>
      <c r="B1178" s="37" t="inlineStr">
        <is>
          <t>JOB-2174</t>
        </is>
      </c>
      <c r="C1178" s="34" t="n">
        <v>1</v>
      </c>
      <c r="D1178" s="37" t="inlineStr">
        <is>
          <t>Tech G</t>
        </is>
      </c>
      <c r="E1178" s="35" t="n">
        <v>4</v>
      </c>
      <c r="F1178" s="35" t="n">
        <v>3.1</v>
      </c>
      <c r="G1178" s="37" t="inlineStr">
        <is>
          <t>Y</t>
        </is>
      </c>
      <c r="H1178" s="37" t="inlineStr">
        <is>
          <t>N</t>
        </is>
      </c>
      <c r="I1178" s="37">
        <f>COUNTIF(G$5:G1178,"Y")/COUNTA(G$5:G1178)</f>
        <v/>
      </c>
      <c r="J1178" s="37">
        <f>COUNTIF(H$5:H1178,"Y")/COUNTA(H$5:H1178)</f>
        <v/>
      </c>
      <c r="K1178" s="37">
        <f>AVERAGE(F$5:F1178)</f>
        <v/>
      </c>
      <c r="L1178" s="37">
        <f>SUM(F$5:F1178)/SUM(E$5:E1178)</f>
        <v/>
      </c>
    </row>
    <row r="1179">
      <c r="A1179" s="29" t="n">
        <v>45820</v>
      </c>
      <c r="B1179" s="37" t="inlineStr">
        <is>
          <t>JOB-2175</t>
        </is>
      </c>
      <c r="C1179" s="34" t="n">
        <v>1</v>
      </c>
      <c r="D1179" s="37" t="inlineStr">
        <is>
          <t>Tech B</t>
        </is>
      </c>
      <c r="E1179" s="35" t="n">
        <v>2</v>
      </c>
      <c r="F1179" s="35" t="n">
        <v>1.6</v>
      </c>
      <c r="G1179" s="37" t="inlineStr">
        <is>
          <t>Y</t>
        </is>
      </c>
      <c r="H1179" s="37" t="inlineStr">
        <is>
          <t>N</t>
        </is>
      </c>
      <c r="I1179" s="37">
        <f>COUNTIF(G$5:G1179,"Y")/COUNTA(G$5:G1179)</f>
        <v/>
      </c>
      <c r="J1179" s="37">
        <f>COUNTIF(H$5:H1179,"Y")/COUNTA(H$5:H1179)</f>
        <v/>
      </c>
      <c r="K1179" s="37">
        <f>AVERAGE(F$5:F1179)</f>
        <v/>
      </c>
      <c r="L1179" s="37">
        <f>SUM(F$5:F1179)/SUM(E$5:E1179)</f>
        <v/>
      </c>
    </row>
    <row r="1180">
      <c r="A1180" s="29" t="n">
        <v>45821</v>
      </c>
      <c r="B1180" s="37" t="inlineStr">
        <is>
          <t>JOB-2176</t>
        </is>
      </c>
      <c r="C1180" s="34" t="n">
        <v>1</v>
      </c>
      <c r="D1180" s="37" t="inlineStr">
        <is>
          <t>Tech C</t>
        </is>
      </c>
      <c r="E1180" s="35" t="n">
        <v>3.5</v>
      </c>
      <c r="F1180" s="35" t="n">
        <v>2.6</v>
      </c>
      <c r="G1180" s="37" t="inlineStr">
        <is>
          <t>Y</t>
        </is>
      </c>
      <c r="H1180" s="37" t="inlineStr">
        <is>
          <t>N</t>
        </is>
      </c>
      <c r="I1180" s="37">
        <f>COUNTIF(G$5:G1180,"Y")/COUNTA(G$5:G1180)</f>
        <v/>
      </c>
      <c r="J1180" s="37">
        <f>COUNTIF(H$5:H1180,"Y")/COUNTA(H$5:H1180)</f>
        <v/>
      </c>
      <c r="K1180" s="37">
        <f>AVERAGE(F$5:F1180)</f>
        <v/>
      </c>
      <c r="L1180" s="37">
        <f>SUM(F$5:F1180)/SUM(E$5:E1180)</f>
        <v/>
      </c>
    </row>
    <row r="1181">
      <c r="A1181" s="29" t="n">
        <v>45817</v>
      </c>
      <c r="B1181" s="37" t="inlineStr">
        <is>
          <t>JOB-2177</t>
        </is>
      </c>
      <c r="C1181" s="34" t="n">
        <v>1</v>
      </c>
      <c r="D1181" s="37" t="inlineStr">
        <is>
          <t>Tech H</t>
        </is>
      </c>
      <c r="E1181" s="35" t="n">
        <v>5</v>
      </c>
      <c r="F1181" s="35" t="n">
        <v>3.8</v>
      </c>
      <c r="G1181" s="37" t="inlineStr">
        <is>
          <t>Y</t>
        </is>
      </c>
      <c r="H1181" s="37" t="inlineStr">
        <is>
          <t>N</t>
        </is>
      </c>
      <c r="I1181" s="37">
        <f>COUNTIF(G$5:G1181,"Y")/COUNTA(G$5:G1181)</f>
        <v/>
      </c>
      <c r="J1181" s="37">
        <f>COUNTIF(H$5:H1181,"Y")/COUNTA(H$5:H1181)</f>
        <v/>
      </c>
      <c r="K1181" s="37">
        <f>AVERAGE(F$5:F1181)</f>
        <v/>
      </c>
      <c r="L1181" s="37">
        <f>SUM(F$5:F1181)/SUM(E$5:E1181)</f>
        <v/>
      </c>
    </row>
    <row r="1182">
      <c r="A1182" s="29" t="n">
        <v>45818</v>
      </c>
      <c r="B1182" s="37" t="inlineStr">
        <is>
          <t>JOB-2178</t>
        </is>
      </c>
      <c r="C1182" s="34" t="n">
        <v>1</v>
      </c>
      <c r="D1182" s="37" t="inlineStr">
        <is>
          <t>Tech H</t>
        </is>
      </c>
      <c r="E1182" s="35" t="n">
        <v>2.1</v>
      </c>
      <c r="F1182" s="35" t="n">
        <v>1.7</v>
      </c>
      <c r="G1182" s="37" t="inlineStr">
        <is>
          <t>Y</t>
        </is>
      </c>
      <c r="H1182" s="37" t="inlineStr">
        <is>
          <t>N</t>
        </is>
      </c>
      <c r="I1182" s="37">
        <f>COUNTIF(G$5:G1182,"Y")/COUNTA(G$5:G1182)</f>
        <v/>
      </c>
      <c r="J1182" s="37">
        <f>COUNTIF(H$5:H1182,"Y")/COUNTA(H$5:H1182)</f>
        <v/>
      </c>
      <c r="K1182" s="37">
        <f>AVERAGE(F$5:F1182)</f>
        <v/>
      </c>
      <c r="L1182" s="37">
        <f>SUM(F$5:F1182)/SUM(E$5:E1182)</f>
        <v/>
      </c>
    </row>
    <row r="1183">
      <c r="A1183" s="29" t="n">
        <v>45819</v>
      </c>
      <c r="B1183" s="37" t="inlineStr">
        <is>
          <t>JOB-2179</t>
        </is>
      </c>
      <c r="C1183" s="34" t="n">
        <v>1</v>
      </c>
      <c r="D1183" s="37" t="inlineStr">
        <is>
          <t>Tech F</t>
        </is>
      </c>
      <c r="E1183" s="35" t="n">
        <v>3</v>
      </c>
      <c r="F1183" s="35" t="n">
        <v>2.2</v>
      </c>
      <c r="G1183" s="37" t="inlineStr">
        <is>
          <t>Y</t>
        </is>
      </c>
      <c r="H1183" s="37" t="inlineStr">
        <is>
          <t>N</t>
        </is>
      </c>
      <c r="I1183" s="37">
        <f>COUNTIF(G$5:G1183,"Y")/COUNTA(G$5:G1183)</f>
        <v/>
      </c>
      <c r="J1183" s="37">
        <f>COUNTIF(H$5:H1183,"Y")/COUNTA(H$5:H1183)</f>
        <v/>
      </c>
      <c r="K1183" s="37">
        <f>AVERAGE(F$5:F1183)</f>
        <v/>
      </c>
      <c r="L1183" s="37">
        <f>SUM(F$5:F1183)/SUM(E$5:E1183)</f>
        <v/>
      </c>
    </row>
    <row r="1184">
      <c r="A1184" s="29" t="n">
        <v>45820</v>
      </c>
      <c r="B1184" s="37" t="inlineStr">
        <is>
          <t>JOB-2180</t>
        </is>
      </c>
      <c r="C1184" s="34" t="n">
        <v>1</v>
      </c>
      <c r="D1184" s="37" t="inlineStr">
        <is>
          <t>Tech B</t>
        </is>
      </c>
      <c r="E1184" s="35" t="n">
        <v>3</v>
      </c>
      <c r="F1184" s="35" t="n">
        <v>2.6</v>
      </c>
      <c r="G1184" s="37" t="inlineStr">
        <is>
          <t>Y</t>
        </is>
      </c>
      <c r="H1184" s="37" t="inlineStr">
        <is>
          <t>N</t>
        </is>
      </c>
      <c r="I1184" s="37">
        <f>COUNTIF(G$5:G1184,"Y")/COUNTA(G$5:G1184)</f>
        <v/>
      </c>
      <c r="J1184" s="37">
        <f>COUNTIF(H$5:H1184,"Y")/COUNTA(H$5:H1184)</f>
        <v/>
      </c>
      <c r="K1184" s="37">
        <f>AVERAGE(F$5:F1184)</f>
        <v/>
      </c>
      <c r="L1184" s="37">
        <f>SUM(F$5:F1184)/SUM(E$5:E1184)</f>
        <v/>
      </c>
    </row>
    <row r="1185">
      <c r="A1185" s="29" t="n">
        <v>45821</v>
      </c>
      <c r="B1185" s="37" t="inlineStr">
        <is>
          <t>JOB-2181</t>
        </is>
      </c>
      <c r="C1185" s="34" t="n">
        <v>1</v>
      </c>
      <c r="D1185" s="37" t="inlineStr">
        <is>
          <t>Tech D</t>
        </is>
      </c>
      <c r="E1185" s="35" t="n">
        <v>2.8</v>
      </c>
      <c r="F1185" s="35" t="n">
        <v>2.2</v>
      </c>
      <c r="G1185" s="37" t="inlineStr">
        <is>
          <t>Y</t>
        </is>
      </c>
      <c r="H1185" s="37" t="inlineStr">
        <is>
          <t>N</t>
        </is>
      </c>
      <c r="I1185" s="37">
        <f>COUNTIF(G$5:G1185,"Y")/COUNTA(G$5:G1185)</f>
        <v/>
      </c>
      <c r="J1185" s="37">
        <f>COUNTIF(H$5:H1185,"Y")/COUNTA(H$5:H1185)</f>
        <v/>
      </c>
      <c r="K1185" s="37">
        <f>AVERAGE(F$5:F1185)</f>
        <v/>
      </c>
      <c r="L1185" s="37">
        <f>SUM(F$5:F1185)/SUM(E$5:E1185)</f>
        <v/>
      </c>
    </row>
    <row r="1186">
      <c r="A1186" s="29" t="n">
        <v>45817</v>
      </c>
      <c r="B1186" s="37" t="inlineStr">
        <is>
          <t>JOB-2182</t>
        </is>
      </c>
      <c r="C1186" s="34" t="n">
        <v>1</v>
      </c>
      <c r="D1186" s="37" t="inlineStr">
        <is>
          <t>Tech G</t>
        </is>
      </c>
      <c r="E1186" s="35" t="n">
        <v>2</v>
      </c>
      <c r="F1186" s="35" t="n">
        <v>1.6</v>
      </c>
      <c r="G1186" s="37" t="inlineStr">
        <is>
          <t>N</t>
        </is>
      </c>
      <c r="H1186" s="37" t="inlineStr">
        <is>
          <t>N</t>
        </is>
      </c>
      <c r="I1186" s="37">
        <f>COUNTIF(G$5:G1186,"Y")/COUNTA(G$5:G1186)</f>
        <v/>
      </c>
      <c r="J1186" s="37">
        <f>COUNTIF(H$5:H1186,"Y")/COUNTA(H$5:H1186)</f>
        <v/>
      </c>
      <c r="K1186" s="37">
        <f>AVERAGE(F$5:F1186)</f>
        <v/>
      </c>
      <c r="L1186" s="37">
        <f>SUM(F$5:F1186)/SUM(E$5:E1186)</f>
        <v/>
      </c>
    </row>
    <row r="1187">
      <c r="A1187" s="29" t="n">
        <v>45818</v>
      </c>
      <c r="B1187" s="37" t="inlineStr">
        <is>
          <t>JOB-2183</t>
        </is>
      </c>
      <c r="C1187" s="34" t="n">
        <v>1</v>
      </c>
      <c r="D1187" s="37" t="inlineStr">
        <is>
          <t>Tech B</t>
        </is>
      </c>
      <c r="E1187" s="35" t="n">
        <v>4</v>
      </c>
      <c r="F1187" s="35" t="n">
        <v>2.8</v>
      </c>
      <c r="G1187" s="37" t="inlineStr">
        <is>
          <t>Y</t>
        </is>
      </c>
      <c r="H1187" s="37" t="inlineStr">
        <is>
          <t>N</t>
        </is>
      </c>
      <c r="I1187" s="37">
        <f>COUNTIF(G$5:G1187,"Y")/COUNTA(G$5:G1187)</f>
        <v/>
      </c>
      <c r="J1187" s="37">
        <f>COUNTIF(H$5:H1187,"Y")/COUNTA(H$5:H1187)</f>
        <v/>
      </c>
      <c r="K1187" s="37">
        <f>AVERAGE(F$5:F1187)</f>
        <v/>
      </c>
      <c r="L1187" s="37">
        <f>SUM(F$5:F1187)/SUM(E$5:E1187)</f>
        <v/>
      </c>
    </row>
    <row r="1188">
      <c r="A1188" s="29" t="n">
        <v>45819</v>
      </c>
      <c r="B1188" s="37" t="inlineStr">
        <is>
          <t>JOB-2184</t>
        </is>
      </c>
      <c r="C1188" s="34" t="n">
        <v>1</v>
      </c>
      <c r="D1188" s="37" t="inlineStr">
        <is>
          <t>Tech H</t>
        </is>
      </c>
      <c r="E1188" s="35" t="n">
        <v>1.9</v>
      </c>
      <c r="F1188" s="35" t="n">
        <v>1.5</v>
      </c>
      <c r="G1188" s="37" t="inlineStr">
        <is>
          <t>Y</t>
        </is>
      </c>
      <c r="H1188" s="37" t="inlineStr">
        <is>
          <t>N</t>
        </is>
      </c>
      <c r="I1188" s="37">
        <f>COUNTIF(G$5:G1188,"Y")/COUNTA(G$5:G1188)</f>
        <v/>
      </c>
      <c r="J1188" s="37">
        <f>COUNTIF(H$5:H1188,"Y")/COUNTA(H$5:H1188)</f>
        <v/>
      </c>
      <c r="K1188" s="37">
        <f>AVERAGE(F$5:F1188)</f>
        <v/>
      </c>
      <c r="L1188" s="37">
        <f>SUM(F$5:F1188)/SUM(E$5:E1188)</f>
        <v/>
      </c>
    </row>
    <row r="1189">
      <c r="A1189" s="29" t="n">
        <v>45820</v>
      </c>
      <c r="B1189" s="37" t="inlineStr">
        <is>
          <t>JOB-2185</t>
        </is>
      </c>
      <c r="C1189" s="34" t="n">
        <v>1</v>
      </c>
      <c r="D1189" s="37" t="inlineStr">
        <is>
          <t>Tech F</t>
        </is>
      </c>
      <c r="E1189" s="35" t="n">
        <v>4.7</v>
      </c>
      <c r="F1189" s="35" t="n">
        <v>3.3</v>
      </c>
      <c r="G1189" s="37" t="inlineStr">
        <is>
          <t>Y</t>
        </is>
      </c>
      <c r="H1189" s="37" t="inlineStr">
        <is>
          <t>Y</t>
        </is>
      </c>
      <c r="I1189" s="37">
        <f>COUNTIF(G$5:G1189,"Y")/COUNTA(G$5:G1189)</f>
        <v/>
      </c>
      <c r="J1189" s="37">
        <f>COUNTIF(H$5:H1189,"Y")/COUNTA(H$5:H1189)</f>
        <v/>
      </c>
      <c r="K1189" s="37">
        <f>AVERAGE(F$5:F1189)</f>
        <v/>
      </c>
      <c r="L1189" s="37">
        <f>SUM(F$5:F1189)/SUM(E$5:E1189)</f>
        <v/>
      </c>
    </row>
    <row r="1190">
      <c r="A1190" s="29" t="n">
        <v>45821</v>
      </c>
      <c r="B1190" s="37" t="inlineStr">
        <is>
          <t>JOB-2186</t>
        </is>
      </c>
      <c r="C1190" s="34" t="n">
        <v>1</v>
      </c>
      <c r="D1190" s="37" t="inlineStr">
        <is>
          <t>Tech B</t>
        </is>
      </c>
      <c r="E1190" s="35" t="n">
        <v>3.6</v>
      </c>
      <c r="F1190" s="35" t="n">
        <v>2.8</v>
      </c>
      <c r="G1190" s="37" t="inlineStr">
        <is>
          <t>Y</t>
        </is>
      </c>
      <c r="H1190" s="37" t="inlineStr">
        <is>
          <t>N</t>
        </is>
      </c>
      <c r="I1190" s="37">
        <f>COUNTIF(G$5:G1190,"Y")/COUNTA(G$5:G1190)</f>
        <v/>
      </c>
      <c r="J1190" s="37">
        <f>COUNTIF(H$5:H1190,"Y")/COUNTA(H$5:H1190)</f>
        <v/>
      </c>
      <c r="K1190" s="37">
        <f>AVERAGE(F$5:F1190)</f>
        <v/>
      </c>
      <c r="L1190" s="37">
        <f>SUM(F$5:F1190)/SUM(E$5:E1190)</f>
        <v/>
      </c>
    </row>
    <row r="1191">
      <c r="A1191" s="29" t="n">
        <v>45817</v>
      </c>
      <c r="B1191" s="37" t="inlineStr">
        <is>
          <t>JOB-2187</t>
        </is>
      </c>
      <c r="C1191" s="34" t="n">
        <v>1</v>
      </c>
      <c r="D1191" s="37" t="inlineStr">
        <is>
          <t>Tech C</t>
        </is>
      </c>
      <c r="E1191" s="35" t="n">
        <v>4.3</v>
      </c>
      <c r="F1191" s="35" t="n">
        <v>3.6</v>
      </c>
      <c r="G1191" s="37" t="inlineStr">
        <is>
          <t>Y</t>
        </is>
      </c>
      <c r="H1191" s="37" t="inlineStr">
        <is>
          <t>N</t>
        </is>
      </c>
      <c r="I1191" s="37">
        <f>COUNTIF(G$5:G1191,"Y")/COUNTA(G$5:G1191)</f>
        <v/>
      </c>
      <c r="J1191" s="37">
        <f>COUNTIF(H$5:H1191,"Y")/COUNTA(H$5:H1191)</f>
        <v/>
      </c>
      <c r="K1191" s="37">
        <f>AVERAGE(F$5:F1191)</f>
        <v/>
      </c>
      <c r="L1191" s="37">
        <f>SUM(F$5:F1191)/SUM(E$5:E1191)</f>
        <v/>
      </c>
    </row>
    <row r="1192">
      <c r="A1192" s="29" t="n">
        <v>45818</v>
      </c>
      <c r="B1192" s="37" t="inlineStr">
        <is>
          <t>JOB-2188</t>
        </is>
      </c>
      <c r="C1192" s="34" t="n">
        <v>1</v>
      </c>
      <c r="D1192" s="37" t="inlineStr">
        <is>
          <t>Tech A</t>
        </is>
      </c>
      <c r="E1192" s="35" t="n">
        <v>3.4</v>
      </c>
      <c r="F1192" s="35" t="n">
        <v>2.9</v>
      </c>
      <c r="G1192" s="37" t="inlineStr">
        <is>
          <t>Y</t>
        </is>
      </c>
      <c r="H1192" s="37" t="inlineStr">
        <is>
          <t>N</t>
        </is>
      </c>
      <c r="I1192" s="37">
        <f>COUNTIF(G$5:G1192,"Y")/COUNTA(G$5:G1192)</f>
        <v/>
      </c>
      <c r="J1192" s="37">
        <f>COUNTIF(H$5:H1192,"Y")/COUNTA(H$5:H1192)</f>
        <v/>
      </c>
      <c r="K1192" s="37">
        <f>AVERAGE(F$5:F1192)</f>
        <v/>
      </c>
      <c r="L1192" s="37">
        <f>SUM(F$5:F1192)/SUM(E$5:E1192)</f>
        <v/>
      </c>
    </row>
    <row r="1193">
      <c r="A1193" s="29" t="n">
        <v>45819</v>
      </c>
      <c r="B1193" s="37" t="inlineStr">
        <is>
          <t>JOB-2189</t>
        </is>
      </c>
      <c r="C1193" s="34" t="n">
        <v>1</v>
      </c>
      <c r="D1193" s="37" t="inlineStr">
        <is>
          <t>Tech F</t>
        </is>
      </c>
      <c r="E1193" s="35" t="n">
        <v>2.2</v>
      </c>
      <c r="F1193" s="35" t="n">
        <v>1.9</v>
      </c>
      <c r="G1193" s="37" t="inlineStr">
        <is>
          <t>Y</t>
        </is>
      </c>
      <c r="H1193" s="37" t="inlineStr">
        <is>
          <t>N</t>
        </is>
      </c>
      <c r="I1193" s="37">
        <f>COUNTIF(G$5:G1193,"Y")/COUNTA(G$5:G1193)</f>
        <v/>
      </c>
      <c r="J1193" s="37">
        <f>COUNTIF(H$5:H1193,"Y")/COUNTA(H$5:H1193)</f>
        <v/>
      </c>
      <c r="K1193" s="37">
        <f>AVERAGE(F$5:F1193)</f>
        <v/>
      </c>
      <c r="L1193" s="37">
        <f>SUM(F$5:F1193)/SUM(E$5:E1193)</f>
        <v/>
      </c>
    </row>
    <row r="1194">
      <c r="A1194" s="29" t="n">
        <v>45820</v>
      </c>
      <c r="B1194" s="37" t="inlineStr">
        <is>
          <t>JOB-2190</t>
        </is>
      </c>
      <c r="C1194" s="34" t="n">
        <v>1</v>
      </c>
      <c r="D1194" s="37" t="inlineStr">
        <is>
          <t>Tech F</t>
        </is>
      </c>
      <c r="E1194" s="35" t="n">
        <v>0.6</v>
      </c>
      <c r="F1194" s="35" t="n">
        <v>0.5</v>
      </c>
      <c r="G1194" s="37" t="inlineStr">
        <is>
          <t>Y</t>
        </is>
      </c>
      <c r="H1194" s="37" t="inlineStr">
        <is>
          <t>N</t>
        </is>
      </c>
      <c r="I1194" s="37">
        <f>COUNTIF(G$5:G1194,"Y")/COUNTA(G$5:G1194)</f>
        <v/>
      </c>
      <c r="J1194" s="37">
        <f>COUNTIF(H$5:H1194,"Y")/COUNTA(H$5:H1194)</f>
        <v/>
      </c>
      <c r="K1194" s="37">
        <f>AVERAGE(F$5:F1194)</f>
        <v/>
      </c>
      <c r="L1194" s="37">
        <f>SUM(F$5:F1194)/SUM(E$5:E1194)</f>
        <v/>
      </c>
    </row>
    <row r="1195">
      <c r="A1195" s="29" t="n">
        <v>45821</v>
      </c>
      <c r="B1195" s="37" t="inlineStr">
        <is>
          <t>JOB-2191</t>
        </is>
      </c>
      <c r="C1195" s="34" t="n">
        <v>1</v>
      </c>
      <c r="D1195" s="37" t="inlineStr">
        <is>
          <t>Tech H</t>
        </is>
      </c>
      <c r="E1195" s="35" t="n">
        <v>0.6</v>
      </c>
      <c r="F1195" s="35" t="n">
        <v>0.5</v>
      </c>
      <c r="G1195" s="37" t="inlineStr">
        <is>
          <t>Y</t>
        </is>
      </c>
      <c r="H1195" s="37" t="inlineStr">
        <is>
          <t>N</t>
        </is>
      </c>
      <c r="I1195" s="37">
        <f>COUNTIF(G$5:G1195,"Y")/COUNTA(G$5:G1195)</f>
        <v/>
      </c>
      <c r="J1195" s="37">
        <f>COUNTIF(H$5:H1195,"Y")/COUNTA(H$5:H1195)</f>
        <v/>
      </c>
      <c r="K1195" s="37">
        <f>AVERAGE(F$5:F1195)</f>
        <v/>
      </c>
      <c r="L1195" s="37">
        <f>SUM(F$5:F1195)/SUM(E$5:E1195)</f>
        <v/>
      </c>
    </row>
    <row r="1196">
      <c r="A1196" s="29" t="n">
        <v>45817</v>
      </c>
      <c r="B1196" s="37" t="inlineStr">
        <is>
          <t>JOB-2192</t>
        </is>
      </c>
      <c r="C1196" s="34" t="n">
        <v>1</v>
      </c>
      <c r="D1196" s="37" t="inlineStr">
        <is>
          <t>Tech A</t>
        </is>
      </c>
      <c r="E1196" s="35" t="n">
        <v>0.6</v>
      </c>
      <c r="F1196" s="35" t="n">
        <v>0.5</v>
      </c>
      <c r="G1196" s="37" t="inlineStr">
        <is>
          <t>Y</t>
        </is>
      </c>
      <c r="H1196" s="37" t="inlineStr">
        <is>
          <t>N</t>
        </is>
      </c>
      <c r="I1196" s="37">
        <f>COUNTIF(G$5:G1196,"Y")/COUNTA(G$5:G1196)</f>
        <v/>
      </c>
      <c r="J1196" s="37">
        <f>COUNTIF(H$5:H1196,"Y")/COUNTA(H$5:H1196)</f>
        <v/>
      </c>
      <c r="K1196" s="37">
        <f>AVERAGE(F$5:F1196)</f>
        <v/>
      </c>
      <c r="L1196" s="37">
        <f>SUM(F$5:F1196)/SUM(E$5:E1196)</f>
        <v/>
      </c>
    </row>
    <row r="1197">
      <c r="A1197" s="29" t="n">
        <v>45818</v>
      </c>
      <c r="B1197" s="37" t="inlineStr">
        <is>
          <t>JOB-2193</t>
        </is>
      </c>
      <c r="C1197" s="34" t="n">
        <v>1</v>
      </c>
      <c r="D1197" s="37" t="inlineStr">
        <is>
          <t>Tech B</t>
        </is>
      </c>
      <c r="E1197" s="35" t="n">
        <v>0.7</v>
      </c>
      <c r="F1197" s="35" t="n">
        <v>0.5</v>
      </c>
      <c r="G1197" s="37" t="inlineStr">
        <is>
          <t>Y</t>
        </is>
      </c>
      <c r="H1197" s="37" t="inlineStr">
        <is>
          <t>N</t>
        </is>
      </c>
      <c r="I1197" s="37">
        <f>COUNTIF(G$5:G1197,"Y")/COUNTA(G$5:G1197)</f>
        <v/>
      </c>
      <c r="J1197" s="37">
        <f>COUNTIF(H$5:H1197,"Y")/COUNTA(H$5:H1197)</f>
        <v/>
      </c>
      <c r="K1197" s="37">
        <f>AVERAGE(F$5:F1197)</f>
        <v/>
      </c>
      <c r="L1197" s="37">
        <f>SUM(F$5:F1197)/SUM(E$5:E1197)</f>
        <v/>
      </c>
    </row>
    <row r="1198">
      <c r="A1198" s="29" t="n">
        <v>45819</v>
      </c>
      <c r="B1198" s="37" t="inlineStr">
        <is>
          <t>JOB-2194</t>
        </is>
      </c>
      <c r="C1198" s="34" t="n">
        <v>1</v>
      </c>
      <c r="D1198" s="37" t="inlineStr">
        <is>
          <t>Tech C</t>
        </is>
      </c>
      <c r="E1198" s="35" t="n">
        <v>0.6</v>
      </c>
      <c r="F1198" s="35" t="n">
        <v>0.5</v>
      </c>
      <c r="G1198" s="37" t="inlineStr">
        <is>
          <t>N</t>
        </is>
      </c>
      <c r="H1198" s="37" t="inlineStr">
        <is>
          <t>N</t>
        </is>
      </c>
      <c r="I1198" s="37">
        <f>COUNTIF(G$5:G1198,"Y")/COUNTA(G$5:G1198)</f>
        <v/>
      </c>
      <c r="J1198" s="37">
        <f>COUNTIF(H$5:H1198,"Y")/COUNTA(H$5:H1198)</f>
        <v/>
      </c>
      <c r="K1198" s="37">
        <f>AVERAGE(F$5:F1198)</f>
        <v/>
      </c>
      <c r="L1198" s="37">
        <f>SUM(F$5:F1198)/SUM(E$5:E1198)</f>
        <v/>
      </c>
    </row>
    <row r="1199">
      <c r="A1199" s="29" t="n">
        <v>45820</v>
      </c>
      <c r="B1199" s="37" t="inlineStr">
        <is>
          <t>JOB-2195</t>
        </is>
      </c>
      <c r="C1199" s="34" t="n">
        <v>1</v>
      </c>
      <c r="D1199" s="37" t="inlineStr">
        <is>
          <t>Tech G</t>
        </is>
      </c>
      <c r="E1199" s="35" t="n">
        <v>0.7</v>
      </c>
      <c r="F1199" s="35" t="n">
        <v>0.5</v>
      </c>
      <c r="G1199" s="37" t="inlineStr">
        <is>
          <t>Y</t>
        </is>
      </c>
      <c r="H1199" s="37" t="inlineStr">
        <is>
          <t>Y</t>
        </is>
      </c>
      <c r="I1199" s="37">
        <f>COUNTIF(G$5:G1199,"Y")/COUNTA(G$5:G1199)</f>
        <v/>
      </c>
      <c r="J1199" s="37">
        <f>COUNTIF(H$5:H1199,"Y")/COUNTA(H$5:H1199)</f>
        <v/>
      </c>
      <c r="K1199" s="37">
        <f>AVERAGE(F$5:F1199)</f>
        <v/>
      </c>
      <c r="L1199" s="37">
        <f>SUM(F$5:F1199)/SUM(E$5:E1199)</f>
        <v/>
      </c>
    </row>
    <row r="1200">
      <c r="A1200" s="29" t="n">
        <v>45821</v>
      </c>
      <c r="B1200" s="37" t="inlineStr">
        <is>
          <t>JOB-2196</t>
        </is>
      </c>
      <c r="C1200" s="34" t="n">
        <v>1</v>
      </c>
      <c r="D1200" s="37" t="inlineStr">
        <is>
          <t>Tech B</t>
        </is>
      </c>
      <c r="E1200" s="35" t="n">
        <v>0.7</v>
      </c>
      <c r="F1200" s="35" t="n">
        <v>0.5</v>
      </c>
      <c r="G1200" s="37" t="inlineStr">
        <is>
          <t>Y</t>
        </is>
      </c>
      <c r="H1200" s="37" t="inlineStr">
        <is>
          <t>N</t>
        </is>
      </c>
      <c r="I1200" s="37">
        <f>COUNTIF(G$5:G1200,"Y")/COUNTA(G$5:G1200)</f>
        <v/>
      </c>
      <c r="J1200" s="37">
        <f>COUNTIF(H$5:H1200,"Y")/COUNTA(H$5:H1200)</f>
        <v/>
      </c>
      <c r="K1200" s="37">
        <f>AVERAGE(F$5:F1200)</f>
        <v/>
      </c>
      <c r="L1200" s="37">
        <f>SUM(F$5:F1200)/SUM(E$5:E1200)</f>
        <v/>
      </c>
    </row>
    <row r="1201">
      <c r="A1201" s="29" t="n">
        <v>45817</v>
      </c>
      <c r="B1201" s="37" t="inlineStr">
        <is>
          <t>JOB-2197</t>
        </is>
      </c>
      <c r="C1201" s="34" t="n">
        <v>1</v>
      </c>
      <c r="D1201" s="37" t="inlineStr">
        <is>
          <t>Tech H</t>
        </is>
      </c>
      <c r="E1201" s="35" t="n">
        <v>0.7</v>
      </c>
      <c r="F1201" s="35" t="n">
        <v>0.5</v>
      </c>
      <c r="G1201" s="37" t="inlineStr">
        <is>
          <t>Y</t>
        </is>
      </c>
      <c r="H1201" s="37" t="inlineStr">
        <is>
          <t>N</t>
        </is>
      </c>
      <c r="I1201" s="37">
        <f>COUNTIF(G$5:G1201,"Y")/COUNTA(G$5:G1201)</f>
        <v/>
      </c>
      <c r="J1201" s="37">
        <f>COUNTIF(H$5:H1201,"Y")/COUNTA(H$5:H1201)</f>
        <v/>
      </c>
      <c r="K1201" s="37">
        <f>AVERAGE(F$5:F1201)</f>
        <v/>
      </c>
      <c r="L1201" s="37">
        <f>SUM(F$5:F1201)/SUM(E$5:E1201)</f>
        <v/>
      </c>
    </row>
    <row r="1202">
      <c r="A1202" s="29" t="n">
        <v>45818</v>
      </c>
      <c r="B1202" s="37" t="inlineStr">
        <is>
          <t>JOB-2198</t>
        </is>
      </c>
      <c r="C1202" s="34" t="n">
        <v>1</v>
      </c>
      <c r="D1202" s="37" t="inlineStr">
        <is>
          <t>Tech A</t>
        </is>
      </c>
      <c r="E1202" s="35" t="n">
        <v>0.6</v>
      </c>
      <c r="F1202" s="35" t="n">
        <v>0.5</v>
      </c>
      <c r="G1202" s="37" t="inlineStr">
        <is>
          <t>N</t>
        </is>
      </c>
      <c r="H1202" s="37" t="inlineStr">
        <is>
          <t>N</t>
        </is>
      </c>
      <c r="I1202" s="37">
        <f>COUNTIF(G$5:G1202,"Y")/COUNTA(G$5:G1202)</f>
        <v/>
      </c>
      <c r="J1202" s="37">
        <f>COUNTIF(H$5:H1202,"Y")/COUNTA(H$5:H1202)</f>
        <v/>
      </c>
      <c r="K1202" s="37">
        <f>AVERAGE(F$5:F1202)</f>
        <v/>
      </c>
      <c r="L1202" s="37">
        <f>SUM(F$5:F1202)/SUM(E$5:E1202)</f>
        <v/>
      </c>
      <c r="M1202" s="37" t="n">
        <v>12</v>
      </c>
    </row>
    <row r="1203">
      <c r="A1203" s="29" t="n">
        <v>45824</v>
      </c>
      <c r="B1203" s="37" t="inlineStr">
        <is>
          <t>JOB-2199</t>
        </is>
      </c>
      <c r="C1203" s="34" t="n">
        <v>1</v>
      </c>
      <c r="D1203" s="37" t="inlineStr">
        <is>
          <t>Tech G</t>
        </is>
      </c>
      <c r="E1203" s="35" t="n">
        <v>4.5</v>
      </c>
      <c r="F1203" s="35" t="n">
        <v>3</v>
      </c>
      <c r="G1203" s="37" t="inlineStr">
        <is>
          <t>Y</t>
        </is>
      </c>
      <c r="H1203" s="37" t="inlineStr">
        <is>
          <t>N</t>
        </is>
      </c>
      <c r="I1203" s="37">
        <f>COUNTIF(G$5:G1203,"Y")/COUNTA(G$5:G1203)</f>
        <v/>
      </c>
      <c r="J1203" s="37">
        <f>COUNTIF(H$5:H1203,"Y")/COUNTA(H$5:H1203)</f>
        <v/>
      </c>
      <c r="K1203" s="37">
        <f>AVERAGE(F$5:F1203)</f>
        <v/>
      </c>
      <c r="L1203" s="37">
        <f>SUM(F$5:F1203)/SUM(E$5:E1203)</f>
        <v/>
      </c>
    </row>
    <row r="1204">
      <c r="A1204" s="29" t="n">
        <v>45825</v>
      </c>
      <c r="B1204" s="37" t="inlineStr">
        <is>
          <t>JOB-2200</t>
        </is>
      </c>
      <c r="C1204" s="34" t="n">
        <v>1</v>
      </c>
      <c r="D1204" s="37" t="inlineStr">
        <is>
          <t>Tech A</t>
        </is>
      </c>
      <c r="E1204" s="35" t="n">
        <v>2.7</v>
      </c>
      <c r="F1204" s="35" t="n">
        <v>2.1</v>
      </c>
      <c r="G1204" s="37" t="inlineStr">
        <is>
          <t>Y</t>
        </is>
      </c>
      <c r="H1204" s="37" t="inlineStr">
        <is>
          <t>N</t>
        </is>
      </c>
      <c r="I1204" s="37">
        <f>COUNTIF(G$5:G1204,"Y")/COUNTA(G$5:G1204)</f>
        <v/>
      </c>
      <c r="J1204" s="37">
        <f>COUNTIF(H$5:H1204,"Y")/COUNTA(H$5:H1204)</f>
        <v/>
      </c>
      <c r="K1204" s="37">
        <f>AVERAGE(F$5:F1204)</f>
        <v/>
      </c>
      <c r="L1204" s="37">
        <f>SUM(F$5:F1204)/SUM(E$5:E1204)</f>
        <v/>
      </c>
    </row>
    <row r="1205">
      <c r="A1205" s="29" t="n">
        <v>45826</v>
      </c>
      <c r="B1205" s="37" t="inlineStr">
        <is>
          <t>JOB-2201</t>
        </is>
      </c>
      <c r="C1205" s="34" t="n">
        <v>1</v>
      </c>
      <c r="D1205" s="37" t="inlineStr">
        <is>
          <t>Tech H</t>
        </is>
      </c>
      <c r="E1205" s="35" t="n">
        <v>3.3</v>
      </c>
      <c r="F1205" s="35" t="n">
        <v>2.2</v>
      </c>
      <c r="G1205" s="37" t="inlineStr">
        <is>
          <t>Y</t>
        </is>
      </c>
      <c r="H1205" s="37" t="inlineStr">
        <is>
          <t>N</t>
        </is>
      </c>
      <c r="I1205" s="37">
        <f>COUNTIF(G$5:G1205,"Y")/COUNTA(G$5:G1205)</f>
        <v/>
      </c>
      <c r="J1205" s="37">
        <f>COUNTIF(H$5:H1205,"Y")/COUNTA(H$5:H1205)</f>
        <v/>
      </c>
      <c r="K1205" s="37">
        <f>AVERAGE(F$5:F1205)</f>
        <v/>
      </c>
      <c r="L1205" s="37">
        <f>SUM(F$5:F1205)/SUM(E$5:E1205)</f>
        <v/>
      </c>
    </row>
    <row r="1206">
      <c r="A1206" s="29" t="n">
        <v>45827</v>
      </c>
      <c r="B1206" s="37" t="inlineStr">
        <is>
          <t>JOB-2202</t>
        </is>
      </c>
      <c r="C1206" s="34" t="n">
        <v>1</v>
      </c>
      <c r="D1206" s="37" t="inlineStr">
        <is>
          <t>Tech F</t>
        </is>
      </c>
      <c r="E1206" s="35" t="n">
        <v>5</v>
      </c>
      <c r="F1206" s="35" t="n">
        <v>3.3</v>
      </c>
      <c r="G1206" s="37" t="inlineStr">
        <is>
          <t>Y</t>
        </is>
      </c>
      <c r="H1206" s="37" t="inlineStr">
        <is>
          <t>N</t>
        </is>
      </c>
      <c r="I1206" s="37">
        <f>COUNTIF(G$5:G1206,"Y")/COUNTA(G$5:G1206)</f>
        <v/>
      </c>
      <c r="J1206" s="37">
        <f>COUNTIF(H$5:H1206,"Y")/COUNTA(H$5:H1206)</f>
        <v/>
      </c>
      <c r="K1206" s="37">
        <f>AVERAGE(F$5:F1206)</f>
        <v/>
      </c>
      <c r="L1206" s="37">
        <f>SUM(F$5:F1206)/SUM(E$5:E1206)</f>
        <v/>
      </c>
    </row>
    <row r="1207">
      <c r="A1207" s="29" t="n">
        <v>45828</v>
      </c>
      <c r="B1207" s="37" t="inlineStr">
        <is>
          <t>JOB-2203</t>
        </is>
      </c>
      <c r="C1207" s="34" t="n">
        <v>1</v>
      </c>
      <c r="D1207" s="37" t="inlineStr">
        <is>
          <t>Tech G</t>
        </is>
      </c>
      <c r="E1207" s="35" t="n">
        <v>2.5</v>
      </c>
      <c r="F1207" s="35" t="n">
        <v>1.7</v>
      </c>
      <c r="G1207" s="37" t="inlineStr">
        <is>
          <t>Y</t>
        </is>
      </c>
      <c r="H1207" s="37" t="inlineStr">
        <is>
          <t>N</t>
        </is>
      </c>
      <c r="I1207" s="37">
        <f>COUNTIF(G$5:G1207,"Y")/COUNTA(G$5:G1207)</f>
        <v/>
      </c>
      <c r="J1207" s="37">
        <f>COUNTIF(H$5:H1207,"Y")/COUNTA(H$5:H1207)</f>
        <v/>
      </c>
      <c r="K1207" s="37">
        <f>AVERAGE(F$5:F1207)</f>
        <v/>
      </c>
      <c r="L1207" s="37">
        <f>SUM(F$5:F1207)/SUM(E$5:E1207)</f>
        <v/>
      </c>
    </row>
    <row r="1208">
      <c r="A1208" s="29" t="n">
        <v>45824</v>
      </c>
      <c r="B1208" s="37" t="inlineStr">
        <is>
          <t>JOB-2204</t>
        </is>
      </c>
      <c r="C1208" s="34" t="n">
        <v>1</v>
      </c>
      <c r="D1208" s="37" t="inlineStr">
        <is>
          <t>Tech F</t>
        </is>
      </c>
      <c r="E1208" s="35" t="n">
        <v>1.6</v>
      </c>
      <c r="F1208" s="35" t="n">
        <v>1.3</v>
      </c>
      <c r="G1208" s="37" t="inlineStr">
        <is>
          <t>Y</t>
        </is>
      </c>
      <c r="H1208" s="37" t="inlineStr">
        <is>
          <t>N</t>
        </is>
      </c>
      <c r="I1208" s="37">
        <f>COUNTIF(G$5:G1208,"Y")/COUNTA(G$5:G1208)</f>
        <v/>
      </c>
      <c r="J1208" s="37">
        <f>COUNTIF(H$5:H1208,"Y")/COUNTA(H$5:H1208)</f>
        <v/>
      </c>
      <c r="K1208" s="37">
        <f>AVERAGE(F$5:F1208)</f>
        <v/>
      </c>
      <c r="L1208" s="37">
        <f>SUM(F$5:F1208)/SUM(E$5:E1208)</f>
        <v/>
      </c>
    </row>
    <row r="1209">
      <c r="A1209" s="29" t="n">
        <v>45825</v>
      </c>
      <c r="B1209" s="37" t="inlineStr">
        <is>
          <t>JOB-2205</t>
        </is>
      </c>
      <c r="C1209" s="34" t="n">
        <v>1</v>
      </c>
      <c r="D1209" s="37" t="inlineStr">
        <is>
          <t>Tech C</t>
        </is>
      </c>
      <c r="E1209" s="35" t="n">
        <v>4.1</v>
      </c>
      <c r="F1209" s="35" t="n">
        <v>3</v>
      </c>
      <c r="G1209" s="37" t="inlineStr">
        <is>
          <t>Y</t>
        </is>
      </c>
      <c r="H1209" s="37" t="inlineStr">
        <is>
          <t>Y</t>
        </is>
      </c>
      <c r="I1209" s="37">
        <f>COUNTIF(G$5:G1209,"Y")/COUNTA(G$5:G1209)</f>
        <v/>
      </c>
      <c r="J1209" s="37">
        <f>COUNTIF(H$5:H1209,"Y")/COUNTA(H$5:H1209)</f>
        <v/>
      </c>
      <c r="K1209" s="37">
        <f>AVERAGE(F$5:F1209)</f>
        <v/>
      </c>
      <c r="L1209" s="37">
        <f>SUM(F$5:F1209)/SUM(E$5:E1209)</f>
        <v/>
      </c>
    </row>
    <row r="1210">
      <c r="A1210" s="29" t="n">
        <v>45826</v>
      </c>
      <c r="B1210" s="37" t="inlineStr">
        <is>
          <t>JOB-2206</t>
        </is>
      </c>
      <c r="C1210" s="34" t="n">
        <v>1</v>
      </c>
      <c r="D1210" s="37" t="inlineStr">
        <is>
          <t>Tech C</t>
        </is>
      </c>
      <c r="E1210" s="35" t="n">
        <v>2.3</v>
      </c>
      <c r="F1210" s="35" t="n">
        <v>1.7</v>
      </c>
      <c r="G1210" s="37" t="inlineStr">
        <is>
          <t>Y</t>
        </is>
      </c>
      <c r="H1210" s="37" t="inlineStr">
        <is>
          <t>N</t>
        </is>
      </c>
      <c r="I1210" s="37">
        <f>COUNTIF(G$5:G1210,"Y")/COUNTA(G$5:G1210)</f>
        <v/>
      </c>
      <c r="J1210" s="37">
        <f>COUNTIF(H$5:H1210,"Y")/COUNTA(H$5:H1210)</f>
        <v/>
      </c>
      <c r="K1210" s="37">
        <f>AVERAGE(F$5:F1210)</f>
        <v/>
      </c>
      <c r="L1210" s="37">
        <f>SUM(F$5:F1210)/SUM(E$5:E1210)</f>
        <v/>
      </c>
    </row>
    <row r="1211">
      <c r="A1211" s="29" t="n">
        <v>45827</v>
      </c>
      <c r="B1211" s="37" t="inlineStr">
        <is>
          <t>JOB-2207</t>
        </is>
      </c>
      <c r="C1211" s="34" t="n">
        <v>1</v>
      </c>
      <c r="D1211" s="37" t="inlineStr">
        <is>
          <t>Tech A</t>
        </is>
      </c>
      <c r="E1211" s="35" t="n">
        <v>2</v>
      </c>
      <c r="F1211" s="35" t="n">
        <v>1.6</v>
      </c>
      <c r="G1211" s="37" t="inlineStr">
        <is>
          <t>Y</t>
        </is>
      </c>
      <c r="H1211" s="37" t="inlineStr">
        <is>
          <t>N</t>
        </is>
      </c>
      <c r="I1211" s="37">
        <f>COUNTIF(G$5:G1211,"Y")/COUNTA(G$5:G1211)</f>
        <v/>
      </c>
      <c r="J1211" s="37">
        <f>COUNTIF(H$5:H1211,"Y")/COUNTA(H$5:H1211)</f>
        <v/>
      </c>
      <c r="K1211" s="37">
        <f>AVERAGE(F$5:F1211)</f>
        <v/>
      </c>
      <c r="L1211" s="37">
        <f>SUM(F$5:F1211)/SUM(E$5:E1211)</f>
        <v/>
      </c>
    </row>
    <row r="1212">
      <c r="A1212" s="29" t="n">
        <v>45828</v>
      </c>
      <c r="B1212" s="37" t="inlineStr">
        <is>
          <t>JOB-2208</t>
        </is>
      </c>
      <c r="C1212" s="34" t="n">
        <v>1</v>
      </c>
      <c r="D1212" s="37" t="inlineStr">
        <is>
          <t>Tech A</t>
        </is>
      </c>
      <c r="E1212" s="35" t="n">
        <v>3.6</v>
      </c>
      <c r="F1212" s="35" t="n">
        <v>2.8</v>
      </c>
      <c r="G1212" s="37" t="inlineStr">
        <is>
          <t>Y</t>
        </is>
      </c>
      <c r="H1212" s="37" t="inlineStr">
        <is>
          <t>N</t>
        </is>
      </c>
      <c r="I1212" s="37">
        <f>COUNTIF(G$5:G1212,"Y")/COUNTA(G$5:G1212)</f>
        <v/>
      </c>
      <c r="J1212" s="37">
        <f>COUNTIF(H$5:H1212,"Y")/COUNTA(H$5:H1212)</f>
        <v/>
      </c>
      <c r="K1212" s="37">
        <f>AVERAGE(F$5:F1212)</f>
        <v/>
      </c>
      <c r="L1212" s="37">
        <f>SUM(F$5:F1212)/SUM(E$5:E1212)</f>
        <v/>
      </c>
    </row>
    <row r="1213">
      <c r="A1213" s="29" t="n">
        <v>45824</v>
      </c>
      <c r="B1213" s="37" t="inlineStr">
        <is>
          <t>JOB-2209</t>
        </is>
      </c>
      <c r="C1213" s="34" t="n">
        <v>1</v>
      </c>
      <c r="D1213" s="37" t="inlineStr">
        <is>
          <t>Tech A</t>
        </is>
      </c>
      <c r="E1213" s="35" t="n">
        <v>3.7</v>
      </c>
      <c r="F1213" s="35" t="n">
        <v>2.8</v>
      </c>
      <c r="G1213" s="37" t="inlineStr">
        <is>
          <t>Y</t>
        </is>
      </c>
      <c r="H1213" s="37" t="inlineStr">
        <is>
          <t>N</t>
        </is>
      </c>
      <c r="I1213" s="37">
        <f>COUNTIF(G$5:G1213,"Y")/COUNTA(G$5:G1213)</f>
        <v/>
      </c>
      <c r="J1213" s="37">
        <f>COUNTIF(H$5:H1213,"Y")/COUNTA(H$5:H1213)</f>
        <v/>
      </c>
      <c r="K1213" s="37">
        <f>AVERAGE(F$5:F1213)</f>
        <v/>
      </c>
      <c r="L1213" s="37">
        <f>SUM(F$5:F1213)/SUM(E$5:E1213)</f>
        <v/>
      </c>
    </row>
    <row r="1214">
      <c r="A1214" s="29" t="n">
        <v>45825</v>
      </c>
      <c r="B1214" s="37" t="inlineStr">
        <is>
          <t>JOB-2210</t>
        </is>
      </c>
      <c r="C1214" s="34" t="n">
        <v>1</v>
      </c>
      <c r="D1214" s="37" t="inlineStr">
        <is>
          <t>Tech D</t>
        </is>
      </c>
      <c r="E1214" s="35" t="n">
        <v>3.2</v>
      </c>
      <c r="F1214" s="35" t="n">
        <v>2.3</v>
      </c>
      <c r="G1214" s="37" t="inlineStr">
        <is>
          <t>Y</t>
        </is>
      </c>
      <c r="H1214" s="37" t="inlineStr">
        <is>
          <t>N</t>
        </is>
      </c>
      <c r="I1214" s="37">
        <f>COUNTIF(G$5:G1214,"Y")/COUNTA(G$5:G1214)</f>
        <v/>
      </c>
      <c r="J1214" s="37">
        <f>COUNTIF(H$5:H1214,"Y")/COUNTA(H$5:H1214)</f>
        <v/>
      </c>
      <c r="K1214" s="37">
        <f>AVERAGE(F$5:F1214)</f>
        <v/>
      </c>
      <c r="L1214" s="37">
        <f>SUM(F$5:F1214)/SUM(E$5:E1214)</f>
        <v/>
      </c>
    </row>
    <row r="1215">
      <c r="A1215" s="29" t="n">
        <v>45826</v>
      </c>
      <c r="B1215" s="37" t="inlineStr">
        <is>
          <t>JOB-2211</t>
        </is>
      </c>
      <c r="C1215" s="34" t="n">
        <v>1</v>
      </c>
      <c r="D1215" s="37" t="inlineStr">
        <is>
          <t>Tech B</t>
        </is>
      </c>
      <c r="E1215" s="35" t="n">
        <v>3.7</v>
      </c>
      <c r="F1215" s="35" t="n">
        <v>2.9</v>
      </c>
      <c r="G1215" s="37" t="inlineStr">
        <is>
          <t>Y</t>
        </is>
      </c>
      <c r="H1215" s="37" t="inlineStr">
        <is>
          <t>N</t>
        </is>
      </c>
      <c r="I1215" s="37">
        <f>COUNTIF(G$5:G1215,"Y")/COUNTA(G$5:G1215)</f>
        <v/>
      </c>
      <c r="J1215" s="37">
        <f>COUNTIF(H$5:H1215,"Y")/COUNTA(H$5:H1215)</f>
        <v/>
      </c>
      <c r="K1215" s="37">
        <f>AVERAGE(F$5:F1215)</f>
        <v/>
      </c>
      <c r="L1215" s="37">
        <f>SUM(F$5:F1215)/SUM(E$5:E1215)</f>
        <v/>
      </c>
    </row>
    <row r="1216">
      <c r="A1216" s="29" t="n">
        <v>45827</v>
      </c>
      <c r="B1216" s="37" t="inlineStr">
        <is>
          <t>JOB-2212</t>
        </is>
      </c>
      <c r="C1216" s="34" t="n">
        <v>1</v>
      </c>
      <c r="D1216" s="37" t="inlineStr">
        <is>
          <t>Tech B</t>
        </is>
      </c>
      <c r="E1216" s="35" t="n">
        <v>4.3</v>
      </c>
      <c r="F1216" s="35" t="n">
        <v>3.2</v>
      </c>
      <c r="G1216" s="37" t="inlineStr">
        <is>
          <t>N</t>
        </is>
      </c>
      <c r="H1216" s="37" t="inlineStr">
        <is>
          <t>N</t>
        </is>
      </c>
      <c r="I1216" s="37">
        <f>COUNTIF(G$5:G1216,"Y")/COUNTA(G$5:G1216)</f>
        <v/>
      </c>
      <c r="J1216" s="37">
        <f>COUNTIF(H$5:H1216,"Y")/COUNTA(H$5:H1216)</f>
        <v/>
      </c>
      <c r="K1216" s="37">
        <f>AVERAGE(F$5:F1216)</f>
        <v/>
      </c>
      <c r="L1216" s="37">
        <f>SUM(F$5:F1216)/SUM(E$5:E1216)</f>
        <v/>
      </c>
    </row>
    <row r="1217">
      <c r="A1217" s="29" t="n">
        <v>45828</v>
      </c>
      <c r="B1217" s="37" t="inlineStr">
        <is>
          <t>JOB-2213</t>
        </is>
      </c>
      <c r="C1217" s="34" t="n">
        <v>1</v>
      </c>
      <c r="D1217" s="37" t="inlineStr">
        <is>
          <t>Tech H</t>
        </is>
      </c>
      <c r="E1217" s="35" t="n">
        <v>1.7</v>
      </c>
      <c r="F1217" s="35" t="n">
        <v>1.4</v>
      </c>
      <c r="G1217" s="37" t="inlineStr">
        <is>
          <t>Y</t>
        </is>
      </c>
      <c r="H1217" s="37" t="inlineStr">
        <is>
          <t>N</t>
        </is>
      </c>
      <c r="I1217" s="37">
        <f>COUNTIF(G$5:G1217,"Y")/COUNTA(G$5:G1217)</f>
        <v/>
      </c>
      <c r="J1217" s="37">
        <f>COUNTIF(H$5:H1217,"Y")/COUNTA(H$5:H1217)</f>
        <v/>
      </c>
      <c r="K1217" s="37">
        <f>AVERAGE(F$5:F1217)</f>
        <v/>
      </c>
      <c r="L1217" s="37">
        <f>SUM(F$5:F1217)/SUM(E$5:E1217)</f>
        <v/>
      </c>
    </row>
    <row r="1218">
      <c r="A1218" s="29" t="n">
        <v>45824</v>
      </c>
      <c r="B1218" s="37" t="inlineStr">
        <is>
          <t>JOB-2214</t>
        </is>
      </c>
      <c r="C1218" s="34" t="n">
        <v>1</v>
      </c>
      <c r="D1218" s="37" t="inlineStr">
        <is>
          <t>Tech C</t>
        </is>
      </c>
      <c r="E1218" s="35" t="n">
        <v>1.6</v>
      </c>
      <c r="F1218" s="35" t="n">
        <v>1.1</v>
      </c>
      <c r="G1218" s="37" t="inlineStr">
        <is>
          <t>N</t>
        </is>
      </c>
      <c r="H1218" s="37" t="inlineStr">
        <is>
          <t>N</t>
        </is>
      </c>
      <c r="I1218" s="37">
        <f>COUNTIF(G$5:G1218,"Y")/COUNTA(G$5:G1218)</f>
        <v/>
      </c>
      <c r="J1218" s="37">
        <f>COUNTIF(H$5:H1218,"Y")/COUNTA(H$5:H1218)</f>
        <v/>
      </c>
      <c r="K1218" s="37">
        <f>AVERAGE(F$5:F1218)</f>
        <v/>
      </c>
      <c r="L1218" s="37">
        <f>SUM(F$5:F1218)/SUM(E$5:E1218)</f>
        <v/>
      </c>
    </row>
    <row r="1219">
      <c r="A1219" s="29" t="n">
        <v>45825</v>
      </c>
      <c r="B1219" s="37" t="inlineStr">
        <is>
          <t>JOB-2215</t>
        </is>
      </c>
      <c r="C1219" s="34" t="n">
        <v>1</v>
      </c>
      <c r="D1219" s="37" t="inlineStr">
        <is>
          <t>Tech F</t>
        </is>
      </c>
      <c r="E1219" s="35" t="n">
        <v>1.2</v>
      </c>
      <c r="F1219" s="35" t="n">
        <v>1</v>
      </c>
      <c r="G1219" s="37" t="inlineStr">
        <is>
          <t>Y</t>
        </is>
      </c>
      <c r="H1219" s="37" t="inlineStr">
        <is>
          <t>N</t>
        </is>
      </c>
      <c r="I1219" s="37">
        <f>COUNTIF(G$5:G1219,"Y")/COUNTA(G$5:G1219)</f>
        <v/>
      </c>
      <c r="J1219" s="37">
        <f>COUNTIF(H$5:H1219,"Y")/COUNTA(H$5:H1219)</f>
        <v/>
      </c>
      <c r="K1219" s="37">
        <f>AVERAGE(F$5:F1219)</f>
        <v/>
      </c>
      <c r="L1219" s="37">
        <f>SUM(F$5:F1219)/SUM(E$5:E1219)</f>
        <v/>
      </c>
    </row>
    <row r="1220">
      <c r="A1220" s="29" t="n">
        <v>45826</v>
      </c>
      <c r="B1220" s="37" t="inlineStr">
        <is>
          <t>JOB-2216</t>
        </is>
      </c>
      <c r="C1220" s="34" t="n">
        <v>1</v>
      </c>
      <c r="D1220" s="37" t="inlineStr">
        <is>
          <t>Tech H</t>
        </is>
      </c>
      <c r="E1220" s="35" t="n">
        <v>3</v>
      </c>
      <c r="F1220" s="35" t="n">
        <v>2.1</v>
      </c>
      <c r="G1220" s="37" t="inlineStr">
        <is>
          <t>Y</t>
        </is>
      </c>
      <c r="H1220" s="37" t="inlineStr">
        <is>
          <t>N</t>
        </is>
      </c>
      <c r="I1220" s="37">
        <f>COUNTIF(G$5:G1220,"Y")/COUNTA(G$5:G1220)</f>
        <v/>
      </c>
      <c r="J1220" s="37">
        <f>COUNTIF(H$5:H1220,"Y")/COUNTA(H$5:H1220)</f>
        <v/>
      </c>
      <c r="K1220" s="37">
        <f>AVERAGE(F$5:F1220)</f>
        <v/>
      </c>
      <c r="L1220" s="37">
        <f>SUM(F$5:F1220)/SUM(E$5:E1220)</f>
        <v/>
      </c>
    </row>
    <row r="1221">
      <c r="A1221" s="29" t="n">
        <v>45827</v>
      </c>
      <c r="B1221" s="37" t="inlineStr">
        <is>
          <t>JOB-2217</t>
        </is>
      </c>
      <c r="C1221" s="34" t="n">
        <v>1</v>
      </c>
      <c r="D1221" s="37" t="inlineStr">
        <is>
          <t>Tech H</t>
        </is>
      </c>
      <c r="E1221" s="35" t="n">
        <v>5.2</v>
      </c>
      <c r="F1221" s="35" t="n">
        <v>3.6</v>
      </c>
      <c r="G1221" s="37" t="inlineStr">
        <is>
          <t>Y</t>
        </is>
      </c>
      <c r="H1221" s="37" t="inlineStr">
        <is>
          <t>N</t>
        </is>
      </c>
      <c r="I1221" s="37">
        <f>COUNTIF(G$5:G1221,"Y")/COUNTA(G$5:G1221)</f>
        <v/>
      </c>
      <c r="J1221" s="37">
        <f>COUNTIF(H$5:H1221,"Y")/COUNTA(H$5:H1221)</f>
        <v/>
      </c>
      <c r="K1221" s="37">
        <f>AVERAGE(F$5:F1221)</f>
        <v/>
      </c>
      <c r="L1221" s="37">
        <f>SUM(F$5:F1221)/SUM(E$5:E1221)</f>
        <v/>
      </c>
    </row>
    <row r="1222">
      <c r="A1222" s="29" t="n">
        <v>45828</v>
      </c>
      <c r="B1222" s="37" t="inlineStr">
        <is>
          <t>JOB-2218</t>
        </is>
      </c>
      <c r="C1222" s="34" t="n">
        <v>1</v>
      </c>
      <c r="D1222" s="37" t="inlineStr">
        <is>
          <t>Tech H</t>
        </is>
      </c>
      <c r="E1222" s="35" t="n">
        <v>1.8</v>
      </c>
      <c r="F1222" s="35" t="n">
        <v>1.2</v>
      </c>
      <c r="G1222" s="37" t="inlineStr">
        <is>
          <t>Y</t>
        </is>
      </c>
      <c r="H1222" s="37" t="inlineStr">
        <is>
          <t>N</t>
        </is>
      </c>
      <c r="I1222" s="37">
        <f>COUNTIF(G$5:G1222,"Y")/COUNTA(G$5:G1222)</f>
        <v/>
      </c>
      <c r="J1222" s="37">
        <f>COUNTIF(H$5:H1222,"Y")/COUNTA(H$5:H1222)</f>
        <v/>
      </c>
      <c r="K1222" s="37">
        <f>AVERAGE(F$5:F1222)</f>
        <v/>
      </c>
      <c r="L1222" s="37">
        <f>SUM(F$5:F1222)/SUM(E$5:E1222)</f>
        <v/>
      </c>
    </row>
    <row r="1223">
      <c r="A1223" s="29" t="n">
        <v>45824</v>
      </c>
      <c r="B1223" s="37" t="inlineStr">
        <is>
          <t>JOB-2219</t>
        </is>
      </c>
      <c r="C1223" s="34" t="n">
        <v>1</v>
      </c>
      <c r="D1223" s="37" t="inlineStr">
        <is>
          <t>Tech F</t>
        </is>
      </c>
      <c r="E1223" s="35" t="n">
        <v>5.3</v>
      </c>
      <c r="F1223" s="35" t="n">
        <v>3.6</v>
      </c>
      <c r="G1223" s="37" t="inlineStr">
        <is>
          <t>Y</t>
        </is>
      </c>
      <c r="H1223" s="37" t="inlineStr">
        <is>
          <t>N</t>
        </is>
      </c>
      <c r="I1223" s="37">
        <f>COUNTIF(G$5:G1223,"Y")/COUNTA(G$5:G1223)</f>
        <v/>
      </c>
      <c r="J1223" s="37">
        <f>COUNTIF(H$5:H1223,"Y")/COUNTA(H$5:H1223)</f>
        <v/>
      </c>
      <c r="K1223" s="37">
        <f>AVERAGE(F$5:F1223)</f>
        <v/>
      </c>
      <c r="L1223" s="37">
        <f>SUM(F$5:F1223)/SUM(E$5:E1223)</f>
        <v/>
      </c>
    </row>
    <row r="1224">
      <c r="A1224" s="29" t="n">
        <v>45825</v>
      </c>
      <c r="B1224" s="37" t="inlineStr">
        <is>
          <t>JOB-2220</t>
        </is>
      </c>
      <c r="C1224" s="34" t="n">
        <v>1</v>
      </c>
      <c r="D1224" s="37" t="inlineStr">
        <is>
          <t>Tech F</t>
        </is>
      </c>
      <c r="E1224" s="35" t="n">
        <v>2.9</v>
      </c>
      <c r="F1224" s="35" t="n">
        <v>2.3</v>
      </c>
      <c r="G1224" s="37" t="inlineStr">
        <is>
          <t>Y</t>
        </is>
      </c>
      <c r="H1224" s="37" t="inlineStr">
        <is>
          <t>N</t>
        </is>
      </c>
      <c r="I1224" s="37">
        <f>COUNTIF(G$5:G1224,"Y")/COUNTA(G$5:G1224)</f>
        <v/>
      </c>
      <c r="J1224" s="37">
        <f>COUNTIF(H$5:H1224,"Y")/COUNTA(H$5:H1224)</f>
        <v/>
      </c>
      <c r="K1224" s="37">
        <f>AVERAGE(F$5:F1224)</f>
        <v/>
      </c>
      <c r="L1224" s="37">
        <f>SUM(F$5:F1224)/SUM(E$5:E1224)</f>
        <v/>
      </c>
    </row>
    <row r="1225">
      <c r="A1225" s="29" t="n">
        <v>45826</v>
      </c>
      <c r="B1225" s="37" t="inlineStr">
        <is>
          <t>JOB-2221</t>
        </is>
      </c>
      <c r="C1225" s="34" t="n">
        <v>1</v>
      </c>
      <c r="D1225" s="37" t="inlineStr">
        <is>
          <t>Tech G</t>
        </is>
      </c>
      <c r="E1225" s="35" t="n">
        <v>2.7</v>
      </c>
      <c r="F1225" s="35" t="n">
        <v>2.2</v>
      </c>
      <c r="G1225" s="37" t="inlineStr">
        <is>
          <t>Y</t>
        </is>
      </c>
      <c r="H1225" s="37" t="inlineStr">
        <is>
          <t>N</t>
        </is>
      </c>
      <c r="I1225" s="37">
        <f>COUNTIF(G$5:G1225,"Y")/COUNTA(G$5:G1225)</f>
        <v/>
      </c>
      <c r="J1225" s="37">
        <f>COUNTIF(H$5:H1225,"Y")/COUNTA(H$5:H1225)</f>
        <v/>
      </c>
      <c r="K1225" s="37">
        <f>AVERAGE(F$5:F1225)</f>
        <v/>
      </c>
      <c r="L1225" s="37">
        <f>SUM(F$5:F1225)/SUM(E$5:E1225)</f>
        <v/>
      </c>
    </row>
    <row r="1226">
      <c r="A1226" s="29" t="n">
        <v>45827</v>
      </c>
      <c r="B1226" s="37" t="inlineStr">
        <is>
          <t>JOB-2222</t>
        </is>
      </c>
      <c r="C1226" s="34" t="n">
        <v>1</v>
      </c>
      <c r="D1226" s="37" t="inlineStr">
        <is>
          <t>Tech F</t>
        </is>
      </c>
      <c r="E1226" s="35" t="n">
        <v>2.4</v>
      </c>
      <c r="F1226" s="35" t="n">
        <v>2.1</v>
      </c>
      <c r="G1226" s="37" t="inlineStr">
        <is>
          <t>Y</t>
        </is>
      </c>
      <c r="H1226" s="37" t="inlineStr">
        <is>
          <t>N</t>
        </is>
      </c>
      <c r="I1226" s="37">
        <f>COUNTIF(G$5:G1226,"Y")/COUNTA(G$5:G1226)</f>
        <v/>
      </c>
      <c r="J1226" s="37">
        <f>COUNTIF(H$5:H1226,"Y")/COUNTA(H$5:H1226)</f>
        <v/>
      </c>
      <c r="K1226" s="37">
        <f>AVERAGE(F$5:F1226)</f>
        <v/>
      </c>
      <c r="L1226" s="37">
        <f>SUM(F$5:F1226)/SUM(E$5:E1226)</f>
        <v/>
      </c>
    </row>
    <row r="1227">
      <c r="A1227" s="29" t="n">
        <v>45828</v>
      </c>
      <c r="B1227" s="37" t="inlineStr">
        <is>
          <t>JOB-2223</t>
        </is>
      </c>
      <c r="C1227" s="34" t="n">
        <v>1</v>
      </c>
      <c r="D1227" s="37" t="inlineStr">
        <is>
          <t>Tech B</t>
        </is>
      </c>
      <c r="E1227" s="35" t="n">
        <v>3.7</v>
      </c>
      <c r="F1227" s="35" t="n">
        <v>2.9</v>
      </c>
      <c r="G1227" s="37" t="inlineStr">
        <is>
          <t>Y</t>
        </is>
      </c>
      <c r="H1227" s="37" t="inlineStr">
        <is>
          <t>N</t>
        </is>
      </c>
      <c r="I1227" s="37">
        <f>COUNTIF(G$5:G1227,"Y")/COUNTA(G$5:G1227)</f>
        <v/>
      </c>
      <c r="J1227" s="37">
        <f>COUNTIF(H$5:H1227,"Y")/COUNTA(H$5:H1227)</f>
        <v/>
      </c>
      <c r="K1227" s="37">
        <f>AVERAGE(F$5:F1227)</f>
        <v/>
      </c>
      <c r="L1227" s="37">
        <f>SUM(F$5:F1227)/SUM(E$5:E1227)</f>
        <v/>
      </c>
    </row>
    <row r="1228">
      <c r="A1228" s="29" t="n">
        <v>45824</v>
      </c>
      <c r="B1228" s="37" t="inlineStr">
        <is>
          <t>JOB-2224</t>
        </is>
      </c>
      <c r="C1228" s="34" t="n">
        <v>1</v>
      </c>
      <c r="D1228" s="37" t="inlineStr">
        <is>
          <t>Tech D</t>
        </is>
      </c>
      <c r="E1228" s="35" t="n">
        <v>2.5</v>
      </c>
      <c r="F1228" s="35" t="n">
        <v>1.8</v>
      </c>
      <c r="G1228" s="37" t="inlineStr">
        <is>
          <t>N</t>
        </is>
      </c>
      <c r="H1228" s="37" t="inlineStr">
        <is>
          <t>N</t>
        </is>
      </c>
      <c r="I1228" s="37">
        <f>COUNTIF(G$5:G1228,"Y")/COUNTA(G$5:G1228)</f>
        <v/>
      </c>
      <c r="J1228" s="37">
        <f>COUNTIF(H$5:H1228,"Y")/COUNTA(H$5:H1228)</f>
        <v/>
      </c>
      <c r="K1228" s="37">
        <f>AVERAGE(F$5:F1228)</f>
        <v/>
      </c>
      <c r="L1228" s="37">
        <f>SUM(F$5:F1228)/SUM(E$5:E1228)</f>
        <v/>
      </c>
    </row>
    <row r="1229">
      <c r="A1229" s="29" t="n">
        <v>45825</v>
      </c>
      <c r="B1229" s="37" t="inlineStr">
        <is>
          <t>JOB-2225</t>
        </is>
      </c>
      <c r="C1229" s="34" t="n">
        <v>1</v>
      </c>
      <c r="D1229" s="37" t="inlineStr">
        <is>
          <t>Tech H</t>
        </is>
      </c>
      <c r="E1229" s="35" t="n">
        <v>4</v>
      </c>
      <c r="F1229" s="35" t="n">
        <v>2.9</v>
      </c>
      <c r="G1229" s="37" t="inlineStr">
        <is>
          <t>Y</t>
        </is>
      </c>
      <c r="H1229" s="37" t="inlineStr">
        <is>
          <t>N</t>
        </is>
      </c>
      <c r="I1229" s="37">
        <f>COUNTIF(G$5:G1229,"Y")/COUNTA(G$5:G1229)</f>
        <v/>
      </c>
      <c r="J1229" s="37">
        <f>COUNTIF(H$5:H1229,"Y")/COUNTA(H$5:H1229)</f>
        <v/>
      </c>
      <c r="K1229" s="37">
        <f>AVERAGE(F$5:F1229)</f>
        <v/>
      </c>
      <c r="L1229" s="37">
        <f>SUM(F$5:F1229)/SUM(E$5:E1229)</f>
        <v/>
      </c>
    </row>
    <row r="1230">
      <c r="A1230" s="29" t="n">
        <v>45826</v>
      </c>
      <c r="B1230" s="37" t="inlineStr">
        <is>
          <t>JOB-2226</t>
        </is>
      </c>
      <c r="C1230" s="34" t="n">
        <v>1</v>
      </c>
      <c r="D1230" s="37" t="inlineStr">
        <is>
          <t>Tech F</t>
        </is>
      </c>
      <c r="E1230" s="35" t="n">
        <v>3.6</v>
      </c>
      <c r="F1230" s="35" t="n">
        <v>2.4</v>
      </c>
      <c r="G1230" s="37" t="inlineStr">
        <is>
          <t>N</t>
        </is>
      </c>
      <c r="H1230" s="37" t="inlineStr">
        <is>
          <t>N</t>
        </is>
      </c>
      <c r="I1230" s="37">
        <f>COUNTIF(G$5:G1230,"Y")/COUNTA(G$5:G1230)</f>
        <v/>
      </c>
      <c r="J1230" s="37">
        <f>COUNTIF(H$5:H1230,"Y")/COUNTA(H$5:H1230)</f>
        <v/>
      </c>
      <c r="K1230" s="37">
        <f>AVERAGE(F$5:F1230)</f>
        <v/>
      </c>
      <c r="L1230" s="37">
        <f>SUM(F$5:F1230)/SUM(E$5:E1230)</f>
        <v/>
      </c>
    </row>
    <row r="1231">
      <c r="A1231" s="29" t="n">
        <v>45827</v>
      </c>
      <c r="B1231" s="37" t="inlineStr">
        <is>
          <t>JOB-2227</t>
        </is>
      </c>
      <c r="C1231" s="34" t="n">
        <v>1</v>
      </c>
      <c r="D1231" s="37" t="inlineStr">
        <is>
          <t>Tech C</t>
        </is>
      </c>
      <c r="E1231" s="35" t="n">
        <v>4</v>
      </c>
      <c r="F1231" s="35" t="n">
        <v>3</v>
      </c>
      <c r="G1231" s="37" t="inlineStr">
        <is>
          <t>Y</t>
        </is>
      </c>
      <c r="H1231" s="37" t="inlineStr">
        <is>
          <t>N</t>
        </is>
      </c>
      <c r="I1231" s="37">
        <f>COUNTIF(G$5:G1231,"Y")/COUNTA(G$5:G1231)</f>
        <v/>
      </c>
      <c r="J1231" s="37">
        <f>COUNTIF(H$5:H1231,"Y")/COUNTA(H$5:H1231)</f>
        <v/>
      </c>
      <c r="K1231" s="37">
        <f>AVERAGE(F$5:F1231)</f>
        <v/>
      </c>
      <c r="L1231" s="37">
        <f>SUM(F$5:F1231)/SUM(E$5:E1231)</f>
        <v/>
      </c>
    </row>
    <row r="1232">
      <c r="A1232" s="29" t="n">
        <v>45828</v>
      </c>
      <c r="B1232" s="37" t="inlineStr">
        <is>
          <t>JOB-2228</t>
        </is>
      </c>
      <c r="C1232" s="34" t="n">
        <v>1</v>
      </c>
      <c r="D1232" s="37" t="inlineStr">
        <is>
          <t>Tech A</t>
        </is>
      </c>
      <c r="E1232" s="35" t="n">
        <v>3.2</v>
      </c>
      <c r="F1232" s="35" t="n">
        <v>2.2</v>
      </c>
      <c r="G1232" s="37" t="inlineStr">
        <is>
          <t>Y</t>
        </is>
      </c>
      <c r="H1232" s="37" t="inlineStr">
        <is>
          <t>N</t>
        </is>
      </c>
      <c r="I1232" s="37">
        <f>COUNTIF(G$5:G1232,"Y")/COUNTA(G$5:G1232)</f>
        <v/>
      </c>
      <c r="J1232" s="37">
        <f>COUNTIF(H$5:H1232,"Y")/COUNTA(H$5:H1232)</f>
        <v/>
      </c>
      <c r="K1232" s="37">
        <f>AVERAGE(F$5:F1232)</f>
        <v/>
      </c>
      <c r="L1232" s="37">
        <f>SUM(F$5:F1232)/SUM(E$5:E1232)</f>
        <v/>
      </c>
    </row>
    <row r="1233">
      <c r="A1233" s="29" t="n">
        <v>45824</v>
      </c>
      <c r="B1233" s="37" t="inlineStr">
        <is>
          <t>JOB-2229</t>
        </is>
      </c>
      <c r="C1233" s="34" t="n">
        <v>1</v>
      </c>
      <c r="D1233" s="37" t="inlineStr">
        <is>
          <t>Tech A</t>
        </is>
      </c>
      <c r="E1233" s="35" t="n">
        <v>1.7</v>
      </c>
      <c r="F1233" s="35" t="n">
        <v>1.1</v>
      </c>
      <c r="G1233" s="37" t="inlineStr">
        <is>
          <t>Y</t>
        </is>
      </c>
      <c r="H1233" s="37" t="inlineStr">
        <is>
          <t>N</t>
        </is>
      </c>
      <c r="I1233" s="37">
        <f>COUNTIF(G$5:G1233,"Y")/COUNTA(G$5:G1233)</f>
        <v/>
      </c>
      <c r="J1233" s="37">
        <f>COUNTIF(H$5:H1233,"Y")/COUNTA(H$5:H1233)</f>
        <v/>
      </c>
      <c r="K1233" s="37">
        <f>AVERAGE(F$5:F1233)</f>
        <v/>
      </c>
      <c r="L1233" s="37">
        <f>SUM(F$5:F1233)/SUM(E$5:E1233)</f>
        <v/>
      </c>
    </row>
    <row r="1234">
      <c r="A1234" s="29" t="n">
        <v>45825</v>
      </c>
      <c r="B1234" s="37" t="inlineStr">
        <is>
          <t>JOB-2230</t>
        </is>
      </c>
      <c r="C1234" s="34" t="n">
        <v>1</v>
      </c>
      <c r="D1234" s="37" t="inlineStr">
        <is>
          <t>Tech G</t>
        </is>
      </c>
      <c r="E1234" s="35" t="n">
        <v>3</v>
      </c>
      <c r="F1234" s="35" t="n">
        <v>2.3</v>
      </c>
      <c r="G1234" s="37" t="inlineStr">
        <is>
          <t>N</t>
        </is>
      </c>
      <c r="H1234" s="37" t="inlineStr">
        <is>
          <t>N</t>
        </is>
      </c>
      <c r="I1234" s="37">
        <f>COUNTIF(G$5:G1234,"Y")/COUNTA(G$5:G1234)</f>
        <v/>
      </c>
      <c r="J1234" s="37">
        <f>COUNTIF(H$5:H1234,"Y")/COUNTA(H$5:H1234)</f>
        <v/>
      </c>
      <c r="K1234" s="37">
        <f>AVERAGE(F$5:F1234)</f>
        <v/>
      </c>
      <c r="L1234" s="37">
        <f>SUM(F$5:F1234)/SUM(E$5:E1234)</f>
        <v/>
      </c>
    </row>
    <row r="1235">
      <c r="A1235" s="29" t="n">
        <v>45826</v>
      </c>
      <c r="B1235" s="37" t="inlineStr">
        <is>
          <t>JOB-2231</t>
        </is>
      </c>
      <c r="C1235" s="34" t="n">
        <v>1</v>
      </c>
      <c r="D1235" s="37" t="inlineStr">
        <is>
          <t>Tech C</t>
        </is>
      </c>
      <c r="E1235" s="35" t="n">
        <v>3.9</v>
      </c>
      <c r="F1235" s="35" t="n">
        <v>2.9</v>
      </c>
      <c r="G1235" s="37" t="inlineStr">
        <is>
          <t>Y</t>
        </is>
      </c>
      <c r="H1235" s="37" t="inlineStr">
        <is>
          <t>N</t>
        </is>
      </c>
      <c r="I1235" s="37">
        <f>COUNTIF(G$5:G1235,"Y")/COUNTA(G$5:G1235)</f>
        <v/>
      </c>
      <c r="J1235" s="37">
        <f>COUNTIF(H$5:H1235,"Y")/COUNTA(H$5:H1235)</f>
        <v/>
      </c>
      <c r="K1235" s="37">
        <f>AVERAGE(F$5:F1235)</f>
        <v/>
      </c>
      <c r="L1235" s="37">
        <f>SUM(F$5:F1235)/SUM(E$5:E1235)</f>
        <v/>
      </c>
    </row>
    <row r="1236">
      <c r="A1236" s="29" t="n">
        <v>45827</v>
      </c>
      <c r="B1236" s="37" t="inlineStr">
        <is>
          <t>JOB-2232</t>
        </is>
      </c>
      <c r="C1236" s="34" t="n">
        <v>1</v>
      </c>
      <c r="D1236" s="37" t="inlineStr">
        <is>
          <t>Tech C</t>
        </is>
      </c>
      <c r="E1236" s="35" t="n">
        <v>3.2</v>
      </c>
      <c r="F1236" s="35" t="n">
        <v>2.3</v>
      </c>
      <c r="G1236" s="37" t="inlineStr">
        <is>
          <t>Y</t>
        </is>
      </c>
      <c r="H1236" s="37" t="inlineStr">
        <is>
          <t>N</t>
        </is>
      </c>
      <c r="I1236" s="37">
        <f>COUNTIF(G$5:G1236,"Y")/COUNTA(G$5:G1236)</f>
        <v/>
      </c>
      <c r="J1236" s="37">
        <f>COUNTIF(H$5:H1236,"Y")/COUNTA(H$5:H1236)</f>
        <v/>
      </c>
      <c r="K1236" s="37">
        <f>AVERAGE(F$5:F1236)</f>
        <v/>
      </c>
      <c r="L1236" s="37">
        <f>SUM(F$5:F1236)/SUM(E$5:E1236)</f>
        <v/>
      </c>
    </row>
    <row r="1237">
      <c r="A1237" s="29" t="n">
        <v>45828</v>
      </c>
      <c r="B1237" s="37" t="inlineStr">
        <is>
          <t>JOB-2233</t>
        </is>
      </c>
      <c r="C1237" s="34" t="n">
        <v>1</v>
      </c>
      <c r="D1237" s="37" t="inlineStr">
        <is>
          <t>Tech C</t>
        </is>
      </c>
      <c r="E1237" s="35" t="n">
        <v>1.4</v>
      </c>
      <c r="F1237" s="35" t="n">
        <v>1.1</v>
      </c>
      <c r="G1237" s="37" t="inlineStr">
        <is>
          <t>Y</t>
        </is>
      </c>
      <c r="H1237" s="37" t="inlineStr">
        <is>
          <t>N</t>
        </is>
      </c>
      <c r="I1237" s="37">
        <f>COUNTIF(G$5:G1237,"Y")/COUNTA(G$5:G1237)</f>
        <v/>
      </c>
      <c r="J1237" s="37">
        <f>COUNTIF(H$5:H1237,"Y")/COUNTA(H$5:H1237)</f>
        <v/>
      </c>
      <c r="K1237" s="37">
        <f>AVERAGE(F$5:F1237)</f>
        <v/>
      </c>
      <c r="L1237" s="37">
        <f>SUM(F$5:F1237)/SUM(E$5:E1237)</f>
        <v/>
      </c>
    </row>
    <row r="1238">
      <c r="A1238" s="29" t="n">
        <v>45824</v>
      </c>
      <c r="B1238" s="37" t="inlineStr">
        <is>
          <t>JOB-2234</t>
        </is>
      </c>
      <c r="C1238" s="34" t="n">
        <v>1</v>
      </c>
      <c r="D1238" s="37" t="inlineStr">
        <is>
          <t>Tech D</t>
        </is>
      </c>
      <c r="E1238" s="35" t="n">
        <v>2.5</v>
      </c>
      <c r="F1238" s="35" t="n">
        <v>2</v>
      </c>
      <c r="G1238" s="37" t="inlineStr">
        <is>
          <t>Y</t>
        </is>
      </c>
      <c r="H1238" s="37" t="inlineStr">
        <is>
          <t>Y</t>
        </is>
      </c>
      <c r="I1238" s="37">
        <f>COUNTIF(G$5:G1238,"Y")/COUNTA(G$5:G1238)</f>
        <v/>
      </c>
      <c r="J1238" s="37">
        <f>COUNTIF(H$5:H1238,"Y")/COUNTA(H$5:H1238)</f>
        <v/>
      </c>
      <c r="K1238" s="37">
        <f>AVERAGE(F$5:F1238)</f>
        <v/>
      </c>
      <c r="L1238" s="37">
        <f>SUM(F$5:F1238)/SUM(E$5:E1238)</f>
        <v/>
      </c>
    </row>
    <row r="1239">
      <c r="A1239" s="29" t="n">
        <v>45825</v>
      </c>
      <c r="B1239" s="37" t="inlineStr">
        <is>
          <t>JOB-2235</t>
        </is>
      </c>
      <c r="C1239" s="34" t="n">
        <v>1</v>
      </c>
      <c r="D1239" s="37" t="inlineStr">
        <is>
          <t>Tech G</t>
        </is>
      </c>
      <c r="E1239" s="35" t="n">
        <v>3</v>
      </c>
      <c r="F1239" s="35" t="n">
        <v>3.1</v>
      </c>
      <c r="G1239" s="37" t="inlineStr">
        <is>
          <t>Y</t>
        </is>
      </c>
      <c r="H1239" s="37" t="inlineStr">
        <is>
          <t>N</t>
        </is>
      </c>
      <c r="I1239" s="37">
        <f>COUNTIF(G$5:G1239,"Y")/COUNTA(G$5:G1239)</f>
        <v/>
      </c>
      <c r="J1239" s="37">
        <f>COUNTIF(H$5:H1239,"Y")/COUNTA(H$5:H1239)</f>
        <v/>
      </c>
      <c r="K1239" s="37">
        <f>AVERAGE(F$5:F1239)</f>
        <v/>
      </c>
      <c r="L1239" s="37">
        <f>SUM(F$5:F1239)/SUM(E$5:E1239)</f>
        <v/>
      </c>
    </row>
    <row r="1240">
      <c r="A1240" s="29" t="n">
        <v>45826</v>
      </c>
      <c r="B1240" s="37" t="inlineStr">
        <is>
          <t>JOB-2236</t>
        </is>
      </c>
      <c r="C1240" s="34" t="n">
        <v>1</v>
      </c>
      <c r="D1240" s="37" t="inlineStr">
        <is>
          <t>Tech A</t>
        </is>
      </c>
      <c r="E1240" s="35" t="n">
        <v>0.5</v>
      </c>
      <c r="F1240" s="35" t="n">
        <v>0.5</v>
      </c>
      <c r="G1240" s="37" t="inlineStr">
        <is>
          <t>Y</t>
        </is>
      </c>
      <c r="H1240" s="37" t="inlineStr">
        <is>
          <t>N</t>
        </is>
      </c>
      <c r="I1240" s="37">
        <f>COUNTIF(G$5:G1240,"Y")/COUNTA(G$5:G1240)</f>
        <v/>
      </c>
      <c r="J1240" s="37">
        <f>COUNTIF(H$5:H1240,"Y")/COUNTA(H$5:H1240)</f>
        <v/>
      </c>
      <c r="K1240" s="37">
        <f>AVERAGE(F$5:F1240)</f>
        <v/>
      </c>
      <c r="L1240" s="37">
        <f>SUM(F$5:F1240)/SUM(E$5:E1240)</f>
        <v/>
      </c>
    </row>
    <row r="1241">
      <c r="A1241" s="29" t="n">
        <v>45827</v>
      </c>
      <c r="B1241" s="37" t="inlineStr">
        <is>
          <t>JOB-2237</t>
        </is>
      </c>
      <c r="C1241" s="34" t="n">
        <v>1</v>
      </c>
      <c r="D1241" s="37" t="inlineStr">
        <is>
          <t>Tech G</t>
        </is>
      </c>
      <c r="E1241" s="35" t="n">
        <v>0.5</v>
      </c>
      <c r="F1241" s="35" t="n">
        <v>0.5</v>
      </c>
      <c r="G1241" s="37" t="inlineStr">
        <is>
          <t>Y</t>
        </is>
      </c>
      <c r="H1241" s="37" t="inlineStr">
        <is>
          <t>N</t>
        </is>
      </c>
      <c r="I1241" s="37">
        <f>COUNTIF(G$5:G1241,"Y")/COUNTA(G$5:G1241)</f>
        <v/>
      </c>
      <c r="J1241" s="37">
        <f>COUNTIF(H$5:H1241,"Y")/COUNTA(H$5:H1241)</f>
        <v/>
      </c>
      <c r="K1241" s="37">
        <f>AVERAGE(F$5:F1241)</f>
        <v/>
      </c>
      <c r="L1241" s="37">
        <f>SUM(F$5:F1241)/SUM(E$5:E1241)</f>
        <v/>
      </c>
    </row>
    <row r="1242">
      <c r="A1242" s="29" t="n">
        <v>45828</v>
      </c>
      <c r="B1242" s="37" t="inlineStr">
        <is>
          <t>JOB-2238</t>
        </is>
      </c>
      <c r="C1242" s="34" t="n">
        <v>1</v>
      </c>
      <c r="D1242" s="37" t="inlineStr">
        <is>
          <t>Tech D</t>
        </is>
      </c>
      <c r="E1242" s="35" t="n">
        <v>0.5</v>
      </c>
      <c r="F1242" s="35" t="n">
        <v>0.5</v>
      </c>
      <c r="G1242" s="37" t="inlineStr">
        <is>
          <t>Y</t>
        </is>
      </c>
      <c r="H1242" s="37" t="inlineStr">
        <is>
          <t>N</t>
        </is>
      </c>
      <c r="I1242" s="37">
        <f>COUNTIF(G$5:G1242,"Y")/COUNTA(G$5:G1242)</f>
        <v/>
      </c>
      <c r="J1242" s="37">
        <f>COUNTIF(H$5:H1242,"Y")/COUNTA(H$5:H1242)</f>
        <v/>
      </c>
      <c r="K1242" s="37">
        <f>AVERAGE(F$5:F1242)</f>
        <v/>
      </c>
      <c r="L1242" s="37">
        <f>SUM(F$5:F1242)/SUM(E$5:E1242)</f>
        <v/>
      </c>
    </row>
    <row r="1243">
      <c r="A1243" s="29" t="n">
        <v>45824</v>
      </c>
      <c r="B1243" s="37" t="inlineStr">
        <is>
          <t>JOB-2239</t>
        </is>
      </c>
      <c r="C1243" s="34" t="n">
        <v>1</v>
      </c>
      <c r="D1243" s="37" t="inlineStr">
        <is>
          <t>Tech G</t>
        </is>
      </c>
      <c r="E1243" s="35" t="n">
        <v>0.5</v>
      </c>
      <c r="F1243" s="35" t="n">
        <v>0.5</v>
      </c>
      <c r="G1243" s="37" t="inlineStr">
        <is>
          <t>Y</t>
        </is>
      </c>
      <c r="H1243" s="37" t="inlineStr">
        <is>
          <t>N</t>
        </is>
      </c>
      <c r="I1243" s="37">
        <f>COUNTIF(G$5:G1243,"Y")/COUNTA(G$5:G1243)</f>
        <v/>
      </c>
      <c r="J1243" s="37">
        <f>COUNTIF(H$5:H1243,"Y")/COUNTA(H$5:H1243)</f>
        <v/>
      </c>
      <c r="K1243" s="37">
        <f>AVERAGE(F$5:F1243)</f>
        <v/>
      </c>
      <c r="L1243" s="37">
        <f>SUM(F$5:F1243)/SUM(E$5:E1243)</f>
        <v/>
      </c>
    </row>
    <row r="1244">
      <c r="A1244" s="29" t="n">
        <v>45825</v>
      </c>
      <c r="B1244" s="37" t="inlineStr">
        <is>
          <t>JOB-2240</t>
        </is>
      </c>
      <c r="C1244" s="34" t="n">
        <v>1</v>
      </c>
      <c r="D1244" s="37" t="inlineStr">
        <is>
          <t>Tech F</t>
        </is>
      </c>
      <c r="E1244" s="35" t="n">
        <v>0.5</v>
      </c>
      <c r="F1244" s="35" t="n">
        <v>0.5</v>
      </c>
      <c r="G1244" s="37" t="inlineStr">
        <is>
          <t>Y</t>
        </is>
      </c>
      <c r="H1244" s="37" t="inlineStr">
        <is>
          <t>N</t>
        </is>
      </c>
      <c r="I1244" s="37">
        <f>COUNTIF(G$5:G1244,"Y")/COUNTA(G$5:G1244)</f>
        <v/>
      </c>
      <c r="J1244" s="37">
        <f>COUNTIF(H$5:H1244,"Y")/COUNTA(H$5:H1244)</f>
        <v/>
      </c>
      <c r="K1244" s="37">
        <f>AVERAGE(F$5:F1244)</f>
        <v/>
      </c>
      <c r="L1244" s="37">
        <f>SUM(F$5:F1244)/SUM(E$5:E1244)</f>
        <v/>
      </c>
    </row>
    <row r="1245">
      <c r="A1245" s="29" t="n">
        <v>45826</v>
      </c>
      <c r="B1245" s="37" t="inlineStr">
        <is>
          <t>JOB-2241</t>
        </is>
      </c>
      <c r="C1245" s="34" t="n">
        <v>1</v>
      </c>
      <c r="D1245" s="37" t="inlineStr">
        <is>
          <t>Tech A</t>
        </is>
      </c>
      <c r="E1245" s="35" t="n">
        <v>0.5</v>
      </c>
      <c r="F1245" s="35" t="n">
        <v>0.5</v>
      </c>
      <c r="G1245" s="37" t="inlineStr">
        <is>
          <t>Y</t>
        </is>
      </c>
      <c r="H1245" s="37" t="inlineStr">
        <is>
          <t>N</t>
        </is>
      </c>
      <c r="I1245" s="37">
        <f>COUNTIF(G$5:G1245,"Y")/COUNTA(G$5:G1245)</f>
        <v/>
      </c>
      <c r="J1245" s="37">
        <f>COUNTIF(H$5:H1245,"Y")/COUNTA(H$5:H1245)</f>
        <v/>
      </c>
      <c r="K1245" s="37">
        <f>AVERAGE(F$5:F1245)</f>
        <v/>
      </c>
      <c r="L1245" s="37">
        <f>SUM(F$5:F1245)/SUM(E$5:E1245)</f>
        <v/>
      </c>
    </row>
    <row r="1246">
      <c r="A1246" s="29" t="n">
        <v>45827</v>
      </c>
      <c r="B1246" s="37" t="inlineStr">
        <is>
          <t>JOB-2242</t>
        </is>
      </c>
      <c r="C1246" s="34" t="n">
        <v>1</v>
      </c>
      <c r="D1246" s="37" t="inlineStr">
        <is>
          <t>Tech C</t>
        </is>
      </c>
      <c r="E1246" s="35" t="n">
        <v>0.5</v>
      </c>
      <c r="F1246" s="35" t="n">
        <v>0.5</v>
      </c>
      <c r="G1246" s="37" t="inlineStr">
        <is>
          <t>Y</t>
        </is>
      </c>
      <c r="H1246" s="37" t="inlineStr">
        <is>
          <t>N</t>
        </is>
      </c>
      <c r="I1246" s="37">
        <f>COUNTIF(G$5:G1246,"Y")/COUNTA(G$5:G1246)</f>
        <v/>
      </c>
      <c r="J1246" s="37">
        <f>COUNTIF(H$5:H1246,"Y")/COUNTA(H$5:H1246)</f>
        <v/>
      </c>
      <c r="K1246" s="37">
        <f>AVERAGE(F$5:F1246)</f>
        <v/>
      </c>
      <c r="L1246" s="37">
        <f>SUM(F$5:F1246)/SUM(E$5:E1246)</f>
        <v/>
      </c>
      <c r="M1246" s="37" t="n">
        <v>13</v>
      </c>
    </row>
    <row r="1247">
      <c r="A1247" s="29" t="n">
        <v>45831</v>
      </c>
      <c r="B1247" s="37" t="inlineStr">
        <is>
          <t>JOB-2243</t>
        </is>
      </c>
      <c r="C1247" s="34" t="n">
        <v>1</v>
      </c>
      <c r="D1247" s="37" t="inlineStr">
        <is>
          <t>Tech B</t>
        </is>
      </c>
      <c r="E1247" s="35" t="n">
        <v>2.7</v>
      </c>
      <c r="F1247" s="35" t="n">
        <v>2.3</v>
      </c>
      <c r="G1247" s="37" t="inlineStr">
        <is>
          <t>Y</t>
        </is>
      </c>
      <c r="H1247" s="37" t="inlineStr">
        <is>
          <t>N</t>
        </is>
      </c>
      <c r="I1247" s="37">
        <f>COUNTIF(G$5:G1247,"Y")/COUNTA(G$5:G1247)</f>
        <v/>
      </c>
      <c r="J1247" s="37">
        <f>COUNTIF(H$5:H1247,"Y")/COUNTA(H$5:H1247)</f>
        <v/>
      </c>
      <c r="K1247" s="37">
        <f>AVERAGE(F$5:F1247)</f>
        <v/>
      </c>
      <c r="L1247" s="37">
        <f>SUM(F$5:F1247)/SUM(E$5:E1247)</f>
        <v/>
      </c>
    </row>
    <row r="1248">
      <c r="A1248" s="29" t="n">
        <v>45832</v>
      </c>
      <c r="B1248" s="37" t="inlineStr">
        <is>
          <t>JOB-2244</t>
        </is>
      </c>
      <c r="C1248" s="34" t="n">
        <v>1</v>
      </c>
      <c r="D1248" s="37" t="inlineStr">
        <is>
          <t>Tech F</t>
        </is>
      </c>
      <c r="E1248" s="35" t="n">
        <v>4.2</v>
      </c>
      <c r="F1248" s="35" t="n">
        <v>3.4</v>
      </c>
      <c r="G1248" s="37" t="inlineStr">
        <is>
          <t>Y</t>
        </is>
      </c>
      <c r="H1248" s="37" t="inlineStr">
        <is>
          <t>N</t>
        </is>
      </c>
      <c r="I1248" s="37">
        <f>COUNTIF(G$5:G1248,"Y")/COUNTA(G$5:G1248)</f>
        <v/>
      </c>
      <c r="J1248" s="37">
        <f>COUNTIF(H$5:H1248,"Y")/COUNTA(H$5:H1248)</f>
        <v/>
      </c>
      <c r="K1248" s="37">
        <f>AVERAGE(F$5:F1248)</f>
        <v/>
      </c>
      <c r="L1248" s="37">
        <f>SUM(F$5:F1248)/SUM(E$5:E1248)</f>
        <v/>
      </c>
    </row>
    <row r="1249">
      <c r="A1249" s="29" t="n">
        <v>45833</v>
      </c>
      <c r="B1249" s="37" t="inlineStr">
        <is>
          <t>JOB-2245</t>
        </is>
      </c>
      <c r="C1249" s="34" t="n">
        <v>1</v>
      </c>
      <c r="D1249" s="37" t="inlineStr">
        <is>
          <t>Tech C</t>
        </is>
      </c>
      <c r="E1249" s="35" t="n">
        <v>2.6</v>
      </c>
      <c r="F1249" s="35" t="n">
        <v>2.2</v>
      </c>
      <c r="G1249" s="37" t="inlineStr">
        <is>
          <t>N</t>
        </is>
      </c>
      <c r="H1249" s="37" t="inlineStr">
        <is>
          <t>N</t>
        </is>
      </c>
      <c r="I1249" s="37">
        <f>COUNTIF(G$5:G1249,"Y")/COUNTA(G$5:G1249)</f>
        <v/>
      </c>
      <c r="J1249" s="37">
        <f>COUNTIF(H$5:H1249,"Y")/COUNTA(H$5:H1249)</f>
        <v/>
      </c>
      <c r="K1249" s="37">
        <f>AVERAGE(F$5:F1249)</f>
        <v/>
      </c>
      <c r="L1249" s="37">
        <f>SUM(F$5:F1249)/SUM(E$5:E1249)</f>
        <v/>
      </c>
    </row>
    <row r="1250">
      <c r="A1250" s="29" t="n">
        <v>45834</v>
      </c>
      <c r="B1250" s="37" t="inlineStr">
        <is>
          <t>JOB-2246</t>
        </is>
      </c>
      <c r="C1250" s="34" t="n">
        <v>1</v>
      </c>
      <c r="D1250" s="37" t="inlineStr">
        <is>
          <t>Tech F</t>
        </is>
      </c>
      <c r="E1250" s="35" t="n">
        <v>1.8</v>
      </c>
      <c r="F1250" s="35" t="n">
        <v>1.6</v>
      </c>
      <c r="G1250" s="37" t="inlineStr">
        <is>
          <t>Y</t>
        </is>
      </c>
      <c r="H1250" s="37" t="inlineStr">
        <is>
          <t>N</t>
        </is>
      </c>
      <c r="I1250" s="37">
        <f>COUNTIF(G$5:G1250,"Y")/COUNTA(G$5:G1250)</f>
        <v/>
      </c>
      <c r="J1250" s="37">
        <f>COUNTIF(H$5:H1250,"Y")/COUNTA(H$5:H1250)</f>
        <v/>
      </c>
      <c r="K1250" s="37">
        <f>AVERAGE(F$5:F1250)</f>
        <v/>
      </c>
      <c r="L1250" s="37">
        <f>SUM(F$5:F1250)/SUM(E$5:E1250)</f>
        <v/>
      </c>
    </row>
    <row r="1251">
      <c r="A1251" s="29" t="n">
        <v>45835</v>
      </c>
      <c r="B1251" s="37" t="inlineStr">
        <is>
          <t>JOB-2247</t>
        </is>
      </c>
      <c r="C1251" s="34" t="n">
        <v>1</v>
      </c>
      <c r="D1251" s="37" t="inlineStr">
        <is>
          <t>Tech C</t>
        </is>
      </c>
      <c r="E1251" s="35" t="n">
        <v>3.9</v>
      </c>
      <c r="F1251" s="35" t="n">
        <v>2.6</v>
      </c>
      <c r="G1251" s="37" t="inlineStr">
        <is>
          <t>Y</t>
        </is>
      </c>
      <c r="H1251" s="37" t="inlineStr">
        <is>
          <t>N</t>
        </is>
      </c>
      <c r="I1251" s="37">
        <f>COUNTIF(G$5:G1251,"Y")/COUNTA(G$5:G1251)</f>
        <v/>
      </c>
      <c r="J1251" s="37">
        <f>COUNTIF(H$5:H1251,"Y")/COUNTA(H$5:H1251)</f>
        <v/>
      </c>
      <c r="K1251" s="37">
        <f>AVERAGE(F$5:F1251)</f>
        <v/>
      </c>
      <c r="L1251" s="37">
        <f>SUM(F$5:F1251)/SUM(E$5:E1251)</f>
        <v/>
      </c>
    </row>
    <row r="1252">
      <c r="A1252" s="29" t="n">
        <v>45831</v>
      </c>
      <c r="B1252" s="37" t="inlineStr">
        <is>
          <t>JOB-2248</t>
        </is>
      </c>
      <c r="C1252" s="34" t="n">
        <v>1</v>
      </c>
      <c r="D1252" s="37" t="inlineStr">
        <is>
          <t>Tech C</t>
        </is>
      </c>
      <c r="E1252" s="35" t="n">
        <v>2.9</v>
      </c>
      <c r="F1252" s="35" t="n">
        <v>2.5</v>
      </c>
      <c r="G1252" s="37" t="inlineStr">
        <is>
          <t>Y</t>
        </is>
      </c>
      <c r="H1252" s="37" t="inlineStr">
        <is>
          <t>N</t>
        </is>
      </c>
      <c r="I1252" s="37">
        <f>COUNTIF(G$5:G1252,"Y")/COUNTA(G$5:G1252)</f>
        <v/>
      </c>
      <c r="J1252" s="37">
        <f>COUNTIF(H$5:H1252,"Y")/COUNTA(H$5:H1252)</f>
        <v/>
      </c>
      <c r="K1252" s="37">
        <f>AVERAGE(F$5:F1252)</f>
        <v/>
      </c>
      <c r="L1252" s="37">
        <f>SUM(F$5:F1252)/SUM(E$5:E1252)</f>
        <v/>
      </c>
    </row>
    <row r="1253">
      <c r="A1253" s="29" t="n">
        <v>45832</v>
      </c>
      <c r="B1253" s="37" t="inlineStr">
        <is>
          <t>JOB-2249</t>
        </is>
      </c>
      <c r="C1253" s="34" t="n">
        <v>1</v>
      </c>
      <c r="D1253" s="37" t="inlineStr">
        <is>
          <t>Tech B</t>
        </is>
      </c>
      <c r="E1253" s="35" t="n">
        <v>4</v>
      </c>
      <c r="F1253" s="35" t="n">
        <v>3</v>
      </c>
      <c r="G1253" s="37" t="inlineStr">
        <is>
          <t>N</t>
        </is>
      </c>
      <c r="H1253" s="37" t="inlineStr">
        <is>
          <t>N</t>
        </is>
      </c>
      <c r="I1253" s="37">
        <f>COUNTIF(G$5:G1253,"Y")/COUNTA(G$5:G1253)</f>
        <v/>
      </c>
      <c r="J1253" s="37">
        <f>COUNTIF(H$5:H1253,"Y")/COUNTA(H$5:H1253)</f>
        <v/>
      </c>
      <c r="K1253" s="37">
        <f>AVERAGE(F$5:F1253)</f>
        <v/>
      </c>
      <c r="L1253" s="37">
        <f>SUM(F$5:F1253)/SUM(E$5:E1253)</f>
        <v/>
      </c>
    </row>
    <row r="1254">
      <c r="A1254" s="29" t="n">
        <v>45833</v>
      </c>
      <c r="B1254" s="37" t="inlineStr">
        <is>
          <t>JOB-2250</t>
        </is>
      </c>
      <c r="C1254" s="34" t="n">
        <v>1</v>
      </c>
      <c r="D1254" s="37" t="inlineStr">
        <is>
          <t>Tech H</t>
        </is>
      </c>
      <c r="E1254" s="35" t="n">
        <v>4.4</v>
      </c>
      <c r="F1254" s="35" t="n">
        <v>3.2</v>
      </c>
      <c r="G1254" s="37" t="inlineStr">
        <is>
          <t>Y</t>
        </is>
      </c>
      <c r="H1254" s="37" t="inlineStr">
        <is>
          <t>N</t>
        </is>
      </c>
      <c r="I1254" s="37">
        <f>COUNTIF(G$5:G1254,"Y")/COUNTA(G$5:G1254)</f>
        <v/>
      </c>
      <c r="J1254" s="37">
        <f>COUNTIF(H$5:H1254,"Y")/COUNTA(H$5:H1254)</f>
        <v/>
      </c>
      <c r="K1254" s="37">
        <f>AVERAGE(F$5:F1254)</f>
        <v/>
      </c>
      <c r="L1254" s="37">
        <f>SUM(F$5:F1254)/SUM(E$5:E1254)</f>
        <v/>
      </c>
    </row>
    <row r="1255">
      <c r="A1255" s="29" t="n">
        <v>45834</v>
      </c>
      <c r="B1255" s="37" t="inlineStr">
        <is>
          <t>JOB-2251</t>
        </is>
      </c>
      <c r="C1255" s="34" t="n">
        <v>1</v>
      </c>
      <c r="D1255" s="37" t="inlineStr">
        <is>
          <t>Tech G</t>
        </is>
      </c>
      <c r="E1255" s="35" t="n">
        <v>3.2</v>
      </c>
      <c r="F1255" s="35" t="n">
        <v>2.2</v>
      </c>
      <c r="G1255" s="37" t="inlineStr">
        <is>
          <t>Y</t>
        </is>
      </c>
      <c r="H1255" s="37" t="inlineStr">
        <is>
          <t>N</t>
        </is>
      </c>
      <c r="I1255" s="37">
        <f>COUNTIF(G$5:G1255,"Y")/COUNTA(G$5:G1255)</f>
        <v/>
      </c>
      <c r="J1255" s="37">
        <f>COUNTIF(H$5:H1255,"Y")/COUNTA(H$5:H1255)</f>
        <v/>
      </c>
      <c r="K1255" s="37">
        <f>AVERAGE(F$5:F1255)</f>
        <v/>
      </c>
      <c r="L1255" s="37">
        <f>SUM(F$5:F1255)/SUM(E$5:E1255)</f>
        <v/>
      </c>
    </row>
    <row r="1256">
      <c r="A1256" s="29" t="n">
        <v>45835</v>
      </c>
      <c r="B1256" s="37" t="inlineStr">
        <is>
          <t>JOB-2252</t>
        </is>
      </c>
      <c r="C1256" s="34" t="n">
        <v>1</v>
      </c>
      <c r="D1256" s="37" t="inlineStr">
        <is>
          <t>Tech C</t>
        </is>
      </c>
      <c r="E1256" s="35" t="n">
        <v>2.4</v>
      </c>
      <c r="F1256" s="35" t="n">
        <v>1.8</v>
      </c>
      <c r="G1256" s="37" t="inlineStr">
        <is>
          <t>Y</t>
        </is>
      </c>
      <c r="H1256" s="37" t="inlineStr">
        <is>
          <t>Y</t>
        </is>
      </c>
      <c r="I1256" s="37">
        <f>COUNTIF(G$5:G1256,"Y")/COUNTA(G$5:G1256)</f>
        <v/>
      </c>
      <c r="J1256" s="37">
        <f>COUNTIF(H$5:H1256,"Y")/COUNTA(H$5:H1256)</f>
        <v/>
      </c>
      <c r="K1256" s="37">
        <f>AVERAGE(F$5:F1256)</f>
        <v/>
      </c>
      <c r="L1256" s="37">
        <f>SUM(F$5:F1256)/SUM(E$5:E1256)</f>
        <v/>
      </c>
    </row>
    <row r="1257">
      <c r="A1257" s="29" t="n">
        <v>45831</v>
      </c>
      <c r="B1257" s="37" t="inlineStr">
        <is>
          <t>JOB-2253</t>
        </is>
      </c>
      <c r="C1257" s="34" t="n">
        <v>1</v>
      </c>
      <c r="D1257" s="37" t="inlineStr">
        <is>
          <t>Tech F</t>
        </is>
      </c>
      <c r="E1257" s="35" t="n">
        <v>4.1</v>
      </c>
      <c r="F1257" s="35" t="n">
        <v>2.8</v>
      </c>
      <c r="G1257" s="37" t="inlineStr">
        <is>
          <t>Y</t>
        </is>
      </c>
      <c r="H1257" s="37" t="inlineStr">
        <is>
          <t>N</t>
        </is>
      </c>
      <c r="I1257" s="37">
        <f>COUNTIF(G$5:G1257,"Y")/COUNTA(G$5:G1257)</f>
        <v/>
      </c>
      <c r="J1257" s="37">
        <f>COUNTIF(H$5:H1257,"Y")/COUNTA(H$5:H1257)</f>
        <v/>
      </c>
      <c r="K1257" s="37">
        <f>AVERAGE(F$5:F1257)</f>
        <v/>
      </c>
      <c r="L1257" s="37">
        <f>SUM(F$5:F1257)/SUM(E$5:E1257)</f>
        <v/>
      </c>
    </row>
    <row r="1258">
      <c r="A1258" s="29" t="n">
        <v>45832</v>
      </c>
      <c r="B1258" s="37" t="inlineStr">
        <is>
          <t>JOB-2254</t>
        </is>
      </c>
      <c r="C1258" s="34" t="n">
        <v>1</v>
      </c>
      <c r="D1258" s="37" t="inlineStr">
        <is>
          <t>Tech B</t>
        </is>
      </c>
      <c r="E1258" s="35" t="n">
        <v>3.5</v>
      </c>
      <c r="F1258" s="35" t="n">
        <v>2.7</v>
      </c>
      <c r="G1258" s="37" t="inlineStr">
        <is>
          <t>Y</t>
        </is>
      </c>
      <c r="H1258" s="37" t="inlineStr">
        <is>
          <t>N</t>
        </is>
      </c>
      <c r="I1258" s="37">
        <f>COUNTIF(G$5:G1258,"Y")/COUNTA(G$5:G1258)</f>
        <v/>
      </c>
      <c r="J1258" s="37">
        <f>COUNTIF(H$5:H1258,"Y")/COUNTA(H$5:H1258)</f>
        <v/>
      </c>
      <c r="K1258" s="37">
        <f>AVERAGE(F$5:F1258)</f>
        <v/>
      </c>
      <c r="L1258" s="37">
        <f>SUM(F$5:F1258)/SUM(E$5:E1258)</f>
        <v/>
      </c>
    </row>
    <row r="1259">
      <c r="A1259" s="29" t="n">
        <v>45833</v>
      </c>
      <c r="B1259" s="37" t="inlineStr">
        <is>
          <t>JOB-2255</t>
        </is>
      </c>
      <c r="C1259" s="34" t="n">
        <v>1</v>
      </c>
      <c r="D1259" s="37" t="inlineStr">
        <is>
          <t>Tech B</t>
        </is>
      </c>
      <c r="E1259" s="35" t="n">
        <v>3.9</v>
      </c>
      <c r="F1259" s="35" t="n">
        <v>3</v>
      </c>
      <c r="G1259" s="37" t="inlineStr">
        <is>
          <t>Y</t>
        </is>
      </c>
      <c r="H1259" s="37" t="inlineStr">
        <is>
          <t>N</t>
        </is>
      </c>
      <c r="I1259" s="37">
        <f>COUNTIF(G$5:G1259,"Y")/COUNTA(G$5:G1259)</f>
        <v/>
      </c>
      <c r="J1259" s="37">
        <f>COUNTIF(H$5:H1259,"Y")/COUNTA(H$5:H1259)</f>
        <v/>
      </c>
      <c r="K1259" s="37">
        <f>AVERAGE(F$5:F1259)</f>
        <v/>
      </c>
      <c r="L1259" s="37">
        <f>SUM(F$5:F1259)/SUM(E$5:E1259)</f>
        <v/>
      </c>
    </row>
    <row r="1260">
      <c r="A1260" s="29" t="n">
        <v>45834</v>
      </c>
      <c r="B1260" s="37" t="inlineStr">
        <is>
          <t>JOB-2256</t>
        </is>
      </c>
      <c r="C1260" s="34" t="n">
        <v>1</v>
      </c>
      <c r="D1260" s="37" t="inlineStr">
        <is>
          <t>Tech A</t>
        </is>
      </c>
      <c r="E1260" s="35" t="n">
        <v>4.8</v>
      </c>
      <c r="F1260" s="35" t="n">
        <v>3.3</v>
      </c>
      <c r="G1260" s="37" t="inlineStr">
        <is>
          <t>N</t>
        </is>
      </c>
      <c r="H1260" s="37" t="inlineStr">
        <is>
          <t>N</t>
        </is>
      </c>
      <c r="I1260" s="37">
        <f>COUNTIF(G$5:G1260,"Y")/COUNTA(G$5:G1260)</f>
        <v/>
      </c>
      <c r="J1260" s="37">
        <f>COUNTIF(H$5:H1260,"Y")/COUNTA(H$5:H1260)</f>
        <v/>
      </c>
      <c r="K1260" s="37">
        <f>AVERAGE(F$5:F1260)</f>
        <v/>
      </c>
      <c r="L1260" s="37">
        <f>SUM(F$5:F1260)/SUM(E$5:E1260)</f>
        <v/>
      </c>
    </row>
    <row r="1261">
      <c r="A1261" s="29" t="n">
        <v>45835</v>
      </c>
      <c r="B1261" s="37" t="inlineStr">
        <is>
          <t>JOB-2257</t>
        </is>
      </c>
      <c r="C1261" s="34" t="n">
        <v>1</v>
      </c>
      <c r="D1261" s="37" t="inlineStr">
        <is>
          <t>Tech C</t>
        </is>
      </c>
      <c r="E1261" s="35" t="n">
        <v>2.1</v>
      </c>
      <c r="F1261" s="35" t="n">
        <v>1.7</v>
      </c>
      <c r="G1261" s="37" t="inlineStr">
        <is>
          <t>Y</t>
        </is>
      </c>
      <c r="H1261" s="37" t="inlineStr">
        <is>
          <t>N</t>
        </is>
      </c>
      <c r="I1261" s="37">
        <f>COUNTIF(G$5:G1261,"Y")/COUNTA(G$5:G1261)</f>
        <v/>
      </c>
      <c r="J1261" s="37">
        <f>COUNTIF(H$5:H1261,"Y")/COUNTA(H$5:H1261)</f>
        <v/>
      </c>
      <c r="K1261" s="37">
        <f>AVERAGE(F$5:F1261)</f>
        <v/>
      </c>
      <c r="L1261" s="37">
        <f>SUM(F$5:F1261)/SUM(E$5:E1261)</f>
        <v/>
      </c>
    </row>
    <row r="1262">
      <c r="A1262" s="29" t="n">
        <v>45831</v>
      </c>
      <c r="B1262" s="37" t="inlineStr">
        <is>
          <t>JOB-2258</t>
        </is>
      </c>
      <c r="C1262" s="34" t="n">
        <v>1</v>
      </c>
      <c r="D1262" s="37" t="inlineStr">
        <is>
          <t>Tech F</t>
        </is>
      </c>
      <c r="E1262" s="35" t="n">
        <v>1.9</v>
      </c>
      <c r="F1262" s="35" t="n">
        <v>1.6</v>
      </c>
      <c r="G1262" s="37" t="inlineStr">
        <is>
          <t>Y</t>
        </is>
      </c>
      <c r="H1262" s="37" t="inlineStr">
        <is>
          <t>N</t>
        </is>
      </c>
      <c r="I1262" s="37">
        <f>COUNTIF(G$5:G1262,"Y")/COUNTA(G$5:G1262)</f>
        <v/>
      </c>
      <c r="J1262" s="37">
        <f>COUNTIF(H$5:H1262,"Y")/COUNTA(H$5:H1262)</f>
        <v/>
      </c>
      <c r="K1262" s="37">
        <f>AVERAGE(F$5:F1262)</f>
        <v/>
      </c>
      <c r="L1262" s="37">
        <f>SUM(F$5:F1262)/SUM(E$5:E1262)</f>
        <v/>
      </c>
    </row>
    <row r="1263">
      <c r="A1263" s="29" t="n">
        <v>45832</v>
      </c>
      <c r="B1263" s="37" t="inlineStr">
        <is>
          <t>JOB-2259</t>
        </is>
      </c>
      <c r="C1263" s="34" t="n">
        <v>1</v>
      </c>
      <c r="D1263" s="37" t="inlineStr">
        <is>
          <t>Tech C</t>
        </is>
      </c>
      <c r="E1263" s="35" t="n">
        <v>3.3</v>
      </c>
      <c r="F1263" s="35" t="n">
        <v>2.3</v>
      </c>
      <c r="G1263" s="37" t="inlineStr">
        <is>
          <t>Y</t>
        </is>
      </c>
      <c r="H1263" s="37" t="inlineStr">
        <is>
          <t>N</t>
        </is>
      </c>
      <c r="I1263" s="37">
        <f>COUNTIF(G$5:G1263,"Y")/COUNTA(G$5:G1263)</f>
        <v/>
      </c>
      <c r="J1263" s="37">
        <f>COUNTIF(H$5:H1263,"Y")/COUNTA(H$5:H1263)</f>
        <v/>
      </c>
      <c r="K1263" s="37">
        <f>AVERAGE(F$5:F1263)</f>
        <v/>
      </c>
      <c r="L1263" s="37">
        <f>SUM(F$5:F1263)/SUM(E$5:E1263)</f>
        <v/>
      </c>
    </row>
    <row r="1264">
      <c r="A1264" s="29" t="n">
        <v>45833</v>
      </c>
      <c r="B1264" s="37" t="inlineStr">
        <is>
          <t>JOB-2260</t>
        </is>
      </c>
      <c r="C1264" s="34" t="n">
        <v>1</v>
      </c>
      <c r="D1264" s="37" t="inlineStr">
        <is>
          <t>Tech F</t>
        </is>
      </c>
      <c r="E1264" s="35" t="n">
        <v>3.7</v>
      </c>
      <c r="F1264" s="35" t="n">
        <v>3.1</v>
      </c>
      <c r="G1264" s="37" t="inlineStr">
        <is>
          <t>Y</t>
        </is>
      </c>
      <c r="H1264" s="37" t="inlineStr">
        <is>
          <t>N</t>
        </is>
      </c>
      <c r="I1264" s="37">
        <f>COUNTIF(G$5:G1264,"Y")/COUNTA(G$5:G1264)</f>
        <v/>
      </c>
      <c r="J1264" s="37">
        <f>COUNTIF(H$5:H1264,"Y")/COUNTA(H$5:H1264)</f>
        <v/>
      </c>
      <c r="K1264" s="37">
        <f>AVERAGE(F$5:F1264)</f>
        <v/>
      </c>
      <c r="L1264" s="37">
        <f>SUM(F$5:F1264)/SUM(E$5:E1264)</f>
        <v/>
      </c>
    </row>
    <row r="1265">
      <c r="A1265" s="29" t="n">
        <v>45834</v>
      </c>
      <c r="B1265" s="37" t="inlineStr">
        <is>
          <t>JOB-2261</t>
        </is>
      </c>
      <c r="C1265" s="34" t="n">
        <v>1</v>
      </c>
      <c r="D1265" s="37" t="inlineStr">
        <is>
          <t>Tech D</t>
        </is>
      </c>
      <c r="E1265" s="35" t="n">
        <v>3.4</v>
      </c>
      <c r="F1265" s="35" t="n">
        <v>2.7</v>
      </c>
      <c r="G1265" s="37" t="inlineStr">
        <is>
          <t>Y</t>
        </is>
      </c>
      <c r="H1265" s="37" t="inlineStr">
        <is>
          <t>N</t>
        </is>
      </c>
      <c r="I1265" s="37">
        <f>COUNTIF(G$5:G1265,"Y")/COUNTA(G$5:G1265)</f>
        <v/>
      </c>
      <c r="J1265" s="37">
        <f>COUNTIF(H$5:H1265,"Y")/COUNTA(H$5:H1265)</f>
        <v/>
      </c>
      <c r="K1265" s="37">
        <f>AVERAGE(F$5:F1265)</f>
        <v/>
      </c>
      <c r="L1265" s="37">
        <f>SUM(F$5:F1265)/SUM(E$5:E1265)</f>
        <v/>
      </c>
    </row>
    <row r="1266">
      <c r="A1266" s="29" t="n">
        <v>45835</v>
      </c>
      <c r="B1266" s="37" t="inlineStr">
        <is>
          <t>JOB-2262</t>
        </is>
      </c>
      <c r="C1266" s="34" t="n">
        <v>1</v>
      </c>
      <c r="D1266" s="37" t="inlineStr">
        <is>
          <t>Tech A</t>
        </is>
      </c>
      <c r="E1266" s="35" t="n">
        <v>1.5</v>
      </c>
      <c r="F1266" s="35" t="n">
        <v>1.2</v>
      </c>
      <c r="G1266" s="37" t="inlineStr">
        <is>
          <t>Y</t>
        </is>
      </c>
      <c r="H1266" s="37" t="inlineStr">
        <is>
          <t>N</t>
        </is>
      </c>
      <c r="I1266" s="37">
        <f>COUNTIF(G$5:G1266,"Y")/COUNTA(G$5:G1266)</f>
        <v/>
      </c>
      <c r="J1266" s="37">
        <f>COUNTIF(H$5:H1266,"Y")/COUNTA(H$5:H1266)</f>
        <v/>
      </c>
      <c r="K1266" s="37">
        <f>AVERAGE(F$5:F1266)</f>
        <v/>
      </c>
      <c r="L1266" s="37">
        <f>SUM(F$5:F1266)/SUM(E$5:E1266)</f>
        <v/>
      </c>
    </row>
    <row r="1267">
      <c r="A1267" s="29" t="n">
        <v>45831</v>
      </c>
      <c r="B1267" s="37" t="inlineStr">
        <is>
          <t>JOB-2263</t>
        </is>
      </c>
      <c r="C1267" s="34" t="n">
        <v>1</v>
      </c>
      <c r="D1267" s="37" t="inlineStr">
        <is>
          <t>Tech B</t>
        </is>
      </c>
      <c r="E1267" s="35" t="n">
        <v>3.9</v>
      </c>
      <c r="F1267" s="35" t="n">
        <v>3.3</v>
      </c>
      <c r="G1267" s="37" t="inlineStr">
        <is>
          <t>Y</t>
        </is>
      </c>
      <c r="H1267" s="37" t="inlineStr">
        <is>
          <t>N</t>
        </is>
      </c>
      <c r="I1267" s="37">
        <f>COUNTIF(G$5:G1267,"Y")/COUNTA(G$5:G1267)</f>
        <v/>
      </c>
      <c r="J1267" s="37">
        <f>COUNTIF(H$5:H1267,"Y")/COUNTA(H$5:H1267)</f>
        <v/>
      </c>
      <c r="K1267" s="37">
        <f>AVERAGE(F$5:F1267)</f>
        <v/>
      </c>
      <c r="L1267" s="37">
        <f>SUM(F$5:F1267)/SUM(E$5:E1267)</f>
        <v/>
      </c>
    </row>
    <row r="1268">
      <c r="A1268" s="29" t="n">
        <v>45832</v>
      </c>
      <c r="B1268" s="37" t="inlineStr">
        <is>
          <t>JOB-2264</t>
        </is>
      </c>
      <c r="C1268" s="34" t="n">
        <v>1</v>
      </c>
      <c r="D1268" s="37" t="inlineStr">
        <is>
          <t>Tech A</t>
        </is>
      </c>
      <c r="E1268" s="35" t="n">
        <v>3.9</v>
      </c>
      <c r="F1268" s="35" t="n">
        <v>2.8</v>
      </c>
      <c r="G1268" s="37" t="inlineStr">
        <is>
          <t>Y</t>
        </is>
      </c>
      <c r="H1268" s="37" t="inlineStr">
        <is>
          <t>N</t>
        </is>
      </c>
      <c r="I1268" s="37">
        <f>COUNTIF(G$5:G1268,"Y")/COUNTA(G$5:G1268)</f>
        <v/>
      </c>
      <c r="J1268" s="37">
        <f>COUNTIF(H$5:H1268,"Y")/COUNTA(H$5:H1268)</f>
        <v/>
      </c>
      <c r="K1268" s="37">
        <f>AVERAGE(F$5:F1268)</f>
        <v/>
      </c>
      <c r="L1268" s="37">
        <f>SUM(F$5:F1268)/SUM(E$5:E1268)</f>
        <v/>
      </c>
    </row>
    <row r="1269">
      <c r="A1269" s="29" t="n">
        <v>45833</v>
      </c>
      <c r="B1269" s="37" t="inlineStr">
        <is>
          <t>JOB-2265</t>
        </is>
      </c>
      <c r="C1269" s="34" t="n">
        <v>1</v>
      </c>
      <c r="D1269" s="37" t="inlineStr">
        <is>
          <t>Tech D</t>
        </is>
      </c>
      <c r="E1269" s="35" t="n">
        <v>1.9</v>
      </c>
      <c r="F1269" s="35" t="n">
        <v>1.7</v>
      </c>
      <c r="G1269" s="37" t="inlineStr">
        <is>
          <t>Y</t>
        </is>
      </c>
      <c r="H1269" s="37" t="inlineStr">
        <is>
          <t>N</t>
        </is>
      </c>
      <c r="I1269" s="37">
        <f>COUNTIF(G$5:G1269,"Y")/COUNTA(G$5:G1269)</f>
        <v/>
      </c>
      <c r="J1269" s="37">
        <f>COUNTIF(H$5:H1269,"Y")/COUNTA(H$5:H1269)</f>
        <v/>
      </c>
      <c r="K1269" s="37">
        <f>AVERAGE(F$5:F1269)</f>
        <v/>
      </c>
      <c r="L1269" s="37">
        <f>SUM(F$5:F1269)/SUM(E$5:E1269)</f>
        <v/>
      </c>
    </row>
    <row r="1270">
      <c r="A1270" s="29" t="n">
        <v>45834</v>
      </c>
      <c r="B1270" s="37" t="inlineStr">
        <is>
          <t>JOB-2266</t>
        </is>
      </c>
      <c r="C1270" s="34" t="n">
        <v>1</v>
      </c>
      <c r="D1270" s="37" t="inlineStr">
        <is>
          <t>Tech H</t>
        </is>
      </c>
      <c r="E1270" s="35" t="n">
        <v>2.5</v>
      </c>
      <c r="F1270" s="35" t="n">
        <v>1.9</v>
      </c>
      <c r="G1270" s="37" t="inlineStr">
        <is>
          <t>Y</t>
        </is>
      </c>
      <c r="H1270" s="37" t="inlineStr">
        <is>
          <t>N</t>
        </is>
      </c>
      <c r="I1270" s="37">
        <f>COUNTIF(G$5:G1270,"Y")/COUNTA(G$5:G1270)</f>
        <v/>
      </c>
      <c r="J1270" s="37">
        <f>COUNTIF(H$5:H1270,"Y")/COUNTA(H$5:H1270)</f>
        <v/>
      </c>
      <c r="K1270" s="37">
        <f>AVERAGE(F$5:F1270)</f>
        <v/>
      </c>
      <c r="L1270" s="37">
        <f>SUM(F$5:F1270)/SUM(E$5:E1270)</f>
        <v/>
      </c>
    </row>
    <row r="1271">
      <c r="A1271" s="29" t="n">
        <v>45835</v>
      </c>
      <c r="B1271" s="37" t="inlineStr">
        <is>
          <t>JOB-2267</t>
        </is>
      </c>
      <c r="C1271" s="34" t="n">
        <v>1</v>
      </c>
      <c r="D1271" s="37" t="inlineStr">
        <is>
          <t>Tech A</t>
        </is>
      </c>
      <c r="E1271" s="35" t="n">
        <v>3.6</v>
      </c>
      <c r="F1271" s="35" t="n">
        <v>3.1</v>
      </c>
      <c r="G1271" s="37" t="inlineStr">
        <is>
          <t>Y</t>
        </is>
      </c>
      <c r="H1271" s="37" t="inlineStr">
        <is>
          <t>N</t>
        </is>
      </c>
      <c r="I1271" s="37">
        <f>COUNTIF(G$5:G1271,"Y")/COUNTA(G$5:G1271)</f>
        <v/>
      </c>
      <c r="J1271" s="37">
        <f>COUNTIF(H$5:H1271,"Y")/COUNTA(H$5:H1271)</f>
        <v/>
      </c>
      <c r="K1271" s="37">
        <f>AVERAGE(F$5:F1271)</f>
        <v/>
      </c>
      <c r="L1271" s="37">
        <f>SUM(F$5:F1271)/SUM(E$5:E1271)</f>
        <v/>
      </c>
    </row>
    <row r="1272">
      <c r="A1272" s="29" t="n">
        <v>45831</v>
      </c>
      <c r="B1272" s="37" t="inlineStr">
        <is>
          <t>JOB-2268</t>
        </is>
      </c>
      <c r="C1272" s="34" t="n">
        <v>1</v>
      </c>
      <c r="D1272" s="37" t="inlineStr">
        <is>
          <t>Tech A</t>
        </is>
      </c>
      <c r="E1272" s="35" t="n">
        <v>2.5</v>
      </c>
      <c r="F1272" s="35" t="n">
        <v>2</v>
      </c>
      <c r="G1272" s="37" t="inlineStr">
        <is>
          <t>Y</t>
        </is>
      </c>
      <c r="H1272" s="37" t="inlineStr">
        <is>
          <t>N</t>
        </is>
      </c>
      <c r="I1272" s="37">
        <f>COUNTIF(G$5:G1272,"Y")/COUNTA(G$5:G1272)</f>
        <v/>
      </c>
      <c r="J1272" s="37">
        <f>COUNTIF(H$5:H1272,"Y")/COUNTA(H$5:H1272)</f>
        <v/>
      </c>
      <c r="K1272" s="37">
        <f>AVERAGE(F$5:F1272)</f>
        <v/>
      </c>
      <c r="L1272" s="37">
        <f>SUM(F$5:F1272)/SUM(E$5:E1272)</f>
        <v/>
      </c>
    </row>
    <row r="1273">
      <c r="A1273" s="29" t="n">
        <v>45832</v>
      </c>
      <c r="B1273" s="37" t="inlineStr">
        <is>
          <t>JOB-2269</t>
        </is>
      </c>
      <c r="C1273" s="34" t="n">
        <v>1</v>
      </c>
      <c r="D1273" s="37" t="inlineStr">
        <is>
          <t>Tech D</t>
        </is>
      </c>
      <c r="E1273" s="35" t="n">
        <v>3.9</v>
      </c>
      <c r="F1273" s="35" t="n">
        <v>2.6</v>
      </c>
      <c r="G1273" s="37" t="inlineStr">
        <is>
          <t>Y</t>
        </is>
      </c>
      <c r="H1273" s="37" t="inlineStr">
        <is>
          <t>N</t>
        </is>
      </c>
      <c r="I1273" s="37">
        <f>COUNTIF(G$5:G1273,"Y")/COUNTA(G$5:G1273)</f>
        <v/>
      </c>
      <c r="J1273" s="37">
        <f>COUNTIF(H$5:H1273,"Y")/COUNTA(H$5:H1273)</f>
        <v/>
      </c>
      <c r="K1273" s="37">
        <f>AVERAGE(F$5:F1273)</f>
        <v/>
      </c>
      <c r="L1273" s="37">
        <f>SUM(F$5:F1273)/SUM(E$5:E1273)</f>
        <v/>
      </c>
    </row>
    <row r="1274">
      <c r="A1274" s="29" t="n">
        <v>45833</v>
      </c>
      <c r="B1274" s="37" t="inlineStr">
        <is>
          <t>JOB-2270</t>
        </is>
      </c>
      <c r="C1274" s="34" t="n">
        <v>1</v>
      </c>
      <c r="D1274" s="37" t="inlineStr">
        <is>
          <t>Tech A</t>
        </is>
      </c>
      <c r="E1274" s="35" t="n">
        <v>3.9</v>
      </c>
      <c r="F1274" s="35" t="n">
        <v>3.3</v>
      </c>
      <c r="G1274" s="37" t="inlineStr">
        <is>
          <t>Y</t>
        </is>
      </c>
      <c r="H1274" s="37" t="inlineStr">
        <is>
          <t>N</t>
        </is>
      </c>
      <c r="I1274" s="37">
        <f>COUNTIF(G$5:G1274,"Y")/COUNTA(G$5:G1274)</f>
        <v/>
      </c>
      <c r="J1274" s="37">
        <f>COUNTIF(H$5:H1274,"Y")/COUNTA(H$5:H1274)</f>
        <v/>
      </c>
      <c r="K1274" s="37">
        <f>AVERAGE(F$5:F1274)</f>
        <v/>
      </c>
      <c r="L1274" s="37">
        <f>SUM(F$5:F1274)/SUM(E$5:E1274)</f>
        <v/>
      </c>
    </row>
    <row r="1275">
      <c r="A1275" s="29" t="n">
        <v>45834</v>
      </c>
      <c r="B1275" s="37" t="inlineStr">
        <is>
          <t>JOB-2271</t>
        </is>
      </c>
      <c r="C1275" s="34" t="n">
        <v>1</v>
      </c>
      <c r="D1275" s="37" t="inlineStr">
        <is>
          <t>Tech A</t>
        </is>
      </c>
      <c r="E1275" s="35" t="n">
        <v>4.9</v>
      </c>
      <c r="F1275" s="35" t="n">
        <v>3.3</v>
      </c>
      <c r="G1275" s="37" t="inlineStr">
        <is>
          <t>Y</t>
        </is>
      </c>
      <c r="H1275" s="37" t="inlineStr">
        <is>
          <t>N</t>
        </is>
      </c>
      <c r="I1275" s="37">
        <f>COUNTIF(G$5:G1275,"Y")/COUNTA(G$5:G1275)</f>
        <v/>
      </c>
      <c r="J1275" s="37">
        <f>COUNTIF(H$5:H1275,"Y")/COUNTA(H$5:H1275)</f>
        <v/>
      </c>
      <c r="K1275" s="37">
        <f>AVERAGE(F$5:F1275)</f>
        <v/>
      </c>
      <c r="L1275" s="37">
        <f>SUM(F$5:F1275)/SUM(E$5:E1275)</f>
        <v/>
      </c>
    </row>
    <row r="1276">
      <c r="A1276" s="29" t="n">
        <v>45835</v>
      </c>
      <c r="B1276" s="37" t="inlineStr">
        <is>
          <t>JOB-2272</t>
        </is>
      </c>
      <c r="C1276" s="34" t="n">
        <v>1</v>
      </c>
      <c r="D1276" s="37" t="inlineStr">
        <is>
          <t>Tech D</t>
        </is>
      </c>
      <c r="E1276" s="35" t="n">
        <v>3.1</v>
      </c>
      <c r="F1276" s="35" t="n">
        <v>2.4</v>
      </c>
      <c r="G1276" s="37" t="inlineStr">
        <is>
          <t>Y</t>
        </is>
      </c>
      <c r="H1276" s="37" t="inlineStr">
        <is>
          <t>N</t>
        </is>
      </c>
      <c r="I1276" s="37">
        <f>COUNTIF(G$5:G1276,"Y")/COUNTA(G$5:G1276)</f>
        <v/>
      </c>
      <c r="J1276" s="37">
        <f>COUNTIF(H$5:H1276,"Y")/COUNTA(H$5:H1276)</f>
        <v/>
      </c>
      <c r="K1276" s="37">
        <f>AVERAGE(F$5:F1276)</f>
        <v/>
      </c>
      <c r="L1276" s="37">
        <f>SUM(F$5:F1276)/SUM(E$5:E1276)</f>
        <v/>
      </c>
    </row>
    <row r="1277">
      <c r="A1277" s="29" t="n">
        <v>45831</v>
      </c>
      <c r="B1277" s="37" t="inlineStr">
        <is>
          <t>JOB-2273</t>
        </is>
      </c>
      <c r="C1277" s="34" t="n">
        <v>1</v>
      </c>
      <c r="D1277" s="37" t="inlineStr">
        <is>
          <t>Tech D</t>
        </is>
      </c>
      <c r="E1277" s="35" t="n">
        <v>1.3</v>
      </c>
      <c r="F1277" s="35" t="n">
        <v>1.1</v>
      </c>
      <c r="G1277" s="37" t="inlineStr">
        <is>
          <t>N</t>
        </is>
      </c>
      <c r="H1277" s="37" t="inlineStr">
        <is>
          <t>N</t>
        </is>
      </c>
      <c r="I1277" s="37">
        <f>COUNTIF(G$5:G1277,"Y")/COUNTA(G$5:G1277)</f>
        <v/>
      </c>
      <c r="J1277" s="37">
        <f>COUNTIF(H$5:H1277,"Y")/COUNTA(H$5:H1277)</f>
        <v/>
      </c>
      <c r="K1277" s="37">
        <f>AVERAGE(F$5:F1277)</f>
        <v/>
      </c>
      <c r="L1277" s="37">
        <f>SUM(F$5:F1277)/SUM(E$5:E1277)</f>
        <v/>
      </c>
    </row>
    <row r="1278">
      <c r="A1278" s="29" t="n">
        <v>45832</v>
      </c>
      <c r="B1278" s="37" t="inlineStr">
        <is>
          <t>JOB-2274</t>
        </is>
      </c>
      <c r="C1278" s="34" t="n">
        <v>1</v>
      </c>
      <c r="D1278" s="37" t="inlineStr">
        <is>
          <t>Tech B</t>
        </is>
      </c>
      <c r="E1278" s="35" t="n">
        <v>1.9</v>
      </c>
      <c r="F1278" s="35" t="n">
        <v>1.5</v>
      </c>
      <c r="G1278" s="37" t="inlineStr">
        <is>
          <t>Y</t>
        </is>
      </c>
      <c r="H1278" s="37" t="inlineStr">
        <is>
          <t>N</t>
        </is>
      </c>
      <c r="I1278" s="37">
        <f>COUNTIF(G$5:G1278,"Y")/COUNTA(G$5:G1278)</f>
        <v/>
      </c>
      <c r="J1278" s="37">
        <f>COUNTIF(H$5:H1278,"Y")/COUNTA(H$5:H1278)</f>
        <v/>
      </c>
      <c r="K1278" s="37">
        <f>AVERAGE(F$5:F1278)</f>
        <v/>
      </c>
      <c r="L1278" s="37">
        <f>SUM(F$5:F1278)/SUM(E$5:E1278)</f>
        <v/>
      </c>
    </row>
    <row r="1279">
      <c r="A1279" s="29" t="n">
        <v>45833</v>
      </c>
      <c r="B1279" s="37" t="inlineStr">
        <is>
          <t>JOB-2275</t>
        </is>
      </c>
      <c r="C1279" s="34" t="n">
        <v>1</v>
      </c>
      <c r="D1279" s="37" t="inlineStr">
        <is>
          <t>Tech H</t>
        </is>
      </c>
      <c r="E1279" s="35" t="n">
        <v>5</v>
      </c>
      <c r="F1279" s="35" t="n">
        <v>3.4</v>
      </c>
      <c r="G1279" s="37" t="inlineStr">
        <is>
          <t>Y</t>
        </is>
      </c>
      <c r="H1279" s="37" t="inlineStr">
        <is>
          <t>N</t>
        </is>
      </c>
      <c r="I1279" s="37">
        <f>COUNTIF(G$5:G1279,"Y")/COUNTA(G$5:G1279)</f>
        <v/>
      </c>
      <c r="J1279" s="37">
        <f>COUNTIF(H$5:H1279,"Y")/COUNTA(H$5:H1279)</f>
        <v/>
      </c>
      <c r="K1279" s="37">
        <f>AVERAGE(F$5:F1279)</f>
        <v/>
      </c>
      <c r="L1279" s="37">
        <f>SUM(F$5:F1279)/SUM(E$5:E1279)</f>
        <v/>
      </c>
    </row>
    <row r="1280">
      <c r="A1280" s="29" t="n">
        <v>45834</v>
      </c>
      <c r="B1280" s="37" t="inlineStr">
        <is>
          <t>JOB-2276</t>
        </is>
      </c>
      <c r="C1280" s="34" t="n">
        <v>1</v>
      </c>
      <c r="D1280" s="37" t="inlineStr">
        <is>
          <t>Tech F</t>
        </is>
      </c>
      <c r="E1280" s="35" t="n">
        <v>3.3</v>
      </c>
      <c r="F1280" s="35" t="n">
        <v>2.3</v>
      </c>
      <c r="G1280" s="37" t="inlineStr">
        <is>
          <t>Y</t>
        </is>
      </c>
      <c r="H1280" s="37" t="inlineStr">
        <is>
          <t>N</t>
        </is>
      </c>
      <c r="I1280" s="37">
        <f>COUNTIF(G$5:G1280,"Y")/COUNTA(G$5:G1280)</f>
        <v/>
      </c>
      <c r="J1280" s="37">
        <f>COUNTIF(H$5:H1280,"Y")/COUNTA(H$5:H1280)</f>
        <v/>
      </c>
      <c r="K1280" s="37">
        <f>AVERAGE(F$5:F1280)</f>
        <v/>
      </c>
      <c r="L1280" s="37">
        <f>SUM(F$5:F1280)/SUM(E$5:E1280)</f>
        <v/>
      </c>
    </row>
    <row r="1281">
      <c r="A1281" s="29" t="n">
        <v>45835</v>
      </c>
      <c r="B1281" s="37" t="inlineStr">
        <is>
          <t>JOB-2277</t>
        </is>
      </c>
      <c r="C1281" s="34" t="n">
        <v>1</v>
      </c>
      <c r="D1281" s="37" t="inlineStr">
        <is>
          <t>Tech F</t>
        </is>
      </c>
      <c r="E1281" s="35" t="n">
        <v>4.1</v>
      </c>
      <c r="F1281" s="35" t="n">
        <v>3.6</v>
      </c>
      <c r="G1281" s="37" t="inlineStr">
        <is>
          <t>Y</t>
        </is>
      </c>
      <c r="H1281" s="37" t="inlineStr">
        <is>
          <t>N</t>
        </is>
      </c>
      <c r="I1281" s="37">
        <f>COUNTIF(G$5:G1281,"Y")/COUNTA(G$5:G1281)</f>
        <v/>
      </c>
      <c r="J1281" s="37">
        <f>COUNTIF(H$5:H1281,"Y")/COUNTA(H$5:H1281)</f>
        <v/>
      </c>
      <c r="K1281" s="37">
        <f>AVERAGE(F$5:F1281)</f>
        <v/>
      </c>
      <c r="L1281" s="37">
        <f>SUM(F$5:F1281)/SUM(E$5:E1281)</f>
        <v/>
      </c>
    </row>
    <row r="1282">
      <c r="A1282" s="29" t="n">
        <v>45831</v>
      </c>
      <c r="B1282" s="37" t="inlineStr">
        <is>
          <t>JOB-2278</t>
        </is>
      </c>
      <c r="C1282" s="34" t="n">
        <v>1</v>
      </c>
      <c r="D1282" s="37" t="inlineStr">
        <is>
          <t>Tech H</t>
        </is>
      </c>
      <c r="E1282" s="35" t="n">
        <v>1.2</v>
      </c>
      <c r="F1282" s="35" t="n">
        <v>0.9</v>
      </c>
      <c r="G1282" s="37" t="inlineStr">
        <is>
          <t>Y</t>
        </is>
      </c>
      <c r="H1282" s="37" t="inlineStr">
        <is>
          <t>N</t>
        </is>
      </c>
      <c r="I1282" s="37">
        <f>COUNTIF(G$5:G1282,"Y")/COUNTA(G$5:G1282)</f>
        <v/>
      </c>
      <c r="J1282" s="37">
        <f>COUNTIF(H$5:H1282,"Y")/COUNTA(H$5:H1282)</f>
        <v/>
      </c>
      <c r="K1282" s="37">
        <f>AVERAGE(F$5:F1282)</f>
        <v/>
      </c>
      <c r="L1282" s="37">
        <f>SUM(F$5:F1282)/SUM(E$5:E1282)</f>
        <v/>
      </c>
    </row>
    <row r="1283">
      <c r="A1283" s="29" t="n">
        <v>45832</v>
      </c>
      <c r="B1283" s="37" t="inlineStr">
        <is>
          <t>JOB-2279</t>
        </is>
      </c>
      <c r="C1283" s="34" t="n">
        <v>1</v>
      </c>
      <c r="D1283" s="37" t="inlineStr">
        <is>
          <t>Tech G</t>
        </is>
      </c>
      <c r="E1283" s="35" t="n">
        <v>0.7</v>
      </c>
      <c r="F1283" s="35" t="n">
        <v>0.5</v>
      </c>
      <c r="G1283" s="37" t="inlineStr">
        <is>
          <t>Y</t>
        </is>
      </c>
      <c r="H1283" s="37" t="inlineStr">
        <is>
          <t>N</t>
        </is>
      </c>
      <c r="I1283" s="37">
        <f>COUNTIF(G$5:G1283,"Y")/COUNTA(G$5:G1283)</f>
        <v/>
      </c>
      <c r="J1283" s="37">
        <f>COUNTIF(H$5:H1283,"Y")/COUNTA(H$5:H1283)</f>
        <v/>
      </c>
      <c r="K1283" s="37">
        <f>AVERAGE(F$5:F1283)</f>
        <v/>
      </c>
      <c r="L1283" s="37">
        <f>SUM(F$5:F1283)/SUM(E$5:E1283)</f>
        <v/>
      </c>
    </row>
    <row r="1284">
      <c r="A1284" s="29" t="n">
        <v>45833</v>
      </c>
      <c r="B1284" s="37" t="inlineStr">
        <is>
          <t>JOB-2280</t>
        </is>
      </c>
      <c r="C1284" s="34" t="n">
        <v>1</v>
      </c>
      <c r="D1284" s="37" t="inlineStr">
        <is>
          <t>Tech H</t>
        </is>
      </c>
      <c r="E1284" s="35" t="n">
        <v>0.7</v>
      </c>
      <c r="F1284" s="35" t="n">
        <v>0.5</v>
      </c>
      <c r="G1284" s="37" t="inlineStr">
        <is>
          <t>Y</t>
        </is>
      </c>
      <c r="H1284" s="37" t="inlineStr">
        <is>
          <t>Y</t>
        </is>
      </c>
      <c r="I1284" s="37">
        <f>COUNTIF(G$5:G1284,"Y")/COUNTA(G$5:G1284)</f>
        <v/>
      </c>
      <c r="J1284" s="37">
        <f>COUNTIF(H$5:H1284,"Y")/COUNTA(H$5:H1284)</f>
        <v/>
      </c>
      <c r="K1284" s="37">
        <f>AVERAGE(F$5:F1284)</f>
        <v/>
      </c>
      <c r="L1284" s="37">
        <f>SUM(F$5:F1284)/SUM(E$5:E1284)</f>
        <v/>
      </c>
    </row>
    <row r="1285">
      <c r="A1285" s="29" t="n">
        <v>45834</v>
      </c>
      <c r="B1285" s="37" t="inlineStr">
        <is>
          <t>JOB-2281</t>
        </is>
      </c>
      <c r="C1285" s="34" t="n">
        <v>1</v>
      </c>
      <c r="D1285" s="37" t="inlineStr">
        <is>
          <t>Tech H</t>
        </is>
      </c>
      <c r="E1285" s="35" t="n">
        <v>0.7</v>
      </c>
      <c r="F1285" s="35" t="n">
        <v>0.5</v>
      </c>
      <c r="G1285" s="37" t="inlineStr">
        <is>
          <t>Y</t>
        </is>
      </c>
      <c r="H1285" s="37" t="inlineStr">
        <is>
          <t>N</t>
        </is>
      </c>
      <c r="I1285" s="37">
        <f>COUNTIF(G$5:G1285,"Y")/COUNTA(G$5:G1285)</f>
        <v/>
      </c>
      <c r="J1285" s="37">
        <f>COUNTIF(H$5:H1285,"Y")/COUNTA(H$5:H1285)</f>
        <v/>
      </c>
      <c r="K1285" s="37">
        <f>AVERAGE(F$5:F1285)</f>
        <v/>
      </c>
      <c r="L1285" s="37">
        <f>SUM(F$5:F1285)/SUM(E$5:E1285)</f>
        <v/>
      </c>
    </row>
    <row r="1286">
      <c r="A1286" s="29" t="n">
        <v>45835</v>
      </c>
      <c r="B1286" s="37" t="inlineStr">
        <is>
          <t>JOB-2282</t>
        </is>
      </c>
      <c r="C1286" s="34" t="n">
        <v>1</v>
      </c>
      <c r="D1286" s="37" t="inlineStr">
        <is>
          <t>Tech D</t>
        </is>
      </c>
      <c r="E1286" s="35" t="n">
        <v>0.6</v>
      </c>
      <c r="F1286" s="35" t="n">
        <v>0.5</v>
      </c>
      <c r="G1286" s="37" t="inlineStr">
        <is>
          <t>Y</t>
        </is>
      </c>
      <c r="H1286" s="37" t="inlineStr">
        <is>
          <t>N</t>
        </is>
      </c>
      <c r="I1286" s="37">
        <f>COUNTIF(G$5:G1286,"Y")/COUNTA(G$5:G1286)</f>
        <v/>
      </c>
      <c r="J1286" s="37">
        <f>COUNTIF(H$5:H1286,"Y")/COUNTA(H$5:H1286)</f>
        <v/>
      </c>
      <c r="K1286" s="37">
        <f>AVERAGE(F$5:F1286)</f>
        <v/>
      </c>
      <c r="L1286" s="37">
        <f>SUM(F$5:F1286)/SUM(E$5:E1286)</f>
        <v/>
      </c>
    </row>
    <row r="1287">
      <c r="A1287" s="29" t="n">
        <v>45831</v>
      </c>
      <c r="B1287" s="37" t="inlineStr">
        <is>
          <t>JOB-2283</t>
        </is>
      </c>
      <c r="C1287" s="34" t="n">
        <v>1</v>
      </c>
      <c r="D1287" s="37" t="inlineStr">
        <is>
          <t>Tech F</t>
        </is>
      </c>
      <c r="E1287" s="35" t="n">
        <v>0.7</v>
      </c>
      <c r="F1287" s="35" t="n">
        <v>0.5</v>
      </c>
      <c r="G1287" s="37" t="inlineStr">
        <is>
          <t>N</t>
        </is>
      </c>
      <c r="H1287" s="37" t="inlineStr">
        <is>
          <t>N</t>
        </is>
      </c>
      <c r="I1287" s="37">
        <f>COUNTIF(G$5:G1287,"Y")/COUNTA(G$5:G1287)</f>
        <v/>
      </c>
      <c r="J1287" s="37">
        <f>COUNTIF(H$5:H1287,"Y")/COUNTA(H$5:H1287)</f>
        <v/>
      </c>
      <c r="K1287" s="37">
        <f>AVERAGE(F$5:F1287)</f>
        <v/>
      </c>
      <c r="L1287" s="37">
        <f>SUM(F$5:F1287)/SUM(E$5:E1287)</f>
        <v/>
      </c>
    </row>
    <row r="1288">
      <c r="A1288" s="29" t="n">
        <v>45832</v>
      </c>
      <c r="B1288" s="37" t="inlineStr">
        <is>
          <t>JOB-2284</t>
        </is>
      </c>
      <c r="C1288" s="34" t="n">
        <v>1</v>
      </c>
      <c r="D1288" s="37" t="inlineStr">
        <is>
          <t>Tech C</t>
        </is>
      </c>
      <c r="E1288" s="35" t="n">
        <v>0.6</v>
      </c>
      <c r="F1288" s="35" t="n">
        <v>0.5</v>
      </c>
      <c r="G1288" s="37" t="inlineStr">
        <is>
          <t>Y</t>
        </is>
      </c>
      <c r="H1288" s="37" t="inlineStr">
        <is>
          <t>N</t>
        </is>
      </c>
      <c r="I1288" s="37">
        <f>COUNTIF(G$5:G1288,"Y")/COUNTA(G$5:G1288)</f>
        <v/>
      </c>
      <c r="J1288" s="37">
        <f>COUNTIF(H$5:H1288,"Y")/COUNTA(H$5:H1288)</f>
        <v/>
      </c>
      <c r="K1288" s="37">
        <f>AVERAGE(F$5:F1288)</f>
        <v/>
      </c>
      <c r="L1288" s="37">
        <f>SUM(F$5:F1288)/SUM(E$5:E1288)</f>
        <v/>
      </c>
    </row>
    <row r="1289">
      <c r="A1289" s="29" t="n">
        <v>45833</v>
      </c>
      <c r="B1289" s="37" t="inlineStr">
        <is>
          <t>JOB-2285</t>
        </is>
      </c>
      <c r="C1289" s="34" t="n">
        <v>1</v>
      </c>
      <c r="D1289" s="37" t="inlineStr">
        <is>
          <t>Tech C</t>
        </is>
      </c>
      <c r="E1289" s="35" t="n">
        <v>0.6</v>
      </c>
      <c r="F1289" s="35" t="n">
        <v>0.5</v>
      </c>
      <c r="G1289" s="37" t="inlineStr">
        <is>
          <t>Y</t>
        </is>
      </c>
      <c r="H1289" s="37" t="inlineStr">
        <is>
          <t>N</t>
        </is>
      </c>
      <c r="I1289" s="37">
        <f>COUNTIF(G$5:G1289,"Y")/COUNTA(G$5:G1289)</f>
        <v/>
      </c>
      <c r="J1289" s="37">
        <f>COUNTIF(H$5:H1289,"Y")/COUNTA(H$5:H1289)</f>
        <v/>
      </c>
      <c r="K1289" s="37">
        <f>AVERAGE(F$5:F1289)</f>
        <v/>
      </c>
      <c r="L1289" s="37">
        <f>SUM(F$5:F1289)/SUM(E$5:E1289)</f>
        <v/>
      </c>
    </row>
    <row r="1290">
      <c r="A1290" s="29" t="n">
        <v>45834</v>
      </c>
      <c r="B1290" s="37" t="inlineStr">
        <is>
          <t>JOB-2286</t>
        </is>
      </c>
      <c r="C1290" s="34" t="n">
        <v>1</v>
      </c>
      <c r="D1290" s="37" t="inlineStr">
        <is>
          <t>Tech C</t>
        </is>
      </c>
      <c r="E1290" s="35" t="n">
        <v>1</v>
      </c>
      <c r="F1290" s="35" t="n">
        <v>0.5</v>
      </c>
      <c r="G1290" s="37" t="inlineStr">
        <is>
          <t>Y</t>
        </is>
      </c>
      <c r="H1290" s="37" t="inlineStr">
        <is>
          <t>N</t>
        </is>
      </c>
      <c r="I1290" s="37">
        <f>COUNTIF(G$5:G1290,"Y")/COUNTA(G$5:G1290)</f>
        <v/>
      </c>
      <c r="J1290" s="37">
        <f>COUNTIF(H$5:H1290,"Y")/COUNTA(H$5:H1290)</f>
        <v/>
      </c>
      <c r="K1290" s="37">
        <f>AVERAGE(F$5:F1290)</f>
        <v/>
      </c>
      <c r="L1290" s="37">
        <f>SUM(F$5:F1290)/SUM(E$5:E1290)</f>
        <v/>
      </c>
      <c r="M1290" s="37" t="n">
        <v>8</v>
      </c>
    </row>
    <row r="1291">
      <c r="A1291" s="29" t="n">
        <v>45838</v>
      </c>
      <c r="B1291" s="37" t="inlineStr">
        <is>
          <t>JOB-2287</t>
        </is>
      </c>
      <c r="C1291" s="34" t="n">
        <v>1</v>
      </c>
      <c r="D1291" s="37" t="inlineStr">
        <is>
          <t>Tech D</t>
        </is>
      </c>
      <c r="E1291" s="35" t="n">
        <v>5.5</v>
      </c>
      <c r="F1291" s="35" t="n">
        <v>3.9</v>
      </c>
      <c r="G1291" s="37" t="inlineStr">
        <is>
          <t>Y</t>
        </is>
      </c>
      <c r="H1291" s="37" t="inlineStr">
        <is>
          <t>N</t>
        </is>
      </c>
      <c r="I1291" s="37">
        <f>COUNTIF(G$5:G1291,"Y")/COUNTA(G$5:G1291)</f>
        <v/>
      </c>
      <c r="J1291" s="37">
        <f>COUNTIF(H$5:H1291,"Y")/COUNTA(H$5:H1291)</f>
        <v/>
      </c>
      <c r="K1291" s="37">
        <f>AVERAGE(F$5:F1291)</f>
        <v/>
      </c>
      <c r="L1291" s="37">
        <f>SUM(F$5:F1291)/SUM(E$5:E1291)</f>
        <v/>
      </c>
    </row>
    <row r="1292">
      <c r="A1292" s="29" t="n">
        <v>45839</v>
      </c>
      <c r="B1292" s="37" t="inlineStr">
        <is>
          <t>JOB-2288</t>
        </is>
      </c>
      <c r="C1292" s="34" t="n">
        <v>1</v>
      </c>
      <c r="D1292" s="37" t="inlineStr">
        <is>
          <t>Tech F</t>
        </is>
      </c>
      <c r="E1292" s="35" t="n">
        <v>4.6</v>
      </c>
      <c r="F1292" s="35" t="n">
        <v>3.4</v>
      </c>
      <c r="G1292" s="37" t="inlineStr">
        <is>
          <t>Y</t>
        </is>
      </c>
      <c r="H1292" s="37" t="inlineStr">
        <is>
          <t>N</t>
        </is>
      </c>
      <c r="I1292" s="37">
        <f>COUNTIF(G$5:G1292,"Y")/COUNTA(G$5:G1292)</f>
        <v/>
      </c>
      <c r="J1292" s="37">
        <f>COUNTIF(H$5:H1292,"Y")/COUNTA(H$5:H1292)</f>
        <v/>
      </c>
      <c r="K1292" s="37">
        <f>AVERAGE(F$5:F1292)</f>
        <v/>
      </c>
      <c r="L1292" s="37">
        <f>SUM(F$5:F1292)/SUM(E$5:E1292)</f>
        <v/>
      </c>
    </row>
    <row r="1293">
      <c r="A1293" s="29" t="n">
        <v>45840</v>
      </c>
      <c r="B1293" s="37" t="inlineStr">
        <is>
          <t>JOB-2289</t>
        </is>
      </c>
      <c r="C1293" s="34" t="n">
        <v>1</v>
      </c>
      <c r="D1293" s="37" t="inlineStr">
        <is>
          <t>Tech D</t>
        </is>
      </c>
      <c r="E1293" s="35" t="n">
        <v>6.3</v>
      </c>
      <c r="F1293" s="35" t="n">
        <v>4.4</v>
      </c>
      <c r="G1293" s="37" t="inlineStr">
        <is>
          <t>Y</t>
        </is>
      </c>
      <c r="H1293" s="37" t="inlineStr">
        <is>
          <t>N</t>
        </is>
      </c>
      <c r="I1293" s="37">
        <f>COUNTIF(G$5:G1293,"Y")/COUNTA(G$5:G1293)</f>
        <v/>
      </c>
      <c r="J1293" s="37">
        <f>COUNTIF(H$5:H1293,"Y")/COUNTA(H$5:H1293)</f>
        <v/>
      </c>
      <c r="K1293" s="37">
        <f>AVERAGE(F$5:F1293)</f>
        <v/>
      </c>
      <c r="L1293" s="37">
        <f>SUM(F$5:F1293)/SUM(E$5:E1293)</f>
        <v/>
      </c>
    </row>
    <row r="1294">
      <c r="A1294" s="29" t="n">
        <v>45841</v>
      </c>
      <c r="B1294" s="37" t="inlineStr">
        <is>
          <t>JOB-2290</t>
        </is>
      </c>
      <c r="C1294" s="34" t="n">
        <v>1</v>
      </c>
      <c r="D1294" s="37" t="inlineStr">
        <is>
          <t>Tech F</t>
        </is>
      </c>
      <c r="E1294" s="35" t="n">
        <v>3.3</v>
      </c>
      <c r="F1294" s="35" t="n">
        <v>2.8</v>
      </c>
      <c r="G1294" s="37" t="inlineStr">
        <is>
          <t>Y</t>
        </is>
      </c>
      <c r="H1294" s="37" t="inlineStr">
        <is>
          <t>N</t>
        </is>
      </c>
      <c r="I1294" s="37">
        <f>COUNTIF(G$5:G1294,"Y")/COUNTA(G$5:G1294)</f>
        <v/>
      </c>
      <c r="J1294" s="37">
        <f>COUNTIF(H$5:H1294,"Y")/COUNTA(H$5:H1294)</f>
        <v/>
      </c>
      <c r="K1294" s="37">
        <f>AVERAGE(F$5:F1294)</f>
        <v/>
      </c>
      <c r="L1294" s="37">
        <f>SUM(F$5:F1294)/SUM(E$5:E1294)</f>
        <v/>
      </c>
    </row>
    <row r="1295">
      <c r="A1295" s="29" t="n">
        <v>45842</v>
      </c>
      <c r="B1295" s="37" t="inlineStr">
        <is>
          <t>JOB-2291</t>
        </is>
      </c>
      <c r="C1295" s="34" t="n">
        <v>1</v>
      </c>
      <c r="D1295" s="37" t="inlineStr">
        <is>
          <t>Tech G</t>
        </is>
      </c>
      <c r="E1295" s="35" t="n">
        <v>5.8</v>
      </c>
      <c r="F1295" s="35" t="n">
        <v>3.9</v>
      </c>
      <c r="G1295" s="37" t="inlineStr">
        <is>
          <t>Y</t>
        </is>
      </c>
      <c r="H1295" s="37" t="inlineStr">
        <is>
          <t>N</t>
        </is>
      </c>
      <c r="I1295" s="37">
        <f>COUNTIF(G$5:G1295,"Y")/COUNTA(G$5:G1295)</f>
        <v/>
      </c>
      <c r="J1295" s="37">
        <f>COUNTIF(H$5:H1295,"Y")/COUNTA(H$5:H1295)</f>
        <v/>
      </c>
      <c r="K1295" s="37">
        <f>AVERAGE(F$5:F1295)</f>
        <v/>
      </c>
      <c r="L1295" s="37">
        <f>SUM(F$5:F1295)/SUM(E$5:E1295)</f>
        <v/>
      </c>
    </row>
    <row r="1296">
      <c r="A1296" s="29" t="n">
        <v>45838</v>
      </c>
      <c r="B1296" s="37" t="inlineStr">
        <is>
          <t>JOB-2292</t>
        </is>
      </c>
      <c r="C1296" s="34" t="n">
        <v>1</v>
      </c>
      <c r="D1296" s="37" t="inlineStr">
        <is>
          <t>Tech D</t>
        </is>
      </c>
      <c r="E1296" s="35" t="n">
        <v>3.7</v>
      </c>
      <c r="F1296" s="35" t="n">
        <v>2.8</v>
      </c>
      <c r="G1296" s="37" t="inlineStr">
        <is>
          <t>N</t>
        </is>
      </c>
      <c r="H1296" s="37" t="inlineStr">
        <is>
          <t>N</t>
        </is>
      </c>
      <c r="I1296" s="37">
        <f>COUNTIF(G$5:G1296,"Y")/COUNTA(G$5:G1296)</f>
        <v/>
      </c>
      <c r="J1296" s="37">
        <f>COUNTIF(H$5:H1296,"Y")/COUNTA(H$5:H1296)</f>
        <v/>
      </c>
      <c r="K1296" s="37">
        <f>AVERAGE(F$5:F1296)</f>
        <v/>
      </c>
      <c r="L1296" s="37">
        <f>SUM(F$5:F1296)/SUM(E$5:E1296)</f>
        <v/>
      </c>
    </row>
    <row r="1297">
      <c r="A1297" s="29" t="n">
        <v>45839</v>
      </c>
      <c r="B1297" s="37" t="inlineStr">
        <is>
          <t>JOB-2293</t>
        </is>
      </c>
      <c r="C1297" s="34" t="n">
        <v>1</v>
      </c>
      <c r="D1297" s="37" t="inlineStr">
        <is>
          <t>Tech D</t>
        </is>
      </c>
      <c r="E1297" s="35" t="n">
        <v>4.9</v>
      </c>
      <c r="F1297" s="35" t="n">
        <v>3.5</v>
      </c>
      <c r="G1297" s="37" t="inlineStr">
        <is>
          <t>Y</t>
        </is>
      </c>
      <c r="H1297" s="37" t="inlineStr">
        <is>
          <t>N</t>
        </is>
      </c>
      <c r="I1297" s="37">
        <f>COUNTIF(G$5:G1297,"Y")/COUNTA(G$5:G1297)</f>
        <v/>
      </c>
      <c r="J1297" s="37">
        <f>COUNTIF(H$5:H1297,"Y")/COUNTA(H$5:H1297)</f>
        <v/>
      </c>
      <c r="K1297" s="37">
        <f>AVERAGE(F$5:F1297)</f>
        <v/>
      </c>
      <c r="L1297" s="37">
        <f>SUM(F$5:F1297)/SUM(E$5:E1297)</f>
        <v/>
      </c>
    </row>
    <row r="1298">
      <c r="A1298" s="29" t="n">
        <v>45840</v>
      </c>
      <c r="B1298" s="37" t="inlineStr">
        <is>
          <t>JOB-2294</t>
        </is>
      </c>
      <c r="C1298" s="34" t="n">
        <v>1</v>
      </c>
      <c r="D1298" s="37" t="inlineStr">
        <is>
          <t>Tech C</t>
        </is>
      </c>
      <c r="E1298" s="35" t="n">
        <v>3.4</v>
      </c>
      <c r="F1298" s="35" t="n">
        <v>2.8</v>
      </c>
      <c r="G1298" s="37" t="inlineStr">
        <is>
          <t>Y</t>
        </is>
      </c>
      <c r="H1298" s="37" t="inlineStr">
        <is>
          <t>N</t>
        </is>
      </c>
      <c r="I1298" s="37">
        <f>COUNTIF(G$5:G1298,"Y")/COUNTA(G$5:G1298)</f>
        <v/>
      </c>
      <c r="J1298" s="37">
        <f>COUNTIF(H$5:H1298,"Y")/COUNTA(H$5:H1298)</f>
        <v/>
      </c>
      <c r="K1298" s="37">
        <f>AVERAGE(F$5:F1298)</f>
        <v/>
      </c>
      <c r="L1298" s="37">
        <f>SUM(F$5:F1298)/SUM(E$5:E1298)</f>
        <v/>
      </c>
    </row>
    <row r="1299">
      <c r="A1299" s="29" t="n">
        <v>45841</v>
      </c>
      <c r="B1299" s="37" t="inlineStr">
        <is>
          <t>JOB-2295</t>
        </is>
      </c>
      <c r="C1299" s="34" t="n">
        <v>1</v>
      </c>
      <c r="D1299" s="37" t="inlineStr">
        <is>
          <t>Tech B</t>
        </is>
      </c>
      <c r="E1299" s="35" t="n">
        <v>2.9</v>
      </c>
      <c r="F1299" s="35" t="n">
        <v>2</v>
      </c>
      <c r="G1299" s="37" t="inlineStr">
        <is>
          <t>Y</t>
        </is>
      </c>
      <c r="H1299" s="37" t="inlineStr">
        <is>
          <t>N</t>
        </is>
      </c>
      <c r="I1299" s="37">
        <f>COUNTIF(G$5:G1299,"Y")/COUNTA(G$5:G1299)</f>
        <v/>
      </c>
      <c r="J1299" s="37">
        <f>COUNTIF(H$5:H1299,"Y")/COUNTA(H$5:H1299)</f>
        <v/>
      </c>
      <c r="K1299" s="37">
        <f>AVERAGE(F$5:F1299)</f>
        <v/>
      </c>
      <c r="L1299" s="37">
        <f>SUM(F$5:F1299)/SUM(E$5:E1299)</f>
        <v/>
      </c>
    </row>
    <row r="1300">
      <c r="A1300" s="29" t="n">
        <v>45842</v>
      </c>
      <c r="B1300" s="37" t="inlineStr">
        <is>
          <t>JOB-2296</t>
        </is>
      </c>
      <c r="C1300" s="34" t="n">
        <v>1</v>
      </c>
      <c r="D1300" s="37" t="inlineStr">
        <is>
          <t>Tech B</t>
        </is>
      </c>
      <c r="E1300" s="35" t="n">
        <v>4.9</v>
      </c>
      <c r="F1300" s="35" t="n">
        <v>3.3</v>
      </c>
      <c r="G1300" s="37" t="inlineStr">
        <is>
          <t>Y</t>
        </is>
      </c>
      <c r="H1300" s="37" t="inlineStr">
        <is>
          <t>Y</t>
        </is>
      </c>
      <c r="I1300" s="37">
        <f>COUNTIF(G$5:G1300,"Y")/COUNTA(G$5:G1300)</f>
        <v/>
      </c>
      <c r="J1300" s="37">
        <f>COUNTIF(H$5:H1300,"Y")/COUNTA(H$5:H1300)</f>
        <v/>
      </c>
      <c r="K1300" s="37">
        <f>AVERAGE(F$5:F1300)</f>
        <v/>
      </c>
      <c r="L1300" s="37">
        <f>SUM(F$5:F1300)/SUM(E$5:E1300)</f>
        <v/>
      </c>
    </row>
    <row r="1301">
      <c r="A1301" s="29" t="n">
        <v>45838</v>
      </c>
      <c r="B1301" s="37" t="inlineStr">
        <is>
          <t>JOB-2297</t>
        </is>
      </c>
      <c r="C1301" s="34" t="n">
        <v>1</v>
      </c>
      <c r="D1301" s="37" t="inlineStr">
        <is>
          <t>Tech D</t>
        </is>
      </c>
      <c r="E1301" s="35" t="n">
        <v>3.5</v>
      </c>
      <c r="F1301" s="35" t="n">
        <v>2.5</v>
      </c>
      <c r="G1301" s="37" t="inlineStr">
        <is>
          <t>Y</t>
        </is>
      </c>
      <c r="H1301" s="37" t="inlineStr">
        <is>
          <t>N</t>
        </is>
      </c>
      <c r="I1301" s="37">
        <f>COUNTIF(G$5:G1301,"Y")/COUNTA(G$5:G1301)</f>
        <v/>
      </c>
      <c r="J1301" s="37">
        <f>COUNTIF(H$5:H1301,"Y")/COUNTA(H$5:H1301)</f>
        <v/>
      </c>
      <c r="K1301" s="37">
        <f>AVERAGE(F$5:F1301)</f>
        <v/>
      </c>
      <c r="L1301" s="37">
        <f>SUM(F$5:F1301)/SUM(E$5:E1301)</f>
        <v/>
      </c>
    </row>
    <row r="1302">
      <c r="A1302" s="29" t="n">
        <v>45839</v>
      </c>
      <c r="B1302" s="37" t="inlineStr">
        <is>
          <t>JOB-2298</t>
        </is>
      </c>
      <c r="C1302" s="34" t="n">
        <v>1</v>
      </c>
      <c r="D1302" s="37" t="inlineStr">
        <is>
          <t>Tech F</t>
        </is>
      </c>
      <c r="E1302" s="35" t="n">
        <v>4.9</v>
      </c>
      <c r="F1302" s="35" t="n">
        <v>3.4</v>
      </c>
      <c r="G1302" s="37" t="inlineStr">
        <is>
          <t>Y</t>
        </is>
      </c>
      <c r="H1302" s="37" t="inlineStr">
        <is>
          <t>N</t>
        </is>
      </c>
      <c r="I1302" s="37">
        <f>COUNTIF(G$5:G1302,"Y")/COUNTA(G$5:G1302)</f>
        <v/>
      </c>
      <c r="J1302" s="37">
        <f>COUNTIF(H$5:H1302,"Y")/COUNTA(H$5:H1302)</f>
        <v/>
      </c>
      <c r="K1302" s="37">
        <f>AVERAGE(F$5:F1302)</f>
        <v/>
      </c>
      <c r="L1302" s="37">
        <f>SUM(F$5:F1302)/SUM(E$5:E1302)</f>
        <v/>
      </c>
    </row>
    <row r="1303">
      <c r="A1303" s="29" t="n">
        <v>45840</v>
      </c>
      <c r="B1303" s="37" t="inlineStr">
        <is>
          <t>JOB-2299</t>
        </is>
      </c>
      <c r="C1303" s="34" t="n">
        <v>1</v>
      </c>
      <c r="D1303" s="37" t="inlineStr">
        <is>
          <t>Tech A</t>
        </is>
      </c>
      <c r="E1303" s="35" t="n">
        <v>5.4</v>
      </c>
      <c r="F1303" s="35" t="n">
        <v>4.1</v>
      </c>
      <c r="G1303" s="37" t="inlineStr">
        <is>
          <t>Y</t>
        </is>
      </c>
      <c r="H1303" s="37" t="inlineStr">
        <is>
          <t>N</t>
        </is>
      </c>
      <c r="I1303" s="37">
        <f>COUNTIF(G$5:G1303,"Y")/COUNTA(G$5:G1303)</f>
        <v/>
      </c>
      <c r="J1303" s="37">
        <f>COUNTIF(H$5:H1303,"Y")/COUNTA(H$5:H1303)</f>
        <v/>
      </c>
      <c r="K1303" s="37">
        <f>AVERAGE(F$5:F1303)</f>
        <v/>
      </c>
      <c r="L1303" s="37">
        <f>SUM(F$5:F1303)/SUM(E$5:E1303)</f>
        <v/>
      </c>
    </row>
    <row r="1304">
      <c r="A1304" s="29" t="n">
        <v>45841</v>
      </c>
      <c r="B1304" s="37" t="inlineStr">
        <is>
          <t>JOB-2300</t>
        </is>
      </c>
      <c r="C1304" s="34" t="n">
        <v>1</v>
      </c>
      <c r="D1304" s="37" t="inlineStr">
        <is>
          <t>Tech F</t>
        </is>
      </c>
      <c r="E1304" s="35" t="n">
        <v>1.7</v>
      </c>
      <c r="F1304" s="35" t="n">
        <v>1.3</v>
      </c>
      <c r="G1304" s="37" t="inlineStr">
        <is>
          <t>Y</t>
        </is>
      </c>
      <c r="H1304" s="37" t="inlineStr">
        <is>
          <t>N</t>
        </is>
      </c>
      <c r="I1304" s="37">
        <f>COUNTIF(G$5:G1304,"Y")/COUNTA(G$5:G1304)</f>
        <v/>
      </c>
      <c r="J1304" s="37">
        <f>COUNTIF(H$5:H1304,"Y")/COUNTA(H$5:H1304)</f>
        <v/>
      </c>
      <c r="K1304" s="37">
        <f>AVERAGE(F$5:F1304)</f>
        <v/>
      </c>
      <c r="L1304" s="37">
        <f>SUM(F$5:F1304)/SUM(E$5:E1304)</f>
        <v/>
      </c>
    </row>
    <row r="1305">
      <c r="A1305" s="29" t="n">
        <v>45842</v>
      </c>
      <c r="B1305" s="37" t="inlineStr">
        <is>
          <t>JOB-2301</t>
        </is>
      </c>
      <c r="C1305" s="34" t="n">
        <v>1</v>
      </c>
      <c r="D1305" s="37" t="inlineStr">
        <is>
          <t>Tech D</t>
        </is>
      </c>
      <c r="E1305" s="35" t="n">
        <v>3.1</v>
      </c>
      <c r="F1305" s="35" t="n">
        <v>2.4</v>
      </c>
      <c r="G1305" s="37" t="inlineStr">
        <is>
          <t>Y</t>
        </is>
      </c>
      <c r="H1305" s="37" t="inlineStr">
        <is>
          <t>N</t>
        </is>
      </c>
      <c r="I1305" s="37">
        <f>COUNTIF(G$5:G1305,"Y")/COUNTA(G$5:G1305)</f>
        <v/>
      </c>
      <c r="J1305" s="37">
        <f>COUNTIF(H$5:H1305,"Y")/COUNTA(H$5:H1305)</f>
        <v/>
      </c>
      <c r="K1305" s="37">
        <f>AVERAGE(F$5:F1305)</f>
        <v/>
      </c>
      <c r="L1305" s="37">
        <f>SUM(F$5:F1305)/SUM(E$5:E1305)</f>
        <v/>
      </c>
    </row>
    <row r="1306">
      <c r="A1306" s="29" t="n">
        <v>45838</v>
      </c>
      <c r="B1306" s="37" t="inlineStr">
        <is>
          <t>JOB-2302</t>
        </is>
      </c>
      <c r="C1306" s="34" t="n">
        <v>1</v>
      </c>
      <c r="D1306" s="37" t="inlineStr">
        <is>
          <t>Tech G</t>
        </is>
      </c>
      <c r="E1306" s="35" t="n">
        <v>2.6</v>
      </c>
      <c r="F1306" s="35" t="n">
        <v>1.8</v>
      </c>
      <c r="G1306" s="37" t="inlineStr">
        <is>
          <t>Y</t>
        </is>
      </c>
      <c r="H1306" s="37" t="inlineStr">
        <is>
          <t>N</t>
        </is>
      </c>
      <c r="I1306" s="37">
        <f>COUNTIF(G$5:G1306,"Y")/COUNTA(G$5:G1306)</f>
        <v/>
      </c>
      <c r="J1306" s="37">
        <f>COUNTIF(H$5:H1306,"Y")/COUNTA(H$5:H1306)</f>
        <v/>
      </c>
      <c r="K1306" s="37">
        <f>AVERAGE(F$5:F1306)</f>
        <v/>
      </c>
      <c r="L1306" s="37">
        <f>SUM(F$5:F1306)/SUM(E$5:E1306)</f>
        <v/>
      </c>
    </row>
    <row r="1307">
      <c r="A1307" s="29" t="n">
        <v>45839</v>
      </c>
      <c r="B1307" s="37" t="inlineStr">
        <is>
          <t>JOB-2303</t>
        </is>
      </c>
      <c r="C1307" s="34" t="n">
        <v>1</v>
      </c>
      <c r="D1307" s="37" t="inlineStr">
        <is>
          <t>Tech H</t>
        </is>
      </c>
      <c r="E1307" s="35" t="n">
        <v>3.8</v>
      </c>
      <c r="F1307" s="35" t="n">
        <v>3.2</v>
      </c>
      <c r="G1307" s="37" t="inlineStr">
        <is>
          <t>Y</t>
        </is>
      </c>
      <c r="H1307" s="37" t="inlineStr">
        <is>
          <t>N</t>
        </is>
      </c>
      <c r="I1307" s="37">
        <f>COUNTIF(G$5:G1307,"Y")/COUNTA(G$5:G1307)</f>
        <v/>
      </c>
      <c r="J1307" s="37">
        <f>COUNTIF(H$5:H1307,"Y")/COUNTA(H$5:H1307)</f>
        <v/>
      </c>
      <c r="K1307" s="37">
        <f>AVERAGE(F$5:F1307)</f>
        <v/>
      </c>
      <c r="L1307" s="37">
        <f>SUM(F$5:F1307)/SUM(E$5:E1307)</f>
        <v/>
      </c>
    </row>
    <row r="1308">
      <c r="A1308" s="29" t="n">
        <v>45840</v>
      </c>
      <c r="B1308" s="37" t="inlineStr">
        <is>
          <t>JOB-2304</t>
        </is>
      </c>
      <c r="C1308" s="34" t="n">
        <v>1</v>
      </c>
      <c r="D1308" s="37" t="inlineStr">
        <is>
          <t>Tech B</t>
        </is>
      </c>
      <c r="E1308" s="35" t="n">
        <v>2.3</v>
      </c>
      <c r="F1308" s="35" t="n">
        <v>1.6</v>
      </c>
      <c r="G1308" s="37" t="inlineStr">
        <is>
          <t>Y</t>
        </is>
      </c>
      <c r="H1308" s="37" t="inlineStr">
        <is>
          <t>N</t>
        </is>
      </c>
      <c r="I1308" s="37">
        <f>COUNTIF(G$5:G1308,"Y")/COUNTA(G$5:G1308)</f>
        <v/>
      </c>
      <c r="J1308" s="37">
        <f>COUNTIF(H$5:H1308,"Y")/COUNTA(H$5:H1308)</f>
        <v/>
      </c>
      <c r="K1308" s="37">
        <f>AVERAGE(F$5:F1308)</f>
        <v/>
      </c>
      <c r="L1308" s="37">
        <f>SUM(F$5:F1308)/SUM(E$5:E1308)</f>
        <v/>
      </c>
    </row>
    <row r="1309">
      <c r="A1309" s="29" t="n">
        <v>45841</v>
      </c>
      <c r="B1309" s="37" t="inlineStr">
        <is>
          <t>JOB-2305</t>
        </is>
      </c>
      <c r="C1309" s="34" t="n">
        <v>1</v>
      </c>
      <c r="D1309" s="37" t="inlineStr">
        <is>
          <t>Tech H</t>
        </is>
      </c>
      <c r="E1309" s="35" t="n">
        <v>4.8</v>
      </c>
      <c r="F1309" s="35" t="n">
        <v>3.8</v>
      </c>
      <c r="G1309" s="37" t="inlineStr">
        <is>
          <t>N</t>
        </is>
      </c>
      <c r="H1309" s="37" t="inlineStr">
        <is>
          <t>Y</t>
        </is>
      </c>
      <c r="I1309" s="37">
        <f>COUNTIF(G$5:G1309,"Y")/COUNTA(G$5:G1309)</f>
        <v/>
      </c>
      <c r="J1309" s="37">
        <f>COUNTIF(H$5:H1309,"Y")/COUNTA(H$5:H1309)</f>
        <v/>
      </c>
      <c r="K1309" s="37">
        <f>AVERAGE(F$5:F1309)</f>
        <v/>
      </c>
      <c r="L1309" s="37">
        <f>SUM(F$5:F1309)/SUM(E$5:E1309)</f>
        <v/>
      </c>
    </row>
    <row r="1310">
      <c r="A1310" s="29" t="n">
        <v>45842</v>
      </c>
      <c r="B1310" s="37" t="inlineStr">
        <is>
          <t>JOB-2306</t>
        </is>
      </c>
      <c r="C1310" s="34" t="n">
        <v>1</v>
      </c>
      <c r="D1310" s="37" t="inlineStr">
        <is>
          <t>Tech F</t>
        </is>
      </c>
      <c r="E1310" s="35" t="n">
        <v>4.9</v>
      </c>
      <c r="F1310" s="35" t="n">
        <v>3.4</v>
      </c>
      <c r="G1310" s="37" t="inlineStr">
        <is>
          <t>Y</t>
        </is>
      </c>
      <c r="H1310" s="37" t="inlineStr">
        <is>
          <t>N</t>
        </is>
      </c>
      <c r="I1310" s="37">
        <f>COUNTIF(G$5:G1310,"Y")/COUNTA(G$5:G1310)</f>
        <v/>
      </c>
      <c r="J1310" s="37">
        <f>COUNTIF(H$5:H1310,"Y")/COUNTA(H$5:H1310)</f>
        <v/>
      </c>
      <c r="K1310" s="37">
        <f>AVERAGE(F$5:F1310)</f>
        <v/>
      </c>
      <c r="L1310" s="37">
        <f>SUM(F$5:F1310)/SUM(E$5:E1310)</f>
        <v/>
      </c>
    </row>
    <row r="1311">
      <c r="A1311" s="29" t="n">
        <v>45838</v>
      </c>
      <c r="B1311" s="37" t="inlineStr">
        <is>
          <t>JOB-2307</t>
        </is>
      </c>
      <c r="C1311" s="34" t="n">
        <v>1</v>
      </c>
      <c r="D1311" s="37" t="inlineStr">
        <is>
          <t>Tech C</t>
        </is>
      </c>
      <c r="E1311" s="35" t="n">
        <v>3.9</v>
      </c>
      <c r="F1311" s="35" t="n">
        <v>3</v>
      </c>
      <c r="G1311" s="37" t="inlineStr">
        <is>
          <t>Y</t>
        </is>
      </c>
      <c r="H1311" s="37" t="inlineStr">
        <is>
          <t>N</t>
        </is>
      </c>
      <c r="I1311" s="37">
        <f>COUNTIF(G$5:G1311,"Y")/COUNTA(G$5:G1311)</f>
        <v/>
      </c>
      <c r="J1311" s="37">
        <f>COUNTIF(H$5:H1311,"Y")/COUNTA(H$5:H1311)</f>
        <v/>
      </c>
      <c r="K1311" s="37">
        <f>AVERAGE(F$5:F1311)</f>
        <v/>
      </c>
      <c r="L1311" s="37">
        <f>SUM(F$5:F1311)/SUM(E$5:E1311)</f>
        <v/>
      </c>
    </row>
    <row r="1312">
      <c r="A1312" s="29" t="n">
        <v>45839</v>
      </c>
      <c r="B1312" s="37" t="inlineStr">
        <is>
          <t>JOB-2308</t>
        </is>
      </c>
      <c r="C1312" s="34" t="n">
        <v>1</v>
      </c>
      <c r="D1312" s="37" t="inlineStr">
        <is>
          <t>Tech D</t>
        </is>
      </c>
      <c r="E1312" s="35" t="n">
        <v>3.6</v>
      </c>
      <c r="F1312" s="35" t="n">
        <v>2.6</v>
      </c>
      <c r="G1312" s="37" t="inlineStr">
        <is>
          <t>Y</t>
        </is>
      </c>
      <c r="H1312" s="37" t="inlineStr">
        <is>
          <t>N</t>
        </is>
      </c>
      <c r="I1312" s="37">
        <f>COUNTIF(G$5:G1312,"Y")/COUNTA(G$5:G1312)</f>
        <v/>
      </c>
      <c r="J1312" s="37">
        <f>COUNTIF(H$5:H1312,"Y")/COUNTA(H$5:H1312)</f>
        <v/>
      </c>
      <c r="K1312" s="37">
        <f>AVERAGE(F$5:F1312)</f>
        <v/>
      </c>
      <c r="L1312" s="37">
        <f>SUM(F$5:F1312)/SUM(E$5:E1312)</f>
        <v/>
      </c>
    </row>
    <row r="1313">
      <c r="A1313" s="29" t="n">
        <v>45840</v>
      </c>
      <c r="B1313" s="37" t="inlineStr">
        <is>
          <t>JOB-2309</t>
        </is>
      </c>
      <c r="C1313" s="34" t="n">
        <v>1</v>
      </c>
      <c r="D1313" s="37" t="inlineStr">
        <is>
          <t>Tech F</t>
        </is>
      </c>
      <c r="E1313" s="35" t="n">
        <v>4.5</v>
      </c>
      <c r="F1313" s="35" t="n">
        <v>3</v>
      </c>
      <c r="G1313" s="37" t="inlineStr">
        <is>
          <t>Y</t>
        </is>
      </c>
      <c r="H1313" s="37" t="inlineStr">
        <is>
          <t>N</t>
        </is>
      </c>
      <c r="I1313" s="37">
        <f>COUNTIF(G$5:G1313,"Y")/COUNTA(G$5:G1313)</f>
        <v/>
      </c>
      <c r="J1313" s="37">
        <f>COUNTIF(H$5:H1313,"Y")/COUNTA(H$5:H1313)</f>
        <v/>
      </c>
      <c r="K1313" s="37">
        <f>AVERAGE(F$5:F1313)</f>
        <v/>
      </c>
      <c r="L1313" s="37">
        <f>SUM(F$5:F1313)/SUM(E$5:E1313)</f>
        <v/>
      </c>
    </row>
    <row r="1314">
      <c r="A1314" s="29" t="n">
        <v>45841</v>
      </c>
      <c r="B1314" s="37" t="inlineStr">
        <is>
          <t>JOB-2310</t>
        </is>
      </c>
      <c r="C1314" s="34" t="n">
        <v>1</v>
      </c>
      <c r="D1314" s="37" t="inlineStr">
        <is>
          <t>Tech F</t>
        </is>
      </c>
      <c r="E1314" s="35" t="n">
        <v>3.2</v>
      </c>
      <c r="F1314" s="35" t="n">
        <v>2.5</v>
      </c>
      <c r="G1314" s="37" t="inlineStr">
        <is>
          <t>Y</t>
        </is>
      </c>
      <c r="H1314" s="37" t="inlineStr">
        <is>
          <t>N</t>
        </is>
      </c>
      <c r="I1314" s="37">
        <f>COUNTIF(G$5:G1314,"Y")/COUNTA(G$5:G1314)</f>
        <v/>
      </c>
      <c r="J1314" s="37">
        <f>COUNTIF(H$5:H1314,"Y")/COUNTA(H$5:H1314)</f>
        <v/>
      </c>
      <c r="K1314" s="37">
        <f>AVERAGE(F$5:F1314)</f>
        <v/>
      </c>
      <c r="L1314" s="37">
        <f>SUM(F$5:F1314)/SUM(E$5:E1314)</f>
        <v/>
      </c>
    </row>
    <row r="1315">
      <c r="A1315" s="29" t="n">
        <v>45842</v>
      </c>
      <c r="B1315" s="37" t="inlineStr">
        <is>
          <t>JOB-2311</t>
        </is>
      </c>
      <c r="C1315" s="34" t="n">
        <v>1</v>
      </c>
      <c r="D1315" s="37" t="inlineStr">
        <is>
          <t>Tech C</t>
        </is>
      </c>
      <c r="E1315" s="35" t="n">
        <v>5.3</v>
      </c>
      <c r="F1315" s="35" t="n">
        <v>3.9</v>
      </c>
      <c r="G1315" s="37" t="inlineStr">
        <is>
          <t>Y</t>
        </is>
      </c>
      <c r="H1315" s="37" t="inlineStr">
        <is>
          <t>N</t>
        </is>
      </c>
      <c r="I1315" s="37">
        <f>COUNTIF(G$5:G1315,"Y")/COUNTA(G$5:G1315)</f>
        <v/>
      </c>
      <c r="J1315" s="37">
        <f>COUNTIF(H$5:H1315,"Y")/COUNTA(H$5:H1315)</f>
        <v/>
      </c>
      <c r="K1315" s="37">
        <f>AVERAGE(F$5:F1315)</f>
        <v/>
      </c>
      <c r="L1315" s="37">
        <f>SUM(F$5:F1315)/SUM(E$5:E1315)</f>
        <v/>
      </c>
    </row>
    <row r="1316">
      <c r="A1316" s="29" t="n">
        <v>45838</v>
      </c>
      <c r="B1316" s="37" t="inlineStr">
        <is>
          <t>JOB-2312</t>
        </is>
      </c>
      <c r="C1316" s="34" t="n">
        <v>1</v>
      </c>
      <c r="D1316" s="37" t="inlineStr">
        <is>
          <t>Tech A</t>
        </is>
      </c>
      <c r="E1316" s="35" t="n">
        <v>4.9</v>
      </c>
      <c r="F1316" s="35" t="n">
        <v>3.8</v>
      </c>
      <c r="G1316" s="37" t="inlineStr">
        <is>
          <t>Y</t>
        </is>
      </c>
      <c r="H1316" s="37" t="inlineStr">
        <is>
          <t>N</t>
        </is>
      </c>
      <c r="I1316" s="37">
        <f>COUNTIF(G$5:G1316,"Y")/COUNTA(G$5:G1316)</f>
        <v/>
      </c>
      <c r="J1316" s="37">
        <f>COUNTIF(H$5:H1316,"Y")/COUNTA(H$5:H1316)</f>
        <v/>
      </c>
      <c r="K1316" s="37">
        <f>AVERAGE(F$5:F1316)</f>
        <v/>
      </c>
      <c r="L1316" s="37">
        <f>SUM(F$5:F1316)/SUM(E$5:E1316)</f>
        <v/>
      </c>
    </row>
    <row r="1317">
      <c r="A1317" s="29" t="n">
        <v>45839</v>
      </c>
      <c r="B1317" s="37" t="inlineStr">
        <is>
          <t>JOB-2313</t>
        </is>
      </c>
      <c r="C1317" s="34" t="n">
        <v>1</v>
      </c>
      <c r="D1317" s="37" t="inlineStr">
        <is>
          <t>Tech A</t>
        </is>
      </c>
      <c r="E1317" s="35" t="n">
        <v>5.1</v>
      </c>
      <c r="F1317" s="35" t="n">
        <v>3.8</v>
      </c>
      <c r="G1317" s="37" t="inlineStr">
        <is>
          <t>Y</t>
        </is>
      </c>
      <c r="H1317" s="37" t="inlineStr">
        <is>
          <t>N</t>
        </is>
      </c>
      <c r="I1317" s="37">
        <f>COUNTIF(G$5:G1317,"Y")/COUNTA(G$5:G1317)</f>
        <v/>
      </c>
      <c r="J1317" s="37">
        <f>COUNTIF(H$5:H1317,"Y")/COUNTA(H$5:H1317)</f>
        <v/>
      </c>
      <c r="K1317" s="37">
        <f>AVERAGE(F$5:F1317)</f>
        <v/>
      </c>
      <c r="L1317" s="37">
        <f>SUM(F$5:F1317)/SUM(E$5:E1317)</f>
        <v/>
      </c>
    </row>
    <row r="1318">
      <c r="A1318" s="29" t="n">
        <v>45840</v>
      </c>
      <c r="B1318" s="37" t="inlineStr">
        <is>
          <t>JOB-2314</t>
        </is>
      </c>
      <c r="C1318" s="34" t="n">
        <v>1</v>
      </c>
      <c r="D1318" s="37" t="inlineStr">
        <is>
          <t>Tech F</t>
        </is>
      </c>
      <c r="E1318" s="35" t="n">
        <v>2.8</v>
      </c>
      <c r="F1318" s="35" t="n">
        <v>2</v>
      </c>
      <c r="G1318" s="37" t="inlineStr">
        <is>
          <t>N</t>
        </is>
      </c>
      <c r="H1318" s="37" t="inlineStr">
        <is>
          <t>N</t>
        </is>
      </c>
      <c r="I1318" s="37">
        <f>COUNTIF(G$5:G1318,"Y")/COUNTA(G$5:G1318)</f>
        <v/>
      </c>
      <c r="J1318" s="37">
        <f>COUNTIF(H$5:H1318,"Y")/COUNTA(H$5:H1318)</f>
        <v/>
      </c>
      <c r="K1318" s="37">
        <f>AVERAGE(F$5:F1318)</f>
        <v/>
      </c>
      <c r="L1318" s="37">
        <f>SUM(F$5:F1318)/SUM(E$5:E1318)</f>
        <v/>
      </c>
    </row>
    <row r="1319">
      <c r="A1319" s="29" t="n">
        <v>45841</v>
      </c>
      <c r="B1319" s="37" t="inlineStr">
        <is>
          <t>JOB-2315</t>
        </is>
      </c>
      <c r="C1319" s="34" t="n">
        <v>1</v>
      </c>
      <c r="D1319" s="37" t="inlineStr">
        <is>
          <t>Tech D</t>
        </is>
      </c>
      <c r="E1319" s="35" t="n">
        <v>2.2</v>
      </c>
      <c r="F1319" s="35" t="n">
        <v>1.5</v>
      </c>
      <c r="G1319" s="37" t="inlineStr">
        <is>
          <t>Y</t>
        </is>
      </c>
      <c r="H1319" s="37" t="inlineStr">
        <is>
          <t>N</t>
        </is>
      </c>
      <c r="I1319" s="37">
        <f>COUNTIF(G$5:G1319,"Y")/COUNTA(G$5:G1319)</f>
        <v/>
      </c>
      <c r="J1319" s="37">
        <f>COUNTIF(H$5:H1319,"Y")/COUNTA(H$5:H1319)</f>
        <v/>
      </c>
      <c r="K1319" s="37">
        <f>AVERAGE(F$5:F1319)</f>
        <v/>
      </c>
      <c r="L1319" s="37">
        <f>SUM(F$5:F1319)/SUM(E$5:E1319)</f>
        <v/>
      </c>
    </row>
    <row r="1320">
      <c r="A1320" s="29" t="n">
        <v>45842</v>
      </c>
      <c r="B1320" s="37" t="inlineStr">
        <is>
          <t>JOB-2316</t>
        </is>
      </c>
      <c r="C1320" s="34" t="n">
        <v>1</v>
      </c>
      <c r="D1320" s="37" t="inlineStr">
        <is>
          <t>Tech H</t>
        </is>
      </c>
      <c r="E1320" s="35" t="n">
        <v>4.1</v>
      </c>
      <c r="F1320" s="35" t="n">
        <v>3.1</v>
      </c>
      <c r="G1320" s="37" t="inlineStr">
        <is>
          <t>Y</t>
        </is>
      </c>
      <c r="H1320" s="37" t="inlineStr">
        <is>
          <t>N</t>
        </is>
      </c>
      <c r="I1320" s="37">
        <f>COUNTIF(G$5:G1320,"Y")/COUNTA(G$5:G1320)</f>
        <v/>
      </c>
      <c r="J1320" s="37">
        <f>COUNTIF(H$5:H1320,"Y")/COUNTA(H$5:H1320)</f>
        <v/>
      </c>
      <c r="K1320" s="37">
        <f>AVERAGE(F$5:F1320)</f>
        <v/>
      </c>
      <c r="L1320" s="37">
        <f>SUM(F$5:F1320)/SUM(E$5:E1320)</f>
        <v/>
      </c>
    </row>
    <row r="1321">
      <c r="A1321" s="29" t="n">
        <v>45838</v>
      </c>
      <c r="B1321" s="37" t="inlineStr">
        <is>
          <t>JOB-2317</t>
        </is>
      </c>
      <c r="C1321" s="34" t="n">
        <v>1</v>
      </c>
      <c r="D1321" s="37" t="inlineStr">
        <is>
          <t>Tech C</t>
        </is>
      </c>
      <c r="E1321" s="35" t="n">
        <v>4.2</v>
      </c>
      <c r="F1321" s="35" t="n">
        <v>3.2</v>
      </c>
      <c r="G1321" s="37" t="inlineStr">
        <is>
          <t>N</t>
        </is>
      </c>
      <c r="H1321" s="37" t="inlineStr">
        <is>
          <t>N</t>
        </is>
      </c>
      <c r="I1321" s="37">
        <f>COUNTIF(G$5:G1321,"Y")/COUNTA(G$5:G1321)</f>
        <v/>
      </c>
      <c r="J1321" s="37">
        <f>COUNTIF(H$5:H1321,"Y")/COUNTA(H$5:H1321)</f>
        <v/>
      </c>
      <c r="K1321" s="37">
        <f>AVERAGE(F$5:F1321)</f>
        <v/>
      </c>
      <c r="L1321" s="37">
        <f>SUM(F$5:F1321)/SUM(E$5:E1321)</f>
        <v/>
      </c>
    </row>
    <row r="1322">
      <c r="A1322" s="29" t="n">
        <v>45839</v>
      </c>
      <c r="B1322" s="37" t="inlineStr">
        <is>
          <t>JOB-2318</t>
        </is>
      </c>
      <c r="C1322" s="34" t="n">
        <v>1</v>
      </c>
      <c r="D1322" s="37" t="inlineStr">
        <is>
          <t>Tech A</t>
        </is>
      </c>
      <c r="E1322" s="35" t="n">
        <v>4.5</v>
      </c>
      <c r="F1322" s="35" t="n">
        <v>3.1</v>
      </c>
      <c r="G1322" s="37" t="inlineStr">
        <is>
          <t>Y</t>
        </is>
      </c>
      <c r="H1322" s="37" t="inlineStr">
        <is>
          <t>N</t>
        </is>
      </c>
      <c r="I1322" s="37">
        <f>COUNTIF(G$5:G1322,"Y")/COUNTA(G$5:G1322)</f>
        <v/>
      </c>
      <c r="J1322" s="37">
        <f>COUNTIF(H$5:H1322,"Y")/COUNTA(H$5:H1322)</f>
        <v/>
      </c>
      <c r="K1322" s="37">
        <f>AVERAGE(F$5:F1322)</f>
        <v/>
      </c>
      <c r="L1322" s="37">
        <f>SUM(F$5:F1322)/SUM(E$5:E1322)</f>
        <v/>
      </c>
    </row>
    <row r="1323">
      <c r="A1323" s="29" t="n">
        <v>45840</v>
      </c>
      <c r="B1323" s="37" t="inlineStr">
        <is>
          <t>JOB-2319</t>
        </is>
      </c>
      <c r="C1323" s="34" t="n">
        <v>1</v>
      </c>
      <c r="D1323" s="37" t="inlineStr">
        <is>
          <t>Tech F</t>
        </is>
      </c>
      <c r="E1323" s="35" t="n">
        <v>1.5</v>
      </c>
      <c r="F1323" s="35" t="n">
        <v>1.8</v>
      </c>
      <c r="G1323" s="37" t="inlineStr">
        <is>
          <t>Y</t>
        </is>
      </c>
      <c r="H1323" s="37" t="inlineStr">
        <is>
          <t>N</t>
        </is>
      </c>
      <c r="I1323" s="37">
        <f>COUNTIF(G$5:G1323,"Y")/COUNTA(G$5:G1323)</f>
        <v/>
      </c>
      <c r="J1323" s="37">
        <f>COUNTIF(H$5:H1323,"Y")/COUNTA(H$5:H1323)</f>
        <v/>
      </c>
      <c r="K1323" s="37">
        <f>AVERAGE(F$5:F1323)</f>
        <v/>
      </c>
      <c r="L1323" s="37">
        <f>SUM(F$5:F1323)/SUM(E$5:E1323)</f>
        <v/>
      </c>
    </row>
    <row r="1324">
      <c r="A1324" s="29" t="n">
        <v>45841</v>
      </c>
      <c r="B1324" s="37" t="inlineStr">
        <is>
          <t>JOB-2320</t>
        </is>
      </c>
      <c r="C1324" s="34" t="n">
        <v>1</v>
      </c>
      <c r="D1324" s="37" t="inlineStr">
        <is>
          <t>Tech D</t>
        </is>
      </c>
      <c r="E1324" s="35" t="n">
        <v>0.5</v>
      </c>
      <c r="F1324" s="35" t="n">
        <v>1.4</v>
      </c>
      <c r="G1324" s="37" t="inlineStr">
        <is>
          <t>Y</t>
        </is>
      </c>
      <c r="H1324" s="37" t="inlineStr">
        <is>
          <t>N</t>
        </is>
      </c>
      <c r="I1324" s="37">
        <f>COUNTIF(G$5:G1324,"Y")/COUNTA(G$5:G1324)</f>
        <v/>
      </c>
      <c r="J1324" s="37">
        <f>COUNTIF(H$5:H1324,"Y")/COUNTA(H$5:H1324)</f>
        <v/>
      </c>
      <c r="K1324" s="37">
        <f>AVERAGE(F$5:F1324)</f>
        <v/>
      </c>
      <c r="L1324" s="37">
        <f>SUM(F$5:F1324)/SUM(E$5:E1324)</f>
        <v/>
      </c>
    </row>
    <row r="1325">
      <c r="A1325" s="29" t="n">
        <v>45842</v>
      </c>
      <c r="B1325" s="37" t="inlineStr">
        <is>
          <t>JOB-2321</t>
        </is>
      </c>
      <c r="C1325" s="34" t="n">
        <v>1</v>
      </c>
      <c r="D1325" s="37" t="inlineStr">
        <is>
          <t>Tech H</t>
        </is>
      </c>
      <c r="E1325" s="35" t="n">
        <v>0.5</v>
      </c>
      <c r="F1325" s="35" t="n">
        <v>0.5</v>
      </c>
      <c r="G1325" s="37" t="inlineStr">
        <is>
          <t>Y</t>
        </is>
      </c>
      <c r="H1325" s="37" t="inlineStr">
        <is>
          <t>N</t>
        </is>
      </c>
      <c r="I1325" s="37">
        <f>COUNTIF(G$5:G1325,"Y")/COUNTA(G$5:G1325)</f>
        <v/>
      </c>
      <c r="J1325" s="37">
        <f>COUNTIF(H$5:H1325,"Y")/COUNTA(H$5:H1325)</f>
        <v/>
      </c>
      <c r="K1325" s="37">
        <f>AVERAGE(F$5:F1325)</f>
        <v/>
      </c>
      <c r="L1325" s="37">
        <f>SUM(F$5:F1325)/SUM(E$5:E1325)</f>
        <v/>
      </c>
    </row>
    <row r="1326">
      <c r="A1326" s="29" t="n">
        <v>45838</v>
      </c>
      <c r="B1326" s="37" t="inlineStr">
        <is>
          <t>JOB-2322</t>
        </is>
      </c>
      <c r="C1326" s="34" t="n">
        <v>1</v>
      </c>
      <c r="D1326" s="37" t="inlineStr">
        <is>
          <t>Tech A</t>
        </is>
      </c>
      <c r="E1326" s="35" t="n">
        <v>0.5</v>
      </c>
      <c r="F1326" s="35" t="n">
        <v>0.5</v>
      </c>
      <c r="G1326" s="37" t="inlineStr">
        <is>
          <t>N</t>
        </is>
      </c>
      <c r="H1326" s="37" t="inlineStr">
        <is>
          <t>N</t>
        </is>
      </c>
      <c r="I1326" s="37">
        <f>COUNTIF(G$5:G1326,"Y")/COUNTA(G$5:G1326)</f>
        <v/>
      </c>
      <c r="J1326" s="37">
        <f>COUNTIF(H$5:H1326,"Y")/COUNTA(H$5:H1326)</f>
        <v/>
      </c>
      <c r="K1326" s="37">
        <f>AVERAGE(F$5:F1326)</f>
        <v/>
      </c>
      <c r="L1326" s="37">
        <f>SUM(F$5:F1326)/SUM(E$5:E1326)</f>
        <v/>
      </c>
    </row>
    <row r="1327">
      <c r="A1327" s="29" t="n">
        <v>45839</v>
      </c>
      <c r="B1327" s="37" t="inlineStr">
        <is>
          <t>JOB-2323</t>
        </is>
      </c>
      <c r="C1327" s="34" t="n">
        <v>1</v>
      </c>
      <c r="D1327" s="37" t="inlineStr">
        <is>
          <t>Tech B</t>
        </is>
      </c>
      <c r="E1327" s="35" t="n">
        <v>0.5</v>
      </c>
      <c r="F1327" s="35" t="n">
        <v>0.5</v>
      </c>
      <c r="G1327" s="37" t="inlineStr">
        <is>
          <t>Y</t>
        </is>
      </c>
      <c r="H1327" s="37" t="inlineStr">
        <is>
          <t>N</t>
        </is>
      </c>
      <c r="I1327" s="37">
        <f>COUNTIF(G$5:G1327,"Y")/COUNTA(G$5:G1327)</f>
        <v/>
      </c>
      <c r="J1327" s="37">
        <f>COUNTIF(H$5:H1327,"Y")/COUNTA(H$5:H1327)</f>
        <v/>
      </c>
      <c r="K1327" s="37">
        <f>AVERAGE(F$5:F1327)</f>
        <v/>
      </c>
      <c r="L1327" s="37">
        <f>SUM(F$5:F1327)/SUM(E$5:E1327)</f>
        <v/>
      </c>
    </row>
    <row r="1328">
      <c r="A1328" s="29" t="n">
        <v>45840</v>
      </c>
      <c r="B1328" s="37" t="inlineStr">
        <is>
          <t>JOB-2324</t>
        </is>
      </c>
      <c r="C1328" s="34" t="n">
        <v>1</v>
      </c>
      <c r="D1328" s="37" t="inlineStr">
        <is>
          <t>Tech H</t>
        </is>
      </c>
      <c r="E1328" s="35" t="n">
        <v>0.5</v>
      </c>
      <c r="F1328" s="35" t="n">
        <v>0.5</v>
      </c>
      <c r="G1328" s="37" t="inlineStr">
        <is>
          <t>Y</t>
        </is>
      </c>
      <c r="H1328" s="37" t="inlineStr">
        <is>
          <t>N</t>
        </is>
      </c>
      <c r="I1328" s="37">
        <f>COUNTIF(G$5:G1328,"Y")/COUNTA(G$5:G1328)</f>
        <v/>
      </c>
      <c r="J1328" s="37">
        <f>COUNTIF(H$5:H1328,"Y")/COUNTA(H$5:H1328)</f>
        <v/>
      </c>
      <c r="K1328" s="37">
        <f>AVERAGE(F$5:F1328)</f>
        <v/>
      </c>
      <c r="L1328" s="37">
        <f>SUM(F$5:F1328)/SUM(E$5:E1328)</f>
        <v/>
      </c>
    </row>
    <row r="1329">
      <c r="A1329" s="29" t="n">
        <v>45841</v>
      </c>
      <c r="B1329" s="37" t="inlineStr">
        <is>
          <t>JOB-2325</t>
        </is>
      </c>
      <c r="C1329" s="34" t="n">
        <v>1</v>
      </c>
      <c r="D1329" s="37" t="inlineStr">
        <is>
          <t>Tech H</t>
        </is>
      </c>
      <c r="E1329" s="35" t="n">
        <v>0.5</v>
      </c>
      <c r="F1329" s="35" t="n">
        <v>0.5</v>
      </c>
      <c r="G1329" s="37" t="inlineStr">
        <is>
          <t>Y</t>
        </is>
      </c>
      <c r="H1329" s="37" t="inlineStr">
        <is>
          <t>N</t>
        </is>
      </c>
      <c r="I1329" s="37">
        <f>COUNTIF(G$5:G1329,"Y")/COUNTA(G$5:G1329)</f>
        <v/>
      </c>
      <c r="J1329" s="37">
        <f>COUNTIF(H$5:H1329,"Y")/COUNTA(H$5:H1329)</f>
        <v/>
      </c>
      <c r="K1329" s="37">
        <f>AVERAGE(F$5:F1329)</f>
        <v/>
      </c>
      <c r="L1329" s="37">
        <f>SUM(F$5:F1329)/SUM(E$5:E1329)</f>
        <v/>
      </c>
    </row>
    <row r="1330">
      <c r="A1330" s="29" t="n">
        <v>45842</v>
      </c>
      <c r="B1330" s="37" t="inlineStr">
        <is>
          <t>JOB-2326</t>
        </is>
      </c>
      <c r="C1330" s="34" t="n">
        <v>1</v>
      </c>
      <c r="D1330" s="37" t="inlineStr">
        <is>
          <t>Tech F</t>
        </is>
      </c>
      <c r="E1330" s="35" t="n">
        <v>0.5</v>
      </c>
      <c r="F1330" s="35" t="n">
        <v>0.5</v>
      </c>
      <c r="G1330" s="37" t="inlineStr">
        <is>
          <t>Y</t>
        </is>
      </c>
      <c r="H1330" s="37" t="inlineStr">
        <is>
          <t>N</t>
        </is>
      </c>
      <c r="I1330" s="37">
        <f>COUNTIF(G$5:G1330,"Y")/COUNTA(G$5:G1330)</f>
        <v/>
      </c>
      <c r="J1330" s="37">
        <f>COUNTIF(H$5:H1330,"Y")/COUNTA(H$5:H1330)</f>
        <v/>
      </c>
      <c r="K1330" s="37">
        <f>AVERAGE(F$5:F1330)</f>
        <v/>
      </c>
      <c r="L1330" s="37">
        <f>SUM(F$5:F1330)/SUM(E$5:E1330)</f>
        <v/>
      </c>
    </row>
    <row r="1331">
      <c r="A1331" s="29" t="n">
        <v>45838</v>
      </c>
      <c r="B1331" s="37" t="inlineStr">
        <is>
          <t>JOB-2327</t>
        </is>
      </c>
      <c r="C1331" s="34" t="n">
        <v>1</v>
      </c>
      <c r="D1331" s="37" t="inlineStr">
        <is>
          <t>Tech G</t>
        </is>
      </c>
      <c r="E1331" s="35" t="n">
        <v>0.5</v>
      </c>
      <c r="F1331" s="35" t="n">
        <v>0.5</v>
      </c>
      <c r="G1331" s="37" t="inlineStr">
        <is>
          <t>Y</t>
        </is>
      </c>
      <c r="H1331" s="37" t="inlineStr">
        <is>
          <t>N</t>
        </is>
      </c>
      <c r="I1331" s="37">
        <f>COUNTIF(G$5:G1331,"Y")/COUNTA(G$5:G1331)</f>
        <v/>
      </c>
      <c r="J1331" s="37">
        <f>COUNTIF(H$5:H1331,"Y")/COUNTA(H$5:H1331)</f>
        <v/>
      </c>
      <c r="K1331" s="37">
        <f>AVERAGE(F$5:F1331)</f>
        <v/>
      </c>
      <c r="L1331" s="37">
        <f>SUM(F$5:F1331)/SUM(E$5:E1331)</f>
        <v/>
      </c>
      <c r="M1331" s="37" t="n">
        <v>13</v>
      </c>
    </row>
    <row r="1332">
      <c r="A1332" s="29" t="n">
        <v>45845</v>
      </c>
      <c r="B1332" s="37" t="inlineStr">
        <is>
          <t>JOB-2328</t>
        </is>
      </c>
      <c r="C1332" s="34" t="n">
        <v>1</v>
      </c>
      <c r="D1332" s="37" t="inlineStr">
        <is>
          <t>Tech C</t>
        </is>
      </c>
      <c r="E1332" s="35" t="n">
        <v>5.5</v>
      </c>
      <c r="F1332" s="35" t="n">
        <v>3.9</v>
      </c>
      <c r="G1332" s="37" t="inlineStr">
        <is>
          <t>Y</t>
        </is>
      </c>
      <c r="H1332" s="37" t="inlineStr">
        <is>
          <t>N</t>
        </is>
      </c>
      <c r="I1332" s="37">
        <f>COUNTIF(G$5:G1332,"Y")/COUNTA(G$5:G1332)</f>
        <v/>
      </c>
      <c r="J1332" s="37">
        <f>COUNTIF(H$5:H1332,"Y")/COUNTA(H$5:H1332)</f>
        <v/>
      </c>
      <c r="K1332" s="37">
        <f>AVERAGE(F$5:F1332)</f>
        <v/>
      </c>
      <c r="L1332" s="37">
        <f>SUM(F$5:F1332)/SUM(E$5:E1332)</f>
        <v/>
      </c>
    </row>
    <row r="1333">
      <c r="A1333" s="29" t="n">
        <v>45846</v>
      </c>
      <c r="B1333" s="37" t="inlineStr">
        <is>
          <t>JOB-2329</t>
        </is>
      </c>
      <c r="C1333" s="34" t="n">
        <v>1</v>
      </c>
      <c r="D1333" s="37" t="inlineStr">
        <is>
          <t>Tech G</t>
        </is>
      </c>
      <c r="E1333" s="35" t="n">
        <v>2.7</v>
      </c>
      <c r="F1333" s="35" t="n">
        <v>2.4</v>
      </c>
      <c r="G1333" s="37" t="inlineStr">
        <is>
          <t>Y</t>
        </is>
      </c>
      <c r="H1333" s="37" t="inlineStr">
        <is>
          <t>N</t>
        </is>
      </c>
      <c r="I1333" s="37">
        <f>COUNTIF(G$5:G1333,"Y")/COUNTA(G$5:G1333)</f>
        <v/>
      </c>
      <c r="J1333" s="37">
        <f>COUNTIF(H$5:H1333,"Y")/COUNTA(H$5:H1333)</f>
        <v/>
      </c>
      <c r="K1333" s="37">
        <f>AVERAGE(F$5:F1333)</f>
        <v/>
      </c>
      <c r="L1333" s="37">
        <f>SUM(F$5:F1333)/SUM(E$5:E1333)</f>
        <v/>
      </c>
    </row>
    <row r="1334">
      <c r="A1334" s="29" t="n">
        <v>45847</v>
      </c>
      <c r="B1334" s="37" t="inlineStr">
        <is>
          <t>JOB-2330</t>
        </is>
      </c>
      <c r="C1334" s="34" t="n">
        <v>1</v>
      </c>
      <c r="D1334" s="37" t="inlineStr">
        <is>
          <t>Tech D</t>
        </is>
      </c>
      <c r="E1334" s="35" t="n">
        <v>4.1</v>
      </c>
      <c r="F1334" s="35" t="n">
        <v>3.6</v>
      </c>
      <c r="G1334" s="37" t="inlineStr">
        <is>
          <t>Y</t>
        </is>
      </c>
      <c r="H1334" s="37" t="inlineStr">
        <is>
          <t>N</t>
        </is>
      </c>
      <c r="I1334" s="37">
        <f>COUNTIF(G$5:G1334,"Y")/COUNTA(G$5:G1334)</f>
        <v/>
      </c>
      <c r="J1334" s="37">
        <f>COUNTIF(H$5:H1334,"Y")/COUNTA(H$5:H1334)</f>
        <v/>
      </c>
      <c r="K1334" s="37">
        <f>AVERAGE(F$5:F1334)</f>
        <v/>
      </c>
      <c r="L1334" s="37">
        <f>SUM(F$5:F1334)/SUM(E$5:E1334)</f>
        <v/>
      </c>
    </row>
    <row r="1335">
      <c r="A1335" s="29" t="n">
        <v>45848</v>
      </c>
      <c r="B1335" s="37" t="inlineStr">
        <is>
          <t>JOB-2331</t>
        </is>
      </c>
      <c r="C1335" s="34" t="n">
        <v>1</v>
      </c>
      <c r="D1335" s="37" t="inlineStr">
        <is>
          <t>Tech H</t>
        </is>
      </c>
      <c r="E1335" s="35" t="n">
        <v>3.5</v>
      </c>
      <c r="F1335" s="35" t="n">
        <v>2.5</v>
      </c>
      <c r="G1335" s="37" t="inlineStr">
        <is>
          <t>Y</t>
        </is>
      </c>
      <c r="H1335" s="37" t="inlineStr">
        <is>
          <t>N</t>
        </is>
      </c>
      <c r="I1335" s="37">
        <f>COUNTIF(G$5:G1335,"Y")/COUNTA(G$5:G1335)</f>
        <v/>
      </c>
      <c r="J1335" s="37">
        <f>COUNTIF(H$5:H1335,"Y")/COUNTA(H$5:H1335)</f>
        <v/>
      </c>
      <c r="K1335" s="37">
        <f>AVERAGE(F$5:F1335)</f>
        <v/>
      </c>
      <c r="L1335" s="37">
        <f>SUM(F$5:F1335)/SUM(E$5:E1335)</f>
        <v/>
      </c>
    </row>
    <row r="1336">
      <c r="A1336" s="29" t="n">
        <v>45849</v>
      </c>
      <c r="B1336" s="37" t="inlineStr">
        <is>
          <t>JOB-2332</t>
        </is>
      </c>
      <c r="C1336" s="34" t="n">
        <v>1</v>
      </c>
      <c r="D1336" s="37" t="inlineStr">
        <is>
          <t>Tech H</t>
        </is>
      </c>
      <c r="E1336" s="35" t="n">
        <v>4.3</v>
      </c>
      <c r="F1336" s="35" t="n">
        <v>3.8</v>
      </c>
      <c r="G1336" s="37" t="inlineStr">
        <is>
          <t>Y</t>
        </is>
      </c>
      <c r="H1336" s="37" t="inlineStr">
        <is>
          <t>N</t>
        </is>
      </c>
      <c r="I1336" s="37">
        <f>COUNTIF(G$5:G1336,"Y")/COUNTA(G$5:G1336)</f>
        <v/>
      </c>
      <c r="J1336" s="37">
        <f>COUNTIF(H$5:H1336,"Y")/COUNTA(H$5:H1336)</f>
        <v/>
      </c>
      <c r="K1336" s="37">
        <f>AVERAGE(F$5:F1336)</f>
        <v/>
      </c>
      <c r="L1336" s="37">
        <f>SUM(F$5:F1336)/SUM(E$5:E1336)</f>
        <v/>
      </c>
    </row>
    <row r="1337">
      <c r="A1337" s="29" t="n">
        <v>45845</v>
      </c>
      <c r="B1337" s="37" t="inlineStr">
        <is>
          <t>JOB-2333</t>
        </is>
      </c>
      <c r="C1337" s="34" t="n">
        <v>1</v>
      </c>
      <c r="D1337" s="37" t="inlineStr">
        <is>
          <t>Tech G</t>
        </is>
      </c>
      <c r="E1337" s="35" t="n">
        <v>4.1</v>
      </c>
      <c r="F1337" s="35" t="n">
        <v>2.9</v>
      </c>
      <c r="G1337" s="37" t="inlineStr">
        <is>
          <t>Y</t>
        </is>
      </c>
      <c r="H1337" s="37" t="inlineStr">
        <is>
          <t>N</t>
        </is>
      </c>
      <c r="I1337" s="37">
        <f>COUNTIF(G$5:G1337,"Y")/COUNTA(G$5:G1337)</f>
        <v/>
      </c>
      <c r="J1337" s="37">
        <f>COUNTIF(H$5:H1337,"Y")/COUNTA(H$5:H1337)</f>
        <v/>
      </c>
      <c r="K1337" s="37">
        <f>AVERAGE(F$5:F1337)</f>
        <v/>
      </c>
      <c r="L1337" s="37">
        <f>SUM(F$5:F1337)/SUM(E$5:E1337)</f>
        <v/>
      </c>
    </row>
    <row r="1338">
      <c r="A1338" s="29" t="n">
        <v>45846</v>
      </c>
      <c r="B1338" s="37" t="inlineStr">
        <is>
          <t>JOB-2334</t>
        </is>
      </c>
      <c r="C1338" s="34" t="n">
        <v>1</v>
      </c>
      <c r="D1338" s="37" t="inlineStr">
        <is>
          <t>Tech G</t>
        </is>
      </c>
      <c r="E1338" s="35" t="n">
        <v>2.3</v>
      </c>
      <c r="F1338" s="35" t="n">
        <v>2</v>
      </c>
      <c r="G1338" s="37" t="inlineStr">
        <is>
          <t>Y</t>
        </is>
      </c>
      <c r="H1338" s="37" t="inlineStr">
        <is>
          <t>N</t>
        </is>
      </c>
      <c r="I1338" s="37">
        <f>COUNTIF(G$5:G1338,"Y")/COUNTA(G$5:G1338)</f>
        <v/>
      </c>
      <c r="J1338" s="37">
        <f>COUNTIF(H$5:H1338,"Y")/COUNTA(H$5:H1338)</f>
        <v/>
      </c>
      <c r="K1338" s="37">
        <f>AVERAGE(F$5:F1338)</f>
        <v/>
      </c>
      <c r="L1338" s="37">
        <f>SUM(F$5:F1338)/SUM(E$5:E1338)</f>
        <v/>
      </c>
    </row>
    <row r="1339">
      <c r="A1339" s="29" t="n">
        <v>45847</v>
      </c>
      <c r="B1339" s="37" t="inlineStr">
        <is>
          <t>JOB-2335</t>
        </is>
      </c>
      <c r="C1339" s="34" t="n">
        <v>1</v>
      </c>
      <c r="D1339" s="37" t="inlineStr">
        <is>
          <t>Tech C</t>
        </is>
      </c>
      <c r="E1339" s="35" t="n">
        <v>3</v>
      </c>
      <c r="F1339" s="35" t="n">
        <v>2.1</v>
      </c>
      <c r="G1339" s="37" t="inlineStr">
        <is>
          <t>Y</t>
        </is>
      </c>
      <c r="H1339" s="37" t="inlineStr">
        <is>
          <t>N</t>
        </is>
      </c>
      <c r="I1339" s="37">
        <f>COUNTIF(G$5:G1339,"Y")/COUNTA(G$5:G1339)</f>
        <v/>
      </c>
      <c r="J1339" s="37">
        <f>COUNTIF(H$5:H1339,"Y")/COUNTA(H$5:H1339)</f>
        <v/>
      </c>
      <c r="K1339" s="37">
        <f>AVERAGE(F$5:F1339)</f>
        <v/>
      </c>
      <c r="L1339" s="37">
        <f>SUM(F$5:F1339)/SUM(E$5:E1339)</f>
        <v/>
      </c>
    </row>
    <row r="1340">
      <c r="A1340" s="29" t="n">
        <v>45848</v>
      </c>
      <c r="B1340" s="37" t="inlineStr">
        <is>
          <t>JOB-2336</t>
        </is>
      </c>
      <c r="C1340" s="34" t="n">
        <v>1</v>
      </c>
      <c r="D1340" s="37" t="inlineStr">
        <is>
          <t>Tech C</t>
        </is>
      </c>
      <c r="E1340" s="35" t="n">
        <v>3.1</v>
      </c>
      <c r="F1340" s="35" t="n">
        <v>2.4</v>
      </c>
      <c r="G1340" s="37" t="inlineStr">
        <is>
          <t>Y</t>
        </is>
      </c>
      <c r="H1340" s="37" t="inlineStr">
        <is>
          <t>N</t>
        </is>
      </c>
      <c r="I1340" s="37">
        <f>COUNTIF(G$5:G1340,"Y")/COUNTA(G$5:G1340)</f>
        <v/>
      </c>
      <c r="J1340" s="37">
        <f>COUNTIF(H$5:H1340,"Y")/COUNTA(H$5:H1340)</f>
        <v/>
      </c>
      <c r="K1340" s="37">
        <f>AVERAGE(F$5:F1340)</f>
        <v/>
      </c>
      <c r="L1340" s="37">
        <f>SUM(F$5:F1340)/SUM(E$5:E1340)</f>
        <v/>
      </c>
    </row>
    <row r="1341">
      <c r="A1341" s="29" t="n">
        <v>45849</v>
      </c>
      <c r="B1341" s="37" t="inlineStr">
        <is>
          <t>JOB-2337</t>
        </is>
      </c>
      <c r="C1341" s="34" t="n">
        <v>1</v>
      </c>
      <c r="D1341" s="37" t="inlineStr">
        <is>
          <t>Tech B</t>
        </is>
      </c>
      <c r="E1341" s="35" t="n">
        <v>3.3</v>
      </c>
      <c r="F1341" s="35" t="n">
        <v>2.4</v>
      </c>
      <c r="G1341" s="37" t="inlineStr">
        <is>
          <t>Y</t>
        </is>
      </c>
      <c r="H1341" s="37" t="inlineStr">
        <is>
          <t>N</t>
        </is>
      </c>
      <c r="I1341" s="37">
        <f>COUNTIF(G$5:G1341,"Y")/COUNTA(G$5:G1341)</f>
        <v/>
      </c>
      <c r="J1341" s="37">
        <f>COUNTIF(H$5:H1341,"Y")/COUNTA(H$5:H1341)</f>
        <v/>
      </c>
      <c r="K1341" s="37">
        <f>AVERAGE(F$5:F1341)</f>
        <v/>
      </c>
      <c r="L1341" s="37">
        <f>SUM(F$5:F1341)/SUM(E$5:E1341)</f>
        <v/>
      </c>
    </row>
    <row r="1342">
      <c r="A1342" s="29" t="n">
        <v>45845</v>
      </c>
      <c r="B1342" s="37" t="inlineStr">
        <is>
          <t>JOB-2338</t>
        </is>
      </c>
      <c r="C1342" s="34" t="n">
        <v>1</v>
      </c>
      <c r="D1342" s="37" t="inlineStr">
        <is>
          <t>Tech G</t>
        </is>
      </c>
      <c r="E1342" s="35" t="n">
        <v>3.4</v>
      </c>
      <c r="F1342" s="35" t="n">
        <v>2.3</v>
      </c>
      <c r="G1342" s="37" t="inlineStr">
        <is>
          <t>Y</t>
        </is>
      </c>
      <c r="H1342" s="37" t="inlineStr">
        <is>
          <t>N</t>
        </is>
      </c>
      <c r="I1342" s="37">
        <f>COUNTIF(G$5:G1342,"Y")/COUNTA(G$5:G1342)</f>
        <v/>
      </c>
      <c r="J1342" s="37">
        <f>COUNTIF(H$5:H1342,"Y")/COUNTA(H$5:H1342)</f>
        <v/>
      </c>
      <c r="K1342" s="37">
        <f>AVERAGE(F$5:F1342)</f>
        <v/>
      </c>
      <c r="L1342" s="37">
        <f>SUM(F$5:F1342)/SUM(E$5:E1342)</f>
        <v/>
      </c>
    </row>
    <row r="1343">
      <c r="A1343" s="29" t="n">
        <v>45846</v>
      </c>
      <c r="B1343" s="37" t="inlineStr">
        <is>
          <t>JOB-2339</t>
        </is>
      </c>
      <c r="C1343" s="34" t="n">
        <v>1</v>
      </c>
      <c r="D1343" s="37" t="inlineStr">
        <is>
          <t>Tech A</t>
        </is>
      </c>
      <c r="E1343" s="35" t="n">
        <v>4.2</v>
      </c>
      <c r="F1343" s="35" t="n">
        <v>3.4</v>
      </c>
      <c r="G1343" s="37" t="inlineStr">
        <is>
          <t>Y</t>
        </is>
      </c>
      <c r="H1343" s="37" t="inlineStr">
        <is>
          <t>N</t>
        </is>
      </c>
      <c r="I1343" s="37">
        <f>COUNTIF(G$5:G1343,"Y")/COUNTA(G$5:G1343)</f>
        <v/>
      </c>
      <c r="J1343" s="37">
        <f>COUNTIF(H$5:H1343,"Y")/COUNTA(H$5:H1343)</f>
        <v/>
      </c>
      <c r="K1343" s="37">
        <f>AVERAGE(F$5:F1343)</f>
        <v/>
      </c>
      <c r="L1343" s="37">
        <f>SUM(F$5:F1343)/SUM(E$5:E1343)</f>
        <v/>
      </c>
    </row>
    <row r="1344">
      <c r="A1344" s="29" t="n">
        <v>45847</v>
      </c>
      <c r="B1344" s="37" t="inlineStr">
        <is>
          <t>JOB-2340</t>
        </is>
      </c>
      <c r="C1344" s="34" t="n">
        <v>1</v>
      </c>
      <c r="D1344" s="37" t="inlineStr">
        <is>
          <t>Tech C</t>
        </is>
      </c>
      <c r="E1344" s="35" t="n">
        <v>1.8</v>
      </c>
      <c r="F1344" s="35" t="n">
        <v>1.2</v>
      </c>
      <c r="G1344" s="37" t="inlineStr">
        <is>
          <t>N</t>
        </is>
      </c>
      <c r="H1344" s="37" t="inlineStr">
        <is>
          <t>N</t>
        </is>
      </c>
      <c r="I1344" s="37">
        <f>COUNTIF(G$5:G1344,"Y")/COUNTA(G$5:G1344)</f>
        <v/>
      </c>
      <c r="J1344" s="37">
        <f>COUNTIF(H$5:H1344,"Y")/COUNTA(H$5:H1344)</f>
        <v/>
      </c>
      <c r="K1344" s="37">
        <f>AVERAGE(F$5:F1344)</f>
        <v/>
      </c>
      <c r="L1344" s="37">
        <f>SUM(F$5:F1344)/SUM(E$5:E1344)</f>
        <v/>
      </c>
    </row>
    <row r="1345">
      <c r="A1345" s="29" t="n">
        <v>45848</v>
      </c>
      <c r="B1345" s="37" t="inlineStr">
        <is>
          <t>JOB-2341</t>
        </is>
      </c>
      <c r="C1345" s="34" t="n">
        <v>1</v>
      </c>
      <c r="D1345" s="37" t="inlineStr">
        <is>
          <t>Tech G</t>
        </is>
      </c>
      <c r="E1345" s="35" t="n">
        <v>4.5</v>
      </c>
      <c r="F1345" s="35" t="n">
        <v>3.2</v>
      </c>
      <c r="G1345" s="37" t="inlineStr">
        <is>
          <t>N</t>
        </is>
      </c>
      <c r="H1345" s="37" t="inlineStr">
        <is>
          <t>N</t>
        </is>
      </c>
      <c r="I1345" s="37">
        <f>COUNTIF(G$5:G1345,"Y")/COUNTA(G$5:G1345)</f>
        <v/>
      </c>
      <c r="J1345" s="37">
        <f>COUNTIF(H$5:H1345,"Y")/COUNTA(H$5:H1345)</f>
        <v/>
      </c>
      <c r="K1345" s="37">
        <f>AVERAGE(F$5:F1345)</f>
        <v/>
      </c>
      <c r="L1345" s="37">
        <f>SUM(F$5:F1345)/SUM(E$5:E1345)</f>
        <v/>
      </c>
    </row>
    <row r="1346">
      <c r="A1346" s="29" t="n">
        <v>45849</v>
      </c>
      <c r="B1346" s="37" t="inlineStr">
        <is>
          <t>JOB-2342</t>
        </is>
      </c>
      <c r="C1346" s="34" t="n">
        <v>1</v>
      </c>
      <c r="D1346" s="37" t="inlineStr">
        <is>
          <t>Tech A</t>
        </is>
      </c>
      <c r="E1346" s="35" t="n">
        <v>3.1</v>
      </c>
      <c r="F1346" s="35" t="n">
        <v>2.7</v>
      </c>
      <c r="G1346" s="37" t="inlineStr">
        <is>
          <t>Y</t>
        </is>
      </c>
      <c r="H1346" s="37" t="inlineStr">
        <is>
          <t>N</t>
        </is>
      </c>
      <c r="I1346" s="37">
        <f>COUNTIF(G$5:G1346,"Y")/COUNTA(G$5:G1346)</f>
        <v/>
      </c>
      <c r="J1346" s="37">
        <f>COUNTIF(H$5:H1346,"Y")/COUNTA(H$5:H1346)</f>
        <v/>
      </c>
      <c r="K1346" s="37">
        <f>AVERAGE(F$5:F1346)</f>
        <v/>
      </c>
      <c r="L1346" s="37">
        <f>SUM(F$5:F1346)/SUM(E$5:E1346)</f>
        <v/>
      </c>
    </row>
    <row r="1347">
      <c r="A1347" s="29" t="n">
        <v>45845</v>
      </c>
      <c r="B1347" s="37" t="inlineStr">
        <is>
          <t>JOB-2343</t>
        </is>
      </c>
      <c r="C1347" s="34" t="n">
        <v>1</v>
      </c>
      <c r="D1347" s="37" t="inlineStr">
        <is>
          <t>Tech D</t>
        </is>
      </c>
      <c r="E1347" s="35" t="n">
        <v>2.9</v>
      </c>
      <c r="F1347" s="35" t="n">
        <v>2.5</v>
      </c>
      <c r="G1347" s="37" t="inlineStr">
        <is>
          <t>Y</t>
        </is>
      </c>
      <c r="H1347" s="37" t="inlineStr">
        <is>
          <t>N</t>
        </is>
      </c>
      <c r="I1347" s="37">
        <f>COUNTIF(G$5:G1347,"Y")/COUNTA(G$5:G1347)</f>
        <v/>
      </c>
      <c r="J1347" s="37">
        <f>COUNTIF(H$5:H1347,"Y")/COUNTA(H$5:H1347)</f>
        <v/>
      </c>
      <c r="K1347" s="37">
        <f>AVERAGE(F$5:F1347)</f>
        <v/>
      </c>
      <c r="L1347" s="37">
        <f>SUM(F$5:F1347)/SUM(E$5:E1347)</f>
        <v/>
      </c>
    </row>
    <row r="1348">
      <c r="A1348" s="29" t="n">
        <v>45846</v>
      </c>
      <c r="B1348" s="37" t="inlineStr">
        <is>
          <t>JOB-2344</t>
        </is>
      </c>
      <c r="C1348" s="34" t="n">
        <v>1</v>
      </c>
      <c r="D1348" s="37" t="inlineStr">
        <is>
          <t>Tech D</t>
        </is>
      </c>
      <c r="E1348" s="35" t="n">
        <v>1.8</v>
      </c>
      <c r="F1348" s="35" t="n">
        <v>1.2</v>
      </c>
      <c r="G1348" s="37" t="inlineStr">
        <is>
          <t>Y</t>
        </is>
      </c>
      <c r="H1348" s="37" t="inlineStr">
        <is>
          <t>N</t>
        </is>
      </c>
      <c r="I1348" s="37">
        <f>COUNTIF(G$5:G1348,"Y")/COUNTA(G$5:G1348)</f>
        <v/>
      </c>
      <c r="J1348" s="37">
        <f>COUNTIF(H$5:H1348,"Y")/COUNTA(H$5:H1348)</f>
        <v/>
      </c>
      <c r="K1348" s="37">
        <f>AVERAGE(F$5:F1348)</f>
        <v/>
      </c>
      <c r="L1348" s="37">
        <f>SUM(F$5:F1348)/SUM(E$5:E1348)</f>
        <v/>
      </c>
    </row>
    <row r="1349">
      <c r="A1349" s="29" t="n">
        <v>45847</v>
      </c>
      <c r="B1349" s="37" t="inlineStr">
        <is>
          <t>JOB-2345</t>
        </is>
      </c>
      <c r="C1349" s="34" t="n">
        <v>1</v>
      </c>
      <c r="D1349" s="37" t="inlineStr">
        <is>
          <t>Tech C</t>
        </is>
      </c>
      <c r="E1349" s="35" t="n">
        <v>4.6</v>
      </c>
      <c r="F1349" s="35" t="n">
        <v>3.4</v>
      </c>
      <c r="G1349" s="37" t="inlineStr">
        <is>
          <t>Y</t>
        </is>
      </c>
      <c r="H1349" s="37" t="inlineStr">
        <is>
          <t>N</t>
        </is>
      </c>
      <c r="I1349" s="37">
        <f>COUNTIF(G$5:G1349,"Y")/COUNTA(G$5:G1349)</f>
        <v/>
      </c>
      <c r="J1349" s="37">
        <f>COUNTIF(H$5:H1349,"Y")/COUNTA(H$5:H1349)</f>
        <v/>
      </c>
      <c r="K1349" s="37">
        <f>AVERAGE(F$5:F1349)</f>
        <v/>
      </c>
      <c r="L1349" s="37">
        <f>SUM(F$5:F1349)/SUM(E$5:E1349)</f>
        <v/>
      </c>
    </row>
    <row r="1350">
      <c r="A1350" s="29" t="n">
        <v>45848</v>
      </c>
      <c r="B1350" s="37" t="inlineStr">
        <is>
          <t>JOB-2346</t>
        </is>
      </c>
      <c r="C1350" s="34" t="n">
        <v>1</v>
      </c>
      <c r="D1350" s="37" t="inlineStr">
        <is>
          <t>Tech A</t>
        </is>
      </c>
      <c r="E1350" s="35" t="n">
        <v>2.2</v>
      </c>
      <c r="F1350" s="35" t="n">
        <v>1.9</v>
      </c>
      <c r="G1350" s="37" t="inlineStr">
        <is>
          <t>Y</t>
        </is>
      </c>
      <c r="H1350" s="37" t="inlineStr">
        <is>
          <t>N</t>
        </is>
      </c>
      <c r="I1350" s="37">
        <f>COUNTIF(G$5:G1350,"Y")/COUNTA(G$5:G1350)</f>
        <v/>
      </c>
      <c r="J1350" s="37">
        <f>COUNTIF(H$5:H1350,"Y")/COUNTA(H$5:H1350)</f>
        <v/>
      </c>
      <c r="K1350" s="37">
        <f>AVERAGE(F$5:F1350)</f>
        <v/>
      </c>
      <c r="L1350" s="37">
        <f>SUM(F$5:F1350)/SUM(E$5:E1350)</f>
        <v/>
      </c>
    </row>
    <row r="1351">
      <c r="A1351" s="29" t="n">
        <v>45849</v>
      </c>
      <c r="B1351" s="37" t="inlineStr">
        <is>
          <t>JOB-2347</t>
        </is>
      </c>
      <c r="C1351" s="34" t="n">
        <v>1</v>
      </c>
      <c r="D1351" s="37" t="inlineStr">
        <is>
          <t>Tech C</t>
        </is>
      </c>
      <c r="E1351" s="35" t="n">
        <v>3.6</v>
      </c>
      <c r="F1351" s="35" t="n">
        <v>2.5</v>
      </c>
      <c r="G1351" s="37" t="inlineStr">
        <is>
          <t>Y</t>
        </is>
      </c>
      <c r="H1351" s="37" t="inlineStr">
        <is>
          <t>N</t>
        </is>
      </c>
      <c r="I1351" s="37">
        <f>COUNTIF(G$5:G1351,"Y")/COUNTA(G$5:G1351)</f>
        <v/>
      </c>
      <c r="J1351" s="37">
        <f>COUNTIF(H$5:H1351,"Y")/COUNTA(H$5:H1351)</f>
        <v/>
      </c>
      <c r="K1351" s="37">
        <f>AVERAGE(F$5:F1351)</f>
        <v/>
      </c>
      <c r="L1351" s="37">
        <f>SUM(F$5:F1351)/SUM(E$5:E1351)</f>
        <v/>
      </c>
    </row>
    <row r="1352">
      <c r="A1352" s="29" t="n">
        <v>45845</v>
      </c>
      <c r="B1352" s="37" t="inlineStr">
        <is>
          <t>JOB-2348</t>
        </is>
      </c>
      <c r="C1352" s="34" t="n">
        <v>1</v>
      </c>
      <c r="D1352" s="37" t="inlineStr">
        <is>
          <t>Tech G</t>
        </is>
      </c>
      <c r="E1352" s="35" t="n">
        <v>2.2</v>
      </c>
      <c r="F1352" s="35" t="n">
        <v>1.9</v>
      </c>
      <c r="G1352" s="37" t="inlineStr">
        <is>
          <t>Y</t>
        </is>
      </c>
      <c r="H1352" s="37" t="inlineStr">
        <is>
          <t>N</t>
        </is>
      </c>
      <c r="I1352" s="37">
        <f>COUNTIF(G$5:G1352,"Y")/COUNTA(G$5:G1352)</f>
        <v/>
      </c>
      <c r="J1352" s="37">
        <f>COUNTIF(H$5:H1352,"Y")/COUNTA(H$5:H1352)</f>
        <v/>
      </c>
      <c r="K1352" s="37">
        <f>AVERAGE(F$5:F1352)</f>
        <v/>
      </c>
      <c r="L1352" s="37">
        <f>SUM(F$5:F1352)/SUM(E$5:E1352)</f>
        <v/>
      </c>
    </row>
    <row r="1353">
      <c r="A1353" s="29" t="n">
        <v>45846</v>
      </c>
      <c r="B1353" s="37" t="inlineStr">
        <is>
          <t>JOB-2349</t>
        </is>
      </c>
      <c r="C1353" s="34" t="n">
        <v>1</v>
      </c>
      <c r="D1353" s="37" t="inlineStr">
        <is>
          <t>Tech C</t>
        </is>
      </c>
      <c r="E1353" s="35" t="n">
        <v>2.7</v>
      </c>
      <c r="F1353" s="35" t="n">
        <v>1.9</v>
      </c>
      <c r="G1353" s="37" t="inlineStr">
        <is>
          <t>Y</t>
        </is>
      </c>
      <c r="H1353" s="37" t="inlineStr">
        <is>
          <t>N</t>
        </is>
      </c>
      <c r="I1353" s="37">
        <f>COUNTIF(G$5:G1353,"Y")/COUNTA(G$5:G1353)</f>
        <v/>
      </c>
      <c r="J1353" s="37">
        <f>COUNTIF(H$5:H1353,"Y")/COUNTA(H$5:H1353)</f>
        <v/>
      </c>
      <c r="K1353" s="37">
        <f>AVERAGE(F$5:F1353)</f>
        <v/>
      </c>
      <c r="L1353" s="37">
        <f>SUM(F$5:F1353)/SUM(E$5:E1353)</f>
        <v/>
      </c>
    </row>
    <row r="1354">
      <c r="A1354" s="29" t="n">
        <v>45847</v>
      </c>
      <c r="B1354" s="37" t="inlineStr">
        <is>
          <t>JOB-2350</t>
        </is>
      </c>
      <c r="C1354" s="34" t="n">
        <v>1</v>
      </c>
      <c r="D1354" s="37" t="inlineStr">
        <is>
          <t>Tech B</t>
        </is>
      </c>
      <c r="E1354" s="35" t="n">
        <v>1.3</v>
      </c>
      <c r="F1354" s="35" t="n">
        <v>1.1</v>
      </c>
      <c r="G1354" s="37" t="inlineStr">
        <is>
          <t>Y</t>
        </is>
      </c>
      <c r="H1354" s="37" t="inlineStr">
        <is>
          <t>N</t>
        </is>
      </c>
      <c r="I1354" s="37">
        <f>COUNTIF(G$5:G1354,"Y")/COUNTA(G$5:G1354)</f>
        <v/>
      </c>
      <c r="J1354" s="37">
        <f>COUNTIF(H$5:H1354,"Y")/COUNTA(H$5:H1354)</f>
        <v/>
      </c>
      <c r="K1354" s="37">
        <f>AVERAGE(F$5:F1354)</f>
        <v/>
      </c>
      <c r="L1354" s="37">
        <f>SUM(F$5:F1354)/SUM(E$5:E1354)</f>
        <v/>
      </c>
    </row>
    <row r="1355">
      <c r="A1355" s="29" t="n">
        <v>45848</v>
      </c>
      <c r="B1355" s="37" t="inlineStr">
        <is>
          <t>JOB-2351</t>
        </is>
      </c>
      <c r="C1355" s="34" t="n">
        <v>1</v>
      </c>
      <c r="D1355" s="37" t="inlineStr">
        <is>
          <t>Tech D</t>
        </is>
      </c>
      <c r="E1355" s="35" t="n">
        <v>2.1</v>
      </c>
      <c r="F1355" s="35" t="n">
        <v>1.6</v>
      </c>
      <c r="G1355" s="37" t="inlineStr">
        <is>
          <t>Y</t>
        </is>
      </c>
      <c r="H1355" s="37" t="inlineStr">
        <is>
          <t>N</t>
        </is>
      </c>
      <c r="I1355" s="37">
        <f>COUNTIF(G$5:G1355,"Y")/COUNTA(G$5:G1355)</f>
        <v/>
      </c>
      <c r="J1355" s="37">
        <f>COUNTIF(H$5:H1355,"Y")/COUNTA(H$5:H1355)</f>
        <v/>
      </c>
      <c r="K1355" s="37">
        <f>AVERAGE(F$5:F1355)</f>
        <v/>
      </c>
      <c r="L1355" s="37">
        <f>SUM(F$5:F1355)/SUM(E$5:E1355)</f>
        <v/>
      </c>
    </row>
    <row r="1356">
      <c r="A1356" s="29" t="n">
        <v>45849</v>
      </c>
      <c r="B1356" s="37" t="inlineStr">
        <is>
          <t>JOB-2352</t>
        </is>
      </c>
      <c r="C1356" s="34" t="n">
        <v>1</v>
      </c>
      <c r="D1356" s="37" t="inlineStr">
        <is>
          <t>Tech A</t>
        </is>
      </c>
      <c r="E1356" s="35" t="n">
        <v>1.9</v>
      </c>
      <c r="F1356" s="35" t="n">
        <v>1.5</v>
      </c>
      <c r="G1356" s="37" t="inlineStr">
        <is>
          <t>Y</t>
        </is>
      </c>
      <c r="H1356" s="37" t="inlineStr">
        <is>
          <t>N</t>
        </is>
      </c>
      <c r="I1356" s="37">
        <f>COUNTIF(G$5:G1356,"Y")/COUNTA(G$5:G1356)</f>
        <v/>
      </c>
      <c r="J1356" s="37">
        <f>COUNTIF(H$5:H1356,"Y")/COUNTA(H$5:H1356)</f>
        <v/>
      </c>
      <c r="K1356" s="37">
        <f>AVERAGE(F$5:F1356)</f>
        <v/>
      </c>
      <c r="L1356" s="37">
        <f>SUM(F$5:F1356)/SUM(E$5:E1356)</f>
        <v/>
      </c>
    </row>
    <row r="1357">
      <c r="A1357" s="29" t="n">
        <v>45845</v>
      </c>
      <c r="B1357" s="37" t="inlineStr">
        <is>
          <t>JOB-2353</t>
        </is>
      </c>
      <c r="C1357" s="34" t="n">
        <v>1</v>
      </c>
      <c r="D1357" s="37" t="inlineStr">
        <is>
          <t>Tech D</t>
        </is>
      </c>
      <c r="E1357" s="35" t="n">
        <v>4.1</v>
      </c>
      <c r="F1357" s="35" t="n">
        <v>3.4</v>
      </c>
      <c r="G1357" s="37" t="inlineStr">
        <is>
          <t>Y</t>
        </is>
      </c>
      <c r="H1357" s="37" t="inlineStr">
        <is>
          <t>N</t>
        </is>
      </c>
      <c r="I1357" s="37">
        <f>COUNTIF(G$5:G1357,"Y")/COUNTA(G$5:G1357)</f>
        <v/>
      </c>
      <c r="J1357" s="37">
        <f>COUNTIF(H$5:H1357,"Y")/COUNTA(H$5:H1357)</f>
        <v/>
      </c>
      <c r="K1357" s="37">
        <f>AVERAGE(F$5:F1357)</f>
        <v/>
      </c>
      <c r="L1357" s="37">
        <f>SUM(F$5:F1357)/SUM(E$5:E1357)</f>
        <v/>
      </c>
    </row>
    <row r="1358">
      <c r="A1358" s="29" t="n">
        <v>45846</v>
      </c>
      <c r="B1358" s="37" t="inlineStr">
        <is>
          <t>JOB-2354</t>
        </is>
      </c>
      <c r="C1358" s="34" t="n">
        <v>1</v>
      </c>
      <c r="D1358" s="37" t="inlineStr">
        <is>
          <t>Tech B</t>
        </is>
      </c>
      <c r="E1358" s="35" t="n">
        <v>4</v>
      </c>
      <c r="F1358" s="35" t="n">
        <v>3.1</v>
      </c>
      <c r="G1358" s="37" t="inlineStr">
        <is>
          <t>Y</t>
        </is>
      </c>
      <c r="H1358" s="37" t="inlineStr">
        <is>
          <t>Y</t>
        </is>
      </c>
      <c r="I1358" s="37">
        <f>COUNTIF(G$5:G1358,"Y")/COUNTA(G$5:G1358)</f>
        <v/>
      </c>
      <c r="J1358" s="37">
        <f>COUNTIF(H$5:H1358,"Y")/COUNTA(H$5:H1358)</f>
        <v/>
      </c>
      <c r="K1358" s="37">
        <f>AVERAGE(F$5:F1358)</f>
        <v/>
      </c>
      <c r="L1358" s="37">
        <f>SUM(F$5:F1358)/SUM(E$5:E1358)</f>
        <v/>
      </c>
    </row>
    <row r="1359">
      <c r="A1359" s="29" t="n">
        <v>45847</v>
      </c>
      <c r="B1359" s="37" t="inlineStr">
        <is>
          <t>JOB-2355</t>
        </is>
      </c>
      <c r="C1359" s="34" t="n">
        <v>1</v>
      </c>
      <c r="D1359" s="37" t="inlineStr">
        <is>
          <t>Tech F</t>
        </is>
      </c>
      <c r="E1359" s="35" t="n">
        <v>4.9</v>
      </c>
      <c r="F1359" s="35" t="n">
        <v>3.4</v>
      </c>
      <c r="G1359" s="37" t="inlineStr">
        <is>
          <t>N</t>
        </is>
      </c>
      <c r="H1359" s="37" t="inlineStr">
        <is>
          <t>N</t>
        </is>
      </c>
      <c r="I1359" s="37">
        <f>COUNTIF(G$5:G1359,"Y")/COUNTA(G$5:G1359)</f>
        <v/>
      </c>
      <c r="J1359" s="37">
        <f>COUNTIF(H$5:H1359,"Y")/COUNTA(H$5:H1359)</f>
        <v/>
      </c>
      <c r="K1359" s="37">
        <f>AVERAGE(F$5:F1359)</f>
        <v/>
      </c>
      <c r="L1359" s="37">
        <f>SUM(F$5:F1359)/SUM(E$5:E1359)</f>
        <v/>
      </c>
    </row>
    <row r="1360">
      <c r="A1360" s="29" t="n">
        <v>45848</v>
      </c>
      <c r="B1360" s="37" t="inlineStr">
        <is>
          <t>JOB-2356</t>
        </is>
      </c>
      <c r="C1360" s="34" t="n">
        <v>1</v>
      </c>
      <c r="D1360" s="37" t="inlineStr">
        <is>
          <t>Tech D</t>
        </is>
      </c>
      <c r="E1360" s="35" t="n">
        <v>2.4</v>
      </c>
      <c r="F1360" s="35" t="n">
        <v>2.1</v>
      </c>
      <c r="G1360" s="37" t="inlineStr">
        <is>
          <t>N</t>
        </is>
      </c>
      <c r="H1360" s="37" t="inlineStr">
        <is>
          <t>N</t>
        </is>
      </c>
      <c r="I1360" s="37">
        <f>COUNTIF(G$5:G1360,"Y")/COUNTA(G$5:G1360)</f>
        <v/>
      </c>
      <c r="J1360" s="37">
        <f>COUNTIF(H$5:H1360,"Y")/COUNTA(H$5:H1360)</f>
        <v/>
      </c>
      <c r="K1360" s="37">
        <f>AVERAGE(F$5:F1360)</f>
        <v/>
      </c>
      <c r="L1360" s="37">
        <f>SUM(F$5:F1360)/SUM(E$5:E1360)</f>
        <v/>
      </c>
    </row>
    <row r="1361">
      <c r="A1361" s="29" t="n">
        <v>45849</v>
      </c>
      <c r="B1361" s="37" t="inlineStr">
        <is>
          <t>JOB-2357</t>
        </is>
      </c>
      <c r="C1361" s="34" t="n">
        <v>1</v>
      </c>
      <c r="D1361" s="37" t="inlineStr">
        <is>
          <t>Tech B</t>
        </is>
      </c>
      <c r="E1361" s="35" t="n">
        <v>2.2</v>
      </c>
      <c r="F1361" s="35" t="n">
        <v>1.5</v>
      </c>
      <c r="G1361" s="37" t="inlineStr">
        <is>
          <t>Y</t>
        </is>
      </c>
      <c r="H1361" s="37" t="inlineStr">
        <is>
          <t>N</t>
        </is>
      </c>
      <c r="I1361" s="37">
        <f>COUNTIF(G$5:G1361,"Y")/COUNTA(G$5:G1361)</f>
        <v/>
      </c>
      <c r="J1361" s="37">
        <f>COUNTIF(H$5:H1361,"Y")/COUNTA(H$5:H1361)</f>
        <v/>
      </c>
      <c r="K1361" s="37">
        <f>AVERAGE(F$5:F1361)</f>
        <v/>
      </c>
      <c r="L1361" s="37">
        <f>SUM(F$5:F1361)/SUM(E$5:E1361)</f>
        <v/>
      </c>
    </row>
    <row r="1362">
      <c r="A1362" s="29" t="n">
        <v>45845</v>
      </c>
      <c r="B1362" s="37" t="inlineStr">
        <is>
          <t>JOB-2358</t>
        </is>
      </c>
      <c r="C1362" s="34" t="n">
        <v>1</v>
      </c>
      <c r="D1362" s="37" t="inlineStr">
        <is>
          <t>Tech H</t>
        </is>
      </c>
      <c r="E1362" s="35" t="n">
        <v>2</v>
      </c>
      <c r="F1362" s="35" t="n">
        <v>1.5</v>
      </c>
      <c r="G1362" s="37" t="inlineStr">
        <is>
          <t>Y</t>
        </is>
      </c>
      <c r="H1362" s="37" t="inlineStr">
        <is>
          <t>N</t>
        </is>
      </c>
      <c r="I1362" s="37">
        <f>COUNTIF(G$5:G1362,"Y")/COUNTA(G$5:G1362)</f>
        <v/>
      </c>
      <c r="J1362" s="37">
        <f>COUNTIF(H$5:H1362,"Y")/COUNTA(H$5:H1362)</f>
        <v/>
      </c>
      <c r="K1362" s="37">
        <f>AVERAGE(F$5:F1362)</f>
        <v/>
      </c>
      <c r="L1362" s="37">
        <f>SUM(F$5:F1362)/SUM(E$5:E1362)</f>
        <v/>
      </c>
    </row>
    <row r="1363">
      <c r="A1363" s="29" t="n">
        <v>45846</v>
      </c>
      <c r="B1363" s="37" t="inlineStr">
        <is>
          <t>JOB-2359</t>
        </is>
      </c>
      <c r="C1363" s="34" t="n">
        <v>1</v>
      </c>
      <c r="D1363" s="37" t="inlineStr">
        <is>
          <t>Tech D</t>
        </is>
      </c>
      <c r="E1363" s="35" t="n">
        <v>5.5</v>
      </c>
      <c r="F1363" s="35" t="n">
        <v>3.9</v>
      </c>
      <c r="G1363" s="37" t="inlineStr">
        <is>
          <t>N</t>
        </is>
      </c>
      <c r="H1363" s="37" t="inlineStr">
        <is>
          <t>N</t>
        </is>
      </c>
      <c r="I1363" s="37">
        <f>COUNTIF(G$5:G1363,"Y")/COUNTA(G$5:G1363)</f>
        <v/>
      </c>
      <c r="J1363" s="37">
        <f>COUNTIF(H$5:H1363,"Y")/COUNTA(H$5:H1363)</f>
        <v/>
      </c>
      <c r="K1363" s="37">
        <f>AVERAGE(F$5:F1363)</f>
        <v/>
      </c>
      <c r="L1363" s="37">
        <f>SUM(F$5:F1363)/SUM(E$5:E1363)</f>
        <v/>
      </c>
    </row>
    <row r="1364">
      <c r="A1364" s="29" t="n">
        <v>45847</v>
      </c>
      <c r="B1364" s="37" t="inlineStr">
        <is>
          <t>JOB-2360</t>
        </is>
      </c>
      <c r="C1364" s="34" t="n">
        <v>1</v>
      </c>
      <c r="D1364" s="37" t="inlineStr">
        <is>
          <t>Tech A</t>
        </is>
      </c>
      <c r="E1364" s="35" t="n">
        <v>2.3</v>
      </c>
      <c r="F1364" s="35" t="n">
        <v>1.8</v>
      </c>
      <c r="G1364" s="37" t="inlineStr">
        <is>
          <t>Y</t>
        </is>
      </c>
      <c r="H1364" s="37" t="inlineStr">
        <is>
          <t>N</t>
        </is>
      </c>
      <c r="I1364" s="37">
        <f>COUNTIF(G$5:G1364,"Y")/COUNTA(G$5:G1364)</f>
        <v/>
      </c>
      <c r="J1364" s="37">
        <f>COUNTIF(H$5:H1364,"Y")/COUNTA(H$5:H1364)</f>
        <v/>
      </c>
      <c r="K1364" s="37">
        <f>AVERAGE(F$5:F1364)</f>
        <v/>
      </c>
      <c r="L1364" s="37">
        <f>SUM(F$5:F1364)/SUM(E$5:E1364)</f>
        <v/>
      </c>
    </row>
    <row r="1365">
      <c r="A1365" s="29" t="n">
        <v>45848</v>
      </c>
      <c r="B1365" s="37" t="inlineStr">
        <is>
          <t>JOB-2361</t>
        </is>
      </c>
      <c r="C1365" s="34" t="n">
        <v>1</v>
      </c>
      <c r="D1365" s="37" t="inlineStr">
        <is>
          <t>Tech B</t>
        </is>
      </c>
      <c r="E1365" s="35" t="n">
        <v>3.5</v>
      </c>
      <c r="F1365" s="35" t="n">
        <v>2.9</v>
      </c>
      <c r="G1365" s="37" t="inlineStr">
        <is>
          <t>Y</t>
        </is>
      </c>
      <c r="H1365" s="37" t="inlineStr">
        <is>
          <t>N</t>
        </is>
      </c>
      <c r="I1365" s="37">
        <f>COUNTIF(G$5:G1365,"Y")/COUNTA(G$5:G1365)</f>
        <v/>
      </c>
      <c r="J1365" s="37">
        <f>COUNTIF(H$5:H1365,"Y")/COUNTA(H$5:H1365)</f>
        <v/>
      </c>
      <c r="K1365" s="37">
        <f>AVERAGE(F$5:F1365)</f>
        <v/>
      </c>
      <c r="L1365" s="37">
        <f>SUM(F$5:F1365)/SUM(E$5:E1365)</f>
        <v/>
      </c>
    </row>
    <row r="1366">
      <c r="A1366" s="29" t="n">
        <v>45849</v>
      </c>
      <c r="B1366" s="37" t="inlineStr">
        <is>
          <t>JOB-2362</t>
        </is>
      </c>
      <c r="C1366" s="34" t="n">
        <v>1</v>
      </c>
      <c r="D1366" s="37" t="inlineStr">
        <is>
          <t>Tech F</t>
        </is>
      </c>
      <c r="E1366" s="35" t="n">
        <v>4</v>
      </c>
      <c r="F1366" s="35" t="n">
        <v>3.2</v>
      </c>
      <c r="G1366" s="37" t="inlineStr">
        <is>
          <t>Y</t>
        </is>
      </c>
      <c r="H1366" s="37" t="inlineStr">
        <is>
          <t>N</t>
        </is>
      </c>
      <c r="I1366" s="37">
        <f>COUNTIF(G$5:G1366,"Y")/COUNTA(G$5:G1366)</f>
        <v/>
      </c>
      <c r="J1366" s="37">
        <f>COUNTIF(H$5:H1366,"Y")/COUNTA(H$5:H1366)</f>
        <v/>
      </c>
      <c r="K1366" s="37">
        <f>AVERAGE(F$5:F1366)</f>
        <v/>
      </c>
      <c r="L1366" s="37">
        <f>SUM(F$5:F1366)/SUM(E$5:E1366)</f>
        <v/>
      </c>
    </row>
    <row r="1367">
      <c r="A1367" s="29" t="n">
        <v>45845</v>
      </c>
      <c r="B1367" s="37" t="inlineStr">
        <is>
          <t>JOB-2363</t>
        </is>
      </c>
      <c r="C1367" s="34" t="n">
        <v>1</v>
      </c>
      <c r="D1367" s="37" t="inlineStr">
        <is>
          <t>Tech G</t>
        </is>
      </c>
      <c r="E1367" s="35" t="n">
        <v>0.8</v>
      </c>
      <c r="F1367" s="35" t="n">
        <v>0.6</v>
      </c>
      <c r="G1367" s="37" t="inlineStr">
        <is>
          <t>Y</t>
        </is>
      </c>
      <c r="H1367" s="37" t="inlineStr">
        <is>
          <t>N</t>
        </is>
      </c>
      <c r="I1367" s="37">
        <f>COUNTIF(G$5:G1367,"Y")/COUNTA(G$5:G1367)</f>
        <v/>
      </c>
      <c r="J1367" s="37">
        <f>COUNTIF(H$5:H1367,"Y")/COUNTA(H$5:H1367)</f>
        <v/>
      </c>
      <c r="K1367" s="37">
        <f>AVERAGE(F$5:F1367)</f>
        <v/>
      </c>
      <c r="L1367" s="37">
        <f>SUM(F$5:F1367)/SUM(E$5:E1367)</f>
        <v/>
      </c>
    </row>
    <row r="1368">
      <c r="A1368" s="29" t="n">
        <v>45846</v>
      </c>
      <c r="B1368" s="37" t="inlineStr">
        <is>
          <t>JOB-2364</t>
        </is>
      </c>
      <c r="C1368" s="34" t="n">
        <v>1</v>
      </c>
      <c r="D1368" s="37" t="inlineStr">
        <is>
          <t>Tech D</t>
        </is>
      </c>
      <c r="E1368" s="35" t="n">
        <v>0.6</v>
      </c>
      <c r="F1368" s="35" t="n">
        <v>0.5</v>
      </c>
      <c r="G1368" s="37" t="inlineStr">
        <is>
          <t>Y</t>
        </is>
      </c>
      <c r="H1368" s="37" t="inlineStr">
        <is>
          <t>N</t>
        </is>
      </c>
      <c r="I1368" s="37">
        <f>COUNTIF(G$5:G1368,"Y")/COUNTA(G$5:G1368)</f>
        <v/>
      </c>
      <c r="J1368" s="37">
        <f>COUNTIF(H$5:H1368,"Y")/COUNTA(H$5:H1368)</f>
        <v/>
      </c>
      <c r="K1368" s="37">
        <f>AVERAGE(F$5:F1368)</f>
        <v/>
      </c>
      <c r="L1368" s="37">
        <f>SUM(F$5:F1368)/SUM(E$5:E1368)</f>
        <v/>
      </c>
    </row>
    <row r="1369">
      <c r="A1369" s="29" t="n">
        <v>45847</v>
      </c>
      <c r="B1369" s="37" t="inlineStr">
        <is>
          <t>JOB-2365</t>
        </is>
      </c>
      <c r="C1369" s="34" t="n">
        <v>1</v>
      </c>
      <c r="D1369" s="37" t="inlineStr">
        <is>
          <t>Tech B</t>
        </is>
      </c>
      <c r="E1369" s="35" t="n">
        <v>0.6</v>
      </c>
      <c r="F1369" s="35" t="n">
        <v>0.5</v>
      </c>
      <c r="G1369" s="37" t="inlineStr">
        <is>
          <t>Y</t>
        </is>
      </c>
      <c r="H1369" s="37" t="inlineStr">
        <is>
          <t>N</t>
        </is>
      </c>
      <c r="I1369" s="37">
        <f>COUNTIF(G$5:G1369,"Y")/COUNTA(G$5:G1369)</f>
        <v/>
      </c>
      <c r="J1369" s="37">
        <f>COUNTIF(H$5:H1369,"Y")/COUNTA(H$5:H1369)</f>
        <v/>
      </c>
      <c r="K1369" s="37">
        <f>AVERAGE(F$5:F1369)</f>
        <v/>
      </c>
      <c r="L1369" s="37">
        <f>SUM(F$5:F1369)/SUM(E$5:E1369)</f>
        <v/>
      </c>
    </row>
    <row r="1370">
      <c r="A1370" s="29" t="n">
        <v>45848</v>
      </c>
      <c r="B1370" s="37" t="inlineStr">
        <is>
          <t>JOB-2366</t>
        </is>
      </c>
      <c r="C1370" s="34" t="n">
        <v>1</v>
      </c>
      <c r="D1370" s="37" t="inlineStr">
        <is>
          <t>Tech F</t>
        </is>
      </c>
      <c r="E1370" s="35" t="n">
        <v>0.7</v>
      </c>
      <c r="F1370" s="35" t="n">
        <v>0.5</v>
      </c>
      <c r="G1370" s="37" t="inlineStr">
        <is>
          <t>Y</t>
        </is>
      </c>
      <c r="H1370" s="37" t="inlineStr">
        <is>
          <t>N</t>
        </is>
      </c>
      <c r="I1370" s="37">
        <f>COUNTIF(G$5:G1370,"Y")/COUNTA(G$5:G1370)</f>
        <v/>
      </c>
      <c r="J1370" s="37">
        <f>COUNTIF(H$5:H1370,"Y")/COUNTA(H$5:H1370)</f>
        <v/>
      </c>
      <c r="K1370" s="37">
        <f>AVERAGE(F$5:F1370)</f>
        <v/>
      </c>
      <c r="L1370" s="37">
        <f>SUM(F$5:F1370)/SUM(E$5:E1370)</f>
        <v/>
      </c>
    </row>
    <row r="1371">
      <c r="A1371" s="29" t="n">
        <v>45849</v>
      </c>
      <c r="B1371" s="37" t="inlineStr">
        <is>
          <t>JOB-2367</t>
        </is>
      </c>
      <c r="C1371" s="34" t="n">
        <v>1</v>
      </c>
      <c r="D1371" s="37" t="inlineStr">
        <is>
          <t>Tech H</t>
        </is>
      </c>
      <c r="E1371" s="35" t="n">
        <v>0.6</v>
      </c>
      <c r="F1371" s="35" t="n">
        <v>0.5</v>
      </c>
      <c r="G1371" s="37" t="inlineStr">
        <is>
          <t>Y</t>
        </is>
      </c>
      <c r="H1371" s="37" t="inlineStr">
        <is>
          <t>N</t>
        </is>
      </c>
      <c r="I1371" s="37">
        <f>COUNTIF(G$5:G1371,"Y")/COUNTA(G$5:G1371)</f>
        <v/>
      </c>
      <c r="J1371" s="37">
        <f>COUNTIF(H$5:H1371,"Y")/COUNTA(H$5:H1371)</f>
        <v/>
      </c>
      <c r="K1371" s="37">
        <f>AVERAGE(F$5:F1371)</f>
        <v/>
      </c>
      <c r="L1371" s="37">
        <f>SUM(F$5:F1371)/SUM(E$5:E1371)</f>
        <v/>
      </c>
    </row>
    <row r="1372">
      <c r="A1372" s="29" t="n">
        <v>45845</v>
      </c>
      <c r="B1372" s="37" t="inlineStr">
        <is>
          <t>JOB-2368</t>
        </is>
      </c>
      <c r="C1372" s="34" t="n">
        <v>1</v>
      </c>
      <c r="D1372" s="37" t="inlineStr">
        <is>
          <t>Tech A</t>
        </is>
      </c>
      <c r="E1372" s="35" t="n">
        <v>1.2</v>
      </c>
      <c r="F1372" s="35" t="n">
        <v>0.5</v>
      </c>
      <c r="G1372" s="37" t="inlineStr">
        <is>
          <t>Y</t>
        </is>
      </c>
      <c r="H1372" s="37" t="inlineStr">
        <is>
          <t>Y</t>
        </is>
      </c>
      <c r="I1372" s="37">
        <f>COUNTIF(G$5:G1372,"Y")/COUNTA(G$5:G1372)</f>
        <v/>
      </c>
      <c r="J1372" s="37">
        <f>COUNTIF(H$5:H1372,"Y")/COUNTA(H$5:H1372)</f>
        <v/>
      </c>
      <c r="K1372" s="37">
        <f>AVERAGE(F$5:F1372)</f>
        <v/>
      </c>
      <c r="L1372" s="37">
        <f>SUM(F$5:F1372)/SUM(E$5:E1372)</f>
        <v/>
      </c>
      <c r="M1372" s="37" t="n">
        <v>8</v>
      </c>
    </row>
    <row r="1373">
      <c r="A1373" s="29" t="n">
        <v>45852</v>
      </c>
      <c r="B1373" s="37" t="inlineStr">
        <is>
          <t>JOB-2369</t>
        </is>
      </c>
      <c r="C1373" s="34" t="n">
        <v>1</v>
      </c>
      <c r="D1373" s="37" t="inlineStr">
        <is>
          <t>Tech F</t>
        </is>
      </c>
      <c r="E1373" s="35" t="n">
        <v>5.6</v>
      </c>
      <c r="F1373" s="35" t="n">
        <v>3.9</v>
      </c>
      <c r="G1373" s="37" t="inlineStr">
        <is>
          <t>Y</t>
        </is>
      </c>
      <c r="H1373" s="37" t="inlineStr">
        <is>
          <t>N</t>
        </is>
      </c>
      <c r="I1373" s="37">
        <f>COUNTIF(G$5:G1373,"Y")/COUNTA(G$5:G1373)</f>
        <v/>
      </c>
      <c r="J1373" s="37">
        <f>COUNTIF(H$5:H1373,"Y")/COUNTA(H$5:H1373)</f>
        <v/>
      </c>
      <c r="K1373" s="37">
        <f>AVERAGE(F$5:F1373)</f>
        <v/>
      </c>
      <c r="L1373" s="37">
        <f>SUM(F$5:F1373)/SUM(E$5:E1373)</f>
        <v/>
      </c>
    </row>
    <row r="1374">
      <c r="A1374" s="29" t="n">
        <v>45853</v>
      </c>
      <c r="B1374" s="37" t="inlineStr">
        <is>
          <t>JOB-2370</t>
        </is>
      </c>
      <c r="C1374" s="34" t="n">
        <v>1</v>
      </c>
      <c r="D1374" s="37" t="inlineStr">
        <is>
          <t>Tech D</t>
        </is>
      </c>
      <c r="E1374" s="35" t="n">
        <v>1.8</v>
      </c>
      <c r="F1374" s="35" t="n">
        <v>1.5</v>
      </c>
      <c r="G1374" s="37" t="inlineStr">
        <is>
          <t>N</t>
        </is>
      </c>
      <c r="H1374" s="37" t="inlineStr">
        <is>
          <t>N</t>
        </is>
      </c>
      <c r="I1374" s="37">
        <f>COUNTIF(G$5:G1374,"Y")/COUNTA(G$5:G1374)</f>
        <v/>
      </c>
      <c r="J1374" s="37">
        <f>COUNTIF(H$5:H1374,"Y")/COUNTA(H$5:H1374)</f>
        <v/>
      </c>
      <c r="K1374" s="37">
        <f>AVERAGE(F$5:F1374)</f>
        <v/>
      </c>
      <c r="L1374" s="37">
        <f>SUM(F$5:F1374)/SUM(E$5:E1374)</f>
        <v/>
      </c>
    </row>
    <row r="1375">
      <c r="A1375" s="29" t="n">
        <v>45854</v>
      </c>
      <c r="B1375" s="37" t="inlineStr">
        <is>
          <t>JOB-2371</t>
        </is>
      </c>
      <c r="C1375" s="34" t="n">
        <v>1</v>
      </c>
      <c r="D1375" s="37" t="inlineStr">
        <is>
          <t>Tech D</t>
        </is>
      </c>
      <c r="E1375" s="35" t="n">
        <v>3.6</v>
      </c>
      <c r="F1375" s="35" t="n">
        <v>2.9</v>
      </c>
      <c r="G1375" s="37" t="inlineStr">
        <is>
          <t>Y</t>
        </is>
      </c>
      <c r="H1375" s="37" t="inlineStr">
        <is>
          <t>N</t>
        </is>
      </c>
      <c r="I1375" s="37">
        <f>COUNTIF(G$5:G1375,"Y")/COUNTA(G$5:G1375)</f>
        <v/>
      </c>
      <c r="J1375" s="37">
        <f>COUNTIF(H$5:H1375,"Y")/COUNTA(H$5:H1375)</f>
        <v/>
      </c>
      <c r="K1375" s="37">
        <f>AVERAGE(F$5:F1375)</f>
        <v/>
      </c>
      <c r="L1375" s="37">
        <f>SUM(F$5:F1375)/SUM(E$5:E1375)</f>
        <v/>
      </c>
    </row>
    <row r="1376">
      <c r="A1376" s="29" t="n">
        <v>45855</v>
      </c>
      <c r="B1376" s="37" t="inlineStr">
        <is>
          <t>JOB-2372</t>
        </is>
      </c>
      <c r="C1376" s="34" t="n">
        <v>1</v>
      </c>
      <c r="D1376" s="37" t="inlineStr">
        <is>
          <t>Tech B</t>
        </is>
      </c>
      <c r="E1376" s="35" t="n">
        <v>3.8</v>
      </c>
      <c r="F1376" s="35" t="n">
        <v>2.5</v>
      </c>
      <c r="G1376" s="37" t="inlineStr">
        <is>
          <t>Y</t>
        </is>
      </c>
      <c r="H1376" s="37" t="inlineStr">
        <is>
          <t>N</t>
        </is>
      </c>
      <c r="I1376" s="37">
        <f>COUNTIF(G$5:G1376,"Y")/COUNTA(G$5:G1376)</f>
        <v/>
      </c>
      <c r="J1376" s="37">
        <f>COUNTIF(H$5:H1376,"Y")/COUNTA(H$5:H1376)</f>
        <v/>
      </c>
      <c r="K1376" s="37">
        <f>AVERAGE(F$5:F1376)</f>
        <v/>
      </c>
      <c r="L1376" s="37">
        <f>SUM(F$5:F1376)/SUM(E$5:E1376)</f>
        <v/>
      </c>
    </row>
    <row r="1377">
      <c r="A1377" s="29" t="n">
        <v>45856</v>
      </c>
      <c r="B1377" s="37" t="inlineStr">
        <is>
          <t>JOB-2373</t>
        </is>
      </c>
      <c r="C1377" s="34" t="n">
        <v>1</v>
      </c>
      <c r="D1377" s="37" t="inlineStr">
        <is>
          <t>Tech B</t>
        </is>
      </c>
      <c r="E1377" s="35" t="n">
        <v>2.2</v>
      </c>
      <c r="F1377" s="35" t="n">
        <v>1.6</v>
      </c>
      <c r="G1377" s="37" t="inlineStr">
        <is>
          <t>Y</t>
        </is>
      </c>
      <c r="H1377" s="37" t="inlineStr">
        <is>
          <t>N</t>
        </is>
      </c>
      <c r="I1377" s="37">
        <f>COUNTIF(G$5:G1377,"Y")/COUNTA(G$5:G1377)</f>
        <v/>
      </c>
      <c r="J1377" s="37">
        <f>COUNTIF(H$5:H1377,"Y")/COUNTA(H$5:H1377)</f>
        <v/>
      </c>
      <c r="K1377" s="37">
        <f>AVERAGE(F$5:F1377)</f>
        <v/>
      </c>
      <c r="L1377" s="37">
        <f>SUM(F$5:F1377)/SUM(E$5:E1377)</f>
        <v/>
      </c>
    </row>
    <row r="1378">
      <c r="A1378" s="29" t="n">
        <v>45852</v>
      </c>
      <c r="B1378" s="37" t="inlineStr">
        <is>
          <t>JOB-2374</t>
        </is>
      </c>
      <c r="C1378" s="34" t="n">
        <v>1</v>
      </c>
      <c r="D1378" s="37" t="inlineStr">
        <is>
          <t>Tech F</t>
        </is>
      </c>
      <c r="E1378" s="35" t="n">
        <v>5.5</v>
      </c>
      <c r="F1378" s="35" t="n">
        <v>3.9</v>
      </c>
      <c r="G1378" s="37" t="inlineStr">
        <is>
          <t>Y</t>
        </is>
      </c>
      <c r="H1378" s="37" t="inlineStr">
        <is>
          <t>N</t>
        </is>
      </c>
      <c r="I1378" s="37">
        <f>COUNTIF(G$5:G1378,"Y")/COUNTA(G$5:G1378)</f>
        <v/>
      </c>
      <c r="J1378" s="37">
        <f>COUNTIF(H$5:H1378,"Y")/COUNTA(H$5:H1378)</f>
        <v/>
      </c>
      <c r="K1378" s="37">
        <f>AVERAGE(F$5:F1378)</f>
        <v/>
      </c>
      <c r="L1378" s="37">
        <f>SUM(F$5:F1378)/SUM(E$5:E1378)</f>
        <v/>
      </c>
    </row>
    <row r="1379">
      <c r="A1379" s="29" t="n">
        <v>45853</v>
      </c>
      <c r="B1379" s="37" t="inlineStr">
        <is>
          <t>JOB-2375</t>
        </is>
      </c>
      <c r="C1379" s="34" t="n">
        <v>1</v>
      </c>
      <c r="D1379" s="37" t="inlineStr">
        <is>
          <t>Tech H</t>
        </is>
      </c>
      <c r="E1379" s="35" t="n">
        <v>2.7</v>
      </c>
      <c r="F1379" s="35" t="n">
        <v>1.9</v>
      </c>
      <c r="G1379" s="37" t="inlineStr">
        <is>
          <t>Y</t>
        </is>
      </c>
      <c r="H1379" s="37" t="inlineStr">
        <is>
          <t>N</t>
        </is>
      </c>
      <c r="I1379" s="37">
        <f>COUNTIF(G$5:G1379,"Y")/COUNTA(G$5:G1379)</f>
        <v/>
      </c>
      <c r="J1379" s="37">
        <f>COUNTIF(H$5:H1379,"Y")/COUNTA(H$5:H1379)</f>
        <v/>
      </c>
      <c r="K1379" s="37">
        <f>AVERAGE(F$5:F1379)</f>
        <v/>
      </c>
      <c r="L1379" s="37">
        <f>SUM(F$5:F1379)/SUM(E$5:E1379)</f>
        <v/>
      </c>
    </row>
    <row r="1380">
      <c r="A1380" s="29" t="n">
        <v>45854</v>
      </c>
      <c r="B1380" s="37" t="inlineStr">
        <is>
          <t>JOB-2376</t>
        </is>
      </c>
      <c r="C1380" s="34" t="n">
        <v>1</v>
      </c>
      <c r="D1380" s="37" t="inlineStr">
        <is>
          <t>Tech A</t>
        </is>
      </c>
      <c r="E1380" s="35" t="n">
        <v>5.4</v>
      </c>
      <c r="F1380" s="35" t="n">
        <v>3.9</v>
      </c>
      <c r="G1380" s="37" t="inlineStr">
        <is>
          <t>Y</t>
        </is>
      </c>
      <c r="H1380" s="37" t="inlineStr">
        <is>
          <t>N</t>
        </is>
      </c>
      <c r="I1380" s="37">
        <f>COUNTIF(G$5:G1380,"Y")/COUNTA(G$5:G1380)</f>
        <v/>
      </c>
      <c r="J1380" s="37">
        <f>COUNTIF(H$5:H1380,"Y")/COUNTA(H$5:H1380)</f>
        <v/>
      </c>
      <c r="K1380" s="37">
        <f>AVERAGE(F$5:F1380)</f>
        <v/>
      </c>
      <c r="L1380" s="37">
        <f>SUM(F$5:F1380)/SUM(E$5:E1380)</f>
        <v/>
      </c>
    </row>
    <row r="1381">
      <c r="A1381" s="29" t="n">
        <v>45855</v>
      </c>
      <c r="B1381" s="37" t="inlineStr">
        <is>
          <t>JOB-2377</t>
        </is>
      </c>
      <c r="C1381" s="34" t="n">
        <v>1</v>
      </c>
      <c r="D1381" s="37" t="inlineStr">
        <is>
          <t>Tech F</t>
        </is>
      </c>
      <c r="E1381" s="35" t="n">
        <v>4.1</v>
      </c>
      <c r="F1381" s="35" t="n">
        <v>2.7</v>
      </c>
      <c r="G1381" s="37" t="inlineStr">
        <is>
          <t>Y</t>
        </is>
      </c>
      <c r="H1381" s="37" t="inlineStr">
        <is>
          <t>N</t>
        </is>
      </c>
      <c r="I1381" s="37">
        <f>COUNTIF(G$5:G1381,"Y")/COUNTA(G$5:G1381)</f>
        <v/>
      </c>
      <c r="J1381" s="37">
        <f>COUNTIF(H$5:H1381,"Y")/COUNTA(H$5:H1381)</f>
        <v/>
      </c>
      <c r="K1381" s="37">
        <f>AVERAGE(F$5:F1381)</f>
        <v/>
      </c>
      <c r="L1381" s="37">
        <f>SUM(F$5:F1381)/SUM(E$5:E1381)</f>
        <v/>
      </c>
    </row>
    <row r="1382">
      <c r="A1382" s="29" t="n">
        <v>45856</v>
      </c>
      <c r="B1382" s="37" t="inlineStr">
        <is>
          <t>JOB-2378</t>
        </is>
      </c>
      <c r="C1382" s="34" t="n">
        <v>1</v>
      </c>
      <c r="D1382" s="37" t="inlineStr">
        <is>
          <t>Tech B</t>
        </is>
      </c>
      <c r="E1382" s="35" t="n">
        <v>3.4</v>
      </c>
      <c r="F1382" s="35" t="n">
        <v>2.6</v>
      </c>
      <c r="G1382" s="37" t="inlineStr">
        <is>
          <t>Y</t>
        </is>
      </c>
      <c r="H1382" s="37" t="inlineStr">
        <is>
          <t>N</t>
        </is>
      </c>
      <c r="I1382" s="37">
        <f>COUNTIF(G$5:G1382,"Y")/COUNTA(G$5:G1382)</f>
        <v/>
      </c>
      <c r="J1382" s="37">
        <f>COUNTIF(H$5:H1382,"Y")/COUNTA(H$5:H1382)</f>
        <v/>
      </c>
      <c r="K1382" s="37">
        <f>AVERAGE(F$5:F1382)</f>
        <v/>
      </c>
      <c r="L1382" s="37">
        <f>SUM(F$5:F1382)/SUM(E$5:E1382)</f>
        <v/>
      </c>
    </row>
    <row r="1383">
      <c r="A1383" s="29" t="n">
        <v>45852</v>
      </c>
      <c r="B1383" s="37" t="inlineStr">
        <is>
          <t>JOB-2379</t>
        </is>
      </c>
      <c r="C1383" s="34" t="n">
        <v>1</v>
      </c>
      <c r="D1383" s="37" t="inlineStr">
        <is>
          <t>Tech H</t>
        </is>
      </c>
      <c r="E1383" s="35" t="n">
        <v>5.4</v>
      </c>
      <c r="F1383" s="35" t="n">
        <v>3.7</v>
      </c>
      <c r="G1383" s="37" t="inlineStr">
        <is>
          <t>Y</t>
        </is>
      </c>
      <c r="H1383" s="37" t="inlineStr">
        <is>
          <t>N</t>
        </is>
      </c>
      <c r="I1383" s="37">
        <f>COUNTIF(G$5:G1383,"Y")/COUNTA(G$5:G1383)</f>
        <v/>
      </c>
      <c r="J1383" s="37">
        <f>COUNTIF(H$5:H1383,"Y")/COUNTA(H$5:H1383)</f>
        <v/>
      </c>
      <c r="K1383" s="37">
        <f>AVERAGE(F$5:F1383)</f>
        <v/>
      </c>
      <c r="L1383" s="37">
        <f>SUM(F$5:F1383)/SUM(E$5:E1383)</f>
        <v/>
      </c>
    </row>
    <row r="1384">
      <c r="A1384" s="29" t="n">
        <v>45853</v>
      </c>
      <c r="B1384" s="37" t="inlineStr">
        <is>
          <t>JOB-2380</t>
        </is>
      </c>
      <c r="C1384" s="34" t="n">
        <v>1</v>
      </c>
      <c r="D1384" s="37" t="inlineStr">
        <is>
          <t>Tech D</t>
        </is>
      </c>
      <c r="E1384" s="35" t="n">
        <v>4.8</v>
      </c>
      <c r="F1384" s="35" t="n">
        <v>3.5</v>
      </c>
      <c r="G1384" s="37" t="inlineStr">
        <is>
          <t>Y</t>
        </is>
      </c>
      <c r="H1384" s="37" t="inlineStr">
        <is>
          <t>N</t>
        </is>
      </c>
      <c r="I1384" s="37">
        <f>COUNTIF(G$5:G1384,"Y")/COUNTA(G$5:G1384)</f>
        <v/>
      </c>
      <c r="J1384" s="37">
        <f>COUNTIF(H$5:H1384,"Y")/COUNTA(H$5:H1384)</f>
        <v/>
      </c>
      <c r="K1384" s="37">
        <f>AVERAGE(F$5:F1384)</f>
        <v/>
      </c>
      <c r="L1384" s="37">
        <f>SUM(F$5:F1384)/SUM(E$5:E1384)</f>
        <v/>
      </c>
    </row>
    <row r="1385">
      <c r="A1385" s="29" t="n">
        <v>45854</v>
      </c>
      <c r="B1385" s="37" t="inlineStr">
        <is>
          <t>JOB-2381</t>
        </is>
      </c>
      <c r="C1385" s="34" t="n">
        <v>1</v>
      </c>
      <c r="D1385" s="37" t="inlineStr">
        <is>
          <t>Tech F</t>
        </is>
      </c>
      <c r="E1385" s="35" t="n">
        <v>1.8</v>
      </c>
      <c r="F1385" s="35" t="n">
        <v>1.2</v>
      </c>
      <c r="G1385" s="37" t="inlineStr">
        <is>
          <t>Y</t>
        </is>
      </c>
      <c r="H1385" s="37" t="inlineStr">
        <is>
          <t>N</t>
        </is>
      </c>
      <c r="I1385" s="37">
        <f>COUNTIF(G$5:G1385,"Y")/COUNTA(G$5:G1385)</f>
        <v/>
      </c>
      <c r="J1385" s="37">
        <f>COUNTIF(H$5:H1385,"Y")/COUNTA(H$5:H1385)</f>
        <v/>
      </c>
      <c r="K1385" s="37">
        <f>AVERAGE(F$5:F1385)</f>
        <v/>
      </c>
      <c r="L1385" s="37">
        <f>SUM(F$5:F1385)/SUM(E$5:E1385)</f>
        <v/>
      </c>
    </row>
    <row r="1386">
      <c r="A1386" s="29" t="n">
        <v>45855</v>
      </c>
      <c r="B1386" s="37" t="inlineStr">
        <is>
          <t>JOB-2382</t>
        </is>
      </c>
      <c r="C1386" s="34" t="n">
        <v>1</v>
      </c>
      <c r="D1386" s="37" t="inlineStr">
        <is>
          <t>Tech A</t>
        </is>
      </c>
      <c r="E1386" s="35" t="n">
        <v>4.8</v>
      </c>
      <c r="F1386" s="35" t="n">
        <v>3.6</v>
      </c>
      <c r="G1386" s="37" t="inlineStr">
        <is>
          <t>Y</t>
        </is>
      </c>
      <c r="H1386" s="37" t="inlineStr">
        <is>
          <t>N</t>
        </is>
      </c>
      <c r="I1386" s="37">
        <f>COUNTIF(G$5:G1386,"Y")/COUNTA(G$5:G1386)</f>
        <v/>
      </c>
      <c r="J1386" s="37">
        <f>COUNTIF(H$5:H1386,"Y")/COUNTA(H$5:H1386)</f>
        <v/>
      </c>
      <c r="K1386" s="37">
        <f>AVERAGE(F$5:F1386)</f>
        <v/>
      </c>
      <c r="L1386" s="37">
        <f>SUM(F$5:F1386)/SUM(E$5:E1386)</f>
        <v/>
      </c>
    </row>
    <row r="1387">
      <c r="A1387" s="29" t="n">
        <v>45856</v>
      </c>
      <c r="B1387" s="37" t="inlineStr">
        <is>
          <t>JOB-2383</t>
        </is>
      </c>
      <c r="C1387" s="34" t="n">
        <v>1</v>
      </c>
      <c r="D1387" s="37" t="inlineStr">
        <is>
          <t>Tech H</t>
        </is>
      </c>
      <c r="E1387" s="35" t="n">
        <v>4.3</v>
      </c>
      <c r="F1387" s="35" t="n">
        <v>2.8</v>
      </c>
      <c r="G1387" s="37" t="inlineStr">
        <is>
          <t>Y</t>
        </is>
      </c>
      <c r="H1387" s="37" t="inlineStr">
        <is>
          <t>N</t>
        </is>
      </c>
      <c r="I1387" s="37">
        <f>COUNTIF(G$5:G1387,"Y")/COUNTA(G$5:G1387)</f>
        <v/>
      </c>
      <c r="J1387" s="37">
        <f>COUNTIF(H$5:H1387,"Y")/COUNTA(H$5:H1387)</f>
        <v/>
      </c>
      <c r="K1387" s="37">
        <f>AVERAGE(F$5:F1387)</f>
        <v/>
      </c>
      <c r="L1387" s="37">
        <f>SUM(F$5:F1387)/SUM(E$5:E1387)</f>
        <v/>
      </c>
    </row>
    <row r="1388">
      <c r="A1388" s="29" t="n">
        <v>45852</v>
      </c>
      <c r="B1388" s="37" t="inlineStr">
        <is>
          <t>JOB-2384</t>
        </is>
      </c>
      <c r="C1388" s="34" t="n">
        <v>1</v>
      </c>
      <c r="D1388" s="37" t="inlineStr">
        <is>
          <t>Tech G</t>
        </is>
      </c>
      <c r="E1388" s="35" t="n">
        <v>3.1</v>
      </c>
      <c r="F1388" s="35" t="n">
        <v>2.2</v>
      </c>
      <c r="G1388" s="37" t="inlineStr">
        <is>
          <t>Y</t>
        </is>
      </c>
      <c r="H1388" s="37" t="inlineStr">
        <is>
          <t>N</t>
        </is>
      </c>
      <c r="I1388" s="37">
        <f>COUNTIF(G$5:G1388,"Y")/COUNTA(G$5:G1388)</f>
        <v/>
      </c>
      <c r="J1388" s="37">
        <f>COUNTIF(H$5:H1388,"Y")/COUNTA(H$5:H1388)</f>
        <v/>
      </c>
      <c r="K1388" s="37">
        <f>AVERAGE(F$5:F1388)</f>
        <v/>
      </c>
      <c r="L1388" s="37">
        <f>SUM(F$5:F1388)/SUM(E$5:E1388)</f>
        <v/>
      </c>
    </row>
    <row r="1389">
      <c r="A1389" s="29" t="n">
        <v>45853</v>
      </c>
      <c r="B1389" s="37" t="inlineStr">
        <is>
          <t>JOB-2385</t>
        </is>
      </c>
      <c r="C1389" s="34" t="n">
        <v>1</v>
      </c>
      <c r="D1389" s="37" t="inlineStr">
        <is>
          <t>Tech G</t>
        </is>
      </c>
      <c r="E1389" s="35" t="n">
        <v>3.2</v>
      </c>
      <c r="F1389" s="35" t="n">
        <v>2.3</v>
      </c>
      <c r="G1389" s="37" t="inlineStr">
        <is>
          <t>Y</t>
        </is>
      </c>
      <c r="H1389" s="37" t="inlineStr">
        <is>
          <t>Y</t>
        </is>
      </c>
      <c r="I1389" s="37">
        <f>COUNTIF(G$5:G1389,"Y")/COUNTA(G$5:G1389)</f>
        <v/>
      </c>
      <c r="J1389" s="37">
        <f>COUNTIF(H$5:H1389,"Y")/COUNTA(H$5:H1389)</f>
        <v/>
      </c>
      <c r="K1389" s="37">
        <f>AVERAGE(F$5:F1389)</f>
        <v/>
      </c>
      <c r="L1389" s="37">
        <f>SUM(F$5:F1389)/SUM(E$5:E1389)</f>
        <v/>
      </c>
    </row>
    <row r="1390">
      <c r="A1390" s="29" t="n">
        <v>45854</v>
      </c>
      <c r="B1390" s="37" t="inlineStr">
        <is>
          <t>JOB-2386</t>
        </is>
      </c>
      <c r="C1390" s="34" t="n">
        <v>1</v>
      </c>
      <c r="D1390" s="37" t="inlineStr">
        <is>
          <t>Tech C</t>
        </is>
      </c>
      <c r="E1390" s="35" t="n">
        <v>4.7</v>
      </c>
      <c r="F1390" s="35" t="n">
        <v>4</v>
      </c>
      <c r="G1390" s="37" t="inlineStr">
        <is>
          <t>Y</t>
        </is>
      </c>
      <c r="H1390" s="37" t="inlineStr">
        <is>
          <t>N</t>
        </is>
      </c>
      <c r="I1390" s="37">
        <f>COUNTIF(G$5:G1390,"Y")/COUNTA(G$5:G1390)</f>
        <v/>
      </c>
      <c r="J1390" s="37">
        <f>COUNTIF(H$5:H1390,"Y")/COUNTA(H$5:H1390)</f>
        <v/>
      </c>
      <c r="K1390" s="37">
        <f>AVERAGE(F$5:F1390)</f>
        <v/>
      </c>
      <c r="L1390" s="37">
        <f>SUM(F$5:F1390)/SUM(E$5:E1390)</f>
        <v/>
      </c>
    </row>
    <row r="1391">
      <c r="A1391" s="29" t="n">
        <v>45855</v>
      </c>
      <c r="B1391" s="37" t="inlineStr">
        <is>
          <t>JOB-2387</t>
        </is>
      </c>
      <c r="C1391" s="34" t="n">
        <v>1</v>
      </c>
      <c r="D1391" s="37" t="inlineStr">
        <is>
          <t>Tech C</t>
        </is>
      </c>
      <c r="E1391" s="35" t="n">
        <v>4.1</v>
      </c>
      <c r="F1391" s="35" t="n">
        <v>2.7</v>
      </c>
      <c r="G1391" s="37" t="inlineStr">
        <is>
          <t>Y</t>
        </is>
      </c>
      <c r="H1391" s="37" t="inlineStr">
        <is>
          <t>N</t>
        </is>
      </c>
      <c r="I1391" s="37">
        <f>COUNTIF(G$5:G1391,"Y")/COUNTA(G$5:G1391)</f>
        <v/>
      </c>
      <c r="J1391" s="37">
        <f>COUNTIF(H$5:H1391,"Y")/COUNTA(H$5:H1391)</f>
        <v/>
      </c>
      <c r="K1391" s="37">
        <f>AVERAGE(F$5:F1391)</f>
        <v/>
      </c>
      <c r="L1391" s="37">
        <f>SUM(F$5:F1391)/SUM(E$5:E1391)</f>
        <v/>
      </c>
    </row>
    <row r="1392">
      <c r="A1392" s="29" t="n">
        <v>45856</v>
      </c>
      <c r="B1392" s="37" t="inlineStr">
        <is>
          <t>JOB-2388</t>
        </is>
      </c>
      <c r="C1392" s="34" t="n">
        <v>1</v>
      </c>
      <c r="D1392" s="37" t="inlineStr">
        <is>
          <t>Tech D</t>
        </is>
      </c>
      <c r="E1392" s="35" t="n">
        <v>1.9</v>
      </c>
      <c r="F1392" s="35" t="n">
        <v>1.4</v>
      </c>
      <c r="G1392" s="37" t="inlineStr">
        <is>
          <t>Y</t>
        </is>
      </c>
      <c r="H1392" s="37" t="inlineStr">
        <is>
          <t>N</t>
        </is>
      </c>
      <c r="I1392" s="37">
        <f>COUNTIF(G$5:G1392,"Y")/COUNTA(G$5:G1392)</f>
        <v/>
      </c>
      <c r="J1392" s="37">
        <f>COUNTIF(H$5:H1392,"Y")/COUNTA(H$5:H1392)</f>
        <v/>
      </c>
      <c r="K1392" s="37">
        <f>AVERAGE(F$5:F1392)</f>
        <v/>
      </c>
      <c r="L1392" s="37">
        <f>SUM(F$5:F1392)/SUM(E$5:E1392)</f>
        <v/>
      </c>
    </row>
    <row r="1393">
      <c r="A1393" s="29" t="n">
        <v>45852</v>
      </c>
      <c r="B1393" s="37" t="inlineStr">
        <is>
          <t>JOB-2389</t>
        </is>
      </c>
      <c r="C1393" s="34" t="n">
        <v>1</v>
      </c>
      <c r="D1393" s="37" t="inlineStr">
        <is>
          <t>Tech A</t>
        </is>
      </c>
      <c r="E1393" s="35" t="n">
        <v>4.8</v>
      </c>
      <c r="F1393" s="35" t="n">
        <v>3.4</v>
      </c>
      <c r="G1393" s="37" t="inlineStr">
        <is>
          <t>Y</t>
        </is>
      </c>
      <c r="H1393" s="37" t="inlineStr">
        <is>
          <t>N</t>
        </is>
      </c>
      <c r="I1393" s="37">
        <f>COUNTIF(G$5:G1393,"Y")/COUNTA(G$5:G1393)</f>
        <v/>
      </c>
      <c r="J1393" s="37">
        <f>COUNTIF(H$5:H1393,"Y")/COUNTA(H$5:H1393)</f>
        <v/>
      </c>
      <c r="K1393" s="37">
        <f>AVERAGE(F$5:F1393)</f>
        <v/>
      </c>
      <c r="L1393" s="37">
        <f>SUM(F$5:F1393)/SUM(E$5:E1393)</f>
        <v/>
      </c>
    </row>
    <row r="1394">
      <c r="A1394" s="29" t="n">
        <v>45853</v>
      </c>
      <c r="B1394" s="37" t="inlineStr">
        <is>
          <t>JOB-2390</t>
        </is>
      </c>
      <c r="C1394" s="34" t="n">
        <v>1</v>
      </c>
      <c r="D1394" s="37" t="inlineStr">
        <is>
          <t>Tech F</t>
        </is>
      </c>
      <c r="E1394" s="35" t="n">
        <v>2</v>
      </c>
      <c r="F1394" s="35" t="n">
        <v>1.7</v>
      </c>
      <c r="G1394" s="37" t="inlineStr">
        <is>
          <t>N</t>
        </is>
      </c>
      <c r="H1394" s="37" t="inlineStr">
        <is>
          <t>N</t>
        </is>
      </c>
      <c r="I1394" s="37">
        <f>COUNTIF(G$5:G1394,"Y")/COUNTA(G$5:G1394)</f>
        <v/>
      </c>
      <c r="J1394" s="37">
        <f>COUNTIF(H$5:H1394,"Y")/COUNTA(H$5:H1394)</f>
        <v/>
      </c>
      <c r="K1394" s="37">
        <f>AVERAGE(F$5:F1394)</f>
        <v/>
      </c>
      <c r="L1394" s="37">
        <f>SUM(F$5:F1394)/SUM(E$5:E1394)</f>
        <v/>
      </c>
    </row>
    <row r="1395">
      <c r="A1395" s="29" t="n">
        <v>45854</v>
      </c>
      <c r="B1395" s="37" t="inlineStr">
        <is>
          <t>JOB-2391</t>
        </is>
      </c>
      <c r="C1395" s="34" t="n">
        <v>1</v>
      </c>
      <c r="D1395" s="37" t="inlineStr">
        <is>
          <t>Tech B</t>
        </is>
      </c>
      <c r="E1395" s="35" t="n">
        <v>2.8</v>
      </c>
      <c r="F1395" s="35" t="n">
        <v>2.3</v>
      </c>
      <c r="G1395" s="37" t="inlineStr">
        <is>
          <t>Y</t>
        </is>
      </c>
      <c r="H1395" s="37" t="inlineStr">
        <is>
          <t>Y</t>
        </is>
      </c>
      <c r="I1395" s="37">
        <f>COUNTIF(G$5:G1395,"Y")/COUNTA(G$5:G1395)</f>
        <v/>
      </c>
      <c r="J1395" s="37">
        <f>COUNTIF(H$5:H1395,"Y")/COUNTA(H$5:H1395)</f>
        <v/>
      </c>
      <c r="K1395" s="37">
        <f>AVERAGE(F$5:F1395)</f>
        <v/>
      </c>
      <c r="L1395" s="37">
        <f>SUM(F$5:F1395)/SUM(E$5:E1395)</f>
        <v/>
      </c>
    </row>
    <row r="1396">
      <c r="A1396" s="29" t="n">
        <v>45855</v>
      </c>
      <c r="B1396" s="37" t="inlineStr">
        <is>
          <t>JOB-2392</t>
        </is>
      </c>
      <c r="C1396" s="34" t="n">
        <v>1</v>
      </c>
      <c r="D1396" s="37" t="inlineStr">
        <is>
          <t>Tech B</t>
        </is>
      </c>
      <c r="E1396" s="35" t="n">
        <v>4.8</v>
      </c>
      <c r="F1396" s="35" t="n">
        <v>3.2</v>
      </c>
      <c r="G1396" s="37" t="inlineStr">
        <is>
          <t>Y</t>
        </is>
      </c>
      <c r="H1396" s="37" t="inlineStr">
        <is>
          <t>N</t>
        </is>
      </c>
      <c r="I1396" s="37">
        <f>COUNTIF(G$5:G1396,"Y")/COUNTA(G$5:G1396)</f>
        <v/>
      </c>
      <c r="J1396" s="37">
        <f>COUNTIF(H$5:H1396,"Y")/COUNTA(H$5:H1396)</f>
        <v/>
      </c>
      <c r="K1396" s="37">
        <f>AVERAGE(F$5:F1396)</f>
        <v/>
      </c>
      <c r="L1396" s="37">
        <f>SUM(F$5:F1396)/SUM(E$5:E1396)</f>
        <v/>
      </c>
    </row>
    <row r="1397">
      <c r="A1397" s="29" t="n">
        <v>45856</v>
      </c>
      <c r="B1397" s="37" t="inlineStr">
        <is>
          <t>JOB-2393</t>
        </is>
      </c>
      <c r="C1397" s="34" t="n">
        <v>1</v>
      </c>
      <c r="D1397" s="37" t="inlineStr">
        <is>
          <t>Tech A</t>
        </is>
      </c>
      <c r="E1397" s="35" t="n">
        <v>3.9</v>
      </c>
      <c r="F1397" s="35" t="n">
        <v>3</v>
      </c>
      <c r="G1397" s="37" t="inlineStr">
        <is>
          <t>Y</t>
        </is>
      </c>
      <c r="H1397" s="37" t="inlineStr">
        <is>
          <t>N</t>
        </is>
      </c>
      <c r="I1397" s="37">
        <f>COUNTIF(G$5:G1397,"Y")/COUNTA(G$5:G1397)</f>
        <v/>
      </c>
      <c r="J1397" s="37">
        <f>COUNTIF(H$5:H1397,"Y")/COUNTA(H$5:H1397)</f>
        <v/>
      </c>
      <c r="K1397" s="37">
        <f>AVERAGE(F$5:F1397)</f>
        <v/>
      </c>
      <c r="L1397" s="37">
        <f>SUM(F$5:F1397)/SUM(E$5:E1397)</f>
        <v/>
      </c>
    </row>
    <row r="1398">
      <c r="A1398" s="29" t="n">
        <v>45852</v>
      </c>
      <c r="B1398" s="37" t="inlineStr">
        <is>
          <t>JOB-2394</t>
        </is>
      </c>
      <c r="C1398" s="34" t="n">
        <v>1</v>
      </c>
      <c r="D1398" s="37" t="inlineStr">
        <is>
          <t>Tech F</t>
        </is>
      </c>
      <c r="E1398" s="35" t="n">
        <v>2</v>
      </c>
      <c r="F1398" s="35" t="n">
        <v>1.4</v>
      </c>
      <c r="G1398" s="37" t="inlineStr">
        <is>
          <t>Y</t>
        </is>
      </c>
      <c r="H1398" s="37" t="inlineStr">
        <is>
          <t>N</t>
        </is>
      </c>
      <c r="I1398" s="37">
        <f>COUNTIF(G$5:G1398,"Y")/COUNTA(G$5:G1398)</f>
        <v/>
      </c>
      <c r="J1398" s="37">
        <f>COUNTIF(H$5:H1398,"Y")/COUNTA(H$5:H1398)</f>
        <v/>
      </c>
      <c r="K1398" s="37">
        <f>AVERAGE(F$5:F1398)</f>
        <v/>
      </c>
      <c r="L1398" s="37">
        <f>SUM(F$5:F1398)/SUM(E$5:E1398)</f>
        <v/>
      </c>
    </row>
    <row r="1399">
      <c r="A1399" s="29" t="n">
        <v>45853</v>
      </c>
      <c r="B1399" s="37" t="inlineStr">
        <is>
          <t>JOB-2395</t>
        </is>
      </c>
      <c r="C1399" s="34" t="n">
        <v>1</v>
      </c>
      <c r="D1399" s="37" t="inlineStr">
        <is>
          <t>Tech A</t>
        </is>
      </c>
      <c r="E1399" s="35" t="n">
        <v>4</v>
      </c>
      <c r="F1399" s="35" t="n">
        <v>3.3</v>
      </c>
      <c r="G1399" s="37" t="inlineStr">
        <is>
          <t>Y</t>
        </is>
      </c>
      <c r="H1399" s="37" t="inlineStr">
        <is>
          <t>N</t>
        </is>
      </c>
      <c r="I1399" s="37">
        <f>COUNTIF(G$5:G1399,"Y")/COUNTA(G$5:G1399)</f>
        <v/>
      </c>
      <c r="J1399" s="37">
        <f>COUNTIF(H$5:H1399,"Y")/COUNTA(H$5:H1399)</f>
        <v/>
      </c>
      <c r="K1399" s="37">
        <f>AVERAGE(F$5:F1399)</f>
        <v/>
      </c>
      <c r="L1399" s="37">
        <f>SUM(F$5:F1399)/SUM(E$5:E1399)</f>
        <v/>
      </c>
    </row>
    <row r="1400">
      <c r="A1400" s="29" t="n">
        <v>45854</v>
      </c>
      <c r="B1400" s="37" t="inlineStr">
        <is>
          <t>JOB-2396</t>
        </is>
      </c>
      <c r="C1400" s="34" t="n">
        <v>1</v>
      </c>
      <c r="D1400" s="37" t="inlineStr">
        <is>
          <t>Tech F</t>
        </is>
      </c>
      <c r="E1400" s="35" t="n">
        <v>2.4</v>
      </c>
      <c r="F1400" s="35" t="n">
        <v>1.7</v>
      </c>
      <c r="G1400" s="37" t="inlineStr">
        <is>
          <t>N</t>
        </is>
      </c>
      <c r="H1400" s="37" t="inlineStr">
        <is>
          <t>N</t>
        </is>
      </c>
      <c r="I1400" s="37">
        <f>COUNTIF(G$5:G1400,"Y")/COUNTA(G$5:G1400)</f>
        <v/>
      </c>
      <c r="J1400" s="37">
        <f>COUNTIF(H$5:H1400,"Y")/COUNTA(H$5:H1400)</f>
        <v/>
      </c>
      <c r="K1400" s="37">
        <f>AVERAGE(F$5:F1400)</f>
        <v/>
      </c>
      <c r="L1400" s="37">
        <f>SUM(F$5:F1400)/SUM(E$5:E1400)</f>
        <v/>
      </c>
    </row>
    <row r="1401">
      <c r="A1401" s="29" t="n">
        <v>45855</v>
      </c>
      <c r="B1401" s="37" t="inlineStr">
        <is>
          <t>JOB-2397</t>
        </is>
      </c>
      <c r="C1401" s="34" t="n">
        <v>1</v>
      </c>
      <c r="D1401" s="37" t="inlineStr">
        <is>
          <t>Tech C</t>
        </is>
      </c>
      <c r="E1401" s="35" t="n">
        <v>3.9</v>
      </c>
      <c r="F1401" s="35" t="n">
        <v>2.9</v>
      </c>
      <c r="G1401" s="37" t="inlineStr">
        <is>
          <t>N</t>
        </is>
      </c>
      <c r="H1401" s="37" t="inlineStr">
        <is>
          <t>N</t>
        </is>
      </c>
      <c r="I1401" s="37">
        <f>COUNTIF(G$5:G1401,"Y")/COUNTA(G$5:G1401)</f>
        <v/>
      </c>
      <c r="J1401" s="37">
        <f>COUNTIF(H$5:H1401,"Y")/COUNTA(H$5:H1401)</f>
        <v/>
      </c>
      <c r="K1401" s="37">
        <f>AVERAGE(F$5:F1401)</f>
        <v/>
      </c>
      <c r="L1401" s="37">
        <f>SUM(F$5:F1401)/SUM(E$5:E1401)</f>
        <v/>
      </c>
    </row>
    <row r="1402">
      <c r="A1402" s="29" t="n">
        <v>45856</v>
      </c>
      <c r="B1402" s="37" t="inlineStr">
        <is>
          <t>JOB-2398</t>
        </is>
      </c>
      <c r="C1402" s="34" t="n">
        <v>1</v>
      </c>
      <c r="D1402" s="37" t="inlineStr">
        <is>
          <t>Tech G</t>
        </is>
      </c>
      <c r="E1402" s="35" t="n">
        <v>1.8</v>
      </c>
      <c r="F1402" s="35" t="n">
        <v>1.3</v>
      </c>
      <c r="G1402" s="37" t="inlineStr">
        <is>
          <t>Y</t>
        </is>
      </c>
      <c r="H1402" s="37" t="inlineStr">
        <is>
          <t>N</t>
        </is>
      </c>
      <c r="I1402" s="37">
        <f>COUNTIF(G$5:G1402,"Y")/COUNTA(G$5:G1402)</f>
        <v/>
      </c>
      <c r="J1402" s="37">
        <f>COUNTIF(H$5:H1402,"Y")/COUNTA(H$5:H1402)</f>
        <v/>
      </c>
      <c r="K1402" s="37">
        <f>AVERAGE(F$5:F1402)</f>
        <v/>
      </c>
      <c r="L1402" s="37">
        <f>SUM(F$5:F1402)/SUM(E$5:E1402)</f>
        <v/>
      </c>
    </row>
    <row r="1403">
      <c r="A1403" s="29" t="n">
        <v>45852</v>
      </c>
      <c r="B1403" s="37" t="inlineStr">
        <is>
          <t>JOB-2399</t>
        </is>
      </c>
      <c r="C1403" s="34" t="n">
        <v>1</v>
      </c>
      <c r="D1403" s="37" t="inlineStr">
        <is>
          <t>Tech G</t>
        </is>
      </c>
      <c r="E1403" s="35" t="n">
        <v>2.9</v>
      </c>
      <c r="F1403" s="35" t="n">
        <v>2.1</v>
      </c>
      <c r="G1403" s="37" t="inlineStr">
        <is>
          <t>Y</t>
        </is>
      </c>
      <c r="H1403" s="37" t="inlineStr">
        <is>
          <t>N</t>
        </is>
      </c>
      <c r="I1403" s="37">
        <f>COUNTIF(G$5:G1403,"Y")/COUNTA(G$5:G1403)</f>
        <v/>
      </c>
      <c r="J1403" s="37">
        <f>COUNTIF(H$5:H1403,"Y")/COUNTA(H$5:H1403)</f>
        <v/>
      </c>
      <c r="K1403" s="37">
        <f>AVERAGE(F$5:F1403)</f>
        <v/>
      </c>
      <c r="L1403" s="37">
        <f>SUM(F$5:F1403)/SUM(E$5:E1403)</f>
        <v/>
      </c>
    </row>
    <row r="1404">
      <c r="A1404" s="29" t="n">
        <v>45853</v>
      </c>
      <c r="B1404" s="37" t="inlineStr">
        <is>
          <t>JOB-2400</t>
        </is>
      </c>
      <c r="C1404" s="34" t="n">
        <v>1</v>
      </c>
      <c r="D1404" s="37" t="inlineStr">
        <is>
          <t>Tech F</t>
        </is>
      </c>
      <c r="E1404" s="35" t="n">
        <v>4.8</v>
      </c>
      <c r="F1404" s="35" t="n">
        <v>3.6</v>
      </c>
      <c r="G1404" s="37" t="inlineStr">
        <is>
          <t>Y</t>
        </is>
      </c>
      <c r="H1404" s="37" t="inlineStr">
        <is>
          <t>N</t>
        </is>
      </c>
      <c r="I1404" s="37">
        <f>COUNTIF(G$5:G1404,"Y")/COUNTA(G$5:G1404)</f>
        <v/>
      </c>
      <c r="J1404" s="37">
        <f>COUNTIF(H$5:H1404,"Y")/COUNTA(H$5:H1404)</f>
        <v/>
      </c>
      <c r="K1404" s="37">
        <f>AVERAGE(F$5:F1404)</f>
        <v/>
      </c>
      <c r="L1404" s="37">
        <f>SUM(F$5:F1404)/SUM(E$5:E1404)</f>
        <v/>
      </c>
    </row>
    <row r="1405">
      <c r="A1405" s="29" t="n">
        <v>45854</v>
      </c>
      <c r="B1405" s="37" t="inlineStr">
        <is>
          <t>JOB-2401</t>
        </is>
      </c>
      <c r="C1405" s="34" t="n">
        <v>1</v>
      </c>
      <c r="D1405" s="37" t="inlineStr">
        <is>
          <t>Tech F</t>
        </is>
      </c>
      <c r="E1405" s="35" t="n">
        <v>4</v>
      </c>
      <c r="F1405" s="35" t="n">
        <v>3.8</v>
      </c>
      <c r="G1405" s="37" t="inlineStr">
        <is>
          <t>Y</t>
        </is>
      </c>
      <c r="H1405" s="37" t="inlineStr">
        <is>
          <t>N</t>
        </is>
      </c>
      <c r="I1405" s="37">
        <f>COUNTIF(G$5:G1405,"Y")/COUNTA(G$5:G1405)</f>
        <v/>
      </c>
      <c r="J1405" s="37">
        <f>COUNTIF(H$5:H1405,"Y")/COUNTA(H$5:H1405)</f>
        <v/>
      </c>
      <c r="K1405" s="37">
        <f>AVERAGE(F$5:F1405)</f>
        <v/>
      </c>
      <c r="L1405" s="37">
        <f>SUM(F$5:F1405)/SUM(E$5:E1405)</f>
        <v/>
      </c>
    </row>
    <row r="1406">
      <c r="A1406" s="29" t="n">
        <v>45855</v>
      </c>
      <c r="B1406" s="37" t="inlineStr">
        <is>
          <t>JOB-2402</t>
        </is>
      </c>
      <c r="C1406" s="34" t="n">
        <v>1</v>
      </c>
      <c r="D1406" s="37" t="inlineStr">
        <is>
          <t>Tech B</t>
        </is>
      </c>
      <c r="E1406" s="35" t="n">
        <v>0.5</v>
      </c>
      <c r="F1406" s="35" t="n">
        <v>0.5</v>
      </c>
      <c r="G1406" s="37" t="inlineStr">
        <is>
          <t>Y</t>
        </is>
      </c>
      <c r="H1406" s="37" t="inlineStr">
        <is>
          <t>N</t>
        </is>
      </c>
      <c r="I1406" s="37">
        <f>COUNTIF(G$5:G1406,"Y")/COUNTA(G$5:G1406)</f>
        <v/>
      </c>
      <c r="J1406" s="37">
        <f>COUNTIF(H$5:H1406,"Y")/COUNTA(H$5:H1406)</f>
        <v/>
      </c>
      <c r="K1406" s="37">
        <f>AVERAGE(F$5:F1406)</f>
        <v/>
      </c>
      <c r="L1406" s="37">
        <f>SUM(F$5:F1406)/SUM(E$5:E1406)</f>
        <v/>
      </c>
    </row>
    <row r="1407">
      <c r="A1407" s="29" t="n">
        <v>45856</v>
      </c>
      <c r="B1407" s="37" t="inlineStr">
        <is>
          <t>JOB-2403</t>
        </is>
      </c>
      <c r="C1407" s="34" t="n">
        <v>1</v>
      </c>
      <c r="D1407" s="37" t="inlineStr">
        <is>
          <t>Tech D</t>
        </is>
      </c>
      <c r="E1407" s="35" t="n">
        <v>0.5</v>
      </c>
      <c r="F1407" s="35" t="n">
        <v>0.5</v>
      </c>
      <c r="G1407" s="37" t="inlineStr">
        <is>
          <t>N</t>
        </is>
      </c>
      <c r="H1407" s="37" t="inlineStr">
        <is>
          <t>N</t>
        </is>
      </c>
      <c r="I1407" s="37">
        <f>COUNTIF(G$5:G1407,"Y")/COUNTA(G$5:G1407)</f>
        <v/>
      </c>
      <c r="J1407" s="37">
        <f>COUNTIF(H$5:H1407,"Y")/COUNTA(H$5:H1407)</f>
        <v/>
      </c>
      <c r="K1407" s="37">
        <f>AVERAGE(F$5:F1407)</f>
        <v/>
      </c>
      <c r="L1407" s="37">
        <f>SUM(F$5:F1407)/SUM(E$5:E1407)</f>
        <v/>
      </c>
    </row>
    <row r="1408">
      <c r="A1408" s="29" t="n">
        <v>45852</v>
      </c>
      <c r="B1408" s="37" t="inlineStr">
        <is>
          <t>JOB-2404</t>
        </is>
      </c>
      <c r="C1408" s="34" t="n">
        <v>1</v>
      </c>
      <c r="D1408" s="37" t="inlineStr">
        <is>
          <t>Tech G</t>
        </is>
      </c>
      <c r="E1408" s="35" t="n">
        <v>0.5</v>
      </c>
      <c r="F1408" s="35" t="n">
        <v>0.5</v>
      </c>
      <c r="G1408" s="37" t="inlineStr">
        <is>
          <t>Y</t>
        </is>
      </c>
      <c r="H1408" s="37" t="inlineStr">
        <is>
          <t>N</t>
        </is>
      </c>
      <c r="I1408" s="37">
        <f>COUNTIF(G$5:G1408,"Y")/COUNTA(G$5:G1408)</f>
        <v/>
      </c>
      <c r="J1408" s="37">
        <f>COUNTIF(H$5:H1408,"Y")/COUNTA(H$5:H1408)</f>
        <v/>
      </c>
      <c r="K1408" s="37">
        <f>AVERAGE(F$5:F1408)</f>
        <v/>
      </c>
      <c r="L1408" s="37">
        <f>SUM(F$5:F1408)/SUM(E$5:E1408)</f>
        <v/>
      </c>
    </row>
    <row r="1409">
      <c r="A1409" s="29" t="n">
        <v>45853</v>
      </c>
      <c r="B1409" s="37" t="inlineStr">
        <is>
          <t>JOB-2405</t>
        </is>
      </c>
      <c r="C1409" s="34" t="n">
        <v>1</v>
      </c>
      <c r="D1409" s="37" t="inlineStr">
        <is>
          <t>Tech H</t>
        </is>
      </c>
      <c r="E1409" s="35" t="n">
        <v>0.5</v>
      </c>
      <c r="F1409" s="35" t="n">
        <v>0.5</v>
      </c>
      <c r="G1409" s="37" t="inlineStr">
        <is>
          <t>Y</t>
        </is>
      </c>
      <c r="H1409" s="37" t="inlineStr">
        <is>
          <t>N</t>
        </is>
      </c>
      <c r="I1409" s="37">
        <f>COUNTIF(G$5:G1409,"Y")/COUNTA(G$5:G1409)</f>
        <v/>
      </c>
      <c r="J1409" s="37">
        <f>COUNTIF(H$5:H1409,"Y")/COUNTA(H$5:H1409)</f>
        <v/>
      </c>
      <c r="K1409" s="37">
        <f>AVERAGE(F$5:F1409)</f>
        <v/>
      </c>
      <c r="L1409" s="37">
        <f>SUM(F$5:F1409)/SUM(E$5:E1409)</f>
        <v/>
      </c>
    </row>
    <row r="1410">
      <c r="A1410" s="29" t="n">
        <v>45854</v>
      </c>
      <c r="B1410" s="37" t="inlineStr">
        <is>
          <t>JOB-2406</t>
        </is>
      </c>
      <c r="C1410" s="34" t="n">
        <v>1</v>
      </c>
      <c r="D1410" s="37" t="inlineStr">
        <is>
          <t>Tech H</t>
        </is>
      </c>
      <c r="E1410" s="35" t="n">
        <v>0.5</v>
      </c>
      <c r="F1410" s="35" t="n">
        <v>0.5</v>
      </c>
      <c r="G1410" s="37" t="inlineStr">
        <is>
          <t>Y</t>
        </is>
      </c>
      <c r="H1410" s="37" t="inlineStr">
        <is>
          <t>N</t>
        </is>
      </c>
      <c r="I1410" s="37">
        <f>COUNTIF(G$5:G1410,"Y")/COUNTA(G$5:G1410)</f>
        <v/>
      </c>
      <c r="J1410" s="37">
        <f>COUNTIF(H$5:H1410,"Y")/COUNTA(H$5:H1410)</f>
        <v/>
      </c>
      <c r="K1410" s="37">
        <f>AVERAGE(F$5:F1410)</f>
        <v/>
      </c>
      <c r="L1410" s="37">
        <f>SUM(F$5:F1410)/SUM(E$5:E1410)</f>
        <v/>
      </c>
    </row>
    <row r="1411">
      <c r="A1411" s="29" t="n">
        <v>45855</v>
      </c>
      <c r="B1411" s="37" t="inlineStr">
        <is>
          <t>JOB-2407</t>
        </is>
      </c>
      <c r="C1411" s="34" t="n">
        <v>1</v>
      </c>
      <c r="D1411" s="37" t="inlineStr">
        <is>
          <t>Tech B</t>
        </is>
      </c>
      <c r="E1411" s="35" t="n">
        <v>0.5</v>
      </c>
      <c r="F1411" s="35" t="n">
        <v>0.5</v>
      </c>
      <c r="G1411" s="37" t="inlineStr">
        <is>
          <t>Y</t>
        </is>
      </c>
      <c r="H1411" s="37" t="inlineStr">
        <is>
          <t>N</t>
        </is>
      </c>
      <c r="I1411" s="37">
        <f>COUNTIF(G$5:G1411,"Y")/COUNTA(G$5:G1411)</f>
        <v/>
      </c>
      <c r="J1411" s="37">
        <f>COUNTIF(H$5:H1411,"Y")/COUNTA(H$5:H1411)</f>
        <v/>
      </c>
      <c r="K1411" s="37">
        <f>AVERAGE(F$5:F1411)</f>
        <v/>
      </c>
      <c r="L1411" s="37">
        <f>SUM(F$5:F1411)/SUM(E$5:E1411)</f>
        <v/>
      </c>
    </row>
    <row r="1412">
      <c r="A1412" s="29" t="n">
        <v>45856</v>
      </c>
      <c r="B1412" s="37" t="inlineStr">
        <is>
          <t>JOB-2408</t>
        </is>
      </c>
      <c r="C1412" s="34" t="n">
        <v>1</v>
      </c>
      <c r="D1412" s="37" t="inlineStr">
        <is>
          <t>Tech C</t>
        </is>
      </c>
      <c r="E1412" s="35" t="n">
        <v>0.5</v>
      </c>
      <c r="F1412" s="35" t="n">
        <v>0.5</v>
      </c>
      <c r="G1412" s="37" t="inlineStr">
        <is>
          <t>Y</t>
        </is>
      </c>
      <c r="H1412" s="37" t="inlineStr">
        <is>
          <t>N</t>
        </is>
      </c>
      <c r="I1412" s="37">
        <f>COUNTIF(G$5:G1412,"Y")/COUNTA(G$5:G1412)</f>
        <v/>
      </c>
      <c r="J1412" s="37">
        <f>COUNTIF(H$5:H1412,"Y")/COUNTA(H$5:H1412)</f>
        <v/>
      </c>
      <c r="K1412" s="37">
        <f>AVERAGE(F$5:F1412)</f>
        <v/>
      </c>
      <c r="L1412" s="37">
        <f>SUM(F$5:F1412)/SUM(E$5:E1412)</f>
        <v/>
      </c>
      <c r="M1412" s="37" t="n">
        <v>11</v>
      </c>
    </row>
    <row r="1413">
      <c r="A1413" s="29" t="n">
        <v>45859</v>
      </c>
      <c r="B1413" s="37" t="inlineStr">
        <is>
          <t>JOB-2409</t>
        </is>
      </c>
      <c r="C1413" s="34" t="n">
        <v>1</v>
      </c>
      <c r="D1413" s="37" t="inlineStr">
        <is>
          <t>Tech B</t>
        </is>
      </c>
      <c r="E1413" s="35" t="n">
        <v>1.6</v>
      </c>
      <c r="F1413" s="35" t="n">
        <v>1.4</v>
      </c>
      <c r="G1413" s="37" t="inlineStr">
        <is>
          <t>Y</t>
        </is>
      </c>
      <c r="H1413" s="37" t="inlineStr">
        <is>
          <t>N</t>
        </is>
      </c>
      <c r="I1413" s="37">
        <f>COUNTIF(G$5:G1413,"Y")/COUNTA(G$5:G1413)</f>
        <v/>
      </c>
      <c r="J1413" s="37">
        <f>COUNTIF(H$5:H1413,"Y")/COUNTA(H$5:H1413)</f>
        <v/>
      </c>
      <c r="K1413" s="37">
        <f>AVERAGE(F$5:F1413)</f>
        <v/>
      </c>
      <c r="L1413" s="37">
        <f>SUM(F$5:F1413)/SUM(E$5:E1413)</f>
        <v/>
      </c>
    </row>
    <row r="1414">
      <c r="A1414" s="29" t="n">
        <v>45860</v>
      </c>
      <c r="B1414" s="37" t="inlineStr">
        <is>
          <t>JOB-2410</t>
        </is>
      </c>
      <c r="C1414" s="34" t="n">
        <v>1</v>
      </c>
      <c r="D1414" s="37" t="inlineStr">
        <is>
          <t>Tech C</t>
        </is>
      </c>
      <c r="E1414" s="35" t="n">
        <v>2.4</v>
      </c>
      <c r="F1414" s="35" t="n">
        <v>1.7</v>
      </c>
      <c r="G1414" s="37" t="inlineStr">
        <is>
          <t>Y</t>
        </is>
      </c>
      <c r="H1414" s="37" t="inlineStr">
        <is>
          <t>N</t>
        </is>
      </c>
      <c r="I1414" s="37">
        <f>COUNTIF(G$5:G1414,"Y")/COUNTA(G$5:G1414)</f>
        <v/>
      </c>
      <c r="J1414" s="37">
        <f>COUNTIF(H$5:H1414,"Y")/COUNTA(H$5:H1414)</f>
        <v/>
      </c>
      <c r="K1414" s="37">
        <f>AVERAGE(F$5:F1414)</f>
        <v/>
      </c>
      <c r="L1414" s="37">
        <f>SUM(F$5:F1414)/SUM(E$5:E1414)</f>
        <v/>
      </c>
    </row>
    <row r="1415">
      <c r="A1415" s="29" t="n">
        <v>45861</v>
      </c>
      <c r="B1415" s="37" t="inlineStr">
        <is>
          <t>JOB-2411</t>
        </is>
      </c>
      <c r="C1415" s="34" t="n">
        <v>1</v>
      </c>
      <c r="D1415" s="37" t="inlineStr">
        <is>
          <t>Tech B</t>
        </is>
      </c>
      <c r="E1415" s="35" t="n">
        <v>5</v>
      </c>
      <c r="F1415" s="35" t="n">
        <v>4</v>
      </c>
      <c r="G1415" s="37" t="inlineStr">
        <is>
          <t>Y</t>
        </is>
      </c>
      <c r="H1415" s="37" t="inlineStr">
        <is>
          <t>N</t>
        </is>
      </c>
      <c r="I1415" s="37">
        <f>COUNTIF(G$5:G1415,"Y")/COUNTA(G$5:G1415)</f>
        <v/>
      </c>
      <c r="J1415" s="37">
        <f>COUNTIF(H$5:H1415,"Y")/COUNTA(H$5:H1415)</f>
        <v/>
      </c>
      <c r="K1415" s="37">
        <f>AVERAGE(F$5:F1415)</f>
        <v/>
      </c>
      <c r="L1415" s="37">
        <f>SUM(F$5:F1415)/SUM(E$5:E1415)</f>
        <v/>
      </c>
    </row>
    <row r="1416">
      <c r="A1416" s="29" t="n">
        <v>45862</v>
      </c>
      <c r="B1416" s="37" t="inlineStr">
        <is>
          <t>JOB-2412</t>
        </is>
      </c>
      <c r="C1416" s="34" t="n">
        <v>1</v>
      </c>
      <c r="D1416" s="37" t="inlineStr">
        <is>
          <t>Tech F</t>
        </is>
      </c>
      <c r="E1416" s="35" t="n">
        <v>2.4</v>
      </c>
      <c r="F1416" s="35" t="n">
        <v>1.7</v>
      </c>
      <c r="G1416" s="37" t="inlineStr">
        <is>
          <t>Y</t>
        </is>
      </c>
      <c r="H1416" s="37" t="inlineStr">
        <is>
          <t>N</t>
        </is>
      </c>
      <c r="I1416" s="37">
        <f>COUNTIF(G$5:G1416,"Y")/COUNTA(G$5:G1416)</f>
        <v/>
      </c>
      <c r="J1416" s="37">
        <f>COUNTIF(H$5:H1416,"Y")/COUNTA(H$5:H1416)</f>
        <v/>
      </c>
      <c r="K1416" s="37">
        <f>AVERAGE(F$5:F1416)</f>
        <v/>
      </c>
      <c r="L1416" s="37">
        <f>SUM(F$5:F1416)/SUM(E$5:E1416)</f>
        <v/>
      </c>
    </row>
    <row r="1417">
      <c r="A1417" s="29" t="n">
        <v>45863</v>
      </c>
      <c r="B1417" s="37" t="inlineStr">
        <is>
          <t>JOB-2413</t>
        </is>
      </c>
      <c r="C1417" s="34" t="n">
        <v>1</v>
      </c>
      <c r="D1417" s="37" t="inlineStr">
        <is>
          <t>Tech A</t>
        </is>
      </c>
      <c r="E1417" s="35" t="n">
        <v>1.7</v>
      </c>
      <c r="F1417" s="35" t="n">
        <v>1.4</v>
      </c>
      <c r="G1417" s="37" t="inlineStr">
        <is>
          <t>Y</t>
        </is>
      </c>
      <c r="H1417" s="37" t="inlineStr">
        <is>
          <t>N</t>
        </is>
      </c>
      <c r="I1417" s="37">
        <f>COUNTIF(G$5:G1417,"Y")/COUNTA(G$5:G1417)</f>
        <v/>
      </c>
      <c r="J1417" s="37">
        <f>COUNTIF(H$5:H1417,"Y")/COUNTA(H$5:H1417)</f>
        <v/>
      </c>
      <c r="K1417" s="37">
        <f>AVERAGE(F$5:F1417)</f>
        <v/>
      </c>
      <c r="L1417" s="37">
        <f>SUM(F$5:F1417)/SUM(E$5:E1417)</f>
        <v/>
      </c>
    </row>
    <row r="1418">
      <c r="A1418" s="29" t="n">
        <v>45859</v>
      </c>
      <c r="B1418" s="37" t="inlineStr">
        <is>
          <t>JOB-2414</t>
        </is>
      </c>
      <c r="C1418" s="34" t="n">
        <v>1</v>
      </c>
      <c r="D1418" s="37" t="inlineStr">
        <is>
          <t>Tech H</t>
        </is>
      </c>
      <c r="E1418" s="35" t="n">
        <v>2.2</v>
      </c>
      <c r="F1418" s="35" t="n">
        <v>1.9</v>
      </c>
      <c r="G1418" s="37" t="inlineStr">
        <is>
          <t>Y</t>
        </is>
      </c>
      <c r="H1418" s="37" t="inlineStr">
        <is>
          <t>N</t>
        </is>
      </c>
      <c r="I1418" s="37">
        <f>COUNTIF(G$5:G1418,"Y")/COUNTA(G$5:G1418)</f>
        <v/>
      </c>
      <c r="J1418" s="37">
        <f>COUNTIF(H$5:H1418,"Y")/COUNTA(H$5:H1418)</f>
        <v/>
      </c>
      <c r="K1418" s="37">
        <f>AVERAGE(F$5:F1418)</f>
        <v/>
      </c>
      <c r="L1418" s="37">
        <f>SUM(F$5:F1418)/SUM(E$5:E1418)</f>
        <v/>
      </c>
    </row>
    <row r="1419">
      <c r="A1419" s="29" t="n">
        <v>45860</v>
      </c>
      <c r="B1419" s="37" t="inlineStr">
        <is>
          <t>JOB-2415</t>
        </is>
      </c>
      <c r="C1419" s="34" t="n">
        <v>1</v>
      </c>
      <c r="D1419" s="37" t="inlineStr">
        <is>
          <t>Tech D</t>
        </is>
      </c>
      <c r="E1419" s="35" t="n">
        <v>4.3</v>
      </c>
      <c r="F1419" s="35" t="n">
        <v>3.1</v>
      </c>
      <c r="G1419" s="37" t="inlineStr">
        <is>
          <t>Y</t>
        </is>
      </c>
      <c r="H1419" s="37" t="inlineStr">
        <is>
          <t>N</t>
        </is>
      </c>
      <c r="I1419" s="37">
        <f>COUNTIF(G$5:G1419,"Y")/COUNTA(G$5:G1419)</f>
        <v/>
      </c>
      <c r="J1419" s="37">
        <f>COUNTIF(H$5:H1419,"Y")/COUNTA(H$5:H1419)</f>
        <v/>
      </c>
      <c r="K1419" s="37">
        <f>AVERAGE(F$5:F1419)</f>
        <v/>
      </c>
      <c r="L1419" s="37">
        <f>SUM(F$5:F1419)/SUM(E$5:E1419)</f>
        <v/>
      </c>
    </row>
    <row r="1420">
      <c r="A1420" s="29" t="n">
        <v>45861</v>
      </c>
      <c r="B1420" s="37" t="inlineStr">
        <is>
          <t>JOB-2416</t>
        </is>
      </c>
      <c r="C1420" s="34" t="n">
        <v>1</v>
      </c>
      <c r="D1420" s="37" t="inlineStr">
        <is>
          <t>Tech H</t>
        </is>
      </c>
      <c r="E1420" s="35" t="n">
        <v>2.9</v>
      </c>
      <c r="F1420" s="35" t="n">
        <v>2.6</v>
      </c>
      <c r="G1420" s="37" t="inlineStr">
        <is>
          <t>Y</t>
        </is>
      </c>
      <c r="H1420" s="37" t="inlineStr">
        <is>
          <t>N</t>
        </is>
      </c>
      <c r="I1420" s="37">
        <f>COUNTIF(G$5:G1420,"Y")/COUNTA(G$5:G1420)</f>
        <v/>
      </c>
      <c r="J1420" s="37">
        <f>COUNTIF(H$5:H1420,"Y")/COUNTA(H$5:H1420)</f>
        <v/>
      </c>
      <c r="K1420" s="37">
        <f>AVERAGE(F$5:F1420)</f>
        <v/>
      </c>
      <c r="L1420" s="37">
        <f>SUM(F$5:F1420)/SUM(E$5:E1420)</f>
        <v/>
      </c>
    </row>
    <row r="1421">
      <c r="A1421" s="29" t="n">
        <v>45862</v>
      </c>
      <c r="B1421" s="37" t="inlineStr">
        <is>
          <t>JOB-2417</t>
        </is>
      </c>
      <c r="C1421" s="34" t="n">
        <v>1</v>
      </c>
      <c r="D1421" s="37" t="inlineStr">
        <is>
          <t>Tech G</t>
        </is>
      </c>
      <c r="E1421" s="35" t="n">
        <v>1.8</v>
      </c>
      <c r="F1421" s="35" t="n">
        <v>1.4</v>
      </c>
      <c r="G1421" s="37" t="inlineStr">
        <is>
          <t>Y</t>
        </is>
      </c>
      <c r="H1421" s="37" t="inlineStr">
        <is>
          <t>N</t>
        </is>
      </c>
      <c r="I1421" s="37">
        <f>COUNTIF(G$5:G1421,"Y")/COUNTA(G$5:G1421)</f>
        <v/>
      </c>
      <c r="J1421" s="37">
        <f>COUNTIF(H$5:H1421,"Y")/COUNTA(H$5:H1421)</f>
        <v/>
      </c>
      <c r="K1421" s="37">
        <f>AVERAGE(F$5:F1421)</f>
        <v/>
      </c>
      <c r="L1421" s="37">
        <f>SUM(F$5:F1421)/SUM(E$5:E1421)</f>
        <v/>
      </c>
    </row>
    <row r="1422">
      <c r="A1422" s="29" t="n">
        <v>45863</v>
      </c>
      <c r="B1422" s="37" t="inlineStr">
        <is>
          <t>JOB-2418</t>
        </is>
      </c>
      <c r="C1422" s="34" t="n">
        <v>1</v>
      </c>
      <c r="D1422" s="37" t="inlineStr">
        <is>
          <t>Tech F</t>
        </is>
      </c>
      <c r="E1422" s="35" t="n">
        <v>1.8</v>
      </c>
      <c r="F1422" s="35" t="n">
        <v>1.7</v>
      </c>
      <c r="G1422" s="37" t="inlineStr">
        <is>
          <t>Y</t>
        </is>
      </c>
      <c r="H1422" s="37" t="inlineStr">
        <is>
          <t>N</t>
        </is>
      </c>
      <c r="I1422" s="37">
        <f>COUNTIF(G$5:G1422,"Y")/COUNTA(G$5:G1422)</f>
        <v/>
      </c>
      <c r="J1422" s="37">
        <f>COUNTIF(H$5:H1422,"Y")/COUNTA(H$5:H1422)</f>
        <v/>
      </c>
      <c r="K1422" s="37">
        <f>AVERAGE(F$5:F1422)</f>
        <v/>
      </c>
      <c r="L1422" s="37">
        <f>SUM(F$5:F1422)/SUM(E$5:E1422)</f>
        <v/>
      </c>
    </row>
    <row r="1423">
      <c r="A1423" s="29" t="n">
        <v>45859</v>
      </c>
      <c r="B1423" s="37" t="inlineStr">
        <is>
          <t>JOB-2419</t>
        </is>
      </c>
      <c r="C1423" s="34" t="n">
        <v>1</v>
      </c>
      <c r="D1423" s="37" t="inlineStr">
        <is>
          <t>Tech G</t>
        </is>
      </c>
      <c r="E1423" s="35" t="n">
        <v>3.1</v>
      </c>
      <c r="F1423" s="35" t="n">
        <v>2.8</v>
      </c>
      <c r="G1423" s="37" t="inlineStr">
        <is>
          <t>Y</t>
        </is>
      </c>
      <c r="H1423" s="37" t="inlineStr">
        <is>
          <t>N</t>
        </is>
      </c>
      <c r="I1423" s="37">
        <f>COUNTIF(G$5:G1423,"Y")/COUNTA(G$5:G1423)</f>
        <v/>
      </c>
      <c r="J1423" s="37">
        <f>COUNTIF(H$5:H1423,"Y")/COUNTA(H$5:H1423)</f>
        <v/>
      </c>
      <c r="K1423" s="37">
        <f>AVERAGE(F$5:F1423)</f>
        <v/>
      </c>
      <c r="L1423" s="37">
        <f>SUM(F$5:F1423)/SUM(E$5:E1423)</f>
        <v/>
      </c>
    </row>
    <row r="1424">
      <c r="A1424" s="29" t="n">
        <v>45860</v>
      </c>
      <c r="B1424" s="37" t="inlineStr">
        <is>
          <t>JOB-2420</t>
        </is>
      </c>
      <c r="C1424" s="34" t="n">
        <v>1</v>
      </c>
      <c r="D1424" s="37" t="inlineStr">
        <is>
          <t>Tech H</t>
        </is>
      </c>
      <c r="E1424" s="35" t="n">
        <v>2.3</v>
      </c>
      <c r="F1424" s="35" t="n">
        <v>1.9</v>
      </c>
      <c r="G1424" s="37" t="inlineStr">
        <is>
          <t>Y</t>
        </is>
      </c>
      <c r="H1424" s="37" t="inlineStr">
        <is>
          <t>N</t>
        </is>
      </c>
      <c r="I1424" s="37">
        <f>COUNTIF(G$5:G1424,"Y")/COUNTA(G$5:G1424)</f>
        <v/>
      </c>
      <c r="J1424" s="37">
        <f>COUNTIF(H$5:H1424,"Y")/COUNTA(H$5:H1424)</f>
        <v/>
      </c>
      <c r="K1424" s="37">
        <f>AVERAGE(F$5:F1424)</f>
        <v/>
      </c>
      <c r="L1424" s="37">
        <f>SUM(F$5:F1424)/SUM(E$5:E1424)</f>
        <v/>
      </c>
    </row>
    <row r="1425">
      <c r="A1425" s="29" t="n">
        <v>45861</v>
      </c>
      <c r="B1425" s="37" t="inlineStr">
        <is>
          <t>JOB-2421</t>
        </is>
      </c>
      <c r="C1425" s="34" t="n">
        <v>1</v>
      </c>
      <c r="D1425" s="37" t="inlineStr">
        <is>
          <t>Tech B</t>
        </is>
      </c>
      <c r="E1425" s="35" t="n">
        <v>3.7</v>
      </c>
      <c r="F1425" s="35" t="n">
        <v>3</v>
      </c>
      <c r="G1425" s="37" t="inlineStr">
        <is>
          <t>Y</t>
        </is>
      </c>
      <c r="H1425" s="37" t="inlineStr">
        <is>
          <t>N</t>
        </is>
      </c>
      <c r="I1425" s="37">
        <f>COUNTIF(G$5:G1425,"Y")/COUNTA(G$5:G1425)</f>
        <v/>
      </c>
      <c r="J1425" s="37">
        <f>COUNTIF(H$5:H1425,"Y")/COUNTA(H$5:H1425)</f>
        <v/>
      </c>
      <c r="K1425" s="37">
        <f>AVERAGE(F$5:F1425)</f>
        <v/>
      </c>
      <c r="L1425" s="37">
        <f>SUM(F$5:F1425)/SUM(E$5:E1425)</f>
        <v/>
      </c>
    </row>
    <row r="1426">
      <c r="A1426" s="29" t="n">
        <v>45862</v>
      </c>
      <c r="B1426" s="37" t="inlineStr">
        <is>
          <t>JOB-2422</t>
        </is>
      </c>
      <c r="C1426" s="34" t="n">
        <v>1</v>
      </c>
      <c r="D1426" s="37" t="inlineStr">
        <is>
          <t>Tech G</t>
        </is>
      </c>
      <c r="E1426" s="35" t="n">
        <v>4.9</v>
      </c>
      <c r="F1426" s="35" t="n">
        <v>3.5</v>
      </c>
      <c r="G1426" s="37" t="inlineStr">
        <is>
          <t>N</t>
        </is>
      </c>
      <c r="H1426" s="37" t="inlineStr">
        <is>
          <t>N</t>
        </is>
      </c>
      <c r="I1426" s="37">
        <f>COUNTIF(G$5:G1426,"Y")/COUNTA(G$5:G1426)</f>
        <v/>
      </c>
      <c r="J1426" s="37">
        <f>COUNTIF(H$5:H1426,"Y")/COUNTA(H$5:H1426)</f>
        <v/>
      </c>
      <c r="K1426" s="37">
        <f>AVERAGE(F$5:F1426)</f>
        <v/>
      </c>
      <c r="L1426" s="37">
        <f>SUM(F$5:F1426)/SUM(E$5:E1426)</f>
        <v/>
      </c>
    </row>
    <row r="1427">
      <c r="A1427" s="29" t="n">
        <v>45863</v>
      </c>
      <c r="B1427" s="37" t="inlineStr">
        <is>
          <t>JOB-2423</t>
        </is>
      </c>
      <c r="C1427" s="34" t="n">
        <v>1</v>
      </c>
      <c r="D1427" s="37" t="inlineStr">
        <is>
          <t>Tech H</t>
        </is>
      </c>
      <c r="E1427" s="35" t="n">
        <v>2.1</v>
      </c>
      <c r="F1427" s="35" t="n">
        <v>1.9</v>
      </c>
      <c r="G1427" s="37" t="inlineStr">
        <is>
          <t>Y</t>
        </is>
      </c>
      <c r="H1427" s="37" t="inlineStr">
        <is>
          <t>N</t>
        </is>
      </c>
      <c r="I1427" s="37">
        <f>COUNTIF(G$5:G1427,"Y")/COUNTA(G$5:G1427)</f>
        <v/>
      </c>
      <c r="J1427" s="37">
        <f>COUNTIF(H$5:H1427,"Y")/COUNTA(H$5:H1427)</f>
        <v/>
      </c>
      <c r="K1427" s="37">
        <f>AVERAGE(F$5:F1427)</f>
        <v/>
      </c>
      <c r="L1427" s="37">
        <f>SUM(F$5:F1427)/SUM(E$5:E1427)</f>
        <v/>
      </c>
    </row>
    <row r="1428">
      <c r="A1428" s="29" t="n">
        <v>45859</v>
      </c>
      <c r="B1428" s="37" t="inlineStr">
        <is>
          <t>JOB-2424</t>
        </is>
      </c>
      <c r="C1428" s="34" t="n">
        <v>1</v>
      </c>
      <c r="D1428" s="37" t="inlineStr">
        <is>
          <t>Tech G</t>
        </is>
      </c>
      <c r="E1428" s="35" t="n">
        <v>2.2</v>
      </c>
      <c r="F1428" s="35" t="n">
        <v>1.9</v>
      </c>
      <c r="G1428" s="37" t="inlineStr">
        <is>
          <t>Y</t>
        </is>
      </c>
      <c r="H1428" s="37" t="inlineStr">
        <is>
          <t>N</t>
        </is>
      </c>
      <c r="I1428" s="37">
        <f>COUNTIF(G$5:G1428,"Y")/COUNTA(G$5:G1428)</f>
        <v/>
      </c>
      <c r="J1428" s="37">
        <f>COUNTIF(H$5:H1428,"Y")/COUNTA(H$5:H1428)</f>
        <v/>
      </c>
      <c r="K1428" s="37">
        <f>AVERAGE(F$5:F1428)</f>
        <v/>
      </c>
      <c r="L1428" s="37">
        <f>SUM(F$5:F1428)/SUM(E$5:E1428)</f>
        <v/>
      </c>
    </row>
    <row r="1429">
      <c r="A1429" s="29" t="n">
        <v>45860</v>
      </c>
      <c r="B1429" s="37" t="inlineStr">
        <is>
          <t>JOB-2425</t>
        </is>
      </c>
      <c r="C1429" s="34" t="n">
        <v>1</v>
      </c>
      <c r="D1429" s="37" t="inlineStr">
        <is>
          <t>Tech B</t>
        </is>
      </c>
      <c r="E1429" s="35" t="n">
        <v>2.9</v>
      </c>
      <c r="F1429" s="35" t="n">
        <v>2.5</v>
      </c>
      <c r="G1429" s="37" t="inlineStr">
        <is>
          <t>Y</t>
        </is>
      </c>
      <c r="H1429" s="37" t="inlineStr">
        <is>
          <t>N</t>
        </is>
      </c>
      <c r="I1429" s="37">
        <f>COUNTIF(G$5:G1429,"Y")/COUNTA(G$5:G1429)</f>
        <v/>
      </c>
      <c r="J1429" s="37">
        <f>COUNTIF(H$5:H1429,"Y")/COUNTA(H$5:H1429)</f>
        <v/>
      </c>
      <c r="K1429" s="37">
        <f>AVERAGE(F$5:F1429)</f>
        <v/>
      </c>
      <c r="L1429" s="37">
        <f>SUM(F$5:F1429)/SUM(E$5:E1429)</f>
        <v/>
      </c>
    </row>
    <row r="1430">
      <c r="A1430" s="29" t="n">
        <v>45861</v>
      </c>
      <c r="B1430" s="37" t="inlineStr">
        <is>
          <t>JOB-2426</t>
        </is>
      </c>
      <c r="C1430" s="34" t="n">
        <v>1</v>
      </c>
      <c r="D1430" s="37" t="inlineStr">
        <is>
          <t>Tech C</t>
        </is>
      </c>
      <c r="E1430" s="35" t="n">
        <v>4.4</v>
      </c>
      <c r="F1430" s="35" t="n">
        <v>4</v>
      </c>
      <c r="G1430" s="37" t="inlineStr">
        <is>
          <t>Y</t>
        </is>
      </c>
      <c r="H1430" s="37" t="inlineStr">
        <is>
          <t>N</t>
        </is>
      </c>
      <c r="I1430" s="37">
        <f>COUNTIF(G$5:G1430,"Y")/COUNTA(G$5:G1430)</f>
        <v/>
      </c>
      <c r="J1430" s="37">
        <f>COUNTIF(H$5:H1430,"Y")/COUNTA(H$5:H1430)</f>
        <v/>
      </c>
      <c r="K1430" s="37">
        <f>AVERAGE(F$5:F1430)</f>
        <v/>
      </c>
      <c r="L1430" s="37">
        <f>SUM(F$5:F1430)/SUM(E$5:E1430)</f>
        <v/>
      </c>
    </row>
    <row r="1431">
      <c r="A1431" s="29" t="n">
        <v>45862</v>
      </c>
      <c r="B1431" s="37" t="inlineStr">
        <is>
          <t>JOB-2427</t>
        </is>
      </c>
      <c r="C1431" s="34" t="n">
        <v>1</v>
      </c>
      <c r="D1431" s="37" t="inlineStr">
        <is>
          <t>Tech C</t>
        </is>
      </c>
      <c r="E1431" s="35" t="n">
        <v>3.3</v>
      </c>
      <c r="F1431" s="35" t="n">
        <v>3</v>
      </c>
      <c r="G1431" s="37" t="inlineStr">
        <is>
          <t>N</t>
        </is>
      </c>
      <c r="H1431" s="37" t="inlineStr">
        <is>
          <t>N</t>
        </is>
      </c>
      <c r="I1431" s="37">
        <f>COUNTIF(G$5:G1431,"Y")/COUNTA(G$5:G1431)</f>
        <v/>
      </c>
      <c r="J1431" s="37">
        <f>COUNTIF(H$5:H1431,"Y")/COUNTA(H$5:H1431)</f>
        <v/>
      </c>
      <c r="K1431" s="37">
        <f>AVERAGE(F$5:F1431)</f>
        <v/>
      </c>
      <c r="L1431" s="37">
        <f>SUM(F$5:F1431)/SUM(E$5:E1431)</f>
        <v/>
      </c>
    </row>
    <row r="1432">
      <c r="A1432" s="29" t="n">
        <v>45863</v>
      </c>
      <c r="B1432" s="37" t="inlineStr">
        <is>
          <t>JOB-2428</t>
        </is>
      </c>
      <c r="C1432" s="34" t="n">
        <v>1</v>
      </c>
      <c r="D1432" s="37" t="inlineStr">
        <is>
          <t>Tech C</t>
        </is>
      </c>
      <c r="E1432" s="35" t="n">
        <v>3</v>
      </c>
      <c r="F1432" s="35" t="n">
        <v>2.6</v>
      </c>
      <c r="G1432" s="37" t="inlineStr">
        <is>
          <t>Y</t>
        </is>
      </c>
      <c r="H1432" s="37" t="inlineStr">
        <is>
          <t>N</t>
        </is>
      </c>
      <c r="I1432" s="37">
        <f>COUNTIF(G$5:G1432,"Y")/COUNTA(G$5:G1432)</f>
        <v/>
      </c>
      <c r="J1432" s="37">
        <f>COUNTIF(H$5:H1432,"Y")/COUNTA(H$5:H1432)</f>
        <v/>
      </c>
      <c r="K1432" s="37">
        <f>AVERAGE(F$5:F1432)</f>
        <v/>
      </c>
      <c r="L1432" s="37">
        <f>SUM(F$5:F1432)/SUM(E$5:E1432)</f>
        <v/>
      </c>
    </row>
    <row r="1433">
      <c r="A1433" s="29" t="n">
        <v>45859</v>
      </c>
      <c r="B1433" s="37" t="inlineStr">
        <is>
          <t>JOB-2429</t>
        </is>
      </c>
      <c r="C1433" s="34" t="n">
        <v>1</v>
      </c>
      <c r="D1433" s="37" t="inlineStr">
        <is>
          <t>Tech F</t>
        </is>
      </c>
      <c r="E1433" s="35" t="n">
        <v>3.5</v>
      </c>
      <c r="F1433" s="35" t="n">
        <v>3.1</v>
      </c>
      <c r="G1433" s="37" t="inlineStr">
        <is>
          <t>Y</t>
        </is>
      </c>
      <c r="H1433" s="37" t="inlineStr">
        <is>
          <t>N</t>
        </is>
      </c>
      <c r="I1433" s="37">
        <f>COUNTIF(G$5:G1433,"Y")/COUNTA(G$5:G1433)</f>
        <v/>
      </c>
      <c r="J1433" s="37">
        <f>COUNTIF(H$5:H1433,"Y")/COUNTA(H$5:H1433)</f>
        <v/>
      </c>
      <c r="K1433" s="37">
        <f>AVERAGE(F$5:F1433)</f>
        <v/>
      </c>
      <c r="L1433" s="37">
        <f>SUM(F$5:F1433)/SUM(E$5:E1433)</f>
        <v/>
      </c>
    </row>
    <row r="1434">
      <c r="A1434" s="29" t="n">
        <v>45860</v>
      </c>
      <c r="B1434" s="37" t="inlineStr">
        <is>
          <t>JOB-2430</t>
        </is>
      </c>
      <c r="C1434" s="34" t="n">
        <v>1</v>
      </c>
      <c r="D1434" s="37" t="inlineStr">
        <is>
          <t>Tech H</t>
        </is>
      </c>
      <c r="E1434" s="35" t="n">
        <v>3</v>
      </c>
      <c r="F1434" s="35" t="n">
        <v>2.4</v>
      </c>
      <c r="G1434" s="37" t="inlineStr">
        <is>
          <t>Y</t>
        </is>
      </c>
      <c r="H1434" s="37" t="inlineStr">
        <is>
          <t>N</t>
        </is>
      </c>
      <c r="I1434" s="37">
        <f>COUNTIF(G$5:G1434,"Y")/COUNTA(G$5:G1434)</f>
        <v/>
      </c>
      <c r="J1434" s="37">
        <f>COUNTIF(H$5:H1434,"Y")/COUNTA(H$5:H1434)</f>
        <v/>
      </c>
      <c r="K1434" s="37">
        <f>AVERAGE(F$5:F1434)</f>
        <v/>
      </c>
      <c r="L1434" s="37">
        <f>SUM(F$5:F1434)/SUM(E$5:E1434)</f>
        <v/>
      </c>
    </row>
    <row r="1435">
      <c r="A1435" s="29" t="n">
        <v>45861</v>
      </c>
      <c r="B1435" s="37" t="inlineStr">
        <is>
          <t>JOB-2431</t>
        </is>
      </c>
      <c r="C1435" s="34" t="n">
        <v>1</v>
      </c>
      <c r="D1435" s="37" t="inlineStr">
        <is>
          <t>Tech D</t>
        </is>
      </c>
      <c r="E1435" s="35" t="n">
        <v>2.2</v>
      </c>
      <c r="F1435" s="35" t="n">
        <v>1.8</v>
      </c>
      <c r="G1435" s="37" t="inlineStr">
        <is>
          <t>Y</t>
        </is>
      </c>
      <c r="H1435" s="37" t="inlineStr">
        <is>
          <t>N</t>
        </is>
      </c>
      <c r="I1435" s="37">
        <f>COUNTIF(G$5:G1435,"Y")/COUNTA(G$5:G1435)</f>
        <v/>
      </c>
      <c r="J1435" s="37">
        <f>COUNTIF(H$5:H1435,"Y")/COUNTA(H$5:H1435)</f>
        <v/>
      </c>
      <c r="K1435" s="37">
        <f>AVERAGE(F$5:F1435)</f>
        <v/>
      </c>
      <c r="L1435" s="37">
        <f>SUM(F$5:F1435)/SUM(E$5:E1435)</f>
        <v/>
      </c>
    </row>
    <row r="1436">
      <c r="A1436" s="29" t="n">
        <v>45862</v>
      </c>
      <c r="B1436" s="37" t="inlineStr">
        <is>
          <t>JOB-2432</t>
        </is>
      </c>
      <c r="C1436" s="34" t="n">
        <v>1</v>
      </c>
      <c r="D1436" s="37" t="inlineStr">
        <is>
          <t>Tech C</t>
        </is>
      </c>
      <c r="E1436" s="35" t="n">
        <v>2.4</v>
      </c>
      <c r="F1436" s="35" t="n">
        <v>2</v>
      </c>
      <c r="G1436" s="37" t="inlineStr">
        <is>
          <t>Y</t>
        </is>
      </c>
      <c r="H1436" s="37" t="inlineStr">
        <is>
          <t>N</t>
        </is>
      </c>
      <c r="I1436" s="37">
        <f>COUNTIF(G$5:G1436,"Y")/COUNTA(G$5:G1436)</f>
        <v/>
      </c>
      <c r="J1436" s="37">
        <f>COUNTIF(H$5:H1436,"Y")/COUNTA(H$5:H1436)</f>
        <v/>
      </c>
      <c r="K1436" s="37">
        <f>AVERAGE(F$5:F1436)</f>
        <v/>
      </c>
      <c r="L1436" s="37">
        <f>SUM(F$5:F1436)/SUM(E$5:E1436)</f>
        <v/>
      </c>
    </row>
    <row r="1437">
      <c r="A1437" s="29" t="n">
        <v>45863</v>
      </c>
      <c r="B1437" s="37" t="inlineStr">
        <is>
          <t>JOB-2433</t>
        </is>
      </c>
      <c r="C1437" s="34" t="n">
        <v>1</v>
      </c>
      <c r="D1437" s="37" t="inlineStr">
        <is>
          <t>Tech A</t>
        </is>
      </c>
      <c r="E1437" s="35" t="n">
        <v>1.7</v>
      </c>
      <c r="F1437" s="35" t="n">
        <v>1.3</v>
      </c>
      <c r="G1437" s="37" t="inlineStr">
        <is>
          <t>Y</t>
        </is>
      </c>
      <c r="H1437" s="37" t="inlineStr">
        <is>
          <t>N</t>
        </is>
      </c>
      <c r="I1437" s="37">
        <f>COUNTIF(G$5:G1437,"Y")/COUNTA(G$5:G1437)</f>
        <v/>
      </c>
      <c r="J1437" s="37">
        <f>COUNTIF(H$5:H1437,"Y")/COUNTA(H$5:H1437)</f>
        <v/>
      </c>
      <c r="K1437" s="37">
        <f>AVERAGE(F$5:F1437)</f>
        <v/>
      </c>
      <c r="L1437" s="37">
        <f>SUM(F$5:F1437)/SUM(E$5:E1437)</f>
        <v/>
      </c>
    </row>
    <row r="1438">
      <c r="A1438" s="29" t="n">
        <v>45859</v>
      </c>
      <c r="B1438" s="37" t="inlineStr">
        <is>
          <t>JOB-2434</t>
        </is>
      </c>
      <c r="C1438" s="34" t="n">
        <v>1</v>
      </c>
      <c r="D1438" s="37" t="inlineStr">
        <is>
          <t>Tech A</t>
        </is>
      </c>
      <c r="E1438" s="35" t="n">
        <v>2.3</v>
      </c>
      <c r="F1438" s="35" t="n">
        <v>2.1</v>
      </c>
      <c r="G1438" s="37" t="inlineStr">
        <is>
          <t>Y</t>
        </is>
      </c>
      <c r="H1438" s="37" t="inlineStr">
        <is>
          <t>N</t>
        </is>
      </c>
      <c r="I1438" s="37">
        <f>COUNTIF(G$5:G1438,"Y")/COUNTA(G$5:G1438)</f>
        <v/>
      </c>
      <c r="J1438" s="37">
        <f>COUNTIF(H$5:H1438,"Y")/COUNTA(H$5:H1438)</f>
        <v/>
      </c>
      <c r="K1438" s="37">
        <f>AVERAGE(F$5:F1438)</f>
        <v/>
      </c>
      <c r="L1438" s="37">
        <f>SUM(F$5:F1438)/SUM(E$5:E1438)</f>
        <v/>
      </c>
    </row>
    <row r="1439">
      <c r="A1439" s="29" t="n">
        <v>45860</v>
      </c>
      <c r="B1439" s="37" t="inlineStr">
        <is>
          <t>JOB-2435</t>
        </is>
      </c>
      <c r="C1439" s="34" t="n">
        <v>1</v>
      </c>
      <c r="D1439" s="37" t="inlineStr">
        <is>
          <t>Tech C</t>
        </is>
      </c>
      <c r="E1439" s="35" t="n">
        <v>3.3</v>
      </c>
      <c r="F1439" s="35" t="n">
        <v>2.7</v>
      </c>
      <c r="G1439" s="37" t="inlineStr">
        <is>
          <t>Y</t>
        </is>
      </c>
      <c r="H1439" s="37" t="inlineStr">
        <is>
          <t>N</t>
        </is>
      </c>
      <c r="I1439" s="37">
        <f>COUNTIF(G$5:G1439,"Y")/COUNTA(G$5:G1439)</f>
        <v/>
      </c>
      <c r="J1439" s="37">
        <f>COUNTIF(H$5:H1439,"Y")/COUNTA(H$5:H1439)</f>
        <v/>
      </c>
      <c r="K1439" s="37">
        <f>AVERAGE(F$5:F1439)</f>
        <v/>
      </c>
      <c r="L1439" s="37">
        <f>SUM(F$5:F1439)/SUM(E$5:E1439)</f>
        <v/>
      </c>
    </row>
    <row r="1440">
      <c r="A1440" s="29" t="n">
        <v>45861</v>
      </c>
      <c r="B1440" s="37" t="inlineStr">
        <is>
          <t>JOB-2436</t>
        </is>
      </c>
      <c r="C1440" s="34" t="n">
        <v>1</v>
      </c>
      <c r="D1440" s="37" t="inlineStr">
        <is>
          <t>Tech C</t>
        </is>
      </c>
      <c r="E1440" s="35" t="n">
        <v>4.1</v>
      </c>
      <c r="F1440" s="35" t="n">
        <v>3.6</v>
      </c>
      <c r="G1440" s="37" t="inlineStr">
        <is>
          <t>Y</t>
        </is>
      </c>
      <c r="H1440" s="37" t="inlineStr">
        <is>
          <t>N</t>
        </is>
      </c>
      <c r="I1440" s="37">
        <f>COUNTIF(G$5:G1440,"Y")/COUNTA(G$5:G1440)</f>
        <v/>
      </c>
      <c r="J1440" s="37">
        <f>COUNTIF(H$5:H1440,"Y")/COUNTA(H$5:H1440)</f>
        <v/>
      </c>
      <c r="K1440" s="37">
        <f>AVERAGE(F$5:F1440)</f>
        <v/>
      </c>
      <c r="L1440" s="37">
        <f>SUM(F$5:F1440)/SUM(E$5:E1440)</f>
        <v/>
      </c>
    </row>
    <row r="1441">
      <c r="A1441" s="29" t="n">
        <v>45862</v>
      </c>
      <c r="B1441" s="37" t="inlineStr">
        <is>
          <t>JOB-2437</t>
        </is>
      </c>
      <c r="C1441" s="34" t="n">
        <v>1</v>
      </c>
      <c r="D1441" s="37" t="inlineStr">
        <is>
          <t>Tech D</t>
        </is>
      </c>
      <c r="E1441" s="35" t="n">
        <v>2.4</v>
      </c>
      <c r="F1441" s="35" t="n">
        <v>2.1</v>
      </c>
      <c r="G1441" s="37" t="inlineStr">
        <is>
          <t>Y</t>
        </is>
      </c>
      <c r="H1441" s="37" t="inlineStr">
        <is>
          <t>N</t>
        </is>
      </c>
      <c r="I1441" s="37">
        <f>COUNTIF(G$5:G1441,"Y")/COUNTA(G$5:G1441)</f>
        <v/>
      </c>
      <c r="J1441" s="37">
        <f>COUNTIF(H$5:H1441,"Y")/COUNTA(H$5:H1441)</f>
        <v/>
      </c>
      <c r="K1441" s="37">
        <f>AVERAGE(F$5:F1441)</f>
        <v/>
      </c>
      <c r="L1441" s="37">
        <f>SUM(F$5:F1441)/SUM(E$5:E1441)</f>
        <v/>
      </c>
    </row>
    <row r="1442">
      <c r="A1442" s="29" t="n">
        <v>45863</v>
      </c>
      <c r="B1442" s="37" t="inlineStr">
        <is>
          <t>JOB-2438</t>
        </is>
      </c>
      <c r="C1442" s="34" t="n">
        <v>1</v>
      </c>
      <c r="D1442" s="37" t="inlineStr">
        <is>
          <t>Tech D</t>
        </is>
      </c>
      <c r="E1442" s="35" t="n">
        <v>5.3</v>
      </c>
      <c r="F1442" s="35" t="n">
        <v>3.7</v>
      </c>
      <c r="G1442" s="37" t="inlineStr">
        <is>
          <t>Y</t>
        </is>
      </c>
      <c r="H1442" s="37" t="inlineStr">
        <is>
          <t>Y</t>
        </is>
      </c>
      <c r="I1442" s="37">
        <f>COUNTIF(G$5:G1442,"Y")/COUNTA(G$5:G1442)</f>
        <v/>
      </c>
      <c r="J1442" s="37">
        <f>COUNTIF(H$5:H1442,"Y")/COUNTA(H$5:H1442)</f>
        <v/>
      </c>
      <c r="K1442" s="37">
        <f>AVERAGE(F$5:F1442)</f>
        <v/>
      </c>
      <c r="L1442" s="37">
        <f>SUM(F$5:F1442)/SUM(E$5:E1442)</f>
        <v/>
      </c>
    </row>
    <row r="1443">
      <c r="A1443" s="29" t="n">
        <v>45859</v>
      </c>
      <c r="B1443" s="37" t="inlineStr">
        <is>
          <t>JOB-2439</t>
        </is>
      </c>
      <c r="C1443" s="34" t="n">
        <v>1</v>
      </c>
      <c r="D1443" s="37" t="inlineStr">
        <is>
          <t>Tech F</t>
        </is>
      </c>
      <c r="E1443" s="35" t="n">
        <v>5.1</v>
      </c>
      <c r="F1443" s="35" t="n">
        <v>4</v>
      </c>
      <c r="G1443" s="37" t="inlineStr">
        <is>
          <t>Y</t>
        </is>
      </c>
      <c r="H1443" s="37" t="inlineStr">
        <is>
          <t>N</t>
        </is>
      </c>
      <c r="I1443" s="37">
        <f>COUNTIF(G$5:G1443,"Y")/COUNTA(G$5:G1443)</f>
        <v/>
      </c>
      <c r="J1443" s="37">
        <f>COUNTIF(H$5:H1443,"Y")/COUNTA(H$5:H1443)</f>
        <v/>
      </c>
      <c r="K1443" s="37">
        <f>AVERAGE(F$5:F1443)</f>
        <v/>
      </c>
      <c r="L1443" s="37">
        <f>SUM(F$5:F1443)/SUM(E$5:E1443)</f>
        <v/>
      </c>
    </row>
    <row r="1444">
      <c r="A1444" s="29" t="n">
        <v>45860</v>
      </c>
      <c r="B1444" s="37" t="inlineStr">
        <is>
          <t>JOB-2440</t>
        </is>
      </c>
      <c r="C1444" s="34" t="n">
        <v>1</v>
      </c>
      <c r="D1444" s="37" t="inlineStr">
        <is>
          <t>Tech F</t>
        </is>
      </c>
      <c r="E1444" s="35" t="n">
        <v>3.3</v>
      </c>
      <c r="F1444" s="35" t="n">
        <v>2.9</v>
      </c>
      <c r="G1444" s="37" t="inlineStr">
        <is>
          <t>Y</t>
        </is>
      </c>
      <c r="H1444" s="37" t="inlineStr">
        <is>
          <t>N</t>
        </is>
      </c>
      <c r="I1444" s="37">
        <f>COUNTIF(G$5:G1444,"Y")/COUNTA(G$5:G1444)</f>
        <v/>
      </c>
      <c r="J1444" s="37">
        <f>COUNTIF(H$5:H1444,"Y")/COUNTA(H$5:H1444)</f>
        <v/>
      </c>
      <c r="K1444" s="37">
        <f>AVERAGE(F$5:F1444)</f>
        <v/>
      </c>
      <c r="L1444" s="37">
        <f>SUM(F$5:F1444)/SUM(E$5:E1444)</f>
        <v/>
      </c>
    </row>
    <row r="1445">
      <c r="A1445" s="29" t="n">
        <v>45861</v>
      </c>
      <c r="B1445" s="37" t="inlineStr">
        <is>
          <t>JOB-2441</t>
        </is>
      </c>
      <c r="C1445" s="34" t="n">
        <v>1</v>
      </c>
      <c r="D1445" s="37" t="inlineStr">
        <is>
          <t>Tech G</t>
        </is>
      </c>
      <c r="E1445" s="35" t="n">
        <v>3.2</v>
      </c>
      <c r="F1445" s="35" t="n">
        <v>2.5</v>
      </c>
      <c r="G1445" s="37" t="inlineStr">
        <is>
          <t>N</t>
        </is>
      </c>
      <c r="H1445" s="37" t="inlineStr">
        <is>
          <t>N</t>
        </is>
      </c>
      <c r="I1445" s="37">
        <f>COUNTIF(G$5:G1445,"Y")/COUNTA(G$5:G1445)</f>
        <v/>
      </c>
      <c r="J1445" s="37">
        <f>COUNTIF(H$5:H1445,"Y")/COUNTA(H$5:H1445)</f>
        <v/>
      </c>
      <c r="K1445" s="37">
        <f>AVERAGE(F$5:F1445)</f>
        <v/>
      </c>
      <c r="L1445" s="37">
        <f>SUM(F$5:F1445)/SUM(E$5:E1445)</f>
        <v/>
      </c>
    </row>
    <row r="1446">
      <c r="A1446" s="29" t="n">
        <v>45862</v>
      </c>
      <c r="B1446" s="37" t="inlineStr">
        <is>
          <t>JOB-2442</t>
        </is>
      </c>
      <c r="C1446" s="34" t="n">
        <v>1</v>
      </c>
      <c r="D1446" s="37" t="inlineStr">
        <is>
          <t>Tech A</t>
        </is>
      </c>
      <c r="E1446" s="35" t="n">
        <v>4.5</v>
      </c>
      <c r="F1446" s="35" t="n">
        <v>3.9</v>
      </c>
      <c r="G1446" s="37" t="inlineStr">
        <is>
          <t>Y</t>
        </is>
      </c>
      <c r="H1446" s="37" t="inlineStr">
        <is>
          <t>N</t>
        </is>
      </c>
      <c r="I1446" s="37">
        <f>COUNTIF(G$5:G1446,"Y")/COUNTA(G$5:G1446)</f>
        <v/>
      </c>
      <c r="J1446" s="37">
        <f>COUNTIF(H$5:H1446,"Y")/COUNTA(H$5:H1446)</f>
        <v/>
      </c>
      <c r="K1446" s="37">
        <f>AVERAGE(F$5:F1446)</f>
        <v/>
      </c>
      <c r="L1446" s="37">
        <f>SUM(F$5:F1446)/SUM(E$5:E1446)</f>
        <v/>
      </c>
    </row>
    <row r="1447">
      <c r="A1447" s="29" t="n">
        <v>45863</v>
      </c>
      <c r="B1447" s="37" t="inlineStr">
        <is>
          <t>JOB-2443</t>
        </is>
      </c>
      <c r="C1447" s="34" t="n">
        <v>1</v>
      </c>
      <c r="D1447" s="37" t="inlineStr">
        <is>
          <t>Tech D</t>
        </is>
      </c>
      <c r="E1447" s="35" t="n">
        <v>3.4</v>
      </c>
      <c r="F1447" s="35" t="n">
        <v>2.7</v>
      </c>
      <c r="G1447" s="37" t="inlineStr">
        <is>
          <t>Y</t>
        </is>
      </c>
      <c r="H1447" s="37" t="inlineStr">
        <is>
          <t>Y</t>
        </is>
      </c>
      <c r="I1447" s="37">
        <f>COUNTIF(G$5:G1447,"Y")/COUNTA(G$5:G1447)</f>
        <v/>
      </c>
      <c r="J1447" s="37">
        <f>COUNTIF(H$5:H1447,"Y")/COUNTA(H$5:H1447)</f>
        <v/>
      </c>
      <c r="K1447" s="37">
        <f>AVERAGE(F$5:F1447)</f>
        <v/>
      </c>
      <c r="L1447" s="37">
        <f>SUM(F$5:F1447)/SUM(E$5:E1447)</f>
        <v/>
      </c>
    </row>
    <row r="1448">
      <c r="A1448" s="29" t="n">
        <v>45859</v>
      </c>
      <c r="B1448" s="37" t="inlineStr">
        <is>
          <t>JOB-2444</t>
        </is>
      </c>
      <c r="C1448" s="34" t="n">
        <v>1</v>
      </c>
      <c r="D1448" s="37" t="inlineStr">
        <is>
          <t>Tech H</t>
        </is>
      </c>
      <c r="E1448" s="35" t="n">
        <v>1.5</v>
      </c>
      <c r="F1448" s="35" t="n">
        <v>1.2</v>
      </c>
      <c r="G1448" s="37" t="inlineStr">
        <is>
          <t>N</t>
        </is>
      </c>
      <c r="H1448" s="37" t="inlineStr">
        <is>
          <t>N</t>
        </is>
      </c>
      <c r="I1448" s="37">
        <f>COUNTIF(G$5:G1448,"Y")/COUNTA(G$5:G1448)</f>
        <v/>
      </c>
      <c r="J1448" s="37">
        <f>COUNTIF(H$5:H1448,"Y")/COUNTA(H$5:H1448)</f>
        <v/>
      </c>
      <c r="K1448" s="37">
        <f>AVERAGE(F$5:F1448)</f>
        <v/>
      </c>
      <c r="L1448" s="37">
        <f>SUM(F$5:F1448)/SUM(E$5:E1448)</f>
        <v/>
      </c>
    </row>
    <row r="1449">
      <c r="A1449" s="29" t="n">
        <v>45860</v>
      </c>
      <c r="B1449" s="37" t="inlineStr">
        <is>
          <t>JOB-2445</t>
        </is>
      </c>
      <c r="C1449" s="34" t="n">
        <v>1</v>
      </c>
      <c r="D1449" s="37" t="inlineStr">
        <is>
          <t>Tech F</t>
        </is>
      </c>
      <c r="E1449" s="35" t="n">
        <v>4.5</v>
      </c>
      <c r="F1449" s="35" t="n">
        <v>3.9</v>
      </c>
      <c r="G1449" s="37" t="inlineStr">
        <is>
          <t>Y</t>
        </is>
      </c>
      <c r="H1449" s="37" t="inlineStr">
        <is>
          <t>N</t>
        </is>
      </c>
      <c r="I1449" s="37">
        <f>COUNTIF(G$5:G1449,"Y")/COUNTA(G$5:G1449)</f>
        <v/>
      </c>
      <c r="J1449" s="37">
        <f>COUNTIF(H$5:H1449,"Y")/COUNTA(H$5:H1449)</f>
        <v/>
      </c>
      <c r="K1449" s="37">
        <f>AVERAGE(F$5:F1449)</f>
        <v/>
      </c>
      <c r="L1449" s="37">
        <f>SUM(F$5:F1449)/SUM(E$5:E1449)</f>
        <v/>
      </c>
    </row>
    <row r="1450">
      <c r="A1450" s="29" t="n">
        <v>45861</v>
      </c>
      <c r="B1450" s="37" t="inlineStr">
        <is>
          <t>JOB-2446</t>
        </is>
      </c>
      <c r="C1450" s="34" t="n">
        <v>1</v>
      </c>
      <c r="D1450" s="37" t="inlineStr">
        <is>
          <t>Tech H</t>
        </is>
      </c>
      <c r="E1450" s="35" t="n">
        <v>1.3</v>
      </c>
      <c r="F1450" s="35" t="n">
        <v>1.1</v>
      </c>
      <c r="G1450" s="37" t="inlineStr">
        <is>
          <t>Y</t>
        </is>
      </c>
      <c r="H1450" s="37" t="inlineStr">
        <is>
          <t>N</t>
        </is>
      </c>
      <c r="I1450" s="37">
        <f>COUNTIF(G$5:G1450,"Y")/COUNTA(G$5:G1450)</f>
        <v/>
      </c>
      <c r="J1450" s="37">
        <f>COUNTIF(H$5:H1450,"Y")/COUNTA(H$5:H1450)</f>
        <v/>
      </c>
      <c r="K1450" s="37">
        <f>AVERAGE(F$5:F1450)</f>
        <v/>
      </c>
      <c r="L1450" s="37">
        <f>SUM(F$5:F1450)/SUM(E$5:E1450)</f>
        <v/>
      </c>
    </row>
    <row r="1451">
      <c r="A1451" s="29" t="n">
        <v>45862</v>
      </c>
      <c r="B1451" s="37" t="inlineStr">
        <is>
          <t>JOB-2447</t>
        </is>
      </c>
      <c r="C1451" s="34" t="n">
        <v>1</v>
      </c>
      <c r="D1451" s="37" t="inlineStr">
        <is>
          <t>Tech G</t>
        </is>
      </c>
      <c r="E1451" s="35" t="n">
        <v>0.7</v>
      </c>
      <c r="F1451" s="35" t="n">
        <v>0.5</v>
      </c>
      <c r="G1451" s="37" t="inlineStr">
        <is>
          <t>Y</t>
        </is>
      </c>
      <c r="H1451" s="37" t="inlineStr">
        <is>
          <t>N</t>
        </is>
      </c>
      <c r="I1451" s="37">
        <f>COUNTIF(G$5:G1451,"Y")/COUNTA(G$5:G1451)</f>
        <v/>
      </c>
      <c r="J1451" s="37">
        <f>COUNTIF(H$5:H1451,"Y")/COUNTA(H$5:H1451)</f>
        <v/>
      </c>
      <c r="K1451" s="37">
        <f>AVERAGE(F$5:F1451)</f>
        <v/>
      </c>
      <c r="L1451" s="37">
        <f>SUM(F$5:F1451)/SUM(E$5:E1451)</f>
        <v/>
      </c>
    </row>
    <row r="1452">
      <c r="A1452" s="29" t="n">
        <v>45863</v>
      </c>
      <c r="B1452" s="37" t="inlineStr">
        <is>
          <t>JOB-2448</t>
        </is>
      </c>
      <c r="C1452" s="34" t="n">
        <v>1</v>
      </c>
      <c r="D1452" s="37" t="inlineStr">
        <is>
          <t>Tech F</t>
        </is>
      </c>
      <c r="E1452" s="35" t="n">
        <v>4.8</v>
      </c>
      <c r="F1452" s="35" t="n">
        <v>0.5</v>
      </c>
      <c r="G1452" s="37" t="inlineStr">
        <is>
          <t>N</t>
        </is>
      </c>
      <c r="H1452" s="37" t="inlineStr">
        <is>
          <t>N</t>
        </is>
      </c>
      <c r="I1452" s="37">
        <f>COUNTIF(G$5:G1452,"Y")/COUNTA(G$5:G1452)</f>
        <v/>
      </c>
      <c r="J1452" s="37">
        <f>COUNTIF(H$5:H1452,"Y")/COUNTA(H$5:H1452)</f>
        <v/>
      </c>
      <c r="K1452" s="37">
        <f>AVERAGE(F$5:F1452)</f>
        <v/>
      </c>
      <c r="L1452" s="37">
        <f>SUM(F$5:F1452)/SUM(E$5:E1452)</f>
        <v/>
      </c>
      <c r="M1452" s="37" t="n">
        <v>13</v>
      </c>
    </row>
    <row r="1453">
      <c r="A1453" s="29" t="n">
        <v>45866</v>
      </c>
      <c r="B1453" s="37" t="inlineStr">
        <is>
          <t>JOB-2449</t>
        </is>
      </c>
      <c r="C1453" s="34" t="n">
        <v>1</v>
      </c>
      <c r="D1453" s="37" t="inlineStr">
        <is>
          <t>Tech A</t>
        </is>
      </c>
      <c r="E1453" s="35" t="n">
        <v>5.3</v>
      </c>
      <c r="F1453" s="35" t="n">
        <v>4.2</v>
      </c>
      <c r="G1453" s="37" t="inlineStr">
        <is>
          <t>Y</t>
        </is>
      </c>
      <c r="H1453" s="37" t="inlineStr">
        <is>
          <t>N</t>
        </is>
      </c>
      <c r="I1453" s="37">
        <f>COUNTIF(G$5:G1453,"Y")/COUNTA(G$5:G1453)</f>
        <v/>
      </c>
      <c r="J1453" s="37">
        <f>COUNTIF(H$5:H1453,"Y")/COUNTA(H$5:H1453)</f>
        <v/>
      </c>
      <c r="K1453" s="37">
        <f>AVERAGE(F$5:F1453)</f>
        <v/>
      </c>
      <c r="L1453" s="37">
        <f>SUM(F$5:F1453)/SUM(E$5:E1453)</f>
        <v/>
      </c>
    </row>
    <row r="1454">
      <c r="A1454" s="29" t="n">
        <v>45867</v>
      </c>
      <c r="B1454" s="37" t="inlineStr">
        <is>
          <t>JOB-2450</t>
        </is>
      </c>
      <c r="C1454" s="34" t="n">
        <v>1</v>
      </c>
      <c r="D1454" s="37" t="inlineStr">
        <is>
          <t>Tech C</t>
        </is>
      </c>
      <c r="E1454" s="35" t="n">
        <v>3.2</v>
      </c>
      <c r="F1454" s="35" t="n">
        <v>2.4</v>
      </c>
      <c r="G1454" s="37" t="inlineStr">
        <is>
          <t>Y</t>
        </is>
      </c>
      <c r="H1454" s="37" t="inlineStr">
        <is>
          <t>N</t>
        </is>
      </c>
      <c r="I1454" s="37">
        <f>COUNTIF(G$5:G1454,"Y")/COUNTA(G$5:G1454)</f>
        <v/>
      </c>
      <c r="J1454" s="37">
        <f>COUNTIF(H$5:H1454,"Y")/COUNTA(H$5:H1454)</f>
        <v/>
      </c>
      <c r="K1454" s="37">
        <f>AVERAGE(F$5:F1454)</f>
        <v/>
      </c>
      <c r="L1454" s="37">
        <f>SUM(F$5:F1454)/SUM(E$5:E1454)</f>
        <v/>
      </c>
    </row>
    <row r="1455">
      <c r="A1455" s="29" t="n">
        <v>45868</v>
      </c>
      <c r="B1455" s="37" t="inlineStr">
        <is>
          <t>JOB-2451</t>
        </is>
      </c>
      <c r="C1455" s="34" t="n">
        <v>1</v>
      </c>
      <c r="D1455" s="37" t="inlineStr">
        <is>
          <t>Tech C</t>
        </is>
      </c>
      <c r="E1455" s="35" t="n">
        <v>5.1</v>
      </c>
      <c r="F1455" s="35" t="n">
        <v>3.5</v>
      </c>
      <c r="G1455" s="37" t="inlineStr">
        <is>
          <t>Y</t>
        </is>
      </c>
      <c r="H1455" s="37" t="inlineStr">
        <is>
          <t>N</t>
        </is>
      </c>
      <c r="I1455" s="37">
        <f>COUNTIF(G$5:G1455,"Y")/COUNTA(G$5:G1455)</f>
        <v/>
      </c>
      <c r="J1455" s="37">
        <f>COUNTIF(H$5:H1455,"Y")/COUNTA(H$5:H1455)</f>
        <v/>
      </c>
      <c r="K1455" s="37">
        <f>AVERAGE(F$5:F1455)</f>
        <v/>
      </c>
      <c r="L1455" s="37">
        <f>SUM(F$5:F1455)/SUM(E$5:E1455)</f>
        <v/>
      </c>
    </row>
    <row r="1456">
      <c r="A1456" s="29" t="n">
        <v>45869</v>
      </c>
      <c r="B1456" s="37" t="inlineStr">
        <is>
          <t>JOB-2452</t>
        </is>
      </c>
      <c r="C1456" s="34" t="n">
        <v>1</v>
      </c>
      <c r="D1456" s="37" t="inlineStr">
        <is>
          <t>Tech C</t>
        </is>
      </c>
      <c r="E1456" s="35" t="n">
        <v>4.7</v>
      </c>
      <c r="F1456" s="35" t="n">
        <v>4.1</v>
      </c>
      <c r="G1456" s="37" t="inlineStr">
        <is>
          <t>Y</t>
        </is>
      </c>
      <c r="H1456" s="37" t="inlineStr">
        <is>
          <t>N</t>
        </is>
      </c>
      <c r="I1456" s="37">
        <f>COUNTIF(G$5:G1456,"Y")/COUNTA(G$5:G1456)</f>
        <v/>
      </c>
      <c r="J1456" s="37">
        <f>COUNTIF(H$5:H1456,"Y")/COUNTA(H$5:H1456)</f>
        <v/>
      </c>
      <c r="K1456" s="37">
        <f>AVERAGE(F$5:F1456)</f>
        <v/>
      </c>
      <c r="L1456" s="37">
        <f>SUM(F$5:F1456)/SUM(E$5:E1456)</f>
        <v/>
      </c>
    </row>
    <row r="1457">
      <c r="A1457" s="29" t="n">
        <v>45870</v>
      </c>
      <c r="B1457" s="37" t="inlineStr">
        <is>
          <t>JOB-2453</t>
        </is>
      </c>
      <c r="C1457" s="34" t="n">
        <v>1</v>
      </c>
      <c r="D1457" s="37" t="inlineStr">
        <is>
          <t>Tech C</t>
        </is>
      </c>
      <c r="E1457" s="35" t="n">
        <v>4.6</v>
      </c>
      <c r="F1457" s="35" t="n">
        <v>4.1</v>
      </c>
      <c r="G1457" s="37" t="inlineStr">
        <is>
          <t>Y</t>
        </is>
      </c>
      <c r="H1457" s="37" t="inlineStr">
        <is>
          <t>N</t>
        </is>
      </c>
      <c r="I1457" s="37">
        <f>COUNTIF(G$5:G1457,"Y")/COUNTA(G$5:G1457)</f>
        <v/>
      </c>
      <c r="J1457" s="37">
        <f>COUNTIF(H$5:H1457,"Y")/COUNTA(H$5:H1457)</f>
        <v/>
      </c>
      <c r="K1457" s="37">
        <f>AVERAGE(F$5:F1457)</f>
        <v/>
      </c>
      <c r="L1457" s="37">
        <f>SUM(F$5:F1457)/SUM(E$5:E1457)</f>
        <v/>
      </c>
    </row>
    <row r="1458">
      <c r="A1458" s="29" t="n">
        <v>45866</v>
      </c>
      <c r="B1458" s="37" t="inlineStr">
        <is>
          <t>JOB-2454</t>
        </is>
      </c>
      <c r="C1458" s="34" t="n">
        <v>1</v>
      </c>
      <c r="D1458" s="37" t="inlineStr">
        <is>
          <t>Tech D</t>
        </is>
      </c>
      <c r="E1458" s="35" t="n">
        <v>2.9</v>
      </c>
      <c r="F1458" s="35" t="n">
        <v>2.5</v>
      </c>
      <c r="G1458" s="37" t="inlineStr">
        <is>
          <t>N</t>
        </is>
      </c>
      <c r="H1458" s="37" t="inlineStr">
        <is>
          <t>N</t>
        </is>
      </c>
      <c r="I1458" s="37">
        <f>COUNTIF(G$5:G1458,"Y")/COUNTA(G$5:G1458)</f>
        <v/>
      </c>
      <c r="J1458" s="37">
        <f>COUNTIF(H$5:H1458,"Y")/COUNTA(H$5:H1458)</f>
        <v/>
      </c>
      <c r="K1458" s="37">
        <f>AVERAGE(F$5:F1458)</f>
        <v/>
      </c>
      <c r="L1458" s="37">
        <f>SUM(F$5:F1458)/SUM(E$5:E1458)</f>
        <v/>
      </c>
    </row>
    <row r="1459">
      <c r="A1459" s="29" t="n">
        <v>45867</v>
      </c>
      <c r="B1459" s="37" t="inlineStr">
        <is>
          <t>JOB-2455</t>
        </is>
      </c>
      <c r="C1459" s="34" t="n">
        <v>1</v>
      </c>
      <c r="D1459" s="37" t="inlineStr">
        <is>
          <t>Tech G</t>
        </is>
      </c>
      <c r="E1459" s="35" t="n">
        <v>4.9</v>
      </c>
      <c r="F1459" s="35" t="n">
        <v>4.4</v>
      </c>
      <c r="G1459" s="37" t="inlineStr">
        <is>
          <t>Y</t>
        </is>
      </c>
      <c r="H1459" s="37" t="inlineStr">
        <is>
          <t>N</t>
        </is>
      </c>
      <c r="I1459" s="37">
        <f>COUNTIF(G$5:G1459,"Y")/COUNTA(G$5:G1459)</f>
        <v/>
      </c>
      <c r="J1459" s="37">
        <f>COUNTIF(H$5:H1459,"Y")/COUNTA(H$5:H1459)</f>
        <v/>
      </c>
      <c r="K1459" s="37">
        <f>AVERAGE(F$5:F1459)</f>
        <v/>
      </c>
      <c r="L1459" s="37">
        <f>SUM(F$5:F1459)/SUM(E$5:E1459)</f>
        <v/>
      </c>
    </row>
    <row r="1460">
      <c r="A1460" s="29" t="n">
        <v>45868</v>
      </c>
      <c r="B1460" s="37" t="inlineStr">
        <is>
          <t>JOB-2456</t>
        </is>
      </c>
      <c r="C1460" s="34" t="n">
        <v>1</v>
      </c>
      <c r="D1460" s="37" t="inlineStr">
        <is>
          <t>Tech F</t>
        </is>
      </c>
      <c r="E1460" s="35" t="n">
        <v>2</v>
      </c>
      <c r="F1460" s="35" t="n">
        <v>1.8</v>
      </c>
      <c r="G1460" s="37" t="inlineStr">
        <is>
          <t>Y</t>
        </is>
      </c>
      <c r="H1460" s="37" t="inlineStr">
        <is>
          <t>N</t>
        </is>
      </c>
      <c r="I1460" s="37">
        <f>COUNTIF(G$5:G1460,"Y")/COUNTA(G$5:G1460)</f>
        <v/>
      </c>
      <c r="J1460" s="37">
        <f>COUNTIF(H$5:H1460,"Y")/COUNTA(H$5:H1460)</f>
        <v/>
      </c>
      <c r="K1460" s="37">
        <f>AVERAGE(F$5:F1460)</f>
        <v/>
      </c>
      <c r="L1460" s="37">
        <f>SUM(F$5:F1460)/SUM(E$5:E1460)</f>
        <v/>
      </c>
    </row>
    <row r="1461">
      <c r="A1461" s="29" t="n">
        <v>45869</v>
      </c>
      <c r="B1461" s="37" t="inlineStr">
        <is>
          <t>JOB-2457</t>
        </is>
      </c>
      <c r="C1461" s="34" t="n">
        <v>1</v>
      </c>
      <c r="D1461" s="37" t="inlineStr">
        <is>
          <t>Tech A</t>
        </is>
      </c>
      <c r="E1461" s="35" t="n">
        <v>1.9</v>
      </c>
      <c r="F1461" s="35" t="n">
        <v>1.7</v>
      </c>
      <c r="G1461" s="37" t="inlineStr">
        <is>
          <t>Y</t>
        </is>
      </c>
      <c r="H1461" s="37" t="inlineStr">
        <is>
          <t>N</t>
        </is>
      </c>
      <c r="I1461" s="37">
        <f>COUNTIF(G$5:G1461,"Y")/COUNTA(G$5:G1461)</f>
        <v/>
      </c>
      <c r="J1461" s="37">
        <f>COUNTIF(H$5:H1461,"Y")/COUNTA(H$5:H1461)</f>
        <v/>
      </c>
      <c r="K1461" s="37">
        <f>AVERAGE(F$5:F1461)</f>
        <v/>
      </c>
      <c r="L1461" s="37">
        <f>SUM(F$5:F1461)/SUM(E$5:E1461)</f>
        <v/>
      </c>
    </row>
    <row r="1462">
      <c r="A1462" s="29" t="n">
        <v>45870</v>
      </c>
      <c r="B1462" s="37" t="inlineStr">
        <is>
          <t>JOB-2458</t>
        </is>
      </c>
      <c r="C1462" s="34" t="n">
        <v>1</v>
      </c>
      <c r="D1462" s="37" t="inlineStr">
        <is>
          <t>Tech B</t>
        </is>
      </c>
      <c r="E1462" s="35" t="n">
        <v>2.7</v>
      </c>
      <c r="F1462" s="35" t="n">
        <v>1.9</v>
      </c>
      <c r="G1462" s="37" t="inlineStr">
        <is>
          <t>Y</t>
        </is>
      </c>
      <c r="H1462" s="37" t="inlineStr">
        <is>
          <t>N</t>
        </is>
      </c>
      <c r="I1462" s="37">
        <f>COUNTIF(G$5:G1462,"Y")/COUNTA(G$5:G1462)</f>
        <v/>
      </c>
      <c r="J1462" s="37">
        <f>COUNTIF(H$5:H1462,"Y")/COUNTA(H$5:H1462)</f>
        <v/>
      </c>
      <c r="K1462" s="37">
        <f>AVERAGE(F$5:F1462)</f>
        <v/>
      </c>
      <c r="L1462" s="37">
        <f>SUM(F$5:F1462)/SUM(E$5:E1462)</f>
        <v/>
      </c>
    </row>
    <row r="1463">
      <c r="A1463" s="29" t="n">
        <v>45866</v>
      </c>
      <c r="B1463" s="37" t="inlineStr">
        <is>
          <t>JOB-2459</t>
        </is>
      </c>
      <c r="C1463" s="34" t="n">
        <v>1</v>
      </c>
      <c r="D1463" s="37" t="inlineStr">
        <is>
          <t>Tech H</t>
        </is>
      </c>
      <c r="E1463" s="35" t="n">
        <v>1.6</v>
      </c>
      <c r="F1463" s="35" t="n">
        <v>1.3</v>
      </c>
      <c r="G1463" s="37" t="inlineStr">
        <is>
          <t>Y</t>
        </is>
      </c>
      <c r="H1463" s="37" t="inlineStr">
        <is>
          <t>N</t>
        </is>
      </c>
      <c r="I1463" s="37">
        <f>COUNTIF(G$5:G1463,"Y")/COUNTA(G$5:G1463)</f>
        <v/>
      </c>
      <c r="J1463" s="37">
        <f>COUNTIF(H$5:H1463,"Y")/COUNTA(H$5:H1463)</f>
        <v/>
      </c>
      <c r="K1463" s="37">
        <f>AVERAGE(F$5:F1463)</f>
        <v/>
      </c>
      <c r="L1463" s="37">
        <f>SUM(F$5:F1463)/SUM(E$5:E1463)</f>
        <v/>
      </c>
    </row>
    <row r="1464">
      <c r="A1464" s="29" t="n">
        <v>45867</v>
      </c>
      <c r="B1464" s="37" t="inlineStr">
        <is>
          <t>JOB-2460</t>
        </is>
      </c>
      <c r="C1464" s="34" t="n">
        <v>1</v>
      </c>
      <c r="D1464" s="37" t="inlineStr">
        <is>
          <t>Tech D</t>
        </is>
      </c>
      <c r="E1464" s="35" t="n">
        <v>5</v>
      </c>
      <c r="F1464" s="35" t="n">
        <v>3.5</v>
      </c>
      <c r="G1464" s="37" t="inlineStr">
        <is>
          <t>N</t>
        </is>
      </c>
      <c r="H1464" s="37" t="inlineStr">
        <is>
          <t>N</t>
        </is>
      </c>
      <c r="I1464" s="37">
        <f>COUNTIF(G$5:G1464,"Y")/COUNTA(G$5:G1464)</f>
        <v/>
      </c>
      <c r="J1464" s="37">
        <f>COUNTIF(H$5:H1464,"Y")/COUNTA(H$5:H1464)</f>
        <v/>
      </c>
      <c r="K1464" s="37">
        <f>AVERAGE(F$5:F1464)</f>
        <v/>
      </c>
      <c r="L1464" s="37">
        <f>SUM(F$5:F1464)/SUM(E$5:E1464)</f>
        <v/>
      </c>
    </row>
    <row r="1465">
      <c r="A1465" s="29" t="n">
        <v>45868</v>
      </c>
      <c r="B1465" s="37" t="inlineStr">
        <is>
          <t>JOB-2461</t>
        </is>
      </c>
      <c r="C1465" s="34" t="n">
        <v>1</v>
      </c>
      <c r="D1465" s="37" t="inlineStr">
        <is>
          <t>Tech H</t>
        </is>
      </c>
      <c r="E1465" s="35" t="n">
        <v>3.5</v>
      </c>
      <c r="F1465" s="35" t="n">
        <v>2.8</v>
      </c>
      <c r="G1465" s="37" t="inlineStr">
        <is>
          <t>Y</t>
        </is>
      </c>
      <c r="H1465" s="37" t="inlineStr">
        <is>
          <t>N</t>
        </is>
      </c>
      <c r="I1465" s="37">
        <f>COUNTIF(G$5:G1465,"Y")/COUNTA(G$5:G1465)</f>
        <v/>
      </c>
      <c r="J1465" s="37">
        <f>COUNTIF(H$5:H1465,"Y")/COUNTA(H$5:H1465)</f>
        <v/>
      </c>
      <c r="K1465" s="37">
        <f>AVERAGE(F$5:F1465)</f>
        <v/>
      </c>
      <c r="L1465" s="37">
        <f>SUM(F$5:F1465)/SUM(E$5:E1465)</f>
        <v/>
      </c>
    </row>
    <row r="1466">
      <c r="A1466" s="29" t="n">
        <v>45869</v>
      </c>
      <c r="B1466" s="37" t="inlineStr">
        <is>
          <t>JOB-2462</t>
        </is>
      </c>
      <c r="C1466" s="34" t="n">
        <v>1</v>
      </c>
      <c r="D1466" s="37" t="inlineStr">
        <is>
          <t>Tech D</t>
        </is>
      </c>
      <c r="E1466" s="35" t="n">
        <v>3.9</v>
      </c>
      <c r="F1466" s="35" t="n">
        <v>3.6</v>
      </c>
      <c r="G1466" s="37" t="inlineStr">
        <is>
          <t>Y</t>
        </is>
      </c>
      <c r="H1466" s="37" t="inlineStr">
        <is>
          <t>N</t>
        </is>
      </c>
      <c r="I1466" s="37">
        <f>COUNTIF(G$5:G1466,"Y")/COUNTA(G$5:G1466)</f>
        <v/>
      </c>
      <c r="J1466" s="37">
        <f>COUNTIF(H$5:H1466,"Y")/COUNTA(H$5:H1466)</f>
        <v/>
      </c>
      <c r="K1466" s="37">
        <f>AVERAGE(F$5:F1466)</f>
        <v/>
      </c>
      <c r="L1466" s="37">
        <f>SUM(F$5:F1466)/SUM(E$5:E1466)</f>
        <v/>
      </c>
    </row>
    <row r="1467">
      <c r="A1467" s="29" t="n">
        <v>45870</v>
      </c>
      <c r="B1467" s="37" t="inlineStr">
        <is>
          <t>JOB-2463</t>
        </is>
      </c>
      <c r="C1467" s="34" t="n">
        <v>1</v>
      </c>
      <c r="D1467" s="37" t="inlineStr">
        <is>
          <t>Tech G</t>
        </is>
      </c>
      <c r="E1467" s="35" t="n">
        <v>2.1</v>
      </c>
      <c r="F1467" s="35" t="n">
        <v>1.9</v>
      </c>
      <c r="G1467" s="37" t="inlineStr">
        <is>
          <t>Y</t>
        </is>
      </c>
      <c r="H1467" s="37" t="inlineStr">
        <is>
          <t>N</t>
        </is>
      </c>
      <c r="I1467" s="37">
        <f>COUNTIF(G$5:G1467,"Y")/COUNTA(G$5:G1467)</f>
        <v/>
      </c>
      <c r="J1467" s="37">
        <f>COUNTIF(H$5:H1467,"Y")/COUNTA(H$5:H1467)</f>
        <v/>
      </c>
      <c r="K1467" s="37">
        <f>AVERAGE(F$5:F1467)</f>
        <v/>
      </c>
      <c r="L1467" s="37">
        <f>SUM(F$5:F1467)/SUM(E$5:E1467)</f>
        <v/>
      </c>
    </row>
    <row r="1468">
      <c r="A1468" s="29" t="n">
        <v>45866</v>
      </c>
      <c r="B1468" s="37" t="inlineStr">
        <is>
          <t>JOB-2464</t>
        </is>
      </c>
      <c r="C1468" s="34" t="n">
        <v>1</v>
      </c>
      <c r="D1468" s="37" t="inlineStr">
        <is>
          <t>Tech D</t>
        </is>
      </c>
      <c r="E1468" s="35" t="n">
        <v>5.5</v>
      </c>
      <c r="F1468" s="35" t="n">
        <v>3.9</v>
      </c>
      <c r="G1468" s="37" t="inlineStr">
        <is>
          <t>Y</t>
        </is>
      </c>
      <c r="H1468" s="37" t="inlineStr">
        <is>
          <t>N</t>
        </is>
      </c>
      <c r="I1468" s="37">
        <f>COUNTIF(G$5:G1468,"Y")/COUNTA(G$5:G1468)</f>
        <v/>
      </c>
      <c r="J1468" s="37">
        <f>COUNTIF(H$5:H1468,"Y")/COUNTA(H$5:H1468)</f>
        <v/>
      </c>
      <c r="K1468" s="37">
        <f>AVERAGE(F$5:F1468)</f>
        <v/>
      </c>
      <c r="L1468" s="37">
        <f>SUM(F$5:F1468)/SUM(E$5:E1468)</f>
        <v/>
      </c>
    </row>
    <row r="1469">
      <c r="A1469" s="29" t="n">
        <v>45867</v>
      </c>
      <c r="B1469" s="37" t="inlineStr">
        <is>
          <t>JOB-2465</t>
        </is>
      </c>
      <c r="C1469" s="34" t="n">
        <v>1</v>
      </c>
      <c r="D1469" s="37" t="inlineStr">
        <is>
          <t>Tech C</t>
        </is>
      </c>
      <c r="E1469" s="35" t="n">
        <v>3.5</v>
      </c>
      <c r="F1469" s="35" t="n">
        <v>2.9</v>
      </c>
      <c r="G1469" s="37" t="inlineStr">
        <is>
          <t>Y</t>
        </is>
      </c>
      <c r="H1469" s="37" t="inlineStr">
        <is>
          <t>N</t>
        </is>
      </c>
      <c r="I1469" s="37">
        <f>COUNTIF(G$5:G1469,"Y")/COUNTA(G$5:G1469)</f>
        <v/>
      </c>
      <c r="J1469" s="37">
        <f>COUNTIF(H$5:H1469,"Y")/COUNTA(H$5:H1469)</f>
        <v/>
      </c>
      <c r="K1469" s="37">
        <f>AVERAGE(F$5:F1469)</f>
        <v/>
      </c>
      <c r="L1469" s="37">
        <f>SUM(F$5:F1469)/SUM(E$5:E1469)</f>
        <v/>
      </c>
    </row>
    <row r="1470">
      <c r="A1470" s="29" t="n">
        <v>45868</v>
      </c>
      <c r="B1470" s="37" t="inlineStr">
        <is>
          <t>JOB-2466</t>
        </is>
      </c>
      <c r="C1470" s="34" t="n">
        <v>1</v>
      </c>
      <c r="D1470" s="37" t="inlineStr">
        <is>
          <t>Tech B</t>
        </is>
      </c>
      <c r="E1470" s="35" t="n">
        <v>4.1</v>
      </c>
      <c r="F1470" s="35" t="n">
        <v>3.1</v>
      </c>
      <c r="G1470" s="37" t="inlineStr">
        <is>
          <t>N</t>
        </is>
      </c>
      <c r="H1470" s="37" t="inlineStr">
        <is>
          <t>N</t>
        </is>
      </c>
      <c r="I1470" s="37">
        <f>COUNTIF(G$5:G1470,"Y")/COUNTA(G$5:G1470)</f>
        <v/>
      </c>
      <c r="J1470" s="37">
        <f>COUNTIF(H$5:H1470,"Y")/COUNTA(H$5:H1470)</f>
        <v/>
      </c>
      <c r="K1470" s="37">
        <f>AVERAGE(F$5:F1470)</f>
        <v/>
      </c>
      <c r="L1470" s="37">
        <f>SUM(F$5:F1470)/SUM(E$5:E1470)</f>
        <v/>
      </c>
    </row>
    <row r="1471">
      <c r="A1471" s="29" t="n">
        <v>45869</v>
      </c>
      <c r="B1471" s="37" t="inlineStr">
        <is>
          <t>JOB-2467</t>
        </is>
      </c>
      <c r="C1471" s="34" t="n">
        <v>1</v>
      </c>
      <c r="D1471" s="37" t="inlineStr">
        <is>
          <t>Tech G</t>
        </is>
      </c>
      <c r="E1471" s="35" t="n">
        <v>4.8</v>
      </c>
      <c r="F1471" s="35" t="n">
        <v>3.8</v>
      </c>
      <c r="G1471" s="37" t="inlineStr">
        <is>
          <t>Y</t>
        </is>
      </c>
      <c r="H1471" s="37" t="inlineStr">
        <is>
          <t>N</t>
        </is>
      </c>
      <c r="I1471" s="37">
        <f>COUNTIF(G$5:G1471,"Y")/COUNTA(G$5:G1471)</f>
        <v/>
      </c>
      <c r="J1471" s="37">
        <f>COUNTIF(H$5:H1471,"Y")/COUNTA(H$5:H1471)</f>
        <v/>
      </c>
      <c r="K1471" s="37">
        <f>AVERAGE(F$5:F1471)</f>
        <v/>
      </c>
      <c r="L1471" s="37">
        <f>SUM(F$5:F1471)/SUM(E$5:E1471)</f>
        <v/>
      </c>
    </row>
    <row r="1472">
      <c r="A1472" s="29" t="n">
        <v>45870</v>
      </c>
      <c r="B1472" s="37" t="inlineStr">
        <is>
          <t>JOB-2468</t>
        </is>
      </c>
      <c r="C1472" s="34" t="n">
        <v>1</v>
      </c>
      <c r="D1472" s="37" t="inlineStr">
        <is>
          <t>Tech H</t>
        </is>
      </c>
      <c r="E1472" s="35" t="n">
        <v>4.4</v>
      </c>
      <c r="F1472" s="35" t="n">
        <v>3.4</v>
      </c>
      <c r="G1472" s="37" t="inlineStr">
        <is>
          <t>Y</t>
        </is>
      </c>
      <c r="H1472" s="37" t="inlineStr">
        <is>
          <t>N</t>
        </is>
      </c>
      <c r="I1472" s="37">
        <f>COUNTIF(G$5:G1472,"Y")/COUNTA(G$5:G1472)</f>
        <v/>
      </c>
      <c r="J1472" s="37">
        <f>COUNTIF(H$5:H1472,"Y")/COUNTA(H$5:H1472)</f>
        <v/>
      </c>
      <c r="K1472" s="37">
        <f>AVERAGE(F$5:F1472)</f>
        <v/>
      </c>
      <c r="L1472" s="37">
        <f>SUM(F$5:F1472)/SUM(E$5:E1472)</f>
        <v/>
      </c>
    </row>
    <row r="1473">
      <c r="A1473" s="29" t="n">
        <v>45866</v>
      </c>
      <c r="B1473" s="37" t="inlineStr">
        <is>
          <t>JOB-2469</t>
        </is>
      </c>
      <c r="C1473" s="34" t="n">
        <v>1</v>
      </c>
      <c r="D1473" s="37" t="inlineStr">
        <is>
          <t>Tech D</t>
        </is>
      </c>
      <c r="E1473" s="35" t="n">
        <v>3.8</v>
      </c>
      <c r="F1473" s="35" t="n">
        <v>3</v>
      </c>
      <c r="G1473" s="37" t="inlineStr">
        <is>
          <t>Y</t>
        </is>
      </c>
      <c r="H1473" s="37" t="inlineStr">
        <is>
          <t>N</t>
        </is>
      </c>
      <c r="I1473" s="37">
        <f>COUNTIF(G$5:G1473,"Y")/COUNTA(G$5:G1473)</f>
        <v/>
      </c>
      <c r="J1473" s="37">
        <f>COUNTIF(H$5:H1473,"Y")/COUNTA(H$5:H1473)</f>
        <v/>
      </c>
      <c r="K1473" s="37">
        <f>AVERAGE(F$5:F1473)</f>
        <v/>
      </c>
      <c r="L1473" s="37">
        <f>SUM(F$5:F1473)/SUM(E$5:E1473)</f>
        <v/>
      </c>
    </row>
    <row r="1474">
      <c r="A1474" s="29" t="n">
        <v>45867</v>
      </c>
      <c r="B1474" s="37" t="inlineStr">
        <is>
          <t>JOB-2470</t>
        </is>
      </c>
      <c r="C1474" s="34" t="n">
        <v>1</v>
      </c>
      <c r="D1474" s="37" t="inlineStr">
        <is>
          <t>Tech H</t>
        </is>
      </c>
      <c r="E1474" s="35" t="n">
        <v>4.4</v>
      </c>
      <c r="F1474" s="35" t="n">
        <v>3.1</v>
      </c>
      <c r="G1474" s="37" t="inlineStr">
        <is>
          <t>Y</t>
        </is>
      </c>
      <c r="H1474" s="37" t="inlineStr">
        <is>
          <t>Y</t>
        </is>
      </c>
      <c r="I1474" s="37">
        <f>COUNTIF(G$5:G1474,"Y")/COUNTA(G$5:G1474)</f>
        <v/>
      </c>
      <c r="J1474" s="37">
        <f>COUNTIF(H$5:H1474,"Y")/COUNTA(H$5:H1474)</f>
        <v/>
      </c>
      <c r="K1474" s="37">
        <f>AVERAGE(F$5:F1474)</f>
        <v/>
      </c>
      <c r="L1474" s="37">
        <f>SUM(F$5:F1474)/SUM(E$5:E1474)</f>
        <v/>
      </c>
    </row>
    <row r="1475">
      <c r="A1475" s="29" t="n">
        <v>45868</v>
      </c>
      <c r="B1475" s="37" t="inlineStr">
        <is>
          <t>JOB-2471</t>
        </is>
      </c>
      <c r="C1475" s="34" t="n">
        <v>1</v>
      </c>
      <c r="D1475" s="37" t="inlineStr">
        <is>
          <t>Tech D</t>
        </is>
      </c>
      <c r="E1475" s="35" t="n">
        <v>3</v>
      </c>
      <c r="F1475" s="35" t="n">
        <v>2.2</v>
      </c>
      <c r="G1475" s="37" t="inlineStr">
        <is>
          <t>Y</t>
        </is>
      </c>
      <c r="H1475" s="37" t="inlineStr">
        <is>
          <t>N</t>
        </is>
      </c>
      <c r="I1475" s="37">
        <f>COUNTIF(G$5:G1475,"Y")/COUNTA(G$5:G1475)</f>
        <v/>
      </c>
      <c r="J1475" s="37">
        <f>COUNTIF(H$5:H1475,"Y")/COUNTA(H$5:H1475)</f>
        <v/>
      </c>
      <c r="K1475" s="37">
        <f>AVERAGE(F$5:F1475)</f>
        <v/>
      </c>
      <c r="L1475" s="37">
        <f>SUM(F$5:F1475)/SUM(E$5:E1475)</f>
        <v/>
      </c>
    </row>
    <row r="1476">
      <c r="A1476" s="29" t="n">
        <v>45869</v>
      </c>
      <c r="B1476" s="37" t="inlineStr">
        <is>
          <t>JOB-2472</t>
        </is>
      </c>
      <c r="C1476" s="34" t="n">
        <v>1</v>
      </c>
      <c r="D1476" s="37" t="inlineStr">
        <is>
          <t>Tech B</t>
        </is>
      </c>
      <c r="E1476" s="35" t="n">
        <v>2.4</v>
      </c>
      <c r="F1476" s="35" t="n">
        <v>2</v>
      </c>
      <c r="G1476" s="37" t="inlineStr">
        <is>
          <t>Y</t>
        </is>
      </c>
      <c r="H1476" s="37" t="inlineStr">
        <is>
          <t>N</t>
        </is>
      </c>
      <c r="I1476" s="37">
        <f>COUNTIF(G$5:G1476,"Y")/COUNTA(G$5:G1476)</f>
        <v/>
      </c>
      <c r="J1476" s="37">
        <f>COUNTIF(H$5:H1476,"Y")/COUNTA(H$5:H1476)</f>
        <v/>
      </c>
      <c r="K1476" s="37">
        <f>AVERAGE(F$5:F1476)</f>
        <v/>
      </c>
      <c r="L1476" s="37">
        <f>SUM(F$5:F1476)/SUM(E$5:E1476)</f>
        <v/>
      </c>
    </row>
    <row r="1477">
      <c r="A1477" s="29" t="n">
        <v>45870</v>
      </c>
      <c r="B1477" s="37" t="inlineStr">
        <is>
          <t>JOB-2473</t>
        </is>
      </c>
      <c r="C1477" s="34" t="n">
        <v>1</v>
      </c>
      <c r="D1477" s="37" t="inlineStr">
        <is>
          <t>Tech G</t>
        </is>
      </c>
      <c r="E1477" s="35" t="n">
        <v>3.1</v>
      </c>
      <c r="F1477" s="35" t="n">
        <v>2.2</v>
      </c>
      <c r="G1477" s="37" t="inlineStr">
        <is>
          <t>N</t>
        </is>
      </c>
      <c r="H1477" s="37" t="inlineStr">
        <is>
          <t>N</t>
        </is>
      </c>
      <c r="I1477" s="37">
        <f>COUNTIF(G$5:G1477,"Y")/COUNTA(G$5:G1477)</f>
        <v/>
      </c>
      <c r="J1477" s="37">
        <f>COUNTIF(H$5:H1477,"Y")/COUNTA(H$5:H1477)</f>
        <v/>
      </c>
      <c r="K1477" s="37">
        <f>AVERAGE(F$5:F1477)</f>
        <v/>
      </c>
      <c r="L1477" s="37">
        <f>SUM(F$5:F1477)/SUM(E$5:E1477)</f>
        <v/>
      </c>
    </row>
    <row r="1478">
      <c r="A1478" s="29" t="n">
        <v>45866</v>
      </c>
      <c r="B1478" s="37" t="inlineStr">
        <is>
          <t>JOB-2474</t>
        </is>
      </c>
      <c r="C1478" s="34" t="n">
        <v>1</v>
      </c>
      <c r="D1478" s="37" t="inlineStr">
        <is>
          <t>Tech F</t>
        </is>
      </c>
      <c r="E1478" s="35" t="n">
        <v>2</v>
      </c>
      <c r="F1478" s="35" t="n">
        <v>1.7</v>
      </c>
      <c r="G1478" s="37" t="inlineStr">
        <is>
          <t>Y</t>
        </is>
      </c>
      <c r="H1478" s="37" t="inlineStr">
        <is>
          <t>N</t>
        </is>
      </c>
      <c r="I1478" s="37">
        <f>COUNTIF(G$5:G1478,"Y")/COUNTA(G$5:G1478)</f>
        <v/>
      </c>
      <c r="J1478" s="37">
        <f>COUNTIF(H$5:H1478,"Y")/COUNTA(H$5:H1478)</f>
        <v/>
      </c>
      <c r="K1478" s="37">
        <f>AVERAGE(F$5:F1478)</f>
        <v/>
      </c>
      <c r="L1478" s="37">
        <f>SUM(F$5:F1478)/SUM(E$5:E1478)</f>
        <v/>
      </c>
    </row>
    <row r="1479">
      <c r="A1479" s="29" t="n">
        <v>45867</v>
      </c>
      <c r="B1479" s="37" t="inlineStr">
        <is>
          <t>JOB-2475</t>
        </is>
      </c>
      <c r="C1479" s="34" t="n">
        <v>1</v>
      </c>
      <c r="D1479" s="37" t="inlineStr">
        <is>
          <t>Tech F</t>
        </is>
      </c>
      <c r="E1479" s="35" t="n">
        <v>5.8</v>
      </c>
      <c r="F1479" s="35" t="n">
        <v>4.4</v>
      </c>
      <c r="G1479" s="37" t="inlineStr">
        <is>
          <t>Y</t>
        </is>
      </c>
      <c r="H1479" s="37" t="inlineStr">
        <is>
          <t>N</t>
        </is>
      </c>
      <c r="I1479" s="37">
        <f>COUNTIF(G$5:G1479,"Y")/COUNTA(G$5:G1479)</f>
        <v/>
      </c>
      <c r="J1479" s="37">
        <f>COUNTIF(H$5:H1479,"Y")/COUNTA(H$5:H1479)</f>
        <v/>
      </c>
      <c r="K1479" s="37">
        <f>AVERAGE(F$5:F1479)</f>
        <v/>
      </c>
      <c r="L1479" s="37">
        <f>SUM(F$5:F1479)/SUM(E$5:E1479)</f>
        <v/>
      </c>
    </row>
    <row r="1480">
      <c r="A1480" s="29" t="n">
        <v>45868</v>
      </c>
      <c r="B1480" s="37" t="inlineStr">
        <is>
          <t>JOB-2476</t>
        </is>
      </c>
      <c r="C1480" s="34" t="n">
        <v>1</v>
      </c>
      <c r="D1480" s="37" t="inlineStr">
        <is>
          <t>Tech A</t>
        </is>
      </c>
      <c r="E1480" s="35" t="n">
        <v>2.3</v>
      </c>
      <c r="F1480" s="35" t="n">
        <v>1.8</v>
      </c>
      <c r="G1480" s="37" t="inlineStr">
        <is>
          <t>Y</t>
        </is>
      </c>
      <c r="H1480" s="37" t="inlineStr">
        <is>
          <t>N</t>
        </is>
      </c>
      <c r="I1480" s="37">
        <f>COUNTIF(G$5:G1480,"Y")/COUNTA(G$5:G1480)</f>
        <v/>
      </c>
      <c r="J1480" s="37">
        <f>COUNTIF(H$5:H1480,"Y")/COUNTA(H$5:H1480)</f>
        <v/>
      </c>
      <c r="K1480" s="37">
        <f>AVERAGE(F$5:F1480)</f>
        <v/>
      </c>
      <c r="L1480" s="37">
        <f>SUM(F$5:F1480)/SUM(E$5:E1480)</f>
        <v/>
      </c>
    </row>
    <row r="1481">
      <c r="A1481" s="29" t="n">
        <v>45869</v>
      </c>
      <c r="B1481" s="37" t="inlineStr">
        <is>
          <t>JOB-2477</t>
        </is>
      </c>
      <c r="C1481" s="34" t="n">
        <v>1</v>
      </c>
      <c r="D1481" s="37" t="inlineStr">
        <is>
          <t>Tech B</t>
        </is>
      </c>
      <c r="E1481" s="35" t="n">
        <v>2.1</v>
      </c>
      <c r="F1481" s="35" t="n">
        <v>1.8</v>
      </c>
      <c r="G1481" s="37" t="inlineStr">
        <is>
          <t>Y</t>
        </is>
      </c>
      <c r="H1481" s="37" t="inlineStr">
        <is>
          <t>N</t>
        </is>
      </c>
      <c r="I1481" s="37">
        <f>COUNTIF(G$5:G1481,"Y")/COUNTA(G$5:G1481)</f>
        <v/>
      </c>
      <c r="J1481" s="37">
        <f>COUNTIF(H$5:H1481,"Y")/COUNTA(H$5:H1481)</f>
        <v/>
      </c>
      <c r="K1481" s="37">
        <f>AVERAGE(F$5:F1481)</f>
        <v/>
      </c>
      <c r="L1481" s="37">
        <f>SUM(F$5:F1481)/SUM(E$5:E1481)</f>
        <v/>
      </c>
    </row>
    <row r="1482">
      <c r="A1482" s="29" t="n">
        <v>45870</v>
      </c>
      <c r="B1482" s="37" t="inlineStr">
        <is>
          <t>JOB-2478</t>
        </is>
      </c>
      <c r="C1482" s="34" t="n">
        <v>1</v>
      </c>
      <c r="D1482" s="37" t="inlineStr">
        <is>
          <t>Tech B</t>
        </is>
      </c>
      <c r="E1482" s="35" t="n">
        <v>5.1</v>
      </c>
      <c r="F1482" s="35" t="n">
        <v>3.6</v>
      </c>
      <c r="G1482" s="37" t="inlineStr">
        <is>
          <t>Y</t>
        </is>
      </c>
      <c r="H1482" s="37" t="inlineStr">
        <is>
          <t>N</t>
        </is>
      </c>
      <c r="I1482" s="37">
        <f>COUNTIF(G$5:G1482,"Y")/COUNTA(G$5:G1482)</f>
        <v/>
      </c>
      <c r="J1482" s="37">
        <f>COUNTIF(H$5:H1482,"Y")/COUNTA(H$5:H1482)</f>
        <v/>
      </c>
      <c r="K1482" s="37">
        <f>AVERAGE(F$5:F1482)</f>
        <v/>
      </c>
      <c r="L1482" s="37">
        <f>SUM(F$5:F1482)/SUM(E$5:E1482)</f>
        <v/>
      </c>
    </row>
    <row r="1483">
      <c r="A1483" s="29" t="n">
        <v>45866</v>
      </c>
      <c r="B1483" s="37" t="inlineStr">
        <is>
          <t>JOB-2479</t>
        </is>
      </c>
      <c r="C1483" s="34" t="n">
        <v>1</v>
      </c>
      <c r="D1483" s="37" t="inlineStr">
        <is>
          <t>Tech C</t>
        </is>
      </c>
      <c r="E1483" s="35" t="n">
        <v>3.3</v>
      </c>
      <c r="F1483" s="35" t="n">
        <v>2.9</v>
      </c>
      <c r="G1483" s="37" t="inlineStr">
        <is>
          <t>Y</t>
        </is>
      </c>
      <c r="H1483" s="37" t="inlineStr">
        <is>
          <t>Y</t>
        </is>
      </c>
      <c r="I1483" s="37">
        <f>COUNTIF(G$5:G1483,"Y")/COUNTA(G$5:G1483)</f>
        <v/>
      </c>
      <c r="J1483" s="37">
        <f>COUNTIF(H$5:H1483,"Y")/COUNTA(H$5:H1483)</f>
        <v/>
      </c>
      <c r="K1483" s="37">
        <f>AVERAGE(F$5:F1483)</f>
        <v/>
      </c>
      <c r="L1483" s="37">
        <f>SUM(F$5:F1483)/SUM(E$5:E1483)</f>
        <v/>
      </c>
    </row>
    <row r="1484">
      <c r="A1484" s="29" t="n">
        <v>45867</v>
      </c>
      <c r="B1484" s="37" t="inlineStr">
        <is>
          <t>JOB-2480</t>
        </is>
      </c>
      <c r="C1484" s="34" t="n">
        <v>1</v>
      </c>
      <c r="D1484" s="37" t="inlineStr">
        <is>
          <t>Tech D</t>
        </is>
      </c>
      <c r="E1484" s="35" t="n">
        <v>0.7</v>
      </c>
      <c r="F1484" s="35" t="n">
        <v>0.5</v>
      </c>
      <c r="G1484" s="37" t="inlineStr">
        <is>
          <t>Y</t>
        </is>
      </c>
      <c r="H1484" s="37" t="inlineStr">
        <is>
          <t>N</t>
        </is>
      </c>
      <c r="I1484" s="37">
        <f>COUNTIF(G$5:G1484,"Y")/COUNTA(G$5:G1484)</f>
        <v/>
      </c>
      <c r="J1484" s="37">
        <f>COUNTIF(H$5:H1484,"Y")/COUNTA(H$5:H1484)</f>
        <v/>
      </c>
      <c r="K1484" s="37">
        <f>AVERAGE(F$5:F1484)</f>
        <v/>
      </c>
      <c r="L1484" s="37">
        <f>SUM(F$5:F1484)/SUM(E$5:E1484)</f>
        <v/>
      </c>
    </row>
    <row r="1485">
      <c r="A1485" s="29" t="n">
        <v>45868</v>
      </c>
      <c r="B1485" s="37" t="inlineStr">
        <is>
          <t>JOB-2481</t>
        </is>
      </c>
      <c r="C1485" s="34" t="n">
        <v>1</v>
      </c>
      <c r="D1485" s="37" t="inlineStr">
        <is>
          <t>Tech G</t>
        </is>
      </c>
      <c r="E1485" s="35" t="n">
        <v>0.6</v>
      </c>
      <c r="F1485" s="35" t="n">
        <v>0.5</v>
      </c>
      <c r="G1485" s="37" t="inlineStr">
        <is>
          <t>Y</t>
        </is>
      </c>
      <c r="H1485" s="37" t="inlineStr">
        <is>
          <t>N</t>
        </is>
      </c>
      <c r="I1485" s="37">
        <f>COUNTIF(G$5:G1485,"Y")/COUNTA(G$5:G1485)</f>
        <v/>
      </c>
      <c r="J1485" s="37">
        <f>COUNTIF(H$5:H1485,"Y")/COUNTA(H$5:H1485)</f>
        <v/>
      </c>
      <c r="K1485" s="37">
        <f>AVERAGE(F$5:F1485)</f>
        <v/>
      </c>
      <c r="L1485" s="37">
        <f>SUM(F$5:F1485)/SUM(E$5:E1485)</f>
        <v/>
      </c>
    </row>
    <row r="1486">
      <c r="A1486" s="29" t="n">
        <v>45869</v>
      </c>
      <c r="B1486" s="37" t="inlineStr">
        <is>
          <t>JOB-2482</t>
        </is>
      </c>
      <c r="C1486" s="34" t="n">
        <v>1</v>
      </c>
      <c r="D1486" s="37" t="inlineStr">
        <is>
          <t>Tech F</t>
        </is>
      </c>
      <c r="E1486" s="35" t="n">
        <v>0.6</v>
      </c>
      <c r="F1486" s="35" t="n">
        <v>0.5</v>
      </c>
      <c r="G1486" s="37" t="inlineStr">
        <is>
          <t>Y</t>
        </is>
      </c>
      <c r="H1486" s="37" t="inlineStr">
        <is>
          <t>N</t>
        </is>
      </c>
      <c r="I1486" s="37">
        <f>COUNTIF(G$5:G1486,"Y")/COUNTA(G$5:G1486)</f>
        <v/>
      </c>
      <c r="J1486" s="37">
        <f>COUNTIF(H$5:H1486,"Y")/COUNTA(H$5:H1486)</f>
        <v/>
      </c>
      <c r="K1486" s="37">
        <f>AVERAGE(F$5:F1486)</f>
        <v/>
      </c>
      <c r="L1486" s="37">
        <f>SUM(F$5:F1486)/SUM(E$5:E1486)</f>
        <v/>
      </c>
    </row>
    <row r="1487">
      <c r="A1487" s="29" t="n">
        <v>45870</v>
      </c>
      <c r="B1487" s="37" t="inlineStr">
        <is>
          <t>JOB-2483</t>
        </is>
      </c>
      <c r="C1487" s="34" t="n">
        <v>1</v>
      </c>
      <c r="D1487" s="37" t="inlineStr">
        <is>
          <t>Tech C</t>
        </is>
      </c>
      <c r="E1487" s="35" t="n">
        <v>0.7</v>
      </c>
      <c r="F1487" s="35" t="n">
        <v>0.5</v>
      </c>
      <c r="G1487" s="37" t="inlineStr">
        <is>
          <t>Y</t>
        </is>
      </c>
      <c r="H1487" s="37" t="inlineStr">
        <is>
          <t>N</t>
        </is>
      </c>
      <c r="I1487" s="37">
        <f>COUNTIF(G$5:G1487,"Y")/COUNTA(G$5:G1487)</f>
        <v/>
      </c>
      <c r="J1487" s="37">
        <f>COUNTIF(H$5:H1487,"Y")/COUNTA(H$5:H1487)</f>
        <v/>
      </c>
      <c r="K1487" s="37">
        <f>AVERAGE(F$5:F1487)</f>
        <v/>
      </c>
      <c r="L1487" s="37">
        <f>SUM(F$5:F1487)/SUM(E$5:E1487)</f>
        <v/>
      </c>
    </row>
    <row r="1488">
      <c r="A1488" s="29" t="n">
        <v>45866</v>
      </c>
      <c r="B1488" s="37" t="inlineStr">
        <is>
          <t>JOB-2484</t>
        </is>
      </c>
      <c r="C1488" s="34" t="n">
        <v>1</v>
      </c>
      <c r="D1488" s="37" t="inlineStr">
        <is>
          <t>Tech A</t>
        </is>
      </c>
      <c r="E1488" s="35" t="n">
        <v>0.6</v>
      </c>
      <c r="F1488" s="35" t="n">
        <v>0.5</v>
      </c>
      <c r="G1488" s="37" t="inlineStr">
        <is>
          <t>N</t>
        </is>
      </c>
      <c r="H1488" s="37" t="inlineStr">
        <is>
          <t>N</t>
        </is>
      </c>
      <c r="I1488" s="37">
        <f>COUNTIF(G$5:G1488,"Y")/COUNTA(G$5:G1488)</f>
        <v/>
      </c>
      <c r="J1488" s="37">
        <f>COUNTIF(H$5:H1488,"Y")/COUNTA(H$5:H1488)</f>
        <v/>
      </c>
      <c r="K1488" s="37">
        <f>AVERAGE(F$5:F1488)</f>
        <v/>
      </c>
      <c r="L1488" s="37">
        <f>SUM(F$5:F1488)/SUM(E$5:E1488)</f>
        <v/>
      </c>
    </row>
    <row r="1489">
      <c r="A1489" s="29" t="n">
        <v>45867</v>
      </c>
      <c r="B1489" s="37" t="inlineStr">
        <is>
          <t>JOB-2485</t>
        </is>
      </c>
      <c r="C1489" s="34" t="n">
        <v>1</v>
      </c>
      <c r="D1489" s="37" t="inlineStr">
        <is>
          <t>Tech F</t>
        </is>
      </c>
      <c r="E1489" s="35" t="n">
        <v>1.3</v>
      </c>
      <c r="F1489" s="35" t="n">
        <v>0.5</v>
      </c>
      <c r="G1489" s="37" t="inlineStr">
        <is>
          <t>Y</t>
        </is>
      </c>
      <c r="H1489" s="37" t="inlineStr">
        <is>
          <t>N</t>
        </is>
      </c>
      <c r="I1489" s="37">
        <f>COUNTIF(G$5:G1489,"Y")/COUNTA(G$5:G1489)</f>
        <v/>
      </c>
      <c r="J1489" s="37">
        <f>COUNTIF(H$5:H1489,"Y")/COUNTA(H$5:H1489)</f>
        <v/>
      </c>
      <c r="K1489" s="37">
        <f>AVERAGE(F$5:F1489)</f>
        <v/>
      </c>
      <c r="L1489" s="37">
        <f>SUM(F$5:F1489)/SUM(E$5:E1489)</f>
        <v/>
      </c>
      <c r="M1489" s="37" t="n">
        <v>14</v>
      </c>
    </row>
    <row r="1490">
      <c r="A1490" s="29" t="n">
        <v>45873</v>
      </c>
      <c r="B1490" s="37" t="inlineStr">
        <is>
          <t>JOB-2486</t>
        </is>
      </c>
      <c r="C1490" s="34" t="n">
        <v>1</v>
      </c>
      <c r="D1490" s="37" t="inlineStr">
        <is>
          <t>Tech D</t>
        </is>
      </c>
      <c r="E1490" s="35" t="n">
        <v>3.3</v>
      </c>
      <c r="F1490" s="35" t="n">
        <v>3</v>
      </c>
      <c r="G1490" s="37" t="inlineStr">
        <is>
          <t>Y</t>
        </is>
      </c>
      <c r="H1490" s="37" t="inlineStr">
        <is>
          <t>N</t>
        </is>
      </c>
      <c r="I1490" s="37">
        <f>COUNTIF(G$5:G1490,"Y")/COUNTA(G$5:G1490)</f>
        <v/>
      </c>
      <c r="J1490" s="37">
        <f>COUNTIF(H$5:H1490,"Y")/COUNTA(H$5:H1490)</f>
        <v/>
      </c>
      <c r="K1490" s="37">
        <f>AVERAGE(F$5:F1490)</f>
        <v/>
      </c>
      <c r="L1490" s="37">
        <f>SUM(F$5:F1490)/SUM(E$5:E1490)</f>
        <v/>
      </c>
    </row>
    <row r="1491">
      <c r="A1491" s="29" t="n">
        <v>45874</v>
      </c>
      <c r="B1491" s="37" t="inlineStr">
        <is>
          <t>JOB-2487</t>
        </is>
      </c>
      <c r="C1491" s="34" t="n">
        <v>1</v>
      </c>
      <c r="D1491" s="37" t="inlineStr">
        <is>
          <t>Tech H</t>
        </is>
      </c>
      <c r="E1491" s="35" t="n">
        <v>3</v>
      </c>
      <c r="F1491" s="35" t="n">
        <v>2.1</v>
      </c>
      <c r="G1491" s="37" t="inlineStr">
        <is>
          <t>Y</t>
        </is>
      </c>
      <c r="H1491" s="37" t="inlineStr">
        <is>
          <t>N</t>
        </is>
      </c>
      <c r="I1491" s="37">
        <f>COUNTIF(G$5:G1491,"Y")/COUNTA(G$5:G1491)</f>
        <v/>
      </c>
      <c r="J1491" s="37">
        <f>COUNTIF(H$5:H1491,"Y")/COUNTA(H$5:H1491)</f>
        <v/>
      </c>
      <c r="K1491" s="37">
        <f>AVERAGE(F$5:F1491)</f>
        <v/>
      </c>
      <c r="L1491" s="37">
        <f>SUM(F$5:F1491)/SUM(E$5:E1491)</f>
        <v/>
      </c>
    </row>
    <row r="1492">
      <c r="A1492" s="29" t="n">
        <v>45875</v>
      </c>
      <c r="B1492" s="37" t="inlineStr">
        <is>
          <t>JOB-2488</t>
        </is>
      </c>
      <c r="C1492" s="34" t="n">
        <v>1</v>
      </c>
      <c r="D1492" s="37" t="inlineStr">
        <is>
          <t>Tech A</t>
        </is>
      </c>
      <c r="E1492" s="35" t="n">
        <v>2.7</v>
      </c>
      <c r="F1492" s="35" t="n">
        <v>2.1</v>
      </c>
      <c r="G1492" s="37" t="inlineStr">
        <is>
          <t>Y</t>
        </is>
      </c>
      <c r="H1492" s="37" t="inlineStr">
        <is>
          <t>N</t>
        </is>
      </c>
      <c r="I1492" s="37">
        <f>COUNTIF(G$5:G1492,"Y")/COUNTA(G$5:G1492)</f>
        <v/>
      </c>
      <c r="J1492" s="37">
        <f>COUNTIF(H$5:H1492,"Y")/COUNTA(H$5:H1492)</f>
        <v/>
      </c>
      <c r="K1492" s="37">
        <f>AVERAGE(F$5:F1492)</f>
        <v/>
      </c>
      <c r="L1492" s="37">
        <f>SUM(F$5:F1492)/SUM(E$5:E1492)</f>
        <v/>
      </c>
    </row>
    <row r="1493">
      <c r="A1493" s="29" t="n">
        <v>45876</v>
      </c>
      <c r="B1493" s="37" t="inlineStr">
        <is>
          <t>JOB-2489</t>
        </is>
      </c>
      <c r="C1493" s="34" t="n">
        <v>1</v>
      </c>
      <c r="D1493" s="37" t="inlineStr">
        <is>
          <t>Tech B</t>
        </is>
      </c>
      <c r="E1493" s="35" t="n">
        <v>3.8</v>
      </c>
      <c r="F1493" s="35" t="n">
        <v>2.8</v>
      </c>
      <c r="G1493" s="37" t="inlineStr">
        <is>
          <t>Y</t>
        </is>
      </c>
      <c r="H1493" s="37" t="inlineStr">
        <is>
          <t>N</t>
        </is>
      </c>
      <c r="I1493" s="37">
        <f>COUNTIF(G$5:G1493,"Y")/COUNTA(G$5:G1493)</f>
        <v/>
      </c>
      <c r="J1493" s="37">
        <f>COUNTIF(H$5:H1493,"Y")/COUNTA(H$5:H1493)</f>
        <v/>
      </c>
      <c r="K1493" s="37">
        <f>AVERAGE(F$5:F1493)</f>
        <v/>
      </c>
      <c r="L1493" s="37">
        <f>SUM(F$5:F1493)/SUM(E$5:E1493)</f>
        <v/>
      </c>
    </row>
    <row r="1494">
      <c r="A1494" s="29" t="n">
        <v>45877</v>
      </c>
      <c r="B1494" s="37" t="inlineStr">
        <is>
          <t>JOB-2490</t>
        </is>
      </c>
      <c r="C1494" s="34" t="n">
        <v>1</v>
      </c>
      <c r="D1494" s="37" t="inlineStr">
        <is>
          <t>Tech G</t>
        </is>
      </c>
      <c r="E1494" s="35" t="n">
        <v>1.6</v>
      </c>
      <c r="F1494" s="35" t="n">
        <v>1.4</v>
      </c>
      <c r="G1494" s="37" t="inlineStr">
        <is>
          <t>Y</t>
        </is>
      </c>
      <c r="H1494" s="37" t="inlineStr">
        <is>
          <t>N</t>
        </is>
      </c>
      <c r="I1494" s="37">
        <f>COUNTIF(G$5:G1494,"Y")/COUNTA(G$5:G1494)</f>
        <v/>
      </c>
      <c r="J1494" s="37">
        <f>COUNTIF(H$5:H1494,"Y")/COUNTA(H$5:H1494)</f>
        <v/>
      </c>
      <c r="K1494" s="37">
        <f>AVERAGE(F$5:F1494)</f>
        <v/>
      </c>
      <c r="L1494" s="37">
        <f>SUM(F$5:F1494)/SUM(E$5:E1494)</f>
        <v/>
      </c>
    </row>
    <row r="1495">
      <c r="A1495" s="29" t="n">
        <v>45873</v>
      </c>
      <c r="B1495" s="37" t="inlineStr">
        <is>
          <t>JOB-2491</t>
        </is>
      </c>
      <c r="C1495" s="34" t="n">
        <v>1</v>
      </c>
      <c r="D1495" s="37" t="inlineStr">
        <is>
          <t>Tech C</t>
        </is>
      </c>
      <c r="E1495" s="35" t="n">
        <v>2.5</v>
      </c>
      <c r="F1495" s="35" t="n">
        <v>2</v>
      </c>
      <c r="G1495" s="37" t="inlineStr">
        <is>
          <t>Y</t>
        </is>
      </c>
      <c r="H1495" s="37" t="inlineStr">
        <is>
          <t>N</t>
        </is>
      </c>
      <c r="I1495" s="37">
        <f>COUNTIF(G$5:G1495,"Y")/COUNTA(G$5:G1495)</f>
        <v/>
      </c>
      <c r="J1495" s="37">
        <f>COUNTIF(H$5:H1495,"Y")/COUNTA(H$5:H1495)</f>
        <v/>
      </c>
      <c r="K1495" s="37">
        <f>AVERAGE(F$5:F1495)</f>
        <v/>
      </c>
      <c r="L1495" s="37">
        <f>SUM(F$5:F1495)/SUM(E$5:E1495)</f>
        <v/>
      </c>
    </row>
    <row r="1496">
      <c r="A1496" s="29" t="n">
        <v>45874</v>
      </c>
      <c r="B1496" s="37" t="inlineStr">
        <is>
          <t>JOB-2492</t>
        </is>
      </c>
      <c r="C1496" s="34" t="n">
        <v>1</v>
      </c>
      <c r="D1496" s="37" t="inlineStr">
        <is>
          <t>Tech D</t>
        </is>
      </c>
      <c r="E1496" s="35" t="n">
        <v>1.5</v>
      </c>
      <c r="F1496" s="35" t="n">
        <v>1.1</v>
      </c>
      <c r="G1496" s="37" t="inlineStr">
        <is>
          <t>Y</t>
        </is>
      </c>
      <c r="H1496" s="37" t="inlineStr">
        <is>
          <t>N</t>
        </is>
      </c>
      <c r="I1496" s="37">
        <f>COUNTIF(G$5:G1496,"Y")/COUNTA(G$5:G1496)</f>
        <v/>
      </c>
      <c r="J1496" s="37">
        <f>COUNTIF(H$5:H1496,"Y")/COUNTA(H$5:H1496)</f>
        <v/>
      </c>
      <c r="K1496" s="37">
        <f>AVERAGE(F$5:F1496)</f>
        <v/>
      </c>
      <c r="L1496" s="37">
        <f>SUM(F$5:F1496)/SUM(E$5:E1496)</f>
        <v/>
      </c>
    </row>
    <row r="1497">
      <c r="A1497" s="29" t="n">
        <v>45875</v>
      </c>
      <c r="B1497" s="37" t="inlineStr">
        <is>
          <t>JOB-2493</t>
        </is>
      </c>
      <c r="C1497" s="34" t="n">
        <v>1</v>
      </c>
      <c r="D1497" s="37" t="inlineStr">
        <is>
          <t>Tech D</t>
        </is>
      </c>
      <c r="E1497" s="35" t="n">
        <v>3.8</v>
      </c>
      <c r="F1497" s="35" t="n">
        <v>3.2</v>
      </c>
      <c r="G1497" s="37" t="inlineStr">
        <is>
          <t>Y</t>
        </is>
      </c>
      <c r="H1497" s="37" t="inlineStr">
        <is>
          <t>N</t>
        </is>
      </c>
      <c r="I1497" s="37">
        <f>COUNTIF(G$5:G1497,"Y")/COUNTA(G$5:G1497)</f>
        <v/>
      </c>
      <c r="J1497" s="37">
        <f>COUNTIF(H$5:H1497,"Y")/COUNTA(H$5:H1497)</f>
        <v/>
      </c>
      <c r="K1497" s="37">
        <f>AVERAGE(F$5:F1497)</f>
        <v/>
      </c>
      <c r="L1497" s="37">
        <f>SUM(F$5:F1497)/SUM(E$5:E1497)</f>
        <v/>
      </c>
    </row>
    <row r="1498">
      <c r="A1498" s="29" t="n">
        <v>45876</v>
      </c>
      <c r="B1498" s="37" t="inlineStr">
        <is>
          <t>JOB-2494</t>
        </is>
      </c>
      <c r="C1498" s="34" t="n">
        <v>1</v>
      </c>
      <c r="D1498" s="37" t="inlineStr">
        <is>
          <t>Tech B</t>
        </is>
      </c>
      <c r="E1498" s="35" t="n">
        <v>3.1</v>
      </c>
      <c r="F1498" s="35" t="n">
        <v>2.5</v>
      </c>
      <c r="G1498" s="37" t="inlineStr">
        <is>
          <t>Y</t>
        </is>
      </c>
      <c r="H1498" s="37" t="inlineStr">
        <is>
          <t>N</t>
        </is>
      </c>
      <c r="I1498" s="37">
        <f>COUNTIF(G$5:G1498,"Y")/COUNTA(G$5:G1498)</f>
        <v/>
      </c>
      <c r="J1498" s="37">
        <f>COUNTIF(H$5:H1498,"Y")/COUNTA(H$5:H1498)</f>
        <v/>
      </c>
      <c r="K1498" s="37">
        <f>AVERAGE(F$5:F1498)</f>
        <v/>
      </c>
      <c r="L1498" s="37">
        <f>SUM(F$5:F1498)/SUM(E$5:E1498)</f>
        <v/>
      </c>
    </row>
    <row r="1499">
      <c r="A1499" s="29" t="n">
        <v>45877</v>
      </c>
      <c r="B1499" s="37" t="inlineStr">
        <is>
          <t>JOB-2495</t>
        </is>
      </c>
      <c r="C1499" s="34" t="n">
        <v>1</v>
      </c>
      <c r="D1499" s="37" t="inlineStr">
        <is>
          <t>Tech F</t>
        </is>
      </c>
      <c r="E1499" s="35" t="n">
        <v>1.2</v>
      </c>
      <c r="F1499" s="35" t="n">
        <v>1.1</v>
      </c>
      <c r="G1499" s="37" t="inlineStr">
        <is>
          <t>Y</t>
        </is>
      </c>
      <c r="H1499" s="37" t="inlineStr">
        <is>
          <t>N</t>
        </is>
      </c>
      <c r="I1499" s="37">
        <f>COUNTIF(G$5:G1499,"Y")/COUNTA(G$5:G1499)</f>
        <v/>
      </c>
      <c r="J1499" s="37">
        <f>COUNTIF(H$5:H1499,"Y")/COUNTA(H$5:H1499)</f>
        <v/>
      </c>
      <c r="K1499" s="37">
        <f>AVERAGE(F$5:F1499)</f>
        <v/>
      </c>
      <c r="L1499" s="37">
        <f>SUM(F$5:F1499)/SUM(E$5:E1499)</f>
        <v/>
      </c>
    </row>
    <row r="1500">
      <c r="A1500" s="29" t="n">
        <v>45873</v>
      </c>
      <c r="B1500" s="37" t="inlineStr">
        <is>
          <t>JOB-2496</t>
        </is>
      </c>
      <c r="C1500" s="34" t="n">
        <v>1</v>
      </c>
      <c r="D1500" s="37" t="inlineStr">
        <is>
          <t>Tech B</t>
        </is>
      </c>
      <c r="E1500" s="35" t="n">
        <v>2.4</v>
      </c>
      <c r="F1500" s="35" t="n">
        <v>1.7</v>
      </c>
      <c r="G1500" s="37" t="inlineStr">
        <is>
          <t>Y</t>
        </is>
      </c>
      <c r="H1500" s="37" t="inlineStr">
        <is>
          <t>N</t>
        </is>
      </c>
      <c r="I1500" s="37">
        <f>COUNTIF(G$5:G1500,"Y")/COUNTA(G$5:G1500)</f>
        <v/>
      </c>
      <c r="J1500" s="37">
        <f>COUNTIF(H$5:H1500,"Y")/COUNTA(H$5:H1500)</f>
        <v/>
      </c>
      <c r="K1500" s="37">
        <f>AVERAGE(F$5:F1500)</f>
        <v/>
      </c>
      <c r="L1500" s="37">
        <f>SUM(F$5:F1500)/SUM(E$5:E1500)</f>
        <v/>
      </c>
    </row>
    <row r="1501">
      <c r="A1501" s="29" t="n">
        <v>45874</v>
      </c>
      <c r="B1501" s="37" t="inlineStr">
        <is>
          <t>JOB-2497</t>
        </is>
      </c>
      <c r="C1501" s="34" t="n">
        <v>1</v>
      </c>
      <c r="D1501" s="37" t="inlineStr">
        <is>
          <t>Tech D</t>
        </is>
      </c>
      <c r="E1501" s="35" t="n">
        <v>4</v>
      </c>
      <c r="F1501" s="35" t="n">
        <v>3.2</v>
      </c>
      <c r="G1501" s="37" t="inlineStr">
        <is>
          <t>Y</t>
        </is>
      </c>
      <c r="H1501" s="37" t="inlineStr">
        <is>
          <t>N</t>
        </is>
      </c>
      <c r="I1501" s="37">
        <f>COUNTIF(G$5:G1501,"Y")/COUNTA(G$5:G1501)</f>
        <v/>
      </c>
      <c r="J1501" s="37">
        <f>COUNTIF(H$5:H1501,"Y")/COUNTA(H$5:H1501)</f>
        <v/>
      </c>
      <c r="K1501" s="37">
        <f>AVERAGE(F$5:F1501)</f>
        <v/>
      </c>
      <c r="L1501" s="37">
        <f>SUM(F$5:F1501)/SUM(E$5:E1501)</f>
        <v/>
      </c>
    </row>
    <row r="1502">
      <c r="A1502" s="29" t="n">
        <v>45875</v>
      </c>
      <c r="B1502" s="37" t="inlineStr">
        <is>
          <t>JOB-2498</t>
        </is>
      </c>
      <c r="C1502" s="34" t="n">
        <v>1</v>
      </c>
      <c r="D1502" s="37" t="inlineStr">
        <is>
          <t>Tech A</t>
        </is>
      </c>
      <c r="E1502" s="35" t="n">
        <v>3.8</v>
      </c>
      <c r="F1502" s="35" t="n">
        <v>2.7</v>
      </c>
      <c r="G1502" s="37" t="inlineStr">
        <is>
          <t>Y</t>
        </is>
      </c>
      <c r="H1502" s="37" t="inlineStr">
        <is>
          <t>N</t>
        </is>
      </c>
      <c r="I1502" s="37">
        <f>COUNTIF(G$5:G1502,"Y")/COUNTA(G$5:G1502)</f>
        <v/>
      </c>
      <c r="J1502" s="37">
        <f>COUNTIF(H$5:H1502,"Y")/COUNTA(H$5:H1502)</f>
        <v/>
      </c>
      <c r="K1502" s="37">
        <f>AVERAGE(F$5:F1502)</f>
        <v/>
      </c>
      <c r="L1502" s="37">
        <f>SUM(F$5:F1502)/SUM(E$5:E1502)</f>
        <v/>
      </c>
    </row>
    <row r="1503">
      <c r="A1503" s="29" t="n">
        <v>45876</v>
      </c>
      <c r="B1503" s="37" t="inlineStr">
        <is>
          <t>JOB-2499</t>
        </is>
      </c>
      <c r="C1503" s="34" t="n">
        <v>1</v>
      </c>
      <c r="D1503" s="37" t="inlineStr">
        <is>
          <t>Tech G</t>
        </is>
      </c>
      <c r="E1503" s="35" t="n">
        <v>2.6</v>
      </c>
      <c r="F1503" s="35" t="n">
        <v>2.1</v>
      </c>
      <c r="G1503" s="37" t="inlineStr">
        <is>
          <t>Y</t>
        </is>
      </c>
      <c r="H1503" s="37" t="inlineStr">
        <is>
          <t>N</t>
        </is>
      </c>
      <c r="I1503" s="37">
        <f>COUNTIF(G$5:G1503,"Y")/COUNTA(G$5:G1503)</f>
        <v/>
      </c>
      <c r="J1503" s="37">
        <f>COUNTIF(H$5:H1503,"Y")/COUNTA(H$5:H1503)</f>
        <v/>
      </c>
      <c r="K1503" s="37">
        <f>AVERAGE(F$5:F1503)</f>
        <v/>
      </c>
      <c r="L1503" s="37">
        <f>SUM(F$5:F1503)/SUM(E$5:E1503)</f>
        <v/>
      </c>
    </row>
    <row r="1504">
      <c r="A1504" s="29" t="n">
        <v>45877</v>
      </c>
      <c r="B1504" s="37" t="inlineStr">
        <is>
          <t>JOB-2500</t>
        </is>
      </c>
      <c r="C1504" s="34" t="n">
        <v>1</v>
      </c>
      <c r="D1504" s="37" t="inlineStr">
        <is>
          <t>Tech C</t>
        </is>
      </c>
      <c r="E1504" s="35" t="n">
        <v>3.2</v>
      </c>
      <c r="F1504" s="35" t="n">
        <v>2.8</v>
      </c>
      <c r="G1504" s="37" t="inlineStr">
        <is>
          <t>Y</t>
        </is>
      </c>
      <c r="H1504" s="37" t="inlineStr">
        <is>
          <t>N</t>
        </is>
      </c>
      <c r="I1504" s="37">
        <f>COUNTIF(G$5:G1504,"Y")/COUNTA(G$5:G1504)</f>
        <v/>
      </c>
      <c r="J1504" s="37">
        <f>COUNTIF(H$5:H1504,"Y")/COUNTA(H$5:H1504)</f>
        <v/>
      </c>
      <c r="K1504" s="37">
        <f>AVERAGE(F$5:F1504)</f>
        <v/>
      </c>
      <c r="L1504" s="37">
        <f>SUM(F$5:F1504)/SUM(E$5:E1504)</f>
        <v/>
      </c>
    </row>
    <row r="1505">
      <c r="A1505" s="29" t="n">
        <v>45873</v>
      </c>
      <c r="B1505" s="37" t="inlineStr">
        <is>
          <t>JOB-2501</t>
        </is>
      </c>
      <c r="C1505" s="34" t="n">
        <v>1</v>
      </c>
      <c r="D1505" s="37" t="inlineStr">
        <is>
          <t>Tech A</t>
        </is>
      </c>
      <c r="E1505" s="35" t="n">
        <v>1.5</v>
      </c>
      <c r="F1505" s="35" t="n">
        <v>1.3</v>
      </c>
      <c r="G1505" s="37" t="inlineStr">
        <is>
          <t>Y</t>
        </is>
      </c>
      <c r="H1505" s="37" t="inlineStr">
        <is>
          <t>N</t>
        </is>
      </c>
      <c r="I1505" s="37">
        <f>COUNTIF(G$5:G1505,"Y")/COUNTA(G$5:G1505)</f>
        <v/>
      </c>
      <c r="J1505" s="37">
        <f>COUNTIF(H$5:H1505,"Y")/COUNTA(H$5:H1505)</f>
        <v/>
      </c>
      <c r="K1505" s="37">
        <f>AVERAGE(F$5:F1505)</f>
        <v/>
      </c>
      <c r="L1505" s="37">
        <f>SUM(F$5:F1505)/SUM(E$5:E1505)</f>
        <v/>
      </c>
    </row>
    <row r="1506">
      <c r="A1506" s="29" t="n">
        <v>45874</v>
      </c>
      <c r="B1506" s="37" t="inlineStr">
        <is>
          <t>JOB-2502</t>
        </is>
      </c>
      <c r="C1506" s="34" t="n">
        <v>1</v>
      </c>
      <c r="D1506" s="37" t="inlineStr">
        <is>
          <t>Tech D</t>
        </is>
      </c>
      <c r="E1506" s="35" t="n">
        <v>3.9</v>
      </c>
      <c r="F1506" s="35" t="n">
        <v>3.6</v>
      </c>
      <c r="G1506" s="37" t="inlineStr">
        <is>
          <t>Y</t>
        </is>
      </c>
      <c r="H1506" s="37" t="inlineStr">
        <is>
          <t>N</t>
        </is>
      </c>
      <c r="I1506" s="37">
        <f>COUNTIF(G$5:G1506,"Y")/COUNTA(G$5:G1506)</f>
        <v/>
      </c>
      <c r="J1506" s="37">
        <f>COUNTIF(H$5:H1506,"Y")/COUNTA(H$5:H1506)</f>
        <v/>
      </c>
      <c r="K1506" s="37">
        <f>AVERAGE(F$5:F1506)</f>
        <v/>
      </c>
      <c r="L1506" s="37">
        <f>SUM(F$5:F1506)/SUM(E$5:E1506)</f>
        <v/>
      </c>
    </row>
    <row r="1507">
      <c r="A1507" s="29" t="n">
        <v>45875</v>
      </c>
      <c r="B1507" s="37" t="inlineStr">
        <is>
          <t>JOB-2503</t>
        </is>
      </c>
      <c r="C1507" s="34" t="n">
        <v>1</v>
      </c>
      <c r="D1507" s="37" t="inlineStr">
        <is>
          <t>Tech A</t>
        </is>
      </c>
      <c r="E1507" s="35" t="n">
        <v>3.7</v>
      </c>
      <c r="F1507" s="35" t="n">
        <v>2.9</v>
      </c>
      <c r="G1507" s="37" t="inlineStr">
        <is>
          <t>Y</t>
        </is>
      </c>
      <c r="H1507" s="37" t="inlineStr">
        <is>
          <t>N</t>
        </is>
      </c>
      <c r="I1507" s="37">
        <f>COUNTIF(G$5:G1507,"Y")/COUNTA(G$5:G1507)</f>
        <v/>
      </c>
      <c r="J1507" s="37">
        <f>COUNTIF(H$5:H1507,"Y")/COUNTA(H$5:H1507)</f>
        <v/>
      </c>
      <c r="K1507" s="37">
        <f>AVERAGE(F$5:F1507)</f>
        <v/>
      </c>
      <c r="L1507" s="37">
        <f>SUM(F$5:F1507)/SUM(E$5:E1507)</f>
        <v/>
      </c>
    </row>
    <row r="1508">
      <c r="A1508" s="29" t="n">
        <v>45876</v>
      </c>
      <c r="B1508" s="37" t="inlineStr">
        <is>
          <t>JOB-2504</t>
        </is>
      </c>
      <c r="C1508" s="34" t="n">
        <v>1</v>
      </c>
      <c r="D1508" s="37" t="inlineStr">
        <is>
          <t>Tech F</t>
        </is>
      </c>
      <c r="E1508" s="35" t="n">
        <v>3.5</v>
      </c>
      <c r="F1508" s="35" t="n">
        <v>2.5</v>
      </c>
      <c r="G1508" s="37" t="inlineStr">
        <is>
          <t>Y</t>
        </is>
      </c>
      <c r="H1508" s="37" t="inlineStr">
        <is>
          <t>N</t>
        </is>
      </c>
      <c r="I1508" s="37">
        <f>COUNTIF(G$5:G1508,"Y")/COUNTA(G$5:G1508)</f>
        <v/>
      </c>
      <c r="J1508" s="37">
        <f>COUNTIF(H$5:H1508,"Y")/COUNTA(H$5:H1508)</f>
        <v/>
      </c>
      <c r="K1508" s="37">
        <f>AVERAGE(F$5:F1508)</f>
        <v/>
      </c>
      <c r="L1508" s="37">
        <f>SUM(F$5:F1508)/SUM(E$5:E1508)</f>
        <v/>
      </c>
    </row>
    <row r="1509">
      <c r="A1509" s="29" t="n">
        <v>45877</v>
      </c>
      <c r="B1509" s="37" t="inlineStr">
        <is>
          <t>JOB-2505</t>
        </is>
      </c>
      <c r="C1509" s="34" t="n">
        <v>1</v>
      </c>
      <c r="D1509" s="37" t="inlineStr">
        <is>
          <t>Tech B</t>
        </is>
      </c>
      <c r="E1509" s="35" t="n">
        <v>3.2</v>
      </c>
      <c r="F1509" s="35" t="n">
        <v>2.6</v>
      </c>
      <c r="G1509" s="37" t="inlineStr">
        <is>
          <t>N</t>
        </is>
      </c>
      <c r="H1509" s="37" t="inlineStr">
        <is>
          <t>N</t>
        </is>
      </c>
      <c r="I1509" s="37">
        <f>COUNTIF(G$5:G1509,"Y")/COUNTA(G$5:G1509)</f>
        <v/>
      </c>
      <c r="J1509" s="37">
        <f>COUNTIF(H$5:H1509,"Y")/COUNTA(H$5:H1509)</f>
        <v/>
      </c>
      <c r="K1509" s="37">
        <f>AVERAGE(F$5:F1509)</f>
        <v/>
      </c>
      <c r="L1509" s="37">
        <f>SUM(F$5:F1509)/SUM(E$5:E1509)</f>
        <v/>
      </c>
    </row>
    <row r="1510">
      <c r="A1510" s="29" t="n">
        <v>45873</v>
      </c>
      <c r="B1510" s="37" t="inlineStr">
        <is>
          <t>JOB-2506</t>
        </is>
      </c>
      <c r="C1510" s="34" t="n">
        <v>1</v>
      </c>
      <c r="D1510" s="37" t="inlineStr">
        <is>
          <t>Tech D</t>
        </is>
      </c>
      <c r="E1510" s="35" t="n">
        <v>3.1</v>
      </c>
      <c r="F1510" s="35" t="n">
        <v>2.8</v>
      </c>
      <c r="G1510" s="37" t="inlineStr">
        <is>
          <t>Y</t>
        </is>
      </c>
      <c r="H1510" s="37" t="inlineStr">
        <is>
          <t>N</t>
        </is>
      </c>
      <c r="I1510" s="37">
        <f>COUNTIF(G$5:G1510,"Y")/COUNTA(G$5:G1510)</f>
        <v/>
      </c>
      <c r="J1510" s="37">
        <f>COUNTIF(H$5:H1510,"Y")/COUNTA(H$5:H1510)</f>
        <v/>
      </c>
      <c r="K1510" s="37">
        <f>AVERAGE(F$5:F1510)</f>
        <v/>
      </c>
      <c r="L1510" s="37">
        <f>SUM(F$5:F1510)/SUM(E$5:E1510)</f>
        <v/>
      </c>
    </row>
    <row r="1511">
      <c r="A1511" s="29" t="n">
        <v>45874</v>
      </c>
      <c r="B1511" s="37" t="inlineStr">
        <is>
          <t>JOB-2507</t>
        </is>
      </c>
      <c r="C1511" s="34" t="n">
        <v>1</v>
      </c>
      <c r="D1511" s="37" t="inlineStr">
        <is>
          <t>Tech G</t>
        </is>
      </c>
      <c r="E1511" s="35" t="n">
        <v>2.9</v>
      </c>
      <c r="F1511" s="35" t="n">
        <v>2.3</v>
      </c>
      <c r="G1511" s="37" t="inlineStr">
        <is>
          <t>Y</t>
        </is>
      </c>
      <c r="H1511" s="37" t="inlineStr">
        <is>
          <t>N</t>
        </is>
      </c>
      <c r="I1511" s="37">
        <f>COUNTIF(G$5:G1511,"Y")/COUNTA(G$5:G1511)</f>
        <v/>
      </c>
      <c r="J1511" s="37">
        <f>COUNTIF(H$5:H1511,"Y")/COUNTA(H$5:H1511)</f>
        <v/>
      </c>
      <c r="K1511" s="37">
        <f>AVERAGE(F$5:F1511)</f>
        <v/>
      </c>
      <c r="L1511" s="37">
        <f>SUM(F$5:F1511)/SUM(E$5:E1511)</f>
        <v/>
      </c>
    </row>
    <row r="1512">
      <c r="A1512" s="29" t="n">
        <v>45875</v>
      </c>
      <c r="B1512" s="37" t="inlineStr">
        <is>
          <t>JOB-2508</t>
        </is>
      </c>
      <c r="C1512" s="34" t="n">
        <v>1</v>
      </c>
      <c r="D1512" s="37" t="inlineStr">
        <is>
          <t>Tech C</t>
        </is>
      </c>
      <c r="E1512" s="35" t="n">
        <v>3.6</v>
      </c>
      <c r="F1512" s="35" t="n">
        <v>3.2</v>
      </c>
      <c r="G1512" s="37" t="inlineStr">
        <is>
          <t>Y</t>
        </is>
      </c>
      <c r="H1512" s="37" t="inlineStr">
        <is>
          <t>N</t>
        </is>
      </c>
      <c r="I1512" s="37">
        <f>COUNTIF(G$5:G1512,"Y")/COUNTA(G$5:G1512)</f>
        <v/>
      </c>
      <c r="J1512" s="37">
        <f>COUNTIF(H$5:H1512,"Y")/COUNTA(H$5:H1512)</f>
        <v/>
      </c>
      <c r="K1512" s="37">
        <f>AVERAGE(F$5:F1512)</f>
        <v/>
      </c>
      <c r="L1512" s="37">
        <f>SUM(F$5:F1512)/SUM(E$5:E1512)</f>
        <v/>
      </c>
    </row>
    <row r="1513">
      <c r="A1513" s="29" t="n">
        <v>45876</v>
      </c>
      <c r="B1513" s="37" t="inlineStr">
        <is>
          <t>JOB-2509</t>
        </is>
      </c>
      <c r="C1513" s="34" t="n">
        <v>1</v>
      </c>
      <c r="D1513" s="37" t="inlineStr">
        <is>
          <t>Tech H</t>
        </is>
      </c>
      <c r="E1513" s="35" t="n">
        <v>1.4</v>
      </c>
      <c r="F1513" s="35" t="n">
        <v>1.2</v>
      </c>
      <c r="G1513" s="37" t="inlineStr">
        <is>
          <t>N</t>
        </is>
      </c>
      <c r="H1513" s="37" t="inlineStr">
        <is>
          <t>N</t>
        </is>
      </c>
      <c r="I1513" s="37">
        <f>COUNTIF(G$5:G1513,"Y")/COUNTA(G$5:G1513)</f>
        <v/>
      </c>
      <c r="J1513" s="37">
        <f>COUNTIF(H$5:H1513,"Y")/COUNTA(H$5:H1513)</f>
        <v/>
      </c>
      <c r="K1513" s="37">
        <f>AVERAGE(F$5:F1513)</f>
        <v/>
      </c>
      <c r="L1513" s="37">
        <f>SUM(F$5:F1513)/SUM(E$5:E1513)</f>
        <v/>
      </c>
    </row>
    <row r="1514">
      <c r="A1514" s="29" t="n">
        <v>45877</v>
      </c>
      <c r="B1514" s="37" t="inlineStr">
        <is>
          <t>JOB-2510</t>
        </is>
      </c>
      <c r="C1514" s="34" t="n">
        <v>1</v>
      </c>
      <c r="D1514" s="37" t="inlineStr">
        <is>
          <t>Tech C</t>
        </is>
      </c>
      <c r="E1514" s="35" t="n">
        <v>3.7</v>
      </c>
      <c r="F1514" s="35" t="n">
        <v>3.3</v>
      </c>
      <c r="G1514" s="37" t="inlineStr">
        <is>
          <t>Y</t>
        </is>
      </c>
      <c r="H1514" s="37" t="inlineStr">
        <is>
          <t>N</t>
        </is>
      </c>
      <c r="I1514" s="37">
        <f>COUNTIF(G$5:G1514,"Y")/COUNTA(G$5:G1514)</f>
        <v/>
      </c>
      <c r="J1514" s="37">
        <f>COUNTIF(H$5:H1514,"Y")/COUNTA(H$5:H1514)</f>
        <v/>
      </c>
      <c r="K1514" s="37">
        <f>AVERAGE(F$5:F1514)</f>
        <v/>
      </c>
      <c r="L1514" s="37">
        <f>SUM(F$5:F1514)/SUM(E$5:E1514)</f>
        <v/>
      </c>
    </row>
    <row r="1515">
      <c r="A1515" s="29" t="n">
        <v>45873</v>
      </c>
      <c r="B1515" s="37" t="inlineStr">
        <is>
          <t>JOB-2511</t>
        </is>
      </c>
      <c r="C1515" s="34" t="n">
        <v>1</v>
      </c>
      <c r="D1515" s="37" t="inlineStr">
        <is>
          <t>Tech F</t>
        </is>
      </c>
      <c r="E1515" s="35" t="n">
        <v>1.6</v>
      </c>
      <c r="F1515" s="35" t="n">
        <v>1.4</v>
      </c>
      <c r="G1515" s="37" t="inlineStr">
        <is>
          <t>Y</t>
        </is>
      </c>
      <c r="H1515" s="37" t="inlineStr">
        <is>
          <t>N</t>
        </is>
      </c>
      <c r="I1515" s="37">
        <f>COUNTIF(G$5:G1515,"Y")/COUNTA(G$5:G1515)</f>
        <v/>
      </c>
      <c r="J1515" s="37">
        <f>COUNTIF(H$5:H1515,"Y")/COUNTA(H$5:H1515)</f>
        <v/>
      </c>
      <c r="K1515" s="37">
        <f>AVERAGE(F$5:F1515)</f>
        <v/>
      </c>
      <c r="L1515" s="37">
        <f>SUM(F$5:F1515)/SUM(E$5:E1515)</f>
        <v/>
      </c>
    </row>
    <row r="1516">
      <c r="A1516" s="29" t="n">
        <v>45874</v>
      </c>
      <c r="B1516" s="37" t="inlineStr">
        <is>
          <t>JOB-2512</t>
        </is>
      </c>
      <c r="C1516" s="34" t="n">
        <v>1</v>
      </c>
      <c r="D1516" s="37" t="inlineStr">
        <is>
          <t>Tech H</t>
        </is>
      </c>
      <c r="E1516" s="35" t="n">
        <v>2.9</v>
      </c>
      <c r="F1516" s="35" t="n">
        <v>2.1</v>
      </c>
      <c r="G1516" s="37" t="inlineStr">
        <is>
          <t>N</t>
        </is>
      </c>
      <c r="H1516" s="37" t="inlineStr">
        <is>
          <t>N</t>
        </is>
      </c>
      <c r="I1516" s="37">
        <f>COUNTIF(G$5:G1516,"Y")/COUNTA(G$5:G1516)</f>
        <v/>
      </c>
      <c r="J1516" s="37">
        <f>COUNTIF(H$5:H1516,"Y")/COUNTA(H$5:H1516)</f>
        <v/>
      </c>
      <c r="K1516" s="37">
        <f>AVERAGE(F$5:F1516)</f>
        <v/>
      </c>
      <c r="L1516" s="37">
        <f>SUM(F$5:F1516)/SUM(E$5:E1516)</f>
        <v/>
      </c>
    </row>
    <row r="1517">
      <c r="A1517" s="29" t="n">
        <v>45875</v>
      </c>
      <c r="B1517" s="37" t="inlineStr">
        <is>
          <t>JOB-2513</t>
        </is>
      </c>
      <c r="C1517" s="34" t="n">
        <v>1</v>
      </c>
      <c r="D1517" s="37" t="inlineStr">
        <is>
          <t>Tech A</t>
        </is>
      </c>
      <c r="E1517" s="35" t="n">
        <v>2.2</v>
      </c>
      <c r="F1517" s="35" t="n">
        <v>1.9</v>
      </c>
      <c r="G1517" s="37" t="inlineStr">
        <is>
          <t>Y</t>
        </is>
      </c>
      <c r="H1517" s="37" t="inlineStr">
        <is>
          <t>N</t>
        </is>
      </c>
      <c r="I1517" s="37">
        <f>COUNTIF(G$5:G1517,"Y")/COUNTA(G$5:G1517)</f>
        <v/>
      </c>
      <c r="J1517" s="37">
        <f>COUNTIF(H$5:H1517,"Y")/COUNTA(H$5:H1517)</f>
        <v/>
      </c>
      <c r="K1517" s="37">
        <f>AVERAGE(F$5:F1517)</f>
        <v/>
      </c>
      <c r="L1517" s="37">
        <f>SUM(F$5:F1517)/SUM(E$5:E1517)</f>
        <v/>
      </c>
    </row>
    <row r="1518">
      <c r="A1518" s="29" t="n">
        <v>45876</v>
      </c>
      <c r="B1518" s="37" t="inlineStr">
        <is>
          <t>JOB-2514</t>
        </is>
      </c>
      <c r="C1518" s="34" t="n">
        <v>1</v>
      </c>
      <c r="D1518" s="37" t="inlineStr">
        <is>
          <t>Tech A</t>
        </is>
      </c>
      <c r="E1518" s="35" t="n">
        <v>3.4</v>
      </c>
      <c r="F1518" s="35" t="n">
        <v>2.4</v>
      </c>
      <c r="G1518" s="37" t="inlineStr">
        <is>
          <t>Y</t>
        </is>
      </c>
      <c r="H1518" s="37" t="inlineStr">
        <is>
          <t>N</t>
        </is>
      </c>
      <c r="I1518" s="37">
        <f>COUNTIF(G$5:G1518,"Y")/COUNTA(G$5:G1518)</f>
        <v/>
      </c>
      <c r="J1518" s="37">
        <f>COUNTIF(H$5:H1518,"Y")/COUNTA(H$5:H1518)</f>
        <v/>
      </c>
      <c r="K1518" s="37">
        <f>AVERAGE(F$5:F1518)</f>
        <v/>
      </c>
      <c r="L1518" s="37">
        <f>SUM(F$5:F1518)/SUM(E$5:E1518)</f>
        <v/>
      </c>
    </row>
    <row r="1519">
      <c r="A1519" s="29" t="n">
        <v>45877</v>
      </c>
      <c r="B1519" s="37" t="inlineStr">
        <is>
          <t>JOB-2515</t>
        </is>
      </c>
      <c r="C1519" s="34" t="n">
        <v>1</v>
      </c>
      <c r="D1519" s="37" t="inlineStr">
        <is>
          <t>Tech C</t>
        </is>
      </c>
      <c r="E1519" s="35" t="n">
        <v>3.1</v>
      </c>
      <c r="F1519" s="35" t="n">
        <v>2.3</v>
      </c>
      <c r="G1519" s="37" t="inlineStr">
        <is>
          <t>Y</t>
        </is>
      </c>
      <c r="H1519" s="37" t="inlineStr">
        <is>
          <t>N</t>
        </is>
      </c>
      <c r="I1519" s="37">
        <f>COUNTIF(G$5:G1519,"Y")/COUNTA(G$5:G1519)</f>
        <v/>
      </c>
      <c r="J1519" s="37">
        <f>COUNTIF(H$5:H1519,"Y")/COUNTA(H$5:H1519)</f>
        <v/>
      </c>
      <c r="K1519" s="37">
        <f>AVERAGE(F$5:F1519)</f>
        <v/>
      </c>
      <c r="L1519" s="37">
        <f>SUM(F$5:F1519)/SUM(E$5:E1519)</f>
        <v/>
      </c>
    </row>
    <row r="1520">
      <c r="A1520" s="29" t="n">
        <v>45873</v>
      </c>
      <c r="B1520" s="37" t="inlineStr">
        <is>
          <t>JOB-2516</t>
        </is>
      </c>
      <c r="C1520" s="34" t="n">
        <v>1</v>
      </c>
      <c r="D1520" s="37" t="inlineStr">
        <is>
          <t>Tech D</t>
        </is>
      </c>
      <c r="E1520" s="35" t="n">
        <v>1.6</v>
      </c>
      <c r="F1520" s="35" t="n">
        <v>1.5</v>
      </c>
      <c r="G1520" s="37" t="inlineStr">
        <is>
          <t>Y</t>
        </is>
      </c>
      <c r="H1520" s="37" t="inlineStr">
        <is>
          <t>N</t>
        </is>
      </c>
      <c r="I1520" s="37">
        <f>COUNTIF(G$5:G1520,"Y")/COUNTA(G$5:G1520)</f>
        <v/>
      </c>
      <c r="J1520" s="37">
        <f>COUNTIF(H$5:H1520,"Y")/COUNTA(H$5:H1520)</f>
        <v/>
      </c>
      <c r="K1520" s="37">
        <f>AVERAGE(F$5:F1520)</f>
        <v/>
      </c>
      <c r="L1520" s="37">
        <f>SUM(F$5:F1520)/SUM(E$5:E1520)</f>
        <v/>
      </c>
    </row>
    <row r="1521">
      <c r="A1521" s="29" t="n">
        <v>45874</v>
      </c>
      <c r="B1521" s="37" t="inlineStr">
        <is>
          <t>JOB-2517</t>
        </is>
      </c>
      <c r="C1521" s="34" t="n">
        <v>1</v>
      </c>
      <c r="D1521" s="37" t="inlineStr">
        <is>
          <t>Tech A</t>
        </is>
      </c>
      <c r="E1521" s="35" t="n">
        <v>3.8</v>
      </c>
      <c r="F1521" s="35" t="n">
        <v>3</v>
      </c>
      <c r="G1521" s="37" t="inlineStr">
        <is>
          <t>Y</t>
        </is>
      </c>
      <c r="H1521" s="37" t="inlineStr">
        <is>
          <t>N</t>
        </is>
      </c>
      <c r="I1521" s="37">
        <f>COUNTIF(G$5:G1521,"Y")/COUNTA(G$5:G1521)</f>
        <v/>
      </c>
      <c r="J1521" s="37">
        <f>COUNTIF(H$5:H1521,"Y")/COUNTA(H$5:H1521)</f>
        <v/>
      </c>
      <c r="K1521" s="37">
        <f>AVERAGE(F$5:F1521)</f>
        <v/>
      </c>
      <c r="L1521" s="37">
        <f>SUM(F$5:F1521)/SUM(E$5:E1521)</f>
        <v/>
      </c>
    </row>
    <row r="1522">
      <c r="A1522" s="29" t="n">
        <v>45875</v>
      </c>
      <c r="B1522" s="37" t="inlineStr">
        <is>
          <t>JOB-2518</t>
        </is>
      </c>
      <c r="C1522" s="34" t="n">
        <v>1</v>
      </c>
      <c r="D1522" s="37" t="inlineStr">
        <is>
          <t>Tech D</t>
        </is>
      </c>
      <c r="E1522" s="35" t="n">
        <v>4.5</v>
      </c>
      <c r="F1522" s="35" t="n">
        <v>3.3</v>
      </c>
      <c r="G1522" s="37" t="inlineStr">
        <is>
          <t>Y</t>
        </is>
      </c>
      <c r="H1522" s="37" t="inlineStr">
        <is>
          <t>Y</t>
        </is>
      </c>
      <c r="I1522" s="37">
        <f>COUNTIF(G$5:G1522,"Y")/COUNTA(G$5:G1522)</f>
        <v/>
      </c>
      <c r="J1522" s="37">
        <f>COUNTIF(H$5:H1522,"Y")/COUNTA(H$5:H1522)</f>
        <v/>
      </c>
      <c r="K1522" s="37">
        <f>AVERAGE(F$5:F1522)</f>
        <v/>
      </c>
      <c r="L1522" s="37">
        <f>SUM(F$5:F1522)/SUM(E$5:E1522)</f>
        <v/>
      </c>
    </row>
    <row r="1523">
      <c r="A1523" s="29" t="n">
        <v>45876</v>
      </c>
      <c r="B1523" s="37" t="inlineStr">
        <is>
          <t>JOB-2519</t>
        </is>
      </c>
      <c r="C1523" s="34" t="n">
        <v>1</v>
      </c>
      <c r="D1523" s="37" t="inlineStr">
        <is>
          <t>Tech C</t>
        </is>
      </c>
      <c r="E1523" s="35" t="n">
        <v>3.3</v>
      </c>
      <c r="F1523" s="35" t="n">
        <v>2.8</v>
      </c>
      <c r="G1523" s="37" t="inlineStr">
        <is>
          <t>Y</t>
        </is>
      </c>
      <c r="H1523" s="37" t="inlineStr">
        <is>
          <t>N</t>
        </is>
      </c>
      <c r="I1523" s="37">
        <f>COUNTIF(G$5:G1523,"Y")/COUNTA(G$5:G1523)</f>
        <v/>
      </c>
      <c r="J1523" s="37">
        <f>COUNTIF(H$5:H1523,"Y")/COUNTA(H$5:H1523)</f>
        <v/>
      </c>
      <c r="K1523" s="37">
        <f>AVERAGE(F$5:F1523)</f>
        <v/>
      </c>
      <c r="L1523" s="37">
        <f>SUM(F$5:F1523)/SUM(E$5:E1523)</f>
        <v/>
      </c>
    </row>
    <row r="1524">
      <c r="A1524" s="29" t="n">
        <v>45877</v>
      </c>
      <c r="B1524" s="37" t="inlineStr">
        <is>
          <t>JOB-2520</t>
        </is>
      </c>
      <c r="C1524" s="34" t="n">
        <v>1</v>
      </c>
      <c r="D1524" s="37" t="inlineStr">
        <is>
          <t>Tech D</t>
        </is>
      </c>
      <c r="E1524" s="35" t="n">
        <v>3.7</v>
      </c>
      <c r="F1524" s="35" t="n">
        <v>2.8</v>
      </c>
      <c r="G1524" s="37" t="inlineStr">
        <is>
          <t>Y</t>
        </is>
      </c>
      <c r="H1524" s="37" t="inlineStr">
        <is>
          <t>N</t>
        </is>
      </c>
      <c r="I1524" s="37">
        <f>COUNTIF(G$5:G1524,"Y")/COUNTA(G$5:G1524)</f>
        <v/>
      </c>
      <c r="J1524" s="37">
        <f>COUNTIF(H$5:H1524,"Y")/COUNTA(H$5:H1524)</f>
        <v/>
      </c>
      <c r="K1524" s="37">
        <f>AVERAGE(F$5:F1524)</f>
        <v/>
      </c>
      <c r="L1524" s="37">
        <f>SUM(F$5:F1524)/SUM(E$5:E1524)</f>
        <v/>
      </c>
    </row>
    <row r="1525">
      <c r="A1525" s="29" t="n">
        <v>45873</v>
      </c>
      <c r="B1525" s="37" t="inlineStr">
        <is>
          <t>JOB-2521</t>
        </is>
      </c>
      <c r="C1525" s="34" t="n">
        <v>1</v>
      </c>
      <c r="D1525" s="37" t="inlineStr">
        <is>
          <t>Tech F</t>
        </is>
      </c>
      <c r="E1525" s="35" t="n">
        <v>1.5</v>
      </c>
      <c r="F1525" s="35" t="n">
        <v>1.2</v>
      </c>
      <c r="G1525" s="37" t="inlineStr">
        <is>
          <t>Y</t>
        </is>
      </c>
      <c r="H1525" s="37" t="inlineStr">
        <is>
          <t>N</t>
        </is>
      </c>
      <c r="I1525" s="37">
        <f>COUNTIF(G$5:G1525,"Y")/COUNTA(G$5:G1525)</f>
        <v/>
      </c>
      <c r="J1525" s="37">
        <f>COUNTIF(H$5:H1525,"Y")/COUNTA(H$5:H1525)</f>
        <v/>
      </c>
      <c r="K1525" s="37">
        <f>AVERAGE(F$5:F1525)</f>
        <v/>
      </c>
      <c r="L1525" s="37">
        <f>SUM(F$5:F1525)/SUM(E$5:E1525)</f>
        <v/>
      </c>
    </row>
    <row r="1526">
      <c r="A1526" s="29" t="n">
        <v>45874</v>
      </c>
      <c r="B1526" s="37" t="inlineStr">
        <is>
          <t>JOB-2522</t>
        </is>
      </c>
      <c r="C1526" s="34" t="n">
        <v>1</v>
      </c>
      <c r="D1526" s="37" t="inlineStr">
        <is>
          <t>Tech H</t>
        </is>
      </c>
      <c r="E1526" s="35" t="n">
        <v>3.3</v>
      </c>
      <c r="F1526" s="35" t="n">
        <v>3.1</v>
      </c>
      <c r="G1526" s="37" t="inlineStr">
        <is>
          <t>Y</t>
        </is>
      </c>
      <c r="H1526" s="37" t="inlineStr">
        <is>
          <t>N</t>
        </is>
      </c>
      <c r="I1526" s="37">
        <f>COUNTIF(G$5:G1526,"Y")/COUNTA(G$5:G1526)</f>
        <v/>
      </c>
      <c r="J1526" s="37">
        <f>COUNTIF(H$5:H1526,"Y")/COUNTA(H$5:H1526)</f>
        <v/>
      </c>
      <c r="K1526" s="37">
        <f>AVERAGE(F$5:F1526)</f>
        <v/>
      </c>
      <c r="L1526" s="37">
        <f>SUM(F$5:F1526)/SUM(E$5:E1526)</f>
        <v/>
      </c>
    </row>
    <row r="1527">
      <c r="A1527" s="29" t="n">
        <v>45875</v>
      </c>
      <c r="B1527" s="37" t="inlineStr">
        <is>
          <t>JOB-2523</t>
        </is>
      </c>
      <c r="C1527" s="34" t="n">
        <v>1</v>
      </c>
      <c r="D1527" s="37" t="inlineStr">
        <is>
          <t>Tech C</t>
        </is>
      </c>
      <c r="E1527" s="35" t="n">
        <v>0.8</v>
      </c>
      <c r="F1527" s="35" t="n">
        <v>0.7</v>
      </c>
      <c r="G1527" s="37" t="inlineStr">
        <is>
          <t>Y</t>
        </is>
      </c>
      <c r="H1527" s="37" t="inlineStr">
        <is>
          <t>N</t>
        </is>
      </c>
      <c r="I1527" s="37">
        <f>COUNTIF(G$5:G1527,"Y")/COUNTA(G$5:G1527)</f>
        <v/>
      </c>
      <c r="J1527" s="37">
        <f>COUNTIF(H$5:H1527,"Y")/COUNTA(H$5:H1527)</f>
        <v/>
      </c>
      <c r="K1527" s="37">
        <f>AVERAGE(F$5:F1527)</f>
        <v/>
      </c>
      <c r="L1527" s="37">
        <f>SUM(F$5:F1527)/SUM(E$5:E1527)</f>
        <v/>
      </c>
    </row>
    <row r="1528">
      <c r="A1528" s="29" t="n">
        <v>45876</v>
      </c>
      <c r="B1528" s="37" t="inlineStr">
        <is>
          <t>JOB-2524</t>
        </is>
      </c>
      <c r="C1528" s="34" t="n">
        <v>1</v>
      </c>
      <c r="D1528" s="37" t="inlineStr">
        <is>
          <t>Tech H</t>
        </is>
      </c>
      <c r="E1528" s="35" t="n">
        <v>0.6</v>
      </c>
      <c r="F1528" s="35" t="n">
        <v>0.5</v>
      </c>
      <c r="G1528" s="37" t="inlineStr">
        <is>
          <t>Y</t>
        </is>
      </c>
      <c r="H1528" s="37" t="inlineStr">
        <is>
          <t>N</t>
        </is>
      </c>
      <c r="I1528" s="37">
        <f>COUNTIF(G$5:G1528,"Y")/COUNTA(G$5:G1528)</f>
        <v/>
      </c>
      <c r="J1528" s="37">
        <f>COUNTIF(H$5:H1528,"Y")/COUNTA(H$5:H1528)</f>
        <v/>
      </c>
      <c r="K1528" s="37">
        <f>AVERAGE(F$5:F1528)</f>
        <v/>
      </c>
      <c r="L1528" s="37">
        <f>SUM(F$5:F1528)/SUM(E$5:E1528)</f>
        <v/>
      </c>
    </row>
    <row r="1529">
      <c r="A1529" s="29" t="n">
        <v>45877</v>
      </c>
      <c r="B1529" s="37" t="inlineStr">
        <is>
          <t>JOB-2525</t>
        </is>
      </c>
      <c r="C1529" s="34" t="n">
        <v>1</v>
      </c>
      <c r="D1529" s="37" t="inlineStr">
        <is>
          <t>Tech G</t>
        </is>
      </c>
      <c r="E1529" s="35" t="n">
        <v>0.6</v>
      </c>
      <c r="F1529" s="35" t="n">
        <v>0.5</v>
      </c>
      <c r="G1529" s="37" t="inlineStr">
        <is>
          <t>Y</t>
        </is>
      </c>
      <c r="H1529" s="37" t="inlineStr">
        <is>
          <t>Y</t>
        </is>
      </c>
      <c r="I1529" s="37">
        <f>COUNTIF(G$5:G1529,"Y")/COUNTA(G$5:G1529)</f>
        <v/>
      </c>
      <c r="J1529" s="37">
        <f>COUNTIF(H$5:H1529,"Y")/COUNTA(H$5:H1529)</f>
        <v/>
      </c>
      <c r="K1529" s="37">
        <f>AVERAGE(F$5:F1529)</f>
        <v/>
      </c>
      <c r="L1529" s="37">
        <f>SUM(F$5:F1529)/SUM(E$5:E1529)</f>
        <v/>
      </c>
    </row>
    <row r="1530">
      <c r="A1530" s="29" t="n">
        <v>45873</v>
      </c>
      <c r="B1530" s="37" t="inlineStr">
        <is>
          <t>JOB-2526</t>
        </is>
      </c>
      <c r="C1530" s="34" t="n">
        <v>1</v>
      </c>
      <c r="D1530" s="37" t="inlineStr">
        <is>
          <t>Tech D</t>
        </is>
      </c>
      <c r="E1530" s="35" t="n">
        <v>0.6</v>
      </c>
      <c r="F1530" s="35" t="n">
        <v>0.5</v>
      </c>
      <c r="G1530" s="37" t="inlineStr">
        <is>
          <t>Y</t>
        </is>
      </c>
      <c r="H1530" s="37" t="inlineStr">
        <is>
          <t>N</t>
        </is>
      </c>
      <c r="I1530" s="37">
        <f>COUNTIF(G$5:G1530,"Y")/COUNTA(G$5:G1530)</f>
        <v/>
      </c>
      <c r="J1530" s="37">
        <f>COUNTIF(H$5:H1530,"Y")/COUNTA(H$5:H1530)</f>
        <v/>
      </c>
      <c r="K1530" s="37">
        <f>AVERAGE(F$5:F1530)</f>
        <v/>
      </c>
      <c r="L1530" s="37">
        <f>SUM(F$5:F1530)/SUM(E$5:E1530)</f>
        <v/>
      </c>
    </row>
    <row r="1531">
      <c r="A1531" s="29" t="n">
        <v>45874</v>
      </c>
      <c r="B1531" s="37" t="inlineStr">
        <is>
          <t>JOB-2527</t>
        </is>
      </c>
      <c r="C1531" s="34" t="n">
        <v>1</v>
      </c>
      <c r="D1531" s="37" t="inlineStr">
        <is>
          <t>Tech B</t>
        </is>
      </c>
      <c r="E1531" s="35" t="n">
        <v>0.7</v>
      </c>
      <c r="F1531" s="35" t="n">
        <v>0.5</v>
      </c>
      <c r="G1531" s="37" t="inlineStr">
        <is>
          <t>N</t>
        </is>
      </c>
      <c r="H1531" s="37" t="inlineStr">
        <is>
          <t>N</t>
        </is>
      </c>
      <c r="I1531" s="37">
        <f>COUNTIF(G$5:G1531,"Y")/COUNTA(G$5:G1531)</f>
        <v/>
      </c>
      <c r="J1531" s="37">
        <f>COUNTIF(H$5:H1531,"Y")/COUNTA(H$5:H1531)</f>
        <v/>
      </c>
      <c r="K1531" s="37">
        <f>AVERAGE(F$5:F1531)</f>
        <v/>
      </c>
      <c r="L1531" s="37">
        <f>SUM(F$5:F1531)/SUM(E$5:E1531)</f>
        <v/>
      </c>
    </row>
    <row r="1532">
      <c r="A1532" s="29" t="n">
        <v>45875</v>
      </c>
      <c r="B1532" s="37" t="inlineStr">
        <is>
          <t>JOB-2528</t>
        </is>
      </c>
      <c r="C1532" s="34" t="n">
        <v>1</v>
      </c>
      <c r="D1532" s="37" t="inlineStr">
        <is>
          <t>Tech F</t>
        </is>
      </c>
      <c r="E1532" s="35" t="n">
        <v>0.7</v>
      </c>
      <c r="F1532" s="35" t="n">
        <v>0.5</v>
      </c>
      <c r="G1532" s="37" t="inlineStr">
        <is>
          <t>Y</t>
        </is>
      </c>
      <c r="H1532" s="37" t="inlineStr">
        <is>
          <t>N</t>
        </is>
      </c>
      <c r="I1532" s="37">
        <f>COUNTIF(G$5:G1532,"Y")/COUNTA(G$5:G1532)</f>
        <v/>
      </c>
      <c r="J1532" s="37">
        <f>COUNTIF(H$5:H1532,"Y")/COUNTA(H$5:H1532)</f>
        <v/>
      </c>
      <c r="K1532" s="37">
        <f>AVERAGE(F$5:F1532)</f>
        <v/>
      </c>
      <c r="L1532" s="37">
        <f>SUM(F$5:F1532)/SUM(E$5:E1532)</f>
        <v/>
      </c>
    </row>
    <row r="1533">
      <c r="A1533" s="29" t="n">
        <v>45876</v>
      </c>
      <c r="B1533" s="37" t="inlineStr">
        <is>
          <t>JOB-2529</t>
        </is>
      </c>
      <c r="C1533" s="34" t="n">
        <v>1</v>
      </c>
      <c r="D1533" s="37" t="inlineStr">
        <is>
          <t>Tech D</t>
        </is>
      </c>
      <c r="E1533" s="35" t="n">
        <v>0.6</v>
      </c>
      <c r="F1533" s="35" t="n">
        <v>0.5</v>
      </c>
      <c r="G1533" s="37" t="inlineStr">
        <is>
          <t>Y</t>
        </is>
      </c>
      <c r="H1533" s="37" t="inlineStr">
        <is>
          <t>N</t>
        </is>
      </c>
      <c r="I1533" s="37">
        <f>COUNTIF(G$5:G1533,"Y")/COUNTA(G$5:G1533)</f>
        <v/>
      </c>
      <c r="J1533" s="37">
        <f>COUNTIF(H$5:H1533,"Y")/COUNTA(H$5:H1533)</f>
        <v/>
      </c>
      <c r="K1533" s="37">
        <f>AVERAGE(F$5:F1533)</f>
        <v/>
      </c>
      <c r="L1533" s="37">
        <f>SUM(F$5:F1533)/SUM(E$5:E1533)</f>
        <v/>
      </c>
    </row>
    <row r="1534">
      <c r="A1534" s="29" t="n">
        <v>45877</v>
      </c>
      <c r="B1534" s="37" t="inlineStr">
        <is>
          <t>JOB-2530</t>
        </is>
      </c>
      <c r="C1534" s="34" t="n">
        <v>1</v>
      </c>
      <c r="D1534" s="37" t="inlineStr">
        <is>
          <t>Tech C</t>
        </is>
      </c>
      <c r="E1534" s="35" t="n">
        <v>0.7</v>
      </c>
      <c r="F1534" s="35" t="n">
        <v>0.5</v>
      </c>
      <c r="G1534" s="37" t="inlineStr">
        <is>
          <t>Y</t>
        </is>
      </c>
      <c r="H1534" s="37" t="inlineStr">
        <is>
          <t>N</t>
        </is>
      </c>
      <c r="I1534" s="37">
        <f>COUNTIF(G$5:G1534,"Y")/COUNTA(G$5:G1534)</f>
        <v/>
      </c>
      <c r="J1534" s="37">
        <f>COUNTIF(H$5:H1534,"Y")/COUNTA(H$5:H1534)</f>
        <v/>
      </c>
      <c r="K1534" s="37">
        <f>AVERAGE(F$5:F1534)</f>
        <v/>
      </c>
      <c r="L1534" s="37">
        <f>SUM(F$5:F1534)/SUM(E$5:E1534)</f>
        <v/>
      </c>
    </row>
    <row r="1535">
      <c r="A1535" s="29" t="n">
        <v>45873</v>
      </c>
      <c r="B1535" s="37" t="inlineStr">
        <is>
          <t>JOB-2531</t>
        </is>
      </c>
      <c r="C1535" s="34" t="n">
        <v>1</v>
      </c>
      <c r="D1535" s="37" t="inlineStr">
        <is>
          <t>Tech G</t>
        </is>
      </c>
      <c r="E1535" s="35" t="n">
        <v>1.8</v>
      </c>
      <c r="F1535" s="35" t="n">
        <v>0.5</v>
      </c>
      <c r="G1535" s="37" t="inlineStr">
        <is>
          <t>Y</t>
        </is>
      </c>
      <c r="H1535" s="37" t="inlineStr">
        <is>
          <t>N</t>
        </is>
      </c>
      <c r="I1535" s="37">
        <f>COUNTIF(G$5:G1535,"Y")/COUNTA(G$5:G1535)</f>
        <v/>
      </c>
      <c r="J1535" s="37">
        <f>COUNTIF(H$5:H1535,"Y")/COUNTA(H$5:H1535)</f>
        <v/>
      </c>
      <c r="K1535" s="37">
        <f>AVERAGE(F$5:F1535)</f>
        <v/>
      </c>
      <c r="L1535" s="37">
        <f>SUM(F$5:F1535)/SUM(E$5:E1535)</f>
        <v/>
      </c>
      <c r="M1535" s="37" t="n">
        <v>5</v>
      </c>
    </row>
    <row r="1536">
      <c r="A1536" s="29" t="n">
        <v>45880</v>
      </c>
      <c r="B1536" s="37" t="inlineStr">
        <is>
          <t>JOB-2532</t>
        </is>
      </c>
      <c r="C1536" s="34" t="n">
        <v>1</v>
      </c>
      <c r="D1536" s="37" t="inlineStr">
        <is>
          <t>Tech C</t>
        </is>
      </c>
      <c r="E1536" s="35" t="n">
        <v>3.2</v>
      </c>
      <c r="F1536" s="35" t="n">
        <v>2.3</v>
      </c>
      <c r="G1536" s="37" t="inlineStr">
        <is>
          <t>N</t>
        </is>
      </c>
      <c r="H1536" s="37" t="inlineStr">
        <is>
          <t>N</t>
        </is>
      </c>
      <c r="I1536" s="37">
        <f>COUNTIF(G$5:G1536,"Y")/COUNTA(G$5:G1536)</f>
        <v/>
      </c>
      <c r="J1536" s="37">
        <f>COUNTIF(H$5:H1536,"Y")/COUNTA(H$5:H1536)</f>
        <v/>
      </c>
      <c r="K1536" s="37">
        <f>AVERAGE(F$5:F1536)</f>
        <v/>
      </c>
      <c r="L1536" s="37">
        <f>SUM(F$5:F1536)/SUM(E$5:E1536)</f>
        <v/>
      </c>
    </row>
    <row r="1537">
      <c r="A1537" s="29" t="n">
        <v>45881</v>
      </c>
      <c r="B1537" s="37" t="inlineStr">
        <is>
          <t>JOB-2533</t>
        </is>
      </c>
      <c r="C1537" s="34" t="n">
        <v>1</v>
      </c>
      <c r="D1537" s="37" t="inlineStr">
        <is>
          <t>Tech C</t>
        </is>
      </c>
      <c r="E1537" s="35" t="n">
        <v>5.1</v>
      </c>
      <c r="F1537" s="35" t="n">
        <v>3.7</v>
      </c>
      <c r="G1537" s="37" t="inlineStr">
        <is>
          <t>Y</t>
        </is>
      </c>
      <c r="H1537" s="37" t="inlineStr">
        <is>
          <t>N</t>
        </is>
      </c>
      <c r="I1537" s="37">
        <f>COUNTIF(G$5:G1537,"Y")/COUNTA(G$5:G1537)</f>
        <v/>
      </c>
      <c r="J1537" s="37">
        <f>COUNTIF(H$5:H1537,"Y")/COUNTA(H$5:H1537)</f>
        <v/>
      </c>
      <c r="K1537" s="37">
        <f>AVERAGE(F$5:F1537)</f>
        <v/>
      </c>
      <c r="L1537" s="37">
        <f>SUM(F$5:F1537)/SUM(E$5:E1537)</f>
        <v/>
      </c>
    </row>
    <row r="1538">
      <c r="A1538" s="29" t="n">
        <v>45882</v>
      </c>
      <c r="B1538" s="37" t="inlineStr">
        <is>
          <t>JOB-2534</t>
        </is>
      </c>
      <c r="C1538" s="34" t="n">
        <v>1</v>
      </c>
      <c r="D1538" s="37" t="inlineStr">
        <is>
          <t>Tech A</t>
        </is>
      </c>
      <c r="E1538" s="35" t="n">
        <v>4.6</v>
      </c>
      <c r="F1538" s="35" t="n">
        <v>3.8</v>
      </c>
      <c r="G1538" s="37" t="inlineStr">
        <is>
          <t>Y</t>
        </is>
      </c>
      <c r="H1538" s="37" t="inlineStr">
        <is>
          <t>N</t>
        </is>
      </c>
      <c r="I1538" s="37">
        <f>COUNTIF(G$5:G1538,"Y")/COUNTA(G$5:G1538)</f>
        <v/>
      </c>
      <c r="J1538" s="37">
        <f>COUNTIF(H$5:H1538,"Y")/COUNTA(H$5:H1538)</f>
        <v/>
      </c>
      <c r="K1538" s="37">
        <f>AVERAGE(F$5:F1538)</f>
        <v/>
      </c>
      <c r="L1538" s="37">
        <f>SUM(F$5:F1538)/SUM(E$5:E1538)</f>
        <v/>
      </c>
    </row>
    <row r="1539">
      <c r="A1539" s="29" t="n">
        <v>45883</v>
      </c>
      <c r="B1539" s="37" t="inlineStr">
        <is>
          <t>JOB-2535</t>
        </is>
      </c>
      <c r="C1539" s="34" t="n">
        <v>1</v>
      </c>
      <c r="D1539" s="37" t="inlineStr">
        <is>
          <t>Tech C</t>
        </is>
      </c>
      <c r="E1539" s="35" t="n">
        <v>1.5</v>
      </c>
      <c r="F1539" s="35" t="n">
        <v>1.1</v>
      </c>
      <c r="G1539" s="37" t="inlineStr">
        <is>
          <t>Y</t>
        </is>
      </c>
      <c r="H1539" s="37" t="inlineStr">
        <is>
          <t>N</t>
        </is>
      </c>
      <c r="I1539" s="37">
        <f>COUNTIF(G$5:G1539,"Y")/COUNTA(G$5:G1539)</f>
        <v/>
      </c>
      <c r="J1539" s="37">
        <f>COUNTIF(H$5:H1539,"Y")/COUNTA(H$5:H1539)</f>
        <v/>
      </c>
      <c r="K1539" s="37">
        <f>AVERAGE(F$5:F1539)</f>
        <v/>
      </c>
      <c r="L1539" s="37">
        <f>SUM(F$5:F1539)/SUM(E$5:E1539)</f>
        <v/>
      </c>
    </row>
    <row r="1540">
      <c r="A1540" s="29" t="n">
        <v>45884</v>
      </c>
      <c r="B1540" s="37" t="inlineStr">
        <is>
          <t>JOB-2536</t>
        </is>
      </c>
      <c r="C1540" s="34" t="n">
        <v>1</v>
      </c>
      <c r="D1540" s="37" t="inlineStr">
        <is>
          <t>Tech F</t>
        </is>
      </c>
      <c r="E1540" s="35" t="n">
        <v>3.7</v>
      </c>
      <c r="F1540" s="35" t="n">
        <v>3</v>
      </c>
      <c r="G1540" s="37" t="inlineStr">
        <is>
          <t>Y</t>
        </is>
      </c>
      <c r="H1540" s="37" t="inlineStr">
        <is>
          <t>N</t>
        </is>
      </c>
      <c r="I1540" s="37">
        <f>COUNTIF(G$5:G1540,"Y")/COUNTA(G$5:G1540)</f>
        <v/>
      </c>
      <c r="J1540" s="37">
        <f>COUNTIF(H$5:H1540,"Y")/COUNTA(H$5:H1540)</f>
        <v/>
      </c>
      <c r="K1540" s="37">
        <f>AVERAGE(F$5:F1540)</f>
        <v/>
      </c>
      <c r="L1540" s="37">
        <f>SUM(F$5:F1540)/SUM(E$5:E1540)</f>
        <v/>
      </c>
    </row>
    <row r="1541">
      <c r="A1541" s="29" t="n">
        <v>45880</v>
      </c>
      <c r="B1541" s="37" t="inlineStr">
        <is>
          <t>JOB-2537</t>
        </is>
      </c>
      <c r="C1541" s="34" t="n">
        <v>1</v>
      </c>
      <c r="D1541" s="37" t="inlineStr">
        <is>
          <t>Tech D</t>
        </is>
      </c>
      <c r="E1541" s="35" t="n">
        <v>3.5</v>
      </c>
      <c r="F1541" s="35" t="n">
        <v>2.6</v>
      </c>
      <c r="G1541" s="37" t="inlineStr">
        <is>
          <t>Y</t>
        </is>
      </c>
      <c r="H1541" s="37" t="inlineStr">
        <is>
          <t>N</t>
        </is>
      </c>
      <c r="I1541" s="37">
        <f>COUNTIF(G$5:G1541,"Y")/COUNTA(G$5:G1541)</f>
        <v/>
      </c>
      <c r="J1541" s="37">
        <f>COUNTIF(H$5:H1541,"Y")/COUNTA(H$5:H1541)</f>
        <v/>
      </c>
      <c r="K1541" s="37">
        <f>AVERAGE(F$5:F1541)</f>
        <v/>
      </c>
      <c r="L1541" s="37">
        <f>SUM(F$5:F1541)/SUM(E$5:E1541)</f>
        <v/>
      </c>
    </row>
    <row r="1542">
      <c r="A1542" s="29" t="n">
        <v>45881</v>
      </c>
      <c r="B1542" s="37" t="inlineStr">
        <is>
          <t>JOB-2538</t>
        </is>
      </c>
      <c r="C1542" s="34" t="n">
        <v>1</v>
      </c>
      <c r="D1542" s="37" t="inlineStr">
        <is>
          <t>Tech G</t>
        </is>
      </c>
      <c r="E1542" s="35" t="n">
        <v>1.7</v>
      </c>
      <c r="F1542" s="35" t="n">
        <v>1.4</v>
      </c>
      <c r="G1542" s="37" t="inlineStr">
        <is>
          <t>Y</t>
        </is>
      </c>
      <c r="H1542" s="37" t="inlineStr">
        <is>
          <t>N</t>
        </is>
      </c>
      <c r="I1542" s="37">
        <f>COUNTIF(G$5:G1542,"Y")/COUNTA(G$5:G1542)</f>
        <v/>
      </c>
      <c r="J1542" s="37">
        <f>COUNTIF(H$5:H1542,"Y")/COUNTA(H$5:H1542)</f>
        <v/>
      </c>
      <c r="K1542" s="37">
        <f>AVERAGE(F$5:F1542)</f>
        <v/>
      </c>
      <c r="L1542" s="37">
        <f>SUM(F$5:F1542)/SUM(E$5:E1542)</f>
        <v/>
      </c>
    </row>
    <row r="1543">
      <c r="A1543" s="29" t="n">
        <v>45882</v>
      </c>
      <c r="B1543" s="37" t="inlineStr">
        <is>
          <t>JOB-2539</t>
        </is>
      </c>
      <c r="C1543" s="34" t="n">
        <v>1</v>
      </c>
      <c r="D1543" s="37" t="inlineStr">
        <is>
          <t>Tech B</t>
        </is>
      </c>
      <c r="E1543" s="35" t="n">
        <v>4.5</v>
      </c>
      <c r="F1543" s="35" t="n">
        <v>3.1</v>
      </c>
      <c r="G1543" s="37" t="inlineStr">
        <is>
          <t>Y</t>
        </is>
      </c>
      <c r="H1543" s="37" t="inlineStr">
        <is>
          <t>N</t>
        </is>
      </c>
      <c r="I1543" s="37">
        <f>COUNTIF(G$5:G1543,"Y")/COUNTA(G$5:G1543)</f>
        <v/>
      </c>
      <c r="J1543" s="37">
        <f>COUNTIF(H$5:H1543,"Y")/COUNTA(H$5:H1543)</f>
        <v/>
      </c>
      <c r="K1543" s="37">
        <f>AVERAGE(F$5:F1543)</f>
        <v/>
      </c>
      <c r="L1543" s="37">
        <f>SUM(F$5:F1543)/SUM(E$5:E1543)</f>
        <v/>
      </c>
    </row>
    <row r="1544">
      <c r="A1544" s="29" t="n">
        <v>45883</v>
      </c>
      <c r="B1544" s="37" t="inlineStr">
        <is>
          <t>JOB-2540</t>
        </is>
      </c>
      <c r="C1544" s="34" t="n">
        <v>1</v>
      </c>
      <c r="D1544" s="37" t="inlineStr">
        <is>
          <t>Tech F</t>
        </is>
      </c>
      <c r="E1544" s="35" t="n">
        <v>4.5</v>
      </c>
      <c r="F1544" s="35" t="n">
        <v>3.2</v>
      </c>
      <c r="G1544" s="37" t="inlineStr">
        <is>
          <t>Y</t>
        </is>
      </c>
      <c r="H1544" s="37" t="inlineStr">
        <is>
          <t>N</t>
        </is>
      </c>
      <c r="I1544" s="37">
        <f>COUNTIF(G$5:G1544,"Y")/COUNTA(G$5:G1544)</f>
        <v/>
      </c>
      <c r="J1544" s="37">
        <f>COUNTIF(H$5:H1544,"Y")/COUNTA(H$5:H1544)</f>
        <v/>
      </c>
      <c r="K1544" s="37">
        <f>AVERAGE(F$5:F1544)</f>
        <v/>
      </c>
      <c r="L1544" s="37">
        <f>SUM(F$5:F1544)/SUM(E$5:E1544)</f>
        <v/>
      </c>
    </row>
    <row r="1545">
      <c r="A1545" s="29" t="n">
        <v>45884</v>
      </c>
      <c r="B1545" s="37" t="inlineStr">
        <is>
          <t>JOB-2541</t>
        </is>
      </c>
      <c r="C1545" s="34" t="n">
        <v>1</v>
      </c>
      <c r="D1545" s="37" t="inlineStr">
        <is>
          <t>Tech H</t>
        </is>
      </c>
      <c r="E1545" s="35" t="n">
        <v>1.9</v>
      </c>
      <c r="F1545" s="35" t="n">
        <v>1.6</v>
      </c>
      <c r="G1545" s="37" t="inlineStr">
        <is>
          <t>N</t>
        </is>
      </c>
      <c r="H1545" s="37" t="inlineStr">
        <is>
          <t>N</t>
        </is>
      </c>
      <c r="I1545" s="37">
        <f>COUNTIF(G$5:G1545,"Y")/COUNTA(G$5:G1545)</f>
        <v/>
      </c>
      <c r="J1545" s="37">
        <f>COUNTIF(H$5:H1545,"Y")/COUNTA(H$5:H1545)</f>
        <v/>
      </c>
      <c r="K1545" s="37">
        <f>AVERAGE(F$5:F1545)</f>
        <v/>
      </c>
      <c r="L1545" s="37">
        <f>SUM(F$5:F1545)/SUM(E$5:E1545)</f>
        <v/>
      </c>
    </row>
    <row r="1546">
      <c r="A1546" s="29" t="n">
        <v>45880</v>
      </c>
      <c r="B1546" s="37" t="inlineStr">
        <is>
          <t>JOB-2542</t>
        </is>
      </c>
      <c r="C1546" s="34" t="n">
        <v>1</v>
      </c>
      <c r="D1546" s="37" t="inlineStr">
        <is>
          <t>Tech A</t>
        </is>
      </c>
      <c r="E1546" s="35" t="n">
        <v>2</v>
      </c>
      <c r="F1546" s="35" t="n">
        <v>1.7</v>
      </c>
      <c r="G1546" s="37" t="inlineStr">
        <is>
          <t>Y</t>
        </is>
      </c>
      <c r="H1546" s="37" t="inlineStr">
        <is>
          <t>N</t>
        </is>
      </c>
      <c r="I1546" s="37">
        <f>COUNTIF(G$5:G1546,"Y")/COUNTA(G$5:G1546)</f>
        <v/>
      </c>
      <c r="J1546" s="37">
        <f>COUNTIF(H$5:H1546,"Y")/COUNTA(H$5:H1546)</f>
        <v/>
      </c>
      <c r="K1546" s="37">
        <f>AVERAGE(F$5:F1546)</f>
        <v/>
      </c>
      <c r="L1546" s="37">
        <f>SUM(F$5:F1546)/SUM(E$5:E1546)</f>
        <v/>
      </c>
    </row>
    <row r="1547">
      <c r="A1547" s="29" t="n">
        <v>45881</v>
      </c>
      <c r="B1547" s="37" t="inlineStr">
        <is>
          <t>JOB-2543</t>
        </is>
      </c>
      <c r="C1547" s="34" t="n">
        <v>1</v>
      </c>
      <c r="D1547" s="37" t="inlineStr">
        <is>
          <t>Tech H</t>
        </is>
      </c>
      <c r="E1547" s="35" t="n">
        <v>4.3</v>
      </c>
      <c r="F1547" s="35" t="n">
        <v>3.5</v>
      </c>
      <c r="G1547" s="37" t="inlineStr">
        <is>
          <t>Y</t>
        </is>
      </c>
      <c r="H1547" s="37" t="inlineStr">
        <is>
          <t>N</t>
        </is>
      </c>
      <c r="I1547" s="37">
        <f>COUNTIF(G$5:G1547,"Y")/COUNTA(G$5:G1547)</f>
        <v/>
      </c>
      <c r="J1547" s="37">
        <f>COUNTIF(H$5:H1547,"Y")/COUNTA(H$5:H1547)</f>
        <v/>
      </c>
      <c r="K1547" s="37">
        <f>AVERAGE(F$5:F1547)</f>
        <v/>
      </c>
      <c r="L1547" s="37">
        <f>SUM(F$5:F1547)/SUM(E$5:E1547)</f>
        <v/>
      </c>
    </row>
    <row r="1548">
      <c r="A1548" s="29" t="n">
        <v>45882</v>
      </c>
      <c r="B1548" s="37" t="inlineStr">
        <is>
          <t>JOB-2544</t>
        </is>
      </c>
      <c r="C1548" s="34" t="n">
        <v>1</v>
      </c>
      <c r="D1548" s="37" t="inlineStr">
        <is>
          <t>Tech G</t>
        </is>
      </c>
      <c r="E1548" s="35" t="n">
        <v>2.2</v>
      </c>
      <c r="F1548" s="35" t="n">
        <v>1.8</v>
      </c>
      <c r="G1548" s="37" t="inlineStr">
        <is>
          <t>Y</t>
        </is>
      </c>
      <c r="H1548" s="37" t="inlineStr">
        <is>
          <t>N</t>
        </is>
      </c>
      <c r="I1548" s="37">
        <f>COUNTIF(G$5:G1548,"Y")/COUNTA(G$5:G1548)</f>
        <v/>
      </c>
      <c r="J1548" s="37">
        <f>COUNTIF(H$5:H1548,"Y")/COUNTA(H$5:H1548)</f>
        <v/>
      </c>
      <c r="K1548" s="37">
        <f>AVERAGE(F$5:F1548)</f>
        <v/>
      </c>
      <c r="L1548" s="37">
        <f>SUM(F$5:F1548)/SUM(E$5:E1548)</f>
        <v/>
      </c>
    </row>
    <row r="1549">
      <c r="A1549" s="29" t="n">
        <v>45883</v>
      </c>
      <c r="B1549" s="37" t="inlineStr">
        <is>
          <t>JOB-2545</t>
        </is>
      </c>
      <c r="C1549" s="34" t="n">
        <v>1</v>
      </c>
      <c r="D1549" s="37" t="inlineStr">
        <is>
          <t>Tech F</t>
        </is>
      </c>
      <c r="E1549" s="35" t="n">
        <v>3.4</v>
      </c>
      <c r="F1549" s="35" t="n">
        <v>2.5</v>
      </c>
      <c r="G1549" s="37" t="inlineStr">
        <is>
          <t>Y</t>
        </is>
      </c>
      <c r="H1549" s="37" t="inlineStr">
        <is>
          <t>N</t>
        </is>
      </c>
      <c r="I1549" s="37">
        <f>COUNTIF(G$5:G1549,"Y")/COUNTA(G$5:G1549)</f>
        <v/>
      </c>
      <c r="J1549" s="37">
        <f>COUNTIF(H$5:H1549,"Y")/COUNTA(H$5:H1549)</f>
        <v/>
      </c>
      <c r="K1549" s="37">
        <f>AVERAGE(F$5:F1549)</f>
        <v/>
      </c>
      <c r="L1549" s="37">
        <f>SUM(F$5:F1549)/SUM(E$5:E1549)</f>
        <v/>
      </c>
    </row>
    <row r="1550">
      <c r="A1550" s="29" t="n">
        <v>45884</v>
      </c>
      <c r="B1550" s="37" t="inlineStr">
        <is>
          <t>JOB-2546</t>
        </is>
      </c>
      <c r="C1550" s="34" t="n">
        <v>1</v>
      </c>
      <c r="D1550" s="37" t="inlineStr">
        <is>
          <t>Tech A</t>
        </is>
      </c>
      <c r="E1550" s="35" t="n">
        <v>4.3</v>
      </c>
      <c r="F1550" s="35" t="n">
        <v>3.3</v>
      </c>
      <c r="G1550" s="37" t="inlineStr">
        <is>
          <t>Y</t>
        </is>
      </c>
      <c r="H1550" s="37" t="inlineStr">
        <is>
          <t>N</t>
        </is>
      </c>
      <c r="I1550" s="37">
        <f>COUNTIF(G$5:G1550,"Y")/COUNTA(G$5:G1550)</f>
        <v/>
      </c>
      <c r="J1550" s="37">
        <f>COUNTIF(H$5:H1550,"Y")/COUNTA(H$5:H1550)</f>
        <v/>
      </c>
      <c r="K1550" s="37">
        <f>AVERAGE(F$5:F1550)</f>
        <v/>
      </c>
      <c r="L1550" s="37">
        <f>SUM(F$5:F1550)/SUM(E$5:E1550)</f>
        <v/>
      </c>
    </row>
    <row r="1551">
      <c r="A1551" s="29" t="n">
        <v>45880</v>
      </c>
      <c r="B1551" s="37" t="inlineStr">
        <is>
          <t>JOB-2547</t>
        </is>
      </c>
      <c r="C1551" s="34" t="n">
        <v>1</v>
      </c>
      <c r="D1551" s="37" t="inlineStr">
        <is>
          <t>Tech F</t>
        </is>
      </c>
      <c r="E1551" s="35" t="n">
        <v>4.6</v>
      </c>
      <c r="F1551" s="35" t="n">
        <v>3.3</v>
      </c>
      <c r="G1551" s="37" t="inlineStr">
        <is>
          <t>Y</t>
        </is>
      </c>
      <c r="H1551" s="37" t="inlineStr">
        <is>
          <t>N</t>
        </is>
      </c>
      <c r="I1551" s="37">
        <f>COUNTIF(G$5:G1551,"Y")/COUNTA(G$5:G1551)</f>
        <v/>
      </c>
      <c r="J1551" s="37">
        <f>COUNTIF(H$5:H1551,"Y")/COUNTA(H$5:H1551)</f>
        <v/>
      </c>
      <c r="K1551" s="37">
        <f>AVERAGE(F$5:F1551)</f>
        <v/>
      </c>
      <c r="L1551" s="37">
        <f>SUM(F$5:F1551)/SUM(E$5:E1551)</f>
        <v/>
      </c>
    </row>
    <row r="1552">
      <c r="A1552" s="29" t="n">
        <v>45881</v>
      </c>
      <c r="B1552" s="37" t="inlineStr">
        <is>
          <t>JOB-2548</t>
        </is>
      </c>
      <c r="C1552" s="34" t="n">
        <v>1</v>
      </c>
      <c r="D1552" s="37" t="inlineStr">
        <is>
          <t>Tech C</t>
        </is>
      </c>
      <c r="E1552" s="35" t="n">
        <v>4.6</v>
      </c>
      <c r="F1552" s="35" t="n">
        <v>3.8</v>
      </c>
      <c r="G1552" s="37" t="inlineStr">
        <is>
          <t>N</t>
        </is>
      </c>
      <c r="H1552" s="37" t="inlineStr">
        <is>
          <t>N</t>
        </is>
      </c>
      <c r="I1552" s="37">
        <f>COUNTIF(G$5:G1552,"Y")/COUNTA(G$5:G1552)</f>
        <v/>
      </c>
      <c r="J1552" s="37">
        <f>COUNTIF(H$5:H1552,"Y")/COUNTA(H$5:H1552)</f>
        <v/>
      </c>
      <c r="K1552" s="37">
        <f>AVERAGE(F$5:F1552)</f>
        <v/>
      </c>
      <c r="L1552" s="37">
        <f>SUM(F$5:F1552)/SUM(E$5:E1552)</f>
        <v/>
      </c>
    </row>
    <row r="1553">
      <c r="A1553" s="29" t="n">
        <v>45882</v>
      </c>
      <c r="B1553" s="37" t="inlineStr">
        <is>
          <t>JOB-2549</t>
        </is>
      </c>
      <c r="C1553" s="34" t="n">
        <v>1</v>
      </c>
      <c r="D1553" s="37" t="inlineStr">
        <is>
          <t>Tech C</t>
        </is>
      </c>
      <c r="E1553" s="35" t="n">
        <v>4.3</v>
      </c>
      <c r="F1553" s="35" t="n">
        <v>3</v>
      </c>
      <c r="G1553" s="37" t="inlineStr">
        <is>
          <t>Y</t>
        </is>
      </c>
      <c r="H1553" s="37" t="inlineStr">
        <is>
          <t>N</t>
        </is>
      </c>
      <c r="I1553" s="37">
        <f>COUNTIF(G$5:G1553,"Y")/COUNTA(G$5:G1553)</f>
        <v/>
      </c>
      <c r="J1553" s="37">
        <f>COUNTIF(H$5:H1553,"Y")/COUNTA(H$5:H1553)</f>
        <v/>
      </c>
      <c r="K1553" s="37">
        <f>AVERAGE(F$5:F1553)</f>
        <v/>
      </c>
      <c r="L1553" s="37">
        <f>SUM(F$5:F1553)/SUM(E$5:E1553)</f>
        <v/>
      </c>
    </row>
    <row r="1554">
      <c r="A1554" s="29" t="n">
        <v>45883</v>
      </c>
      <c r="B1554" s="37" t="inlineStr">
        <is>
          <t>JOB-2550</t>
        </is>
      </c>
      <c r="C1554" s="34" t="n">
        <v>1</v>
      </c>
      <c r="D1554" s="37" t="inlineStr">
        <is>
          <t>Tech A</t>
        </is>
      </c>
      <c r="E1554" s="35" t="n">
        <v>5</v>
      </c>
      <c r="F1554" s="35" t="n">
        <v>3.9</v>
      </c>
      <c r="G1554" s="37" t="inlineStr">
        <is>
          <t>Y</t>
        </is>
      </c>
      <c r="H1554" s="37" t="inlineStr">
        <is>
          <t>N</t>
        </is>
      </c>
      <c r="I1554" s="37">
        <f>COUNTIF(G$5:G1554,"Y")/COUNTA(G$5:G1554)</f>
        <v/>
      </c>
      <c r="J1554" s="37">
        <f>COUNTIF(H$5:H1554,"Y")/COUNTA(H$5:H1554)</f>
        <v/>
      </c>
      <c r="K1554" s="37">
        <f>AVERAGE(F$5:F1554)</f>
        <v/>
      </c>
      <c r="L1554" s="37">
        <f>SUM(F$5:F1554)/SUM(E$5:E1554)</f>
        <v/>
      </c>
    </row>
    <row r="1555">
      <c r="A1555" s="29" t="n">
        <v>45884</v>
      </c>
      <c r="B1555" s="37" t="inlineStr">
        <is>
          <t>JOB-2551</t>
        </is>
      </c>
      <c r="C1555" s="34" t="n">
        <v>1</v>
      </c>
      <c r="D1555" s="37" t="inlineStr">
        <is>
          <t>Tech F</t>
        </is>
      </c>
      <c r="E1555" s="35" t="n">
        <v>1.9</v>
      </c>
      <c r="F1555" s="35" t="n">
        <v>1.5</v>
      </c>
      <c r="G1555" s="37" t="inlineStr">
        <is>
          <t>Y</t>
        </is>
      </c>
      <c r="H1555" s="37" t="inlineStr">
        <is>
          <t>N</t>
        </is>
      </c>
      <c r="I1555" s="37">
        <f>COUNTIF(G$5:G1555,"Y")/COUNTA(G$5:G1555)</f>
        <v/>
      </c>
      <c r="J1555" s="37">
        <f>COUNTIF(H$5:H1555,"Y")/COUNTA(H$5:H1555)</f>
        <v/>
      </c>
      <c r="K1555" s="37">
        <f>AVERAGE(F$5:F1555)</f>
        <v/>
      </c>
      <c r="L1555" s="37">
        <f>SUM(F$5:F1555)/SUM(E$5:E1555)</f>
        <v/>
      </c>
    </row>
    <row r="1556">
      <c r="A1556" s="29" t="n">
        <v>45880</v>
      </c>
      <c r="B1556" s="37" t="inlineStr">
        <is>
          <t>JOB-2552</t>
        </is>
      </c>
      <c r="C1556" s="34" t="n">
        <v>1</v>
      </c>
      <c r="D1556" s="37" t="inlineStr">
        <is>
          <t>Tech G</t>
        </is>
      </c>
      <c r="E1556" s="35" t="n">
        <v>1.8</v>
      </c>
      <c r="F1556" s="35" t="n">
        <v>1.4</v>
      </c>
      <c r="G1556" s="37" t="inlineStr">
        <is>
          <t>N</t>
        </is>
      </c>
      <c r="H1556" s="37" t="inlineStr">
        <is>
          <t>N</t>
        </is>
      </c>
      <c r="I1556" s="37">
        <f>COUNTIF(G$5:G1556,"Y")/COUNTA(G$5:G1556)</f>
        <v/>
      </c>
      <c r="J1556" s="37">
        <f>COUNTIF(H$5:H1556,"Y")/COUNTA(H$5:H1556)</f>
        <v/>
      </c>
      <c r="K1556" s="37">
        <f>AVERAGE(F$5:F1556)</f>
        <v/>
      </c>
      <c r="L1556" s="37">
        <f>SUM(F$5:F1556)/SUM(E$5:E1556)</f>
        <v/>
      </c>
    </row>
    <row r="1557">
      <c r="A1557" s="29" t="n">
        <v>45881</v>
      </c>
      <c r="B1557" s="37" t="inlineStr">
        <is>
          <t>JOB-2553</t>
        </is>
      </c>
      <c r="C1557" s="34" t="n">
        <v>1</v>
      </c>
      <c r="D1557" s="37" t="inlineStr">
        <is>
          <t>Tech F</t>
        </is>
      </c>
      <c r="E1557" s="35" t="n">
        <v>2.6</v>
      </c>
      <c r="F1557" s="35" t="n">
        <v>1.8</v>
      </c>
      <c r="G1557" s="37" t="inlineStr">
        <is>
          <t>Y</t>
        </is>
      </c>
      <c r="H1557" s="37" t="inlineStr">
        <is>
          <t>N</t>
        </is>
      </c>
      <c r="I1557" s="37">
        <f>COUNTIF(G$5:G1557,"Y")/COUNTA(G$5:G1557)</f>
        <v/>
      </c>
      <c r="J1557" s="37">
        <f>COUNTIF(H$5:H1557,"Y")/COUNTA(H$5:H1557)</f>
        <v/>
      </c>
      <c r="K1557" s="37">
        <f>AVERAGE(F$5:F1557)</f>
        <v/>
      </c>
      <c r="L1557" s="37">
        <f>SUM(F$5:F1557)/SUM(E$5:E1557)</f>
        <v/>
      </c>
    </row>
    <row r="1558">
      <c r="A1558" s="29" t="n">
        <v>45882</v>
      </c>
      <c r="B1558" s="37" t="inlineStr">
        <is>
          <t>JOB-2554</t>
        </is>
      </c>
      <c r="C1558" s="34" t="n">
        <v>1</v>
      </c>
      <c r="D1558" s="37" t="inlineStr">
        <is>
          <t>Tech D</t>
        </is>
      </c>
      <c r="E1558" s="35" t="n">
        <v>1.6</v>
      </c>
      <c r="F1558" s="35" t="n">
        <v>1.2</v>
      </c>
      <c r="G1558" s="37" t="inlineStr">
        <is>
          <t>Y</t>
        </is>
      </c>
      <c r="H1558" s="37" t="inlineStr">
        <is>
          <t>N</t>
        </is>
      </c>
      <c r="I1558" s="37">
        <f>COUNTIF(G$5:G1558,"Y")/COUNTA(G$5:G1558)</f>
        <v/>
      </c>
      <c r="J1558" s="37">
        <f>COUNTIF(H$5:H1558,"Y")/COUNTA(H$5:H1558)</f>
        <v/>
      </c>
      <c r="K1558" s="37">
        <f>AVERAGE(F$5:F1558)</f>
        <v/>
      </c>
      <c r="L1558" s="37">
        <f>SUM(F$5:F1558)/SUM(E$5:E1558)</f>
        <v/>
      </c>
    </row>
    <row r="1559">
      <c r="A1559" s="29" t="n">
        <v>45883</v>
      </c>
      <c r="B1559" s="37" t="inlineStr">
        <is>
          <t>JOB-2555</t>
        </is>
      </c>
      <c r="C1559" s="34" t="n">
        <v>1</v>
      </c>
      <c r="D1559" s="37" t="inlineStr">
        <is>
          <t>Tech D</t>
        </is>
      </c>
      <c r="E1559" s="35" t="n">
        <v>4.4</v>
      </c>
      <c r="F1559" s="35" t="n">
        <v>3.5</v>
      </c>
      <c r="G1559" s="37" t="inlineStr">
        <is>
          <t>Y</t>
        </is>
      </c>
      <c r="H1559" s="37" t="inlineStr">
        <is>
          <t>N</t>
        </is>
      </c>
      <c r="I1559" s="37">
        <f>COUNTIF(G$5:G1559,"Y")/COUNTA(G$5:G1559)</f>
        <v/>
      </c>
      <c r="J1559" s="37">
        <f>COUNTIF(H$5:H1559,"Y")/COUNTA(H$5:H1559)</f>
        <v/>
      </c>
      <c r="K1559" s="37">
        <f>AVERAGE(F$5:F1559)</f>
        <v/>
      </c>
      <c r="L1559" s="37">
        <f>SUM(F$5:F1559)/SUM(E$5:E1559)</f>
        <v/>
      </c>
    </row>
    <row r="1560">
      <c r="A1560" s="29" t="n">
        <v>45884</v>
      </c>
      <c r="B1560" s="37" t="inlineStr">
        <is>
          <t>JOB-2556</t>
        </is>
      </c>
      <c r="C1560" s="34" t="n">
        <v>1</v>
      </c>
      <c r="D1560" s="37" t="inlineStr">
        <is>
          <t>Tech B</t>
        </is>
      </c>
      <c r="E1560" s="35" t="n">
        <v>1.4</v>
      </c>
      <c r="F1560" s="35" t="n">
        <v>1.2</v>
      </c>
      <c r="G1560" s="37" t="inlineStr">
        <is>
          <t>Y</t>
        </is>
      </c>
      <c r="H1560" s="37" t="inlineStr">
        <is>
          <t>N</t>
        </is>
      </c>
      <c r="I1560" s="37">
        <f>COUNTIF(G$5:G1560,"Y")/COUNTA(G$5:G1560)</f>
        <v/>
      </c>
      <c r="J1560" s="37">
        <f>COUNTIF(H$5:H1560,"Y")/COUNTA(H$5:H1560)</f>
        <v/>
      </c>
      <c r="K1560" s="37">
        <f>AVERAGE(F$5:F1560)</f>
        <v/>
      </c>
      <c r="L1560" s="37">
        <f>SUM(F$5:F1560)/SUM(E$5:E1560)</f>
        <v/>
      </c>
    </row>
    <row r="1561">
      <c r="A1561" s="29" t="n">
        <v>45880</v>
      </c>
      <c r="B1561" s="37" t="inlineStr">
        <is>
          <t>JOB-2557</t>
        </is>
      </c>
      <c r="C1561" s="34" t="n">
        <v>1</v>
      </c>
      <c r="D1561" s="37" t="inlineStr">
        <is>
          <t>Tech C</t>
        </is>
      </c>
      <c r="E1561" s="35" t="n">
        <v>3.4</v>
      </c>
      <c r="F1561" s="35" t="n">
        <v>2.8</v>
      </c>
      <c r="G1561" s="37" t="inlineStr">
        <is>
          <t>Y</t>
        </is>
      </c>
      <c r="H1561" s="37" t="inlineStr">
        <is>
          <t>N</t>
        </is>
      </c>
      <c r="I1561" s="37">
        <f>COUNTIF(G$5:G1561,"Y")/COUNTA(G$5:G1561)</f>
        <v/>
      </c>
      <c r="J1561" s="37">
        <f>COUNTIF(H$5:H1561,"Y")/COUNTA(H$5:H1561)</f>
        <v/>
      </c>
      <c r="K1561" s="37">
        <f>AVERAGE(F$5:F1561)</f>
        <v/>
      </c>
      <c r="L1561" s="37">
        <f>SUM(F$5:F1561)/SUM(E$5:E1561)</f>
        <v/>
      </c>
    </row>
    <row r="1562">
      <c r="A1562" s="29" t="n">
        <v>45881</v>
      </c>
      <c r="B1562" s="37" t="inlineStr">
        <is>
          <t>JOB-2558</t>
        </is>
      </c>
      <c r="C1562" s="34" t="n">
        <v>1</v>
      </c>
      <c r="D1562" s="37" t="inlineStr">
        <is>
          <t>Tech G</t>
        </is>
      </c>
      <c r="E1562" s="35" t="n">
        <v>2.6</v>
      </c>
      <c r="F1562" s="35" t="n">
        <v>2</v>
      </c>
      <c r="G1562" s="37" t="inlineStr">
        <is>
          <t>Y</t>
        </is>
      </c>
      <c r="H1562" s="37" t="inlineStr">
        <is>
          <t>N</t>
        </is>
      </c>
      <c r="I1562" s="37">
        <f>COUNTIF(G$5:G1562,"Y")/COUNTA(G$5:G1562)</f>
        <v/>
      </c>
      <c r="J1562" s="37">
        <f>COUNTIF(H$5:H1562,"Y")/COUNTA(H$5:H1562)</f>
        <v/>
      </c>
      <c r="K1562" s="37">
        <f>AVERAGE(F$5:F1562)</f>
        <v/>
      </c>
      <c r="L1562" s="37">
        <f>SUM(F$5:F1562)/SUM(E$5:E1562)</f>
        <v/>
      </c>
    </row>
    <row r="1563">
      <c r="A1563" s="29" t="n">
        <v>45882</v>
      </c>
      <c r="B1563" s="37" t="inlineStr">
        <is>
          <t>JOB-2559</t>
        </is>
      </c>
      <c r="C1563" s="34" t="n">
        <v>1</v>
      </c>
      <c r="D1563" s="37" t="inlineStr">
        <is>
          <t>Tech A</t>
        </is>
      </c>
      <c r="E1563" s="35" t="n">
        <v>4.4</v>
      </c>
      <c r="F1563" s="35" t="n">
        <v>3.3</v>
      </c>
      <c r="G1563" s="37" t="inlineStr">
        <is>
          <t>Y</t>
        </is>
      </c>
      <c r="H1563" s="37" t="inlineStr">
        <is>
          <t>N</t>
        </is>
      </c>
      <c r="I1563" s="37">
        <f>COUNTIF(G$5:G1563,"Y")/COUNTA(G$5:G1563)</f>
        <v/>
      </c>
      <c r="J1563" s="37">
        <f>COUNTIF(H$5:H1563,"Y")/COUNTA(H$5:H1563)</f>
        <v/>
      </c>
      <c r="K1563" s="37">
        <f>AVERAGE(F$5:F1563)</f>
        <v/>
      </c>
      <c r="L1563" s="37">
        <f>SUM(F$5:F1563)/SUM(E$5:E1563)</f>
        <v/>
      </c>
    </row>
    <row r="1564">
      <c r="A1564" s="29" t="n">
        <v>45883</v>
      </c>
      <c r="B1564" s="37" t="inlineStr">
        <is>
          <t>JOB-2560</t>
        </is>
      </c>
      <c r="C1564" s="34" t="n">
        <v>1</v>
      </c>
      <c r="D1564" s="37" t="inlineStr">
        <is>
          <t>Tech H</t>
        </is>
      </c>
      <c r="E1564" s="35" t="n">
        <v>3.3</v>
      </c>
      <c r="F1564" s="35" t="n">
        <v>2.6</v>
      </c>
      <c r="G1564" s="37" t="inlineStr">
        <is>
          <t>Y</t>
        </is>
      </c>
      <c r="H1564" s="37" t="inlineStr">
        <is>
          <t>N</t>
        </is>
      </c>
      <c r="I1564" s="37">
        <f>COUNTIF(G$5:G1564,"Y")/COUNTA(G$5:G1564)</f>
        <v/>
      </c>
      <c r="J1564" s="37">
        <f>COUNTIF(H$5:H1564,"Y")/COUNTA(H$5:H1564)</f>
        <v/>
      </c>
      <c r="K1564" s="37">
        <f>AVERAGE(F$5:F1564)</f>
        <v/>
      </c>
      <c r="L1564" s="37">
        <f>SUM(F$5:F1564)/SUM(E$5:E1564)</f>
        <v/>
      </c>
    </row>
    <row r="1565">
      <c r="A1565" s="29" t="n">
        <v>45884</v>
      </c>
      <c r="B1565" s="37" t="inlineStr">
        <is>
          <t>JOB-2561</t>
        </is>
      </c>
      <c r="C1565" s="34" t="n">
        <v>1</v>
      </c>
      <c r="D1565" s="37" t="inlineStr">
        <is>
          <t>Tech G</t>
        </is>
      </c>
      <c r="E1565" s="35" t="n">
        <v>2.8</v>
      </c>
      <c r="F1565" s="35" t="n">
        <v>2.4</v>
      </c>
      <c r="G1565" s="37" t="inlineStr">
        <is>
          <t>Y</t>
        </is>
      </c>
      <c r="H1565" s="37" t="inlineStr">
        <is>
          <t>N</t>
        </is>
      </c>
      <c r="I1565" s="37">
        <f>COUNTIF(G$5:G1565,"Y")/COUNTA(G$5:G1565)</f>
        <v/>
      </c>
      <c r="J1565" s="37">
        <f>COUNTIF(H$5:H1565,"Y")/COUNTA(H$5:H1565)</f>
        <v/>
      </c>
      <c r="K1565" s="37">
        <f>AVERAGE(F$5:F1565)</f>
        <v/>
      </c>
      <c r="L1565" s="37">
        <f>SUM(F$5:F1565)/SUM(E$5:E1565)</f>
        <v/>
      </c>
    </row>
    <row r="1566">
      <c r="A1566" s="29" t="n">
        <v>45880</v>
      </c>
      <c r="B1566" s="37" t="inlineStr">
        <is>
          <t>JOB-2562</t>
        </is>
      </c>
      <c r="C1566" s="34" t="n">
        <v>1</v>
      </c>
      <c r="D1566" s="37" t="inlineStr">
        <is>
          <t>Tech C</t>
        </is>
      </c>
      <c r="E1566" s="35" t="n">
        <v>3.2</v>
      </c>
      <c r="F1566" s="35" t="n">
        <v>2.5</v>
      </c>
      <c r="G1566" s="37" t="inlineStr">
        <is>
          <t>Y</t>
        </is>
      </c>
      <c r="H1566" s="37" t="inlineStr">
        <is>
          <t>Y</t>
        </is>
      </c>
      <c r="I1566" s="37">
        <f>COUNTIF(G$5:G1566,"Y")/COUNTA(G$5:G1566)</f>
        <v/>
      </c>
      <c r="J1566" s="37">
        <f>COUNTIF(H$5:H1566,"Y")/COUNTA(H$5:H1566)</f>
        <v/>
      </c>
      <c r="K1566" s="37">
        <f>AVERAGE(F$5:F1566)</f>
        <v/>
      </c>
      <c r="L1566" s="37">
        <f>SUM(F$5:F1566)/SUM(E$5:E1566)</f>
        <v/>
      </c>
    </row>
    <row r="1567">
      <c r="A1567" s="29" t="n">
        <v>45881</v>
      </c>
      <c r="B1567" s="37" t="inlineStr">
        <is>
          <t>JOB-2563</t>
        </is>
      </c>
      <c r="C1567" s="34" t="n">
        <v>1</v>
      </c>
      <c r="D1567" s="37" t="inlineStr">
        <is>
          <t>Tech F</t>
        </is>
      </c>
      <c r="E1567" s="35" t="n">
        <v>3.7</v>
      </c>
      <c r="F1567" s="35" t="n">
        <v>2.7</v>
      </c>
      <c r="G1567" s="37" t="inlineStr">
        <is>
          <t>Y</t>
        </is>
      </c>
      <c r="H1567" s="37" t="inlineStr">
        <is>
          <t>N</t>
        </is>
      </c>
      <c r="I1567" s="37">
        <f>COUNTIF(G$5:G1567,"Y")/COUNTA(G$5:G1567)</f>
        <v/>
      </c>
      <c r="J1567" s="37">
        <f>COUNTIF(H$5:H1567,"Y")/COUNTA(H$5:H1567)</f>
        <v/>
      </c>
      <c r="K1567" s="37">
        <f>AVERAGE(F$5:F1567)</f>
        <v/>
      </c>
      <c r="L1567" s="37">
        <f>SUM(F$5:F1567)/SUM(E$5:E1567)</f>
        <v/>
      </c>
    </row>
    <row r="1568">
      <c r="A1568" s="29" t="n">
        <v>45882</v>
      </c>
      <c r="B1568" s="37" t="inlineStr">
        <is>
          <t>JOB-2564</t>
        </is>
      </c>
      <c r="C1568" s="34" t="n">
        <v>1</v>
      </c>
      <c r="D1568" s="37" t="inlineStr">
        <is>
          <t>Tech G</t>
        </is>
      </c>
      <c r="E1568" s="35" t="n">
        <v>2.8</v>
      </c>
      <c r="F1568" s="35" t="n">
        <v>2.6</v>
      </c>
      <c r="G1568" s="37" t="inlineStr">
        <is>
          <t>Y</t>
        </is>
      </c>
      <c r="H1568" s="37" t="inlineStr">
        <is>
          <t>N</t>
        </is>
      </c>
      <c r="I1568" s="37">
        <f>COUNTIF(G$5:G1568,"Y")/COUNTA(G$5:G1568)</f>
        <v/>
      </c>
      <c r="J1568" s="37">
        <f>COUNTIF(H$5:H1568,"Y")/COUNTA(H$5:H1568)</f>
        <v/>
      </c>
      <c r="K1568" s="37">
        <f>AVERAGE(F$5:F1568)</f>
        <v/>
      </c>
      <c r="L1568" s="37">
        <f>SUM(F$5:F1568)/SUM(E$5:E1568)</f>
        <v/>
      </c>
    </row>
    <row r="1569">
      <c r="A1569" s="29" t="n">
        <v>45883</v>
      </c>
      <c r="B1569" s="37" t="inlineStr">
        <is>
          <t>JOB-2565</t>
        </is>
      </c>
      <c r="C1569" s="34" t="n">
        <v>1</v>
      </c>
      <c r="D1569" s="37" t="inlineStr">
        <is>
          <t>Tech C</t>
        </is>
      </c>
      <c r="E1569" s="35" t="n">
        <v>4.8</v>
      </c>
      <c r="F1569" s="35" t="n">
        <v>3.3</v>
      </c>
      <c r="G1569" s="37" t="inlineStr">
        <is>
          <t>Y</t>
        </is>
      </c>
      <c r="H1569" s="37" t="inlineStr">
        <is>
          <t>N</t>
        </is>
      </c>
      <c r="I1569" s="37">
        <f>COUNTIF(G$5:G1569,"Y")/COUNTA(G$5:G1569)</f>
        <v/>
      </c>
      <c r="J1569" s="37">
        <f>COUNTIF(H$5:H1569,"Y")/COUNTA(H$5:H1569)</f>
        <v/>
      </c>
      <c r="K1569" s="37">
        <f>AVERAGE(F$5:F1569)</f>
        <v/>
      </c>
      <c r="L1569" s="37">
        <f>SUM(F$5:F1569)/SUM(E$5:E1569)</f>
        <v/>
      </c>
    </row>
    <row r="1570">
      <c r="A1570" s="29" t="n">
        <v>45884</v>
      </c>
      <c r="B1570" s="37" t="inlineStr">
        <is>
          <t>JOB-2566</t>
        </is>
      </c>
      <c r="C1570" s="34" t="n">
        <v>1</v>
      </c>
      <c r="D1570" s="37" t="inlineStr">
        <is>
          <t>Tech D</t>
        </is>
      </c>
      <c r="E1570" s="35" t="n">
        <v>4</v>
      </c>
      <c r="F1570" s="35" t="n">
        <v>3.6</v>
      </c>
      <c r="G1570" s="37" t="inlineStr">
        <is>
          <t>Y</t>
        </is>
      </c>
      <c r="H1570" s="37" t="inlineStr">
        <is>
          <t>N</t>
        </is>
      </c>
      <c r="I1570" s="37">
        <f>COUNTIF(G$5:G1570,"Y")/COUNTA(G$5:G1570)</f>
        <v/>
      </c>
      <c r="J1570" s="37">
        <f>COUNTIF(H$5:H1570,"Y")/COUNTA(H$5:H1570)</f>
        <v/>
      </c>
      <c r="K1570" s="37">
        <f>AVERAGE(F$5:F1570)</f>
        <v/>
      </c>
      <c r="L1570" s="37">
        <f>SUM(F$5:F1570)/SUM(E$5:E1570)</f>
        <v/>
      </c>
    </row>
    <row r="1571">
      <c r="A1571" s="29" t="n">
        <v>45880</v>
      </c>
      <c r="B1571" s="37" t="inlineStr">
        <is>
          <t>JOB-2567</t>
        </is>
      </c>
      <c r="C1571" s="34" t="n">
        <v>1</v>
      </c>
      <c r="D1571" s="37" t="inlineStr">
        <is>
          <t>Tech H</t>
        </is>
      </c>
      <c r="E1571" s="35" t="n">
        <v>0.9</v>
      </c>
      <c r="F1571" s="35" t="n">
        <v>1.8</v>
      </c>
      <c r="G1571" s="37" t="inlineStr">
        <is>
          <t>Y</t>
        </is>
      </c>
      <c r="H1571" s="37" t="inlineStr">
        <is>
          <t>N</t>
        </is>
      </c>
      <c r="I1571" s="37">
        <f>COUNTIF(G$5:G1571,"Y")/COUNTA(G$5:G1571)</f>
        <v/>
      </c>
      <c r="J1571" s="37">
        <f>COUNTIF(H$5:H1571,"Y")/COUNTA(H$5:H1571)</f>
        <v/>
      </c>
      <c r="K1571" s="37">
        <f>AVERAGE(F$5:F1571)</f>
        <v/>
      </c>
      <c r="L1571" s="37">
        <f>SUM(F$5:F1571)/SUM(E$5:E1571)</f>
        <v/>
      </c>
    </row>
    <row r="1572">
      <c r="A1572" s="29" t="n">
        <v>45881</v>
      </c>
      <c r="B1572" s="37" t="inlineStr">
        <is>
          <t>JOB-2568</t>
        </is>
      </c>
      <c r="C1572" s="34" t="n">
        <v>1</v>
      </c>
      <c r="D1572" s="37" t="inlineStr">
        <is>
          <t>Tech F</t>
        </is>
      </c>
      <c r="E1572" s="35" t="n">
        <v>0.5</v>
      </c>
      <c r="F1572" s="35" t="n">
        <v>0.5</v>
      </c>
      <c r="G1572" s="37" t="inlineStr">
        <is>
          <t>Y</t>
        </is>
      </c>
      <c r="H1572" s="37" t="inlineStr">
        <is>
          <t>N</t>
        </is>
      </c>
      <c r="I1572" s="37">
        <f>COUNTIF(G$5:G1572,"Y")/COUNTA(G$5:G1572)</f>
        <v/>
      </c>
      <c r="J1572" s="37">
        <f>COUNTIF(H$5:H1572,"Y")/COUNTA(H$5:H1572)</f>
        <v/>
      </c>
      <c r="K1572" s="37">
        <f>AVERAGE(F$5:F1572)</f>
        <v/>
      </c>
      <c r="L1572" s="37">
        <f>SUM(F$5:F1572)/SUM(E$5:E1572)</f>
        <v/>
      </c>
    </row>
    <row r="1573">
      <c r="A1573" s="29" t="n">
        <v>45882</v>
      </c>
      <c r="B1573" s="37" t="inlineStr">
        <is>
          <t>JOB-2569</t>
        </is>
      </c>
      <c r="C1573" s="34" t="n">
        <v>1</v>
      </c>
      <c r="D1573" s="37" t="inlineStr">
        <is>
          <t>Tech C</t>
        </is>
      </c>
      <c r="E1573" s="35" t="n">
        <v>0.5</v>
      </c>
      <c r="F1573" s="35" t="n">
        <v>0.5</v>
      </c>
      <c r="G1573" s="37" t="inlineStr">
        <is>
          <t>Y</t>
        </is>
      </c>
      <c r="H1573" s="37" t="inlineStr">
        <is>
          <t>N</t>
        </is>
      </c>
      <c r="I1573" s="37">
        <f>COUNTIF(G$5:G1573,"Y")/COUNTA(G$5:G1573)</f>
        <v/>
      </c>
      <c r="J1573" s="37">
        <f>COUNTIF(H$5:H1573,"Y")/COUNTA(H$5:H1573)</f>
        <v/>
      </c>
      <c r="K1573" s="37">
        <f>AVERAGE(F$5:F1573)</f>
        <v/>
      </c>
      <c r="L1573" s="37">
        <f>SUM(F$5:F1573)/SUM(E$5:E1573)</f>
        <v/>
      </c>
    </row>
    <row r="1574">
      <c r="A1574" s="29" t="n">
        <v>45883</v>
      </c>
      <c r="B1574" s="37" t="inlineStr">
        <is>
          <t>JOB-2570</t>
        </is>
      </c>
      <c r="C1574" s="34" t="n">
        <v>1</v>
      </c>
      <c r="D1574" s="37" t="inlineStr">
        <is>
          <t>Tech B</t>
        </is>
      </c>
      <c r="E1574" s="35" t="n">
        <v>0.5</v>
      </c>
      <c r="F1574" s="35" t="n">
        <v>0.5</v>
      </c>
      <c r="G1574" s="37" t="inlineStr">
        <is>
          <t>Y</t>
        </is>
      </c>
      <c r="H1574" s="37" t="inlineStr">
        <is>
          <t>N</t>
        </is>
      </c>
      <c r="I1574" s="37">
        <f>COUNTIF(G$5:G1574,"Y")/COUNTA(G$5:G1574)</f>
        <v/>
      </c>
      <c r="J1574" s="37">
        <f>COUNTIF(H$5:H1574,"Y")/COUNTA(H$5:H1574)</f>
        <v/>
      </c>
      <c r="K1574" s="37">
        <f>AVERAGE(F$5:F1574)</f>
        <v/>
      </c>
      <c r="L1574" s="37">
        <f>SUM(F$5:F1574)/SUM(E$5:E1574)</f>
        <v/>
      </c>
    </row>
    <row r="1575">
      <c r="A1575" s="29" t="n">
        <v>45884</v>
      </c>
      <c r="B1575" s="37" t="inlineStr">
        <is>
          <t>JOB-2571</t>
        </is>
      </c>
      <c r="C1575" s="34" t="n">
        <v>1</v>
      </c>
      <c r="D1575" s="37" t="inlineStr">
        <is>
          <t>Tech D</t>
        </is>
      </c>
      <c r="E1575" s="35" t="n">
        <v>0.5</v>
      </c>
      <c r="F1575" s="35" t="n">
        <v>0.5</v>
      </c>
      <c r="G1575" s="37" t="inlineStr">
        <is>
          <t>Y</t>
        </is>
      </c>
      <c r="H1575" s="37" t="inlineStr">
        <is>
          <t>Y</t>
        </is>
      </c>
      <c r="I1575" s="37">
        <f>COUNTIF(G$5:G1575,"Y")/COUNTA(G$5:G1575)</f>
        <v/>
      </c>
      <c r="J1575" s="37">
        <f>COUNTIF(H$5:H1575,"Y")/COUNTA(H$5:H1575)</f>
        <v/>
      </c>
      <c r="K1575" s="37">
        <f>AVERAGE(F$5:F1575)</f>
        <v/>
      </c>
      <c r="L1575" s="37">
        <f>SUM(F$5:F1575)/SUM(E$5:E1575)</f>
        <v/>
      </c>
    </row>
    <row r="1576">
      <c r="A1576" s="29" t="n">
        <v>45880</v>
      </c>
      <c r="B1576" s="37" t="inlineStr">
        <is>
          <t>JOB-2572</t>
        </is>
      </c>
      <c r="C1576" s="34" t="n">
        <v>1</v>
      </c>
      <c r="D1576" s="37" t="inlineStr">
        <is>
          <t>Tech D</t>
        </is>
      </c>
      <c r="E1576" s="35" t="n">
        <v>0.5</v>
      </c>
      <c r="F1576" s="35" t="n">
        <v>0.5</v>
      </c>
      <c r="G1576" s="37" t="inlineStr">
        <is>
          <t>N</t>
        </is>
      </c>
      <c r="H1576" s="37" t="inlineStr">
        <is>
          <t>N</t>
        </is>
      </c>
      <c r="I1576" s="37">
        <f>COUNTIF(G$5:G1576,"Y")/COUNTA(G$5:G1576)</f>
        <v/>
      </c>
      <c r="J1576" s="37">
        <f>COUNTIF(H$5:H1576,"Y")/COUNTA(H$5:H1576)</f>
        <v/>
      </c>
      <c r="K1576" s="37">
        <f>AVERAGE(F$5:F1576)</f>
        <v/>
      </c>
      <c r="L1576" s="37">
        <f>SUM(F$5:F1576)/SUM(E$5:E1576)</f>
        <v/>
      </c>
    </row>
    <row r="1577">
      <c r="A1577" s="29" t="n">
        <v>45881</v>
      </c>
      <c r="B1577" s="37" t="inlineStr">
        <is>
          <t>JOB-2573</t>
        </is>
      </c>
      <c r="C1577" s="34" t="n">
        <v>1</v>
      </c>
      <c r="D1577" s="37" t="inlineStr">
        <is>
          <t>Tech C</t>
        </is>
      </c>
      <c r="E1577" s="35" t="n">
        <v>0.5</v>
      </c>
      <c r="F1577" s="35" t="n">
        <v>0.5</v>
      </c>
      <c r="G1577" s="37" t="inlineStr">
        <is>
          <t>Y</t>
        </is>
      </c>
      <c r="H1577" s="37" t="inlineStr">
        <is>
          <t>N</t>
        </is>
      </c>
      <c r="I1577" s="37">
        <f>COUNTIF(G$5:G1577,"Y")/COUNTA(G$5:G1577)</f>
        <v/>
      </c>
      <c r="J1577" s="37">
        <f>COUNTIF(H$5:H1577,"Y")/COUNTA(H$5:H1577)</f>
        <v/>
      </c>
      <c r="K1577" s="37">
        <f>AVERAGE(F$5:F1577)</f>
        <v/>
      </c>
      <c r="L1577" s="37">
        <f>SUM(F$5:F1577)/SUM(E$5:E1577)</f>
        <v/>
      </c>
    </row>
    <row r="1578">
      <c r="A1578" s="29" t="n">
        <v>45882</v>
      </c>
      <c r="B1578" s="37" t="inlineStr">
        <is>
          <t>JOB-2574</t>
        </is>
      </c>
      <c r="C1578" s="34" t="n">
        <v>1</v>
      </c>
      <c r="D1578" s="37" t="inlineStr">
        <is>
          <t>Tech F</t>
        </is>
      </c>
      <c r="E1578" s="35" t="n">
        <v>0.5</v>
      </c>
      <c r="F1578" s="35" t="n">
        <v>0.5</v>
      </c>
      <c r="G1578" s="37" t="inlineStr">
        <is>
          <t>Y</t>
        </is>
      </c>
      <c r="H1578" s="37" t="inlineStr">
        <is>
          <t>N</t>
        </is>
      </c>
      <c r="I1578" s="37">
        <f>COUNTIF(G$5:G1578,"Y")/COUNTA(G$5:G1578)</f>
        <v/>
      </c>
      <c r="J1578" s="37">
        <f>COUNTIF(H$5:H1578,"Y")/COUNTA(H$5:H1578)</f>
        <v/>
      </c>
      <c r="K1578" s="37">
        <f>AVERAGE(F$5:F1578)</f>
        <v/>
      </c>
      <c r="L1578" s="37">
        <f>SUM(F$5:F1578)/SUM(E$5:E1578)</f>
        <v/>
      </c>
    </row>
    <row r="1579">
      <c r="A1579" s="29" t="n">
        <v>45883</v>
      </c>
      <c r="B1579" s="37" t="inlineStr">
        <is>
          <t>JOB-2575</t>
        </is>
      </c>
      <c r="C1579" s="34" t="n">
        <v>1</v>
      </c>
      <c r="D1579" s="37" t="inlineStr">
        <is>
          <t>Tech F</t>
        </is>
      </c>
      <c r="E1579" s="35" t="n">
        <v>0.5</v>
      </c>
      <c r="F1579" s="35" t="n">
        <v>0.5</v>
      </c>
      <c r="G1579" s="37" t="inlineStr">
        <is>
          <t>Y</t>
        </is>
      </c>
      <c r="H1579" s="37" t="inlineStr">
        <is>
          <t>N</t>
        </is>
      </c>
      <c r="I1579" s="37">
        <f>COUNTIF(G$5:G1579,"Y")/COUNTA(G$5:G1579)</f>
        <v/>
      </c>
      <c r="J1579" s="37">
        <f>COUNTIF(H$5:H1579,"Y")/COUNTA(H$5:H1579)</f>
        <v/>
      </c>
      <c r="K1579" s="37">
        <f>AVERAGE(F$5:F1579)</f>
        <v/>
      </c>
      <c r="L1579" s="37">
        <f>SUM(F$5:F1579)/SUM(E$5:E1579)</f>
        <v/>
      </c>
      <c r="M1579" s="37" t="n">
        <v>10</v>
      </c>
    </row>
    <row r="1580">
      <c r="A1580" s="29" t="n">
        <v>45887</v>
      </c>
      <c r="B1580" s="37" t="inlineStr">
        <is>
          <t>JOB-2576</t>
        </is>
      </c>
      <c r="C1580" s="34" t="n">
        <v>1</v>
      </c>
      <c r="D1580" s="37" t="inlineStr">
        <is>
          <t>Tech A</t>
        </is>
      </c>
      <c r="E1580" s="35" t="n">
        <v>3.5</v>
      </c>
      <c r="F1580" s="35" t="n">
        <v>2.5</v>
      </c>
      <c r="G1580" s="37" t="inlineStr">
        <is>
          <t>Y</t>
        </is>
      </c>
      <c r="H1580" s="37" t="inlineStr">
        <is>
          <t>N</t>
        </is>
      </c>
      <c r="I1580" s="37">
        <f>COUNTIF(G$5:G1580,"Y")/COUNTA(G$5:G1580)</f>
        <v/>
      </c>
      <c r="J1580" s="37">
        <f>COUNTIF(H$5:H1580,"Y")/COUNTA(H$5:H1580)</f>
        <v/>
      </c>
      <c r="K1580" s="37">
        <f>AVERAGE(F$5:F1580)</f>
        <v/>
      </c>
      <c r="L1580" s="37">
        <f>SUM(F$5:F1580)/SUM(E$5:E1580)</f>
        <v/>
      </c>
    </row>
    <row r="1581">
      <c r="A1581" s="29" t="n">
        <v>45888</v>
      </c>
      <c r="B1581" s="37" t="inlineStr">
        <is>
          <t>JOB-2577</t>
        </is>
      </c>
      <c r="C1581" s="34" t="n">
        <v>1</v>
      </c>
      <c r="D1581" s="37" t="inlineStr">
        <is>
          <t>Tech A</t>
        </is>
      </c>
      <c r="E1581" s="35" t="n">
        <v>1.9</v>
      </c>
      <c r="F1581" s="35" t="n">
        <v>1.7</v>
      </c>
      <c r="G1581" s="37" t="inlineStr">
        <is>
          <t>Y</t>
        </is>
      </c>
      <c r="H1581" s="37" t="inlineStr">
        <is>
          <t>N</t>
        </is>
      </c>
      <c r="I1581" s="37">
        <f>COUNTIF(G$5:G1581,"Y")/COUNTA(G$5:G1581)</f>
        <v/>
      </c>
      <c r="J1581" s="37">
        <f>COUNTIF(H$5:H1581,"Y")/COUNTA(H$5:H1581)</f>
        <v/>
      </c>
      <c r="K1581" s="37">
        <f>AVERAGE(F$5:F1581)</f>
        <v/>
      </c>
      <c r="L1581" s="37">
        <f>SUM(F$5:F1581)/SUM(E$5:E1581)</f>
        <v/>
      </c>
    </row>
    <row r="1582">
      <c r="A1582" s="29" t="n">
        <v>45889</v>
      </c>
      <c r="B1582" s="37" t="inlineStr">
        <is>
          <t>JOB-2578</t>
        </is>
      </c>
      <c r="C1582" s="34" t="n">
        <v>1</v>
      </c>
      <c r="D1582" s="37" t="inlineStr">
        <is>
          <t>Tech F</t>
        </is>
      </c>
      <c r="E1582" s="35" t="n">
        <v>4.8</v>
      </c>
      <c r="F1582" s="35" t="n">
        <v>3.3</v>
      </c>
      <c r="G1582" s="37" t="inlineStr">
        <is>
          <t>Y</t>
        </is>
      </c>
      <c r="H1582" s="37" t="inlineStr">
        <is>
          <t>N</t>
        </is>
      </c>
      <c r="I1582" s="37">
        <f>COUNTIF(G$5:G1582,"Y")/COUNTA(G$5:G1582)</f>
        <v/>
      </c>
      <c r="J1582" s="37">
        <f>COUNTIF(H$5:H1582,"Y")/COUNTA(H$5:H1582)</f>
        <v/>
      </c>
      <c r="K1582" s="37">
        <f>AVERAGE(F$5:F1582)</f>
        <v/>
      </c>
      <c r="L1582" s="37">
        <f>SUM(F$5:F1582)/SUM(E$5:E1582)</f>
        <v/>
      </c>
    </row>
    <row r="1583">
      <c r="A1583" s="29" t="n">
        <v>45890</v>
      </c>
      <c r="B1583" s="37" t="inlineStr">
        <is>
          <t>JOB-2579</t>
        </is>
      </c>
      <c r="C1583" s="34" t="n">
        <v>1</v>
      </c>
      <c r="D1583" s="37" t="inlineStr">
        <is>
          <t>Tech H</t>
        </is>
      </c>
      <c r="E1583" s="35" t="n">
        <v>3.5</v>
      </c>
      <c r="F1583" s="35" t="n">
        <v>2.9</v>
      </c>
      <c r="G1583" s="37" t="inlineStr">
        <is>
          <t>Y</t>
        </is>
      </c>
      <c r="H1583" s="37" t="inlineStr">
        <is>
          <t>N</t>
        </is>
      </c>
      <c r="I1583" s="37">
        <f>COUNTIF(G$5:G1583,"Y")/COUNTA(G$5:G1583)</f>
        <v/>
      </c>
      <c r="J1583" s="37">
        <f>COUNTIF(H$5:H1583,"Y")/COUNTA(H$5:H1583)</f>
        <v/>
      </c>
      <c r="K1583" s="37">
        <f>AVERAGE(F$5:F1583)</f>
        <v/>
      </c>
      <c r="L1583" s="37">
        <f>SUM(F$5:F1583)/SUM(E$5:E1583)</f>
        <v/>
      </c>
    </row>
    <row r="1584">
      <c r="A1584" s="29" t="n">
        <v>45891</v>
      </c>
      <c r="B1584" s="37" t="inlineStr">
        <is>
          <t>JOB-2580</t>
        </is>
      </c>
      <c r="C1584" s="34" t="n">
        <v>1</v>
      </c>
      <c r="D1584" s="37" t="inlineStr">
        <is>
          <t>Tech F</t>
        </is>
      </c>
      <c r="E1584" s="35" t="n">
        <v>5.6</v>
      </c>
      <c r="F1584" s="35" t="n">
        <v>4</v>
      </c>
      <c r="G1584" s="37" t="inlineStr">
        <is>
          <t>Y</t>
        </is>
      </c>
      <c r="H1584" s="37" t="inlineStr">
        <is>
          <t>N</t>
        </is>
      </c>
      <c r="I1584" s="37">
        <f>COUNTIF(G$5:G1584,"Y")/COUNTA(G$5:G1584)</f>
        <v/>
      </c>
      <c r="J1584" s="37">
        <f>COUNTIF(H$5:H1584,"Y")/COUNTA(H$5:H1584)</f>
        <v/>
      </c>
      <c r="K1584" s="37">
        <f>AVERAGE(F$5:F1584)</f>
        <v/>
      </c>
      <c r="L1584" s="37">
        <f>SUM(F$5:F1584)/SUM(E$5:E1584)</f>
        <v/>
      </c>
    </row>
    <row r="1585">
      <c r="A1585" s="29" t="n">
        <v>45887</v>
      </c>
      <c r="B1585" s="37" t="inlineStr">
        <is>
          <t>JOB-2581</t>
        </is>
      </c>
      <c r="C1585" s="34" t="n">
        <v>1</v>
      </c>
      <c r="D1585" s="37" t="inlineStr">
        <is>
          <t>Tech H</t>
        </is>
      </c>
      <c r="E1585" s="35" t="n">
        <v>3.7</v>
      </c>
      <c r="F1585" s="35" t="n">
        <v>2.5</v>
      </c>
      <c r="G1585" s="37" t="inlineStr">
        <is>
          <t>Y</t>
        </is>
      </c>
      <c r="H1585" s="37" t="inlineStr">
        <is>
          <t>N</t>
        </is>
      </c>
      <c r="I1585" s="37">
        <f>COUNTIF(G$5:G1585,"Y")/COUNTA(G$5:G1585)</f>
        <v/>
      </c>
      <c r="J1585" s="37">
        <f>COUNTIF(H$5:H1585,"Y")/COUNTA(H$5:H1585)</f>
        <v/>
      </c>
      <c r="K1585" s="37">
        <f>AVERAGE(F$5:F1585)</f>
        <v/>
      </c>
      <c r="L1585" s="37">
        <f>SUM(F$5:F1585)/SUM(E$5:E1585)</f>
        <v/>
      </c>
    </row>
    <row r="1586">
      <c r="A1586" s="29" t="n">
        <v>45888</v>
      </c>
      <c r="B1586" s="37" t="inlineStr">
        <is>
          <t>JOB-2582</t>
        </is>
      </c>
      <c r="C1586" s="34" t="n">
        <v>1</v>
      </c>
      <c r="D1586" s="37" t="inlineStr">
        <is>
          <t>Tech B</t>
        </is>
      </c>
      <c r="E1586" s="35" t="n">
        <v>3.7</v>
      </c>
      <c r="F1586" s="35" t="n">
        <v>2.7</v>
      </c>
      <c r="G1586" s="37" t="inlineStr">
        <is>
          <t>Y</t>
        </is>
      </c>
      <c r="H1586" s="37" t="inlineStr">
        <is>
          <t>N</t>
        </is>
      </c>
      <c r="I1586" s="37">
        <f>COUNTIF(G$5:G1586,"Y")/COUNTA(G$5:G1586)</f>
        <v/>
      </c>
      <c r="J1586" s="37">
        <f>COUNTIF(H$5:H1586,"Y")/COUNTA(H$5:H1586)</f>
        <v/>
      </c>
      <c r="K1586" s="37">
        <f>AVERAGE(F$5:F1586)</f>
        <v/>
      </c>
      <c r="L1586" s="37">
        <f>SUM(F$5:F1586)/SUM(E$5:E1586)</f>
        <v/>
      </c>
    </row>
    <row r="1587">
      <c r="A1587" s="29" t="n">
        <v>45889</v>
      </c>
      <c r="B1587" s="37" t="inlineStr">
        <is>
          <t>JOB-2583</t>
        </is>
      </c>
      <c r="C1587" s="34" t="n">
        <v>1</v>
      </c>
      <c r="D1587" s="37" t="inlineStr">
        <is>
          <t>Tech A</t>
        </is>
      </c>
      <c r="E1587" s="35" t="n">
        <v>4.4</v>
      </c>
      <c r="F1587" s="35" t="n">
        <v>3.4</v>
      </c>
      <c r="G1587" s="37" t="inlineStr">
        <is>
          <t>Y</t>
        </is>
      </c>
      <c r="H1587" s="37" t="inlineStr">
        <is>
          <t>N</t>
        </is>
      </c>
      <c r="I1587" s="37">
        <f>COUNTIF(G$5:G1587,"Y")/COUNTA(G$5:G1587)</f>
        <v/>
      </c>
      <c r="J1587" s="37">
        <f>COUNTIF(H$5:H1587,"Y")/COUNTA(H$5:H1587)</f>
        <v/>
      </c>
      <c r="K1587" s="37">
        <f>AVERAGE(F$5:F1587)</f>
        <v/>
      </c>
      <c r="L1587" s="37">
        <f>SUM(F$5:F1587)/SUM(E$5:E1587)</f>
        <v/>
      </c>
    </row>
    <row r="1588">
      <c r="A1588" s="29" t="n">
        <v>45890</v>
      </c>
      <c r="B1588" s="37" t="inlineStr">
        <is>
          <t>JOB-2584</t>
        </is>
      </c>
      <c r="C1588" s="34" t="n">
        <v>1</v>
      </c>
      <c r="D1588" s="37" t="inlineStr">
        <is>
          <t>Tech D</t>
        </is>
      </c>
      <c r="E1588" s="35" t="n">
        <v>3.8</v>
      </c>
      <c r="F1588" s="35" t="n">
        <v>2.8</v>
      </c>
      <c r="G1588" s="37" t="inlineStr">
        <is>
          <t>Y</t>
        </is>
      </c>
      <c r="H1588" s="37" t="inlineStr">
        <is>
          <t>N</t>
        </is>
      </c>
      <c r="I1588" s="37">
        <f>COUNTIF(G$5:G1588,"Y")/COUNTA(G$5:G1588)</f>
        <v/>
      </c>
      <c r="J1588" s="37">
        <f>COUNTIF(H$5:H1588,"Y")/COUNTA(H$5:H1588)</f>
        <v/>
      </c>
      <c r="K1588" s="37">
        <f>AVERAGE(F$5:F1588)</f>
        <v/>
      </c>
      <c r="L1588" s="37">
        <f>SUM(F$5:F1588)/SUM(E$5:E1588)</f>
        <v/>
      </c>
    </row>
    <row r="1589">
      <c r="A1589" s="29" t="n">
        <v>45891</v>
      </c>
      <c r="B1589" s="37" t="inlineStr">
        <is>
          <t>JOB-2585</t>
        </is>
      </c>
      <c r="C1589" s="34" t="n">
        <v>1</v>
      </c>
      <c r="D1589" s="37" t="inlineStr">
        <is>
          <t>Tech B</t>
        </is>
      </c>
      <c r="E1589" s="35" t="n">
        <v>3.4</v>
      </c>
      <c r="F1589" s="35" t="n">
        <v>2.7</v>
      </c>
      <c r="G1589" s="37" t="inlineStr">
        <is>
          <t>Y</t>
        </is>
      </c>
      <c r="H1589" s="37" t="inlineStr">
        <is>
          <t>N</t>
        </is>
      </c>
      <c r="I1589" s="37">
        <f>COUNTIF(G$5:G1589,"Y")/COUNTA(G$5:G1589)</f>
        <v/>
      </c>
      <c r="J1589" s="37">
        <f>COUNTIF(H$5:H1589,"Y")/COUNTA(H$5:H1589)</f>
        <v/>
      </c>
      <c r="K1589" s="37">
        <f>AVERAGE(F$5:F1589)</f>
        <v/>
      </c>
      <c r="L1589" s="37">
        <f>SUM(F$5:F1589)/SUM(E$5:E1589)</f>
        <v/>
      </c>
    </row>
    <row r="1590">
      <c r="A1590" s="29" t="n">
        <v>45887</v>
      </c>
      <c r="B1590" s="37" t="inlineStr">
        <is>
          <t>JOB-2586</t>
        </is>
      </c>
      <c r="C1590" s="34" t="n">
        <v>1</v>
      </c>
      <c r="D1590" s="37" t="inlineStr">
        <is>
          <t>Tech C</t>
        </is>
      </c>
      <c r="E1590" s="35" t="n">
        <v>1.9</v>
      </c>
      <c r="F1590" s="35" t="n">
        <v>1.6</v>
      </c>
      <c r="G1590" s="37" t="inlineStr">
        <is>
          <t>Y</t>
        </is>
      </c>
      <c r="H1590" s="37" t="inlineStr">
        <is>
          <t>N</t>
        </is>
      </c>
      <c r="I1590" s="37">
        <f>COUNTIF(G$5:G1590,"Y")/COUNTA(G$5:G1590)</f>
        <v/>
      </c>
      <c r="J1590" s="37">
        <f>COUNTIF(H$5:H1590,"Y")/COUNTA(H$5:H1590)</f>
        <v/>
      </c>
      <c r="K1590" s="37">
        <f>AVERAGE(F$5:F1590)</f>
        <v/>
      </c>
      <c r="L1590" s="37">
        <f>SUM(F$5:F1590)/SUM(E$5:E1590)</f>
        <v/>
      </c>
    </row>
    <row r="1591">
      <c r="A1591" s="29" t="n">
        <v>45888</v>
      </c>
      <c r="B1591" s="37" t="inlineStr">
        <is>
          <t>JOB-2587</t>
        </is>
      </c>
      <c r="C1591" s="34" t="n">
        <v>1</v>
      </c>
      <c r="D1591" s="37" t="inlineStr">
        <is>
          <t>Tech H</t>
        </is>
      </c>
      <c r="E1591" s="35" t="n">
        <v>4</v>
      </c>
      <c r="F1591" s="35" t="n">
        <v>3.2</v>
      </c>
      <c r="G1591" s="37" t="inlineStr">
        <is>
          <t>Y</t>
        </is>
      </c>
      <c r="H1591" s="37" t="inlineStr">
        <is>
          <t>N</t>
        </is>
      </c>
      <c r="I1591" s="37">
        <f>COUNTIF(G$5:G1591,"Y")/COUNTA(G$5:G1591)</f>
        <v/>
      </c>
      <c r="J1591" s="37">
        <f>COUNTIF(H$5:H1591,"Y")/COUNTA(H$5:H1591)</f>
        <v/>
      </c>
      <c r="K1591" s="37">
        <f>AVERAGE(F$5:F1591)</f>
        <v/>
      </c>
      <c r="L1591" s="37">
        <f>SUM(F$5:F1591)/SUM(E$5:E1591)</f>
        <v/>
      </c>
    </row>
    <row r="1592">
      <c r="A1592" s="29" t="n">
        <v>45889</v>
      </c>
      <c r="B1592" s="37" t="inlineStr">
        <is>
          <t>JOB-2588</t>
        </is>
      </c>
      <c r="C1592" s="34" t="n">
        <v>1</v>
      </c>
      <c r="D1592" s="37" t="inlineStr">
        <is>
          <t>Tech G</t>
        </is>
      </c>
      <c r="E1592" s="35" t="n">
        <v>3.1</v>
      </c>
      <c r="F1592" s="35" t="n">
        <v>2.5</v>
      </c>
      <c r="G1592" s="37" t="inlineStr">
        <is>
          <t>Y</t>
        </is>
      </c>
      <c r="H1592" s="37" t="inlineStr">
        <is>
          <t>N</t>
        </is>
      </c>
      <c r="I1592" s="37">
        <f>COUNTIF(G$5:G1592,"Y")/COUNTA(G$5:G1592)</f>
        <v/>
      </c>
      <c r="J1592" s="37">
        <f>COUNTIF(H$5:H1592,"Y")/COUNTA(H$5:H1592)</f>
        <v/>
      </c>
      <c r="K1592" s="37">
        <f>AVERAGE(F$5:F1592)</f>
        <v/>
      </c>
      <c r="L1592" s="37">
        <f>SUM(F$5:F1592)/SUM(E$5:E1592)</f>
        <v/>
      </c>
    </row>
    <row r="1593">
      <c r="A1593" s="29" t="n">
        <v>45890</v>
      </c>
      <c r="B1593" s="37" t="inlineStr">
        <is>
          <t>JOB-2589</t>
        </is>
      </c>
      <c r="C1593" s="34" t="n">
        <v>1</v>
      </c>
      <c r="D1593" s="37" t="inlineStr">
        <is>
          <t>Tech B</t>
        </is>
      </c>
      <c r="E1593" s="35" t="n">
        <v>4.1</v>
      </c>
      <c r="F1593" s="35" t="n">
        <v>3.6</v>
      </c>
      <c r="G1593" s="37" t="inlineStr">
        <is>
          <t>Y</t>
        </is>
      </c>
      <c r="H1593" s="37" t="inlineStr">
        <is>
          <t>N</t>
        </is>
      </c>
      <c r="I1593" s="37">
        <f>COUNTIF(G$5:G1593,"Y")/COUNTA(G$5:G1593)</f>
        <v/>
      </c>
      <c r="J1593" s="37">
        <f>COUNTIF(H$5:H1593,"Y")/COUNTA(H$5:H1593)</f>
        <v/>
      </c>
      <c r="K1593" s="37">
        <f>AVERAGE(F$5:F1593)</f>
        <v/>
      </c>
      <c r="L1593" s="37">
        <f>SUM(F$5:F1593)/SUM(E$5:E1593)</f>
        <v/>
      </c>
    </row>
    <row r="1594">
      <c r="A1594" s="29" t="n">
        <v>45891</v>
      </c>
      <c r="B1594" s="37" t="inlineStr">
        <is>
          <t>JOB-2590</t>
        </is>
      </c>
      <c r="C1594" s="34" t="n">
        <v>1</v>
      </c>
      <c r="D1594" s="37" t="inlineStr">
        <is>
          <t>Tech A</t>
        </is>
      </c>
      <c r="E1594" s="35" t="n">
        <v>2.3</v>
      </c>
      <c r="F1594" s="35" t="n">
        <v>1.8</v>
      </c>
      <c r="G1594" s="37" t="inlineStr">
        <is>
          <t>Y</t>
        </is>
      </c>
      <c r="H1594" s="37" t="inlineStr">
        <is>
          <t>N</t>
        </is>
      </c>
      <c r="I1594" s="37">
        <f>COUNTIF(G$5:G1594,"Y")/COUNTA(G$5:G1594)</f>
        <v/>
      </c>
      <c r="J1594" s="37">
        <f>COUNTIF(H$5:H1594,"Y")/COUNTA(H$5:H1594)</f>
        <v/>
      </c>
      <c r="K1594" s="37">
        <f>AVERAGE(F$5:F1594)</f>
        <v/>
      </c>
      <c r="L1594" s="37">
        <f>SUM(F$5:F1594)/SUM(E$5:E1594)</f>
        <v/>
      </c>
    </row>
    <row r="1595">
      <c r="A1595" s="29" t="n">
        <v>45887</v>
      </c>
      <c r="B1595" s="37" t="inlineStr">
        <is>
          <t>JOB-2591</t>
        </is>
      </c>
      <c r="C1595" s="34" t="n">
        <v>1</v>
      </c>
      <c r="D1595" s="37" t="inlineStr">
        <is>
          <t>Tech D</t>
        </is>
      </c>
      <c r="E1595" s="35" t="n">
        <v>4.9</v>
      </c>
      <c r="F1595" s="35" t="n">
        <v>3.6</v>
      </c>
      <c r="G1595" s="37" t="inlineStr">
        <is>
          <t>Y</t>
        </is>
      </c>
      <c r="H1595" s="37" t="inlineStr">
        <is>
          <t>N</t>
        </is>
      </c>
      <c r="I1595" s="37">
        <f>COUNTIF(G$5:G1595,"Y")/COUNTA(G$5:G1595)</f>
        <v/>
      </c>
      <c r="J1595" s="37">
        <f>COUNTIF(H$5:H1595,"Y")/COUNTA(H$5:H1595)</f>
        <v/>
      </c>
      <c r="K1595" s="37">
        <f>AVERAGE(F$5:F1595)</f>
        <v/>
      </c>
      <c r="L1595" s="37">
        <f>SUM(F$5:F1595)/SUM(E$5:E1595)</f>
        <v/>
      </c>
    </row>
    <row r="1596">
      <c r="A1596" s="29" t="n">
        <v>45888</v>
      </c>
      <c r="B1596" s="37" t="inlineStr">
        <is>
          <t>JOB-2592</t>
        </is>
      </c>
      <c r="C1596" s="34" t="n">
        <v>1</v>
      </c>
      <c r="D1596" s="37" t="inlineStr">
        <is>
          <t>Tech F</t>
        </is>
      </c>
      <c r="E1596" s="35" t="n">
        <v>2.6</v>
      </c>
      <c r="F1596" s="35" t="n">
        <v>1.9</v>
      </c>
      <c r="G1596" s="37" t="inlineStr">
        <is>
          <t>N</t>
        </is>
      </c>
      <c r="H1596" s="37" t="inlineStr">
        <is>
          <t>N</t>
        </is>
      </c>
      <c r="I1596" s="37">
        <f>COUNTIF(G$5:G1596,"Y")/COUNTA(G$5:G1596)</f>
        <v/>
      </c>
      <c r="J1596" s="37">
        <f>COUNTIF(H$5:H1596,"Y")/COUNTA(H$5:H1596)</f>
        <v/>
      </c>
      <c r="K1596" s="37">
        <f>AVERAGE(F$5:F1596)</f>
        <v/>
      </c>
      <c r="L1596" s="37">
        <f>SUM(F$5:F1596)/SUM(E$5:E1596)</f>
        <v/>
      </c>
    </row>
    <row r="1597">
      <c r="A1597" s="29" t="n">
        <v>45889</v>
      </c>
      <c r="B1597" s="37" t="inlineStr">
        <is>
          <t>JOB-2593</t>
        </is>
      </c>
      <c r="C1597" s="34" t="n">
        <v>1</v>
      </c>
      <c r="D1597" s="37" t="inlineStr">
        <is>
          <t>Tech D</t>
        </is>
      </c>
      <c r="E1597" s="35" t="n">
        <v>2.8</v>
      </c>
      <c r="F1597" s="35" t="n">
        <v>2.4</v>
      </c>
      <c r="G1597" s="37" t="inlineStr">
        <is>
          <t>Y</t>
        </is>
      </c>
      <c r="H1597" s="37" t="inlineStr">
        <is>
          <t>N</t>
        </is>
      </c>
      <c r="I1597" s="37">
        <f>COUNTIF(G$5:G1597,"Y")/COUNTA(G$5:G1597)</f>
        <v/>
      </c>
      <c r="J1597" s="37">
        <f>COUNTIF(H$5:H1597,"Y")/COUNTA(H$5:H1597)</f>
        <v/>
      </c>
      <c r="K1597" s="37">
        <f>AVERAGE(F$5:F1597)</f>
        <v/>
      </c>
      <c r="L1597" s="37">
        <f>SUM(F$5:F1597)/SUM(E$5:E1597)</f>
        <v/>
      </c>
    </row>
    <row r="1598">
      <c r="A1598" s="29" t="n">
        <v>45890</v>
      </c>
      <c r="B1598" s="37" t="inlineStr">
        <is>
          <t>JOB-2594</t>
        </is>
      </c>
      <c r="C1598" s="34" t="n">
        <v>1</v>
      </c>
      <c r="D1598" s="37" t="inlineStr">
        <is>
          <t>Tech F</t>
        </is>
      </c>
      <c r="E1598" s="35" t="n">
        <v>2.1</v>
      </c>
      <c r="F1598" s="35" t="n">
        <v>1.7</v>
      </c>
      <c r="G1598" s="37" t="inlineStr">
        <is>
          <t>Y</t>
        </is>
      </c>
      <c r="H1598" s="37" t="inlineStr">
        <is>
          <t>N</t>
        </is>
      </c>
      <c r="I1598" s="37">
        <f>COUNTIF(G$5:G1598,"Y")/COUNTA(G$5:G1598)</f>
        <v/>
      </c>
      <c r="J1598" s="37">
        <f>COUNTIF(H$5:H1598,"Y")/COUNTA(H$5:H1598)</f>
        <v/>
      </c>
      <c r="K1598" s="37">
        <f>AVERAGE(F$5:F1598)</f>
        <v/>
      </c>
      <c r="L1598" s="37">
        <f>SUM(F$5:F1598)/SUM(E$5:E1598)</f>
        <v/>
      </c>
    </row>
    <row r="1599">
      <c r="A1599" s="29" t="n">
        <v>45891</v>
      </c>
      <c r="B1599" s="37" t="inlineStr">
        <is>
          <t>JOB-2595</t>
        </is>
      </c>
      <c r="C1599" s="34" t="n">
        <v>1</v>
      </c>
      <c r="D1599" s="37" t="inlineStr">
        <is>
          <t>Tech C</t>
        </is>
      </c>
      <c r="E1599" s="35" t="n">
        <v>4.7</v>
      </c>
      <c r="F1599" s="35" t="n">
        <v>3.6</v>
      </c>
      <c r="G1599" s="37" t="inlineStr">
        <is>
          <t>Y</t>
        </is>
      </c>
      <c r="H1599" s="37" t="inlineStr">
        <is>
          <t>N</t>
        </is>
      </c>
      <c r="I1599" s="37">
        <f>COUNTIF(G$5:G1599,"Y")/COUNTA(G$5:G1599)</f>
        <v/>
      </c>
      <c r="J1599" s="37">
        <f>COUNTIF(H$5:H1599,"Y")/COUNTA(H$5:H1599)</f>
        <v/>
      </c>
      <c r="K1599" s="37">
        <f>AVERAGE(F$5:F1599)</f>
        <v/>
      </c>
      <c r="L1599" s="37">
        <f>SUM(F$5:F1599)/SUM(E$5:E1599)</f>
        <v/>
      </c>
    </row>
    <row r="1600">
      <c r="A1600" s="29" t="n">
        <v>45887</v>
      </c>
      <c r="B1600" s="37" t="inlineStr">
        <is>
          <t>JOB-2596</t>
        </is>
      </c>
      <c r="C1600" s="34" t="n">
        <v>1</v>
      </c>
      <c r="D1600" s="37" t="inlineStr">
        <is>
          <t>Tech B</t>
        </is>
      </c>
      <c r="E1600" s="35" t="n">
        <v>3.6</v>
      </c>
      <c r="F1600" s="35" t="n">
        <v>2.8</v>
      </c>
      <c r="G1600" s="37" t="inlineStr">
        <is>
          <t>Y</t>
        </is>
      </c>
      <c r="H1600" s="37" t="inlineStr">
        <is>
          <t>N</t>
        </is>
      </c>
      <c r="I1600" s="37">
        <f>COUNTIF(G$5:G1600,"Y")/COUNTA(G$5:G1600)</f>
        <v/>
      </c>
      <c r="J1600" s="37">
        <f>COUNTIF(H$5:H1600,"Y")/COUNTA(H$5:H1600)</f>
        <v/>
      </c>
      <c r="K1600" s="37">
        <f>AVERAGE(F$5:F1600)</f>
        <v/>
      </c>
      <c r="L1600" s="37">
        <f>SUM(F$5:F1600)/SUM(E$5:E1600)</f>
        <v/>
      </c>
    </row>
    <row r="1601">
      <c r="A1601" s="29" t="n">
        <v>45888</v>
      </c>
      <c r="B1601" s="37" t="inlineStr">
        <is>
          <t>JOB-2597</t>
        </is>
      </c>
      <c r="C1601" s="34" t="n">
        <v>1</v>
      </c>
      <c r="D1601" s="37" t="inlineStr">
        <is>
          <t>Tech A</t>
        </is>
      </c>
      <c r="E1601" s="35" t="n">
        <v>3.5</v>
      </c>
      <c r="F1601" s="35" t="n">
        <v>3.1</v>
      </c>
      <c r="G1601" s="37" t="inlineStr">
        <is>
          <t>Y</t>
        </is>
      </c>
      <c r="H1601" s="37" t="inlineStr">
        <is>
          <t>N</t>
        </is>
      </c>
      <c r="I1601" s="37">
        <f>COUNTIF(G$5:G1601,"Y")/COUNTA(G$5:G1601)</f>
        <v/>
      </c>
      <c r="J1601" s="37">
        <f>COUNTIF(H$5:H1601,"Y")/COUNTA(H$5:H1601)</f>
        <v/>
      </c>
      <c r="K1601" s="37">
        <f>AVERAGE(F$5:F1601)</f>
        <v/>
      </c>
      <c r="L1601" s="37">
        <f>SUM(F$5:F1601)/SUM(E$5:E1601)</f>
        <v/>
      </c>
    </row>
    <row r="1602">
      <c r="A1602" s="29" t="n">
        <v>45889</v>
      </c>
      <c r="B1602" s="37" t="inlineStr">
        <is>
          <t>JOB-2598</t>
        </is>
      </c>
      <c r="C1602" s="34" t="n">
        <v>1</v>
      </c>
      <c r="D1602" s="37" t="inlineStr">
        <is>
          <t>Tech C</t>
        </is>
      </c>
      <c r="E1602" s="35" t="n">
        <v>1.9</v>
      </c>
      <c r="F1602" s="35" t="n">
        <v>1.6</v>
      </c>
      <c r="G1602" s="37" t="inlineStr">
        <is>
          <t>Y</t>
        </is>
      </c>
      <c r="H1602" s="37" t="inlineStr">
        <is>
          <t>N</t>
        </is>
      </c>
      <c r="I1602" s="37">
        <f>COUNTIF(G$5:G1602,"Y")/COUNTA(G$5:G1602)</f>
        <v/>
      </c>
      <c r="J1602" s="37">
        <f>COUNTIF(H$5:H1602,"Y")/COUNTA(H$5:H1602)</f>
        <v/>
      </c>
      <c r="K1602" s="37">
        <f>AVERAGE(F$5:F1602)</f>
        <v/>
      </c>
      <c r="L1602" s="37">
        <f>SUM(F$5:F1602)/SUM(E$5:E1602)</f>
        <v/>
      </c>
    </row>
    <row r="1603">
      <c r="A1603" s="29" t="n">
        <v>45890</v>
      </c>
      <c r="B1603" s="37" t="inlineStr">
        <is>
          <t>JOB-2599</t>
        </is>
      </c>
      <c r="C1603" s="34" t="n">
        <v>1</v>
      </c>
      <c r="D1603" s="37" t="inlineStr">
        <is>
          <t>Tech B</t>
        </is>
      </c>
      <c r="E1603" s="35" t="n">
        <v>2.7</v>
      </c>
      <c r="F1603" s="35" t="n">
        <v>1.9</v>
      </c>
      <c r="G1603" s="37" t="inlineStr">
        <is>
          <t>Y</t>
        </is>
      </c>
      <c r="H1603" s="37" t="inlineStr">
        <is>
          <t>N</t>
        </is>
      </c>
      <c r="I1603" s="37">
        <f>COUNTIF(G$5:G1603,"Y")/COUNTA(G$5:G1603)</f>
        <v/>
      </c>
      <c r="J1603" s="37">
        <f>COUNTIF(H$5:H1603,"Y")/COUNTA(H$5:H1603)</f>
        <v/>
      </c>
      <c r="K1603" s="37">
        <f>AVERAGE(F$5:F1603)</f>
        <v/>
      </c>
      <c r="L1603" s="37">
        <f>SUM(F$5:F1603)/SUM(E$5:E1603)</f>
        <v/>
      </c>
    </row>
    <row r="1604">
      <c r="A1604" s="29" t="n">
        <v>45891</v>
      </c>
      <c r="B1604" s="37" t="inlineStr">
        <is>
          <t>JOB-2600</t>
        </is>
      </c>
      <c r="C1604" s="34" t="n">
        <v>1</v>
      </c>
      <c r="D1604" s="37" t="inlineStr">
        <is>
          <t>Tech F</t>
        </is>
      </c>
      <c r="E1604" s="35" t="n">
        <v>3.7</v>
      </c>
      <c r="F1604" s="35" t="n">
        <v>3.1</v>
      </c>
      <c r="G1604" s="37" t="inlineStr">
        <is>
          <t>Y</t>
        </is>
      </c>
      <c r="H1604" s="37" t="inlineStr">
        <is>
          <t>N</t>
        </is>
      </c>
      <c r="I1604" s="37">
        <f>COUNTIF(G$5:G1604,"Y")/COUNTA(G$5:G1604)</f>
        <v/>
      </c>
      <c r="J1604" s="37">
        <f>COUNTIF(H$5:H1604,"Y")/COUNTA(H$5:H1604)</f>
        <v/>
      </c>
      <c r="K1604" s="37">
        <f>AVERAGE(F$5:F1604)</f>
        <v/>
      </c>
      <c r="L1604" s="37">
        <f>SUM(F$5:F1604)/SUM(E$5:E1604)</f>
        <v/>
      </c>
    </row>
    <row r="1605">
      <c r="A1605" s="29" t="n">
        <v>45887</v>
      </c>
      <c r="B1605" s="37" t="inlineStr">
        <is>
          <t>JOB-2601</t>
        </is>
      </c>
      <c r="C1605" s="34" t="n">
        <v>1</v>
      </c>
      <c r="D1605" s="37" t="inlineStr">
        <is>
          <t>Tech A</t>
        </is>
      </c>
      <c r="E1605" s="35" t="n">
        <v>5.5</v>
      </c>
      <c r="F1605" s="35" t="n">
        <v>3.7</v>
      </c>
      <c r="G1605" s="37" t="inlineStr">
        <is>
          <t>Y</t>
        </is>
      </c>
      <c r="H1605" s="37" t="inlineStr">
        <is>
          <t>N</t>
        </is>
      </c>
      <c r="I1605" s="37">
        <f>COUNTIF(G$5:G1605,"Y")/COUNTA(G$5:G1605)</f>
        <v/>
      </c>
      <c r="J1605" s="37">
        <f>COUNTIF(H$5:H1605,"Y")/COUNTA(H$5:H1605)</f>
        <v/>
      </c>
      <c r="K1605" s="37">
        <f>AVERAGE(F$5:F1605)</f>
        <v/>
      </c>
      <c r="L1605" s="37">
        <f>SUM(F$5:F1605)/SUM(E$5:E1605)</f>
        <v/>
      </c>
    </row>
    <row r="1606">
      <c r="A1606" s="29" t="n">
        <v>45888</v>
      </c>
      <c r="B1606" s="37" t="inlineStr">
        <is>
          <t>JOB-2602</t>
        </is>
      </c>
      <c r="C1606" s="34" t="n">
        <v>1</v>
      </c>
      <c r="D1606" s="37" t="inlineStr">
        <is>
          <t>Tech A</t>
        </is>
      </c>
      <c r="E1606" s="35" t="n">
        <v>2.9</v>
      </c>
      <c r="F1606" s="35" t="n">
        <v>2.6</v>
      </c>
      <c r="G1606" s="37" t="inlineStr">
        <is>
          <t>Y</t>
        </is>
      </c>
      <c r="H1606" s="37" t="inlineStr">
        <is>
          <t>N</t>
        </is>
      </c>
      <c r="I1606" s="37">
        <f>COUNTIF(G$5:G1606,"Y")/COUNTA(G$5:G1606)</f>
        <v/>
      </c>
      <c r="J1606" s="37">
        <f>COUNTIF(H$5:H1606,"Y")/COUNTA(H$5:H1606)</f>
        <v/>
      </c>
      <c r="K1606" s="37">
        <f>AVERAGE(F$5:F1606)</f>
        <v/>
      </c>
      <c r="L1606" s="37">
        <f>SUM(F$5:F1606)/SUM(E$5:E1606)</f>
        <v/>
      </c>
    </row>
    <row r="1607">
      <c r="A1607" s="29" t="n">
        <v>45889</v>
      </c>
      <c r="B1607" s="37" t="inlineStr">
        <is>
          <t>JOB-2603</t>
        </is>
      </c>
      <c r="C1607" s="34" t="n">
        <v>1</v>
      </c>
      <c r="D1607" s="37" t="inlineStr">
        <is>
          <t>Tech H</t>
        </is>
      </c>
      <c r="E1607" s="35" t="n">
        <v>4.3</v>
      </c>
      <c r="F1607" s="35" t="n">
        <v>3.7</v>
      </c>
      <c r="G1607" s="37" t="inlineStr">
        <is>
          <t>Y</t>
        </is>
      </c>
      <c r="H1607" s="37" t="inlineStr">
        <is>
          <t>N</t>
        </is>
      </c>
      <c r="I1607" s="37">
        <f>COUNTIF(G$5:G1607,"Y")/COUNTA(G$5:G1607)</f>
        <v/>
      </c>
      <c r="J1607" s="37">
        <f>COUNTIF(H$5:H1607,"Y")/COUNTA(H$5:H1607)</f>
        <v/>
      </c>
      <c r="K1607" s="37">
        <f>AVERAGE(F$5:F1607)</f>
        <v/>
      </c>
      <c r="L1607" s="37">
        <f>SUM(F$5:F1607)/SUM(E$5:E1607)</f>
        <v/>
      </c>
    </row>
    <row r="1608">
      <c r="A1608" s="29" t="n">
        <v>45890</v>
      </c>
      <c r="B1608" s="37" t="inlineStr">
        <is>
          <t>JOB-2604</t>
        </is>
      </c>
      <c r="C1608" s="34" t="n">
        <v>1</v>
      </c>
      <c r="D1608" s="37" t="inlineStr">
        <is>
          <t>Tech F</t>
        </is>
      </c>
      <c r="E1608" s="35" t="n">
        <v>4.2</v>
      </c>
      <c r="F1608" s="35" t="n">
        <v>2.9</v>
      </c>
      <c r="G1608" s="37" t="inlineStr">
        <is>
          <t>Y</t>
        </is>
      </c>
      <c r="H1608" s="37" t="inlineStr">
        <is>
          <t>N</t>
        </is>
      </c>
      <c r="I1608" s="37">
        <f>COUNTIF(G$5:G1608,"Y")/COUNTA(G$5:G1608)</f>
        <v/>
      </c>
      <c r="J1608" s="37">
        <f>COUNTIF(H$5:H1608,"Y")/COUNTA(H$5:H1608)</f>
        <v/>
      </c>
      <c r="K1608" s="37">
        <f>AVERAGE(F$5:F1608)</f>
        <v/>
      </c>
      <c r="L1608" s="37">
        <f>SUM(F$5:F1608)/SUM(E$5:E1608)</f>
        <v/>
      </c>
    </row>
    <row r="1609">
      <c r="A1609" s="29" t="n">
        <v>45891</v>
      </c>
      <c r="B1609" s="37" t="inlineStr">
        <is>
          <t>JOB-2605</t>
        </is>
      </c>
      <c r="C1609" s="34" t="n">
        <v>1</v>
      </c>
      <c r="D1609" s="37" t="inlineStr">
        <is>
          <t>Tech D</t>
        </is>
      </c>
      <c r="E1609" s="35" t="n">
        <v>4.9</v>
      </c>
      <c r="F1609" s="35" t="n">
        <v>3.8</v>
      </c>
      <c r="G1609" s="37" t="inlineStr">
        <is>
          <t>Y</t>
        </is>
      </c>
      <c r="H1609" s="37" t="inlineStr">
        <is>
          <t>N</t>
        </is>
      </c>
      <c r="I1609" s="37">
        <f>COUNTIF(G$5:G1609,"Y")/COUNTA(G$5:G1609)</f>
        <v/>
      </c>
      <c r="J1609" s="37">
        <f>COUNTIF(H$5:H1609,"Y")/COUNTA(H$5:H1609)</f>
        <v/>
      </c>
      <c r="K1609" s="37">
        <f>AVERAGE(F$5:F1609)</f>
        <v/>
      </c>
      <c r="L1609" s="37">
        <f>SUM(F$5:F1609)/SUM(E$5:E1609)</f>
        <v/>
      </c>
    </row>
    <row r="1610">
      <c r="A1610" s="29" t="n">
        <v>45887</v>
      </c>
      <c r="B1610" s="37" t="inlineStr">
        <is>
          <t>JOB-2606</t>
        </is>
      </c>
      <c r="C1610" s="34" t="n">
        <v>1</v>
      </c>
      <c r="D1610" s="37" t="inlineStr">
        <is>
          <t>Tech G</t>
        </is>
      </c>
      <c r="E1610" s="35" t="n">
        <v>3</v>
      </c>
      <c r="F1610" s="35" t="n">
        <v>2.2</v>
      </c>
      <c r="G1610" s="37" t="inlineStr">
        <is>
          <t>Y</t>
        </is>
      </c>
      <c r="H1610" s="37" t="inlineStr">
        <is>
          <t>N</t>
        </is>
      </c>
      <c r="I1610" s="37">
        <f>COUNTIF(G$5:G1610,"Y")/COUNTA(G$5:G1610)</f>
        <v/>
      </c>
      <c r="J1610" s="37">
        <f>COUNTIF(H$5:H1610,"Y")/COUNTA(H$5:H1610)</f>
        <v/>
      </c>
      <c r="K1610" s="37">
        <f>AVERAGE(F$5:F1610)</f>
        <v/>
      </c>
      <c r="L1610" s="37">
        <f>SUM(F$5:F1610)/SUM(E$5:E1610)</f>
        <v/>
      </c>
    </row>
    <row r="1611">
      <c r="A1611" s="29" t="n">
        <v>45888</v>
      </c>
      <c r="B1611" s="37" t="inlineStr">
        <is>
          <t>JOB-2607</t>
        </is>
      </c>
      <c r="C1611" s="34" t="n">
        <v>1</v>
      </c>
      <c r="D1611" s="37" t="inlineStr">
        <is>
          <t>Tech D</t>
        </is>
      </c>
      <c r="E1611" s="35" t="n">
        <v>2.1</v>
      </c>
      <c r="F1611" s="35" t="n">
        <v>1.4</v>
      </c>
      <c r="G1611" s="37" t="inlineStr">
        <is>
          <t>N</t>
        </is>
      </c>
      <c r="H1611" s="37" t="inlineStr">
        <is>
          <t>N</t>
        </is>
      </c>
      <c r="I1611" s="37">
        <f>COUNTIF(G$5:G1611,"Y")/COUNTA(G$5:G1611)</f>
        <v/>
      </c>
      <c r="J1611" s="37">
        <f>COUNTIF(H$5:H1611,"Y")/COUNTA(H$5:H1611)</f>
        <v/>
      </c>
      <c r="K1611" s="37">
        <f>AVERAGE(F$5:F1611)</f>
        <v/>
      </c>
      <c r="L1611" s="37">
        <f>SUM(F$5:F1611)/SUM(E$5:E1611)</f>
        <v/>
      </c>
    </row>
    <row r="1612">
      <c r="A1612" s="29" t="n">
        <v>45889</v>
      </c>
      <c r="B1612" s="37" t="inlineStr">
        <is>
          <t>JOB-2608</t>
        </is>
      </c>
      <c r="C1612" s="34" t="n">
        <v>1</v>
      </c>
      <c r="D1612" s="37" t="inlineStr">
        <is>
          <t>Tech G</t>
        </is>
      </c>
      <c r="E1612" s="35" t="n">
        <v>3.9</v>
      </c>
      <c r="F1612" s="35" t="n">
        <v>3.3</v>
      </c>
      <c r="G1612" s="37" t="inlineStr">
        <is>
          <t>Y</t>
        </is>
      </c>
      <c r="H1612" s="37" t="inlineStr">
        <is>
          <t>N</t>
        </is>
      </c>
      <c r="I1612" s="37">
        <f>COUNTIF(G$5:G1612,"Y")/COUNTA(G$5:G1612)</f>
        <v/>
      </c>
      <c r="J1612" s="37">
        <f>COUNTIF(H$5:H1612,"Y")/COUNTA(H$5:H1612)</f>
        <v/>
      </c>
      <c r="K1612" s="37">
        <f>AVERAGE(F$5:F1612)</f>
        <v/>
      </c>
      <c r="L1612" s="37">
        <f>SUM(F$5:F1612)/SUM(E$5:E1612)</f>
        <v/>
      </c>
    </row>
    <row r="1613">
      <c r="A1613" s="29" t="n">
        <v>45890</v>
      </c>
      <c r="B1613" s="37" t="inlineStr">
        <is>
          <t>JOB-2609</t>
        </is>
      </c>
      <c r="C1613" s="34" t="n">
        <v>1</v>
      </c>
      <c r="D1613" s="37" t="inlineStr">
        <is>
          <t>Tech H</t>
        </is>
      </c>
      <c r="E1613" s="35" t="n">
        <v>2.1</v>
      </c>
      <c r="F1613" s="35" t="n">
        <v>1.5</v>
      </c>
      <c r="G1613" s="37" t="inlineStr">
        <is>
          <t>N</t>
        </is>
      </c>
      <c r="H1613" s="37" t="inlineStr">
        <is>
          <t>N</t>
        </is>
      </c>
      <c r="I1613" s="37">
        <f>COUNTIF(G$5:G1613,"Y")/COUNTA(G$5:G1613)</f>
        <v/>
      </c>
      <c r="J1613" s="37">
        <f>COUNTIF(H$5:H1613,"Y")/COUNTA(H$5:H1613)</f>
        <v/>
      </c>
      <c r="K1613" s="37">
        <f>AVERAGE(F$5:F1613)</f>
        <v/>
      </c>
      <c r="L1613" s="37">
        <f>SUM(F$5:F1613)/SUM(E$5:E1613)</f>
        <v/>
      </c>
    </row>
    <row r="1614">
      <c r="A1614" s="29" t="n">
        <v>45891</v>
      </c>
      <c r="B1614" s="37" t="inlineStr">
        <is>
          <t>JOB-2610</t>
        </is>
      </c>
      <c r="C1614" s="34" t="n">
        <v>1</v>
      </c>
      <c r="D1614" s="37" t="inlineStr">
        <is>
          <t>Tech D</t>
        </is>
      </c>
      <c r="E1614" s="35" t="n">
        <v>5.2</v>
      </c>
      <c r="F1614" s="35" t="n">
        <v>3.9</v>
      </c>
      <c r="G1614" s="37" t="inlineStr">
        <is>
          <t>Y</t>
        </is>
      </c>
      <c r="H1614" s="37" t="inlineStr">
        <is>
          <t>N</t>
        </is>
      </c>
      <c r="I1614" s="37">
        <f>COUNTIF(G$5:G1614,"Y")/COUNTA(G$5:G1614)</f>
        <v/>
      </c>
      <c r="J1614" s="37">
        <f>COUNTIF(H$5:H1614,"Y")/COUNTA(H$5:H1614)</f>
        <v/>
      </c>
      <c r="K1614" s="37">
        <f>AVERAGE(F$5:F1614)</f>
        <v/>
      </c>
      <c r="L1614" s="37">
        <f>SUM(F$5:F1614)/SUM(E$5:E1614)</f>
        <v/>
      </c>
    </row>
    <row r="1615">
      <c r="A1615" s="29" t="n">
        <v>45887</v>
      </c>
      <c r="B1615" s="37" t="inlineStr">
        <is>
          <t>JOB-2611</t>
        </is>
      </c>
      <c r="C1615" s="34" t="n">
        <v>1</v>
      </c>
      <c r="D1615" s="37" t="inlineStr">
        <is>
          <t>Tech A</t>
        </is>
      </c>
      <c r="E1615" s="35" t="n">
        <v>5.4</v>
      </c>
      <c r="F1615" s="35" t="n">
        <v>3.6</v>
      </c>
      <c r="G1615" s="37" t="inlineStr">
        <is>
          <t>Y</t>
        </is>
      </c>
      <c r="H1615" s="37" t="inlineStr">
        <is>
          <t>N</t>
        </is>
      </c>
      <c r="I1615" s="37">
        <f>COUNTIF(G$5:G1615,"Y")/COUNTA(G$5:G1615)</f>
        <v/>
      </c>
      <c r="J1615" s="37">
        <f>COUNTIF(H$5:H1615,"Y")/COUNTA(H$5:H1615)</f>
        <v/>
      </c>
      <c r="K1615" s="37">
        <f>AVERAGE(F$5:F1615)</f>
        <v/>
      </c>
      <c r="L1615" s="37">
        <f>SUM(F$5:F1615)/SUM(E$5:E1615)</f>
        <v/>
      </c>
    </row>
    <row r="1616">
      <c r="A1616" s="29" t="n">
        <v>45888</v>
      </c>
      <c r="B1616" s="37" t="inlineStr">
        <is>
          <t>JOB-2612</t>
        </is>
      </c>
      <c r="C1616" s="34" t="n">
        <v>1</v>
      </c>
      <c r="D1616" s="37" t="inlineStr">
        <is>
          <t>Tech B</t>
        </is>
      </c>
      <c r="E1616" s="35" t="n">
        <v>4.7</v>
      </c>
      <c r="F1616" s="35" t="n">
        <v>3.9</v>
      </c>
      <c r="G1616" s="37" t="inlineStr">
        <is>
          <t>N</t>
        </is>
      </c>
      <c r="H1616" s="37" t="inlineStr">
        <is>
          <t>N</t>
        </is>
      </c>
      <c r="I1616" s="37">
        <f>COUNTIF(G$5:G1616,"Y")/COUNTA(G$5:G1616)</f>
        <v/>
      </c>
      <c r="J1616" s="37">
        <f>COUNTIF(H$5:H1616,"Y")/COUNTA(H$5:H1616)</f>
        <v/>
      </c>
      <c r="K1616" s="37">
        <f>AVERAGE(F$5:F1616)</f>
        <v/>
      </c>
      <c r="L1616" s="37">
        <f>SUM(F$5:F1616)/SUM(E$5:E1616)</f>
        <v/>
      </c>
    </row>
    <row r="1617">
      <c r="A1617" s="29" t="n">
        <v>45889</v>
      </c>
      <c r="B1617" s="37" t="inlineStr">
        <is>
          <t>JOB-2613</t>
        </is>
      </c>
      <c r="C1617" s="34" t="n">
        <v>1</v>
      </c>
      <c r="D1617" s="37" t="inlineStr">
        <is>
          <t>Tech H</t>
        </is>
      </c>
      <c r="E1617" s="35" t="n">
        <v>4.6</v>
      </c>
      <c r="F1617" s="35" t="n">
        <v>3.8</v>
      </c>
      <c r="G1617" s="37" t="inlineStr">
        <is>
          <t>N</t>
        </is>
      </c>
      <c r="H1617" s="37" t="inlineStr">
        <is>
          <t>Y</t>
        </is>
      </c>
      <c r="I1617" s="37">
        <f>COUNTIF(G$5:G1617,"Y")/COUNTA(G$5:G1617)</f>
        <v/>
      </c>
      <c r="J1617" s="37">
        <f>COUNTIF(H$5:H1617,"Y")/COUNTA(H$5:H1617)</f>
        <v/>
      </c>
      <c r="K1617" s="37">
        <f>AVERAGE(F$5:F1617)</f>
        <v/>
      </c>
      <c r="L1617" s="37">
        <f>SUM(F$5:F1617)/SUM(E$5:E1617)</f>
        <v/>
      </c>
    </row>
    <row r="1618">
      <c r="A1618" s="29" t="n">
        <v>45890</v>
      </c>
      <c r="B1618" s="37" t="inlineStr">
        <is>
          <t>JOB-2614</t>
        </is>
      </c>
      <c r="C1618" s="34" t="n">
        <v>1</v>
      </c>
      <c r="D1618" s="37" t="inlineStr">
        <is>
          <t>Tech B</t>
        </is>
      </c>
      <c r="E1618" s="35" t="n">
        <v>2.2</v>
      </c>
      <c r="F1618" s="35" t="n">
        <v>1.5</v>
      </c>
      <c r="G1618" s="37" t="inlineStr">
        <is>
          <t>Y</t>
        </is>
      </c>
      <c r="H1618" s="37" t="inlineStr">
        <is>
          <t>N</t>
        </is>
      </c>
      <c r="I1618" s="37">
        <f>COUNTIF(G$5:G1618,"Y")/COUNTA(G$5:G1618)</f>
        <v/>
      </c>
      <c r="J1618" s="37">
        <f>COUNTIF(H$5:H1618,"Y")/COUNTA(H$5:H1618)</f>
        <v/>
      </c>
      <c r="K1618" s="37">
        <f>AVERAGE(F$5:F1618)</f>
        <v/>
      </c>
      <c r="L1618" s="37">
        <f>SUM(F$5:F1618)/SUM(E$5:E1618)</f>
        <v/>
      </c>
    </row>
    <row r="1619">
      <c r="A1619" s="29" t="n">
        <v>45891</v>
      </c>
      <c r="B1619" s="37" t="inlineStr">
        <is>
          <t>JOB-2615</t>
        </is>
      </c>
      <c r="C1619" s="34" t="n">
        <v>1</v>
      </c>
      <c r="D1619" s="37" t="inlineStr">
        <is>
          <t>Tech B</t>
        </is>
      </c>
      <c r="E1619" s="35" t="n">
        <v>2.8</v>
      </c>
      <c r="F1619" s="35" t="n">
        <v>2.1</v>
      </c>
      <c r="G1619" s="37" t="inlineStr">
        <is>
          <t>Y</t>
        </is>
      </c>
      <c r="H1619" s="37" t="inlineStr">
        <is>
          <t>N</t>
        </is>
      </c>
      <c r="I1619" s="37">
        <f>COUNTIF(G$5:G1619,"Y")/COUNTA(G$5:G1619)</f>
        <v/>
      </c>
      <c r="J1619" s="37">
        <f>COUNTIF(H$5:H1619,"Y")/COUNTA(H$5:H1619)</f>
        <v/>
      </c>
      <c r="K1619" s="37">
        <f>AVERAGE(F$5:F1619)</f>
        <v/>
      </c>
      <c r="L1619" s="37">
        <f>SUM(F$5:F1619)/SUM(E$5:E1619)</f>
        <v/>
      </c>
    </row>
    <row r="1620">
      <c r="A1620" s="29" t="n">
        <v>45887</v>
      </c>
      <c r="B1620" s="37" t="inlineStr">
        <is>
          <t>JOB-2616</t>
        </is>
      </c>
      <c r="C1620" s="34" t="n">
        <v>1</v>
      </c>
      <c r="D1620" s="37" t="inlineStr">
        <is>
          <t>Tech G</t>
        </is>
      </c>
      <c r="E1620" s="35" t="n">
        <v>2.1</v>
      </c>
      <c r="F1620" s="35" t="n">
        <v>1.5</v>
      </c>
      <c r="G1620" s="37" t="inlineStr">
        <is>
          <t>Y</t>
        </is>
      </c>
      <c r="H1620" s="37" t="inlineStr">
        <is>
          <t>N</t>
        </is>
      </c>
      <c r="I1620" s="37">
        <f>COUNTIF(G$5:G1620,"Y")/COUNTA(G$5:G1620)</f>
        <v/>
      </c>
      <c r="J1620" s="37">
        <f>COUNTIF(H$5:H1620,"Y")/COUNTA(H$5:H1620)</f>
        <v/>
      </c>
      <c r="K1620" s="37">
        <f>AVERAGE(F$5:F1620)</f>
        <v/>
      </c>
      <c r="L1620" s="37">
        <f>SUM(F$5:F1620)/SUM(E$5:E1620)</f>
        <v/>
      </c>
    </row>
    <row r="1621">
      <c r="A1621" s="29" t="n">
        <v>45888</v>
      </c>
      <c r="B1621" s="37" t="inlineStr">
        <is>
          <t>JOB-2617</t>
        </is>
      </c>
      <c r="C1621" s="34" t="n">
        <v>1</v>
      </c>
      <c r="D1621" s="37" t="inlineStr">
        <is>
          <t>Tech G</t>
        </is>
      </c>
      <c r="E1621" s="35" t="n">
        <v>0.6</v>
      </c>
      <c r="F1621" s="35" t="n">
        <v>0.5</v>
      </c>
      <c r="G1621" s="37" t="inlineStr">
        <is>
          <t>Y</t>
        </is>
      </c>
      <c r="H1621" s="37" t="inlineStr">
        <is>
          <t>N</t>
        </is>
      </c>
      <c r="I1621" s="37">
        <f>COUNTIF(G$5:G1621,"Y")/COUNTA(G$5:G1621)</f>
        <v/>
      </c>
      <c r="J1621" s="37">
        <f>COUNTIF(H$5:H1621,"Y")/COUNTA(H$5:H1621)</f>
        <v/>
      </c>
      <c r="K1621" s="37">
        <f>AVERAGE(F$5:F1621)</f>
        <v/>
      </c>
      <c r="L1621" s="37">
        <f>SUM(F$5:F1621)/SUM(E$5:E1621)</f>
        <v/>
      </c>
    </row>
    <row r="1622">
      <c r="A1622" s="29" t="n">
        <v>45889</v>
      </c>
      <c r="B1622" s="37" t="inlineStr">
        <is>
          <t>JOB-2618</t>
        </is>
      </c>
      <c r="C1622" s="34" t="n">
        <v>1</v>
      </c>
      <c r="D1622" s="37" t="inlineStr">
        <is>
          <t>Tech G</t>
        </is>
      </c>
      <c r="E1622" s="35" t="n">
        <v>0.6</v>
      </c>
      <c r="F1622" s="35" t="n">
        <v>0.5</v>
      </c>
      <c r="G1622" s="37" t="inlineStr">
        <is>
          <t>Y</t>
        </is>
      </c>
      <c r="H1622" s="37" t="inlineStr">
        <is>
          <t>N</t>
        </is>
      </c>
      <c r="I1622" s="37">
        <f>COUNTIF(G$5:G1622,"Y")/COUNTA(G$5:G1622)</f>
        <v/>
      </c>
      <c r="J1622" s="37">
        <f>COUNTIF(H$5:H1622,"Y")/COUNTA(H$5:H1622)</f>
        <v/>
      </c>
      <c r="K1622" s="37">
        <f>AVERAGE(F$5:F1622)</f>
        <v/>
      </c>
      <c r="L1622" s="37">
        <f>SUM(F$5:F1622)/SUM(E$5:E1622)</f>
        <v/>
      </c>
    </row>
    <row r="1623">
      <c r="A1623" s="29" t="n">
        <v>45890</v>
      </c>
      <c r="B1623" s="37" t="inlineStr">
        <is>
          <t>JOB-2619</t>
        </is>
      </c>
      <c r="C1623" s="34" t="n">
        <v>1</v>
      </c>
      <c r="D1623" s="37" t="inlineStr">
        <is>
          <t>Tech C</t>
        </is>
      </c>
      <c r="E1623" s="35" t="n">
        <v>0.6</v>
      </c>
      <c r="F1623" s="35" t="n">
        <v>0.5</v>
      </c>
      <c r="G1623" s="37" t="inlineStr">
        <is>
          <t>Y</t>
        </is>
      </c>
      <c r="H1623" s="37" t="inlineStr">
        <is>
          <t>Y</t>
        </is>
      </c>
      <c r="I1623" s="37">
        <f>COUNTIF(G$5:G1623,"Y")/COUNTA(G$5:G1623)</f>
        <v/>
      </c>
      <c r="J1623" s="37">
        <f>COUNTIF(H$5:H1623,"Y")/COUNTA(H$5:H1623)</f>
        <v/>
      </c>
      <c r="K1623" s="37">
        <f>AVERAGE(F$5:F1623)</f>
        <v/>
      </c>
      <c r="L1623" s="37">
        <f>SUM(F$5:F1623)/SUM(E$5:E1623)</f>
        <v/>
      </c>
    </row>
    <row r="1624">
      <c r="A1624" s="29" t="n">
        <v>45891</v>
      </c>
      <c r="B1624" s="37" t="inlineStr">
        <is>
          <t>JOB-2620</t>
        </is>
      </c>
      <c r="C1624" s="34" t="n">
        <v>1</v>
      </c>
      <c r="D1624" s="37" t="inlineStr">
        <is>
          <t>Tech C</t>
        </is>
      </c>
      <c r="E1624" s="35" t="n">
        <v>0.7</v>
      </c>
      <c r="F1624" s="35" t="n">
        <v>0.5</v>
      </c>
      <c r="G1624" s="37" t="inlineStr">
        <is>
          <t>Y</t>
        </is>
      </c>
      <c r="H1624" s="37" t="inlineStr">
        <is>
          <t>N</t>
        </is>
      </c>
      <c r="I1624" s="37">
        <f>COUNTIF(G$5:G1624,"Y")/COUNTA(G$5:G1624)</f>
        <v/>
      </c>
      <c r="J1624" s="37">
        <f>COUNTIF(H$5:H1624,"Y")/COUNTA(H$5:H1624)</f>
        <v/>
      </c>
      <c r="K1624" s="37">
        <f>AVERAGE(F$5:F1624)</f>
        <v/>
      </c>
      <c r="L1624" s="37">
        <f>SUM(F$5:F1624)/SUM(E$5:E1624)</f>
        <v/>
      </c>
    </row>
    <row r="1625">
      <c r="A1625" s="29" t="n">
        <v>45887</v>
      </c>
      <c r="B1625" s="37" t="inlineStr">
        <is>
          <t>JOB-2621</t>
        </is>
      </c>
      <c r="C1625" s="34" t="n">
        <v>1</v>
      </c>
      <c r="D1625" s="37" t="inlineStr">
        <is>
          <t>Tech H</t>
        </is>
      </c>
      <c r="E1625" s="35" t="n">
        <v>0.6</v>
      </c>
      <c r="F1625" s="35" t="n">
        <v>0.5</v>
      </c>
      <c r="G1625" s="37" t="inlineStr">
        <is>
          <t>Y</t>
        </is>
      </c>
      <c r="H1625" s="37" t="inlineStr">
        <is>
          <t>N</t>
        </is>
      </c>
      <c r="I1625" s="37">
        <f>COUNTIF(G$5:G1625,"Y")/COUNTA(G$5:G1625)</f>
        <v/>
      </c>
      <c r="J1625" s="37">
        <f>COUNTIF(H$5:H1625,"Y")/COUNTA(H$5:H1625)</f>
        <v/>
      </c>
      <c r="K1625" s="37">
        <f>AVERAGE(F$5:F1625)</f>
        <v/>
      </c>
      <c r="L1625" s="37">
        <f>SUM(F$5:F1625)/SUM(E$5:E1625)</f>
        <v/>
      </c>
    </row>
    <row r="1626">
      <c r="A1626" s="29" t="n">
        <v>45888</v>
      </c>
      <c r="B1626" s="37" t="inlineStr">
        <is>
          <t>JOB-2622</t>
        </is>
      </c>
      <c r="C1626" s="34" t="n">
        <v>1</v>
      </c>
      <c r="D1626" s="37" t="inlineStr">
        <is>
          <t>Tech D</t>
        </is>
      </c>
      <c r="E1626" s="35" t="n">
        <v>0.6</v>
      </c>
      <c r="F1626" s="35" t="n">
        <v>0.5</v>
      </c>
      <c r="G1626" s="37" t="inlineStr">
        <is>
          <t>Y</t>
        </is>
      </c>
      <c r="H1626" s="37" t="inlineStr">
        <is>
          <t>N</t>
        </is>
      </c>
      <c r="I1626" s="37">
        <f>COUNTIF(G$5:G1626,"Y")/COUNTA(G$5:G1626)</f>
        <v/>
      </c>
      <c r="J1626" s="37">
        <f>COUNTIF(H$5:H1626,"Y")/COUNTA(H$5:H1626)</f>
        <v/>
      </c>
      <c r="K1626" s="37">
        <f>AVERAGE(F$5:F1626)</f>
        <v/>
      </c>
      <c r="L1626" s="37">
        <f>SUM(F$5:F1626)/SUM(E$5:E1626)</f>
        <v/>
      </c>
    </row>
    <row r="1627">
      <c r="A1627" s="29" t="n">
        <v>45889</v>
      </c>
      <c r="B1627" s="37" t="inlineStr">
        <is>
          <t>JOB-2623</t>
        </is>
      </c>
      <c r="C1627" s="34" t="n">
        <v>1</v>
      </c>
      <c r="D1627" s="37" t="inlineStr">
        <is>
          <t>Tech D</t>
        </is>
      </c>
      <c r="E1627" s="35" t="n">
        <v>0.7</v>
      </c>
      <c r="F1627" s="35" t="n">
        <v>0.5</v>
      </c>
      <c r="G1627" s="37" t="inlineStr">
        <is>
          <t>Y</t>
        </is>
      </c>
      <c r="H1627" s="37" t="inlineStr">
        <is>
          <t>N</t>
        </is>
      </c>
      <c r="I1627" s="37">
        <f>COUNTIF(G$5:G1627,"Y")/COUNTA(G$5:G1627)</f>
        <v/>
      </c>
      <c r="J1627" s="37">
        <f>COUNTIF(H$5:H1627,"Y")/COUNTA(H$5:H1627)</f>
        <v/>
      </c>
      <c r="K1627" s="37">
        <f>AVERAGE(F$5:F1627)</f>
        <v/>
      </c>
      <c r="L1627" s="37">
        <f>SUM(F$5:F1627)/SUM(E$5:E1627)</f>
        <v/>
      </c>
    </row>
    <row r="1628">
      <c r="A1628" s="29" t="n">
        <v>45890</v>
      </c>
      <c r="B1628" s="37" t="inlineStr">
        <is>
          <t>JOB-2624</t>
        </is>
      </c>
      <c r="C1628" s="34" t="n">
        <v>1</v>
      </c>
      <c r="D1628" s="37" t="inlineStr">
        <is>
          <t>Tech B</t>
        </is>
      </c>
      <c r="E1628" s="35" t="n">
        <v>0.7</v>
      </c>
      <c r="F1628" s="35" t="n">
        <v>0.5</v>
      </c>
      <c r="G1628" s="37" t="inlineStr">
        <is>
          <t>Y</t>
        </is>
      </c>
      <c r="H1628" s="37" t="inlineStr">
        <is>
          <t>N</t>
        </is>
      </c>
      <c r="I1628" s="37">
        <f>COUNTIF(G$5:G1628,"Y")/COUNTA(G$5:G1628)</f>
        <v/>
      </c>
      <c r="J1628" s="37">
        <f>COUNTIF(H$5:H1628,"Y")/COUNTA(H$5:H1628)</f>
        <v/>
      </c>
      <c r="K1628" s="37">
        <f>AVERAGE(F$5:F1628)</f>
        <v/>
      </c>
      <c r="L1628" s="37">
        <f>SUM(F$5:F1628)/SUM(E$5:E1628)</f>
        <v/>
      </c>
    </row>
    <row r="1629">
      <c r="A1629" s="29" t="n">
        <v>45891</v>
      </c>
      <c r="B1629" s="37" t="inlineStr">
        <is>
          <t>JOB-2625</t>
        </is>
      </c>
      <c r="C1629" s="34" t="n">
        <v>1</v>
      </c>
      <c r="D1629" s="37" t="inlineStr">
        <is>
          <t>Tech D</t>
        </is>
      </c>
      <c r="E1629" s="35" t="n">
        <v>0.6</v>
      </c>
      <c r="F1629" s="35" t="n">
        <v>0.5</v>
      </c>
      <c r="G1629" s="37" t="inlineStr">
        <is>
          <t>Y</t>
        </is>
      </c>
      <c r="H1629" s="37" t="inlineStr">
        <is>
          <t>N</t>
        </is>
      </c>
      <c r="I1629" s="37">
        <f>COUNTIF(G$5:G1629,"Y")/COUNTA(G$5:G1629)</f>
        <v/>
      </c>
      <c r="J1629" s="37">
        <f>COUNTIF(H$5:H1629,"Y")/COUNTA(H$5:H1629)</f>
        <v/>
      </c>
      <c r="K1629" s="37">
        <f>AVERAGE(F$5:F1629)</f>
        <v/>
      </c>
      <c r="L1629" s="37">
        <f>SUM(F$5:F1629)/SUM(E$5:E1629)</f>
        <v/>
      </c>
    </row>
    <row r="1630">
      <c r="A1630" s="29" t="n">
        <v>45887</v>
      </c>
      <c r="B1630" s="37" t="inlineStr">
        <is>
          <t>JOB-2626</t>
        </is>
      </c>
      <c r="C1630" s="34" t="n">
        <v>1</v>
      </c>
      <c r="D1630" s="37" t="inlineStr">
        <is>
          <t>Tech G</t>
        </is>
      </c>
      <c r="E1630" s="35" t="n">
        <v>2.3</v>
      </c>
      <c r="F1630" s="35" t="n">
        <v>0.5</v>
      </c>
      <c r="G1630" s="37" t="inlineStr">
        <is>
          <t>Y</t>
        </is>
      </c>
      <c r="H1630" s="37" t="inlineStr">
        <is>
          <t>N</t>
        </is>
      </c>
      <c r="I1630" s="37">
        <f>COUNTIF(G$5:G1630,"Y")/COUNTA(G$5:G1630)</f>
        <v/>
      </c>
      <c r="J1630" s="37">
        <f>COUNTIF(H$5:H1630,"Y")/COUNTA(H$5:H1630)</f>
        <v/>
      </c>
      <c r="K1630" s="37">
        <f>AVERAGE(F$5:F1630)</f>
        <v/>
      </c>
      <c r="L1630" s="37">
        <f>SUM(F$5:F1630)/SUM(E$5:E1630)</f>
        <v/>
      </c>
      <c r="M1630" s="37" t="n">
        <v>8</v>
      </c>
    </row>
    <row r="1631">
      <c r="A1631" s="29" t="n">
        <v>45894</v>
      </c>
      <c r="B1631" s="37" t="inlineStr">
        <is>
          <t>JOB-2627</t>
        </is>
      </c>
      <c r="C1631" s="34" t="n">
        <v>1</v>
      </c>
      <c r="D1631" s="37" t="inlineStr">
        <is>
          <t>Tech D</t>
        </is>
      </c>
      <c r="E1631" s="35" t="n">
        <v>2</v>
      </c>
      <c r="F1631" s="35" t="n">
        <v>1.7</v>
      </c>
      <c r="G1631" s="37" t="inlineStr">
        <is>
          <t>Y</t>
        </is>
      </c>
      <c r="H1631" s="37" t="inlineStr">
        <is>
          <t>N</t>
        </is>
      </c>
      <c r="I1631" s="37">
        <f>COUNTIF(G$5:G1631,"Y")/COUNTA(G$5:G1631)</f>
        <v/>
      </c>
      <c r="J1631" s="37">
        <f>COUNTIF(H$5:H1631,"Y")/COUNTA(H$5:H1631)</f>
        <v/>
      </c>
      <c r="K1631" s="37">
        <f>AVERAGE(F$5:F1631)</f>
        <v/>
      </c>
      <c r="L1631" s="37">
        <f>SUM(F$5:F1631)/SUM(E$5:E1631)</f>
        <v/>
      </c>
    </row>
    <row r="1632">
      <c r="A1632" s="29" t="n">
        <v>45895</v>
      </c>
      <c r="B1632" s="37" t="inlineStr">
        <is>
          <t>JOB-2628</t>
        </is>
      </c>
      <c r="C1632" s="34" t="n">
        <v>1</v>
      </c>
      <c r="D1632" s="37" t="inlineStr">
        <is>
          <t>Tech G</t>
        </is>
      </c>
      <c r="E1632" s="35" t="n">
        <v>4.9</v>
      </c>
      <c r="F1632" s="35" t="n">
        <v>3.5</v>
      </c>
      <c r="G1632" s="37" t="inlineStr">
        <is>
          <t>Y</t>
        </is>
      </c>
      <c r="H1632" s="37" t="inlineStr">
        <is>
          <t>N</t>
        </is>
      </c>
      <c r="I1632" s="37">
        <f>COUNTIF(G$5:G1632,"Y")/COUNTA(G$5:G1632)</f>
        <v/>
      </c>
      <c r="J1632" s="37">
        <f>COUNTIF(H$5:H1632,"Y")/COUNTA(H$5:H1632)</f>
        <v/>
      </c>
      <c r="K1632" s="37">
        <f>AVERAGE(F$5:F1632)</f>
        <v/>
      </c>
      <c r="L1632" s="37">
        <f>SUM(F$5:F1632)/SUM(E$5:E1632)</f>
        <v/>
      </c>
    </row>
    <row r="1633">
      <c r="A1633" s="29" t="n">
        <v>45896</v>
      </c>
      <c r="B1633" s="37" t="inlineStr">
        <is>
          <t>JOB-2629</t>
        </is>
      </c>
      <c r="C1633" s="34" t="n">
        <v>1</v>
      </c>
      <c r="D1633" s="37" t="inlineStr">
        <is>
          <t>Tech D</t>
        </is>
      </c>
      <c r="E1633" s="35" t="n">
        <v>1.9</v>
      </c>
      <c r="F1633" s="35" t="n">
        <v>1.6</v>
      </c>
      <c r="G1633" s="37" t="inlineStr">
        <is>
          <t>Y</t>
        </is>
      </c>
      <c r="H1633" s="37" t="inlineStr">
        <is>
          <t>N</t>
        </is>
      </c>
      <c r="I1633" s="37">
        <f>COUNTIF(G$5:G1633,"Y")/COUNTA(G$5:G1633)</f>
        <v/>
      </c>
      <c r="J1633" s="37">
        <f>COUNTIF(H$5:H1633,"Y")/COUNTA(H$5:H1633)</f>
        <v/>
      </c>
      <c r="K1633" s="37">
        <f>AVERAGE(F$5:F1633)</f>
        <v/>
      </c>
      <c r="L1633" s="37">
        <f>SUM(F$5:F1633)/SUM(E$5:E1633)</f>
        <v/>
      </c>
    </row>
    <row r="1634">
      <c r="A1634" s="29" t="n">
        <v>45897</v>
      </c>
      <c r="B1634" s="37" t="inlineStr">
        <is>
          <t>JOB-2630</t>
        </is>
      </c>
      <c r="C1634" s="34" t="n">
        <v>1</v>
      </c>
      <c r="D1634" s="37" t="inlineStr">
        <is>
          <t>Tech H</t>
        </is>
      </c>
      <c r="E1634" s="35" t="n">
        <v>3.8</v>
      </c>
      <c r="F1634" s="35" t="n">
        <v>3.4</v>
      </c>
      <c r="G1634" s="37" t="inlineStr">
        <is>
          <t>Y</t>
        </is>
      </c>
      <c r="H1634" s="37" t="inlineStr">
        <is>
          <t>N</t>
        </is>
      </c>
      <c r="I1634" s="37">
        <f>COUNTIF(G$5:G1634,"Y")/COUNTA(G$5:G1634)</f>
        <v/>
      </c>
      <c r="J1634" s="37">
        <f>COUNTIF(H$5:H1634,"Y")/COUNTA(H$5:H1634)</f>
        <v/>
      </c>
      <c r="K1634" s="37">
        <f>AVERAGE(F$5:F1634)</f>
        <v/>
      </c>
      <c r="L1634" s="37">
        <f>SUM(F$5:F1634)/SUM(E$5:E1634)</f>
        <v/>
      </c>
    </row>
    <row r="1635">
      <c r="A1635" s="29" t="n">
        <v>45898</v>
      </c>
      <c r="B1635" s="37" t="inlineStr">
        <is>
          <t>JOB-2631</t>
        </is>
      </c>
      <c r="C1635" s="34" t="n">
        <v>1</v>
      </c>
      <c r="D1635" s="37" t="inlineStr">
        <is>
          <t>Tech G</t>
        </is>
      </c>
      <c r="E1635" s="35" t="n">
        <v>4.7</v>
      </c>
      <c r="F1635" s="35" t="n">
        <v>3.9</v>
      </c>
      <c r="G1635" s="37" t="inlineStr">
        <is>
          <t>Y</t>
        </is>
      </c>
      <c r="H1635" s="37" t="inlineStr">
        <is>
          <t>N</t>
        </is>
      </c>
      <c r="I1635" s="37">
        <f>COUNTIF(G$5:G1635,"Y")/COUNTA(G$5:G1635)</f>
        <v/>
      </c>
      <c r="J1635" s="37">
        <f>COUNTIF(H$5:H1635,"Y")/COUNTA(H$5:H1635)</f>
        <v/>
      </c>
      <c r="K1635" s="37">
        <f>AVERAGE(F$5:F1635)</f>
        <v/>
      </c>
      <c r="L1635" s="37">
        <f>SUM(F$5:F1635)/SUM(E$5:E1635)</f>
        <v/>
      </c>
    </row>
    <row r="1636">
      <c r="A1636" s="29" t="n">
        <v>45894</v>
      </c>
      <c r="B1636" s="37" t="inlineStr">
        <is>
          <t>JOB-2632</t>
        </is>
      </c>
      <c r="C1636" s="34" t="n">
        <v>1</v>
      </c>
      <c r="D1636" s="37" t="inlineStr">
        <is>
          <t>Tech C</t>
        </is>
      </c>
      <c r="E1636" s="35" t="n">
        <v>2.9</v>
      </c>
      <c r="F1636" s="35" t="n">
        <v>2.4</v>
      </c>
      <c r="G1636" s="37" t="inlineStr">
        <is>
          <t>Y</t>
        </is>
      </c>
      <c r="H1636" s="37" t="inlineStr">
        <is>
          <t>N</t>
        </is>
      </c>
      <c r="I1636" s="37">
        <f>COUNTIF(G$5:G1636,"Y")/COUNTA(G$5:G1636)</f>
        <v/>
      </c>
      <c r="J1636" s="37">
        <f>COUNTIF(H$5:H1636,"Y")/COUNTA(H$5:H1636)</f>
        <v/>
      </c>
      <c r="K1636" s="37">
        <f>AVERAGE(F$5:F1636)</f>
        <v/>
      </c>
      <c r="L1636" s="37">
        <f>SUM(F$5:F1636)/SUM(E$5:E1636)</f>
        <v/>
      </c>
    </row>
    <row r="1637">
      <c r="A1637" s="29" t="n">
        <v>45895</v>
      </c>
      <c r="B1637" s="37" t="inlineStr">
        <is>
          <t>JOB-2633</t>
        </is>
      </c>
      <c r="C1637" s="34" t="n">
        <v>1</v>
      </c>
      <c r="D1637" s="37" t="inlineStr">
        <is>
          <t>Tech H</t>
        </is>
      </c>
      <c r="E1637" s="35" t="n">
        <v>3.8</v>
      </c>
      <c r="F1637" s="35" t="n">
        <v>2.8</v>
      </c>
      <c r="G1637" s="37" t="inlineStr">
        <is>
          <t>N</t>
        </is>
      </c>
      <c r="H1637" s="37" t="inlineStr">
        <is>
          <t>N</t>
        </is>
      </c>
      <c r="I1637" s="37">
        <f>COUNTIF(G$5:G1637,"Y")/COUNTA(G$5:G1637)</f>
        <v/>
      </c>
      <c r="J1637" s="37">
        <f>COUNTIF(H$5:H1637,"Y")/COUNTA(H$5:H1637)</f>
        <v/>
      </c>
      <c r="K1637" s="37">
        <f>AVERAGE(F$5:F1637)</f>
        <v/>
      </c>
      <c r="L1637" s="37">
        <f>SUM(F$5:F1637)/SUM(E$5:E1637)</f>
        <v/>
      </c>
    </row>
    <row r="1638">
      <c r="A1638" s="29" t="n">
        <v>45896</v>
      </c>
      <c r="B1638" s="37" t="inlineStr">
        <is>
          <t>JOB-2634</t>
        </is>
      </c>
      <c r="C1638" s="34" t="n">
        <v>1</v>
      </c>
      <c r="D1638" s="37" t="inlineStr">
        <is>
          <t>Tech F</t>
        </is>
      </c>
      <c r="E1638" s="35" t="n">
        <v>1.7</v>
      </c>
      <c r="F1638" s="35" t="n">
        <v>1.3</v>
      </c>
      <c r="G1638" s="37" t="inlineStr">
        <is>
          <t>Y</t>
        </is>
      </c>
      <c r="H1638" s="37" t="inlineStr">
        <is>
          <t>N</t>
        </is>
      </c>
      <c r="I1638" s="37">
        <f>COUNTIF(G$5:G1638,"Y")/COUNTA(G$5:G1638)</f>
        <v/>
      </c>
      <c r="J1638" s="37">
        <f>COUNTIF(H$5:H1638,"Y")/COUNTA(H$5:H1638)</f>
        <v/>
      </c>
      <c r="K1638" s="37">
        <f>AVERAGE(F$5:F1638)</f>
        <v/>
      </c>
      <c r="L1638" s="37">
        <f>SUM(F$5:F1638)/SUM(E$5:E1638)</f>
        <v/>
      </c>
    </row>
    <row r="1639">
      <c r="A1639" s="29" t="n">
        <v>45897</v>
      </c>
      <c r="B1639" s="37" t="inlineStr">
        <is>
          <t>JOB-2635</t>
        </is>
      </c>
      <c r="C1639" s="34" t="n">
        <v>1</v>
      </c>
      <c r="D1639" s="37" t="inlineStr">
        <is>
          <t>Tech B</t>
        </is>
      </c>
      <c r="E1639" s="35" t="n">
        <v>5.4</v>
      </c>
      <c r="F1639" s="35" t="n">
        <v>3.6</v>
      </c>
      <c r="G1639" s="37" t="inlineStr">
        <is>
          <t>N</t>
        </is>
      </c>
      <c r="H1639" s="37" t="inlineStr">
        <is>
          <t>N</t>
        </is>
      </c>
      <c r="I1639" s="37">
        <f>COUNTIF(G$5:G1639,"Y")/COUNTA(G$5:G1639)</f>
        <v/>
      </c>
      <c r="J1639" s="37">
        <f>COUNTIF(H$5:H1639,"Y")/COUNTA(H$5:H1639)</f>
        <v/>
      </c>
      <c r="K1639" s="37">
        <f>AVERAGE(F$5:F1639)</f>
        <v/>
      </c>
      <c r="L1639" s="37">
        <f>SUM(F$5:F1639)/SUM(E$5:E1639)</f>
        <v/>
      </c>
    </row>
    <row r="1640">
      <c r="A1640" s="29" t="n">
        <v>45898</v>
      </c>
      <c r="B1640" s="37" t="inlineStr">
        <is>
          <t>JOB-2636</t>
        </is>
      </c>
      <c r="C1640" s="34" t="n">
        <v>1</v>
      </c>
      <c r="D1640" s="37" t="inlineStr">
        <is>
          <t>Tech C</t>
        </is>
      </c>
      <c r="E1640" s="35" t="n">
        <v>2.6</v>
      </c>
      <c r="F1640" s="35" t="n">
        <v>2.2</v>
      </c>
      <c r="G1640" s="37" t="inlineStr">
        <is>
          <t>Y</t>
        </is>
      </c>
      <c r="H1640" s="37" t="inlineStr">
        <is>
          <t>N</t>
        </is>
      </c>
      <c r="I1640" s="37">
        <f>COUNTIF(G$5:G1640,"Y")/COUNTA(G$5:G1640)</f>
        <v/>
      </c>
      <c r="J1640" s="37">
        <f>COUNTIF(H$5:H1640,"Y")/COUNTA(H$5:H1640)</f>
        <v/>
      </c>
      <c r="K1640" s="37">
        <f>AVERAGE(F$5:F1640)</f>
        <v/>
      </c>
      <c r="L1640" s="37">
        <f>SUM(F$5:F1640)/SUM(E$5:E1640)</f>
        <v/>
      </c>
    </row>
    <row r="1641">
      <c r="A1641" s="29" t="n">
        <v>45894</v>
      </c>
      <c r="B1641" s="37" t="inlineStr">
        <is>
          <t>JOB-2637</t>
        </is>
      </c>
      <c r="C1641" s="34" t="n">
        <v>1</v>
      </c>
      <c r="D1641" s="37" t="inlineStr">
        <is>
          <t>Tech H</t>
        </is>
      </c>
      <c r="E1641" s="35" t="n">
        <v>2.8</v>
      </c>
      <c r="F1641" s="35" t="n">
        <v>2.2</v>
      </c>
      <c r="G1641" s="37" t="inlineStr">
        <is>
          <t>Y</t>
        </is>
      </c>
      <c r="H1641" s="37" t="inlineStr">
        <is>
          <t>N</t>
        </is>
      </c>
      <c r="I1641" s="37">
        <f>COUNTIF(G$5:G1641,"Y")/COUNTA(G$5:G1641)</f>
        <v/>
      </c>
      <c r="J1641" s="37">
        <f>COUNTIF(H$5:H1641,"Y")/COUNTA(H$5:H1641)</f>
        <v/>
      </c>
      <c r="K1641" s="37">
        <f>AVERAGE(F$5:F1641)</f>
        <v/>
      </c>
      <c r="L1641" s="37">
        <f>SUM(F$5:F1641)/SUM(E$5:E1641)</f>
        <v/>
      </c>
    </row>
    <row r="1642">
      <c r="A1642" s="29" t="n">
        <v>45895</v>
      </c>
      <c r="B1642" s="37" t="inlineStr">
        <is>
          <t>JOB-2638</t>
        </is>
      </c>
      <c r="C1642" s="34" t="n">
        <v>1</v>
      </c>
      <c r="D1642" s="37" t="inlineStr">
        <is>
          <t>Tech A</t>
        </is>
      </c>
      <c r="E1642" s="35" t="n">
        <v>3.2</v>
      </c>
      <c r="F1642" s="35" t="n">
        <v>2.8</v>
      </c>
      <c r="G1642" s="37" t="inlineStr">
        <is>
          <t>Y</t>
        </is>
      </c>
      <c r="H1642" s="37" t="inlineStr">
        <is>
          <t>N</t>
        </is>
      </c>
      <c r="I1642" s="37">
        <f>COUNTIF(G$5:G1642,"Y")/COUNTA(G$5:G1642)</f>
        <v/>
      </c>
      <c r="J1642" s="37">
        <f>COUNTIF(H$5:H1642,"Y")/COUNTA(H$5:H1642)</f>
        <v/>
      </c>
      <c r="K1642" s="37">
        <f>AVERAGE(F$5:F1642)</f>
        <v/>
      </c>
      <c r="L1642" s="37">
        <f>SUM(F$5:F1642)/SUM(E$5:E1642)</f>
        <v/>
      </c>
    </row>
    <row r="1643">
      <c r="A1643" s="29" t="n">
        <v>45896</v>
      </c>
      <c r="B1643" s="37" t="inlineStr">
        <is>
          <t>JOB-2639</t>
        </is>
      </c>
      <c r="C1643" s="34" t="n">
        <v>1</v>
      </c>
      <c r="D1643" s="37" t="inlineStr">
        <is>
          <t>Tech G</t>
        </is>
      </c>
      <c r="E1643" s="35" t="n">
        <v>3.1</v>
      </c>
      <c r="F1643" s="35" t="n">
        <v>2.7</v>
      </c>
      <c r="G1643" s="37" t="inlineStr">
        <is>
          <t>N</t>
        </is>
      </c>
      <c r="H1643" s="37" t="inlineStr">
        <is>
          <t>N</t>
        </is>
      </c>
      <c r="I1643" s="37">
        <f>COUNTIF(G$5:G1643,"Y")/COUNTA(G$5:G1643)</f>
        <v/>
      </c>
      <c r="J1643" s="37">
        <f>COUNTIF(H$5:H1643,"Y")/COUNTA(H$5:H1643)</f>
        <v/>
      </c>
      <c r="K1643" s="37">
        <f>AVERAGE(F$5:F1643)</f>
        <v/>
      </c>
      <c r="L1643" s="37">
        <f>SUM(F$5:F1643)/SUM(E$5:E1643)</f>
        <v/>
      </c>
    </row>
    <row r="1644">
      <c r="A1644" s="29" t="n">
        <v>45897</v>
      </c>
      <c r="B1644" s="37" t="inlineStr">
        <is>
          <t>JOB-2640</t>
        </is>
      </c>
      <c r="C1644" s="34" t="n">
        <v>1</v>
      </c>
      <c r="D1644" s="37" t="inlineStr">
        <is>
          <t>Tech C</t>
        </is>
      </c>
      <c r="E1644" s="35" t="n">
        <v>4.9</v>
      </c>
      <c r="F1644" s="35" t="n">
        <v>3.8</v>
      </c>
      <c r="G1644" s="37" t="inlineStr">
        <is>
          <t>Y</t>
        </is>
      </c>
      <c r="H1644" s="37" t="inlineStr">
        <is>
          <t>N</t>
        </is>
      </c>
      <c r="I1644" s="37">
        <f>COUNTIF(G$5:G1644,"Y")/COUNTA(G$5:G1644)</f>
        <v/>
      </c>
      <c r="J1644" s="37">
        <f>COUNTIF(H$5:H1644,"Y")/COUNTA(H$5:H1644)</f>
        <v/>
      </c>
      <c r="K1644" s="37">
        <f>AVERAGE(F$5:F1644)</f>
        <v/>
      </c>
      <c r="L1644" s="37">
        <f>SUM(F$5:F1644)/SUM(E$5:E1644)</f>
        <v/>
      </c>
    </row>
    <row r="1645">
      <c r="A1645" s="29" t="n">
        <v>45898</v>
      </c>
      <c r="B1645" s="37" t="inlineStr">
        <is>
          <t>JOB-2641</t>
        </is>
      </c>
      <c r="C1645" s="34" t="n">
        <v>1</v>
      </c>
      <c r="D1645" s="37" t="inlineStr">
        <is>
          <t>Tech F</t>
        </is>
      </c>
      <c r="E1645" s="35" t="n">
        <v>2.8</v>
      </c>
      <c r="F1645" s="35" t="n">
        <v>2.1</v>
      </c>
      <c r="G1645" s="37" t="inlineStr">
        <is>
          <t>Y</t>
        </is>
      </c>
      <c r="H1645" s="37" t="inlineStr">
        <is>
          <t>N</t>
        </is>
      </c>
      <c r="I1645" s="37">
        <f>COUNTIF(G$5:G1645,"Y")/COUNTA(G$5:G1645)</f>
        <v/>
      </c>
      <c r="J1645" s="37">
        <f>COUNTIF(H$5:H1645,"Y")/COUNTA(H$5:H1645)</f>
        <v/>
      </c>
      <c r="K1645" s="37">
        <f>AVERAGE(F$5:F1645)</f>
        <v/>
      </c>
      <c r="L1645" s="37">
        <f>SUM(F$5:F1645)/SUM(E$5:E1645)</f>
        <v/>
      </c>
    </row>
    <row r="1646">
      <c r="A1646" s="29" t="n">
        <v>45894</v>
      </c>
      <c r="B1646" s="37" t="inlineStr">
        <is>
          <t>JOB-2642</t>
        </is>
      </c>
      <c r="C1646" s="34" t="n">
        <v>1</v>
      </c>
      <c r="D1646" s="37" t="inlineStr">
        <is>
          <t>Tech B</t>
        </is>
      </c>
      <c r="E1646" s="35" t="n">
        <v>4.3</v>
      </c>
      <c r="F1646" s="35" t="n">
        <v>3</v>
      </c>
      <c r="G1646" s="37" t="inlineStr">
        <is>
          <t>Y</t>
        </is>
      </c>
      <c r="H1646" s="37" t="inlineStr">
        <is>
          <t>N</t>
        </is>
      </c>
      <c r="I1646" s="37">
        <f>COUNTIF(G$5:G1646,"Y")/COUNTA(G$5:G1646)</f>
        <v/>
      </c>
      <c r="J1646" s="37">
        <f>COUNTIF(H$5:H1646,"Y")/COUNTA(H$5:H1646)</f>
        <v/>
      </c>
      <c r="K1646" s="37">
        <f>AVERAGE(F$5:F1646)</f>
        <v/>
      </c>
      <c r="L1646" s="37">
        <f>SUM(F$5:F1646)/SUM(E$5:E1646)</f>
        <v/>
      </c>
    </row>
    <row r="1647">
      <c r="A1647" s="29" t="n">
        <v>45895</v>
      </c>
      <c r="B1647" s="37" t="inlineStr">
        <is>
          <t>JOB-2643</t>
        </is>
      </c>
      <c r="C1647" s="34" t="n">
        <v>1</v>
      </c>
      <c r="D1647" s="37" t="inlineStr">
        <is>
          <t>Tech D</t>
        </is>
      </c>
      <c r="E1647" s="35" t="n">
        <v>4.4</v>
      </c>
      <c r="F1647" s="35" t="n">
        <v>3.1</v>
      </c>
      <c r="G1647" s="37" t="inlineStr">
        <is>
          <t>Y</t>
        </is>
      </c>
      <c r="H1647" s="37" t="inlineStr">
        <is>
          <t>N</t>
        </is>
      </c>
      <c r="I1647" s="37">
        <f>COUNTIF(G$5:G1647,"Y")/COUNTA(G$5:G1647)</f>
        <v/>
      </c>
      <c r="J1647" s="37">
        <f>COUNTIF(H$5:H1647,"Y")/COUNTA(H$5:H1647)</f>
        <v/>
      </c>
      <c r="K1647" s="37">
        <f>AVERAGE(F$5:F1647)</f>
        <v/>
      </c>
      <c r="L1647" s="37">
        <f>SUM(F$5:F1647)/SUM(E$5:E1647)</f>
        <v/>
      </c>
    </row>
    <row r="1648">
      <c r="A1648" s="29" t="n">
        <v>45896</v>
      </c>
      <c r="B1648" s="37" t="inlineStr">
        <is>
          <t>JOB-2644</t>
        </is>
      </c>
      <c r="C1648" s="34" t="n">
        <v>1</v>
      </c>
      <c r="D1648" s="37" t="inlineStr">
        <is>
          <t>Tech D</t>
        </is>
      </c>
      <c r="E1648" s="35" t="n">
        <v>1.4</v>
      </c>
      <c r="F1648" s="35" t="n">
        <v>1.1</v>
      </c>
      <c r="G1648" s="37" t="inlineStr">
        <is>
          <t>Y</t>
        </is>
      </c>
      <c r="H1648" s="37" t="inlineStr">
        <is>
          <t>N</t>
        </is>
      </c>
      <c r="I1648" s="37">
        <f>COUNTIF(G$5:G1648,"Y")/COUNTA(G$5:G1648)</f>
        <v/>
      </c>
      <c r="J1648" s="37">
        <f>COUNTIF(H$5:H1648,"Y")/COUNTA(H$5:H1648)</f>
        <v/>
      </c>
      <c r="K1648" s="37">
        <f>AVERAGE(F$5:F1648)</f>
        <v/>
      </c>
      <c r="L1648" s="37">
        <f>SUM(F$5:F1648)/SUM(E$5:E1648)</f>
        <v/>
      </c>
    </row>
    <row r="1649">
      <c r="A1649" s="29" t="n">
        <v>45897</v>
      </c>
      <c r="B1649" s="37" t="inlineStr">
        <is>
          <t>JOB-2645</t>
        </is>
      </c>
      <c r="C1649" s="34" t="n">
        <v>1</v>
      </c>
      <c r="D1649" s="37" t="inlineStr">
        <is>
          <t>Tech D</t>
        </is>
      </c>
      <c r="E1649" s="35" t="n">
        <v>3.3</v>
      </c>
      <c r="F1649" s="35" t="n">
        <v>2.2</v>
      </c>
      <c r="G1649" s="37" t="inlineStr">
        <is>
          <t>N</t>
        </is>
      </c>
      <c r="H1649" s="37" t="inlineStr">
        <is>
          <t>N</t>
        </is>
      </c>
      <c r="I1649" s="37">
        <f>COUNTIF(G$5:G1649,"Y")/COUNTA(G$5:G1649)</f>
        <v/>
      </c>
      <c r="J1649" s="37">
        <f>COUNTIF(H$5:H1649,"Y")/COUNTA(H$5:H1649)</f>
        <v/>
      </c>
      <c r="K1649" s="37">
        <f>AVERAGE(F$5:F1649)</f>
        <v/>
      </c>
      <c r="L1649" s="37">
        <f>SUM(F$5:F1649)/SUM(E$5:E1649)</f>
        <v/>
      </c>
    </row>
    <row r="1650">
      <c r="A1650" s="29" t="n">
        <v>45898</v>
      </c>
      <c r="B1650" s="37" t="inlineStr">
        <is>
          <t>JOB-2646</t>
        </is>
      </c>
      <c r="C1650" s="34" t="n">
        <v>1</v>
      </c>
      <c r="D1650" s="37" t="inlineStr">
        <is>
          <t>Tech D</t>
        </is>
      </c>
      <c r="E1650" s="35" t="n">
        <v>3.5</v>
      </c>
      <c r="F1650" s="35" t="n">
        <v>3</v>
      </c>
      <c r="G1650" s="37" t="inlineStr">
        <is>
          <t>Y</t>
        </is>
      </c>
      <c r="H1650" s="37" t="inlineStr">
        <is>
          <t>N</t>
        </is>
      </c>
      <c r="I1650" s="37">
        <f>COUNTIF(G$5:G1650,"Y")/COUNTA(G$5:G1650)</f>
        <v/>
      </c>
      <c r="J1650" s="37">
        <f>COUNTIF(H$5:H1650,"Y")/COUNTA(H$5:H1650)</f>
        <v/>
      </c>
      <c r="K1650" s="37">
        <f>AVERAGE(F$5:F1650)</f>
        <v/>
      </c>
      <c r="L1650" s="37">
        <f>SUM(F$5:F1650)/SUM(E$5:E1650)</f>
        <v/>
      </c>
    </row>
    <row r="1651">
      <c r="A1651" s="29" t="n">
        <v>45894</v>
      </c>
      <c r="B1651" s="37" t="inlineStr">
        <is>
          <t>JOB-2647</t>
        </is>
      </c>
      <c r="C1651" s="34" t="n">
        <v>1</v>
      </c>
      <c r="D1651" s="37" t="inlineStr">
        <is>
          <t>Tech C</t>
        </is>
      </c>
      <c r="E1651" s="35" t="n">
        <v>4.2</v>
      </c>
      <c r="F1651" s="35" t="n">
        <v>3.7</v>
      </c>
      <c r="G1651" s="37" t="inlineStr">
        <is>
          <t>Y</t>
        </is>
      </c>
      <c r="H1651" s="37" t="inlineStr">
        <is>
          <t>N</t>
        </is>
      </c>
      <c r="I1651" s="37">
        <f>COUNTIF(G$5:G1651,"Y")/COUNTA(G$5:G1651)</f>
        <v/>
      </c>
      <c r="J1651" s="37">
        <f>COUNTIF(H$5:H1651,"Y")/COUNTA(H$5:H1651)</f>
        <v/>
      </c>
      <c r="K1651" s="37">
        <f>AVERAGE(F$5:F1651)</f>
        <v/>
      </c>
      <c r="L1651" s="37">
        <f>SUM(F$5:F1651)/SUM(E$5:E1651)</f>
        <v/>
      </c>
    </row>
    <row r="1652">
      <c r="A1652" s="29" t="n">
        <v>45895</v>
      </c>
      <c r="B1652" s="37" t="inlineStr">
        <is>
          <t>JOB-2648</t>
        </is>
      </c>
      <c r="C1652" s="34" t="n">
        <v>1</v>
      </c>
      <c r="D1652" s="37" t="inlineStr">
        <is>
          <t>Tech F</t>
        </is>
      </c>
      <c r="E1652" s="35" t="n">
        <v>1.9</v>
      </c>
      <c r="F1652" s="35" t="n">
        <v>1.6</v>
      </c>
      <c r="G1652" s="37" t="inlineStr">
        <is>
          <t>Y</t>
        </is>
      </c>
      <c r="H1652" s="37" t="inlineStr">
        <is>
          <t>N</t>
        </is>
      </c>
      <c r="I1652" s="37">
        <f>COUNTIF(G$5:G1652,"Y")/COUNTA(G$5:G1652)</f>
        <v/>
      </c>
      <c r="J1652" s="37">
        <f>COUNTIF(H$5:H1652,"Y")/COUNTA(H$5:H1652)</f>
        <v/>
      </c>
      <c r="K1652" s="37">
        <f>AVERAGE(F$5:F1652)</f>
        <v/>
      </c>
      <c r="L1652" s="37">
        <f>SUM(F$5:F1652)/SUM(E$5:E1652)</f>
        <v/>
      </c>
    </row>
    <row r="1653">
      <c r="A1653" s="29" t="n">
        <v>45896</v>
      </c>
      <c r="B1653" s="37" t="inlineStr">
        <is>
          <t>JOB-2649</t>
        </is>
      </c>
      <c r="C1653" s="34" t="n">
        <v>1</v>
      </c>
      <c r="D1653" s="37" t="inlineStr">
        <is>
          <t>Tech F</t>
        </is>
      </c>
      <c r="E1653" s="35" t="n">
        <v>3.1</v>
      </c>
      <c r="F1653" s="35" t="n">
        <v>2.5</v>
      </c>
      <c r="G1653" s="37" t="inlineStr">
        <is>
          <t>Y</t>
        </is>
      </c>
      <c r="H1653" s="37" t="inlineStr">
        <is>
          <t>N</t>
        </is>
      </c>
      <c r="I1653" s="37">
        <f>COUNTIF(G$5:G1653,"Y")/COUNTA(G$5:G1653)</f>
        <v/>
      </c>
      <c r="J1653" s="37">
        <f>COUNTIF(H$5:H1653,"Y")/COUNTA(H$5:H1653)</f>
        <v/>
      </c>
      <c r="K1653" s="37">
        <f>AVERAGE(F$5:F1653)</f>
        <v/>
      </c>
      <c r="L1653" s="37">
        <f>SUM(F$5:F1653)/SUM(E$5:E1653)</f>
        <v/>
      </c>
    </row>
    <row r="1654">
      <c r="A1654" s="29" t="n">
        <v>45897</v>
      </c>
      <c r="B1654" s="37" t="inlineStr">
        <is>
          <t>JOB-2650</t>
        </is>
      </c>
      <c r="C1654" s="34" t="n">
        <v>1</v>
      </c>
      <c r="D1654" s="37" t="inlineStr">
        <is>
          <t>Tech D</t>
        </is>
      </c>
      <c r="E1654" s="35" t="n">
        <v>2.8</v>
      </c>
      <c r="F1654" s="35" t="n">
        <v>2.4</v>
      </c>
      <c r="G1654" s="37" t="inlineStr">
        <is>
          <t>Y</t>
        </is>
      </c>
      <c r="H1654" s="37" t="inlineStr">
        <is>
          <t>N</t>
        </is>
      </c>
      <c r="I1654" s="37">
        <f>COUNTIF(G$5:G1654,"Y")/COUNTA(G$5:G1654)</f>
        <v/>
      </c>
      <c r="J1654" s="37">
        <f>COUNTIF(H$5:H1654,"Y")/COUNTA(H$5:H1654)</f>
        <v/>
      </c>
      <c r="K1654" s="37">
        <f>AVERAGE(F$5:F1654)</f>
        <v/>
      </c>
      <c r="L1654" s="37">
        <f>SUM(F$5:F1654)/SUM(E$5:E1654)</f>
        <v/>
      </c>
    </row>
    <row r="1655">
      <c r="A1655" s="29" t="n">
        <v>45898</v>
      </c>
      <c r="B1655" s="37" t="inlineStr">
        <is>
          <t>JOB-2651</t>
        </is>
      </c>
      <c r="C1655" s="34" t="n">
        <v>1</v>
      </c>
      <c r="D1655" s="37" t="inlineStr">
        <is>
          <t>Tech A</t>
        </is>
      </c>
      <c r="E1655" s="35" t="n">
        <v>4</v>
      </c>
      <c r="F1655" s="35" t="n">
        <v>3.1</v>
      </c>
      <c r="G1655" s="37" t="inlineStr">
        <is>
          <t>Y</t>
        </is>
      </c>
      <c r="H1655" s="37" t="inlineStr">
        <is>
          <t>N</t>
        </is>
      </c>
      <c r="I1655" s="37">
        <f>COUNTIF(G$5:G1655,"Y")/COUNTA(G$5:G1655)</f>
        <v/>
      </c>
      <c r="J1655" s="37">
        <f>COUNTIF(H$5:H1655,"Y")/COUNTA(H$5:H1655)</f>
        <v/>
      </c>
      <c r="K1655" s="37">
        <f>AVERAGE(F$5:F1655)</f>
        <v/>
      </c>
      <c r="L1655" s="37">
        <f>SUM(F$5:F1655)/SUM(E$5:E1655)</f>
        <v/>
      </c>
    </row>
    <row r="1656">
      <c r="A1656" s="29" t="n">
        <v>45894</v>
      </c>
      <c r="B1656" s="37" t="inlineStr">
        <is>
          <t>JOB-2652</t>
        </is>
      </c>
      <c r="C1656" s="34" t="n">
        <v>1</v>
      </c>
      <c r="D1656" s="37" t="inlineStr">
        <is>
          <t>Tech G</t>
        </is>
      </c>
      <c r="E1656" s="35" t="n">
        <v>2.2</v>
      </c>
      <c r="F1656" s="35" t="n">
        <v>1.8</v>
      </c>
      <c r="G1656" s="37" t="inlineStr">
        <is>
          <t>Y</t>
        </is>
      </c>
      <c r="H1656" s="37" t="inlineStr">
        <is>
          <t>N</t>
        </is>
      </c>
      <c r="I1656" s="37">
        <f>COUNTIF(G$5:G1656,"Y")/COUNTA(G$5:G1656)</f>
        <v/>
      </c>
      <c r="J1656" s="37">
        <f>COUNTIF(H$5:H1656,"Y")/COUNTA(H$5:H1656)</f>
        <v/>
      </c>
      <c r="K1656" s="37">
        <f>AVERAGE(F$5:F1656)</f>
        <v/>
      </c>
      <c r="L1656" s="37">
        <f>SUM(F$5:F1656)/SUM(E$5:E1656)</f>
        <v/>
      </c>
    </row>
    <row r="1657">
      <c r="A1657" s="29" t="n">
        <v>45895</v>
      </c>
      <c r="B1657" s="37" t="inlineStr">
        <is>
          <t>JOB-2653</t>
        </is>
      </c>
      <c r="C1657" s="34" t="n">
        <v>1</v>
      </c>
      <c r="D1657" s="37" t="inlineStr">
        <is>
          <t>Tech D</t>
        </is>
      </c>
      <c r="E1657" s="35" t="n">
        <v>5.1</v>
      </c>
      <c r="F1657" s="35" t="n">
        <v>3.9</v>
      </c>
      <c r="G1657" s="37" t="inlineStr">
        <is>
          <t>Y</t>
        </is>
      </c>
      <c r="H1657" s="37" t="inlineStr">
        <is>
          <t>N</t>
        </is>
      </c>
      <c r="I1657" s="37">
        <f>COUNTIF(G$5:G1657,"Y")/COUNTA(G$5:G1657)</f>
        <v/>
      </c>
      <c r="J1657" s="37">
        <f>COUNTIF(H$5:H1657,"Y")/COUNTA(H$5:H1657)</f>
        <v/>
      </c>
      <c r="K1657" s="37">
        <f>AVERAGE(F$5:F1657)</f>
        <v/>
      </c>
      <c r="L1657" s="37">
        <f>SUM(F$5:F1657)/SUM(E$5:E1657)</f>
        <v/>
      </c>
    </row>
    <row r="1658">
      <c r="A1658" s="29" t="n">
        <v>45896</v>
      </c>
      <c r="B1658" s="37" t="inlineStr">
        <is>
          <t>JOB-2654</t>
        </is>
      </c>
      <c r="C1658" s="34" t="n">
        <v>1</v>
      </c>
      <c r="D1658" s="37" t="inlineStr">
        <is>
          <t>Tech G</t>
        </is>
      </c>
      <c r="E1658" s="35" t="n">
        <v>4.8</v>
      </c>
      <c r="F1658" s="35" t="n">
        <v>3.9</v>
      </c>
      <c r="G1658" s="37" t="inlineStr">
        <is>
          <t>Y</t>
        </is>
      </c>
      <c r="H1658" s="37" t="inlineStr">
        <is>
          <t>N</t>
        </is>
      </c>
      <c r="I1658" s="37">
        <f>COUNTIF(G$5:G1658,"Y")/COUNTA(G$5:G1658)</f>
        <v/>
      </c>
      <c r="J1658" s="37">
        <f>COUNTIF(H$5:H1658,"Y")/COUNTA(H$5:H1658)</f>
        <v/>
      </c>
      <c r="K1658" s="37">
        <f>AVERAGE(F$5:F1658)</f>
        <v/>
      </c>
      <c r="L1658" s="37">
        <f>SUM(F$5:F1658)/SUM(E$5:E1658)</f>
        <v/>
      </c>
    </row>
    <row r="1659">
      <c r="A1659" s="29" t="n">
        <v>45897</v>
      </c>
      <c r="B1659" s="37" t="inlineStr">
        <is>
          <t>JOB-2655</t>
        </is>
      </c>
      <c r="C1659" s="34" t="n">
        <v>1</v>
      </c>
      <c r="D1659" s="37" t="inlineStr">
        <is>
          <t>Tech C</t>
        </is>
      </c>
      <c r="E1659" s="35" t="n">
        <v>2.7</v>
      </c>
      <c r="F1659" s="35" t="n">
        <v>2.1</v>
      </c>
      <c r="G1659" s="37" t="inlineStr">
        <is>
          <t>Y</t>
        </is>
      </c>
      <c r="H1659" s="37" t="inlineStr">
        <is>
          <t>N</t>
        </is>
      </c>
      <c r="I1659" s="37">
        <f>COUNTIF(G$5:G1659,"Y")/COUNTA(G$5:G1659)</f>
        <v/>
      </c>
      <c r="J1659" s="37">
        <f>COUNTIF(H$5:H1659,"Y")/COUNTA(H$5:H1659)</f>
        <v/>
      </c>
      <c r="K1659" s="37">
        <f>AVERAGE(F$5:F1659)</f>
        <v/>
      </c>
      <c r="L1659" s="37">
        <f>SUM(F$5:F1659)/SUM(E$5:E1659)</f>
        <v/>
      </c>
    </row>
    <row r="1660">
      <c r="A1660" s="29" t="n">
        <v>45898</v>
      </c>
      <c r="B1660" s="37" t="inlineStr">
        <is>
          <t>JOB-2656</t>
        </is>
      </c>
      <c r="C1660" s="34" t="n">
        <v>1</v>
      </c>
      <c r="D1660" s="37" t="inlineStr">
        <is>
          <t>Tech F</t>
        </is>
      </c>
      <c r="E1660" s="35" t="n">
        <v>4.5</v>
      </c>
      <c r="F1660" s="35" t="n">
        <v>3.7</v>
      </c>
      <c r="G1660" s="37" t="inlineStr">
        <is>
          <t>Y</t>
        </is>
      </c>
      <c r="H1660" s="37" t="inlineStr">
        <is>
          <t>Y</t>
        </is>
      </c>
      <c r="I1660" s="37">
        <f>COUNTIF(G$5:G1660,"Y")/COUNTA(G$5:G1660)</f>
        <v/>
      </c>
      <c r="J1660" s="37">
        <f>COUNTIF(H$5:H1660,"Y")/COUNTA(H$5:H1660)</f>
        <v/>
      </c>
      <c r="K1660" s="37">
        <f>AVERAGE(F$5:F1660)</f>
        <v/>
      </c>
      <c r="L1660" s="37">
        <f>SUM(F$5:F1660)/SUM(E$5:E1660)</f>
        <v/>
      </c>
    </row>
    <row r="1661">
      <c r="A1661" s="29" t="n">
        <v>45894</v>
      </c>
      <c r="B1661" s="37" t="inlineStr">
        <is>
          <t>JOB-2657</t>
        </is>
      </c>
      <c r="C1661" s="34" t="n">
        <v>1</v>
      </c>
      <c r="D1661" s="37" t="inlineStr">
        <is>
          <t>Tech B</t>
        </is>
      </c>
      <c r="E1661" s="35" t="n">
        <v>5.2</v>
      </c>
      <c r="F1661" s="35" t="n">
        <v>3.5</v>
      </c>
      <c r="G1661" s="37" t="inlineStr">
        <is>
          <t>Y</t>
        </is>
      </c>
      <c r="H1661" s="37" t="inlineStr">
        <is>
          <t>N</t>
        </is>
      </c>
      <c r="I1661" s="37">
        <f>COUNTIF(G$5:G1661,"Y")/COUNTA(G$5:G1661)</f>
        <v/>
      </c>
      <c r="J1661" s="37">
        <f>COUNTIF(H$5:H1661,"Y")/COUNTA(H$5:H1661)</f>
        <v/>
      </c>
      <c r="K1661" s="37">
        <f>AVERAGE(F$5:F1661)</f>
        <v/>
      </c>
      <c r="L1661" s="37">
        <f>SUM(F$5:F1661)/SUM(E$5:E1661)</f>
        <v/>
      </c>
    </row>
    <row r="1662">
      <c r="A1662" s="29" t="n">
        <v>45895</v>
      </c>
      <c r="B1662" s="37" t="inlineStr">
        <is>
          <t>JOB-2658</t>
        </is>
      </c>
      <c r="C1662" s="34" t="n">
        <v>1</v>
      </c>
      <c r="D1662" s="37" t="inlineStr">
        <is>
          <t>Tech D</t>
        </is>
      </c>
      <c r="E1662" s="35" t="n">
        <v>3.3</v>
      </c>
      <c r="F1662" s="35" t="n">
        <v>2.6</v>
      </c>
      <c r="G1662" s="37" t="inlineStr">
        <is>
          <t>Y</t>
        </is>
      </c>
      <c r="H1662" s="37" t="inlineStr">
        <is>
          <t>N</t>
        </is>
      </c>
      <c r="I1662" s="37">
        <f>COUNTIF(G$5:G1662,"Y")/COUNTA(G$5:G1662)</f>
        <v/>
      </c>
      <c r="J1662" s="37">
        <f>COUNTIF(H$5:H1662,"Y")/COUNTA(H$5:H1662)</f>
        <v/>
      </c>
      <c r="K1662" s="37">
        <f>AVERAGE(F$5:F1662)</f>
        <v/>
      </c>
      <c r="L1662" s="37">
        <f>SUM(F$5:F1662)/SUM(E$5:E1662)</f>
        <v/>
      </c>
    </row>
    <row r="1663">
      <c r="A1663" s="29" t="n">
        <v>45896</v>
      </c>
      <c r="B1663" s="37" t="inlineStr">
        <is>
          <t>JOB-2659</t>
        </is>
      </c>
      <c r="C1663" s="34" t="n">
        <v>1</v>
      </c>
      <c r="D1663" s="37" t="inlineStr">
        <is>
          <t>Tech H</t>
        </is>
      </c>
      <c r="E1663" s="35" t="n">
        <v>2.2</v>
      </c>
      <c r="F1663" s="35" t="n">
        <v>1.6</v>
      </c>
      <c r="G1663" s="37" t="inlineStr">
        <is>
          <t>Y</t>
        </is>
      </c>
      <c r="H1663" s="37" t="inlineStr">
        <is>
          <t>N</t>
        </is>
      </c>
      <c r="I1663" s="37">
        <f>COUNTIF(G$5:G1663,"Y")/COUNTA(G$5:G1663)</f>
        <v/>
      </c>
      <c r="J1663" s="37">
        <f>COUNTIF(H$5:H1663,"Y")/COUNTA(H$5:H1663)</f>
        <v/>
      </c>
      <c r="K1663" s="37">
        <f>AVERAGE(F$5:F1663)</f>
        <v/>
      </c>
      <c r="L1663" s="37">
        <f>SUM(F$5:F1663)/SUM(E$5:E1663)</f>
        <v/>
      </c>
    </row>
    <row r="1664">
      <c r="A1664" s="29" t="n">
        <v>45897</v>
      </c>
      <c r="B1664" s="37" t="inlineStr">
        <is>
          <t>JOB-2660</t>
        </is>
      </c>
      <c r="C1664" s="34" t="n">
        <v>1</v>
      </c>
      <c r="D1664" s="37" t="inlineStr">
        <is>
          <t>Tech D</t>
        </is>
      </c>
      <c r="E1664" s="35" t="n">
        <v>1.9</v>
      </c>
      <c r="F1664" s="35" t="n">
        <v>1.3</v>
      </c>
      <c r="G1664" s="37" t="inlineStr">
        <is>
          <t>Y</t>
        </is>
      </c>
      <c r="H1664" s="37" t="inlineStr">
        <is>
          <t>N</t>
        </is>
      </c>
      <c r="I1664" s="37">
        <f>COUNTIF(G$5:G1664,"Y")/COUNTA(G$5:G1664)</f>
        <v/>
      </c>
      <c r="J1664" s="37">
        <f>COUNTIF(H$5:H1664,"Y")/COUNTA(H$5:H1664)</f>
        <v/>
      </c>
      <c r="K1664" s="37">
        <f>AVERAGE(F$5:F1664)</f>
        <v/>
      </c>
      <c r="L1664" s="37">
        <f>SUM(F$5:F1664)/SUM(E$5:E1664)</f>
        <v/>
      </c>
    </row>
    <row r="1665">
      <c r="A1665" s="29" t="n">
        <v>45898</v>
      </c>
      <c r="B1665" s="37" t="inlineStr">
        <is>
          <t>JOB-2661</t>
        </is>
      </c>
      <c r="C1665" s="34" t="n">
        <v>1</v>
      </c>
      <c r="D1665" s="37" t="inlineStr">
        <is>
          <t>Tech A</t>
        </is>
      </c>
      <c r="E1665" s="35" t="n">
        <v>0.7</v>
      </c>
      <c r="F1665" s="35" t="n">
        <v>0.5</v>
      </c>
      <c r="G1665" s="37" t="inlineStr">
        <is>
          <t>Y</t>
        </is>
      </c>
      <c r="H1665" s="37" t="inlineStr">
        <is>
          <t>N</t>
        </is>
      </c>
      <c r="I1665" s="37">
        <f>COUNTIF(G$5:G1665,"Y")/COUNTA(G$5:G1665)</f>
        <v/>
      </c>
      <c r="J1665" s="37">
        <f>COUNTIF(H$5:H1665,"Y")/COUNTA(H$5:H1665)</f>
        <v/>
      </c>
      <c r="K1665" s="37">
        <f>AVERAGE(F$5:F1665)</f>
        <v/>
      </c>
      <c r="L1665" s="37">
        <f>SUM(F$5:F1665)/SUM(E$5:E1665)</f>
        <v/>
      </c>
    </row>
    <row r="1666">
      <c r="A1666" s="29" t="n">
        <v>45894</v>
      </c>
      <c r="B1666" s="37" t="inlineStr">
        <is>
          <t>JOB-2662</t>
        </is>
      </c>
      <c r="C1666" s="34" t="n">
        <v>1</v>
      </c>
      <c r="D1666" s="37" t="inlineStr">
        <is>
          <t>Tech A</t>
        </is>
      </c>
      <c r="E1666" s="35" t="n">
        <v>0.6</v>
      </c>
      <c r="F1666" s="35" t="n">
        <v>0.5</v>
      </c>
      <c r="G1666" s="37" t="inlineStr">
        <is>
          <t>Y</t>
        </is>
      </c>
      <c r="H1666" s="37" t="inlineStr">
        <is>
          <t>N</t>
        </is>
      </c>
      <c r="I1666" s="37">
        <f>COUNTIF(G$5:G1666,"Y")/COUNTA(G$5:G1666)</f>
        <v/>
      </c>
      <c r="J1666" s="37">
        <f>COUNTIF(H$5:H1666,"Y")/COUNTA(H$5:H1666)</f>
        <v/>
      </c>
      <c r="K1666" s="37">
        <f>AVERAGE(F$5:F1666)</f>
        <v/>
      </c>
      <c r="L1666" s="37">
        <f>SUM(F$5:F1666)/SUM(E$5:E1666)</f>
        <v/>
      </c>
    </row>
    <row r="1667">
      <c r="A1667" s="29" t="n">
        <v>45895</v>
      </c>
      <c r="B1667" s="37" t="inlineStr">
        <is>
          <t>JOB-2663</t>
        </is>
      </c>
      <c r="C1667" s="34" t="n">
        <v>1</v>
      </c>
      <c r="D1667" s="37" t="inlineStr">
        <is>
          <t>Tech F</t>
        </is>
      </c>
      <c r="E1667" s="35" t="n">
        <v>0.6</v>
      </c>
      <c r="F1667" s="35" t="n">
        <v>0.5</v>
      </c>
      <c r="G1667" s="37" t="inlineStr">
        <is>
          <t>Y</t>
        </is>
      </c>
      <c r="H1667" s="37" t="inlineStr">
        <is>
          <t>N</t>
        </is>
      </c>
      <c r="I1667" s="37">
        <f>COUNTIF(G$5:G1667,"Y")/COUNTA(G$5:G1667)</f>
        <v/>
      </c>
      <c r="J1667" s="37">
        <f>COUNTIF(H$5:H1667,"Y")/COUNTA(H$5:H1667)</f>
        <v/>
      </c>
      <c r="K1667" s="37">
        <f>AVERAGE(F$5:F1667)</f>
        <v/>
      </c>
      <c r="L1667" s="37">
        <f>SUM(F$5:F1667)/SUM(E$5:E1667)</f>
        <v/>
      </c>
    </row>
    <row r="1668">
      <c r="A1668" s="29" t="n">
        <v>45896</v>
      </c>
      <c r="B1668" s="37" t="inlineStr">
        <is>
          <t>JOB-2664</t>
        </is>
      </c>
      <c r="C1668" s="34" t="n">
        <v>1</v>
      </c>
      <c r="D1668" s="37" t="inlineStr">
        <is>
          <t>Tech C</t>
        </is>
      </c>
      <c r="E1668" s="35" t="n">
        <v>0.7</v>
      </c>
      <c r="F1668" s="35" t="n">
        <v>0.5</v>
      </c>
      <c r="G1668" s="37" t="inlineStr">
        <is>
          <t>Y</t>
        </is>
      </c>
      <c r="H1668" s="37" t="inlineStr">
        <is>
          <t>Y</t>
        </is>
      </c>
      <c r="I1668" s="37">
        <f>COUNTIF(G$5:G1668,"Y")/COUNTA(G$5:G1668)</f>
        <v/>
      </c>
      <c r="J1668" s="37">
        <f>COUNTIF(H$5:H1668,"Y")/COUNTA(H$5:H1668)</f>
        <v/>
      </c>
      <c r="K1668" s="37">
        <f>AVERAGE(F$5:F1668)</f>
        <v/>
      </c>
      <c r="L1668" s="37">
        <f>SUM(F$5:F1668)/SUM(E$5:E1668)</f>
        <v/>
      </c>
    </row>
    <row r="1669">
      <c r="A1669" s="29" t="n">
        <v>45897</v>
      </c>
      <c r="B1669" s="37" t="inlineStr">
        <is>
          <t>JOB-2665</t>
        </is>
      </c>
      <c r="C1669" s="34" t="n">
        <v>1</v>
      </c>
      <c r="D1669" s="37" t="inlineStr">
        <is>
          <t>Tech D</t>
        </is>
      </c>
      <c r="E1669" s="35" t="n">
        <v>0.6</v>
      </c>
      <c r="F1669" s="35" t="n">
        <v>0.5</v>
      </c>
      <c r="G1669" s="37" t="inlineStr">
        <is>
          <t>N</t>
        </is>
      </c>
      <c r="H1669" s="37" t="inlineStr">
        <is>
          <t>N</t>
        </is>
      </c>
      <c r="I1669" s="37">
        <f>COUNTIF(G$5:G1669,"Y")/COUNTA(G$5:G1669)</f>
        <v/>
      </c>
      <c r="J1669" s="37">
        <f>COUNTIF(H$5:H1669,"Y")/COUNTA(H$5:H1669)</f>
        <v/>
      </c>
      <c r="K1669" s="37">
        <f>AVERAGE(F$5:F1669)</f>
        <v/>
      </c>
      <c r="L1669" s="37">
        <f>SUM(F$5:F1669)/SUM(E$5:E1669)</f>
        <v/>
      </c>
    </row>
    <row r="1670">
      <c r="A1670" s="29" t="n">
        <v>45898</v>
      </c>
      <c r="B1670" s="37" t="inlineStr">
        <is>
          <t>JOB-2666</t>
        </is>
      </c>
      <c r="C1670" s="34" t="n">
        <v>1</v>
      </c>
      <c r="D1670" s="37" t="inlineStr">
        <is>
          <t>Tech H</t>
        </is>
      </c>
      <c r="E1670" s="35" t="n">
        <v>0.7</v>
      </c>
      <c r="F1670" s="35" t="n">
        <v>0.5</v>
      </c>
      <c r="G1670" s="37" t="inlineStr">
        <is>
          <t>Y</t>
        </is>
      </c>
      <c r="H1670" s="37" t="inlineStr">
        <is>
          <t>N</t>
        </is>
      </c>
      <c r="I1670" s="37">
        <f>COUNTIF(G$5:G1670,"Y")/COUNTA(G$5:G1670)</f>
        <v/>
      </c>
      <c r="J1670" s="37">
        <f>COUNTIF(H$5:H1670,"Y")/COUNTA(H$5:H1670)</f>
        <v/>
      </c>
      <c r="K1670" s="37">
        <f>AVERAGE(F$5:F1670)</f>
        <v/>
      </c>
      <c r="L1670" s="37">
        <f>SUM(F$5:F1670)/SUM(E$5:E1670)</f>
        <v/>
      </c>
    </row>
    <row r="1671">
      <c r="A1671" s="29" t="n">
        <v>45894</v>
      </c>
      <c r="B1671" s="37" t="inlineStr">
        <is>
          <t>JOB-2667</t>
        </is>
      </c>
      <c r="C1671" s="34" t="n">
        <v>1</v>
      </c>
      <c r="D1671" s="37" t="inlineStr">
        <is>
          <t>Tech B</t>
        </is>
      </c>
      <c r="E1671" s="35" t="n">
        <v>0.6</v>
      </c>
      <c r="F1671" s="35" t="n">
        <v>0.5</v>
      </c>
      <c r="G1671" s="37" t="inlineStr">
        <is>
          <t>Y</t>
        </is>
      </c>
      <c r="H1671" s="37" t="inlineStr">
        <is>
          <t>N</t>
        </is>
      </c>
      <c r="I1671" s="37">
        <f>COUNTIF(G$5:G1671,"Y")/COUNTA(G$5:G1671)</f>
        <v/>
      </c>
      <c r="J1671" s="37">
        <f>COUNTIF(H$5:H1671,"Y")/COUNTA(H$5:H1671)</f>
        <v/>
      </c>
      <c r="K1671" s="37">
        <f>AVERAGE(F$5:F1671)</f>
        <v/>
      </c>
      <c r="L1671" s="37">
        <f>SUM(F$5:F1671)/SUM(E$5:E1671)</f>
        <v/>
      </c>
    </row>
    <row r="1672">
      <c r="A1672" s="29" t="n">
        <v>45895</v>
      </c>
      <c r="B1672" s="37" t="inlineStr">
        <is>
          <t>JOB-2668</t>
        </is>
      </c>
      <c r="C1672" s="34" t="n">
        <v>1</v>
      </c>
      <c r="D1672" s="37" t="inlineStr">
        <is>
          <t>Tech H</t>
        </is>
      </c>
      <c r="E1672" s="35" t="n">
        <v>0.7</v>
      </c>
      <c r="F1672" s="35" t="n">
        <v>0.5</v>
      </c>
      <c r="G1672" s="37" t="inlineStr">
        <is>
          <t>Y</t>
        </is>
      </c>
      <c r="H1672" s="37" t="inlineStr">
        <is>
          <t>N</t>
        </is>
      </c>
      <c r="I1672" s="37">
        <f>COUNTIF(G$5:G1672,"Y")/COUNTA(G$5:G1672)</f>
        <v/>
      </c>
      <c r="J1672" s="37">
        <f>COUNTIF(H$5:H1672,"Y")/COUNTA(H$5:H1672)</f>
        <v/>
      </c>
      <c r="K1672" s="37">
        <f>AVERAGE(F$5:F1672)</f>
        <v/>
      </c>
      <c r="L1672" s="37">
        <f>SUM(F$5:F1672)/SUM(E$5:E1672)</f>
        <v/>
      </c>
    </row>
    <row r="1673">
      <c r="A1673" s="29" t="n">
        <v>45896</v>
      </c>
      <c r="B1673" s="37" t="inlineStr">
        <is>
          <t>JOB-2669</t>
        </is>
      </c>
      <c r="C1673" s="34" t="n">
        <v>1</v>
      </c>
      <c r="D1673" s="37" t="inlineStr">
        <is>
          <t>Tech H</t>
        </is>
      </c>
      <c r="E1673" s="35" t="n">
        <v>3.6</v>
      </c>
      <c r="F1673" s="35" t="n">
        <v>0.5</v>
      </c>
      <c r="G1673" s="37" t="inlineStr">
        <is>
          <t>Y</t>
        </is>
      </c>
      <c r="H1673" s="37" t="inlineStr">
        <is>
          <t>N</t>
        </is>
      </c>
      <c r="I1673" s="37">
        <f>COUNTIF(G$5:G1673,"Y")/COUNTA(G$5:G1673)</f>
        <v/>
      </c>
      <c r="J1673" s="37">
        <f>COUNTIF(H$5:H1673,"Y")/COUNTA(H$5:H1673)</f>
        <v/>
      </c>
      <c r="K1673" s="37">
        <f>AVERAGE(F$5:F1673)</f>
        <v/>
      </c>
      <c r="L1673" s="37">
        <f>SUM(F$5:F1673)/SUM(E$5:E1673)</f>
        <v/>
      </c>
      <c r="M1673" s="37" t="n">
        <v>13</v>
      </c>
    </row>
    <row r="1674">
      <c r="A1674" s="29" t="n">
        <v>45901</v>
      </c>
      <c r="B1674" s="37" t="inlineStr">
        <is>
          <t>JOB-2670</t>
        </is>
      </c>
      <c r="C1674" s="34" t="n">
        <v>1</v>
      </c>
      <c r="D1674" s="37" t="inlineStr">
        <is>
          <t>Tech H</t>
        </is>
      </c>
      <c r="E1674" s="35" t="n">
        <v>3.9</v>
      </c>
      <c r="F1674" s="35" t="n">
        <v>2.7</v>
      </c>
      <c r="G1674" s="37" t="inlineStr">
        <is>
          <t>N</t>
        </is>
      </c>
      <c r="H1674" s="37" t="inlineStr">
        <is>
          <t>N</t>
        </is>
      </c>
      <c r="I1674" s="37">
        <f>COUNTIF(G$5:G1674,"Y")/COUNTA(G$5:G1674)</f>
        <v/>
      </c>
      <c r="J1674" s="37">
        <f>COUNTIF(H$5:H1674,"Y")/COUNTA(H$5:H1674)</f>
        <v/>
      </c>
      <c r="K1674" s="37">
        <f>AVERAGE(F$5:F1674)</f>
        <v/>
      </c>
      <c r="L1674" s="37">
        <f>SUM(F$5:F1674)/SUM(E$5:E1674)</f>
        <v/>
      </c>
    </row>
    <row r="1675">
      <c r="A1675" s="29" t="n">
        <v>45902</v>
      </c>
      <c r="B1675" s="37" t="inlineStr">
        <is>
          <t>JOB-2671</t>
        </is>
      </c>
      <c r="C1675" s="34" t="n">
        <v>1</v>
      </c>
      <c r="D1675" s="37" t="inlineStr">
        <is>
          <t>Tech H</t>
        </is>
      </c>
      <c r="E1675" s="35" t="n">
        <v>3.1</v>
      </c>
      <c r="F1675" s="35" t="n">
        <v>2.3</v>
      </c>
      <c r="G1675" s="37" t="inlineStr">
        <is>
          <t>Y</t>
        </is>
      </c>
      <c r="H1675" s="37" t="inlineStr">
        <is>
          <t>N</t>
        </is>
      </c>
      <c r="I1675" s="37">
        <f>COUNTIF(G$5:G1675,"Y")/COUNTA(G$5:G1675)</f>
        <v/>
      </c>
      <c r="J1675" s="37">
        <f>COUNTIF(H$5:H1675,"Y")/COUNTA(H$5:H1675)</f>
        <v/>
      </c>
      <c r="K1675" s="37">
        <f>AVERAGE(F$5:F1675)</f>
        <v/>
      </c>
      <c r="L1675" s="37">
        <f>SUM(F$5:F1675)/SUM(E$5:E1675)</f>
        <v/>
      </c>
    </row>
    <row r="1676">
      <c r="A1676" s="29" t="n">
        <v>45903</v>
      </c>
      <c r="B1676" s="37" t="inlineStr">
        <is>
          <t>JOB-2672</t>
        </is>
      </c>
      <c r="C1676" s="34" t="n">
        <v>1</v>
      </c>
      <c r="D1676" s="37" t="inlineStr">
        <is>
          <t>Tech D</t>
        </is>
      </c>
      <c r="E1676" s="35" t="n">
        <v>1.5</v>
      </c>
      <c r="F1676" s="35" t="n">
        <v>1.2</v>
      </c>
      <c r="G1676" s="37" t="inlineStr">
        <is>
          <t>Y</t>
        </is>
      </c>
      <c r="H1676" s="37" t="inlineStr">
        <is>
          <t>N</t>
        </is>
      </c>
      <c r="I1676" s="37">
        <f>COUNTIF(G$5:G1676,"Y")/COUNTA(G$5:G1676)</f>
        <v/>
      </c>
      <c r="J1676" s="37">
        <f>COUNTIF(H$5:H1676,"Y")/COUNTA(H$5:H1676)</f>
        <v/>
      </c>
      <c r="K1676" s="37">
        <f>AVERAGE(F$5:F1676)</f>
        <v/>
      </c>
      <c r="L1676" s="37">
        <f>SUM(F$5:F1676)/SUM(E$5:E1676)</f>
        <v/>
      </c>
    </row>
    <row r="1677">
      <c r="A1677" s="29" t="n">
        <v>45904</v>
      </c>
      <c r="B1677" s="37" t="inlineStr">
        <is>
          <t>JOB-2673</t>
        </is>
      </c>
      <c r="C1677" s="34" t="n">
        <v>1</v>
      </c>
      <c r="D1677" s="37" t="inlineStr">
        <is>
          <t>Tech D</t>
        </is>
      </c>
      <c r="E1677" s="35" t="n">
        <v>1.5</v>
      </c>
      <c r="F1677" s="35" t="n">
        <v>1.1</v>
      </c>
      <c r="G1677" s="37" t="inlineStr">
        <is>
          <t>Y</t>
        </is>
      </c>
      <c r="H1677" s="37" t="inlineStr">
        <is>
          <t>N</t>
        </is>
      </c>
      <c r="I1677" s="37">
        <f>COUNTIF(G$5:G1677,"Y")/COUNTA(G$5:G1677)</f>
        <v/>
      </c>
      <c r="J1677" s="37">
        <f>COUNTIF(H$5:H1677,"Y")/COUNTA(H$5:H1677)</f>
        <v/>
      </c>
      <c r="K1677" s="37">
        <f>AVERAGE(F$5:F1677)</f>
        <v/>
      </c>
      <c r="L1677" s="37">
        <f>SUM(F$5:F1677)/SUM(E$5:E1677)</f>
        <v/>
      </c>
    </row>
    <row r="1678">
      <c r="A1678" s="29" t="n">
        <v>45905</v>
      </c>
      <c r="B1678" s="37" t="inlineStr">
        <is>
          <t>JOB-2674</t>
        </is>
      </c>
      <c r="C1678" s="34" t="n">
        <v>1</v>
      </c>
      <c r="D1678" s="37" t="inlineStr">
        <is>
          <t>Tech G</t>
        </is>
      </c>
      <c r="E1678" s="35" t="n">
        <v>2.5</v>
      </c>
      <c r="F1678" s="35" t="n">
        <v>1.7</v>
      </c>
      <c r="G1678" s="37" t="inlineStr">
        <is>
          <t>Y</t>
        </is>
      </c>
      <c r="H1678" s="37" t="inlineStr">
        <is>
          <t>N</t>
        </is>
      </c>
      <c r="I1678" s="37">
        <f>COUNTIF(G$5:G1678,"Y")/COUNTA(G$5:G1678)</f>
        <v/>
      </c>
      <c r="J1678" s="37">
        <f>COUNTIF(H$5:H1678,"Y")/COUNTA(H$5:H1678)</f>
        <v/>
      </c>
      <c r="K1678" s="37">
        <f>AVERAGE(F$5:F1678)</f>
        <v/>
      </c>
      <c r="L1678" s="37">
        <f>SUM(F$5:F1678)/SUM(E$5:E1678)</f>
        <v/>
      </c>
    </row>
    <row r="1679">
      <c r="A1679" s="29" t="n">
        <v>45901</v>
      </c>
      <c r="B1679" s="37" t="inlineStr">
        <is>
          <t>JOB-2675</t>
        </is>
      </c>
      <c r="C1679" s="34" t="n">
        <v>1</v>
      </c>
      <c r="D1679" s="37" t="inlineStr">
        <is>
          <t>Tech H</t>
        </is>
      </c>
      <c r="E1679" s="35" t="n">
        <v>3.2</v>
      </c>
      <c r="F1679" s="35" t="n">
        <v>2.6</v>
      </c>
      <c r="G1679" s="37" t="inlineStr">
        <is>
          <t>Y</t>
        </is>
      </c>
      <c r="H1679" s="37" t="inlineStr">
        <is>
          <t>N</t>
        </is>
      </c>
      <c r="I1679" s="37">
        <f>COUNTIF(G$5:G1679,"Y")/COUNTA(G$5:G1679)</f>
        <v/>
      </c>
      <c r="J1679" s="37">
        <f>COUNTIF(H$5:H1679,"Y")/COUNTA(H$5:H1679)</f>
        <v/>
      </c>
      <c r="K1679" s="37">
        <f>AVERAGE(F$5:F1679)</f>
        <v/>
      </c>
      <c r="L1679" s="37">
        <f>SUM(F$5:F1679)/SUM(E$5:E1679)</f>
        <v/>
      </c>
    </row>
    <row r="1680">
      <c r="A1680" s="29" t="n">
        <v>45902</v>
      </c>
      <c r="B1680" s="37" t="inlineStr">
        <is>
          <t>JOB-2676</t>
        </is>
      </c>
      <c r="C1680" s="34" t="n">
        <v>1</v>
      </c>
      <c r="D1680" s="37" t="inlineStr">
        <is>
          <t>Tech H</t>
        </is>
      </c>
      <c r="E1680" s="35" t="n">
        <v>2</v>
      </c>
      <c r="F1680" s="35" t="n">
        <v>1.6</v>
      </c>
      <c r="G1680" s="37" t="inlineStr">
        <is>
          <t>Y</t>
        </is>
      </c>
      <c r="H1680" s="37" t="inlineStr">
        <is>
          <t>N</t>
        </is>
      </c>
      <c r="I1680" s="37">
        <f>COUNTIF(G$5:G1680,"Y")/COUNTA(G$5:G1680)</f>
        <v/>
      </c>
      <c r="J1680" s="37">
        <f>COUNTIF(H$5:H1680,"Y")/COUNTA(H$5:H1680)</f>
        <v/>
      </c>
      <c r="K1680" s="37">
        <f>AVERAGE(F$5:F1680)</f>
        <v/>
      </c>
      <c r="L1680" s="37">
        <f>SUM(F$5:F1680)/SUM(E$5:E1680)</f>
        <v/>
      </c>
    </row>
    <row r="1681">
      <c r="A1681" s="29" t="n">
        <v>45903</v>
      </c>
      <c r="B1681" s="37" t="inlineStr">
        <is>
          <t>JOB-2677</t>
        </is>
      </c>
      <c r="C1681" s="34" t="n">
        <v>1</v>
      </c>
      <c r="D1681" s="37" t="inlineStr">
        <is>
          <t>Tech H</t>
        </is>
      </c>
      <c r="E1681" s="35" t="n">
        <v>3.1</v>
      </c>
      <c r="F1681" s="35" t="n">
        <v>2.4</v>
      </c>
      <c r="G1681" s="37" t="inlineStr">
        <is>
          <t>N</t>
        </is>
      </c>
      <c r="H1681" s="37" t="inlineStr">
        <is>
          <t>N</t>
        </is>
      </c>
      <c r="I1681" s="37">
        <f>COUNTIF(G$5:G1681,"Y")/COUNTA(G$5:G1681)</f>
        <v/>
      </c>
      <c r="J1681" s="37">
        <f>COUNTIF(H$5:H1681,"Y")/COUNTA(H$5:H1681)</f>
        <v/>
      </c>
      <c r="K1681" s="37">
        <f>AVERAGE(F$5:F1681)</f>
        <v/>
      </c>
      <c r="L1681" s="37">
        <f>SUM(F$5:F1681)/SUM(E$5:E1681)</f>
        <v/>
      </c>
    </row>
    <row r="1682">
      <c r="A1682" s="29" t="n">
        <v>45904</v>
      </c>
      <c r="B1682" s="37" t="inlineStr">
        <is>
          <t>JOB-2678</t>
        </is>
      </c>
      <c r="C1682" s="34" t="n">
        <v>1</v>
      </c>
      <c r="D1682" s="37" t="inlineStr">
        <is>
          <t>Tech C</t>
        </is>
      </c>
      <c r="E1682" s="35" t="n">
        <v>4.1</v>
      </c>
      <c r="F1682" s="35" t="n">
        <v>3.2</v>
      </c>
      <c r="G1682" s="37" t="inlineStr">
        <is>
          <t>Y</t>
        </is>
      </c>
      <c r="H1682" s="37" t="inlineStr">
        <is>
          <t>N</t>
        </is>
      </c>
      <c r="I1682" s="37">
        <f>COUNTIF(G$5:G1682,"Y")/COUNTA(G$5:G1682)</f>
        <v/>
      </c>
      <c r="J1682" s="37">
        <f>COUNTIF(H$5:H1682,"Y")/COUNTA(H$5:H1682)</f>
        <v/>
      </c>
      <c r="K1682" s="37">
        <f>AVERAGE(F$5:F1682)</f>
        <v/>
      </c>
      <c r="L1682" s="37">
        <f>SUM(F$5:F1682)/SUM(E$5:E1682)</f>
        <v/>
      </c>
    </row>
    <row r="1683">
      <c r="A1683" s="29" t="n">
        <v>45905</v>
      </c>
      <c r="B1683" s="37" t="inlineStr">
        <is>
          <t>JOB-2679</t>
        </is>
      </c>
      <c r="C1683" s="34" t="n">
        <v>1</v>
      </c>
      <c r="D1683" s="37" t="inlineStr">
        <is>
          <t>Tech G</t>
        </is>
      </c>
      <c r="E1683" s="35" t="n">
        <v>2.8</v>
      </c>
      <c r="F1683" s="35" t="n">
        <v>2.2</v>
      </c>
      <c r="G1683" s="37" t="inlineStr">
        <is>
          <t>Y</t>
        </is>
      </c>
      <c r="H1683" s="37" t="inlineStr">
        <is>
          <t>N</t>
        </is>
      </c>
      <c r="I1683" s="37">
        <f>COUNTIF(G$5:G1683,"Y")/COUNTA(G$5:G1683)</f>
        <v/>
      </c>
      <c r="J1683" s="37">
        <f>COUNTIF(H$5:H1683,"Y")/COUNTA(H$5:H1683)</f>
        <v/>
      </c>
      <c r="K1683" s="37">
        <f>AVERAGE(F$5:F1683)</f>
        <v/>
      </c>
      <c r="L1683" s="37">
        <f>SUM(F$5:F1683)/SUM(E$5:E1683)</f>
        <v/>
      </c>
    </row>
    <row r="1684">
      <c r="A1684" s="29" t="n">
        <v>45901</v>
      </c>
      <c r="B1684" s="37" t="inlineStr">
        <is>
          <t>JOB-2680</t>
        </is>
      </c>
      <c r="C1684" s="34" t="n">
        <v>1</v>
      </c>
      <c r="D1684" s="37" t="inlineStr">
        <is>
          <t>Tech D</t>
        </is>
      </c>
      <c r="E1684" s="35" t="n">
        <v>2.9</v>
      </c>
      <c r="F1684" s="35" t="n">
        <v>2.1</v>
      </c>
      <c r="G1684" s="37" t="inlineStr">
        <is>
          <t>Y</t>
        </is>
      </c>
      <c r="H1684" s="37" t="inlineStr">
        <is>
          <t>N</t>
        </is>
      </c>
      <c r="I1684" s="37">
        <f>COUNTIF(G$5:G1684,"Y")/COUNTA(G$5:G1684)</f>
        <v/>
      </c>
      <c r="J1684" s="37">
        <f>COUNTIF(H$5:H1684,"Y")/COUNTA(H$5:H1684)</f>
        <v/>
      </c>
      <c r="K1684" s="37">
        <f>AVERAGE(F$5:F1684)</f>
        <v/>
      </c>
      <c r="L1684" s="37">
        <f>SUM(F$5:F1684)/SUM(E$5:E1684)</f>
        <v/>
      </c>
    </row>
    <row r="1685">
      <c r="A1685" s="29" t="n">
        <v>45902</v>
      </c>
      <c r="B1685" s="37" t="inlineStr">
        <is>
          <t>JOB-2681</t>
        </is>
      </c>
      <c r="C1685" s="34" t="n">
        <v>1</v>
      </c>
      <c r="D1685" s="37" t="inlineStr">
        <is>
          <t>Tech G</t>
        </is>
      </c>
      <c r="E1685" s="35" t="n">
        <v>3.7</v>
      </c>
      <c r="F1685" s="35" t="n">
        <v>3</v>
      </c>
      <c r="G1685" s="37" t="inlineStr">
        <is>
          <t>Y</t>
        </is>
      </c>
      <c r="H1685" s="37" t="inlineStr">
        <is>
          <t>N</t>
        </is>
      </c>
      <c r="I1685" s="37">
        <f>COUNTIF(G$5:G1685,"Y")/COUNTA(G$5:G1685)</f>
        <v/>
      </c>
      <c r="J1685" s="37">
        <f>COUNTIF(H$5:H1685,"Y")/COUNTA(H$5:H1685)</f>
        <v/>
      </c>
      <c r="K1685" s="37">
        <f>AVERAGE(F$5:F1685)</f>
        <v/>
      </c>
      <c r="L1685" s="37">
        <f>SUM(F$5:F1685)/SUM(E$5:E1685)</f>
        <v/>
      </c>
    </row>
    <row r="1686">
      <c r="A1686" s="29" t="n">
        <v>45903</v>
      </c>
      <c r="B1686" s="37" t="inlineStr">
        <is>
          <t>JOB-2682</t>
        </is>
      </c>
      <c r="C1686" s="34" t="n">
        <v>1</v>
      </c>
      <c r="D1686" s="37" t="inlineStr">
        <is>
          <t>Tech G</t>
        </is>
      </c>
      <c r="E1686" s="35" t="n">
        <v>3.3</v>
      </c>
      <c r="F1686" s="35" t="n">
        <v>2.4</v>
      </c>
      <c r="G1686" s="37" t="inlineStr">
        <is>
          <t>Y</t>
        </is>
      </c>
      <c r="H1686" s="37" t="inlineStr">
        <is>
          <t>N</t>
        </is>
      </c>
      <c r="I1686" s="37">
        <f>COUNTIF(G$5:G1686,"Y")/COUNTA(G$5:G1686)</f>
        <v/>
      </c>
      <c r="J1686" s="37">
        <f>COUNTIF(H$5:H1686,"Y")/COUNTA(H$5:H1686)</f>
        <v/>
      </c>
      <c r="K1686" s="37">
        <f>AVERAGE(F$5:F1686)</f>
        <v/>
      </c>
      <c r="L1686" s="37">
        <f>SUM(F$5:F1686)/SUM(E$5:E1686)</f>
        <v/>
      </c>
    </row>
    <row r="1687">
      <c r="A1687" s="29" t="n">
        <v>45904</v>
      </c>
      <c r="B1687" s="37" t="inlineStr">
        <is>
          <t>JOB-2683</t>
        </is>
      </c>
      <c r="C1687" s="34" t="n">
        <v>1</v>
      </c>
      <c r="D1687" s="37" t="inlineStr">
        <is>
          <t>Tech B</t>
        </is>
      </c>
      <c r="E1687" s="35" t="n">
        <v>1.4</v>
      </c>
      <c r="F1687" s="35" t="n">
        <v>1</v>
      </c>
      <c r="G1687" s="37" t="inlineStr">
        <is>
          <t>Y</t>
        </is>
      </c>
      <c r="H1687" s="37" t="inlineStr">
        <is>
          <t>N</t>
        </is>
      </c>
      <c r="I1687" s="37">
        <f>COUNTIF(G$5:G1687,"Y")/COUNTA(G$5:G1687)</f>
        <v/>
      </c>
      <c r="J1687" s="37">
        <f>COUNTIF(H$5:H1687,"Y")/COUNTA(H$5:H1687)</f>
        <v/>
      </c>
      <c r="K1687" s="37">
        <f>AVERAGE(F$5:F1687)</f>
        <v/>
      </c>
      <c r="L1687" s="37">
        <f>SUM(F$5:F1687)/SUM(E$5:E1687)</f>
        <v/>
      </c>
    </row>
    <row r="1688">
      <c r="A1688" s="29" t="n">
        <v>45905</v>
      </c>
      <c r="B1688" s="37" t="inlineStr">
        <is>
          <t>JOB-2684</t>
        </is>
      </c>
      <c r="C1688" s="34" t="n">
        <v>1</v>
      </c>
      <c r="D1688" s="37" t="inlineStr">
        <is>
          <t>Tech F</t>
        </is>
      </c>
      <c r="E1688" s="35" t="n">
        <v>2.9</v>
      </c>
      <c r="F1688" s="35" t="n">
        <v>2.1</v>
      </c>
      <c r="G1688" s="37" t="inlineStr">
        <is>
          <t>Y</t>
        </is>
      </c>
      <c r="H1688" s="37" t="inlineStr">
        <is>
          <t>N</t>
        </is>
      </c>
      <c r="I1688" s="37">
        <f>COUNTIF(G$5:G1688,"Y")/COUNTA(G$5:G1688)</f>
        <v/>
      </c>
      <c r="J1688" s="37">
        <f>COUNTIF(H$5:H1688,"Y")/COUNTA(H$5:H1688)</f>
        <v/>
      </c>
      <c r="K1688" s="37">
        <f>AVERAGE(F$5:F1688)</f>
        <v/>
      </c>
      <c r="L1688" s="37">
        <f>SUM(F$5:F1688)/SUM(E$5:E1688)</f>
        <v/>
      </c>
    </row>
    <row r="1689">
      <c r="A1689" s="29" t="n">
        <v>45901</v>
      </c>
      <c r="B1689" s="37" t="inlineStr">
        <is>
          <t>JOB-2685</t>
        </is>
      </c>
      <c r="C1689" s="34" t="n">
        <v>1</v>
      </c>
      <c r="D1689" s="37" t="inlineStr">
        <is>
          <t>Tech B</t>
        </is>
      </c>
      <c r="E1689" s="35" t="n">
        <v>3.3</v>
      </c>
      <c r="F1689" s="35" t="n">
        <v>3</v>
      </c>
      <c r="G1689" s="37" t="inlineStr">
        <is>
          <t>N</t>
        </is>
      </c>
      <c r="H1689" s="37" t="inlineStr">
        <is>
          <t>N</t>
        </is>
      </c>
      <c r="I1689" s="37">
        <f>COUNTIF(G$5:G1689,"Y")/COUNTA(G$5:G1689)</f>
        <v/>
      </c>
      <c r="J1689" s="37">
        <f>COUNTIF(H$5:H1689,"Y")/COUNTA(H$5:H1689)</f>
        <v/>
      </c>
      <c r="K1689" s="37">
        <f>AVERAGE(F$5:F1689)</f>
        <v/>
      </c>
      <c r="L1689" s="37">
        <f>SUM(F$5:F1689)/SUM(E$5:E1689)</f>
        <v/>
      </c>
    </row>
    <row r="1690">
      <c r="A1690" s="29" t="n">
        <v>45902</v>
      </c>
      <c r="B1690" s="37" t="inlineStr">
        <is>
          <t>JOB-2686</t>
        </is>
      </c>
      <c r="C1690" s="34" t="n">
        <v>1</v>
      </c>
      <c r="D1690" s="37" t="inlineStr">
        <is>
          <t>Tech C</t>
        </is>
      </c>
      <c r="E1690" s="35" t="n">
        <v>2.7</v>
      </c>
      <c r="F1690" s="35" t="n">
        <v>2</v>
      </c>
      <c r="G1690" s="37" t="inlineStr">
        <is>
          <t>Y</t>
        </is>
      </c>
      <c r="H1690" s="37" t="inlineStr">
        <is>
          <t>Y</t>
        </is>
      </c>
      <c r="I1690" s="37">
        <f>COUNTIF(G$5:G1690,"Y")/COUNTA(G$5:G1690)</f>
        <v/>
      </c>
      <c r="J1690" s="37">
        <f>COUNTIF(H$5:H1690,"Y")/COUNTA(H$5:H1690)</f>
        <v/>
      </c>
      <c r="K1690" s="37">
        <f>AVERAGE(F$5:F1690)</f>
        <v/>
      </c>
      <c r="L1690" s="37">
        <f>SUM(F$5:F1690)/SUM(E$5:E1690)</f>
        <v/>
      </c>
    </row>
    <row r="1691">
      <c r="A1691" s="29" t="n">
        <v>45903</v>
      </c>
      <c r="B1691" s="37" t="inlineStr">
        <is>
          <t>JOB-2687</t>
        </is>
      </c>
      <c r="C1691" s="34" t="n">
        <v>1</v>
      </c>
      <c r="D1691" s="37" t="inlineStr">
        <is>
          <t>Tech H</t>
        </is>
      </c>
      <c r="E1691" s="35" t="n">
        <v>2.3</v>
      </c>
      <c r="F1691" s="35" t="n">
        <v>1.7</v>
      </c>
      <c r="G1691" s="37" t="inlineStr">
        <is>
          <t>Y</t>
        </is>
      </c>
      <c r="H1691" s="37" t="inlineStr">
        <is>
          <t>N</t>
        </is>
      </c>
      <c r="I1691" s="37">
        <f>COUNTIF(G$5:G1691,"Y")/COUNTA(G$5:G1691)</f>
        <v/>
      </c>
      <c r="J1691" s="37">
        <f>COUNTIF(H$5:H1691,"Y")/COUNTA(H$5:H1691)</f>
        <v/>
      </c>
      <c r="K1691" s="37">
        <f>AVERAGE(F$5:F1691)</f>
        <v/>
      </c>
      <c r="L1691" s="37">
        <f>SUM(F$5:F1691)/SUM(E$5:E1691)</f>
        <v/>
      </c>
    </row>
    <row r="1692">
      <c r="A1692" s="29" t="n">
        <v>45904</v>
      </c>
      <c r="B1692" s="37" t="inlineStr">
        <is>
          <t>JOB-2688</t>
        </is>
      </c>
      <c r="C1692" s="34" t="n">
        <v>1</v>
      </c>
      <c r="D1692" s="37" t="inlineStr">
        <is>
          <t>Tech H</t>
        </is>
      </c>
      <c r="E1692" s="35" t="n">
        <v>3.6</v>
      </c>
      <c r="F1692" s="35" t="n">
        <v>2.8</v>
      </c>
      <c r="G1692" s="37" t="inlineStr">
        <is>
          <t>Y</t>
        </is>
      </c>
      <c r="H1692" s="37" t="inlineStr">
        <is>
          <t>N</t>
        </is>
      </c>
      <c r="I1692" s="37">
        <f>COUNTIF(G$5:G1692,"Y")/COUNTA(G$5:G1692)</f>
        <v/>
      </c>
      <c r="J1692" s="37">
        <f>COUNTIF(H$5:H1692,"Y")/COUNTA(H$5:H1692)</f>
        <v/>
      </c>
      <c r="K1692" s="37">
        <f>AVERAGE(F$5:F1692)</f>
        <v/>
      </c>
      <c r="L1692" s="37">
        <f>SUM(F$5:F1692)/SUM(E$5:E1692)</f>
        <v/>
      </c>
    </row>
    <row r="1693">
      <c r="A1693" s="29" t="n">
        <v>45905</v>
      </c>
      <c r="B1693" s="37" t="inlineStr">
        <is>
          <t>JOB-2689</t>
        </is>
      </c>
      <c r="C1693" s="34" t="n">
        <v>1</v>
      </c>
      <c r="D1693" s="37" t="inlineStr">
        <is>
          <t>Tech A</t>
        </is>
      </c>
      <c r="E1693" s="35" t="n">
        <v>3.6</v>
      </c>
      <c r="F1693" s="35" t="n">
        <v>2.9</v>
      </c>
      <c r="G1693" s="37" t="inlineStr">
        <is>
          <t>Y</t>
        </is>
      </c>
      <c r="H1693" s="37" t="inlineStr">
        <is>
          <t>N</t>
        </is>
      </c>
      <c r="I1693" s="37">
        <f>COUNTIF(G$5:G1693,"Y")/COUNTA(G$5:G1693)</f>
        <v/>
      </c>
      <c r="J1693" s="37">
        <f>COUNTIF(H$5:H1693,"Y")/COUNTA(H$5:H1693)</f>
        <v/>
      </c>
      <c r="K1693" s="37">
        <f>AVERAGE(F$5:F1693)</f>
        <v/>
      </c>
      <c r="L1693" s="37">
        <f>SUM(F$5:F1693)/SUM(E$5:E1693)</f>
        <v/>
      </c>
    </row>
    <row r="1694">
      <c r="A1694" s="29" t="n">
        <v>45901</v>
      </c>
      <c r="B1694" s="37" t="inlineStr">
        <is>
          <t>JOB-2690</t>
        </is>
      </c>
      <c r="C1694" s="34" t="n">
        <v>1</v>
      </c>
      <c r="D1694" s="37" t="inlineStr">
        <is>
          <t>Tech H</t>
        </is>
      </c>
      <c r="E1694" s="35" t="n">
        <v>4.5</v>
      </c>
      <c r="F1694" s="35" t="n">
        <v>3.2</v>
      </c>
      <c r="G1694" s="37" t="inlineStr">
        <is>
          <t>Y</t>
        </is>
      </c>
      <c r="H1694" s="37" t="inlineStr">
        <is>
          <t>N</t>
        </is>
      </c>
      <c r="I1694" s="37">
        <f>COUNTIF(G$5:G1694,"Y")/COUNTA(G$5:G1694)</f>
        <v/>
      </c>
      <c r="J1694" s="37">
        <f>COUNTIF(H$5:H1694,"Y")/COUNTA(H$5:H1694)</f>
        <v/>
      </c>
      <c r="K1694" s="37">
        <f>AVERAGE(F$5:F1694)</f>
        <v/>
      </c>
      <c r="L1694" s="37">
        <f>SUM(F$5:F1694)/SUM(E$5:E1694)</f>
        <v/>
      </c>
    </row>
    <row r="1695">
      <c r="A1695" s="29" t="n">
        <v>45902</v>
      </c>
      <c r="B1695" s="37" t="inlineStr">
        <is>
          <t>JOB-2691</t>
        </is>
      </c>
      <c r="C1695" s="34" t="n">
        <v>1</v>
      </c>
      <c r="D1695" s="37" t="inlineStr">
        <is>
          <t>Tech D</t>
        </is>
      </c>
      <c r="E1695" s="35" t="n">
        <v>1.7</v>
      </c>
      <c r="F1695" s="35" t="n">
        <v>1.5</v>
      </c>
      <c r="G1695" s="37" t="inlineStr">
        <is>
          <t>Y</t>
        </is>
      </c>
      <c r="H1695" s="37" t="inlineStr">
        <is>
          <t>N</t>
        </is>
      </c>
      <c r="I1695" s="37">
        <f>COUNTIF(G$5:G1695,"Y")/COUNTA(G$5:G1695)</f>
        <v/>
      </c>
      <c r="J1695" s="37">
        <f>COUNTIF(H$5:H1695,"Y")/COUNTA(H$5:H1695)</f>
        <v/>
      </c>
      <c r="K1695" s="37">
        <f>AVERAGE(F$5:F1695)</f>
        <v/>
      </c>
      <c r="L1695" s="37">
        <f>SUM(F$5:F1695)/SUM(E$5:E1695)</f>
        <v/>
      </c>
    </row>
    <row r="1696">
      <c r="A1696" s="29" t="n">
        <v>45903</v>
      </c>
      <c r="B1696" s="37" t="inlineStr">
        <is>
          <t>JOB-2692</t>
        </is>
      </c>
      <c r="C1696" s="34" t="n">
        <v>1</v>
      </c>
      <c r="D1696" s="37" t="inlineStr">
        <is>
          <t>Tech B</t>
        </is>
      </c>
      <c r="E1696" s="35" t="n">
        <v>4.1</v>
      </c>
      <c r="F1696" s="35" t="n">
        <v>3.4</v>
      </c>
      <c r="G1696" s="37" t="inlineStr">
        <is>
          <t>Y</t>
        </is>
      </c>
      <c r="H1696" s="37" t="inlineStr">
        <is>
          <t>N</t>
        </is>
      </c>
      <c r="I1696" s="37">
        <f>COUNTIF(G$5:G1696,"Y")/COUNTA(G$5:G1696)</f>
        <v/>
      </c>
      <c r="J1696" s="37">
        <f>COUNTIF(H$5:H1696,"Y")/COUNTA(H$5:H1696)</f>
        <v/>
      </c>
      <c r="K1696" s="37">
        <f>AVERAGE(F$5:F1696)</f>
        <v/>
      </c>
      <c r="L1696" s="37">
        <f>SUM(F$5:F1696)/SUM(E$5:E1696)</f>
        <v/>
      </c>
    </row>
    <row r="1697">
      <c r="A1697" s="29" t="n">
        <v>45904</v>
      </c>
      <c r="B1697" s="37" t="inlineStr">
        <is>
          <t>JOB-2693</t>
        </is>
      </c>
      <c r="C1697" s="34" t="n">
        <v>1</v>
      </c>
      <c r="D1697" s="37" t="inlineStr">
        <is>
          <t>Tech B</t>
        </is>
      </c>
      <c r="E1697" s="35" t="n">
        <v>3.3</v>
      </c>
      <c r="F1697" s="35" t="n">
        <v>2.6</v>
      </c>
      <c r="G1697" s="37" t="inlineStr">
        <is>
          <t>Y</t>
        </is>
      </c>
      <c r="H1697" s="37" t="inlineStr">
        <is>
          <t>N</t>
        </is>
      </c>
      <c r="I1697" s="37">
        <f>COUNTIF(G$5:G1697,"Y")/COUNTA(G$5:G1697)</f>
        <v/>
      </c>
      <c r="J1697" s="37">
        <f>COUNTIF(H$5:H1697,"Y")/COUNTA(H$5:H1697)</f>
        <v/>
      </c>
      <c r="K1697" s="37">
        <f>AVERAGE(F$5:F1697)</f>
        <v/>
      </c>
      <c r="L1697" s="37">
        <f>SUM(F$5:F1697)/SUM(E$5:E1697)</f>
        <v/>
      </c>
    </row>
    <row r="1698">
      <c r="A1698" s="29" t="n">
        <v>45905</v>
      </c>
      <c r="B1698" s="37" t="inlineStr">
        <is>
          <t>JOB-2694</t>
        </is>
      </c>
      <c r="C1698" s="34" t="n">
        <v>1</v>
      </c>
      <c r="D1698" s="37" t="inlineStr">
        <is>
          <t>Tech B</t>
        </is>
      </c>
      <c r="E1698" s="35" t="n">
        <v>1.2</v>
      </c>
      <c r="F1698" s="35" t="n">
        <v>1</v>
      </c>
      <c r="G1698" s="37" t="inlineStr">
        <is>
          <t>Y</t>
        </is>
      </c>
      <c r="H1698" s="37" t="inlineStr">
        <is>
          <t>N</t>
        </is>
      </c>
      <c r="I1698" s="37">
        <f>COUNTIF(G$5:G1698,"Y")/COUNTA(G$5:G1698)</f>
        <v/>
      </c>
      <c r="J1698" s="37">
        <f>COUNTIF(H$5:H1698,"Y")/COUNTA(H$5:H1698)</f>
        <v/>
      </c>
      <c r="K1698" s="37">
        <f>AVERAGE(F$5:F1698)</f>
        <v/>
      </c>
      <c r="L1698" s="37">
        <f>SUM(F$5:F1698)/SUM(E$5:E1698)</f>
        <v/>
      </c>
    </row>
    <row r="1699">
      <c r="A1699" s="29" t="n">
        <v>45901</v>
      </c>
      <c r="B1699" s="37" t="inlineStr">
        <is>
          <t>JOB-2695</t>
        </is>
      </c>
      <c r="C1699" s="34" t="n">
        <v>1</v>
      </c>
      <c r="D1699" s="37" t="inlineStr">
        <is>
          <t>Tech B</t>
        </is>
      </c>
      <c r="E1699" s="35" t="n">
        <v>1.4</v>
      </c>
      <c r="F1699" s="35" t="n">
        <v>1</v>
      </c>
      <c r="G1699" s="37" t="inlineStr">
        <is>
          <t>Y</t>
        </is>
      </c>
      <c r="H1699" s="37" t="inlineStr">
        <is>
          <t>N</t>
        </is>
      </c>
      <c r="I1699" s="37">
        <f>COUNTIF(G$5:G1699,"Y")/COUNTA(G$5:G1699)</f>
        <v/>
      </c>
      <c r="J1699" s="37">
        <f>COUNTIF(H$5:H1699,"Y")/COUNTA(H$5:H1699)</f>
        <v/>
      </c>
      <c r="K1699" s="37">
        <f>AVERAGE(F$5:F1699)</f>
        <v/>
      </c>
      <c r="L1699" s="37">
        <f>SUM(F$5:F1699)/SUM(E$5:E1699)</f>
        <v/>
      </c>
    </row>
    <row r="1700">
      <c r="A1700" s="29" t="n">
        <v>45902</v>
      </c>
      <c r="B1700" s="37" t="inlineStr">
        <is>
          <t>JOB-2696</t>
        </is>
      </c>
      <c r="C1700" s="34" t="n">
        <v>1</v>
      </c>
      <c r="D1700" s="37" t="inlineStr">
        <is>
          <t>Tech F</t>
        </is>
      </c>
      <c r="E1700" s="35" t="n">
        <v>2.6</v>
      </c>
      <c r="F1700" s="35" t="n">
        <v>2.1</v>
      </c>
      <c r="G1700" s="37" t="inlineStr">
        <is>
          <t>Y</t>
        </is>
      </c>
      <c r="H1700" s="37" t="inlineStr">
        <is>
          <t>N</t>
        </is>
      </c>
      <c r="I1700" s="37">
        <f>COUNTIF(G$5:G1700,"Y")/COUNTA(G$5:G1700)</f>
        <v/>
      </c>
      <c r="J1700" s="37">
        <f>COUNTIF(H$5:H1700,"Y")/COUNTA(H$5:H1700)</f>
        <v/>
      </c>
      <c r="K1700" s="37">
        <f>AVERAGE(F$5:F1700)</f>
        <v/>
      </c>
      <c r="L1700" s="37">
        <f>SUM(F$5:F1700)/SUM(E$5:E1700)</f>
        <v/>
      </c>
    </row>
    <row r="1701">
      <c r="A1701" s="29" t="n">
        <v>45903</v>
      </c>
      <c r="B1701" s="37" t="inlineStr">
        <is>
          <t>JOB-2697</t>
        </is>
      </c>
      <c r="C1701" s="34" t="n">
        <v>1</v>
      </c>
      <c r="D1701" s="37" t="inlineStr">
        <is>
          <t>Tech D</t>
        </is>
      </c>
      <c r="E1701" s="35" t="n">
        <v>3.6</v>
      </c>
      <c r="F1701" s="35" t="n">
        <v>2.6</v>
      </c>
      <c r="G1701" s="37" t="inlineStr">
        <is>
          <t>Y</t>
        </is>
      </c>
      <c r="H1701" s="37" t="inlineStr">
        <is>
          <t>N</t>
        </is>
      </c>
      <c r="I1701" s="37">
        <f>COUNTIF(G$5:G1701,"Y")/COUNTA(G$5:G1701)</f>
        <v/>
      </c>
      <c r="J1701" s="37">
        <f>COUNTIF(H$5:H1701,"Y")/COUNTA(H$5:H1701)</f>
        <v/>
      </c>
      <c r="K1701" s="37">
        <f>AVERAGE(F$5:F1701)</f>
        <v/>
      </c>
      <c r="L1701" s="37">
        <f>SUM(F$5:F1701)/SUM(E$5:E1701)</f>
        <v/>
      </c>
    </row>
    <row r="1702">
      <c r="A1702" s="29" t="n">
        <v>45904</v>
      </c>
      <c r="B1702" s="37" t="inlineStr">
        <is>
          <t>JOB-2698</t>
        </is>
      </c>
      <c r="C1702" s="34" t="n">
        <v>1</v>
      </c>
      <c r="D1702" s="37" t="inlineStr">
        <is>
          <t>Tech A</t>
        </is>
      </c>
      <c r="E1702" s="35" t="n">
        <v>3.3</v>
      </c>
      <c r="F1702" s="35" t="n">
        <v>2.7</v>
      </c>
      <c r="G1702" s="37" t="inlineStr">
        <is>
          <t>N</t>
        </is>
      </c>
      <c r="H1702" s="37" t="inlineStr">
        <is>
          <t>N</t>
        </is>
      </c>
      <c r="I1702" s="37">
        <f>COUNTIF(G$5:G1702,"Y")/COUNTA(G$5:G1702)</f>
        <v/>
      </c>
      <c r="J1702" s="37">
        <f>COUNTIF(H$5:H1702,"Y")/COUNTA(H$5:H1702)</f>
        <v/>
      </c>
      <c r="K1702" s="37">
        <f>AVERAGE(F$5:F1702)</f>
        <v/>
      </c>
      <c r="L1702" s="37">
        <f>SUM(F$5:F1702)/SUM(E$5:E1702)</f>
        <v/>
      </c>
    </row>
    <row r="1703">
      <c r="A1703" s="29" t="n">
        <v>45905</v>
      </c>
      <c r="B1703" s="37" t="inlineStr">
        <is>
          <t>JOB-2699</t>
        </is>
      </c>
      <c r="C1703" s="34" t="n">
        <v>1</v>
      </c>
      <c r="D1703" s="37" t="inlineStr">
        <is>
          <t>Tech G</t>
        </is>
      </c>
      <c r="E1703" s="35" t="n">
        <v>4</v>
      </c>
      <c r="F1703" s="35" t="n">
        <v>3</v>
      </c>
      <c r="G1703" s="37" t="inlineStr">
        <is>
          <t>Y</t>
        </is>
      </c>
      <c r="H1703" s="37" t="inlineStr">
        <is>
          <t>N</t>
        </is>
      </c>
      <c r="I1703" s="37">
        <f>COUNTIF(G$5:G1703,"Y")/COUNTA(G$5:G1703)</f>
        <v/>
      </c>
      <c r="J1703" s="37">
        <f>COUNTIF(H$5:H1703,"Y")/COUNTA(H$5:H1703)</f>
        <v/>
      </c>
      <c r="K1703" s="37">
        <f>AVERAGE(F$5:F1703)</f>
        <v/>
      </c>
      <c r="L1703" s="37">
        <f>SUM(F$5:F1703)/SUM(E$5:E1703)</f>
        <v/>
      </c>
    </row>
    <row r="1704">
      <c r="A1704" s="29" t="n">
        <v>45901</v>
      </c>
      <c r="B1704" s="37" t="inlineStr">
        <is>
          <t>JOB-2700</t>
        </is>
      </c>
      <c r="C1704" s="34" t="n">
        <v>1</v>
      </c>
      <c r="D1704" s="37" t="inlineStr">
        <is>
          <t>Tech D</t>
        </is>
      </c>
      <c r="E1704" s="35" t="n">
        <v>4</v>
      </c>
      <c r="F1704" s="35" t="n">
        <v>2.7</v>
      </c>
      <c r="G1704" s="37" t="inlineStr">
        <is>
          <t>Y</t>
        </is>
      </c>
      <c r="H1704" s="37" t="inlineStr">
        <is>
          <t>N</t>
        </is>
      </c>
      <c r="I1704" s="37">
        <f>COUNTIF(G$5:G1704,"Y")/COUNTA(G$5:G1704)</f>
        <v/>
      </c>
      <c r="J1704" s="37">
        <f>COUNTIF(H$5:H1704,"Y")/COUNTA(H$5:H1704)</f>
        <v/>
      </c>
      <c r="K1704" s="37">
        <f>AVERAGE(F$5:F1704)</f>
        <v/>
      </c>
      <c r="L1704" s="37">
        <f>SUM(F$5:F1704)/SUM(E$5:E1704)</f>
        <v/>
      </c>
    </row>
    <row r="1705">
      <c r="A1705" s="29" t="n">
        <v>45902</v>
      </c>
      <c r="B1705" s="37" t="inlineStr">
        <is>
          <t>JOB-2701</t>
        </is>
      </c>
      <c r="C1705" s="34" t="n">
        <v>1</v>
      </c>
      <c r="D1705" s="37" t="inlineStr">
        <is>
          <t>Tech D</t>
        </is>
      </c>
      <c r="E1705" s="35" t="n">
        <v>1</v>
      </c>
      <c r="F1705" s="35" t="n">
        <v>0.8</v>
      </c>
      <c r="G1705" s="37" t="inlineStr">
        <is>
          <t>Y</t>
        </is>
      </c>
      <c r="H1705" s="37" t="inlineStr">
        <is>
          <t>N</t>
        </is>
      </c>
      <c r="I1705" s="37">
        <f>COUNTIF(G$5:G1705,"Y")/COUNTA(G$5:G1705)</f>
        <v/>
      </c>
      <c r="J1705" s="37">
        <f>COUNTIF(H$5:H1705,"Y")/COUNTA(H$5:H1705)</f>
        <v/>
      </c>
      <c r="K1705" s="37">
        <f>AVERAGE(F$5:F1705)</f>
        <v/>
      </c>
      <c r="L1705" s="37">
        <f>SUM(F$5:F1705)/SUM(E$5:E1705)</f>
        <v/>
      </c>
    </row>
    <row r="1706">
      <c r="A1706" s="29" t="n">
        <v>45903</v>
      </c>
      <c r="B1706" s="37" t="inlineStr">
        <is>
          <t>JOB-2702</t>
        </is>
      </c>
      <c r="C1706" s="34" t="n">
        <v>1</v>
      </c>
      <c r="D1706" s="37" t="inlineStr">
        <is>
          <t>Tech C</t>
        </is>
      </c>
      <c r="E1706" s="35" t="n">
        <v>0.5</v>
      </c>
      <c r="F1706" s="35" t="n">
        <v>0.5</v>
      </c>
      <c r="G1706" s="37" t="inlineStr">
        <is>
          <t>Y</t>
        </is>
      </c>
      <c r="H1706" s="37" t="inlineStr">
        <is>
          <t>Y</t>
        </is>
      </c>
      <c r="I1706" s="37">
        <f>COUNTIF(G$5:G1706,"Y")/COUNTA(G$5:G1706)</f>
        <v/>
      </c>
      <c r="J1706" s="37">
        <f>COUNTIF(H$5:H1706,"Y")/COUNTA(H$5:H1706)</f>
        <v/>
      </c>
      <c r="K1706" s="37">
        <f>AVERAGE(F$5:F1706)</f>
        <v/>
      </c>
      <c r="L1706" s="37">
        <f>SUM(F$5:F1706)/SUM(E$5:E1706)</f>
        <v/>
      </c>
    </row>
    <row r="1707">
      <c r="A1707" s="29" t="n">
        <v>45904</v>
      </c>
      <c r="B1707" s="37" t="inlineStr">
        <is>
          <t>JOB-2703</t>
        </is>
      </c>
      <c r="C1707" s="34" t="n">
        <v>1</v>
      </c>
      <c r="D1707" s="37" t="inlineStr">
        <is>
          <t>Tech B</t>
        </is>
      </c>
      <c r="E1707" s="35" t="n">
        <v>0.5</v>
      </c>
      <c r="F1707" s="35" t="n">
        <v>0.5</v>
      </c>
      <c r="G1707" s="37" t="inlineStr">
        <is>
          <t>Y</t>
        </is>
      </c>
      <c r="H1707" s="37" t="inlineStr">
        <is>
          <t>N</t>
        </is>
      </c>
      <c r="I1707" s="37">
        <f>COUNTIF(G$5:G1707,"Y")/COUNTA(G$5:G1707)</f>
        <v/>
      </c>
      <c r="J1707" s="37">
        <f>COUNTIF(H$5:H1707,"Y")/COUNTA(H$5:H1707)</f>
        <v/>
      </c>
      <c r="K1707" s="37">
        <f>AVERAGE(F$5:F1707)</f>
        <v/>
      </c>
      <c r="L1707" s="37">
        <f>SUM(F$5:F1707)/SUM(E$5:E1707)</f>
        <v/>
      </c>
    </row>
    <row r="1708">
      <c r="A1708" s="29" t="n">
        <v>45905</v>
      </c>
      <c r="B1708" s="37" t="inlineStr">
        <is>
          <t>JOB-2704</t>
        </is>
      </c>
      <c r="C1708" s="34" t="n">
        <v>1</v>
      </c>
      <c r="D1708" s="37" t="inlineStr">
        <is>
          <t>Tech B</t>
        </is>
      </c>
      <c r="E1708" s="35" t="n">
        <v>0.5</v>
      </c>
      <c r="F1708" s="35" t="n">
        <v>0.5</v>
      </c>
      <c r="G1708" s="37" t="inlineStr">
        <is>
          <t>Y</t>
        </is>
      </c>
      <c r="H1708" s="37" t="inlineStr">
        <is>
          <t>N</t>
        </is>
      </c>
      <c r="I1708" s="37">
        <f>COUNTIF(G$5:G1708,"Y")/COUNTA(G$5:G1708)</f>
        <v/>
      </c>
      <c r="J1708" s="37">
        <f>COUNTIF(H$5:H1708,"Y")/COUNTA(H$5:H1708)</f>
        <v/>
      </c>
      <c r="K1708" s="37">
        <f>AVERAGE(F$5:F1708)</f>
        <v/>
      </c>
      <c r="L1708" s="37">
        <f>SUM(F$5:F1708)/SUM(E$5:E1708)</f>
        <v/>
      </c>
    </row>
    <row r="1709">
      <c r="A1709" s="29" t="n">
        <v>45901</v>
      </c>
      <c r="B1709" s="37" t="inlineStr">
        <is>
          <t>JOB-2705</t>
        </is>
      </c>
      <c r="C1709" s="34" t="n">
        <v>1</v>
      </c>
      <c r="D1709" s="37" t="inlineStr">
        <is>
          <t>Tech F</t>
        </is>
      </c>
      <c r="E1709" s="35" t="n">
        <v>0.5</v>
      </c>
      <c r="F1709" s="35" t="n">
        <v>0.5</v>
      </c>
      <c r="G1709" s="37" t="inlineStr">
        <is>
          <t>Y</t>
        </is>
      </c>
      <c r="H1709" s="37" t="inlineStr">
        <is>
          <t>N</t>
        </is>
      </c>
      <c r="I1709" s="37">
        <f>COUNTIF(G$5:G1709,"Y")/COUNTA(G$5:G1709)</f>
        <v/>
      </c>
      <c r="J1709" s="37">
        <f>COUNTIF(H$5:H1709,"Y")/COUNTA(H$5:H1709)</f>
        <v/>
      </c>
      <c r="K1709" s="37">
        <f>AVERAGE(F$5:F1709)</f>
        <v/>
      </c>
      <c r="L1709" s="37">
        <f>SUM(F$5:F1709)/SUM(E$5:E1709)</f>
        <v/>
      </c>
    </row>
    <row r="1710">
      <c r="A1710" s="29" t="n">
        <v>45902</v>
      </c>
      <c r="B1710" s="37" t="inlineStr">
        <is>
          <t>JOB-2706</t>
        </is>
      </c>
      <c r="C1710" s="34" t="n">
        <v>1</v>
      </c>
      <c r="D1710" s="37" t="inlineStr">
        <is>
          <t>Tech A</t>
        </is>
      </c>
      <c r="E1710" s="35" t="n">
        <v>0.5</v>
      </c>
      <c r="F1710" s="35" t="n">
        <v>0.5</v>
      </c>
      <c r="G1710" s="37" t="inlineStr">
        <is>
          <t>Y</t>
        </is>
      </c>
      <c r="H1710" s="37" t="inlineStr">
        <is>
          <t>N</t>
        </is>
      </c>
      <c r="I1710" s="37">
        <f>COUNTIF(G$5:G1710,"Y")/COUNTA(G$5:G1710)</f>
        <v/>
      </c>
      <c r="J1710" s="37">
        <f>COUNTIF(H$5:H1710,"Y")/COUNTA(H$5:H1710)</f>
        <v/>
      </c>
      <c r="K1710" s="37">
        <f>AVERAGE(F$5:F1710)</f>
        <v/>
      </c>
      <c r="L1710" s="37">
        <f>SUM(F$5:F1710)/SUM(E$5:E1710)</f>
        <v/>
      </c>
    </row>
    <row r="1711">
      <c r="A1711" s="29" t="n">
        <v>45903</v>
      </c>
      <c r="B1711" s="37" t="inlineStr">
        <is>
          <t>JOB-2707</t>
        </is>
      </c>
      <c r="C1711" s="34" t="n">
        <v>1</v>
      </c>
      <c r="D1711" s="37" t="inlineStr">
        <is>
          <t>Tech A</t>
        </is>
      </c>
      <c r="E1711" s="35" t="n">
        <v>0.5</v>
      </c>
      <c r="F1711" s="35" t="n">
        <v>0.5</v>
      </c>
      <c r="G1711" s="37" t="inlineStr">
        <is>
          <t>Y</t>
        </is>
      </c>
      <c r="H1711" s="37" t="inlineStr">
        <is>
          <t>N</t>
        </is>
      </c>
      <c r="I1711" s="37">
        <f>COUNTIF(G$5:G1711,"Y")/COUNTA(G$5:G1711)</f>
        <v/>
      </c>
      <c r="J1711" s="37">
        <f>COUNTIF(H$5:H1711,"Y")/COUNTA(H$5:H1711)</f>
        <v/>
      </c>
      <c r="K1711" s="37">
        <f>AVERAGE(F$5:F1711)</f>
        <v/>
      </c>
      <c r="L1711" s="37">
        <f>SUM(F$5:F1711)/SUM(E$5:E1711)</f>
        <v/>
      </c>
    </row>
    <row r="1712">
      <c r="A1712" s="29" t="n">
        <v>45904</v>
      </c>
      <c r="B1712" s="37" t="inlineStr">
        <is>
          <t>JOB-2708</t>
        </is>
      </c>
      <c r="C1712" s="34" t="n">
        <v>1</v>
      </c>
      <c r="D1712" s="37" t="inlineStr">
        <is>
          <t>Tech C</t>
        </is>
      </c>
      <c r="E1712" s="35" t="n">
        <v>0.5</v>
      </c>
      <c r="F1712" s="35" t="n">
        <v>0.5</v>
      </c>
      <c r="G1712" s="37" t="inlineStr">
        <is>
          <t>N</t>
        </is>
      </c>
      <c r="H1712" s="37" t="inlineStr">
        <is>
          <t>N</t>
        </is>
      </c>
      <c r="I1712" s="37">
        <f>COUNTIF(G$5:G1712,"Y")/COUNTA(G$5:G1712)</f>
        <v/>
      </c>
      <c r="J1712" s="37">
        <f>COUNTIF(H$5:H1712,"Y")/COUNTA(H$5:H1712)</f>
        <v/>
      </c>
      <c r="K1712" s="37">
        <f>AVERAGE(F$5:F1712)</f>
        <v/>
      </c>
      <c r="L1712" s="37">
        <f>SUM(F$5:F1712)/SUM(E$5:E1712)</f>
        <v/>
      </c>
      <c r="M1712" s="37" t="n">
        <v>10</v>
      </c>
    </row>
    <row r="1713">
      <c r="A1713" s="29" t="n">
        <v>45908</v>
      </c>
      <c r="B1713" s="37" t="inlineStr">
        <is>
          <t>JOB-2709</t>
        </is>
      </c>
      <c r="C1713" s="34" t="n">
        <v>1</v>
      </c>
      <c r="D1713" s="37" t="inlineStr">
        <is>
          <t>Tech C</t>
        </is>
      </c>
      <c r="E1713" s="35" t="n">
        <v>4.2</v>
      </c>
      <c r="F1713" s="35" t="n">
        <v>3.3</v>
      </c>
      <c r="G1713" s="37" t="inlineStr">
        <is>
          <t>Y</t>
        </is>
      </c>
      <c r="H1713" s="37" t="inlineStr">
        <is>
          <t>N</t>
        </is>
      </c>
      <c r="I1713" s="37">
        <f>COUNTIF(G$5:G1713,"Y")/COUNTA(G$5:G1713)</f>
        <v/>
      </c>
      <c r="J1713" s="37">
        <f>COUNTIF(H$5:H1713,"Y")/COUNTA(H$5:H1713)</f>
        <v/>
      </c>
      <c r="K1713" s="37">
        <f>AVERAGE(F$5:F1713)</f>
        <v/>
      </c>
      <c r="L1713" s="37">
        <f>SUM(F$5:F1713)/SUM(E$5:E1713)</f>
        <v/>
      </c>
    </row>
    <row r="1714">
      <c r="A1714" s="29" t="n">
        <v>45909</v>
      </c>
      <c r="B1714" s="37" t="inlineStr">
        <is>
          <t>JOB-2710</t>
        </is>
      </c>
      <c r="C1714" s="34" t="n">
        <v>1</v>
      </c>
      <c r="D1714" s="37" t="inlineStr">
        <is>
          <t>Tech H</t>
        </is>
      </c>
      <c r="E1714" s="35" t="n">
        <v>2</v>
      </c>
      <c r="F1714" s="35" t="n">
        <v>1.4</v>
      </c>
      <c r="G1714" s="37" t="inlineStr">
        <is>
          <t>Y</t>
        </is>
      </c>
      <c r="H1714" s="37" t="inlineStr">
        <is>
          <t>N</t>
        </is>
      </c>
      <c r="I1714" s="37">
        <f>COUNTIF(G$5:G1714,"Y")/COUNTA(G$5:G1714)</f>
        <v/>
      </c>
      <c r="J1714" s="37">
        <f>COUNTIF(H$5:H1714,"Y")/COUNTA(H$5:H1714)</f>
        <v/>
      </c>
      <c r="K1714" s="37">
        <f>AVERAGE(F$5:F1714)</f>
        <v/>
      </c>
      <c r="L1714" s="37">
        <f>SUM(F$5:F1714)/SUM(E$5:E1714)</f>
        <v/>
      </c>
    </row>
    <row r="1715">
      <c r="A1715" s="29" t="n">
        <v>45910</v>
      </c>
      <c r="B1715" s="37" t="inlineStr">
        <is>
          <t>JOB-2711</t>
        </is>
      </c>
      <c r="C1715" s="34" t="n">
        <v>1</v>
      </c>
      <c r="D1715" s="37" t="inlineStr">
        <is>
          <t>Tech G</t>
        </is>
      </c>
      <c r="E1715" s="35" t="n">
        <v>3.7</v>
      </c>
      <c r="F1715" s="35" t="n">
        <v>3.3</v>
      </c>
      <c r="G1715" s="37" t="inlineStr">
        <is>
          <t>Y</t>
        </is>
      </c>
      <c r="H1715" s="37" t="inlineStr">
        <is>
          <t>N</t>
        </is>
      </c>
      <c r="I1715" s="37">
        <f>COUNTIF(G$5:G1715,"Y")/COUNTA(G$5:G1715)</f>
        <v/>
      </c>
      <c r="J1715" s="37">
        <f>COUNTIF(H$5:H1715,"Y")/COUNTA(H$5:H1715)</f>
        <v/>
      </c>
      <c r="K1715" s="37">
        <f>AVERAGE(F$5:F1715)</f>
        <v/>
      </c>
      <c r="L1715" s="37">
        <f>SUM(F$5:F1715)/SUM(E$5:E1715)</f>
        <v/>
      </c>
    </row>
    <row r="1716">
      <c r="A1716" s="29" t="n">
        <v>45911</v>
      </c>
      <c r="B1716" s="37" t="inlineStr">
        <is>
          <t>JOB-2712</t>
        </is>
      </c>
      <c r="C1716" s="34" t="n">
        <v>1</v>
      </c>
      <c r="D1716" s="37" t="inlineStr">
        <is>
          <t>Tech G</t>
        </is>
      </c>
      <c r="E1716" s="35" t="n">
        <v>1.6</v>
      </c>
      <c r="F1716" s="35" t="n">
        <v>1.2</v>
      </c>
      <c r="G1716" s="37" t="inlineStr">
        <is>
          <t>N</t>
        </is>
      </c>
      <c r="H1716" s="37" t="inlineStr">
        <is>
          <t>N</t>
        </is>
      </c>
      <c r="I1716" s="37">
        <f>COUNTIF(G$5:G1716,"Y")/COUNTA(G$5:G1716)</f>
        <v/>
      </c>
      <c r="J1716" s="37">
        <f>COUNTIF(H$5:H1716,"Y")/COUNTA(H$5:H1716)</f>
        <v/>
      </c>
      <c r="K1716" s="37">
        <f>AVERAGE(F$5:F1716)</f>
        <v/>
      </c>
      <c r="L1716" s="37">
        <f>SUM(F$5:F1716)/SUM(E$5:E1716)</f>
        <v/>
      </c>
    </row>
    <row r="1717">
      <c r="A1717" s="29" t="n">
        <v>45912</v>
      </c>
      <c r="B1717" s="37" t="inlineStr">
        <is>
          <t>JOB-2713</t>
        </is>
      </c>
      <c r="C1717" s="34" t="n">
        <v>1</v>
      </c>
      <c r="D1717" s="37" t="inlineStr">
        <is>
          <t>Tech H</t>
        </is>
      </c>
      <c r="E1717" s="35" t="n">
        <v>3</v>
      </c>
      <c r="F1717" s="35" t="n">
        <v>2.6</v>
      </c>
      <c r="G1717" s="37" t="inlineStr">
        <is>
          <t>N</t>
        </is>
      </c>
      <c r="H1717" s="37" t="inlineStr">
        <is>
          <t>N</t>
        </is>
      </c>
      <c r="I1717" s="37">
        <f>COUNTIF(G$5:G1717,"Y")/COUNTA(G$5:G1717)</f>
        <v/>
      </c>
      <c r="J1717" s="37">
        <f>COUNTIF(H$5:H1717,"Y")/COUNTA(H$5:H1717)</f>
        <v/>
      </c>
      <c r="K1717" s="37">
        <f>AVERAGE(F$5:F1717)</f>
        <v/>
      </c>
      <c r="L1717" s="37">
        <f>SUM(F$5:F1717)/SUM(E$5:E1717)</f>
        <v/>
      </c>
    </row>
    <row r="1718">
      <c r="A1718" s="29" t="n">
        <v>45908</v>
      </c>
      <c r="B1718" s="37" t="inlineStr">
        <is>
          <t>JOB-2714</t>
        </is>
      </c>
      <c r="C1718" s="34" t="n">
        <v>1</v>
      </c>
      <c r="D1718" s="37" t="inlineStr">
        <is>
          <t>Tech F</t>
        </is>
      </c>
      <c r="E1718" s="35" t="n">
        <v>2</v>
      </c>
      <c r="F1718" s="35" t="n">
        <v>1.6</v>
      </c>
      <c r="G1718" s="37" t="inlineStr">
        <is>
          <t>Y</t>
        </is>
      </c>
      <c r="H1718" s="37" t="inlineStr">
        <is>
          <t>N</t>
        </is>
      </c>
      <c r="I1718" s="37">
        <f>COUNTIF(G$5:G1718,"Y")/COUNTA(G$5:G1718)</f>
        <v/>
      </c>
      <c r="J1718" s="37">
        <f>COUNTIF(H$5:H1718,"Y")/COUNTA(H$5:H1718)</f>
        <v/>
      </c>
      <c r="K1718" s="37">
        <f>AVERAGE(F$5:F1718)</f>
        <v/>
      </c>
      <c r="L1718" s="37">
        <f>SUM(F$5:F1718)/SUM(E$5:E1718)</f>
        <v/>
      </c>
    </row>
    <row r="1719">
      <c r="A1719" s="29" t="n">
        <v>45909</v>
      </c>
      <c r="B1719" s="37" t="inlineStr">
        <is>
          <t>JOB-2715</t>
        </is>
      </c>
      <c r="C1719" s="34" t="n">
        <v>1</v>
      </c>
      <c r="D1719" s="37" t="inlineStr">
        <is>
          <t>Tech H</t>
        </is>
      </c>
      <c r="E1719" s="35" t="n">
        <v>2.4</v>
      </c>
      <c r="F1719" s="35" t="n">
        <v>1.9</v>
      </c>
      <c r="G1719" s="37" t="inlineStr">
        <is>
          <t>N</t>
        </is>
      </c>
      <c r="H1719" s="37" t="inlineStr">
        <is>
          <t>N</t>
        </is>
      </c>
      <c r="I1719" s="37">
        <f>COUNTIF(G$5:G1719,"Y")/COUNTA(G$5:G1719)</f>
        <v/>
      </c>
      <c r="J1719" s="37">
        <f>COUNTIF(H$5:H1719,"Y")/COUNTA(H$5:H1719)</f>
        <v/>
      </c>
      <c r="K1719" s="37">
        <f>AVERAGE(F$5:F1719)</f>
        <v/>
      </c>
      <c r="L1719" s="37">
        <f>SUM(F$5:F1719)/SUM(E$5:E1719)</f>
        <v/>
      </c>
    </row>
    <row r="1720">
      <c r="A1720" s="29" t="n">
        <v>45910</v>
      </c>
      <c r="B1720" s="37" t="inlineStr">
        <is>
          <t>JOB-2716</t>
        </is>
      </c>
      <c r="C1720" s="34" t="n">
        <v>1</v>
      </c>
      <c r="D1720" s="37" t="inlineStr">
        <is>
          <t>Tech B</t>
        </is>
      </c>
      <c r="E1720" s="35" t="n">
        <v>1.6</v>
      </c>
      <c r="F1720" s="35" t="n">
        <v>1.1</v>
      </c>
      <c r="G1720" s="37" t="inlineStr">
        <is>
          <t>Y</t>
        </is>
      </c>
      <c r="H1720" s="37" t="inlineStr">
        <is>
          <t>N</t>
        </is>
      </c>
      <c r="I1720" s="37">
        <f>COUNTIF(G$5:G1720,"Y")/COUNTA(G$5:G1720)</f>
        <v/>
      </c>
      <c r="J1720" s="37">
        <f>COUNTIF(H$5:H1720,"Y")/COUNTA(H$5:H1720)</f>
        <v/>
      </c>
      <c r="K1720" s="37">
        <f>AVERAGE(F$5:F1720)</f>
        <v/>
      </c>
      <c r="L1720" s="37">
        <f>SUM(F$5:F1720)/SUM(E$5:E1720)</f>
        <v/>
      </c>
    </row>
    <row r="1721">
      <c r="A1721" s="29" t="n">
        <v>45911</v>
      </c>
      <c r="B1721" s="37" t="inlineStr">
        <is>
          <t>JOB-2717</t>
        </is>
      </c>
      <c r="C1721" s="34" t="n">
        <v>1</v>
      </c>
      <c r="D1721" s="37" t="inlineStr">
        <is>
          <t>Tech H</t>
        </is>
      </c>
      <c r="E1721" s="35" t="n">
        <v>2</v>
      </c>
      <c r="F1721" s="35" t="n">
        <v>1.7</v>
      </c>
      <c r="G1721" s="37" t="inlineStr">
        <is>
          <t>Y</t>
        </is>
      </c>
      <c r="H1721" s="37" t="inlineStr">
        <is>
          <t>N</t>
        </is>
      </c>
      <c r="I1721" s="37">
        <f>COUNTIF(G$5:G1721,"Y")/COUNTA(G$5:G1721)</f>
        <v/>
      </c>
      <c r="J1721" s="37">
        <f>COUNTIF(H$5:H1721,"Y")/COUNTA(H$5:H1721)</f>
        <v/>
      </c>
      <c r="K1721" s="37">
        <f>AVERAGE(F$5:F1721)</f>
        <v/>
      </c>
      <c r="L1721" s="37">
        <f>SUM(F$5:F1721)/SUM(E$5:E1721)</f>
        <v/>
      </c>
    </row>
    <row r="1722">
      <c r="A1722" s="29" t="n">
        <v>45912</v>
      </c>
      <c r="B1722" s="37" t="inlineStr">
        <is>
          <t>JOB-2718</t>
        </is>
      </c>
      <c r="C1722" s="34" t="n">
        <v>1</v>
      </c>
      <c r="D1722" s="37" t="inlineStr">
        <is>
          <t>Tech D</t>
        </is>
      </c>
      <c r="E1722" s="35" t="n">
        <v>3.7</v>
      </c>
      <c r="F1722" s="35" t="n">
        <v>2.8</v>
      </c>
      <c r="G1722" s="37" t="inlineStr">
        <is>
          <t>Y</t>
        </is>
      </c>
      <c r="H1722" s="37" t="inlineStr">
        <is>
          <t>N</t>
        </is>
      </c>
      <c r="I1722" s="37">
        <f>COUNTIF(G$5:G1722,"Y")/COUNTA(G$5:G1722)</f>
        <v/>
      </c>
      <c r="J1722" s="37">
        <f>COUNTIF(H$5:H1722,"Y")/COUNTA(H$5:H1722)</f>
        <v/>
      </c>
      <c r="K1722" s="37">
        <f>AVERAGE(F$5:F1722)</f>
        <v/>
      </c>
      <c r="L1722" s="37">
        <f>SUM(F$5:F1722)/SUM(E$5:E1722)</f>
        <v/>
      </c>
    </row>
    <row r="1723">
      <c r="A1723" s="29" t="n">
        <v>45908</v>
      </c>
      <c r="B1723" s="37" t="inlineStr">
        <is>
          <t>JOB-2719</t>
        </is>
      </c>
      <c r="C1723" s="34" t="n">
        <v>1</v>
      </c>
      <c r="D1723" s="37" t="inlineStr">
        <is>
          <t>Tech F</t>
        </is>
      </c>
      <c r="E1723" s="35" t="n">
        <v>3.8</v>
      </c>
      <c r="F1723" s="35" t="n">
        <v>2.7</v>
      </c>
      <c r="G1723" s="37" t="inlineStr">
        <is>
          <t>Y</t>
        </is>
      </c>
      <c r="H1723" s="37" t="inlineStr">
        <is>
          <t>Y</t>
        </is>
      </c>
      <c r="I1723" s="37">
        <f>COUNTIF(G$5:G1723,"Y")/COUNTA(G$5:G1723)</f>
        <v/>
      </c>
      <c r="J1723" s="37">
        <f>COUNTIF(H$5:H1723,"Y")/COUNTA(H$5:H1723)</f>
        <v/>
      </c>
      <c r="K1723" s="37">
        <f>AVERAGE(F$5:F1723)</f>
        <v/>
      </c>
      <c r="L1723" s="37">
        <f>SUM(F$5:F1723)/SUM(E$5:E1723)</f>
        <v/>
      </c>
    </row>
    <row r="1724">
      <c r="A1724" s="29" t="n">
        <v>45909</v>
      </c>
      <c r="B1724" s="37" t="inlineStr">
        <is>
          <t>JOB-2720</t>
        </is>
      </c>
      <c r="C1724" s="34" t="n">
        <v>1</v>
      </c>
      <c r="D1724" s="37" t="inlineStr">
        <is>
          <t>Tech H</t>
        </is>
      </c>
      <c r="E1724" s="35" t="n">
        <v>4.4</v>
      </c>
      <c r="F1724" s="35" t="n">
        <v>3.4</v>
      </c>
      <c r="G1724" s="37" t="inlineStr">
        <is>
          <t>Y</t>
        </is>
      </c>
      <c r="H1724" s="37" t="inlineStr">
        <is>
          <t>N</t>
        </is>
      </c>
      <c r="I1724" s="37">
        <f>COUNTIF(G$5:G1724,"Y")/COUNTA(G$5:G1724)</f>
        <v/>
      </c>
      <c r="J1724" s="37">
        <f>COUNTIF(H$5:H1724,"Y")/COUNTA(H$5:H1724)</f>
        <v/>
      </c>
      <c r="K1724" s="37">
        <f>AVERAGE(F$5:F1724)</f>
        <v/>
      </c>
      <c r="L1724" s="37">
        <f>SUM(F$5:F1724)/SUM(E$5:E1724)</f>
        <v/>
      </c>
    </row>
    <row r="1725">
      <c r="A1725" s="29" t="n">
        <v>45910</v>
      </c>
      <c r="B1725" s="37" t="inlineStr">
        <is>
          <t>JOB-2721</t>
        </is>
      </c>
      <c r="C1725" s="34" t="n">
        <v>1</v>
      </c>
      <c r="D1725" s="37" t="inlineStr">
        <is>
          <t>Tech B</t>
        </is>
      </c>
      <c r="E1725" s="35" t="n">
        <v>3.2</v>
      </c>
      <c r="F1725" s="35" t="n">
        <v>2.2</v>
      </c>
      <c r="G1725" s="37" t="inlineStr">
        <is>
          <t>Y</t>
        </is>
      </c>
      <c r="H1725" s="37" t="inlineStr">
        <is>
          <t>N</t>
        </is>
      </c>
      <c r="I1725" s="37">
        <f>COUNTIF(G$5:G1725,"Y")/COUNTA(G$5:G1725)</f>
        <v/>
      </c>
      <c r="J1725" s="37">
        <f>COUNTIF(H$5:H1725,"Y")/COUNTA(H$5:H1725)</f>
        <v/>
      </c>
      <c r="K1725" s="37">
        <f>AVERAGE(F$5:F1725)</f>
        <v/>
      </c>
      <c r="L1725" s="37">
        <f>SUM(F$5:F1725)/SUM(E$5:E1725)</f>
        <v/>
      </c>
    </row>
    <row r="1726">
      <c r="A1726" s="29" t="n">
        <v>45911</v>
      </c>
      <c r="B1726" s="37" t="inlineStr">
        <is>
          <t>JOB-2722</t>
        </is>
      </c>
      <c r="C1726" s="34" t="n">
        <v>1</v>
      </c>
      <c r="D1726" s="37" t="inlineStr">
        <is>
          <t>Tech A</t>
        </is>
      </c>
      <c r="E1726" s="35" t="n">
        <v>1.5</v>
      </c>
      <c r="F1726" s="35" t="n">
        <v>1.3</v>
      </c>
      <c r="G1726" s="37" t="inlineStr">
        <is>
          <t>N</t>
        </is>
      </c>
      <c r="H1726" s="37" t="inlineStr">
        <is>
          <t>N</t>
        </is>
      </c>
      <c r="I1726" s="37">
        <f>COUNTIF(G$5:G1726,"Y")/COUNTA(G$5:G1726)</f>
        <v/>
      </c>
      <c r="J1726" s="37">
        <f>COUNTIF(H$5:H1726,"Y")/COUNTA(H$5:H1726)</f>
        <v/>
      </c>
      <c r="K1726" s="37">
        <f>AVERAGE(F$5:F1726)</f>
        <v/>
      </c>
      <c r="L1726" s="37">
        <f>SUM(F$5:F1726)/SUM(E$5:E1726)</f>
        <v/>
      </c>
    </row>
    <row r="1727">
      <c r="A1727" s="29" t="n">
        <v>45912</v>
      </c>
      <c r="B1727" s="37" t="inlineStr">
        <is>
          <t>JOB-2723</t>
        </is>
      </c>
      <c r="C1727" s="34" t="n">
        <v>1</v>
      </c>
      <c r="D1727" s="37" t="inlineStr">
        <is>
          <t>Tech C</t>
        </is>
      </c>
      <c r="E1727" s="35" t="n">
        <v>3.7</v>
      </c>
      <c r="F1727" s="35" t="n">
        <v>2.6</v>
      </c>
      <c r="G1727" s="37" t="inlineStr">
        <is>
          <t>Y</t>
        </is>
      </c>
      <c r="H1727" s="37" t="inlineStr">
        <is>
          <t>N</t>
        </is>
      </c>
      <c r="I1727" s="37">
        <f>COUNTIF(G$5:G1727,"Y")/COUNTA(G$5:G1727)</f>
        <v/>
      </c>
      <c r="J1727" s="37">
        <f>COUNTIF(H$5:H1727,"Y")/COUNTA(H$5:H1727)</f>
        <v/>
      </c>
      <c r="K1727" s="37">
        <f>AVERAGE(F$5:F1727)</f>
        <v/>
      </c>
      <c r="L1727" s="37">
        <f>SUM(F$5:F1727)/SUM(E$5:E1727)</f>
        <v/>
      </c>
    </row>
    <row r="1728">
      <c r="A1728" s="29" t="n">
        <v>45908</v>
      </c>
      <c r="B1728" s="37" t="inlineStr">
        <is>
          <t>JOB-2724</t>
        </is>
      </c>
      <c r="C1728" s="34" t="n">
        <v>1</v>
      </c>
      <c r="D1728" s="37" t="inlineStr">
        <is>
          <t>Tech F</t>
        </is>
      </c>
      <c r="E1728" s="35" t="n">
        <v>5.1</v>
      </c>
      <c r="F1728" s="35" t="n">
        <v>3.5</v>
      </c>
      <c r="G1728" s="37" t="inlineStr">
        <is>
          <t>Y</t>
        </is>
      </c>
      <c r="H1728" s="37" t="inlineStr">
        <is>
          <t>N</t>
        </is>
      </c>
      <c r="I1728" s="37">
        <f>COUNTIF(G$5:G1728,"Y")/COUNTA(G$5:G1728)</f>
        <v/>
      </c>
      <c r="J1728" s="37">
        <f>COUNTIF(H$5:H1728,"Y")/COUNTA(H$5:H1728)</f>
        <v/>
      </c>
      <c r="K1728" s="37">
        <f>AVERAGE(F$5:F1728)</f>
        <v/>
      </c>
      <c r="L1728" s="37">
        <f>SUM(F$5:F1728)/SUM(E$5:E1728)</f>
        <v/>
      </c>
    </row>
    <row r="1729">
      <c r="A1729" s="29" t="n">
        <v>45909</v>
      </c>
      <c r="B1729" s="37" t="inlineStr">
        <is>
          <t>JOB-2725</t>
        </is>
      </c>
      <c r="C1729" s="34" t="n">
        <v>1</v>
      </c>
      <c r="D1729" s="37" t="inlineStr">
        <is>
          <t>Tech F</t>
        </is>
      </c>
      <c r="E1729" s="35" t="n">
        <v>1.3</v>
      </c>
      <c r="F1729" s="35" t="n">
        <v>1.1</v>
      </c>
      <c r="G1729" s="37" t="inlineStr">
        <is>
          <t>Y</t>
        </is>
      </c>
      <c r="H1729" s="37" t="inlineStr">
        <is>
          <t>N</t>
        </is>
      </c>
      <c r="I1729" s="37">
        <f>COUNTIF(G$5:G1729,"Y")/COUNTA(G$5:G1729)</f>
        <v/>
      </c>
      <c r="J1729" s="37">
        <f>COUNTIF(H$5:H1729,"Y")/COUNTA(H$5:H1729)</f>
        <v/>
      </c>
      <c r="K1729" s="37">
        <f>AVERAGE(F$5:F1729)</f>
        <v/>
      </c>
      <c r="L1729" s="37">
        <f>SUM(F$5:F1729)/SUM(E$5:E1729)</f>
        <v/>
      </c>
    </row>
    <row r="1730">
      <c r="A1730" s="29" t="n">
        <v>45910</v>
      </c>
      <c r="B1730" s="37" t="inlineStr">
        <is>
          <t>JOB-2726</t>
        </is>
      </c>
      <c r="C1730" s="34" t="n">
        <v>1</v>
      </c>
      <c r="D1730" s="37" t="inlineStr">
        <is>
          <t>Tech B</t>
        </is>
      </c>
      <c r="E1730" s="35" t="n">
        <v>3.8</v>
      </c>
      <c r="F1730" s="35" t="n">
        <v>2.6</v>
      </c>
      <c r="G1730" s="37" t="inlineStr">
        <is>
          <t>Y</t>
        </is>
      </c>
      <c r="H1730" s="37" t="inlineStr">
        <is>
          <t>N</t>
        </is>
      </c>
      <c r="I1730" s="37">
        <f>COUNTIF(G$5:G1730,"Y")/COUNTA(G$5:G1730)</f>
        <v/>
      </c>
      <c r="J1730" s="37">
        <f>COUNTIF(H$5:H1730,"Y")/COUNTA(H$5:H1730)</f>
        <v/>
      </c>
      <c r="K1730" s="37">
        <f>AVERAGE(F$5:F1730)</f>
        <v/>
      </c>
      <c r="L1730" s="37">
        <f>SUM(F$5:F1730)/SUM(E$5:E1730)</f>
        <v/>
      </c>
    </row>
    <row r="1731">
      <c r="A1731" s="29" t="n">
        <v>45911</v>
      </c>
      <c r="B1731" s="37" t="inlineStr">
        <is>
          <t>JOB-2727</t>
        </is>
      </c>
      <c r="C1731" s="34" t="n">
        <v>1</v>
      </c>
      <c r="D1731" s="37" t="inlineStr">
        <is>
          <t>Tech G</t>
        </is>
      </c>
      <c r="E1731" s="35" t="n">
        <v>4</v>
      </c>
      <c r="F1731" s="35" t="n">
        <v>3.4</v>
      </c>
      <c r="G1731" s="37" t="inlineStr">
        <is>
          <t>Y</t>
        </is>
      </c>
      <c r="H1731" s="37" t="inlineStr">
        <is>
          <t>N</t>
        </is>
      </c>
      <c r="I1731" s="37">
        <f>COUNTIF(G$5:G1731,"Y")/COUNTA(G$5:G1731)</f>
        <v/>
      </c>
      <c r="J1731" s="37">
        <f>COUNTIF(H$5:H1731,"Y")/COUNTA(H$5:H1731)</f>
        <v/>
      </c>
      <c r="K1731" s="37">
        <f>AVERAGE(F$5:F1731)</f>
        <v/>
      </c>
      <c r="L1731" s="37">
        <f>SUM(F$5:F1731)/SUM(E$5:E1731)</f>
        <v/>
      </c>
    </row>
    <row r="1732">
      <c r="A1732" s="29" t="n">
        <v>45912</v>
      </c>
      <c r="B1732" s="37" t="inlineStr">
        <is>
          <t>JOB-2728</t>
        </is>
      </c>
      <c r="C1732" s="34" t="n">
        <v>1</v>
      </c>
      <c r="D1732" s="37" t="inlineStr">
        <is>
          <t>Tech G</t>
        </is>
      </c>
      <c r="E1732" s="35" t="n">
        <v>2.3</v>
      </c>
      <c r="F1732" s="35" t="n">
        <v>1.8</v>
      </c>
      <c r="G1732" s="37" t="inlineStr">
        <is>
          <t>Y</t>
        </is>
      </c>
      <c r="H1732" s="37" t="inlineStr">
        <is>
          <t>N</t>
        </is>
      </c>
      <c r="I1732" s="37">
        <f>COUNTIF(G$5:G1732,"Y")/COUNTA(G$5:G1732)</f>
        <v/>
      </c>
      <c r="J1732" s="37">
        <f>COUNTIF(H$5:H1732,"Y")/COUNTA(H$5:H1732)</f>
        <v/>
      </c>
      <c r="K1732" s="37">
        <f>AVERAGE(F$5:F1732)</f>
        <v/>
      </c>
      <c r="L1732" s="37">
        <f>SUM(F$5:F1732)/SUM(E$5:E1732)</f>
        <v/>
      </c>
    </row>
    <row r="1733">
      <c r="A1733" s="29" t="n">
        <v>45908</v>
      </c>
      <c r="B1733" s="37" t="inlineStr">
        <is>
          <t>JOB-2729</t>
        </is>
      </c>
      <c r="C1733" s="34" t="n">
        <v>1</v>
      </c>
      <c r="D1733" s="37" t="inlineStr">
        <is>
          <t>Tech C</t>
        </is>
      </c>
      <c r="E1733" s="35" t="n">
        <v>3.2</v>
      </c>
      <c r="F1733" s="35" t="n">
        <v>2.3</v>
      </c>
      <c r="G1733" s="37" t="inlineStr">
        <is>
          <t>Y</t>
        </is>
      </c>
      <c r="H1733" s="37" t="inlineStr">
        <is>
          <t>N</t>
        </is>
      </c>
      <c r="I1733" s="37">
        <f>COUNTIF(G$5:G1733,"Y")/COUNTA(G$5:G1733)</f>
        <v/>
      </c>
      <c r="J1733" s="37">
        <f>COUNTIF(H$5:H1733,"Y")/COUNTA(H$5:H1733)</f>
        <v/>
      </c>
      <c r="K1733" s="37">
        <f>AVERAGE(F$5:F1733)</f>
        <v/>
      </c>
      <c r="L1733" s="37">
        <f>SUM(F$5:F1733)/SUM(E$5:E1733)</f>
        <v/>
      </c>
    </row>
    <row r="1734">
      <c r="A1734" s="29" t="n">
        <v>45909</v>
      </c>
      <c r="B1734" s="37" t="inlineStr">
        <is>
          <t>JOB-2730</t>
        </is>
      </c>
      <c r="C1734" s="34" t="n">
        <v>1</v>
      </c>
      <c r="D1734" s="37" t="inlineStr">
        <is>
          <t>Tech D</t>
        </is>
      </c>
      <c r="E1734" s="35" t="n">
        <v>1.8</v>
      </c>
      <c r="F1734" s="35" t="n">
        <v>1.3</v>
      </c>
      <c r="G1734" s="37" t="inlineStr">
        <is>
          <t>Y</t>
        </is>
      </c>
      <c r="H1734" s="37" t="inlineStr">
        <is>
          <t>N</t>
        </is>
      </c>
      <c r="I1734" s="37">
        <f>COUNTIF(G$5:G1734,"Y")/COUNTA(G$5:G1734)</f>
        <v/>
      </c>
      <c r="J1734" s="37">
        <f>COUNTIF(H$5:H1734,"Y")/COUNTA(H$5:H1734)</f>
        <v/>
      </c>
      <c r="K1734" s="37">
        <f>AVERAGE(F$5:F1734)</f>
        <v/>
      </c>
      <c r="L1734" s="37">
        <f>SUM(F$5:F1734)/SUM(E$5:E1734)</f>
        <v/>
      </c>
    </row>
    <row r="1735">
      <c r="A1735" s="29" t="n">
        <v>45910</v>
      </c>
      <c r="B1735" s="37" t="inlineStr">
        <is>
          <t>JOB-2731</t>
        </is>
      </c>
      <c r="C1735" s="34" t="n">
        <v>1</v>
      </c>
      <c r="D1735" s="37" t="inlineStr">
        <is>
          <t>Tech A</t>
        </is>
      </c>
      <c r="E1735" s="35" t="n">
        <v>2.2</v>
      </c>
      <c r="F1735" s="35" t="n">
        <v>1.9</v>
      </c>
      <c r="G1735" s="37" t="inlineStr">
        <is>
          <t>Y</t>
        </is>
      </c>
      <c r="H1735" s="37" t="inlineStr">
        <is>
          <t>N</t>
        </is>
      </c>
      <c r="I1735" s="37">
        <f>COUNTIF(G$5:G1735,"Y")/COUNTA(G$5:G1735)</f>
        <v/>
      </c>
      <c r="J1735" s="37">
        <f>COUNTIF(H$5:H1735,"Y")/COUNTA(H$5:H1735)</f>
        <v/>
      </c>
      <c r="K1735" s="37">
        <f>AVERAGE(F$5:F1735)</f>
        <v/>
      </c>
      <c r="L1735" s="37">
        <f>SUM(F$5:F1735)/SUM(E$5:E1735)</f>
        <v/>
      </c>
    </row>
    <row r="1736">
      <c r="A1736" s="29" t="n">
        <v>45911</v>
      </c>
      <c r="B1736" s="37" t="inlineStr">
        <is>
          <t>JOB-2732</t>
        </is>
      </c>
      <c r="C1736" s="34" t="n">
        <v>1</v>
      </c>
      <c r="D1736" s="37" t="inlineStr">
        <is>
          <t>Tech B</t>
        </is>
      </c>
      <c r="E1736" s="35" t="n">
        <v>4.1</v>
      </c>
      <c r="F1736" s="35" t="n">
        <v>3.2</v>
      </c>
      <c r="G1736" s="37" t="inlineStr">
        <is>
          <t>Y</t>
        </is>
      </c>
      <c r="H1736" s="37" t="inlineStr">
        <is>
          <t>N</t>
        </is>
      </c>
      <c r="I1736" s="37">
        <f>COUNTIF(G$5:G1736,"Y")/COUNTA(G$5:G1736)</f>
        <v/>
      </c>
      <c r="J1736" s="37">
        <f>COUNTIF(H$5:H1736,"Y")/COUNTA(H$5:H1736)</f>
        <v/>
      </c>
      <c r="K1736" s="37">
        <f>AVERAGE(F$5:F1736)</f>
        <v/>
      </c>
      <c r="L1736" s="37">
        <f>SUM(F$5:F1736)/SUM(E$5:E1736)</f>
        <v/>
      </c>
    </row>
    <row r="1737">
      <c r="A1737" s="29" t="n">
        <v>45912</v>
      </c>
      <c r="B1737" s="37" t="inlineStr">
        <is>
          <t>JOB-2733</t>
        </is>
      </c>
      <c r="C1737" s="34" t="n">
        <v>1</v>
      </c>
      <c r="D1737" s="37" t="inlineStr">
        <is>
          <t>Tech H</t>
        </is>
      </c>
      <c r="E1737" s="35" t="n">
        <v>3</v>
      </c>
      <c r="F1737" s="35" t="n">
        <v>2.1</v>
      </c>
      <c r="G1737" s="37" t="inlineStr">
        <is>
          <t>Y</t>
        </is>
      </c>
      <c r="H1737" s="37" t="inlineStr">
        <is>
          <t>N</t>
        </is>
      </c>
      <c r="I1737" s="37">
        <f>COUNTIF(G$5:G1737,"Y")/COUNTA(G$5:G1737)</f>
        <v/>
      </c>
      <c r="J1737" s="37">
        <f>COUNTIF(H$5:H1737,"Y")/COUNTA(H$5:H1737)</f>
        <v/>
      </c>
      <c r="K1737" s="37">
        <f>AVERAGE(F$5:F1737)</f>
        <v/>
      </c>
      <c r="L1737" s="37">
        <f>SUM(F$5:F1737)/SUM(E$5:E1737)</f>
        <v/>
      </c>
    </row>
    <row r="1738">
      <c r="A1738" s="29" t="n">
        <v>45908</v>
      </c>
      <c r="B1738" s="37" t="inlineStr">
        <is>
          <t>JOB-2734</t>
        </is>
      </c>
      <c r="C1738" s="34" t="n">
        <v>1</v>
      </c>
      <c r="D1738" s="37" t="inlineStr">
        <is>
          <t>Tech D</t>
        </is>
      </c>
      <c r="E1738" s="35" t="n">
        <v>2.3</v>
      </c>
      <c r="F1738" s="35" t="n">
        <v>1.6</v>
      </c>
      <c r="G1738" s="37" t="inlineStr">
        <is>
          <t>Y</t>
        </is>
      </c>
      <c r="H1738" s="37" t="inlineStr">
        <is>
          <t>N</t>
        </is>
      </c>
      <c r="I1738" s="37">
        <f>COUNTIF(G$5:G1738,"Y")/COUNTA(G$5:G1738)</f>
        <v/>
      </c>
      <c r="J1738" s="37">
        <f>COUNTIF(H$5:H1738,"Y")/COUNTA(H$5:H1738)</f>
        <v/>
      </c>
      <c r="K1738" s="37">
        <f>AVERAGE(F$5:F1738)</f>
        <v/>
      </c>
      <c r="L1738" s="37">
        <f>SUM(F$5:F1738)/SUM(E$5:E1738)</f>
        <v/>
      </c>
    </row>
    <row r="1739">
      <c r="A1739" s="29" t="n">
        <v>45909</v>
      </c>
      <c r="B1739" s="37" t="inlineStr">
        <is>
          <t>JOB-2735</t>
        </is>
      </c>
      <c r="C1739" s="34" t="n">
        <v>1</v>
      </c>
      <c r="D1739" s="37" t="inlineStr">
        <is>
          <t>Tech G</t>
        </is>
      </c>
      <c r="E1739" s="35" t="n">
        <v>2.5</v>
      </c>
      <c r="F1739" s="35" t="n">
        <v>1.9</v>
      </c>
      <c r="G1739" s="37" t="inlineStr">
        <is>
          <t>Y</t>
        </is>
      </c>
      <c r="H1739" s="37" t="inlineStr">
        <is>
          <t>N</t>
        </is>
      </c>
      <c r="I1739" s="37">
        <f>COUNTIF(G$5:G1739,"Y")/COUNTA(G$5:G1739)</f>
        <v/>
      </c>
      <c r="J1739" s="37">
        <f>COUNTIF(H$5:H1739,"Y")/COUNTA(H$5:H1739)</f>
        <v/>
      </c>
      <c r="K1739" s="37">
        <f>AVERAGE(F$5:F1739)</f>
        <v/>
      </c>
      <c r="L1739" s="37">
        <f>SUM(F$5:F1739)/SUM(E$5:E1739)</f>
        <v/>
      </c>
    </row>
    <row r="1740">
      <c r="A1740" s="29" t="n">
        <v>45910</v>
      </c>
      <c r="B1740" s="37" t="inlineStr">
        <is>
          <t>JOB-2736</t>
        </is>
      </c>
      <c r="C1740" s="34" t="n">
        <v>1</v>
      </c>
      <c r="D1740" s="37" t="inlineStr">
        <is>
          <t>Tech D</t>
        </is>
      </c>
      <c r="E1740" s="35" t="n">
        <v>1.5</v>
      </c>
      <c r="F1740" s="35" t="n">
        <v>1.2</v>
      </c>
      <c r="G1740" s="37" t="inlineStr">
        <is>
          <t>Y</t>
        </is>
      </c>
      <c r="H1740" s="37" t="inlineStr">
        <is>
          <t>N</t>
        </is>
      </c>
      <c r="I1740" s="37">
        <f>COUNTIF(G$5:G1740,"Y")/COUNTA(G$5:G1740)</f>
        <v/>
      </c>
      <c r="J1740" s="37">
        <f>COUNTIF(H$5:H1740,"Y")/COUNTA(H$5:H1740)</f>
        <v/>
      </c>
      <c r="K1740" s="37">
        <f>AVERAGE(F$5:F1740)</f>
        <v/>
      </c>
      <c r="L1740" s="37">
        <f>SUM(F$5:F1740)/SUM(E$5:E1740)</f>
        <v/>
      </c>
    </row>
    <row r="1741">
      <c r="A1741" s="29" t="n">
        <v>45911</v>
      </c>
      <c r="B1741" s="37" t="inlineStr">
        <is>
          <t>JOB-2737</t>
        </is>
      </c>
      <c r="C1741" s="34" t="n">
        <v>1</v>
      </c>
      <c r="D1741" s="37" t="inlineStr">
        <is>
          <t>Tech A</t>
        </is>
      </c>
      <c r="E1741" s="35" t="n">
        <v>3.8</v>
      </c>
      <c r="F1741" s="35" t="n">
        <v>3</v>
      </c>
      <c r="G1741" s="37" t="inlineStr">
        <is>
          <t>Y</t>
        </is>
      </c>
      <c r="H1741" s="37" t="inlineStr">
        <is>
          <t>N</t>
        </is>
      </c>
      <c r="I1741" s="37">
        <f>COUNTIF(G$5:G1741,"Y")/COUNTA(G$5:G1741)</f>
        <v/>
      </c>
      <c r="J1741" s="37">
        <f>COUNTIF(H$5:H1741,"Y")/COUNTA(H$5:H1741)</f>
        <v/>
      </c>
      <c r="K1741" s="37">
        <f>AVERAGE(F$5:F1741)</f>
        <v/>
      </c>
      <c r="L1741" s="37">
        <f>SUM(F$5:F1741)/SUM(E$5:E1741)</f>
        <v/>
      </c>
    </row>
    <row r="1742">
      <c r="A1742" s="29" t="n">
        <v>45912</v>
      </c>
      <c r="B1742" s="37" t="inlineStr">
        <is>
          <t>JOB-2738</t>
        </is>
      </c>
      <c r="C1742" s="34" t="n">
        <v>1</v>
      </c>
      <c r="D1742" s="37" t="inlineStr">
        <is>
          <t>Tech A</t>
        </is>
      </c>
      <c r="E1742" s="35" t="n">
        <v>3.2</v>
      </c>
      <c r="F1742" s="35" t="n">
        <v>2.7</v>
      </c>
      <c r="G1742" s="37" t="inlineStr">
        <is>
          <t>Y</t>
        </is>
      </c>
      <c r="H1742" s="37" t="inlineStr">
        <is>
          <t>N</t>
        </is>
      </c>
      <c r="I1742" s="37">
        <f>COUNTIF(G$5:G1742,"Y")/COUNTA(G$5:G1742)</f>
        <v/>
      </c>
      <c r="J1742" s="37">
        <f>COUNTIF(H$5:H1742,"Y")/COUNTA(H$5:H1742)</f>
        <v/>
      </c>
      <c r="K1742" s="37">
        <f>AVERAGE(F$5:F1742)</f>
        <v/>
      </c>
      <c r="L1742" s="37">
        <f>SUM(F$5:F1742)/SUM(E$5:E1742)</f>
        <v/>
      </c>
    </row>
    <row r="1743">
      <c r="A1743" s="29" t="n">
        <v>45908</v>
      </c>
      <c r="B1743" s="37" t="inlineStr">
        <is>
          <t>JOB-2739</t>
        </is>
      </c>
      <c r="C1743" s="34" t="n">
        <v>1</v>
      </c>
      <c r="D1743" s="37" t="inlineStr">
        <is>
          <t>Tech A</t>
        </is>
      </c>
      <c r="E1743" s="35" t="n">
        <v>3.9</v>
      </c>
      <c r="F1743" s="35" t="n">
        <v>3</v>
      </c>
      <c r="G1743" s="37" t="inlineStr">
        <is>
          <t>Y</t>
        </is>
      </c>
      <c r="H1743" s="37" t="inlineStr">
        <is>
          <t>N</t>
        </is>
      </c>
      <c r="I1743" s="37">
        <f>COUNTIF(G$5:G1743,"Y")/COUNTA(G$5:G1743)</f>
        <v/>
      </c>
      <c r="J1743" s="37">
        <f>COUNTIF(H$5:H1743,"Y")/COUNTA(H$5:H1743)</f>
        <v/>
      </c>
      <c r="K1743" s="37">
        <f>AVERAGE(F$5:F1743)</f>
        <v/>
      </c>
      <c r="L1743" s="37">
        <f>SUM(F$5:F1743)/SUM(E$5:E1743)</f>
        <v/>
      </c>
    </row>
    <row r="1744">
      <c r="A1744" s="29" t="n">
        <v>45909</v>
      </c>
      <c r="B1744" s="37" t="inlineStr">
        <is>
          <t>JOB-2740</t>
        </is>
      </c>
      <c r="C1744" s="34" t="n">
        <v>1</v>
      </c>
      <c r="D1744" s="37" t="inlineStr">
        <is>
          <t>Tech D</t>
        </is>
      </c>
      <c r="E1744" s="35" t="n">
        <v>2.3</v>
      </c>
      <c r="F1744" s="35" t="n">
        <v>1.6</v>
      </c>
      <c r="G1744" s="37" t="inlineStr">
        <is>
          <t>Y</t>
        </is>
      </c>
      <c r="H1744" s="37" t="inlineStr">
        <is>
          <t>N</t>
        </is>
      </c>
      <c r="I1744" s="37">
        <f>COUNTIF(G$5:G1744,"Y")/COUNTA(G$5:G1744)</f>
        <v/>
      </c>
      <c r="J1744" s="37">
        <f>COUNTIF(H$5:H1744,"Y")/COUNTA(H$5:H1744)</f>
        <v/>
      </c>
      <c r="K1744" s="37">
        <f>AVERAGE(F$5:F1744)</f>
        <v/>
      </c>
      <c r="L1744" s="37">
        <f>SUM(F$5:F1744)/SUM(E$5:E1744)</f>
        <v/>
      </c>
    </row>
    <row r="1745">
      <c r="A1745" s="29" t="n">
        <v>45910</v>
      </c>
      <c r="B1745" s="37" t="inlineStr">
        <is>
          <t>JOB-2741</t>
        </is>
      </c>
      <c r="C1745" s="34" t="n">
        <v>1</v>
      </c>
      <c r="D1745" s="37" t="inlineStr">
        <is>
          <t>Tech B</t>
        </is>
      </c>
      <c r="E1745" s="35" t="n">
        <v>2.7</v>
      </c>
      <c r="F1745" s="35" t="n">
        <v>2.1</v>
      </c>
      <c r="G1745" s="37" t="inlineStr">
        <is>
          <t>Y</t>
        </is>
      </c>
      <c r="H1745" s="37" t="inlineStr">
        <is>
          <t>N</t>
        </is>
      </c>
      <c r="I1745" s="37">
        <f>COUNTIF(G$5:G1745,"Y")/COUNTA(G$5:G1745)</f>
        <v/>
      </c>
      <c r="J1745" s="37">
        <f>COUNTIF(H$5:H1745,"Y")/COUNTA(H$5:H1745)</f>
        <v/>
      </c>
      <c r="K1745" s="37">
        <f>AVERAGE(F$5:F1745)</f>
        <v/>
      </c>
      <c r="L1745" s="37">
        <f>SUM(F$5:F1745)/SUM(E$5:E1745)</f>
        <v/>
      </c>
    </row>
    <row r="1746">
      <c r="A1746" s="29" t="n">
        <v>45911</v>
      </c>
      <c r="B1746" s="37" t="inlineStr">
        <is>
          <t>JOB-2742</t>
        </is>
      </c>
      <c r="C1746" s="34" t="n">
        <v>1</v>
      </c>
      <c r="D1746" s="37" t="inlineStr">
        <is>
          <t>Tech D</t>
        </is>
      </c>
      <c r="E1746" s="35" t="n">
        <v>3.2</v>
      </c>
      <c r="F1746" s="35" t="n">
        <v>2.2</v>
      </c>
      <c r="G1746" s="37" t="inlineStr">
        <is>
          <t>Y</t>
        </is>
      </c>
      <c r="H1746" s="37" t="inlineStr">
        <is>
          <t>N</t>
        </is>
      </c>
      <c r="I1746" s="37">
        <f>COUNTIF(G$5:G1746,"Y")/COUNTA(G$5:G1746)</f>
        <v/>
      </c>
      <c r="J1746" s="37">
        <f>COUNTIF(H$5:H1746,"Y")/COUNTA(H$5:H1746)</f>
        <v/>
      </c>
      <c r="K1746" s="37">
        <f>AVERAGE(F$5:F1746)</f>
        <v/>
      </c>
      <c r="L1746" s="37">
        <f>SUM(F$5:F1746)/SUM(E$5:E1746)</f>
        <v/>
      </c>
    </row>
    <row r="1747">
      <c r="A1747" s="29" t="n">
        <v>45912</v>
      </c>
      <c r="B1747" s="37" t="inlineStr">
        <is>
          <t>JOB-2743</t>
        </is>
      </c>
      <c r="C1747" s="34" t="n">
        <v>1</v>
      </c>
      <c r="D1747" s="37" t="inlineStr">
        <is>
          <t>Tech B</t>
        </is>
      </c>
      <c r="E1747" s="35" t="n">
        <v>3.9</v>
      </c>
      <c r="F1747" s="35" t="n">
        <v>3.1</v>
      </c>
      <c r="G1747" s="37" t="inlineStr">
        <is>
          <t>Y</t>
        </is>
      </c>
      <c r="H1747" s="37" t="inlineStr">
        <is>
          <t>Y</t>
        </is>
      </c>
      <c r="I1747" s="37">
        <f>COUNTIF(G$5:G1747,"Y")/COUNTA(G$5:G1747)</f>
        <v/>
      </c>
      <c r="J1747" s="37">
        <f>COUNTIF(H$5:H1747,"Y")/COUNTA(H$5:H1747)</f>
        <v/>
      </c>
      <c r="K1747" s="37">
        <f>AVERAGE(F$5:F1747)</f>
        <v/>
      </c>
      <c r="L1747" s="37">
        <f>SUM(F$5:F1747)/SUM(E$5:E1747)</f>
        <v/>
      </c>
    </row>
    <row r="1748">
      <c r="A1748" s="29" t="n">
        <v>45908</v>
      </c>
      <c r="B1748" s="37" t="inlineStr">
        <is>
          <t>JOB-2744</t>
        </is>
      </c>
      <c r="C1748" s="34" t="n">
        <v>1</v>
      </c>
      <c r="D1748" s="37" t="inlineStr">
        <is>
          <t>Tech D</t>
        </is>
      </c>
      <c r="E1748" s="35" t="n">
        <v>0.9</v>
      </c>
      <c r="F1748" s="35" t="n">
        <v>0.8</v>
      </c>
      <c r="G1748" s="37" t="inlineStr">
        <is>
          <t>Y</t>
        </is>
      </c>
      <c r="H1748" s="37" t="inlineStr">
        <is>
          <t>N</t>
        </is>
      </c>
      <c r="I1748" s="37">
        <f>COUNTIF(G$5:G1748,"Y")/COUNTA(G$5:G1748)</f>
        <v/>
      </c>
      <c r="J1748" s="37">
        <f>COUNTIF(H$5:H1748,"Y")/COUNTA(H$5:H1748)</f>
        <v/>
      </c>
      <c r="K1748" s="37">
        <f>AVERAGE(F$5:F1748)</f>
        <v/>
      </c>
      <c r="L1748" s="37">
        <f>SUM(F$5:F1748)/SUM(E$5:E1748)</f>
        <v/>
      </c>
    </row>
    <row r="1749">
      <c r="A1749" s="29" t="n">
        <v>45909</v>
      </c>
      <c r="B1749" s="37" t="inlineStr">
        <is>
          <t>JOB-2745</t>
        </is>
      </c>
      <c r="C1749" s="34" t="n">
        <v>1</v>
      </c>
      <c r="D1749" s="37" t="inlineStr">
        <is>
          <t>Tech A</t>
        </is>
      </c>
      <c r="E1749" s="35" t="n">
        <v>0.7</v>
      </c>
      <c r="F1749" s="35" t="n">
        <v>0.5</v>
      </c>
      <c r="G1749" s="37" t="inlineStr">
        <is>
          <t>Y</t>
        </is>
      </c>
      <c r="H1749" s="37" t="inlineStr">
        <is>
          <t>N</t>
        </is>
      </c>
      <c r="I1749" s="37">
        <f>COUNTIF(G$5:G1749,"Y")/COUNTA(G$5:G1749)</f>
        <v/>
      </c>
      <c r="J1749" s="37">
        <f>COUNTIF(H$5:H1749,"Y")/COUNTA(H$5:H1749)</f>
        <v/>
      </c>
      <c r="K1749" s="37">
        <f>AVERAGE(F$5:F1749)</f>
        <v/>
      </c>
      <c r="L1749" s="37">
        <f>SUM(F$5:F1749)/SUM(E$5:E1749)</f>
        <v/>
      </c>
    </row>
    <row r="1750">
      <c r="A1750" s="29" t="n">
        <v>45910</v>
      </c>
      <c r="B1750" s="37" t="inlineStr">
        <is>
          <t>JOB-2746</t>
        </is>
      </c>
      <c r="C1750" s="34" t="n">
        <v>1</v>
      </c>
      <c r="D1750" s="37" t="inlineStr">
        <is>
          <t>Tech C</t>
        </is>
      </c>
      <c r="E1750" s="35" t="n">
        <v>0.6</v>
      </c>
      <c r="F1750" s="35" t="n">
        <v>0.5</v>
      </c>
      <c r="G1750" s="37" t="inlineStr">
        <is>
          <t>Y</t>
        </is>
      </c>
      <c r="H1750" s="37" t="inlineStr">
        <is>
          <t>N</t>
        </is>
      </c>
      <c r="I1750" s="37">
        <f>COUNTIF(G$5:G1750,"Y")/COUNTA(G$5:G1750)</f>
        <v/>
      </c>
      <c r="J1750" s="37">
        <f>COUNTIF(H$5:H1750,"Y")/COUNTA(H$5:H1750)</f>
        <v/>
      </c>
      <c r="K1750" s="37">
        <f>AVERAGE(F$5:F1750)</f>
        <v/>
      </c>
      <c r="L1750" s="37">
        <f>SUM(F$5:F1750)/SUM(E$5:E1750)</f>
        <v/>
      </c>
    </row>
    <row r="1751">
      <c r="A1751" s="29" t="n">
        <v>45911</v>
      </c>
      <c r="B1751" s="37" t="inlineStr">
        <is>
          <t>JOB-2747</t>
        </is>
      </c>
      <c r="C1751" s="34" t="n">
        <v>1</v>
      </c>
      <c r="D1751" s="37" t="inlineStr">
        <is>
          <t>Tech H</t>
        </is>
      </c>
      <c r="E1751" s="35" t="n">
        <v>0.8</v>
      </c>
      <c r="F1751" s="35" t="n">
        <v>0.5</v>
      </c>
      <c r="G1751" s="37" t="inlineStr">
        <is>
          <t>Y</t>
        </is>
      </c>
      <c r="H1751" s="37" t="inlineStr">
        <is>
          <t>N</t>
        </is>
      </c>
      <c r="I1751" s="37">
        <f>COUNTIF(G$5:G1751,"Y")/COUNTA(G$5:G1751)</f>
        <v/>
      </c>
      <c r="J1751" s="37">
        <f>COUNTIF(H$5:H1751,"Y")/COUNTA(H$5:H1751)</f>
        <v/>
      </c>
      <c r="K1751" s="37">
        <f>AVERAGE(F$5:F1751)</f>
        <v/>
      </c>
      <c r="L1751" s="37">
        <f>SUM(F$5:F1751)/SUM(E$5:E1751)</f>
        <v/>
      </c>
    </row>
    <row r="1752">
      <c r="A1752" s="29" t="n">
        <v>45912</v>
      </c>
      <c r="B1752" s="37" t="inlineStr">
        <is>
          <t>JOB-2748</t>
        </is>
      </c>
      <c r="C1752" s="34" t="n">
        <v>1</v>
      </c>
      <c r="D1752" s="37" t="inlineStr">
        <is>
          <t>Tech F</t>
        </is>
      </c>
      <c r="E1752" s="35" t="n">
        <v>0.6</v>
      </c>
      <c r="F1752" s="35" t="n">
        <v>0.5</v>
      </c>
      <c r="G1752" s="37" t="inlineStr">
        <is>
          <t>Y</t>
        </is>
      </c>
      <c r="H1752" s="37" t="inlineStr">
        <is>
          <t>N</t>
        </is>
      </c>
      <c r="I1752" s="37">
        <f>COUNTIF(G$5:G1752,"Y")/COUNTA(G$5:G1752)</f>
        <v/>
      </c>
      <c r="J1752" s="37">
        <f>COUNTIF(H$5:H1752,"Y")/COUNTA(H$5:H1752)</f>
        <v/>
      </c>
      <c r="K1752" s="37">
        <f>AVERAGE(F$5:F1752)</f>
        <v/>
      </c>
      <c r="L1752" s="37">
        <f>SUM(F$5:F1752)/SUM(E$5:E1752)</f>
        <v/>
      </c>
    </row>
    <row r="1753">
      <c r="A1753" s="29" t="n">
        <v>45908</v>
      </c>
      <c r="B1753" s="37" t="inlineStr">
        <is>
          <t>JOB-2749</t>
        </is>
      </c>
      <c r="C1753" s="34" t="n">
        <v>1</v>
      </c>
      <c r="D1753" s="37" t="inlineStr">
        <is>
          <t>Tech D</t>
        </is>
      </c>
      <c r="E1753" s="35" t="n">
        <v>1.7</v>
      </c>
      <c r="F1753" s="35" t="n">
        <v>0.5</v>
      </c>
      <c r="G1753" s="37" t="inlineStr">
        <is>
          <t>Y</t>
        </is>
      </c>
      <c r="H1753" s="37" t="inlineStr">
        <is>
          <t>N</t>
        </is>
      </c>
      <c r="I1753" s="37">
        <f>COUNTIF(G$5:G1753,"Y")/COUNTA(G$5:G1753)</f>
        <v/>
      </c>
      <c r="J1753" s="37">
        <f>COUNTIF(H$5:H1753,"Y")/COUNTA(H$5:H1753)</f>
        <v/>
      </c>
      <c r="K1753" s="37">
        <f>AVERAGE(F$5:F1753)</f>
        <v/>
      </c>
      <c r="L1753" s="37">
        <f>SUM(F$5:F1753)/SUM(E$5:E1753)</f>
        <v/>
      </c>
      <c r="M1753" s="37" t="n">
        <v>14</v>
      </c>
    </row>
    <row r="1754">
      <c r="A1754" s="29" t="n">
        <v>45915</v>
      </c>
      <c r="B1754" s="37" t="inlineStr">
        <is>
          <t>JOB-2750</t>
        </is>
      </c>
      <c r="C1754" s="34" t="n">
        <v>1</v>
      </c>
      <c r="D1754" s="37" t="inlineStr">
        <is>
          <t>Tech F</t>
        </is>
      </c>
      <c r="E1754" s="35" t="n">
        <v>3.7</v>
      </c>
      <c r="F1754" s="35" t="n">
        <v>2.9</v>
      </c>
      <c r="G1754" s="37" t="inlineStr">
        <is>
          <t>N</t>
        </is>
      </c>
      <c r="H1754" s="37" t="inlineStr">
        <is>
          <t>N</t>
        </is>
      </c>
      <c r="I1754" s="37">
        <f>COUNTIF(G$5:G1754,"Y")/COUNTA(G$5:G1754)</f>
        <v/>
      </c>
      <c r="J1754" s="37">
        <f>COUNTIF(H$5:H1754,"Y")/COUNTA(H$5:H1754)</f>
        <v/>
      </c>
      <c r="K1754" s="37">
        <f>AVERAGE(F$5:F1754)</f>
        <v/>
      </c>
      <c r="L1754" s="37">
        <f>SUM(F$5:F1754)/SUM(E$5:E1754)</f>
        <v/>
      </c>
    </row>
    <row r="1755">
      <c r="A1755" s="29" t="n">
        <v>45916</v>
      </c>
      <c r="B1755" s="37" t="inlineStr">
        <is>
          <t>JOB-2751</t>
        </is>
      </c>
      <c r="C1755" s="34" t="n">
        <v>1</v>
      </c>
      <c r="D1755" s="37" t="inlineStr">
        <is>
          <t>Tech F</t>
        </is>
      </c>
      <c r="E1755" s="35" t="n">
        <v>2.7</v>
      </c>
      <c r="F1755" s="35" t="n">
        <v>2.3</v>
      </c>
      <c r="G1755" s="37" t="inlineStr">
        <is>
          <t>Y</t>
        </is>
      </c>
      <c r="H1755" s="37" t="inlineStr">
        <is>
          <t>N</t>
        </is>
      </c>
      <c r="I1755" s="37">
        <f>COUNTIF(G$5:G1755,"Y")/COUNTA(G$5:G1755)</f>
        <v/>
      </c>
      <c r="J1755" s="37">
        <f>COUNTIF(H$5:H1755,"Y")/COUNTA(H$5:H1755)</f>
        <v/>
      </c>
      <c r="K1755" s="37">
        <f>AVERAGE(F$5:F1755)</f>
        <v/>
      </c>
      <c r="L1755" s="37">
        <f>SUM(F$5:F1755)/SUM(E$5:E1755)</f>
        <v/>
      </c>
    </row>
    <row r="1756">
      <c r="A1756" s="29" t="n">
        <v>45917</v>
      </c>
      <c r="B1756" s="37" t="inlineStr">
        <is>
          <t>JOB-2752</t>
        </is>
      </c>
      <c r="C1756" s="34" t="n">
        <v>1</v>
      </c>
      <c r="D1756" s="37" t="inlineStr">
        <is>
          <t>Tech H</t>
        </is>
      </c>
      <c r="E1756" s="35" t="n">
        <v>3.3</v>
      </c>
      <c r="F1756" s="35" t="n">
        <v>2.6</v>
      </c>
      <c r="G1756" s="37" t="inlineStr">
        <is>
          <t>Y</t>
        </is>
      </c>
      <c r="H1756" s="37" t="inlineStr">
        <is>
          <t>N</t>
        </is>
      </c>
      <c r="I1756" s="37">
        <f>COUNTIF(G$5:G1756,"Y")/COUNTA(G$5:G1756)</f>
        <v/>
      </c>
      <c r="J1756" s="37">
        <f>COUNTIF(H$5:H1756,"Y")/COUNTA(H$5:H1756)</f>
        <v/>
      </c>
      <c r="K1756" s="37">
        <f>AVERAGE(F$5:F1756)</f>
        <v/>
      </c>
      <c r="L1756" s="37">
        <f>SUM(F$5:F1756)/SUM(E$5:E1756)</f>
        <v/>
      </c>
    </row>
    <row r="1757">
      <c r="A1757" s="29" t="n">
        <v>45918</v>
      </c>
      <c r="B1757" s="37" t="inlineStr">
        <is>
          <t>JOB-2753</t>
        </is>
      </c>
      <c r="C1757" s="34" t="n">
        <v>1</v>
      </c>
      <c r="D1757" s="37" t="inlineStr">
        <is>
          <t>Tech A</t>
        </is>
      </c>
      <c r="E1757" s="35" t="n">
        <v>3.6</v>
      </c>
      <c r="F1757" s="35" t="n">
        <v>2.5</v>
      </c>
      <c r="G1757" s="37" t="inlineStr">
        <is>
          <t>Y</t>
        </is>
      </c>
      <c r="H1757" s="37" t="inlineStr">
        <is>
          <t>N</t>
        </is>
      </c>
      <c r="I1757" s="37">
        <f>COUNTIF(G$5:G1757,"Y")/COUNTA(G$5:G1757)</f>
        <v/>
      </c>
      <c r="J1757" s="37">
        <f>COUNTIF(H$5:H1757,"Y")/COUNTA(H$5:H1757)</f>
        <v/>
      </c>
      <c r="K1757" s="37">
        <f>AVERAGE(F$5:F1757)</f>
        <v/>
      </c>
      <c r="L1757" s="37">
        <f>SUM(F$5:F1757)/SUM(E$5:E1757)</f>
        <v/>
      </c>
    </row>
    <row r="1758">
      <c r="A1758" s="29" t="n">
        <v>45919</v>
      </c>
      <c r="B1758" s="37" t="inlineStr">
        <is>
          <t>JOB-2754</t>
        </is>
      </c>
      <c r="C1758" s="34" t="n">
        <v>1</v>
      </c>
      <c r="D1758" s="37" t="inlineStr">
        <is>
          <t>Tech B</t>
        </is>
      </c>
      <c r="E1758" s="35" t="n">
        <v>3.8</v>
      </c>
      <c r="F1758" s="35" t="n">
        <v>2.6</v>
      </c>
      <c r="G1758" s="37" t="inlineStr">
        <is>
          <t>Y</t>
        </is>
      </c>
      <c r="H1758" s="37" t="inlineStr">
        <is>
          <t>N</t>
        </is>
      </c>
      <c r="I1758" s="37">
        <f>COUNTIF(G$5:G1758,"Y")/COUNTA(G$5:G1758)</f>
        <v/>
      </c>
      <c r="J1758" s="37">
        <f>COUNTIF(H$5:H1758,"Y")/COUNTA(H$5:H1758)</f>
        <v/>
      </c>
      <c r="K1758" s="37">
        <f>AVERAGE(F$5:F1758)</f>
        <v/>
      </c>
      <c r="L1758" s="37">
        <f>SUM(F$5:F1758)/SUM(E$5:E1758)</f>
        <v/>
      </c>
    </row>
    <row r="1759">
      <c r="A1759" s="29" t="n">
        <v>45915</v>
      </c>
      <c r="B1759" s="37" t="inlineStr">
        <is>
          <t>JOB-2755</t>
        </is>
      </c>
      <c r="C1759" s="34" t="n">
        <v>1</v>
      </c>
      <c r="D1759" s="37" t="inlineStr">
        <is>
          <t>Tech G</t>
        </is>
      </c>
      <c r="E1759" s="35" t="n">
        <v>4.1</v>
      </c>
      <c r="F1759" s="35" t="n">
        <v>3.6</v>
      </c>
      <c r="G1759" s="37" t="inlineStr">
        <is>
          <t>Y</t>
        </is>
      </c>
      <c r="H1759" s="37" t="inlineStr">
        <is>
          <t>N</t>
        </is>
      </c>
      <c r="I1759" s="37">
        <f>COUNTIF(G$5:G1759,"Y")/COUNTA(G$5:G1759)</f>
        <v/>
      </c>
      <c r="J1759" s="37">
        <f>COUNTIF(H$5:H1759,"Y")/COUNTA(H$5:H1759)</f>
        <v/>
      </c>
      <c r="K1759" s="37">
        <f>AVERAGE(F$5:F1759)</f>
        <v/>
      </c>
      <c r="L1759" s="37">
        <f>SUM(F$5:F1759)/SUM(E$5:E1759)</f>
        <v/>
      </c>
    </row>
    <row r="1760">
      <c r="A1760" s="29" t="n">
        <v>45916</v>
      </c>
      <c r="B1760" s="37" t="inlineStr">
        <is>
          <t>JOB-2756</t>
        </is>
      </c>
      <c r="C1760" s="34" t="n">
        <v>1</v>
      </c>
      <c r="D1760" s="37" t="inlineStr">
        <is>
          <t>Tech F</t>
        </is>
      </c>
      <c r="E1760" s="35" t="n">
        <v>2</v>
      </c>
      <c r="F1760" s="35" t="n">
        <v>1.5</v>
      </c>
      <c r="G1760" s="37" t="inlineStr">
        <is>
          <t>Y</t>
        </is>
      </c>
      <c r="H1760" s="37" t="inlineStr">
        <is>
          <t>N</t>
        </is>
      </c>
      <c r="I1760" s="37">
        <f>COUNTIF(G$5:G1760,"Y")/COUNTA(G$5:G1760)</f>
        <v/>
      </c>
      <c r="J1760" s="37">
        <f>COUNTIF(H$5:H1760,"Y")/COUNTA(H$5:H1760)</f>
        <v/>
      </c>
      <c r="K1760" s="37">
        <f>AVERAGE(F$5:F1760)</f>
        <v/>
      </c>
      <c r="L1760" s="37">
        <f>SUM(F$5:F1760)/SUM(E$5:E1760)</f>
        <v/>
      </c>
    </row>
    <row r="1761">
      <c r="A1761" s="29" t="n">
        <v>45917</v>
      </c>
      <c r="B1761" s="37" t="inlineStr">
        <is>
          <t>JOB-2757</t>
        </is>
      </c>
      <c r="C1761" s="34" t="n">
        <v>1</v>
      </c>
      <c r="D1761" s="37" t="inlineStr">
        <is>
          <t>Tech H</t>
        </is>
      </c>
      <c r="E1761" s="35" t="n">
        <v>2</v>
      </c>
      <c r="F1761" s="35" t="n">
        <v>1.5</v>
      </c>
      <c r="G1761" s="37" t="inlineStr">
        <is>
          <t>Y</t>
        </is>
      </c>
      <c r="H1761" s="37" t="inlineStr">
        <is>
          <t>N</t>
        </is>
      </c>
      <c r="I1761" s="37">
        <f>COUNTIF(G$5:G1761,"Y")/COUNTA(G$5:G1761)</f>
        <v/>
      </c>
      <c r="J1761" s="37">
        <f>COUNTIF(H$5:H1761,"Y")/COUNTA(H$5:H1761)</f>
        <v/>
      </c>
      <c r="K1761" s="37">
        <f>AVERAGE(F$5:F1761)</f>
        <v/>
      </c>
      <c r="L1761" s="37">
        <f>SUM(F$5:F1761)/SUM(E$5:E1761)</f>
        <v/>
      </c>
    </row>
    <row r="1762">
      <c r="A1762" s="29" t="n">
        <v>45918</v>
      </c>
      <c r="B1762" s="37" t="inlineStr">
        <is>
          <t>JOB-2758</t>
        </is>
      </c>
      <c r="C1762" s="34" t="n">
        <v>1</v>
      </c>
      <c r="D1762" s="37" t="inlineStr">
        <is>
          <t>Tech G</t>
        </is>
      </c>
      <c r="E1762" s="35" t="n">
        <v>4.2</v>
      </c>
      <c r="F1762" s="35" t="n">
        <v>3.7</v>
      </c>
      <c r="G1762" s="37" t="inlineStr">
        <is>
          <t>N</t>
        </is>
      </c>
      <c r="H1762" s="37" t="inlineStr">
        <is>
          <t>N</t>
        </is>
      </c>
      <c r="I1762" s="37">
        <f>COUNTIF(G$5:G1762,"Y")/COUNTA(G$5:G1762)</f>
        <v/>
      </c>
      <c r="J1762" s="37">
        <f>COUNTIF(H$5:H1762,"Y")/COUNTA(H$5:H1762)</f>
        <v/>
      </c>
      <c r="K1762" s="37">
        <f>AVERAGE(F$5:F1762)</f>
        <v/>
      </c>
      <c r="L1762" s="37">
        <f>SUM(F$5:F1762)/SUM(E$5:E1762)</f>
        <v/>
      </c>
    </row>
    <row r="1763">
      <c r="A1763" s="29" t="n">
        <v>45919</v>
      </c>
      <c r="B1763" s="37" t="inlineStr">
        <is>
          <t>JOB-2759</t>
        </is>
      </c>
      <c r="C1763" s="34" t="n">
        <v>1</v>
      </c>
      <c r="D1763" s="37" t="inlineStr">
        <is>
          <t>Tech B</t>
        </is>
      </c>
      <c r="E1763" s="35" t="n">
        <v>2.3</v>
      </c>
      <c r="F1763" s="35" t="n">
        <v>1.8</v>
      </c>
      <c r="G1763" s="37" t="inlineStr">
        <is>
          <t>Y</t>
        </is>
      </c>
      <c r="H1763" s="37" t="inlineStr">
        <is>
          <t>N</t>
        </is>
      </c>
      <c r="I1763" s="37">
        <f>COUNTIF(G$5:G1763,"Y")/COUNTA(G$5:G1763)</f>
        <v/>
      </c>
      <c r="J1763" s="37">
        <f>COUNTIF(H$5:H1763,"Y")/COUNTA(H$5:H1763)</f>
        <v/>
      </c>
      <c r="K1763" s="37">
        <f>AVERAGE(F$5:F1763)</f>
        <v/>
      </c>
      <c r="L1763" s="37">
        <f>SUM(F$5:F1763)/SUM(E$5:E1763)</f>
        <v/>
      </c>
    </row>
    <row r="1764">
      <c r="A1764" s="29" t="n">
        <v>45915</v>
      </c>
      <c r="B1764" s="37" t="inlineStr">
        <is>
          <t>JOB-2760</t>
        </is>
      </c>
      <c r="C1764" s="34" t="n">
        <v>1</v>
      </c>
      <c r="D1764" s="37" t="inlineStr">
        <is>
          <t>Tech C</t>
        </is>
      </c>
      <c r="E1764" s="35" t="n">
        <v>4.9</v>
      </c>
      <c r="F1764" s="35" t="n">
        <v>3.4</v>
      </c>
      <c r="G1764" s="37" t="inlineStr">
        <is>
          <t>Y</t>
        </is>
      </c>
      <c r="H1764" s="37" t="inlineStr">
        <is>
          <t>N</t>
        </is>
      </c>
      <c r="I1764" s="37">
        <f>COUNTIF(G$5:G1764,"Y")/COUNTA(G$5:G1764)</f>
        <v/>
      </c>
      <c r="J1764" s="37">
        <f>COUNTIF(H$5:H1764,"Y")/COUNTA(H$5:H1764)</f>
        <v/>
      </c>
      <c r="K1764" s="37">
        <f>AVERAGE(F$5:F1764)</f>
        <v/>
      </c>
      <c r="L1764" s="37">
        <f>SUM(F$5:F1764)/SUM(E$5:E1764)</f>
        <v/>
      </c>
    </row>
    <row r="1765">
      <c r="A1765" s="29" t="n">
        <v>45916</v>
      </c>
      <c r="B1765" s="37" t="inlineStr">
        <is>
          <t>JOB-2761</t>
        </is>
      </c>
      <c r="C1765" s="34" t="n">
        <v>1</v>
      </c>
      <c r="D1765" s="37" t="inlineStr">
        <is>
          <t>Tech F</t>
        </is>
      </c>
      <c r="E1765" s="35" t="n">
        <v>3.3</v>
      </c>
      <c r="F1765" s="35" t="n">
        <v>2.3</v>
      </c>
      <c r="G1765" s="37" t="inlineStr">
        <is>
          <t>Y</t>
        </is>
      </c>
      <c r="H1765" s="37" t="inlineStr">
        <is>
          <t>N</t>
        </is>
      </c>
      <c r="I1765" s="37">
        <f>COUNTIF(G$5:G1765,"Y")/COUNTA(G$5:G1765)</f>
        <v/>
      </c>
      <c r="J1765" s="37">
        <f>COUNTIF(H$5:H1765,"Y")/COUNTA(H$5:H1765)</f>
        <v/>
      </c>
      <c r="K1765" s="37">
        <f>AVERAGE(F$5:F1765)</f>
        <v/>
      </c>
      <c r="L1765" s="37">
        <f>SUM(F$5:F1765)/SUM(E$5:E1765)</f>
        <v/>
      </c>
    </row>
    <row r="1766">
      <c r="A1766" s="29" t="n">
        <v>45917</v>
      </c>
      <c r="B1766" s="37" t="inlineStr">
        <is>
          <t>JOB-2762</t>
        </is>
      </c>
      <c r="C1766" s="34" t="n">
        <v>1</v>
      </c>
      <c r="D1766" s="37" t="inlineStr">
        <is>
          <t>Tech D</t>
        </is>
      </c>
      <c r="E1766" s="35" t="n">
        <v>3.6</v>
      </c>
      <c r="F1766" s="35" t="n">
        <v>2.9</v>
      </c>
      <c r="G1766" s="37" t="inlineStr">
        <is>
          <t>Y</t>
        </is>
      </c>
      <c r="H1766" s="37" t="inlineStr">
        <is>
          <t>Y</t>
        </is>
      </c>
      <c r="I1766" s="37">
        <f>COUNTIF(G$5:G1766,"Y")/COUNTA(G$5:G1766)</f>
        <v/>
      </c>
      <c r="J1766" s="37">
        <f>COUNTIF(H$5:H1766,"Y")/COUNTA(H$5:H1766)</f>
        <v/>
      </c>
      <c r="K1766" s="37">
        <f>AVERAGE(F$5:F1766)</f>
        <v/>
      </c>
      <c r="L1766" s="37">
        <f>SUM(F$5:F1766)/SUM(E$5:E1766)</f>
        <v/>
      </c>
    </row>
    <row r="1767">
      <c r="A1767" s="29" t="n">
        <v>45918</v>
      </c>
      <c r="B1767" s="37" t="inlineStr">
        <is>
          <t>JOB-2763</t>
        </is>
      </c>
      <c r="C1767" s="34" t="n">
        <v>1</v>
      </c>
      <c r="D1767" s="37" t="inlineStr">
        <is>
          <t>Tech D</t>
        </is>
      </c>
      <c r="E1767" s="35" t="n">
        <v>2</v>
      </c>
      <c r="F1767" s="35" t="n">
        <v>1.5</v>
      </c>
      <c r="G1767" s="37" t="inlineStr">
        <is>
          <t>Y</t>
        </is>
      </c>
      <c r="H1767" s="37" t="inlineStr">
        <is>
          <t>N</t>
        </is>
      </c>
      <c r="I1767" s="37">
        <f>COUNTIF(G$5:G1767,"Y")/COUNTA(G$5:G1767)</f>
        <v/>
      </c>
      <c r="J1767" s="37">
        <f>COUNTIF(H$5:H1767,"Y")/COUNTA(H$5:H1767)</f>
        <v/>
      </c>
      <c r="K1767" s="37">
        <f>AVERAGE(F$5:F1767)</f>
        <v/>
      </c>
      <c r="L1767" s="37">
        <f>SUM(F$5:F1767)/SUM(E$5:E1767)</f>
        <v/>
      </c>
    </row>
    <row r="1768">
      <c r="A1768" s="29" t="n">
        <v>45919</v>
      </c>
      <c r="B1768" s="37" t="inlineStr">
        <is>
          <t>JOB-2764</t>
        </is>
      </c>
      <c r="C1768" s="34" t="n">
        <v>1</v>
      </c>
      <c r="D1768" s="37" t="inlineStr">
        <is>
          <t>Tech A</t>
        </is>
      </c>
      <c r="E1768" s="35" t="n">
        <v>1.5</v>
      </c>
      <c r="F1768" s="35" t="n">
        <v>1.3</v>
      </c>
      <c r="G1768" s="37" t="inlineStr">
        <is>
          <t>Y</t>
        </is>
      </c>
      <c r="H1768" s="37" t="inlineStr">
        <is>
          <t>N</t>
        </is>
      </c>
      <c r="I1768" s="37">
        <f>COUNTIF(G$5:G1768,"Y")/COUNTA(G$5:G1768)</f>
        <v/>
      </c>
      <c r="J1768" s="37">
        <f>COUNTIF(H$5:H1768,"Y")/COUNTA(H$5:H1768)</f>
        <v/>
      </c>
      <c r="K1768" s="37">
        <f>AVERAGE(F$5:F1768)</f>
        <v/>
      </c>
      <c r="L1768" s="37">
        <f>SUM(F$5:F1768)/SUM(E$5:E1768)</f>
        <v/>
      </c>
    </row>
    <row r="1769">
      <c r="A1769" s="29" t="n">
        <v>45915</v>
      </c>
      <c r="B1769" s="37" t="inlineStr">
        <is>
          <t>JOB-2765</t>
        </is>
      </c>
      <c r="C1769" s="34" t="n">
        <v>1</v>
      </c>
      <c r="D1769" s="37" t="inlineStr">
        <is>
          <t>Tech G</t>
        </is>
      </c>
      <c r="E1769" s="35" t="n">
        <v>3.4</v>
      </c>
      <c r="F1769" s="35" t="n">
        <v>2.3</v>
      </c>
      <c r="G1769" s="37" t="inlineStr">
        <is>
          <t>Y</t>
        </is>
      </c>
      <c r="H1769" s="37" t="inlineStr">
        <is>
          <t>N</t>
        </is>
      </c>
      <c r="I1769" s="37">
        <f>COUNTIF(G$5:G1769,"Y")/COUNTA(G$5:G1769)</f>
        <v/>
      </c>
      <c r="J1769" s="37">
        <f>COUNTIF(H$5:H1769,"Y")/COUNTA(H$5:H1769)</f>
        <v/>
      </c>
      <c r="K1769" s="37">
        <f>AVERAGE(F$5:F1769)</f>
        <v/>
      </c>
      <c r="L1769" s="37">
        <f>SUM(F$5:F1769)/SUM(E$5:E1769)</f>
        <v/>
      </c>
    </row>
    <row r="1770">
      <c r="A1770" s="29" t="n">
        <v>45916</v>
      </c>
      <c r="B1770" s="37" t="inlineStr">
        <is>
          <t>JOB-2766</t>
        </is>
      </c>
      <c r="C1770" s="34" t="n">
        <v>1</v>
      </c>
      <c r="D1770" s="37" t="inlineStr">
        <is>
          <t>Tech H</t>
        </is>
      </c>
      <c r="E1770" s="35" t="n">
        <v>2.7</v>
      </c>
      <c r="F1770" s="35" t="n">
        <v>2.1</v>
      </c>
      <c r="G1770" s="37" t="inlineStr">
        <is>
          <t>Y</t>
        </is>
      </c>
      <c r="H1770" s="37" t="inlineStr">
        <is>
          <t>N</t>
        </is>
      </c>
      <c r="I1770" s="37">
        <f>COUNTIF(G$5:G1770,"Y")/COUNTA(G$5:G1770)</f>
        <v/>
      </c>
      <c r="J1770" s="37">
        <f>COUNTIF(H$5:H1770,"Y")/COUNTA(H$5:H1770)</f>
        <v/>
      </c>
      <c r="K1770" s="37">
        <f>AVERAGE(F$5:F1770)</f>
        <v/>
      </c>
      <c r="L1770" s="37">
        <f>SUM(F$5:F1770)/SUM(E$5:E1770)</f>
        <v/>
      </c>
    </row>
    <row r="1771">
      <c r="A1771" s="29" t="n">
        <v>45917</v>
      </c>
      <c r="B1771" s="37" t="inlineStr">
        <is>
          <t>JOB-2767</t>
        </is>
      </c>
      <c r="C1771" s="34" t="n">
        <v>1</v>
      </c>
      <c r="D1771" s="37" t="inlineStr">
        <is>
          <t>Tech F</t>
        </is>
      </c>
      <c r="E1771" s="35" t="n">
        <v>4</v>
      </c>
      <c r="F1771" s="35" t="n">
        <v>3.5</v>
      </c>
      <c r="G1771" s="37" t="inlineStr">
        <is>
          <t>Y</t>
        </is>
      </c>
      <c r="H1771" s="37" t="inlineStr">
        <is>
          <t>N</t>
        </is>
      </c>
      <c r="I1771" s="37">
        <f>COUNTIF(G$5:G1771,"Y")/COUNTA(G$5:G1771)</f>
        <v/>
      </c>
      <c r="J1771" s="37">
        <f>COUNTIF(H$5:H1771,"Y")/COUNTA(H$5:H1771)</f>
        <v/>
      </c>
      <c r="K1771" s="37">
        <f>AVERAGE(F$5:F1771)</f>
        <v/>
      </c>
      <c r="L1771" s="37">
        <f>SUM(F$5:F1771)/SUM(E$5:E1771)</f>
        <v/>
      </c>
    </row>
    <row r="1772">
      <c r="A1772" s="29" t="n">
        <v>45918</v>
      </c>
      <c r="B1772" s="37" t="inlineStr">
        <is>
          <t>JOB-2768</t>
        </is>
      </c>
      <c r="C1772" s="34" t="n">
        <v>1</v>
      </c>
      <c r="D1772" s="37" t="inlineStr">
        <is>
          <t>Tech B</t>
        </is>
      </c>
      <c r="E1772" s="35" t="n">
        <v>3.2</v>
      </c>
      <c r="F1772" s="35" t="n">
        <v>2.9</v>
      </c>
      <c r="G1772" s="37" t="inlineStr">
        <is>
          <t>Y</t>
        </is>
      </c>
      <c r="H1772" s="37" t="inlineStr">
        <is>
          <t>N</t>
        </is>
      </c>
      <c r="I1772" s="37">
        <f>COUNTIF(G$5:G1772,"Y")/COUNTA(G$5:G1772)</f>
        <v/>
      </c>
      <c r="J1772" s="37">
        <f>COUNTIF(H$5:H1772,"Y")/COUNTA(H$5:H1772)</f>
        <v/>
      </c>
      <c r="K1772" s="37">
        <f>AVERAGE(F$5:F1772)</f>
        <v/>
      </c>
      <c r="L1772" s="37">
        <f>SUM(F$5:F1772)/SUM(E$5:E1772)</f>
        <v/>
      </c>
    </row>
    <row r="1773">
      <c r="A1773" s="29" t="n">
        <v>45919</v>
      </c>
      <c r="B1773" s="37" t="inlineStr">
        <is>
          <t>JOB-2769</t>
        </is>
      </c>
      <c r="C1773" s="34" t="n">
        <v>1</v>
      </c>
      <c r="D1773" s="37" t="inlineStr">
        <is>
          <t>Tech G</t>
        </is>
      </c>
      <c r="E1773" s="35" t="n">
        <v>5.4</v>
      </c>
      <c r="F1773" s="35" t="n">
        <v>3.8</v>
      </c>
      <c r="G1773" s="37" t="inlineStr">
        <is>
          <t>Y</t>
        </is>
      </c>
      <c r="H1773" s="37" t="inlineStr">
        <is>
          <t>N</t>
        </is>
      </c>
      <c r="I1773" s="37">
        <f>COUNTIF(G$5:G1773,"Y")/COUNTA(G$5:G1773)</f>
        <v/>
      </c>
      <c r="J1773" s="37">
        <f>COUNTIF(H$5:H1773,"Y")/COUNTA(H$5:H1773)</f>
        <v/>
      </c>
      <c r="K1773" s="37">
        <f>AVERAGE(F$5:F1773)</f>
        <v/>
      </c>
      <c r="L1773" s="37">
        <f>SUM(F$5:F1773)/SUM(E$5:E1773)</f>
        <v/>
      </c>
    </row>
    <row r="1774">
      <c r="A1774" s="29" t="n">
        <v>45915</v>
      </c>
      <c r="B1774" s="37" t="inlineStr">
        <is>
          <t>JOB-2770</t>
        </is>
      </c>
      <c r="C1774" s="34" t="n">
        <v>1</v>
      </c>
      <c r="D1774" s="37" t="inlineStr">
        <is>
          <t>Tech B</t>
        </is>
      </c>
      <c r="E1774" s="35" t="n">
        <v>2.5</v>
      </c>
      <c r="F1774" s="35" t="n">
        <v>1.8</v>
      </c>
      <c r="G1774" s="37" t="inlineStr">
        <is>
          <t>Y</t>
        </is>
      </c>
      <c r="H1774" s="37" t="inlineStr">
        <is>
          <t>N</t>
        </is>
      </c>
      <c r="I1774" s="37">
        <f>COUNTIF(G$5:G1774,"Y")/COUNTA(G$5:G1774)</f>
        <v/>
      </c>
      <c r="J1774" s="37">
        <f>COUNTIF(H$5:H1774,"Y")/COUNTA(H$5:H1774)</f>
        <v/>
      </c>
      <c r="K1774" s="37">
        <f>AVERAGE(F$5:F1774)</f>
        <v/>
      </c>
      <c r="L1774" s="37">
        <f>SUM(F$5:F1774)/SUM(E$5:E1774)</f>
        <v/>
      </c>
    </row>
    <row r="1775">
      <c r="A1775" s="29" t="n">
        <v>45916</v>
      </c>
      <c r="B1775" s="37" t="inlineStr">
        <is>
          <t>JOB-2771</t>
        </is>
      </c>
      <c r="C1775" s="34" t="n">
        <v>1</v>
      </c>
      <c r="D1775" s="37" t="inlineStr">
        <is>
          <t>Tech C</t>
        </is>
      </c>
      <c r="E1775" s="35" t="n">
        <v>3</v>
      </c>
      <c r="F1775" s="35" t="n">
        <v>2.6</v>
      </c>
      <c r="G1775" s="37" t="inlineStr">
        <is>
          <t>Y</t>
        </is>
      </c>
      <c r="H1775" s="37" t="inlineStr">
        <is>
          <t>N</t>
        </is>
      </c>
      <c r="I1775" s="37">
        <f>COUNTIF(G$5:G1775,"Y")/COUNTA(G$5:G1775)</f>
        <v/>
      </c>
      <c r="J1775" s="37">
        <f>COUNTIF(H$5:H1775,"Y")/COUNTA(H$5:H1775)</f>
        <v/>
      </c>
      <c r="K1775" s="37">
        <f>AVERAGE(F$5:F1775)</f>
        <v/>
      </c>
      <c r="L1775" s="37">
        <f>SUM(F$5:F1775)/SUM(E$5:E1775)</f>
        <v/>
      </c>
    </row>
    <row r="1776">
      <c r="A1776" s="29" t="n">
        <v>45917</v>
      </c>
      <c r="B1776" s="37" t="inlineStr">
        <is>
          <t>JOB-2772</t>
        </is>
      </c>
      <c r="C1776" s="34" t="n">
        <v>1</v>
      </c>
      <c r="D1776" s="37" t="inlineStr">
        <is>
          <t>Tech F</t>
        </is>
      </c>
      <c r="E1776" s="35" t="n">
        <v>3.1</v>
      </c>
      <c r="F1776" s="35" t="n">
        <v>2.2</v>
      </c>
      <c r="G1776" s="37" t="inlineStr">
        <is>
          <t>N</t>
        </is>
      </c>
      <c r="H1776" s="37" t="inlineStr">
        <is>
          <t>N</t>
        </is>
      </c>
      <c r="I1776" s="37">
        <f>COUNTIF(G$5:G1776,"Y")/COUNTA(G$5:G1776)</f>
        <v/>
      </c>
      <c r="J1776" s="37">
        <f>COUNTIF(H$5:H1776,"Y")/COUNTA(H$5:H1776)</f>
        <v/>
      </c>
      <c r="K1776" s="37">
        <f>AVERAGE(F$5:F1776)</f>
        <v/>
      </c>
      <c r="L1776" s="37">
        <f>SUM(F$5:F1776)/SUM(E$5:E1776)</f>
        <v/>
      </c>
    </row>
    <row r="1777">
      <c r="A1777" s="29" t="n">
        <v>45918</v>
      </c>
      <c r="B1777" s="37" t="inlineStr">
        <is>
          <t>JOB-2773</t>
        </is>
      </c>
      <c r="C1777" s="34" t="n">
        <v>1</v>
      </c>
      <c r="D1777" s="37" t="inlineStr">
        <is>
          <t>Tech B</t>
        </is>
      </c>
      <c r="E1777" s="35" t="n">
        <v>3.1</v>
      </c>
      <c r="F1777" s="35" t="n">
        <v>2.4</v>
      </c>
      <c r="G1777" s="37" t="inlineStr">
        <is>
          <t>Y</t>
        </is>
      </c>
      <c r="H1777" s="37" t="inlineStr">
        <is>
          <t>N</t>
        </is>
      </c>
      <c r="I1777" s="37">
        <f>COUNTIF(G$5:G1777,"Y")/COUNTA(G$5:G1777)</f>
        <v/>
      </c>
      <c r="J1777" s="37">
        <f>COUNTIF(H$5:H1777,"Y")/COUNTA(H$5:H1777)</f>
        <v/>
      </c>
      <c r="K1777" s="37">
        <f>AVERAGE(F$5:F1777)</f>
        <v/>
      </c>
      <c r="L1777" s="37">
        <f>SUM(F$5:F1777)/SUM(E$5:E1777)</f>
        <v/>
      </c>
    </row>
    <row r="1778">
      <c r="A1778" s="29" t="n">
        <v>45919</v>
      </c>
      <c r="B1778" s="37" t="inlineStr">
        <is>
          <t>JOB-2774</t>
        </is>
      </c>
      <c r="C1778" s="34" t="n">
        <v>1</v>
      </c>
      <c r="D1778" s="37" t="inlineStr">
        <is>
          <t>Tech G</t>
        </is>
      </c>
      <c r="E1778" s="35" t="n">
        <v>4</v>
      </c>
      <c r="F1778" s="35" t="n">
        <v>2.8</v>
      </c>
      <c r="G1778" s="37" t="inlineStr">
        <is>
          <t>Y</t>
        </is>
      </c>
      <c r="H1778" s="37" t="inlineStr">
        <is>
          <t>N</t>
        </is>
      </c>
      <c r="I1778" s="37">
        <f>COUNTIF(G$5:G1778,"Y")/COUNTA(G$5:G1778)</f>
        <v/>
      </c>
      <c r="J1778" s="37">
        <f>COUNTIF(H$5:H1778,"Y")/COUNTA(H$5:H1778)</f>
        <v/>
      </c>
      <c r="K1778" s="37">
        <f>AVERAGE(F$5:F1778)</f>
        <v/>
      </c>
      <c r="L1778" s="37">
        <f>SUM(F$5:F1778)/SUM(E$5:E1778)</f>
        <v/>
      </c>
    </row>
    <row r="1779">
      <c r="A1779" s="29" t="n">
        <v>45915</v>
      </c>
      <c r="B1779" s="37" t="inlineStr">
        <is>
          <t>JOB-2775</t>
        </is>
      </c>
      <c r="C1779" s="34" t="n">
        <v>1</v>
      </c>
      <c r="D1779" s="37" t="inlineStr">
        <is>
          <t>Tech B</t>
        </is>
      </c>
      <c r="E1779" s="35" t="n">
        <v>4.5</v>
      </c>
      <c r="F1779" s="35" t="n">
        <v>3.5</v>
      </c>
      <c r="G1779" s="37" t="inlineStr">
        <is>
          <t>N</t>
        </is>
      </c>
      <c r="H1779" s="37" t="inlineStr">
        <is>
          <t>N</t>
        </is>
      </c>
      <c r="I1779" s="37">
        <f>COUNTIF(G$5:G1779,"Y")/COUNTA(G$5:G1779)</f>
        <v/>
      </c>
      <c r="J1779" s="37">
        <f>COUNTIF(H$5:H1779,"Y")/COUNTA(H$5:H1779)</f>
        <v/>
      </c>
      <c r="K1779" s="37">
        <f>AVERAGE(F$5:F1779)</f>
        <v/>
      </c>
      <c r="L1779" s="37">
        <f>SUM(F$5:F1779)/SUM(E$5:E1779)</f>
        <v/>
      </c>
    </row>
    <row r="1780">
      <c r="A1780" s="29" t="n">
        <v>45916</v>
      </c>
      <c r="B1780" s="37" t="inlineStr">
        <is>
          <t>JOB-2776</t>
        </is>
      </c>
      <c r="C1780" s="34" t="n">
        <v>1</v>
      </c>
      <c r="D1780" s="37" t="inlineStr">
        <is>
          <t>Tech F</t>
        </is>
      </c>
      <c r="E1780" s="35" t="n">
        <v>4.4</v>
      </c>
      <c r="F1780" s="35" t="n">
        <v>3.3</v>
      </c>
      <c r="G1780" s="37" t="inlineStr">
        <is>
          <t>Y</t>
        </is>
      </c>
      <c r="H1780" s="37" t="inlineStr">
        <is>
          <t>N</t>
        </is>
      </c>
      <c r="I1780" s="37">
        <f>COUNTIF(G$5:G1780,"Y")/COUNTA(G$5:G1780)</f>
        <v/>
      </c>
      <c r="J1780" s="37">
        <f>COUNTIF(H$5:H1780,"Y")/COUNTA(H$5:H1780)</f>
        <v/>
      </c>
      <c r="K1780" s="37">
        <f>AVERAGE(F$5:F1780)</f>
        <v/>
      </c>
      <c r="L1780" s="37">
        <f>SUM(F$5:F1780)/SUM(E$5:E1780)</f>
        <v/>
      </c>
    </row>
    <row r="1781">
      <c r="A1781" s="29" t="n">
        <v>45917</v>
      </c>
      <c r="B1781" s="37" t="inlineStr">
        <is>
          <t>JOB-2777</t>
        </is>
      </c>
      <c r="C1781" s="34" t="n">
        <v>1</v>
      </c>
      <c r="D1781" s="37" t="inlineStr">
        <is>
          <t>Tech D</t>
        </is>
      </c>
      <c r="E1781" s="35" t="n">
        <v>4.4</v>
      </c>
      <c r="F1781" s="35" t="n">
        <v>3.4</v>
      </c>
      <c r="G1781" s="37" t="inlineStr">
        <is>
          <t>Y</t>
        </is>
      </c>
      <c r="H1781" s="37" t="inlineStr">
        <is>
          <t>N</t>
        </is>
      </c>
      <c r="I1781" s="37">
        <f>COUNTIF(G$5:G1781,"Y")/COUNTA(G$5:G1781)</f>
        <v/>
      </c>
      <c r="J1781" s="37">
        <f>COUNTIF(H$5:H1781,"Y")/COUNTA(H$5:H1781)</f>
        <v/>
      </c>
      <c r="K1781" s="37">
        <f>AVERAGE(F$5:F1781)</f>
        <v/>
      </c>
      <c r="L1781" s="37">
        <f>SUM(F$5:F1781)/SUM(E$5:E1781)</f>
        <v/>
      </c>
    </row>
    <row r="1782">
      <c r="A1782" s="29" t="n">
        <v>45918</v>
      </c>
      <c r="B1782" s="37" t="inlineStr">
        <is>
          <t>JOB-2778</t>
        </is>
      </c>
      <c r="C1782" s="34" t="n">
        <v>1</v>
      </c>
      <c r="D1782" s="37" t="inlineStr">
        <is>
          <t>Tech F</t>
        </is>
      </c>
      <c r="E1782" s="35" t="n">
        <v>3.2</v>
      </c>
      <c r="F1782" s="35" t="n">
        <v>2.5</v>
      </c>
      <c r="G1782" s="37" t="inlineStr">
        <is>
          <t>Y</t>
        </is>
      </c>
      <c r="H1782" s="37" t="inlineStr">
        <is>
          <t>N</t>
        </is>
      </c>
      <c r="I1782" s="37">
        <f>COUNTIF(G$5:G1782,"Y")/COUNTA(G$5:G1782)</f>
        <v/>
      </c>
      <c r="J1782" s="37">
        <f>COUNTIF(H$5:H1782,"Y")/COUNTA(H$5:H1782)</f>
        <v/>
      </c>
      <c r="K1782" s="37">
        <f>AVERAGE(F$5:F1782)</f>
        <v/>
      </c>
      <c r="L1782" s="37">
        <f>SUM(F$5:F1782)/SUM(E$5:E1782)</f>
        <v/>
      </c>
    </row>
    <row r="1783">
      <c r="A1783" s="29" t="n">
        <v>45919</v>
      </c>
      <c r="B1783" s="37" t="inlineStr">
        <is>
          <t>JOB-2779</t>
        </is>
      </c>
      <c r="C1783" s="34" t="n">
        <v>1</v>
      </c>
      <c r="D1783" s="37" t="inlineStr">
        <is>
          <t>Tech D</t>
        </is>
      </c>
      <c r="E1783" s="35" t="n">
        <v>3.6</v>
      </c>
      <c r="F1783" s="35" t="n">
        <v>2.5</v>
      </c>
      <c r="G1783" s="37" t="inlineStr">
        <is>
          <t>Y</t>
        </is>
      </c>
      <c r="H1783" s="37" t="inlineStr">
        <is>
          <t>N</t>
        </is>
      </c>
      <c r="I1783" s="37">
        <f>COUNTIF(G$5:G1783,"Y")/COUNTA(G$5:G1783)</f>
        <v/>
      </c>
      <c r="J1783" s="37">
        <f>COUNTIF(H$5:H1783,"Y")/COUNTA(H$5:H1783)</f>
        <v/>
      </c>
      <c r="K1783" s="37">
        <f>AVERAGE(F$5:F1783)</f>
        <v/>
      </c>
      <c r="L1783" s="37">
        <f>SUM(F$5:F1783)/SUM(E$5:E1783)</f>
        <v/>
      </c>
    </row>
    <row r="1784">
      <c r="A1784" s="29" t="n">
        <v>45915</v>
      </c>
      <c r="B1784" s="37" t="inlineStr">
        <is>
          <t>JOB-2780</t>
        </is>
      </c>
      <c r="C1784" s="34" t="n">
        <v>1</v>
      </c>
      <c r="D1784" s="37" t="inlineStr">
        <is>
          <t>Tech A</t>
        </is>
      </c>
      <c r="E1784" s="35" t="n">
        <v>2.9</v>
      </c>
      <c r="F1784" s="35" t="n">
        <v>2.1</v>
      </c>
      <c r="G1784" s="37" t="inlineStr">
        <is>
          <t>Y</t>
        </is>
      </c>
      <c r="H1784" s="37" t="inlineStr">
        <is>
          <t>N</t>
        </is>
      </c>
      <c r="I1784" s="37">
        <f>COUNTIF(G$5:G1784,"Y")/COUNTA(G$5:G1784)</f>
        <v/>
      </c>
      <c r="J1784" s="37">
        <f>COUNTIF(H$5:H1784,"Y")/COUNTA(H$5:H1784)</f>
        <v/>
      </c>
      <c r="K1784" s="37">
        <f>AVERAGE(F$5:F1784)</f>
        <v/>
      </c>
      <c r="L1784" s="37">
        <f>SUM(F$5:F1784)/SUM(E$5:E1784)</f>
        <v/>
      </c>
    </row>
    <row r="1785">
      <c r="A1785" s="29" t="n">
        <v>45916</v>
      </c>
      <c r="B1785" s="37" t="inlineStr">
        <is>
          <t>JOB-2781</t>
        </is>
      </c>
      <c r="C1785" s="34" t="n">
        <v>1</v>
      </c>
      <c r="D1785" s="37" t="inlineStr">
        <is>
          <t>Tech A</t>
        </is>
      </c>
      <c r="E1785" s="35" t="n">
        <v>3.9</v>
      </c>
      <c r="F1785" s="35" t="n">
        <v>3.1</v>
      </c>
      <c r="G1785" s="37" t="inlineStr">
        <is>
          <t>Y</t>
        </is>
      </c>
      <c r="H1785" s="37" t="inlineStr">
        <is>
          <t>N</t>
        </is>
      </c>
      <c r="I1785" s="37">
        <f>COUNTIF(G$5:G1785,"Y")/COUNTA(G$5:G1785)</f>
        <v/>
      </c>
      <c r="J1785" s="37">
        <f>COUNTIF(H$5:H1785,"Y")/COUNTA(H$5:H1785)</f>
        <v/>
      </c>
      <c r="K1785" s="37">
        <f>AVERAGE(F$5:F1785)</f>
        <v/>
      </c>
      <c r="L1785" s="37">
        <f>SUM(F$5:F1785)/SUM(E$5:E1785)</f>
        <v/>
      </c>
    </row>
    <row r="1786">
      <c r="A1786" s="29" t="n">
        <v>45917</v>
      </c>
      <c r="B1786" s="37" t="inlineStr">
        <is>
          <t>JOB-2782</t>
        </is>
      </c>
      <c r="C1786" s="34" t="n">
        <v>1</v>
      </c>
      <c r="D1786" s="37" t="inlineStr">
        <is>
          <t>Tech G</t>
        </is>
      </c>
      <c r="E1786" s="35" t="n">
        <v>2.2</v>
      </c>
      <c r="F1786" s="35" t="n">
        <v>1.8</v>
      </c>
      <c r="G1786" s="37" t="inlineStr">
        <is>
          <t>Y</t>
        </is>
      </c>
      <c r="H1786" s="37" t="inlineStr">
        <is>
          <t>N</t>
        </is>
      </c>
      <c r="I1786" s="37">
        <f>COUNTIF(G$5:G1786,"Y")/COUNTA(G$5:G1786)</f>
        <v/>
      </c>
      <c r="J1786" s="37">
        <f>COUNTIF(H$5:H1786,"Y")/COUNTA(H$5:H1786)</f>
        <v/>
      </c>
      <c r="K1786" s="37">
        <f>AVERAGE(F$5:F1786)</f>
        <v/>
      </c>
      <c r="L1786" s="37">
        <f>SUM(F$5:F1786)/SUM(E$5:E1786)</f>
        <v/>
      </c>
    </row>
    <row r="1787">
      <c r="A1787" s="29" t="n">
        <v>45918</v>
      </c>
      <c r="B1787" s="37" t="inlineStr">
        <is>
          <t>JOB-2783</t>
        </is>
      </c>
      <c r="C1787" s="34" t="n">
        <v>1</v>
      </c>
      <c r="D1787" s="37" t="inlineStr">
        <is>
          <t>Tech D</t>
        </is>
      </c>
      <c r="E1787" s="35" t="n">
        <v>4.1</v>
      </c>
      <c r="F1787" s="35" t="n">
        <v>2.8</v>
      </c>
      <c r="G1787" s="37" t="inlineStr">
        <is>
          <t>Y</t>
        </is>
      </c>
      <c r="H1787" s="37" t="inlineStr">
        <is>
          <t>N</t>
        </is>
      </c>
      <c r="I1787" s="37">
        <f>COUNTIF(G$5:G1787,"Y")/COUNTA(G$5:G1787)</f>
        <v/>
      </c>
      <c r="J1787" s="37">
        <f>COUNTIF(H$5:H1787,"Y")/COUNTA(H$5:H1787)</f>
        <v/>
      </c>
      <c r="K1787" s="37">
        <f>AVERAGE(F$5:F1787)</f>
        <v/>
      </c>
      <c r="L1787" s="37">
        <f>SUM(F$5:F1787)/SUM(E$5:E1787)</f>
        <v/>
      </c>
    </row>
    <row r="1788">
      <c r="A1788" s="29" t="n">
        <v>45919</v>
      </c>
      <c r="B1788" s="37" t="inlineStr">
        <is>
          <t>JOB-2784</t>
        </is>
      </c>
      <c r="C1788" s="34" t="n">
        <v>1</v>
      </c>
      <c r="D1788" s="37" t="inlineStr">
        <is>
          <t>Tech G</t>
        </is>
      </c>
      <c r="E1788" s="35" t="n">
        <v>5.2</v>
      </c>
      <c r="F1788" s="35" t="n">
        <v>3.8</v>
      </c>
      <c r="G1788" s="37" t="inlineStr">
        <is>
          <t>Y</t>
        </is>
      </c>
      <c r="H1788" s="37" t="inlineStr">
        <is>
          <t>N</t>
        </is>
      </c>
      <c r="I1788" s="37">
        <f>COUNTIF(G$5:G1788,"Y")/COUNTA(G$5:G1788)</f>
        <v/>
      </c>
      <c r="J1788" s="37">
        <f>COUNTIF(H$5:H1788,"Y")/COUNTA(H$5:H1788)</f>
        <v/>
      </c>
      <c r="K1788" s="37">
        <f>AVERAGE(F$5:F1788)</f>
        <v/>
      </c>
      <c r="L1788" s="37">
        <f>SUM(F$5:F1788)/SUM(E$5:E1788)</f>
        <v/>
      </c>
    </row>
    <row r="1789">
      <c r="A1789" s="29" t="n">
        <v>45915</v>
      </c>
      <c r="B1789" s="37" t="inlineStr">
        <is>
          <t>JOB-2785</t>
        </is>
      </c>
      <c r="C1789" s="34" t="n">
        <v>1</v>
      </c>
      <c r="D1789" s="37" t="inlineStr">
        <is>
          <t>Tech F</t>
        </is>
      </c>
      <c r="E1789" s="35" t="n">
        <v>3.5</v>
      </c>
      <c r="F1789" s="35" t="n">
        <v>3.1</v>
      </c>
      <c r="G1789" s="37" t="inlineStr">
        <is>
          <t>N</t>
        </is>
      </c>
      <c r="H1789" s="37" t="inlineStr">
        <is>
          <t>N</t>
        </is>
      </c>
      <c r="I1789" s="37">
        <f>COUNTIF(G$5:G1789,"Y")/COUNTA(G$5:G1789)</f>
        <v/>
      </c>
      <c r="J1789" s="37">
        <f>COUNTIF(H$5:H1789,"Y")/COUNTA(H$5:H1789)</f>
        <v/>
      </c>
      <c r="K1789" s="37">
        <f>AVERAGE(F$5:F1789)</f>
        <v/>
      </c>
      <c r="L1789" s="37">
        <f>SUM(F$5:F1789)/SUM(E$5:E1789)</f>
        <v/>
      </c>
    </row>
    <row r="1790">
      <c r="A1790" s="29" t="n">
        <v>45916</v>
      </c>
      <c r="B1790" s="37" t="inlineStr">
        <is>
          <t>JOB-2786</t>
        </is>
      </c>
      <c r="C1790" s="34" t="n">
        <v>1</v>
      </c>
      <c r="D1790" s="37" t="inlineStr">
        <is>
          <t>Tech C</t>
        </is>
      </c>
      <c r="E1790" s="35" t="n">
        <v>0.5</v>
      </c>
      <c r="F1790" s="35" t="n">
        <v>1.2</v>
      </c>
      <c r="G1790" s="37" t="inlineStr">
        <is>
          <t>Y</t>
        </is>
      </c>
      <c r="H1790" s="37" t="inlineStr">
        <is>
          <t>Y</t>
        </is>
      </c>
      <c r="I1790" s="37">
        <f>COUNTIF(G$5:G1790,"Y")/COUNTA(G$5:G1790)</f>
        <v/>
      </c>
      <c r="J1790" s="37">
        <f>COUNTIF(H$5:H1790,"Y")/COUNTA(H$5:H1790)</f>
        <v/>
      </c>
      <c r="K1790" s="37">
        <f>AVERAGE(F$5:F1790)</f>
        <v/>
      </c>
      <c r="L1790" s="37">
        <f>SUM(F$5:F1790)/SUM(E$5:E1790)</f>
        <v/>
      </c>
    </row>
    <row r="1791">
      <c r="A1791" s="29" t="n">
        <v>45917</v>
      </c>
      <c r="B1791" s="37" t="inlineStr">
        <is>
          <t>JOB-2787</t>
        </is>
      </c>
      <c r="C1791" s="34" t="n">
        <v>1</v>
      </c>
      <c r="D1791" s="37" t="inlineStr">
        <is>
          <t>Tech H</t>
        </is>
      </c>
      <c r="E1791" s="35" t="n">
        <v>0.5</v>
      </c>
      <c r="F1791" s="35" t="n">
        <v>0.5</v>
      </c>
      <c r="G1791" s="37" t="inlineStr">
        <is>
          <t>Y</t>
        </is>
      </c>
      <c r="H1791" s="37" t="inlineStr">
        <is>
          <t>N</t>
        </is>
      </c>
      <c r="I1791" s="37">
        <f>COUNTIF(G$5:G1791,"Y")/COUNTA(G$5:G1791)</f>
        <v/>
      </c>
      <c r="J1791" s="37">
        <f>COUNTIF(H$5:H1791,"Y")/COUNTA(H$5:H1791)</f>
        <v/>
      </c>
      <c r="K1791" s="37">
        <f>AVERAGE(F$5:F1791)</f>
        <v/>
      </c>
      <c r="L1791" s="37">
        <f>SUM(F$5:F1791)/SUM(E$5:E1791)</f>
        <v/>
      </c>
    </row>
    <row r="1792">
      <c r="A1792" s="29" t="n">
        <v>45918</v>
      </c>
      <c r="B1792" s="37" t="inlineStr">
        <is>
          <t>JOB-2788</t>
        </is>
      </c>
      <c r="C1792" s="34" t="n">
        <v>1</v>
      </c>
      <c r="D1792" s="37" t="inlineStr">
        <is>
          <t>Tech B</t>
        </is>
      </c>
      <c r="E1792" s="35" t="n">
        <v>0.5</v>
      </c>
      <c r="F1792" s="35" t="n">
        <v>0.5</v>
      </c>
      <c r="G1792" s="37" t="inlineStr">
        <is>
          <t>Y</t>
        </is>
      </c>
      <c r="H1792" s="37" t="inlineStr">
        <is>
          <t>N</t>
        </is>
      </c>
      <c r="I1792" s="37">
        <f>COUNTIF(G$5:G1792,"Y")/COUNTA(G$5:G1792)</f>
        <v/>
      </c>
      <c r="J1792" s="37">
        <f>COUNTIF(H$5:H1792,"Y")/COUNTA(H$5:H1792)</f>
        <v/>
      </c>
      <c r="K1792" s="37">
        <f>AVERAGE(F$5:F1792)</f>
        <v/>
      </c>
      <c r="L1792" s="37">
        <f>SUM(F$5:F1792)/SUM(E$5:E1792)</f>
        <v/>
      </c>
    </row>
    <row r="1793">
      <c r="A1793" s="29" t="n">
        <v>45919</v>
      </c>
      <c r="B1793" s="37" t="inlineStr">
        <is>
          <t>JOB-2789</t>
        </is>
      </c>
      <c r="C1793" s="34" t="n">
        <v>1</v>
      </c>
      <c r="D1793" s="37" t="inlineStr">
        <is>
          <t>Tech A</t>
        </is>
      </c>
      <c r="E1793" s="35" t="n">
        <v>0.5</v>
      </c>
      <c r="F1793" s="35" t="n">
        <v>0.5</v>
      </c>
      <c r="G1793" s="37" t="inlineStr">
        <is>
          <t>Y</t>
        </is>
      </c>
      <c r="H1793" s="37" t="inlineStr">
        <is>
          <t>N</t>
        </is>
      </c>
      <c r="I1793" s="37">
        <f>COUNTIF(G$5:G1793,"Y")/COUNTA(G$5:G1793)</f>
        <v/>
      </c>
      <c r="J1793" s="37">
        <f>COUNTIF(H$5:H1793,"Y")/COUNTA(H$5:H1793)</f>
        <v/>
      </c>
      <c r="K1793" s="37">
        <f>AVERAGE(F$5:F1793)</f>
        <v/>
      </c>
      <c r="L1793" s="37">
        <f>SUM(F$5:F1793)/SUM(E$5:E1793)</f>
        <v/>
      </c>
    </row>
    <row r="1794">
      <c r="A1794" s="29" t="n">
        <v>45915</v>
      </c>
      <c r="B1794" s="37" t="inlineStr">
        <is>
          <t>JOB-2790</t>
        </is>
      </c>
      <c r="C1794" s="34" t="n">
        <v>1</v>
      </c>
      <c r="D1794" s="37" t="inlineStr">
        <is>
          <t>Tech A</t>
        </is>
      </c>
      <c r="E1794" s="35" t="n">
        <v>0.5</v>
      </c>
      <c r="F1794" s="35" t="n">
        <v>0.5</v>
      </c>
      <c r="G1794" s="37" t="inlineStr">
        <is>
          <t>Y</t>
        </is>
      </c>
      <c r="H1794" s="37" t="inlineStr">
        <is>
          <t>N</t>
        </is>
      </c>
      <c r="I1794" s="37">
        <f>COUNTIF(G$5:G1794,"Y")/COUNTA(G$5:G1794)</f>
        <v/>
      </c>
      <c r="J1794" s="37">
        <f>COUNTIF(H$5:H1794,"Y")/COUNTA(H$5:H1794)</f>
        <v/>
      </c>
      <c r="K1794" s="37">
        <f>AVERAGE(F$5:F1794)</f>
        <v/>
      </c>
      <c r="L1794" s="37">
        <f>SUM(F$5:F1794)/SUM(E$5:E1794)</f>
        <v/>
      </c>
    </row>
    <row r="1795">
      <c r="A1795" s="29" t="n">
        <v>45916</v>
      </c>
      <c r="B1795" s="37" t="inlineStr">
        <is>
          <t>JOB-2791</t>
        </is>
      </c>
      <c r="C1795" s="34" t="n">
        <v>1</v>
      </c>
      <c r="D1795" s="37" t="inlineStr">
        <is>
          <t>Tech D</t>
        </is>
      </c>
      <c r="E1795" s="35" t="n">
        <v>0.5</v>
      </c>
      <c r="F1795" s="35" t="n">
        <v>0.5</v>
      </c>
      <c r="G1795" s="37" t="inlineStr">
        <is>
          <t>Y</t>
        </is>
      </c>
      <c r="H1795" s="37" t="inlineStr">
        <is>
          <t>N</t>
        </is>
      </c>
      <c r="I1795" s="37">
        <f>COUNTIF(G$5:G1795,"Y")/COUNTA(G$5:G1795)</f>
        <v/>
      </c>
      <c r="J1795" s="37">
        <f>COUNTIF(H$5:H1795,"Y")/COUNTA(H$5:H1795)</f>
        <v/>
      </c>
      <c r="K1795" s="37">
        <f>AVERAGE(F$5:F1795)</f>
        <v/>
      </c>
      <c r="L1795" s="37">
        <f>SUM(F$5:F1795)/SUM(E$5:E1795)</f>
        <v/>
      </c>
    </row>
    <row r="1796">
      <c r="A1796" s="29" t="n">
        <v>45917</v>
      </c>
      <c r="B1796" s="37" t="inlineStr">
        <is>
          <t>JOB-2792</t>
        </is>
      </c>
      <c r="C1796" s="34" t="n">
        <v>1</v>
      </c>
      <c r="D1796" s="37" t="inlineStr">
        <is>
          <t>Tech C</t>
        </is>
      </c>
      <c r="E1796" s="35" t="n">
        <v>0.5</v>
      </c>
      <c r="F1796" s="35" t="n">
        <v>0.5</v>
      </c>
      <c r="G1796" s="37" t="inlineStr">
        <is>
          <t>Y</t>
        </is>
      </c>
      <c r="H1796" s="37" t="inlineStr">
        <is>
          <t>N</t>
        </is>
      </c>
      <c r="I1796" s="37">
        <f>COUNTIF(G$5:G1796,"Y")/COUNTA(G$5:G1796)</f>
        <v/>
      </c>
      <c r="J1796" s="37">
        <f>COUNTIF(H$5:H1796,"Y")/COUNTA(H$5:H1796)</f>
        <v/>
      </c>
      <c r="K1796" s="37">
        <f>AVERAGE(F$5:F1796)</f>
        <v/>
      </c>
      <c r="L1796" s="37">
        <f>SUM(F$5:F1796)/SUM(E$5:E1796)</f>
        <v/>
      </c>
      <c r="M1796" s="37" t="n">
        <v>8</v>
      </c>
    </row>
    <row r="1797">
      <c r="A1797" s="29" t="n">
        <v>45922</v>
      </c>
      <c r="B1797" s="37" t="inlineStr">
        <is>
          <t>JOB-2793</t>
        </is>
      </c>
      <c r="C1797" s="34" t="n">
        <v>1</v>
      </c>
      <c r="D1797" s="37" t="inlineStr">
        <is>
          <t>Tech A</t>
        </is>
      </c>
      <c r="E1797" s="35" t="n">
        <v>4.8</v>
      </c>
      <c r="F1797" s="35" t="n">
        <v>3.3</v>
      </c>
      <c r="G1797" s="37" t="inlineStr">
        <is>
          <t>Y</t>
        </is>
      </c>
      <c r="H1797" s="37" t="inlineStr">
        <is>
          <t>N</t>
        </is>
      </c>
      <c r="I1797" s="37">
        <f>COUNTIF(G$5:G1797,"Y")/COUNTA(G$5:G1797)</f>
        <v/>
      </c>
      <c r="J1797" s="37">
        <f>COUNTIF(H$5:H1797,"Y")/COUNTA(H$5:H1797)</f>
        <v/>
      </c>
      <c r="K1797" s="37">
        <f>AVERAGE(F$5:F1797)</f>
        <v/>
      </c>
      <c r="L1797" s="37">
        <f>SUM(F$5:F1797)/SUM(E$5:E1797)</f>
        <v/>
      </c>
    </row>
    <row r="1798">
      <c r="A1798" s="29" t="n">
        <v>45923</v>
      </c>
      <c r="B1798" s="37" t="inlineStr">
        <is>
          <t>JOB-2794</t>
        </is>
      </c>
      <c r="C1798" s="34" t="n">
        <v>1</v>
      </c>
      <c r="D1798" s="37" t="inlineStr">
        <is>
          <t>Tech D</t>
        </is>
      </c>
      <c r="E1798" s="35" t="n">
        <v>3.3</v>
      </c>
      <c r="F1798" s="35" t="n">
        <v>2.6</v>
      </c>
      <c r="G1798" s="37" t="inlineStr">
        <is>
          <t>Y</t>
        </is>
      </c>
      <c r="H1798" s="37" t="inlineStr">
        <is>
          <t>N</t>
        </is>
      </c>
      <c r="I1798" s="37">
        <f>COUNTIF(G$5:G1798,"Y")/COUNTA(G$5:G1798)</f>
        <v/>
      </c>
      <c r="J1798" s="37">
        <f>COUNTIF(H$5:H1798,"Y")/COUNTA(H$5:H1798)</f>
        <v/>
      </c>
      <c r="K1798" s="37">
        <f>AVERAGE(F$5:F1798)</f>
        <v/>
      </c>
      <c r="L1798" s="37">
        <f>SUM(F$5:F1798)/SUM(E$5:E1798)</f>
        <v/>
      </c>
    </row>
    <row r="1799">
      <c r="A1799" s="29" t="n">
        <v>45924</v>
      </c>
      <c r="B1799" s="37" t="inlineStr">
        <is>
          <t>JOB-2795</t>
        </is>
      </c>
      <c r="C1799" s="34" t="n">
        <v>1</v>
      </c>
      <c r="D1799" s="37" t="inlineStr">
        <is>
          <t>Tech D</t>
        </is>
      </c>
      <c r="E1799" s="35" t="n">
        <v>4.6</v>
      </c>
      <c r="F1799" s="35" t="n">
        <v>3.4</v>
      </c>
      <c r="G1799" s="37" t="inlineStr">
        <is>
          <t>Y</t>
        </is>
      </c>
      <c r="H1799" s="37" t="inlineStr">
        <is>
          <t>N</t>
        </is>
      </c>
      <c r="I1799" s="37">
        <f>COUNTIF(G$5:G1799,"Y")/COUNTA(G$5:G1799)</f>
        <v/>
      </c>
      <c r="J1799" s="37">
        <f>COUNTIF(H$5:H1799,"Y")/COUNTA(H$5:H1799)</f>
        <v/>
      </c>
      <c r="K1799" s="37">
        <f>AVERAGE(F$5:F1799)</f>
        <v/>
      </c>
      <c r="L1799" s="37">
        <f>SUM(F$5:F1799)/SUM(E$5:E1799)</f>
        <v/>
      </c>
    </row>
    <row r="1800">
      <c r="A1800" s="29" t="n">
        <v>45925</v>
      </c>
      <c r="B1800" s="37" t="inlineStr">
        <is>
          <t>JOB-2796</t>
        </is>
      </c>
      <c r="C1800" s="34" t="n">
        <v>1</v>
      </c>
      <c r="D1800" s="37" t="inlineStr">
        <is>
          <t>Tech G</t>
        </is>
      </c>
      <c r="E1800" s="35" t="n">
        <v>3.5</v>
      </c>
      <c r="F1800" s="35" t="n">
        <v>3</v>
      </c>
      <c r="G1800" s="37" t="inlineStr">
        <is>
          <t>Y</t>
        </is>
      </c>
      <c r="H1800" s="37" t="inlineStr">
        <is>
          <t>N</t>
        </is>
      </c>
      <c r="I1800" s="37">
        <f>COUNTIF(G$5:G1800,"Y")/COUNTA(G$5:G1800)</f>
        <v/>
      </c>
      <c r="J1800" s="37">
        <f>COUNTIF(H$5:H1800,"Y")/COUNTA(H$5:H1800)</f>
        <v/>
      </c>
      <c r="K1800" s="37">
        <f>AVERAGE(F$5:F1800)</f>
        <v/>
      </c>
      <c r="L1800" s="37">
        <f>SUM(F$5:F1800)/SUM(E$5:E1800)</f>
        <v/>
      </c>
    </row>
    <row r="1801">
      <c r="A1801" s="29" t="n">
        <v>45926</v>
      </c>
      <c r="B1801" s="37" t="inlineStr">
        <is>
          <t>JOB-2797</t>
        </is>
      </c>
      <c r="C1801" s="34" t="n">
        <v>1</v>
      </c>
      <c r="D1801" s="37" t="inlineStr">
        <is>
          <t>Tech A</t>
        </is>
      </c>
      <c r="E1801" s="35" t="n">
        <v>5.2</v>
      </c>
      <c r="F1801" s="35" t="n">
        <v>3.8</v>
      </c>
      <c r="G1801" s="37" t="inlineStr">
        <is>
          <t>N</t>
        </is>
      </c>
      <c r="H1801" s="37" t="inlineStr">
        <is>
          <t>N</t>
        </is>
      </c>
      <c r="I1801" s="37">
        <f>COUNTIF(G$5:G1801,"Y")/COUNTA(G$5:G1801)</f>
        <v/>
      </c>
      <c r="J1801" s="37">
        <f>COUNTIF(H$5:H1801,"Y")/COUNTA(H$5:H1801)</f>
        <v/>
      </c>
      <c r="K1801" s="37">
        <f>AVERAGE(F$5:F1801)</f>
        <v/>
      </c>
      <c r="L1801" s="37">
        <f>SUM(F$5:F1801)/SUM(E$5:E1801)</f>
        <v/>
      </c>
    </row>
    <row r="1802">
      <c r="A1802" s="29" t="n">
        <v>45922</v>
      </c>
      <c r="B1802" s="37" t="inlineStr">
        <is>
          <t>JOB-2798</t>
        </is>
      </c>
      <c r="C1802" s="34" t="n">
        <v>1</v>
      </c>
      <c r="D1802" s="37" t="inlineStr">
        <is>
          <t>Tech F</t>
        </is>
      </c>
      <c r="E1802" s="35" t="n">
        <v>3</v>
      </c>
      <c r="F1802" s="35" t="n">
        <v>2.3</v>
      </c>
      <c r="G1802" s="37" t="inlineStr">
        <is>
          <t>Y</t>
        </is>
      </c>
      <c r="H1802" s="37" t="inlineStr">
        <is>
          <t>N</t>
        </is>
      </c>
      <c r="I1802" s="37">
        <f>COUNTIF(G$5:G1802,"Y")/COUNTA(G$5:G1802)</f>
        <v/>
      </c>
      <c r="J1802" s="37">
        <f>COUNTIF(H$5:H1802,"Y")/COUNTA(H$5:H1802)</f>
        <v/>
      </c>
      <c r="K1802" s="37">
        <f>AVERAGE(F$5:F1802)</f>
        <v/>
      </c>
      <c r="L1802" s="37">
        <f>SUM(F$5:F1802)/SUM(E$5:E1802)</f>
        <v/>
      </c>
    </row>
    <row r="1803">
      <c r="A1803" s="29" t="n">
        <v>45923</v>
      </c>
      <c r="B1803" s="37" t="inlineStr">
        <is>
          <t>JOB-2799</t>
        </is>
      </c>
      <c r="C1803" s="34" t="n">
        <v>1</v>
      </c>
      <c r="D1803" s="37" t="inlineStr">
        <is>
          <t>Tech G</t>
        </is>
      </c>
      <c r="E1803" s="35" t="n">
        <v>2</v>
      </c>
      <c r="F1803" s="35" t="n">
        <v>1.7</v>
      </c>
      <c r="G1803" s="37" t="inlineStr">
        <is>
          <t>Y</t>
        </is>
      </c>
      <c r="H1803" s="37" t="inlineStr">
        <is>
          <t>N</t>
        </is>
      </c>
      <c r="I1803" s="37">
        <f>COUNTIF(G$5:G1803,"Y")/COUNTA(G$5:G1803)</f>
        <v/>
      </c>
      <c r="J1803" s="37">
        <f>COUNTIF(H$5:H1803,"Y")/COUNTA(H$5:H1803)</f>
        <v/>
      </c>
      <c r="K1803" s="37">
        <f>AVERAGE(F$5:F1803)</f>
        <v/>
      </c>
      <c r="L1803" s="37">
        <f>SUM(F$5:F1803)/SUM(E$5:E1803)</f>
        <v/>
      </c>
    </row>
    <row r="1804">
      <c r="A1804" s="29" t="n">
        <v>45924</v>
      </c>
      <c r="B1804" s="37" t="inlineStr">
        <is>
          <t>JOB-2800</t>
        </is>
      </c>
      <c r="C1804" s="34" t="n">
        <v>1</v>
      </c>
      <c r="D1804" s="37" t="inlineStr">
        <is>
          <t>Tech H</t>
        </is>
      </c>
      <c r="E1804" s="35" t="n">
        <v>4</v>
      </c>
      <c r="F1804" s="35" t="n">
        <v>3.2</v>
      </c>
      <c r="G1804" s="37" t="inlineStr">
        <is>
          <t>Y</t>
        </is>
      </c>
      <c r="H1804" s="37" t="inlineStr">
        <is>
          <t>N</t>
        </is>
      </c>
      <c r="I1804" s="37">
        <f>COUNTIF(G$5:G1804,"Y")/COUNTA(G$5:G1804)</f>
        <v/>
      </c>
      <c r="J1804" s="37">
        <f>COUNTIF(H$5:H1804,"Y")/COUNTA(H$5:H1804)</f>
        <v/>
      </c>
      <c r="K1804" s="37">
        <f>AVERAGE(F$5:F1804)</f>
        <v/>
      </c>
      <c r="L1804" s="37">
        <f>SUM(F$5:F1804)/SUM(E$5:E1804)</f>
        <v/>
      </c>
    </row>
    <row r="1805">
      <c r="A1805" s="29" t="n">
        <v>45925</v>
      </c>
      <c r="B1805" s="37" t="inlineStr">
        <is>
          <t>JOB-2801</t>
        </is>
      </c>
      <c r="C1805" s="34" t="n">
        <v>1</v>
      </c>
      <c r="D1805" s="37" t="inlineStr">
        <is>
          <t>Tech C</t>
        </is>
      </c>
      <c r="E1805" s="35" t="n">
        <v>3.9</v>
      </c>
      <c r="F1805" s="35" t="n">
        <v>2.8</v>
      </c>
      <c r="G1805" s="37" t="inlineStr">
        <is>
          <t>N</t>
        </is>
      </c>
      <c r="H1805" s="37" t="inlineStr">
        <is>
          <t>N</t>
        </is>
      </c>
      <c r="I1805" s="37">
        <f>COUNTIF(G$5:G1805,"Y")/COUNTA(G$5:G1805)</f>
        <v/>
      </c>
      <c r="J1805" s="37">
        <f>COUNTIF(H$5:H1805,"Y")/COUNTA(H$5:H1805)</f>
        <v/>
      </c>
      <c r="K1805" s="37">
        <f>AVERAGE(F$5:F1805)</f>
        <v/>
      </c>
      <c r="L1805" s="37">
        <f>SUM(F$5:F1805)/SUM(E$5:E1805)</f>
        <v/>
      </c>
    </row>
    <row r="1806">
      <c r="A1806" s="29" t="n">
        <v>45926</v>
      </c>
      <c r="B1806" s="37" t="inlineStr">
        <is>
          <t>JOB-2802</t>
        </is>
      </c>
      <c r="C1806" s="34" t="n">
        <v>1</v>
      </c>
      <c r="D1806" s="37" t="inlineStr">
        <is>
          <t>Tech G</t>
        </is>
      </c>
      <c r="E1806" s="35" t="n">
        <v>5.7</v>
      </c>
      <c r="F1806" s="35" t="n">
        <v>4.5</v>
      </c>
      <c r="G1806" s="37" t="inlineStr">
        <is>
          <t>N</t>
        </is>
      </c>
      <c r="H1806" s="37" t="inlineStr">
        <is>
          <t>N</t>
        </is>
      </c>
      <c r="I1806" s="37">
        <f>COUNTIF(G$5:G1806,"Y")/COUNTA(G$5:G1806)</f>
        <v/>
      </c>
      <c r="J1806" s="37">
        <f>COUNTIF(H$5:H1806,"Y")/COUNTA(H$5:H1806)</f>
        <v/>
      </c>
      <c r="K1806" s="37">
        <f>AVERAGE(F$5:F1806)</f>
        <v/>
      </c>
      <c r="L1806" s="37">
        <f>SUM(F$5:F1806)/SUM(E$5:E1806)</f>
        <v/>
      </c>
    </row>
    <row r="1807">
      <c r="A1807" s="29" t="n">
        <v>45922</v>
      </c>
      <c r="B1807" s="37" t="inlineStr">
        <is>
          <t>JOB-2803</t>
        </is>
      </c>
      <c r="C1807" s="34" t="n">
        <v>1</v>
      </c>
      <c r="D1807" s="37" t="inlineStr">
        <is>
          <t>Tech C</t>
        </is>
      </c>
      <c r="E1807" s="35" t="n">
        <v>4.6</v>
      </c>
      <c r="F1807" s="35" t="n">
        <v>3.6</v>
      </c>
      <c r="G1807" s="37" t="inlineStr">
        <is>
          <t>Y</t>
        </is>
      </c>
      <c r="H1807" s="37" t="inlineStr">
        <is>
          <t>N</t>
        </is>
      </c>
      <c r="I1807" s="37">
        <f>COUNTIF(G$5:G1807,"Y")/COUNTA(G$5:G1807)</f>
        <v/>
      </c>
      <c r="J1807" s="37">
        <f>COUNTIF(H$5:H1807,"Y")/COUNTA(H$5:H1807)</f>
        <v/>
      </c>
      <c r="K1807" s="37">
        <f>AVERAGE(F$5:F1807)</f>
        <v/>
      </c>
      <c r="L1807" s="37">
        <f>SUM(F$5:F1807)/SUM(E$5:E1807)</f>
        <v/>
      </c>
    </row>
    <row r="1808">
      <c r="A1808" s="29" t="n">
        <v>45923</v>
      </c>
      <c r="B1808" s="37" t="inlineStr">
        <is>
          <t>JOB-2804</t>
        </is>
      </c>
      <c r="C1808" s="34" t="n">
        <v>1</v>
      </c>
      <c r="D1808" s="37" t="inlineStr">
        <is>
          <t>Tech B</t>
        </is>
      </c>
      <c r="E1808" s="35" t="n">
        <v>3.2</v>
      </c>
      <c r="F1808" s="35" t="n">
        <v>2.2</v>
      </c>
      <c r="G1808" s="37" t="inlineStr">
        <is>
          <t>Y</t>
        </is>
      </c>
      <c r="H1808" s="37" t="inlineStr">
        <is>
          <t>N</t>
        </is>
      </c>
      <c r="I1808" s="37">
        <f>COUNTIF(G$5:G1808,"Y")/COUNTA(G$5:G1808)</f>
        <v/>
      </c>
      <c r="J1808" s="37">
        <f>COUNTIF(H$5:H1808,"Y")/COUNTA(H$5:H1808)</f>
        <v/>
      </c>
      <c r="K1808" s="37">
        <f>AVERAGE(F$5:F1808)</f>
        <v/>
      </c>
      <c r="L1808" s="37">
        <f>SUM(F$5:F1808)/SUM(E$5:E1808)</f>
        <v/>
      </c>
    </row>
    <row r="1809">
      <c r="A1809" s="29" t="n">
        <v>45924</v>
      </c>
      <c r="B1809" s="37" t="inlineStr">
        <is>
          <t>JOB-2805</t>
        </is>
      </c>
      <c r="C1809" s="34" t="n">
        <v>1</v>
      </c>
      <c r="D1809" s="37" t="inlineStr">
        <is>
          <t>Tech A</t>
        </is>
      </c>
      <c r="E1809" s="35" t="n">
        <v>3.4</v>
      </c>
      <c r="F1809" s="35" t="n">
        <v>2.8</v>
      </c>
      <c r="G1809" s="37" t="inlineStr">
        <is>
          <t>Y</t>
        </is>
      </c>
      <c r="H1809" s="37" t="inlineStr">
        <is>
          <t>N</t>
        </is>
      </c>
      <c r="I1809" s="37">
        <f>COUNTIF(G$5:G1809,"Y")/COUNTA(G$5:G1809)</f>
        <v/>
      </c>
      <c r="J1809" s="37">
        <f>COUNTIF(H$5:H1809,"Y")/COUNTA(H$5:H1809)</f>
        <v/>
      </c>
      <c r="K1809" s="37">
        <f>AVERAGE(F$5:F1809)</f>
        <v/>
      </c>
      <c r="L1809" s="37">
        <f>SUM(F$5:F1809)/SUM(E$5:E1809)</f>
        <v/>
      </c>
    </row>
    <row r="1810">
      <c r="A1810" s="29" t="n">
        <v>45925</v>
      </c>
      <c r="B1810" s="37" t="inlineStr">
        <is>
          <t>JOB-2806</t>
        </is>
      </c>
      <c r="C1810" s="34" t="n">
        <v>1</v>
      </c>
      <c r="D1810" s="37" t="inlineStr">
        <is>
          <t>Tech D</t>
        </is>
      </c>
      <c r="E1810" s="35" t="n">
        <v>5.8</v>
      </c>
      <c r="F1810" s="35" t="n">
        <v>4.6</v>
      </c>
      <c r="G1810" s="37" t="inlineStr">
        <is>
          <t>Y</t>
        </is>
      </c>
      <c r="H1810" s="37" t="inlineStr">
        <is>
          <t>N</t>
        </is>
      </c>
      <c r="I1810" s="37">
        <f>COUNTIF(G$5:G1810,"Y")/COUNTA(G$5:G1810)</f>
        <v/>
      </c>
      <c r="J1810" s="37">
        <f>COUNTIF(H$5:H1810,"Y")/COUNTA(H$5:H1810)</f>
        <v/>
      </c>
      <c r="K1810" s="37">
        <f>AVERAGE(F$5:F1810)</f>
        <v/>
      </c>
      <c r="L1810" s="37">
        <f>SUM(F$5:F1810)/SUM(E$5:E1810)</f>
        <v/>
      </c>
    </row>
    <row r="1811">
      <c r="A1811" s="29" t="n">
        <v>45926</v>
      </c>
      <c r="B1811" s="37" t="inlineStr">
        <is>
          <t>JOB-2807</t>
        </is>
      </c>
      <c r="C1811" s="34" t="n">
        <v>1</v>
      </c>
      <c r="D1811" s="37" t="inlineStr">
        <is>
          <t>Tech B</t>
        </is>
      </c>
      <c r="E1811" s="35" t="n">
        <v>4</v>
      </c>
      <c r="F1811" s="35" t="n">
        <v>2.9</v>
      </c>
      <c r="G1811" s="37" t="inlineStr">
        <is>
          <t>Y</t>
        </is>
      </c>
      <c r="H1811" s="37" t="inlineStr">
        <is>
          <t>N</t>
        </is>
      </c>
      <c r="I1811" s="37">
        <f>COUNTIF(G$5:G1811,"Y")/COUNTA(G$5:G1811)</f>
        <v/>
      </c>
      <c r="J1811" s="37">
        <f>COUNTIF(H$5:H1811,"Y")/COUNTA(H$5:H1811)</f>
        <v/>
      </c>
      <c r="K1811" s="37">
        <f>AVERAGE(F$5:F1811)</f>
        <v/>
      </c>
      <c r="L1811" s="37">
        <f>SUM(F$5:F1811)/SUM(E$5:E1811)</f>
        <v/>
      </c>
    </row>
    <row r="1812">
      <c r="A1812" s="29" t="n">
        <v>45922</v>
      </c>
      <c r="B1812" s="37" t="inlineStr">
        <is>
          <t>JOB-2808</t>
        </is>
      </c>
      <c r="C1812" s="34" t="n">
        <v>1</v>
      </c>
      <c r="D1812" s="37" t="inlineStr">
        <is>
          <t>Tech C</t>
        </is>
      </c>
      <c r="E1812" s="35" t="n">
        <v>2</v>
      </c>
      <c r="F1812" s="35" t="n">
        <v>1.4</v>
      </c>
      <c r="G1812" s="37" t="inlineStr">
        <is>
          <t>Y</t>
        </is>
      </c>
      <c r="H1812" s="37" t="inlineStr">
        <is>
          <t>N</t>
        </is>
      </c>
      <c r="I1812" s="37">
        <f>COUNTIF(G$5:G1812,"Y")/COUNTA(G$5:G1812)</f>
        <v/>
      </c>
      <c r="J1812" s="37">
        <f>COUNTIF(H$5:H1812,"Y")/COUNTA(H$5:H1812)</f>
        <v/>
      </c>
      <c r="K1812" s="37">
        <f>AVERAGE(F$5:F1812)</f>
        <v/>
      </c>
      <c r="L1812" s="37">
        <f>SUM(F$5:F1812)/SUM(E$5:E1812)</f>
        <v/>
      </c>
    </row>
    <row r="1813">
      <c r="A1813" s="29" t="n">
        <v>45923</v>
      </c>
      <c r="B1813" s="37" t="inlineStr">
        <is>
          <t>JOB-2809</t>
        </is>
      </c>
      <c r="C1813" s="34" t="n">
        <v>1</v>
      </c>
      <c r="D1813" s="37" t="inlineStr">
        <is>
          <t>Tech G</t>
        </is>
      </c>
      <c r="E1813" s="35" t="n">
        <v>4</v>
      </c>
      <c r="F1813" s="35" t="n">
        <v>3.5</v>
      </c>
      <c r="G1813" s="37" t="inlineStr">
        <is>
          <t>Y</t>
        </is>
      </c>
      <c r="H1813" s="37" t="inlineStr">
        <is>
          <t>N</t>
        </is>
      </c>
      <c r="I1813" s="37">
        <f>COUNTIF(G$5:G1813,"Y")/COUNTA(G$5:G1813)</f>
        <v/>
      </c>
      <c r="J1813" s="37">
        <f>COUNTIF(H$5:H1813,"Y")/COUNTA(H$5:H1813)</f>
        <v/>
      </c>
      <c r="K1813" s="37">
        <f>AVERAGE(F$5:F1813)</f>
        <v/>
      </c>
      <c r="L1813" s="37">
        <f>SUM(F$5:F1813)/SUM(E$5:E1813)</f>
        <v/>
      </c>
    </row>
    <row r="1814">
      <c r="A1814" s="29" t="n">
        <v>45924</v>
      </c>
      <c r="B1814" s="37" t="inlineStr">
        <is>
          <t>JOB-2810</t>
        </is>
      </c>
      <c r="C1814" s="34" t="n">
        <v>1</v>
      </c>
      <c r="D1814" s="37" t="inlineStr">
        <is>
          <t>Tech A</t>
        </is>
      </c>
      <c r="E1814" s="35" t="n">
        <v>4.3</v>
      </c>
      <c r="F1814" s="35" t="n">
        <v>2.9</v>
      </c>
      <c r="G1814" s="37" t="inlineStr">
        <is>
          <t>Y</t>
        </is>
      </c>
      <c r="H1814" s="37" t="inlineStr">
        <is>
          <t>N</t>
        </is>
      </c>
      <c r="I1814" s="37">
        <f>COUNTIF(G$5:G1814,"Y")/COUNTA(G$5:G1814)</f>
        <v/>
      </c>
      <c r="J1814" s="37">
        <f>COUNTIF(H$5:H1814,"Y")/COUNTA(H$5:H1814)</f>
        <v/>
      </c>
      <c r="K1814" s="37">
        <f>AVERAGE(F$5:F1814)</f>
        <v/>
      </c>
      <c r="L1814" s="37">
        <f>SUM(F$5:F1814)/SUM(E$5:E1814)</f>
        <v/>
      </c>
    </row>
    <row r="1815">
      <c r="A1815" s="29" t="n">
        <v>45925</v>
      </c>
      <c r="B1815" s="37" t="inlineStr">
        <is>
          <t>JOB-2811</t>
        </is>
      </c>
      <c r="C1815" s="34" t="n">
        <v>1</v>
      </c>
      <c r="D1815" s="37" t="inlineStr">
        <is>
          <t>Tech G</t>
        </is>
      </c>
      <c r="E1815" s="35" t="n">
        <v>4.7</v>
      </c>
      <c r="F1815" s="35" t="n">
        <v>3.6</v>
      </c>
      <c r="G1815" s="37" t="inlineStr">
        <is>
          <t>Y</t>
        </is>
      </c>
      <c r="H1815" s="37" t="inlineStr">
        <is>
          <t>Y</t>
        </is>
      </c>
      <c r="I1815" s="37">
        <f>COUNTIF(G$5:G1815,"Y")/COUNTA(G$5:G1815)</f>
        <v/>
      </c>
      <c r="J1815" s="37">
        <f>COUNTIF(H$5:H1815,"Y")/COUNTA(H$5:H1815)</f>
        <v/>
      </c>
      <c r="K1815" s="37">
        <f>AVERAGE(F$5:F1815)</f>
        <v/>
      </c>
      <c r="L1815" s="37">
        <f>SUM(F$5:F1815)/SUM(E$5:E1815)</f>
        <v/>
      </c>
    </row>
    <row r="1816">
      <c r="A1816" s="29" t="n">
        <v>45926</v>
      </c>
      <c r="B1816" s="37" t="inlineStr">
        <is>
          <t>JOB-2812</t>
        </is>
      </c>
      <c r="C1816" s="34" t="n">
        <v>1</v>
      </c>
      <c r="D1816" s="37" t="inlineStr">
        <is>
          <t>Tech C</t>
        </is>
      </c>
      <c r="E1816" s="35" t="n">
        <v>6.1</v>
      </c>
      <c r="F1816" s="35" t="n">
        <v>4.3</v>
      </c>
      <c r="G1816" s="37" t="inlineStr">
        <is>
          <t>Y</t>
        </is>
      </c>
      <c r="H1816" s="37" t="inlineStr">
        <is>
          <t>N</t>
        </is>
      </c>
      <c r="I1816" s="37">
        <f>COUNTIF(G$5:G1816,"Y")/COUNTA(G$5:G1816)</f>
        <v/>
      </c>
      <c r="J1816" s="37">
        <f>COUNTIF(H$5:H1816,"Y")/COUNTA(H$5:H1816)</f>
        <v/>
      </c>
      <c r="K1816" s="37">
        <f>AVERAGE(F$5:F1816)</f>
        <v/>
      </c>
      <c r="L1816" s="37">
        <f>SUM(F$5:F1816)/SUM(E$5:E1816)</f>
        <v/>
      </c>
    </row>
    <row r="1817">
      <c r="A1817" s="29" t="n">
        <v>45922</v>
      </c>
      <c r="B1817" s="37" t="inlineStr">
        <is>
          <t>JOB-2813</t>
        </is>
      </c>
      <c r="C1817" s="34" t="n">
        <v>1</v>
      </c>
      <c r="D1817" s="37" t="inlineStr">
        <is>
          <t>Tech F</t>
        </is>
      </c>
      <c r="E1817" s="35" t="n">
        <v>5.3</v>
      </c>
      <c r="F1817" s="35" t="n">
        <v>3.9</v>
      </c>
      <c r="G1817" s="37" t="inlineStr">
        <is>
          <t>Y</t>
        </is>
      </c>
      <c r="H1817" s="37" t="inlineStr">
        <is>
          <t>N</t>
        </is>
      </c>
      <c r="I1817" s="37">
        <f>COUNTIF(G$5:G1817,"Y")/COUNTA(G$5:G1817)</f>
        <v/>
      </c>
      <c r="J1817" s="37">
        <f>COUNTIF(H$5:H1817,"Y")/COUNTA(H$5:H1817)</f>
        <v/>
      </c>
      <c r="K1817" s="37">
        <f>AVERAGE(F$5:F1817)</f>
        <v/>
      </c>
      <c r="L1817" s="37">
        <f>SUM(F$5:F1817)/SUM(E$5:E1817)</f>
        <v/>
      </c>
    </row>
    <row r="1818">
      <c r="A1818" s="29" t="n">
        <v>45923</v>
      </c>
      <c r="B1818" s="37" t="inlineStr">
        <is>
          <t>JOB-2814</t>
        </is>
      </c>
      <c r="C1818" s="34" t="n">
        <v>1</v>
      </c>
      <c r="D1818" s="37" t="inlineStr">
        <is>
          <t>Tech G</t>
        </is>
      </c>
      <c r="E1818" s="35" t="n">
        <v>5.6</v>
      </c>
      <c r="F1818" s="35" t="n">
        <v>4</v>
      </c>
      <c r="G1818" s="37" t="inlineStr">
        <is>
          <t>N</t>
        </is>
      </c>
      <c r="H1818" s="37" t="inlineStr">
        <is>
          <t>N</t>
        </is>
      </c>
      <c r="I1818" s="37">
        <f>COUNTIF(G$5:G1818,"Y")/COUNTA(G$5:G1818)</f>
        <v/>
      </c>
      <c r="J1818" s="37">
        <f>COUNTIF(H$5:H1818,"Y")/COUNTA(H$5:H1818)</f>
        <v/>
      </c>
      <c r="K1818" s="37">
        <f>AVERAGE(F$5:F1818)</f>
        <v/>
      </c>
      <c r="L1818" s="37">
        <f>SUM(F$5:F1818)/SUM(E$5:E1818)</f>
        <v/>
      </c>
    </row>
    <row r="1819">
      <c r="A1819" s="29" t="n">
        <v>45924</v>
      </c>
      <c r="B1819" s="37" t="inlineStr">
        <is>
          <t>JOB-2815</t>
        </is>
      </c>
      <c r="C1819" s="34" t="n">
        <v>1</v>
      </c>
      <c r="D1819" s="37" t="inlineStr">
        <is>
          <t>Tech B</t>
        </is>
      </c>
      <c r="E1819" s="35" t="n">
        <v>1.8</v>
      </c>
      <c r="F1819" s="35" t="n">
        <v>1.6</v>
      </c>
      <c r="G1819" s="37" t="inlineStr">
        <is>
          <t>Y</t>
        </is>
      </c>
      <c r="H1819" s="37" t="inlineStr">
        <is>
          <t>N</t>
        </is>
      </c>
      <c r="I1819" s="37">
        <f>COUNTIF(G$5:G1819,"Y")/COUNTA(G$5:G1819)</f>
        <v/>
      </c>
      <c r="J1819" s="37">
        <f>COUNTIF(H$5:H1819,"Y")/COUNTA(H$5:H1819)</f>
        <v/>
      </c>
      <c r="K1819" s="37">
        <f>AVERAGE(F$5:F1819)</f>
        <v/>
      </c>
      <c r="L1819" s="37">
        <f>SUM(F$5:F1819)/SUM(E$5:E1819)</f>
        <v/>
      </c>
    </row>
    <row r="1820">
      <c r="A1820" s="29" t="n">
        <v>45925</v>
      </c>
      <c r="B1820" s="37" t="inlineStr">
        <is>
          <t>JOB-2816</t>
        </is>
      </c>
      <c r="C1820" s="34" t="n">
        <v>1</v>
      </c>
      <c r="D1820" s="37" t="inlineStr">
        <is>
          <t>Tech A</t>
        </is>
      </c>
      <c r="E1820" s="35" t="n">
        <v>5.7</v>
      </c>
      <c r="F1820" s="35" t="n">
        <v>4.1</v>
      </c>
      <c r="G1820" s="37" t="inlineStr">
        <is>
          <t>Y</t>
        </is>
      </c>
      <c r="H1820" s="37" t="inlineStr">
        <is>
          <t>N</t>
        </is>
      </c>
      <c r="I1820" s="37">
        <f>COUNTIF(G$5:G1820,"Y")/COUNTA(G$5:G1820)</f>
        <v/>
      </c>
      <c r="J1820" s="37">
        <f>COUNTIF(H$5:H1820,"Y")/COUNTA(H$5:H1820)</f>
        <v/>
      </c>
      <c r="K1820" s="37">
        <f>AVERAGE(F$5:F1820)</f>
        <v/>
      </c>
      <c r="L1820" s="37">
        <f>SUM(F$5:F1820)/SUM(E$5:E1820)</f>
        <v/>
      </c>
    </row>
    <row r="1821">
      <c r="A1821" s="29" t="n">
        <v>45926</v>
      </c>
      <c r="B1821" s="37" t="inlineStr">
        <is>
          <t>JOB-2817</t>
        </is>
      </c>
      <c r="C1821" s="34" t="n">
        <v>1</v>
      </c>
      <c r="D1821" s="37" t="inlineStr">
        <is>
          <t>Tech G</t>
        </is>
      </c>
      <c r="E1821" s="35" t="n">
        <v>4.6</v>
      </c>
      <c r="F1821" s="35" t="n">
        <v>3.6</v>
      </c>
      <c r="G1821" s="37" t="inlineStr">
        <is>
          <t>Y</t>
        </is>
      </c>
      <c r="H1821" s="37" t="inlineStr">
        <is>
          <t>N</t>
        </is>
      </c>
      <c r="I1821" s="37">
        <f>COUNTIF(G$5:G1821,"Y")/COUNTA(G$5:G1821)</f>
        <v/>
      </c>
      <c r="J1821" s="37">
        <f>COUNTIF(H$5:H1821,"Y")/COUNTA(H$5:H1821)</f>
        <v/>
      </c>
      <c r="K1821" s="37">
        <f>AVERAGE(F$5:F1821)</f>
        <v/>
      </c>
      <c r="L1821" s="37">
        <f>SUM(F$5:F1821)/SUM(E$5:E1821)</f>
        <v/>
      </c>
    </row>
    <row r="1822">
      <c r="A1822" s="29" t="n">
        <v>45922</v>
      </c>
      <c r="B1822" s="37" t="inlineStr">
        <is>
          <t>JOB-2818</t>
        </is>
      </c>
      <c r="C1822" s="34" t="n">
        <v>1</v>
      </c>
      <c r="D1822" s="37" t="inlineStr">
        <is>
          <t>Tech F</t>
        </is>
      </c>
      <c r="E1822" s="35" t="n">
        <v>5.9</v>
      </c>
      <c r="F1822" s="35" t="n">
        <v>4</v>
      </c>
      <c r="G1822" s="37" t="inlineStr">
        <is>
          <t>Y</t>
        </is>
      </c>
      <c r="H1822" s="37" t="inlineStr">
        <is>
          <t>N</t>
        </is>
      </c>
      <c r="I1822" s="37">
        <f>COUNTIF(G$5:G1822,"Y")/COUNTA(G$5:G1822)</f>
        <v/>
      </c>
      <c r="J1822" s="37">
        <f>COUNTIF(H$5:H1822,"Y")/COUNTA(H$5:H1822)</f>
        <v/>
      </c>
      <c r="K1822" s="37">
        <f>AVERAGE(F$5:F1822)</f>
        <v/>
      </c>
      <c r="L1822" s="37">
        <f>SUM(F$5:F1822)/SUM(E$5:E1822)</f>
        <v/>
      </c>
    </row>
    <row r="1823">
      <c r="A1823" s="29" t="n">
        <v>45923</v>
      </c>
      <c r="B1823" s="37" t="inlineStr">
        <is>
          <t>JOB-2819</t>
        </is>
      </c>
      <c r="C1823" s="34" t="n">
        <v>1</v>
      </c>
      <c r="D1823" s="37" t="inlineStr">
        <is>
          <t>Tech F</t>
        </is>
      </c>
      <c r="E1823" s="35" t="n">
        <v>3</v>
      </c>
      <c r="F1823" s="35" t="n">
        <v>2.5</v>
      </c>
      <c r="G1823" s="37" t="inlineStr">
        <is>
          <t>Y</t>
        </is>
      </c>
      <c r="H1823" s="37" t="inlineStr">
        <is>
          <t>N</t>
        </is>
      </c>
      <c r="I1823" s="37">
        <f>COUNTIF(G$5:G1823,"Y")/COUNTA(G$5:G1823)</f>
        <v/>
      </c>
      <c r="J1823" s="37">
        <f>COUNTIF(H$5:H1823,"Y")/COUNTA(H$5:H1823)</f>
        <v/>
      </c>
      <c r="K1823" s="37">
        <f>AVERAGE(F$5:F1823)</f>
        <v/>
      </c>
      <c r="L1823" s="37">
        <f>SUM(F$5:F1823)/SUM(E$5:E1823)</f>
        <v/>
      </c>
    </row>
    <row r="1824">
      <c r="A1824" s="29" t="n">
        <v>45924</v>
      </c>
      <c r="B1824" s="37" t="inlineStr">
        <is>
          <t>JOB-2820</t>
        </is>
      </c>
      <c r="C1824" s="34" t="n">
        <v>1</v>
      </c>
      <c r="D1824" s="37" t="inlineStr">
        <is>
          <t>Tech D</t>
        </is>
      </c>
      <c r="E1824" s="35" t="n">
        <v>5.5</v>
      </c>
      <c r="F1824" s="35" t="n">
        <v>3.9</v>
      </c>
      <c r="G1824" s="37" t="inlineStr">
        <is>
          <t>Y</t>
        </is>
      </c>
      <c r="H1824" s="37" t="inlineStr">
        <is>
          <t>Y</t>
        </is>
      </c>
      <c r="I1824" s="37">
        <f>COUNTIF(G$5:G1824,"Y")/COUNTA(G$5:G1824)</f>
        <v/>
      </c>
      <c r="J1824" s="37">
        <f>COUNTIF(H$5:H1824,"Y")/COUNTA(H$5:H1824)</f>
        <v/>
      </c>
      <c r="K1824" s="37">
        <f>AVERAGE(F$5:F1824)</f>
        <v/>
      </c>
      <c r="L1824" s="37">
        <f>SUM(F$5:F1824)/SUM(E$5:E1824)</f>
        <v/>
      </c>
    </row>
    <row r="1825">
      <c r="A1825" s="29" t="n">
        <v>45925</v>
      </c>
      <c r="B1825" s="37" t="inlineStr">
        <is>
          <t>JOB-2821</t>
        </is>
      </c>
      <c r="C1825" s="34" t="n">
        <v>1</v>
      </c>
      <c r="D1825" s="37" t="inlineStr">
        <is>
          <t>Tech G</t>
        </is>
      </c>
      <c r="E1825" s="35" t="n">
        <v>1.7</v>
      </c>
      <c r="F1825" s="35" t="n">
        <v>1.3</v>
      </c>
      <c r="G1825" s="37" t="inlineStr">
        <is>
          <t>Y</t>
        </is>
      </c>
      <c r="H1825" s="37" t="inlineStr">
        <is>
          <t>N</t>
        </is>
      </c>
      <c r="I1825" s="37">
        <f>COUNTIF(G$5:G1825,"Y")/COUNTA(G$5:G1825)</f>
        <v/>
      </c>
      <c r="J1825" s="37">
        <f>COUNTIF(H$5:H1825,"Y")/COUNTA(H$5:H1825)</f>
        <v/>
      </c>
      <c r="K1825" s="37">
        <f>AVERAGE(F$5:F1825)</f>
        <v/>
      </c>
      <c r="L1825" s="37">
        <f>SUM(F$5:F1825)/SUM(E$5:E1825)</f>
        <v/>
      </c>
    </row>
    <row r="1826">
      <c r="A1826" s="29" t="n">
        <v>45926</v>
      </c>
      <c r="B1826" s="37" t="inlineStr">
        <is>
          <t>JOB-2822</t>
        </is>
      </c>
      <c r="C1826" s="34" t="n">
        <v>1</v>
      </c>
      <c r="D1826" s="37" t="inlineStr">
        <is>
          <t>Tech A</t>
        </is>
      </c>
      <c r="E1826" s="35" t="n">
        <v>4.6</v>
      </c>
      <c r="F1826" s="35" t="n">
        <v>3.5</v>
      </c>
      <c r="G1826" s="37" t="inlineStr">
        <is>
          <t>Y</t>
        </is>
      </c>
      <c r="H1826" s="37" t="inlineStr">
        <is>
          <t>N</t>
        </is>
      </c>
      <c r="I1826" s="37">
        <f>COUNTIF(G$5:G1826,"Y")/COUNTA(G$5:G1826)</f>
        <v/>
      </c>
      <c r="J1826" s="37">
        <f>COUNTIF(H$5:H1826,"Y")/COUNTA(H$5:H1826)</f>
        <v/>
      </c>
      <c r="K1826" s="37">
        <f>AVERAGE(F$5:F1826)</f>
        <v/>
      </c>
      <c r="L1826" s="37">
        <f>SUM(F$5:F1826)/SUM(E$5:E1826)</f>
        <v/>
      </c>
    </row>
    <row r="1827">
      <c r="A1827" s="29" t="n">
        <v>45922</v>
      </c>
      <c r="B1827" s="37" t="inlineStr">
        <is>
          <t>JOB-2823</t>
        </is>
      </c>
      <c r="C1827" s="34" t="n">
        <v>1</v>
      </c>
      <c r="D1827" s="37" t="inlineStr">
        <is>
          <t>Tech H</t>
        </is>
      </c>
      <c r="E1827" s="35" t="n">
        <v>0.6</v>
      </c>
      <c r="F1827" s="35" t="n">
        <v>0.5</v>
      </c>
      <c r="G1827" s="37" t="inlineStr">
        <is>
          <t>Y</t>
        </is>
      </c>
      <c r="H1827" s="37" t="inlineStr">
        <is>
          <t>N</t>
        </is>
      </c>
      <c r="I1827" s="37">
        <f>COUNTIF(G$5:G1827,"Y")/COUNTA(G$5:G1827)</f>
        <v/>
      </c>
      <c r="J1827" s="37">
        <f>COUNTIF(H$5:H1827,"Y")/COUNTA(H$5:H1827)</f>
        <v/>
      </c>
      <c r="K1827" s="37">
        <f>AVERAGE(F$5:F1827)</f>
        <v/>
      </c>
      <c r="L1827" s="37">
        <f>SUM(F$5:F1827)/SUM(E$5:E1827)</f>
        <v/>
      </c>
    </row>
    <row r="1828">
      <c r="A1828" s="29" t="n">
        <v>45923</v>
      </c>
      <c r="B1828" s="37" t="inlineStr">
        <is>
          <t>JOB-2824</t>
        </is>
      </c>
      <c r="C1828" s="34" t="n">
        <v>1</v>
      </c>
      <c r="D1828" s="37" t="inlineStr">
        <is>
          <t>Tech D</t>
        </is>
      </c>
      <c r="E1828" s="35" t="n">
        <v>0.8</v>
      </c>
      <c r="F1828" s="35" t="n">
        <v>0.5</v>
      </c>
      <c r="G1828" s="37" t="inlineStr">
        <is>
          <t>Y</t>
        </is>
      </c>
      <c r="H1828" s="37" t="inlineStr">
        <is>
          <t>N</t>
        </is>
      </c>
      <c r="I1828" s="37">
        <f>COUNTIF(G$5:G1828,"Y")/COUNTA(G$5:G1828)</f>
        <v/>
      </c>
      <c r="J1828" s="37">
        <f>COUNTIF(H$5:H1828,"Y")/COUNTA(H$5:H1828)</f>
        <v/>
      </c>
      <c r="K1828" s="37">
        <f>AVERAGE(F$5:F1828)</f>
        <v/>
      </c>
      <c r="L1828" s="37">
        <f>SUM(F$5:F1828)/SUM(E$5:E1828)</f>
        <v/>
      </c>
    </row>
    <row r="1829">
      <c r="A1829" s="29" t="n">
        <v>45924</v>
      </c>
      <c r="B1829" s="37" t="inlineStr">
        <is>
          <t>JOB-2825</t>
        </is>
      </c>
      <c r="C1829" s="34" t="n">
        <v>1</v>
      </c>
      <c r="D1829" s="37" t="inlineStr">
        <is>
          <t>Tech F</t>
        </is>
      </c>
      <c r="E1829" s="35" t="n">
        <v>0.6</v>
      </c>
      <c r="F1829" s="35" t="n">
        <v>0.5</v>
      </c>
      <c r="G1829" s="37" t="inlineStr">
        <is>
          <t>Y</t>
        </is>
      </c>
      <c r="H1829" s="37" t="inlineStr">
        <is>
          <t>N</t>
        </is>
      </c>
      <c r="I1829" s="37">
        <f>COUNTIF(G$5:G1829,"Y")/COUNTA(G$5:G1829)</f>
        <v/>
      </c>
      <c r="J1829" s="37">
        <f>COUNTIF(H$5:H1829,"Y")/COUNTA(H$5:H1829)</f>
        <v/>
      </c>
      <c r="K1829" s="37">
        <f>AVERAGE(F$5:F1829)</f>
        <v/>
      </c>
      <c r="L1829" s="37">
        <f>SUM(F$5:F1829)/SUM(E$5:E1829)</f>
        <v/>
      </c>
    </row>
    <row r="1830">
      <c r="A1830" s="29" t="n">
        <v>45925</v>
      </c>
      <c r="B1830" s="37" t="inlineStr">
        <is>
          <t>JOB-2826</t>
        </is>
      </c>
      <c r="C1830" s="34" t="n">
        <v>1</v>
      </c>
      <c r="D1830" s="37" t="inlineStr">
        <is>
          <t>Tech A</t>
        </is>
      </c>
      <c r="E1830" s="35" t="n">
        <v>0.6</v>
      </c>
      <c r="F1830" s="35" t="n">
        <v>0.5</v>
      </c>
      <c r="G1830" s="37" t="inlineStr">
        <is>
          <t>Y</t>
        </is>
      </c>
      <c r="H1830" s="37" t="inlineStr">
        <is>
          <t>N</t>
        </is>
      </c>
      <c r="I1830" s="37">
        <f>COUNTIF(G$5:G1830,"Y")/COUNTA(G$5:G1830)</f>
        <v/>
      </c>
      <c r="J1830" s="37">
        <f>COUNTIF(H$5:H1830,"Y")/COUNTA(H$5:H1830)</f>
        <v/>
      </c>
      <c r="K1830" s="37">
        <f>AVERAGE(F$5:F1830)</f>
        <v/>
      </c>
      <c r="L1830" s="37">
        <f>SUM(F$5:F1830)/SUM(E$5:E1830)</f>
        <v/>
      </c>
    </row>
    <row r="1831">
      <c r="A1831" s="29" t="n">
        <v>45926</v>
      </c>
      <c r="B1831" s="37" t="inlineStr">
        <is>
          <t>JOB-2827</t>
        </is>
      </c>
      <c r="C1831" s="34" t="n">
        <v>1</v>
      </c>
      <c r="D1831" s="37" t="inlineStr">
        <is>
          <t>Tech A</t>
        </is>
      </c>
      <c r="E1831" s="35" t="n">
        <v>0.6</v>
      </c>
      <c r="F1831" s="35" t="n">
        <v>0.5</v>
      </c>
      <c r="G1831" s="37" t="inlineStr">
        <is>
          <t>Y</t>
        </is>
      </c>
      <c r="H1831" s="37" t="inlineStr">
        <is>
          <t>N</t>
        </is>
      </c>
      <c r="I1831" s="37">
        <f>COUNTIF(G$5:G1831,"Y")/COUNTA(G$5:G1831)</f>
        <v/>
      </c>
      <c r="J1831" s="37">
        <f>COUNTIF(H$5:H1831,"Y")/COUNTA(H$5:H1831)</f>
        <v/>
      </c>
      <c r="K1831" s="37">
        <f>AVERAGE(F$5:F1831)</f>
        <v/>
      </c>
      <c r="L1831" s="37">
        <f>SUM(F$5:F1831)/SUM(E$5:E1831)</f>
        <v/>
      </c>
    </row>
    <row r="1832">
      <c r="A1832" s="29" t="n">
        <v>45922</v>
      </c>
      <c r="B1832" s="37" t="inlineStr">
        <is>
          <t>JOB-2828</t>
        </is>
      </c>
      <c r="C1832" s="34" t="n">
        <v>1</v>
      </c>
      <c r="D1832" s="37" t="inlineStr">
        <is>
          <t>Tech A</t>
        </is>
      </c>
      <c r="E1832" s="35" t="n">
        <v>0.6</v>
      </c>
      <c r="F1832" s="35" t="n">
        <v>0.5</v>
      </c>
      <c r="G1832" s="37" t="inlineStr">
        <is>
          <t>Y</t>
        </is>
      </c>
      <c r="H1832" s="37" t="inlineStr">
        <is>
          <t>N</t>
        </is>
      </c>
      <c r="I1832" s="37">
        <f>COUNTIF(G$5:G1832,"Y")/COUNTA(G$5:G1832)</f>
        <v/>
      </c>
      <c r="J1832" s="37">
        <f>COUNTIF(H$5:H1832,"Y")/COUNTA(H$5:H1832)</f>
        <v/>
      </c>
      <c r="K1832" s="37">
        <f>AVERAGE(F$5:F1832)</f>
        <v/>
      </c>
      <c r="L1832" s="37">
        <f>SUM(F$5:F1832)/SUM(E$5:E1832)</f>
        <v/>
      </c>
    </row>
    <row r="1833">
      <c r="A1833" s="29" t="n">
        <v>45923</v>
      </c>
      <c r="B1833" s="37" t="inlineStr">
        <is>
          <t>JOB-2829</t>
        </is>
      </c>
      <c r="C1833" s="34" t="n">
        <v>1</v>
      </c>
      <c r="D1833" s="37" t="inlineStr">
        <is>
          <t>Tech A</t>
        </is>
      </c>
      <c r="E1833" s="35" t="n">
        <v>0.7</v>
      </c>
      <c r="F1833" s="35" t="n">
        <v>0.5</v>
      </c>
      <c r="G1833" s="37" t="inlineStr">
        <is>
          <t>Y</t>
        </is>
      </c>
      <c r="H1833" s="37" t="inlineStr">
        <is>
          <t>N</t>
        </is>
      </c>
      <c r="I1833" s="37">
        <f>COUNTIF(G$5:G1833,"Y")/COUNTA(G$5:G1833)</f>
        <v/>
      </c>
      <c r="J1833" s="37">
        <f>COUNTIF(H$5:H1833,"Y")/COUNTA(H$5:H1833)</f>
        <v/>
      </c>
      <c r="K1833" s="37">
        <f>AVERAGE(F$5:F1833)</f>
        <v/>
      </c>
      <c r="L1833" s="37">
        <f>SUM(F$5:F1833)/SUM(E$5:E1833)</f>
        <v/>
      </c>
    </row>
    <row r="1834">
      <c r="A1834" s="29" t="n">
        <v>45924</v>
      </c>
      <c r="B1834" s="37" t="inlineStr">
        <is>
          <t>JOB-2830</t>
        </is>
      </c>
      <c r="C1834" s="34" t="n">
        <v>1</v>
      </c>
      <c r="D1834" s="37" t="inlineStr">
        <is>
          <t>Tech D</t>
        </is>
      </c>
      <c r="E1834" s="35" t="n">
        <v>1.4</v>
      </c>
      <c r="F1834" s="35" t="n">
        <v>0.5</v>
      </c>
      <c r="G1834" s="37" t="inlineStr">
        <is>
          <t>Y</t>
        </is>
      </c>
      <c r="H1834" s="37" t="inlineStr">
        <is>
          <t>N</t>
        </is>
      </c>
      <c r="I1834" s="37">
        <f>COUNTIF(G$5:G1834,"Y")/COUNTA(G$5:G1834)</f>
        <v/>
      </c>
      <c r="J1834" s="37">
        <f>COUNTIF(H$5:H1834,"Y")/COUNTA(H$5:H1834)</f>
        <v/>
      </c>
      <c r="K1834" s="37">
        <f>AVERAGE(F$5:F1834)</f>
        <v/>
      </c>
      <c r="L1834" s="37">
        <f>SUM(F$5:F1834)/SUM(E$5:E1834)</f>
        <v/>
      </c>
      <c r="M1834" s="37" t="n">
        <v>15</v>
      </c>
    </row>
    <row r="1835">
      <c r="A1835" s="29" t="n">
        <v>45929</v>
      </c>
      <c r="B1835" s="37" t="inlineStr">
        <is>
          <t>JOB-2831</t>
        </is>
      </c>
      <c r="C1835" s="34" t="n">
        <v>1</v>
      </c>
      <c r="D1835" s="37" t="inlineStr">
        <is>
          <t>Tech H</t>
        </is>
      </c>
      <c r="E1835" s="35" t="n">
        <v>2.8</v>
      </c>
      <c r="F1835" s="35" t="n">
        <v>1.9</v>
      </c>
      <c r="G1835" s="37" t="inlineStr">
        <is>
          <t>Y</t>
        </is>
      </c>
      <c r="H1835" s="37" t="inlineStr">
        <is>
          <t>Y</t>
        </is>
      </c>
      <c r="I1835" s="37">
        <f>COUNTIF(G$5:G1835,"Y")/COUNTA(G$5:G1835)</f>
        <v/>
      </c>
      <c r="J1835" s="37">
        <f>COUNTIF(H$5:H1835,"Y")/COUNTA(H$5:H1835)</f>
        <v/>
      </c>
      <c r="K1835" s="37">
        <f>AVERAGE(F$5:F1835)</f>
        <v/>
      </c>
      <c r="L1835" s="37">
        <f>SUM(F$5:F1835)/SUM(E$5:E1835)</f>
        <v/>
      </c>
    </row>
    <row r="1836">
      <c r="A1836" s="29" t="n">
        <v>45930</v>
      </c>
      <c r="B1836" s="37" t="inlineStr">
        <is>
          <t>JOB-2832</t>
        </is>
      </c>
      <c r="C1836" s="34" t="n">
        <v>1</v>
      </c>
      <c r="D1836" s="37" t="inlineStr">
        <is>
          <t>Tech B</t>
        </is>
      </c>
      <c r="E1836" s="35" t="n">
        <v>1.4</v>
      </c>
      <c r="F1836" s="35" t="n">
        <v>1.2</v>
      </c>
      <c r="G1836" s="37" t="inlineStr">
        <is>
          <t>N</t>
        </is>
      </c>
      <c r="H1836" s="37" t="inlineStr">
        <is>
          <t>N</t>
        </is>
      </c>
      <c r="I1836" s="37">
        <f>COUNTIF(G$5:G1836,"Y")/COUNTA(G$5:G1836)</f>
        <v/>
      </c>
      <c r="J1836" s="37">
        <f>COUNTIF(H$5:H1836,"Y")/COUNTA(H$5:H1836)</f>
        <v/>
      </c>
      <c r="K1836" s="37">
        <f>AVERAGE(F$5:F1836)</f>
        <v/>
      </c>
      <c r="L1836" s="37">
        <f>SUM(F$5:F1836)/SUM(E$5:E1836)</f>
        <v/>
      </c>
    </row>
    <row r="1837">
      <c r="A1837" s="29" t="n">
        <v>45931</v>
      </c>
      <c r="B1837" s="37" t="inlineStr">
        <is>
          <t>JOB-2833</t>
        </is>
      </c>
      <c r="C1837" s="34" t="n">
        <v>1</v>
      </c>
      <c r="D1837" s="37" t="inlineStr">
        <is>
          <t>Tech A</t>
        </is>
      </c>
      <c r="E1837" s="35" t="n">
        <v>4.7</v>
      </c>
      <c r="F1837" s="35" t="n">
        <v>3.6</v>
      </c>
      <c r="G1837" s="37" t="inlineStr">
        <is>
          <t>Y</t>
        </is>
      </c>
      <c r="H1837" s="37" t="inlineStr">
        <is>
          <t>N</t>
        </is>
      </c>
      <c r="I1837" s="37">
        <f>COUNTIF(G$5:G1837,"Y")/COUNTA(G$5:G1837)</f>
        <v/>
      </c>
      <c r="J1837" s="37">
        <f>COUNTIF(H$5:H1837,"Y")/COUNTA(H$5:H1837)</f>
        <v/>
      </c>
      <c r="K1837" s="37">
        <f>AVERAGE(F$5:F1837)</f>
        <v/>
      </c>
      <c r="L1837" s="37">
        <f>SUM(F$5:F1837)/SUM(E$5:E1837)</f>
        <v/>
      </c>
    </row>
    <row r="1838">
      <c r="A1838" s="29" t="n">
        <v>45932</v>
      </c>
      <c r="B1838" s="37" t="inlineStr">
        <is>
          <t>JOB-2834</t>
        </is>
      </c>
      <c r="C1838" s="34" t="n">
        <v>1</v>
      </c>
      <c r="D1838" s="37" t="inlineStr">
        <is>
          <t>Tech G</t>
        </is>
      </c>
      <c r="E1838" s="35" t="n">
        <v>2.6</v>
      </c>
      <c r="F1838" s="35" t="n">
        <v>1.9</v>
      </c>
      <c r="G1838" s="37" t="inlineStr">
        <is>
          <t>Y</t>
        </is>
      </c>
      <c r="H1838" s="37" t="inlineStr">
        <is>
          <t>N</t>
        </is>
      </c>
      <c r="I1838" s="37">
        <f>COUNTIF(G$5:G1838,"Y")/COUNTA(G$5:G1838)</f>
        <v/>
      </c>
      <c r="J1838" s="37">
        <f>COUNTIF(H$5:H1838,"Y")/COUNTA(H$5:H1838)</f>
        <v/>
      </c>
      <c r="K1838" s="37">
        <f>AVERAGE(F$5:F1838)</f>
        <v/>
      </c>
      <c r="L1838" s="37">
        <f>SUM(F$5:F1838)/SUM(E$5:E1838)</f>
        <v/>
      </c>
    </row>
    <row r="1839">
      <c r="A1839" s="29" t="n">
        <v>45933</v>
      </c>
      <c r="B1839" s="37" t="inlineStr">
        <is>
          <t>JOB-2835</t>
        </is>
      </c>
      <c r="C1839" s="34" t="n">
        <v>1</v>
      </c>
      <c r="D1839" s="37" t="inlineStr">
        <is>
          <t>Tech F</t>
        </is>
      </c>
      <c r="E1839" s="35" t="n">
        <v>1.7</v>
      </c>
      <c r="F1839" s="35" t="n">
        <v>1.2</v>
      </c>
      <c r="G1839" s="37" t="inlineStr">
        <is>
          <t>Y</t>
        </is>
      </c>
      <c r="H1839" s="37" t="inlineStr">
        <is>
          <t>N</t>
        </is>
      </c>
      <c r="I1839" s="37">
        <f>COUNTIF(G$5:G1839,"Y")/COUNTA(G$5:G1839)</f>
        <v/>
      </c>
      <c r="J1839" s="37">
        <f>COUNTIF(H$5:H1839,"Y")/COUNTA(H$5:H1839)</f>
        <v/>
      </c>
      <c r="K1839" s="37">
        <f>AVERAGE(F$5:F1839)</f>
        <v/>
      </c>
      <c r="L1839" s="37">
        <f>SUM(F$5:F1839)/SUM(E$5:E1839)</f>
        <v/>
      </c>
    </row>
    <row r="1840">
      <c r="A1840" s="29" t="n">
        <v>45929</v>
      </c>
      <c r="B1840" s="37" t="inlineStr">
        <is>
          <t>JOB-2836</t>
        </is>
      </c>
      <c r="C1840" s="34" t="n">
        <v>1</v>
      </c>
      <c r="D1840" s="37" t="inlineStr">
        <is>
          <t>Tech F</t>
        </is>
      </c>
      <c r="E1840" s="35" t="n">
        <v>3.3</v>
      </c>
      <c r="F1840" s="35" t="n">
        <v>2.6</v>
      </c>
      <c r="G1840" s="37" t="inlineStr">
        <is>
          <t>Y</t>
        </is>
      </c>
      <c r="H1840" s="37" t="inlineStr">
        <is>
          <t>N</t>
        </is>
      </c>
      <c r="I1840" s="37">
        <f>COUNTIF(G$5:G1840,"Y")/COUNTA(G$5:G1840)</f>
        <v/>
      </c>
      <c r="J1840" s="37">
        <f>COUNTIF(H$5:H1840,"Y")/COUNTA(H$5:H1840)</f>
        <v/>
      </c>
      <c r="K1840" s="37">
        <f>AVERAGE(F$5:F1840)</f>
        <v/>
      </c>
      <c r="L1840" s="37">
        <f>SUM(F$5:F1840)/SUM(E$5:E1840)</f>
        <v/>
      </c>
    </row>
    <row r="1841">
      <c r="A1841" s="29" t="n">
        <v>45930</v>
      </c>
      <c r="B1841" s="37" t="inlineStr">
        <is>
          <t>JOB-2837</t>
        </is>
      </c>
      <c r="C1841" s="34" t="n">
        <v>1</v>
      </c>
      <c r="D1841" s="37" t="inlineStr">
        <is>
          <t>Tech B</t>
        </is>
      </c>
      <c r="E1841" s="35" t="n">
        <v>2.5</v>
      </c>
      <c r="F1841" s="35" t="n">
        <v>2.1</v>
      </c>
      <c r="G1841" s="37" t="inlineStr">
        <is>
          <t>Y</t>
        </is>
      </c>
      <c r="H1841" s="37" t="inlineStr">
        <is>
          <t>N</t>
        </is>
      </c>
      <c r="I1841" s="37">
        <f>COUNTIF(G$5:G1841,"Y")/COUNTA(G$5:G1841)</f>
        <v/>
      </c>
      <c r="J1841" s="37">
        <f>COUNTIF(H$5:H1841,"Y")/COUNTA(H$5:H1841)</f>
        <v/>
      </c>
      <c r="K1841" s="37">
        <f>AVERAGE(F$5:F1841)</f>
        <v/>
      </c>
      <c r="L1841" s="37">
        <f>SUM(F$5:F1841)/SUM(E$5:E1841)</f>
        <v/>
      </c>
    </row>
    <row r="1842">
      <c r="A1842" s="29" t="n">
        <v>45931</v>
      </c>
      <c r="B1842" s="37" t="inlineStr">
        <is>
          <t>JOB-2838</t>
        </is>
      </c>
      <c r="C1842" s="34" t="n">
        <v>1</v>
      </c>
      <c r="D1842" s="37" t="inlineStr">
        <is>
          <t>Tech G</t>
        </is>
      </c>
      <c r="E1842" s="35" t="n">
        <v>3.8</v>
      </c>
      <c r="F1842" s="35" t="n">
        <v>3.1</v>
      </c>
      <c r="G1842" s="37" t="inlineStr">
        <is>
          <t>Y</t>
        </is>
      </c>
      <c r="H1842" s="37" t="inlineStr">
        <is>
          <t>N</t>
        </is>
      </c>
      <c r="I1842" s="37">
        <f>COUNTIF(G$5:G1842,"Y")/COUNTA(G$5:G1842)</f>
        <v/>
      </c>
      <c r="J1842" s="37">
        <f>COUNTIF(H$5:H1842,"Y")/COUNTA(H$5:H1842)</f>
        <v/>
      </c>
      <c r="K1842" s="37">
        <f>AVERAGE(F$5:F1842)</f>
        <v/>
      </c>
      <c r="L1842" s="37">
        <f>SUM(F$5:F1842)/SUM(E$5:E1842)</f>
        <v/>
      </c>
    </row>
    <row r="1843">
      <c r="A1843" s="29" t="n">
        <v>45932</v>
      </c>
      <c r="B1843" s="37" t="inlineStr">
        <is>
          <t>JOB-2839</t>
        </is>
      </c>
      <c r="C1843" s="34" t="n">
        <v>1</v>
      </c>
      <c r="D1843" s="37" t="inlineStr">
        <is>
          <t>Tech F</t>
        </is>
      </c>
      <c r="E1843" s="35" t="n">
        <v>3.8</v>
      </c>
      <c r="F1843" s="35" t="n">
        <v>2.7</v>
      </c>
      <c r="G1843" s="37" t="inlineStr">
        <is>
          <t>Y</t>
        </is>
      </c>
      <c r="H1843" s="37" t="inlineStr">
        <is>
          <t>N</t>
        </is>
      </c>
      <c r="I1843" s="37">
        <f>COUNTIF(G$5:G1843,"Y")/COUNTA(G$5:G1843)</f>
        <v/>
      </c>
      <c r="J1843" s="37">
        <f>COUNTIF(H$5:H1843,"Y")/COUNTA(H$5:H1843)</f>
        <v/>
      </c>
      <c r="K1843" s="37">
        <f>AVERAGE(F$5:F1843)</f>
        <v/>
      </c>
      <c r="L1843" s="37">
        <f>SUM(F$5:F1843)/SUM(E$5:E1843)</f>
        <v/>
      </c>
    </row>
    <row r="1844">
      <c r="A1844" s="29" t="n">
        <v>45933</v>
      </c>
      <c r="B1844" s="37" t="inlineStr">
        <is>
          <t>JOB-2840</t>
        </is>
      </c>
      <c r="C1844" s="34" t="n">
        <v>1</v>
      </c>
      <c r="D1844" s="37" t="inlineStr">
        <is>
          <t>Tech C</t>
        </is>
      </c>
      <c r="E1844" s="35" t="n">
        <v>1.4</v>
      </c>
      <c r="F1844" s="35" t="n">
        <v>1.1</v>
      </c>
      <c r="G1844" s="37" t="inlineStr">
        <is>
          <t>Y</t>
        </is>
      </c>
      <c r="H1844" s="37" t="inlineStr">
        <is>
          <t>N</t>
        </is>
      </c>
      <c r="I1844" s="37">
        <f>COUNTIF(G$5:G1844,"Y")/COUNTA(G$5:G1844)</f>
        <v/>
      </c>
      <c r="J1844" s="37">
        <f>COUNTIF(H$5:H1844,"Y")/COUNTA(H$5:H1844)</f>
        <v/>
      </c>
      <c r="K1844" s="37">
        <f>AVERAGE(F$5:F1844)</f>
        <v/>
      </c>
      <c r="L1844" s="37">
        <f>SUM(F$5:F1844)/SUM(E$5:E1844)</f>
        <v/>
      </c>
    </row>
    <row r="1845">
      <c r="A1845" s="29" t="n">
        <v>45929</v>
      </c>
      <c r="B1845" s="37" t="inlineStr">
        <is>
          <t>JOB-2841</t>
        </is>
      </c>
      <c r="C1845" s="34" t="n">
        <v>1</v>
      </c>
      <c r="D1845" s="37" t="inlineStr">
        <is>
          <t>Tech G</t>
        </is>
      </c>
      <c r="E1845" s="35" t="n">
        <v>4.8</v>
      </c>
      <c r="F1845" s="35" t="n">
        <v>3.2</v>
      </c>
      <c r="G1845" s="37" t="inlineStr">
        <is>
          <t>Y</t>
        </is>
      </c>
      <c r="H1845" s="37" t="inlineStr">
        <is>
          <t>N</t>
        </is>
      </c>
      <c r="I1845" s="37">
        <f>COUNTIF(G$5:G1845,"Y")/COUNTA(G$5:G1845)</f>
        <v/>
      </c>
      <c r="J1845" s="37">
        <f>COUNTIF(H$5:H1845,"Y")/COUNTA(H$5:H1845)</f>
        <v/>
      </c>
      <c r="K1845" s="37">
        <f>AVERAGE(F$5:F1845)</f>
        <v/>
      </c>
      <c r="L1845" s="37">
        <f>SUM(F$5:F1845)/SUM(E$5:E1845)</f>
        <v/>
      </c>
    </row>
    <row r="1846">
      <c r="A1846" s="29" t="n">
        <v>45930</v>
      </c>
      <c r="B1846" s="37" t="inlineStr">
        <is>
          <t>JOB-2842</t>
        </is>
      </c>
      <c r="C1846" s="34" t="n">
        <v>1</v>
      </c>
      <c r="D1846" s="37" t="inlineStr">
        <is>
          <t>Tech B</t>
        </is>
      </c>
      <c r="E1846" s="35" t="n">
        <v>3.5</v>
      </c>
      <c r="F1846" s="35" t="n">
        <v>2.7</v>
      </c>
      <c r="G1846" s="37" t="inlineStr">
        <is>
          <t>Y</t>
        </is>
      </c>
      <c r="H1846" s="37" t="inlineStr">
        <is>
          <t>N</t>
        </is>
      </c>
      <c r="I1846" s="37">
        <f>COUNTIF(G$5:G1846,"Y")/COUNTA(G$5:G1846)</f>
        <v/>
      </c>
      <c r="J1846" s="37">
        <f>COUNTIF(H$5:H1846,"Y")/COUNTA(H$5:H1846)</f>
        <v/>
      </c>
      <c r="K1846" s="37">
        <f>AVERAGE(F$5:F1846)</f>
        <v/>
      </c>
      <c r="L1846" s="37">
        <f>SUM(F$5:F1846)/SUM(E$5:E1846)</f>
        <v/>
      </c>
    </row>
    <row r="1847">
      <c r="A1847" s="29" t="n">
        <v>45931</v>
      </c>
      <c r="B1847" s="37" t="inlineStr">
        <is>
          <t>JOB-2843</t>
        </is>
      </c>
      <c r="C1847" s="34" t="n">
        <v>1</v>
      </c>
      <c r="D1847" s="37" t="inlineStr">
        <is>
          <t>Tech C</t>
        </is>
      </c>
      <c r="E1847" s="35" t="n">
        <v>5.2</v>
      </c>
      <c r="F1847" s="35" t="n">
        <v>3.6</v>
      </c>
      <c r="G1847" s="37" t="inlineStr">
        <is>
          <t>N</t>
        </is>
      </c>
      <c r="H1847" s="37" t="inlineStr">
        <is>
          <t>N</t>
        </is>
      </c>
      <c r="I1847" s="37">
        <f>COUNTIF(G$5:G1847,"Y")/COUNTA(G$5:G1847)</f>
        <v/>
      </c>
      <c r="J1847" s="37">
        <f>COUNTIF(H$5:H1847,"Y")/COUNTA(H$5:H1847)</f>
        <v/>
      </c>
      <c r="K1847" s="37">
        <f>AVERAGE(F$5:F1847)</f>
        <v/>
      </c>
      <c r="L1847" s="37">
        <f>SUM(F$5:F1847)/SUM(E$5:E1847)</f>
        <v/>
      </c>
    </row>
    <row r="1848">
      <c r="A1848" s="29" t="n">
        <v>45932</v>
      </c>
      <c r="B1848" s="37" t="inlineStr">
        <is>
          <t>JOB-2844</t>
        </is>
      </c>
      <c r="C1848" s="34" t="n">
        <v>1</v>
      </c>
      <c r="D1848" s="37" t="inlineStr">
        <is>
          <t>Tech B</t>
        </is>
      </c>
      <c r="E1848" s="35" t="n">
        <v>2.9</v>
      </c>
      <c r="F1848" s="35" t="n">
        <v>2.3</v>
      </c>
      <c r="G1848" s="37" t="inlineStr">
        <is>
          <t>Y</t>
        </is>
      </c>
      <c r="H1848" s="37" t="inlineStr">
        <is>
          <t>N</t>
        </is>
      </c>
      <c r="I1848" s="37">
        <f>COUNTIF(G$5:G1848,"Y")/COUNTA(G$5:G1848)</f>
        <v/>
      </c>
      <c r="J1848" s="37">
        <f>COUNTIF(H$5:H1848,"Y")/COUNTA(H$5:H1848)</f>
        <v/>
      </c>
      <c r="K1848" s="37">
        <f>AVERAGE(F$5:F1848)</f>
        <v/>
      </c>
      <c r="L1848" s="37">
        <f>SUM(F$5:F1848)/SUM(E$5:E1848)</f>
        <v/>
      </c>
    </row>
    <row r="1849">
      <c r="A1849" s="29" t="n">
        <v>45933</v>
      </c>
      <c r="B1849" s="37" t="inlineStr">
        <is>
          <t>JOB-2845</t>
        </is>
      </c>
      <c r="C1849" s="34" t="n">
        <v>1</v>
      </c>
      <c r="D1849" s="37" t="inlineStr">
        <is>
          <t>Tech A</t>
        </is>
      </c>
      <c r="E1849" s="35" t="n">
        <v>1.9</v>
      </c>
      <c r="F1849" s="35" t="n">
        <v>1.6</v>
      </c>
      <c r="G1849" s="37" t="inlineStr">
        <is>
          <t>Y</t>
        </is>
      </c>
      <c r="H1849" s="37" t="inlineStr">
        <is>
          <t>N</t>
        </is>
      </c>
      <c r="I1849" s="37">
        <f>COUNTIF(G$5:G1849,"Y")/COUNTA(G$5:G1849)</f>
        <v/>
      </c>
      <c r="J1849" s="37">
        <f>COUNTIF(H$5:H1849,"Y")/COUNTA(H$5:H1849)</f>
        <v/>
      </c>
      <c r="K1849" s="37">
        <f>AVERAGE(F$5:F1849)</f>
        <v/>
      </c>
      <c r="L1849" s="37">
        <f>SUM(F$5:F1849)/SUM(E$5:E1849)</f>
        <v/>
      </c>
    </row>
    <row r="1850">
      <c r="A1850" s="29" t="n">
        <v>45929</v>
      </c>
      <c r="B1850" s="37" t="inlineStr">
        <is>
          <t>JOB-2846</t>
        </is>
      </c>
      <c r="C1850" s="34" t="n">
        <v>1</v>
      </c>
      <c r="D1850" s="37" t="inlineStr">
        <is>
          <t>Tech H</t>
        </is>
      </c>
      <c r="E1850" s="35" t="n">
        <v>3.2</v>
      </c>
      <c r="F1850" s="35" t="n">
        <v>2.7</v>
      </c>
      <c r="G1850" s="37" t="inlineStr">
        <is>
          <t>Y</t>
        </is>
      </c>
      <c r="H1850" s="37" t="inlineStr">
        <is>
          <t>N</t>
        </is>
      </c>
      <c r="I1850" s="37">
        <f>COUNTIF(G$5:G1850,"Y")/COUNTA(G$5:G1850)</f>
        <v/>
      </c>
      <c r="J1850" s="37">
        <f>COUNTIF(H$5:H1850,"Y")/COUNTA(H$5:H1850)</f>
        <v/>
      </c>
      <c r="K1850" s="37">
        <f>AVERAGE(F$5:F1850)</f>
        <v/>
      </c>
      <c r="L1850" s="37">
        <f>SUM(F$5:F1850)/SUM(E$5:E1850)</f>
        <v/>
      </c>
    </row>
    <row r="1851">
      <c r="A1851" s="29" t="n">
        <v>45930</v>
      </c>
      <c r="B1851" s="37" t="inlineStr">
        <is>
          <t>JOB-2847</t>
        </is>
      </c>
      <c r="C1851" s="34" t="n">
        <v>1</v>
      </c>
      <c r="D1851" s="37" t="inlineStr">
        <is>
          <t>Tech G</t>
        </is>
      </c>
      <c r="E1851" s="35" t="n">
        <v>3.9</v>
      </c>
      <c r="F1851" s="35" t="n">
        <v>3.2</v>
      </c>
      <c r="G1851" s="37" t="inlineStr">
        <is>
          <t>N</t>
        </is>
      </c>
      <c r="H1851" s="37" t="inlineStr">
        <is>
          <t>N</t>
        </is>
      </c>
      <c r="I1851" s="37">
        <f>COUNTIF(G$5:G1851,"Y")/COUNTA(G$5:G1851)</f>
        <v/>
      </c>
      <c r="J1851" s="37">
        <f>COUNTIF(H$5:H1851,"Y")/COUNTA(H$5:H1851)</f>
        <v/>
      </c>
      <c r="K1851" s="37">
        <f>AVERAGE(F$5:F1851)</f>
        <v/>
      </c>
      <c r="L1851" s="37">
        <f>SUM(F$5:F1851)/SUM(E$5:E1851)</f>
        <v/>
      </c>
    </row>
    <row r="1852">
      <c r="A1852" s="29" t="n">
        <v>45931</v>
      </c>
      <c r="B1852" s="37" t="inlineStr">
        <is>
          <t>JOB-2848</t>
        </is>
      </c>
      <c r="C1852" s="34" t="n">
        <v>1</v>
      </c>
      <c r="D1852" s="37" t="inlineStr">
        <is>
          <t>Tech C</t>
        </is>
      </c>
      <c r="E1852" s="35" t="n">
        <v>3.6</v>
      </c>
      <c r="F1852" s="35" t="n">
        <v>2.6</v>
      </c>
      <c r="G1852" s="37" t="inlineStr">
        <is>
          <t>Y</t>
        </is>
      </c>
      <c r="H1852" s="37" t="inlineStr">
        <is>
          <t>N</t>
        </is>
      </c>
      <c r="I1852" s="37">
        <f>COUNTIF(G$5:G1852,"Y")/COUNTA(G$5:G1852)</f>
        <v/>
      </c>
      <c r="J1852" s="37">
        <f>COUNTIF(H$5:H1852,"Y")/COUNTA(H$5:H1852)</f>
        <v/>
      </c>
      <c r="K1852" s="37">
        <f>AVERAGE(F$5:F1852)</f>
        <v/>
      </c>
      <c r="L1852" s="37">
        <f>SUM(F$5:F1852)/SUM(E$5:E1852)</f>
        <v/>
      </c>
    </row>
    <row r="1853">
      <c r="A1853" s="29" t="n">
        <v>45932</v>
      </c>
      <c r="B1853" s="37" t="inlineStr">
        <is>
          <t>JOB-2849</t>
        </is>
      </c>
      <c r="C1853" s="34" t="n">
        <v>1</v>
      </c>
      <c r="D1853" s="37" t="inlineStr">
        <is>
          <t>Tech G</t>
        </is>
      </c>
      <c r="E1853" s="35" t="n">
        <v>2.2</v>
      </c>
      <c r="F1853" s="35" t="n">
        <v>1.7</v>
      </c>
      <c r="G1853" s="37" t="inlineStr">
        <is>
          <t>Y</t>
        </is>
      </c>
      <c r="H1853" s="37" t="inlineStr">
        <is>
          <t>N</t>
        </is>
      </c>
      <c r="I1853" s="37">
        <f>COUNTIF(G$5:G1853,"Y")/COUNTA(G$5:G1853)</f>
        <v/>
      </c>
      <c r="J1853" s="37">
        <f>COUNTIF(H$5:H1853,"Y")/COUNTA(H$5:H1853)</f>
        <v/>
      </c>
      <c r="K1853" s="37">
        <f>AVERAGE(F$5:F1853)</f>
        <v/>
      </c>
      <c r="L1853" s="37">
        <f>SUM(F$5:F1853)/SUM(E$5:E1853)</f>
        <v/>
      </c>
    </row>
    <row r="1854">
      <c r="A1854" s="29" t="n">
        <v>45933</v>
      </c>
      <c r="B1854" s="37" t="inlineStr">
        <is>
          <t>JOB-2850</t>
        </is>
      </c>
      <c r="C1854" s="34" t="n">
        <v>1</v>
      </c>
      <c r="D1854" s="37" t="inlineStr">
        <is>
          <t>Tech B</t>
        </is>
      </c>
      <c r="E1854" s="35" t="n">
        <v>4</v>
      </c>
      <c r="F1854" s="35" t="n">
        <v>3</v>
      </c>
      <c r="G1854" s="37" t="inlineStr">
        <is>
          <t>Y</t>
        </is>
      </c>
      <c r="H1854" s="37" t="inlineStr">
        <is>
          <t>N</t>
        </is>
      </c>
      <c r="I1854" s="37">
        <f>COUNTIF(G$5:G1854,"Y")/COUNTA(G$5:G1854)</f>
        <v/>
      </c>
      <c r="J1854" s="37">
        <f>COUNTIF(H$5:H1854,"Y")/COUNTA(H$5:H1854)</f>
        <v/>
      </c>
      <c r="K1854" s="37">
        <f>AVERAGE(F$5:F1854)</f>
        <v/>
      </c>
      <c r="L1854" s="37">
        <f>SUM(F$5:F1854)/SUM(E$5:E1854)</f>
        <v/>
      </c>
    </row>
    <row r="1855">
      <c r="A1855" s="29" t="n">
        <v>45929</v>
      </c>
      <c r="B1855" s="37" t="inlineStr">
        <is>
          <t>JOB-2851</t>
        </is>
      </c>
      <c r="C1855" s="34" t="n">
        <v>1</v>
      </c>
      <c r="D1855" s="37" t="inlineStr">
        <is>
          <t>Tech G</t>
        </is>
      </c>
      <c r="E1855" s="35" t="n">
        <v>2.5</v>
      </c>
      <c r="F1855" s="35" t="n">
        <v>1.7</v>
      </c>
      <c r="G1855" s="37" t="inlineStr">
        <is>
          <t>Y</t>
        </is>
      </c>
      <c r="H1855" s="37" t="inlineStr">
        <is>
          <t>N</t>
        </is>
      </c>
      <c r="I1855" s="37">
        <f>COUNTIF(G$5:G1855,"Y")/COUNTA(G$5:G1855)</f>
        <v/>
      </c>
      <c r="J1855" s="37">
        <f>COUNTIF(H$5:H1855,"Y")/COUNTA(H$5:H1855)</f>
        <v/>
      </c>
      <c r="K1855" s="37">
        <f>AVERAGE(F$5:F1855)</f>
        <v/>
      </c>
      <c r="L1855" s="37">
        <f>SUM(F$5:F1855)/SUM(E$5:E1855)</f>
        <v/>
      </c>
    </row>
    <row r="1856">
      <c r="A1856" s="29" t="n">
        <v>45930</v>
      </c>
      <c r="B1856" s="37" t="inlineStr">
        <is>
          <t>JOB-2852</t>
        </is>
      </c>
      <c r="C1856" s="34" t="n">
        <v>1</v>
      </c>
      <c r="D1856" s="37" t="inlineStr">
        <is>
          <t>Tech F</t>
        </is>
      </c>
      <c r="E1856" s="35" t="n">
        <v>1.5</v>
      </c>
      <c r="F1856" s="35" t="n">
        <v>1.2</v>
      </c>
      <c r="G1856" s="37" t="inlineStr">
        <is>
          <t>Y</t>
        </is>
      </c>
      <c r="H1856" s="37" t="inlineStr">
        <is>
          <t>N</t>
        </is>
      </c>
      <c r="I1856" s="37">
        <f>COUNTIF(G$5:G1856,"Y")/COUNTA(G$5:G1856)</f>
        <v/>
      </c>
      <c r="J1856" s="37">
        <f>COUNTIF(H$5:H1856,"Y")/COUNTA(H$5:H1856)</f>
        <v/>
      </c>
      <c r="K1856" s="37">
        <f>AVERAGE(F$5:F1856)</f>
        <v/>
      </c>
      <c r="L1856" s="37">
        <f>SUM(F$5:F1856)/SUM(E$5:E1856)</f>
        <v/>
      </c>
    </row>
    <row r="1857">
      <c r="A1857" s="29" t="n">
        <v>45931</v>
      </c>
      <c r="B1857" s="37" t="inlineStr">
        <is>
          <t>JOB-2853</t>
        </is>
      </c>
      <c r="C1857" s="34" t="n">
        <v>1</v>
      </c>
      <c r="D1857" s="37" t="inlineStr">
        <is>
          <t>Tech F</t>
        </is>
      </c>
      <c r="E1857" s="35" t="n">
        <v>3.4</v>
      </c>
      <c r="F1857" s="35" t="n">
        <v>2.2</v>
      </c>
      <c r="G1857" s="37" t="inlineStr">
        <is>
          <t>Y</t>
        </is>
      </c>
      <c r="H1857" s="37" t="inlineStr">
        <is>
          <t>N</t>
        </is>
      </c>
      <c r="I1857" s="37">
        <f>COUNTIF(G$5:G1857,"Y")/COUNTA(G$5:G1857)</f>
        <v/>
      </c>
      <c r="J1857" s="37">
        <f>COUNTIF(H$5:H1857,"Y")/COUNTA(H$5:H1857)</f>
        <v/>
      </c>
      <c r="K1857" s="37">
        <f>AVERAGE(F$5:F1857)</f>
        <v/>
      </c>
      <c r="L1857" s="37">
        <f>SUM(F$5:F1857)/SUM(E$5:E1857)</f>
        <v/>
      </c>
    </row>
    <row r="1858">
      <c r="A1858" s="29" t="n">
        <v>45932</v>
      </c>
      <c r="B1858" s="37" t="inlineStr">
        <is>
          <t>JOB-2854</t>
        </is>
      </c>
      <c r="C1858" s="34" t="n">
        <v>1</v>
      </c>
      <c r="D1858" s="37" t="inlineStr">
        <is>
          <t>Tech D</t>
        </is>
      </c>
      <c r="E1858" s="35" t="n">
        <v>3.9</v>
      </c>
      <c r="F1858" s="35" t="n">
        <v>3.1</v>
      </c>
      <c r="G1858" s="37" t="inlineStr">
        <is>
          <t>Y</t>
        </is>
      </c>
      <c r="H1858" s="37" t="inlineStr">
        <is>
          <t>N</t>
        </is>
      </c>
      <c r="I1858" s="37">
        <f>COUNTIF(G$5:G1858,"Y")/COUNTA(G$5:G1858)</f>
        <v/>
      </c>
      <c r="J1858" s="37">
        <f>COUNTIF(H$5:H1858,"Y")/COUNTA(H$5:H1858)</f>
        <v/>
      </c>
      <c r="K1858" s="37">
        <f>AVERAGE(F$5:F1858)</f>
        <v/>
      </c>
      <c r="L1858" s="37">
        <f>SUM(F$5:F1858)/SUM(E$5:E1858)</f>
        <v/>
      </c>
    </row>
    <row r="1859">
      <c r="A1859" s="29" t="n">
        <v>45933</v>
      </c>
      <c r="B1859" s="37" t="inlineStr">
        <is>
          <t>JOB-2855</t>
        </is>
      </c>
      <c r="C1859" s="34" t="n">
        <v>1</v>
      </c>
      <c r="D1859" s="37" t="inlineStr">
        <is>
          <t>Tech B</t>
        </is>
      </c>
      <c r="E1859" s="35" t="n">
        <v>5.1</v>
      </c>
      <c r="F1859" s="35" t="n">
        <v>3.5</v>
      </c>
      <c r="G1859" s="37" t="inlineStr">
        <is>
          <t>Y</t>
        </is>
      </c>
      <c r="H1859" s="37" t="inlineStr">
        <is>
          <t>N</t>
        </is>
      </c>
      <c r="I1859" s="37">
        <f>COUNTIF(G$5:G1859,"Y")/COUNTA(G$5:G1859)</f>
        <v/>
      </c>
      <c r="J1859" s="37">
        <f>COUNTIF(H$5:H1859,"Y")/COUNTA(H$5:H1859)</f>
        <v/>
      </c>
      <c r="K1859" s="37">
        <f>AVERAGE(F$5:F1859)</f>
        <v/>
      </c>
      <c r="L1859" s="37">
        <f>SUM(F$5:F1859)/SUM(E$5:E1859)</f>
        <v/>
      </c>
    </row>
    <row r="1860">
      <c r="A1860" s="29" t="n">
        <v>45929</v>
      </c>
      <c r="B1860" s="37" t="inlineStr">
        <is>
          <t>JOB-2856</t>
        </is>
      </c>
      <c r="C1860" s="34" t="n">
        <v>1</v>
      </c>
      <c r="D1860" s="37" t="inlineStr">
        <is>
          <t>Tech H</t>
        </is>
      </c>
      <c r="E1860" s="35" t="n">
        <v>1.9</v>
      </c>
      <c r="F1860" s="35" t="n">
        <v>1.5</v>
      </c>
      <c r="G1860" s="37" t="inlineStr">
        <is>
          <t>Y</t>
        </is>
      </c>
      <c r="H1860" s="37" t="inlineStr">
        <is>
          <t>N</t>
        </is>
      </c>
      <c r="I1860" s="37">
        <f>COUNTIF(G$5:G1860,"Y")/COUNTA(G$5:G1860)</f>
        <v/>
      </c>
      <c r="J1860" s="37">
        <f>COUNTIF(H$5:H1860,"Y")/COUNTA(H$5:H1860)</f>
        <v/>
      </c>
      <c r="K1860" s="37">
        <f>AVERAGE(F$5:F1860)</f>
        <v/>
      </c>
      <c r="L1860" s="37">
        <f>SUM(F$5:F1860)/SUM(E$5:E1860)</f>
        <v/>
      </c>
    </row>
    <row r="1861">
      <c r="A1861" s="29" t="n">
        <v>45930</v>
      </c>
      <c r="B1861" s="37" t="inlineStr">
        <is>
          <t>JOB-2857</t>
        </is>
      </c>
      <c r="C1861" s="34" t="n">
        <v>1</v>
      </c>
      <c r="D1861" s="37" t="inlineStr">
        <is>
          <t>Tech A</t>
        </is>
      </c>
      <c r="E1861" s="35" t="n">
        <v>2.6</v>
      </c>
      <c r="F1861" s="35" t="n">
        <v>2</v>
      </c>
      <c r="G1861" s="37" t="inlineStr">
        <is>
          <t>N</t>
        </is>
      </c>
      <c r="H1861" s="37" t="inlineStr">
        <is>
          <t>N</t>
        </is>
      </c>
      <c r="I1861" s="37">
        <f>COUNTIF(G$5:G1861,"Y")/COUNTA(G$5:G1861)</f>
        <v/>
      </c>
      <c r="J1861" s="37">
        <f>COUNTIF(H$5:H1861,"Y")/COUNTA(H$5:H1861)</f>
        <v/>
      </c>
      <c r="K1861" s="37">
        <f>AVERAGE(F$5:F1861)</f>
        <v/>
      </c>
      <c r="L1861" s="37">
        <f>SUM(F$5:F1861)/SUM(E$5:E1861)</f>
        <v/>
      </c>
    </row>
    <row r="1862">
      <c r="A1862" s="29" t="n">
        <v>45931</v>
      </c>
      <c r="B1862" s="37" t="inlineStr">
        <is>
          <t>JOB-2858</t>
        </is>
      </c>
      <c r="C1862" s="34" t="n">
        <v>1</v>
      </c>
      <c r="D1862" s="37" t="inlineStr">
        <is>
          <t>Tech G</t>
        </is>
      </c>
      <c r="E1862" s="35" t="n">
        <v>1.5</v>
      </c>
      <c r="F1862" s="35" t="n">
        <v>1.1</v>
      </c>
      <c r="G1862" s="37" t="inlineStr">
        <is>
          <t>Y</t>
        </is>
      </c>
      <c r="H1862" s="37" t="inlineStr">
        <is>
          <t>N</t>
        </is>
      </c>
      <c r="I1862" s="37">
        <f>COUNTIF(G$5:G1862,"Y")/COUNTA(G$5:G1862)</f>
        <v/>
      </c>
      <c r="J1862" s="37">
        <f>COUNTIF(H$5:H1862,"Y")/COUNTA(H$5:H1862)</f>
        <v/>
      </c>
      <c r="K1862" s="37">
        <f>AVERAGE(F$5:F1862)</f>
        <v/>
      </c>
      <c r="L1862" s="37">
        <f>SUM(F$5:F1862)/SUM(E$5:E1862)</f>
        <v/>
      </c>
    </row>
    <row r="1863">
      <c r="A1863" s="29" t="n">
        <v>45932</v>
      </c>
      <c r="B1863" s="37" t="inlineStr">
        <is>
          <t>JOB-2859</t>
        </is>
      </c>
      <c r="C1863" s="34" t="n">
        <v>1</v>
      </c>
      <c r="D1863" s="37" t="inlineStr">
        <is>
          <t>Tech D</t>
        </is>
      </c>
      <c r="E1863" s="35" t="n">
        <v>3.4</v>
      </c>
      <c r="F1863" s="35" t="n">
        <v>2.9</v>
      </c>
      <c r="G1863" s="37" t="inlineStr">
        <is>
          <t>Y</t>
        </is>
      </c>
      <c r="H1863" s="37" t="inlineStr">
        <is>
          <t>N</t>
        </is>
      </c>
      <c r="I1863" s="37">
        <f>COUNTIF(G$5:G1863,"Y")/COUNTA(G$5:G1863)</f>
        <v/>
      </c>
      <c r="J1863" s="37">
        <f>COUNTIF(H$5:H1863,"Y")/COUNTA(H$5:H1863)</f>
        <v/>
      </c>
      <c r="K1863" s="37">
        <f>AVERAGE(F$5:F1863)</f>
        <v/>
      </c>
      <c r="L1863" s="37">
        <f>SUM(F$5:F1863)/SUM(E$5:E1863)</f>
        <v/>
      </c>
    </row>
    <row r="1864">
      <c r="A1864" s="29" t="n">
        <v>45933</v>
      </c>
      <c r="B1864" s="37" t="inlineStr">
        <is>
          <t>JOB-2860</t>
        </is>
      </c>
      <c r="C1864" s="34" t="n">
        <v>1</v>
      </c>
      <c r="D1864" s="37" t="inlineStr">
        <is>
          <t>Tech G</t>
        </is>
      </c>
      <c r="E1864" s="35" t="n">
        <v>3.5</v>
      </c>
      <c r="F1864" s="35" t="n">
        <v>2.4</v>
      </c>
      <c r="G1864" s="37" t="inlineStr">
        <is>
          <t>Y</t>
        </is>
      </c>
      <c r="H1864" s="37" t="inlineStr">
        <is>
          <t>N</t>
        </is>
      </c>
      <c r="I1864" s="37">
        <f>COUNTIF(G$5:G1864,"Y")/COUNTA(G$5:G1864)</f>
        <v/>
      </c>
      <c r="J1864" s="37">
        <f>COUNTIF(H$5:H1864,"Y")/COUNTA(H$5:H1864)</f>
        <v/>
      </c>
      <c r="K1864" s="37">
        <f>AVERAGE(F$5:F1864)</f>
        <v/>
      </c>
      <c r="L1864" s="37">
        <f>SUM(F$5:F1864)/SUM(E$5:E1864)</f>
        <v/>
      </c>
    </row>
    <row r="1865">
      <c r="A1865" s="29" t="n">
        <v>45929</v>
      </c>
      <c r="B1865" s="37" t="inlineStr">
        <is>
          <t>JOB-2861</t>
        </is>
      </c>
      <c r="C1865" s="34" t="n">
        <v>1</v>
      </c>
      <c r="D1865" s="37" t="inlineStr">
        <is>
          <t>Tech H</t>
        </is>
      </c>
      <c r="E1865" s="35" t="n">
        <v>4.5</v>
      </c>
      <c r="F1865" s="35" t="n">
        <v>3.4</v>
      </c>
      <c r="G1865" s="37" t="inlineStr">
        <is>
          <t>Y</t>
        </is>
      </c>
      <c r="H1865" s="37" t="inlineStr">
        <is>
          <t>N</t>
        </is>
      </c>
      <c r="I1865" s="37">
        <f>COUNTIF(G$5:G1865,"Y")/COUNTA(G$5:G1865)</f>
        <v/>
      </c>
      <c r="J1865" s="37">
        <f>COUNTIF(H$5:H1865,"Y")/COUNTA(H$5:H1865)</f>
        <v/>
      </c>
      <c r="K1865" s="37">
        <f>AVERAGE(F$5:F1865)</f>
        <v/>
      </c>
      <c r="L1865" s="37">
        <f>SUM(F$5:F1865)/SUM(E$5:E1865)</f>
        <v/>
      </c>
    </row>
    <row r="1866">
      <c r="A1866" s="29" t="n">
        <v>45930</v>
      </c>
      <c r="B1866" s="37" t="inlineStr">
        <is>
          <t>JOB-2862</t>
        </is>
      </c>
      <c r="C1866" s="34" t="n">
        <v>1</v>
      </c>
      <c r="D1866" s="37" t="inlineStr">
        <is>
          <t>Tech F</t>
        </is>
      </c>
      <c r="E1866" s="35" t="n">
        <v>2</v>
      </c>
      <c r="F1866" s="35" t="n">
        <v>1.6</v>
      </c>
      <c r="G1866" s="37" t="inlineStr">
        <is>
          <t>Y</t>
        </is>
      </c>
      <c r="H1866" s="37" t="inlineStr">
        <is>
          <t>N</t>
        </is>
      </c>
      <c r="I1866" s="37">
        <f>COUNTIF(G$5:G1866,"Y")/COUNTA(G$5:G1866)</f>
        <v/>
      </c>
      <c r="J1866" s="37">
        <f>COUNTIF(H$5:H1866,"Y")/COUNTA(H$5:H1866)</f>
        <v/>
      </c>
      <c r="K1866" s="37">
        <f>AVERAGE(F$5:F1866)</f>
        <v/>
      </c>
      <c r="L1866" s="37">
        <f>SUM(F$5:F1866)/SUM(E$5:E1866)</f>
        <v/>
      </c>
    </row>
    <row r="1867">
      <c r="A1867" s="29" t="n">
        <v>45931</v>
      </c>
      <c r="B1867" s="37" t="inlineStr">
        <is>
          <t>JOB-2863</t>
        </is>
      </c>
      <c r="C1867" s="34" t="n">
        <v>1</v>
      </c>
      <c r="D1867" s="37" t="inlineStr">
        <is>
          <t>Tech A</t>
        </is>
      </c>
      <c r="E1867" s="35" t="n">
        <v>5.1</v>
      </c>
      <c r="F1867" s="35" t="n">
        <v>3.5</v>
      </c>
      <c r="G1867" s="37" t="inlineStr">
        <is>
          <t>Y</t>
        </is>
      </c>
      <c r="H1867" s="37" t="inlineStr">
        <is>
          <t>N</t>
        </is>
      </c>
      <c r="I1867" s="37">
        <f>COUNTIF(G$5:G1867,"Y")/COUNTA(G$5:G1867)</f>
        <v/>
      </c>
      <c r="J1867" s="37">
        <f>COUNTIF(H$5:H1867,"Y")/COUNTA(H$5:H1867)</f>
        <v/>
      </c>
      <c r="K1867" s="37">
        <f>AVERAGE(F$5:F1867)</f>
        <v/>
      </c>
      <c r="L1867" s="37">
        <f>SUM(F$5:F1867)/SUM(E$5:E1867)</f>
        <v/>
      </c>
    </row>
    <row r="1868">
      <c r="A1868" s="29" t="n">
        <v>45932</v>
      </c>
      <c r="B1868" s="37" t="inlineStr">
        <is>
          <t>JOB-2864</t>
        </is>
      </c>
      <c r="C1868" s="34" t="n">
        <v>1</v>
      </c>
      <c r="D1868" s="37" t="inlineStr">
        <is>
          <t>Tech B</t>
        </is>
      </c>
      <c r="E1868" s="35" t="n">
        <v>2.8</v>
      </c>
      <c r="F1868" s="35" t="n">
        <v>2</v>
      </c>
      <c r="G1868" s="37" t="inlineStr">
        <is>
          <t>Y</t>
        </is>
      </c>
      <c r="H1868" s="37" t="inlineStr">
        <is>
          <t>N</t>
        </is>
      </c>
      <c r="I1868" s="37">
        <f>COUNTIF(G$5:G1868,"Y")/COUNTA(G$5:G1868)</f>
        <v/>
      </c>
      <c r="J1868" s="37">
        <f>COUNTIF(H$5:H1868,"Y")/COUNTA(H$5:H1868)</f>
        <v/>
      </c>
      <c r="K1868" s="37">
        <f>AVERAGE(F$5:F1868)</f>
        <v/>
      </c>
      <c r="L1868" s="37">
        <f>SUM(F$5:F1868)/SUM(E$5:E1868)</f>
        <v/>
      </c>
    </row>
    <row r="1869">
      <c r="A1869" s="29" t="n">
        <v>45933</v>
      </c>
      <c r="B1869" s="37" t="inlineStr">
        <is>
          <t>JOB-2865</t>
        </is>
      </c>
      <c r="C1869" s="34" t="n">
        <v>1</v>
      </c>
      <c r="D1869" s="37" t="inlineStr">
        <is>
          <t>Tech F</t>
        </is>
      </c>
      <c r="E1869" s="35" t="n">
        <v>4.5</v>
      </c>
      <c r="F1869" s="35" t="n">
        <v>2.9</v>
      </c>
      <c r="G1869" s="37" t="inlineStr">
        <is>
          <t>Y</t>
        </is>
      </c>
      <c r="H1869" s="37" t="inlineStr">
        <is>
          <t>N</t>
        </is>
      </c>
      <c r="I1869" s="37">
        <f>COUNTIF(G$5:G1869,"Y")/COUNTA(G$5:G1869)</f>
        <v/>
      </c>
      <c r="J1869" s="37">
        <f>COUNTIF(H$5:H1869,"Y")/COUNTA(H$5:H1869)</f>
        <v/>
      </c>
      <c r="K1869" s="37">
        <f>AVERAGE(F$5:F1869)</f>
        <v/>
      </c>
      <c r="L1869" s="37">
        <f>SUM(F$5:F1869)/SUM(E$5:E1869)</f>
        <v/>
      </c>
    </row>
    <row r="1870">
      <c r="A1870" s="29" t="n">
        <v>45929</v>
      </c>
      <c r="B1870" s="37" t="inlineStr">
        <is>
          <t>JOB-2866</t>
        </is>
      </c>
      <c r="C1870" s="34" t="n">
        <v>1</v>
      </c>
      <c r="D1870" s="37" t="inlineStr">
        <is>
          <t>Tech D</t>
        </is>
      </c>
      <c r="E1870" s="35" t="n">
        <v>0.8</v>
      </c>
      <c r="F1870" s="35" t="n">
        <v>0.6</v>
      </c>
      <c r="G1870" s="37" t="inlineStr">
        <is>
          <t>Y</t>
        </is>
      </c>
      <c r="H1870" s="37" t="inlineStr">
        <is>
          <t>Y</t>
        </is>
      </c>
      <c r="I1870" s="37">
        <f>COUNTIF(G$5:G1870,"Y")/COUNTA(G$5:G1870)</f>
        <v/>
      </c>
      <c r="J1870" s="37">
        <f>COUNTIF(H$5:H1870,"Y")/COUNTA(H$5:H1870)</f>
        <v/>
      </c>
      <c r="K1870" s="37">
        <f>AVERAGE(F$5:F1870)</f>
        <v/>
      </c>
      <c r="L1870" s="37">
        <f>SUM(F$5:F1870)/SUM(E$5:E1870)</f>
        <v/>
      </c>
    </row>
    <row r="1871">
      <c r="A1871" s="29" t="n">
        <v>45930</v>
      </c>
      <c r="B1871" s="37" t="inlineStr">
        <is>
          <t>JOB-2867</t>
        </is>
      </c>
      <c r="C1871" s="34" t="n">
        <v>1</v>
      </c>
      <c r="D1871" s="37" t="inlineStr">
        <is>
          <t>Tech G</t>
        </is>
      </c>
      <c r="E1871" s="35" t="n">
        <v>0.8</v>
      </c>
      <c r="F1871" s="35" t="n">
        <v>0.5</v>
      </c>
      <c r="G1871" s="37" t="inlineStr">
        <is>
          <t>Y</t>
        </is>
      </c>
      <c r="H1871" s="37" t="inlineStr">
        <is>
          <t>N</t>
        </is>
      </c>
      <c r="I1871" s="37">
        <f>COUNTIF(G$5:G1871,"Y")/COUNTA(G$5:G1871)</f>
        <v/>
      </c>
      <c r="J1871" s="37">
        <f>COUNTIF(H$5:H1871,"Y")/COUNTA(H$5:H1871)</f>
        <v/>
      </c>
      <c r="K1871" s="37">
        <f>AVERAGE(F$5:F1871)</f>
        <v/>
      </c>
      <c r="L1871" s="37">
        <f>SUM(F$5:F1871)/SUM(E$5:E1871)</f>
        <v/>
      </c>
    </row>
    <row r="1872">
      <c r="A1872" s="29" t="n">
        <v>45931</v>
      </c>
      <c r="B1872" s="37" t="inlineStr">
        <is>
          <t>JOB-2868</t>
        </is>
      </c>
      <c r="C1872" s="34" t="n">
        <v>1</v>
      </c>
      <c r="D1872" s="37" t="inlineStr">
        <is>
          <t>Tech H</t>
        </is>
      </c>
      <c r="E1872" s="35" t="n">
        <v>0.7</v>
      </c>
      <c r="F1872" s="35" t="n">
        <v>0.5</v>
      </c>
      <c r="G1872" s="37" t="inlineStr">
        <is>
          <t>N</t>
        </is>
      </c>
      <c r="H1872" s="37" t="inlineStr">
        <is>
          <t>N</t>
        </is>
      </c>
      <c r="I1872" s="37">
        <f>COUNTIF(G$5:G1872,"Y")/COUNTA(G$5:G1872)</f>
        <v/>
      </c>
      <c r="J1872" s="37">
        <f>COUNTIF(H$5:H1872,"Y")/COUNTA(H$5:H1872)</f>
        <v/>
      </c>
      <c r="K1872" s="37">
        <f>AVERAGE(F$5:F1872)</f>
        <v/>
      </c>
      <c r="L1872" s="37">
        <f>SUM(F$5:F1872)/SUM(E$5:E1872)</f>
        <v/>
      </c>
    </row>
    <row r="1873">
      <c r="A1873" s="29" t="n">
        <v>45932</v>
      </c>
      <c r="B1873" s="37" t="inlineStr">
        <is>
          <t>JOB-2869</t>
        </is>
      </c>
      <c r="C1873" s="34" t="n">
        <v>1</v>
      </c>
      <c r="D1873" s="37" t="inlineStr">
        <is>
          <t>Tech G</t>
        </is>
      </c>
      <c r="E1873" s="35" t="n">
        <v>0.7</v>
      </c>
      <c r="F1873" s="35" t="n">
        <v>0.5</v>
      </c>
      <c r="G1873" s="37" t="inlineStr">
        <is>
          <t>N</t>
        </is>
      </c>
      <c r="H1873" s="37" t="inlineStr">
        <is>
          <t>N</t>
        </is>
      </c>
      <c r="I1873" s="37">
        <f>COUNTIF(G$5:G1873,"Y")/COUNTA(G$5:G1873)</f>
        <v/>
      </c>
      <c r="J1873" s="37">
        <f>COUNTIF(H$5:H1873,"Y")/COUNTA(H$5:H1873)</f>
        <v/>
      </c>
      <c r="K1873" s="37">
        <f>AVERAGE(F$5:F1873)</f>
        <v/>
      </c>
      <c r="L1873" s="37">
        <f>SUM(F$5:F1873)/SUM(E$5:E1873)</f>
        <v/>
      </c>
    </row>
    <row r="1874">
      <c r="A1874" s="29" t="n">
        <v>45933</v>
      </c>
      <c r="B1874" s="37" t="inlineStr">
        <is>
          <t>JOB-2870</t>
        </is>
      </c>
      <c r="C1874" s="34" t="n">
        <v>1</v>
      </c>
      <c r="D1874" s="37" t="inlineStr">
        <is>
          <t>Tech F</t>
        </is>
      </c>
      <c r="E1874" s="35" t="n">
        <v>0.6</v>
      </c>
      <c r="F1874" s="35" t="n">
        <v>0.5</v>
      </c>
      <c r="G1874" s="37" t="inlineStr">
        <is>
          <t>Y</t>
        </is>
      </c>
      <c r="H1874" s="37" t="inlineStr">
        <is>
          <t>N</t>
        </is>
      </c>
      <c r="I1874" s="37">
        <f>COUNTIF(G$5:G1874,"Y")/COUNTA(G$5:G1874)</f>
        <v/>
      </c>
      <c r="J1874" s="37">
        <f>COUNTIF(H$5:H1874,"Y")/COUNTA(H$5:H1874)</f>
        <v/>
      </c>
      <c r="K1874" s="37">
        <f>AVERAGE(F$5:F1874)</f>
        <v/>
      </c>
      <c r="L1874" s="37">
        <f>SUM(F$5:F1874)/SUM(E$5:E1874)</f>
        <v/>
      </c>
    </row>
    <row r="1875">
      <c r="A1875" s="29" t="n">
        <v>45929</v>
      </c>
      <c r="B1875" s="37" t="inlineStr">
        <is>
          <t>JOB-2871</t>
        </is>
      </c>
      <c r="C1875" s="34" t="n">
        <v>1</v>
      </c>
      <c r="D1875" s="37" t="inlineStr">
        <is>
          <t>Tech C</t>
        </is>
      </c>
      <c r="E1875" s="35" t="n">
        <v>0.6</v>
      </c>
      <c r="F1875" s="35" t="n">
        <v>0.5</v>
      </c>
      <c r="G1875" s="37" t="inlineStr">
        <is>
          <t>Y</t>
        </is>
      </c>
      <c r="H1875" s="37" t="inlineStr">
        <is>
          <t>N</t>
        </is>
      </c>
      <c r="I1875" s="37">
        <f>COUNTIF(G$5:G1875,"Y")/COUNTA(G$5:G1875)</f>
        <v/>
      </c>
      <c r="J1875" s="37">
        <f>COUNTIF(H$5:H1875,"Y")/COUNTA(H$5:H1875)</f>
        <v/>
      </c>
      <c r="K1875" s="37">
        <f>AVERAGE(F$5:F1875)</f>
        <v/>
      </c>
      <c r="L1875" s="37">
        <f>SUM(F$5:F1875)/SUM(E$5:E1875)</f>
        <v/>
      </c>
      <c r="M1875" s="37" t="n">
        <v>6</v>
      </c>
    </row>
    <row r="1876">
      <c r="A1876" s="29" t="n">
        <v>45936</v>
      </c>
      <c r="B1876" s="37" t="inlineStr">
        <is>
          <t>JOB-2872</t>
        </is>
      </c>
      <c r="C1876" s="34" t="n">
        <v>1</v>
      </c>
      <c r="D1876" s="37" t="inlineStr">
        <is>
          <t>Tech H</t>
        </is>
      </c>
      <c r="E1876" s="35" t="n">
        <v>3.2</v>
      </c>
      <c r="F1876" s="35" t="n">
        <v>2.5</v>
      </c>
      <c r="G1876" s="37" t="inlineStr">
        <is>
          <t>Y</t>
        </is>
      </c>
      <c r="H1876" s="37" t="inlineStr">
        <is>
          <t>N</t>
        </is>
      </c>
      <c r="I1876" s="37">
        <f>COUNTIF(G$5:G1876,"Y")/COUNTA(G$5:G1876)</f>
        <v/>
      </c>
      <c r="J1876" s="37">
        <f>COUNTIF(H$5:H1876,"Y")/COUNTA(H$5:H1876)</f>
        <v/>
      </c>
      <c r="K1876" s="37">
        <f>AVERAGE(F$5:F1876)</f>
        <v/>
      </c>
      <c r="L1876" s="37">
        <f>SUM(F$5:F1876)/SUM(E$5:E1876)</f>
        <v/>
      </c>
    </row>
    <row r="1877">
      <c r="A1877" s="29" t="n">
        <v>45937</v>
      </c>
      <c r="B1877" s="37" t="inlineStr">
        <is>
          <t>JOB-2873</t>
        </is>
      </c>
      <c r="C1877" s="34" t="n">
        <v>1</v>
      </c>
      <c r="D1877" s="37" t="inlineStr">
        <is>
          <t>Tech F</t>
        </is>
      </c>
      <c r="E1877" s="35" t="n">
        <v>2.5</v>
      </c>
      <c r="F1877" s="35" t="n">
        <v>2</v>
      </c>
      <c r="G1877" s="37" t="inlineStr">
        <is>
          <t>Y</t>
        </is>
      </c>
      <c r="H1877" s="37" t="inlineStr">
        <is>
          <t>N</t>
        </is>
      </c>
      <c r="I1877" s="37">
        <f>COUNTIF(G$5:G1877,"Y")/COUNTA(G$5:G1877)</f>
        <v/>
      </c>
      <c r="J1877" s="37">
        <f>COUNTIF(H$5:H1877,"Y")/COUNTA(H$5:H1877)</f>
        <v/>
      </c>
      <c r="K1877" s="37">
        <f>AVERAGE(F$5:F1877)</f>
        <v/>
      </c>
      <c r="L1877" s="37">
        <f>SUM(F$5:F1877)/SUM(E$5:E1877)</f>
        <v/>
      </c>
    </row>
    <row r="1878">
      <c r="A1878" s="29" t="n">
        <v>45938</v>
      </c>
      <c r="B1878" s="37" t="inlineStr">
        <is>
          <t>JOB-2874</t>
        </is>
      </c>
      <c r="C1878" s="34" t="n">
        <v>1</v>
      </c>
      <c r="D1878" s="37" t="inlineStr">
        <is>
          <t>Tech A</t>
        </is>
      </c>
      <c r="E1878" s="35" t="n">
        <v>4.3</v>
      </c>
      <c r="F1878" s="35" t="n">
        <v>3.1</v>
      </c>
      <c r="G1878" s="37" t="inlineStr">
        <is>
          <t>Y</t>
        </is>
      </c>
      <c r="H1878" s="37" t="inlineStr">
        <is>
          <t>N</t>
        </is>
      </c>
      <c r="I1878" s="37">
        <f>COUNTIF(G$5:G1878,"Y")/COUNTA(G$5:G1878)</f>
        <v/>
      </c>
      <c r="J1878" s="37">
        <f>COUNTIF(H$5:H1878,"Y")/COUNTA(H$5:H1878)</f>
        <v/>
      </c>
      <c r="K1878" s="37">
        <f>AVERAGE(F$5:F1878)</f>
        <v/>
      </c>
      <c r="L1878" s="37">
        <f>SUM(F$5:F1878)/SUM(E$5:E1878)</f>
        <v/>
      </c>
    </row>
    <row r="1879">
      <c r="A1879" s="29" t="n">
        <v>45939</v>
      </c>
      <c r="B1879" s="37" t="inlineStr">
        <is>
          <t>JOB-2875</t>
        </is>
      </c>
      <c r="C1879" s="34" t="n">
        <v>1</v>
      </c>
      <c r="D1879" s="37" t="inlineStr">
        <is>
          <t>Tech D</t>
        </is>
      </c>
      <c r="E1879" s="35" t="n">
        <v>3</v>
      </c>
      <c r="F1879" s="35" t="n">
        <v>2.5</v>
      </c>
      <c r="G1879" s="37" t="inlineStr">
        <is>
          <t>Y</t>
        </is>
      </c>
      <c r="H1879" s="37" t="inlineStr">
        <is>
          <t>Y</t>
        </is>
      </c>
      <c r="I1879" s="37">
        <f>COUNTIF(G$5:G1879,"Y")/COUNTA(G$5:G1879)</f>
        <v/>
      </c>
      <c r="J1879" s="37">
        <f>COUNTIF(H$5:H1879,"Y")/COUNTA(H$5:H1879)</f>
        <v/>
      </c>
      <c r="K1879" s="37">
        <f>AVERAGE(F$5:F1879)</f>
        <v/>
      </c>
      <c r="L1879" s="37">
        <f>SUM(F$5:F1879)/SUM(E$5:E1879)</f>
        <v/>
      </c>
    </row>
    <row r="1880">
      <c r="A1880" s="29" t="n">
        <v>45940</v>
      </c>
      <c r="B1880" s="37" t="inlineStr">
        <is>
          <t>JOB-2876</t>
        </is>
      </c>
      <c r="C1880" s="34" t="n">
        <v>1</v>
      </c>
      <c r="D1880" s="37" t="inlineStr">
        <is>
          <t>Tech A</t>
        </is>
      </c>
      <c r="E1880" s="35" t="n">
        <v>3.2</v>
      </c>
      <c r="F1880" s="35" t="n">
        <v>2.2</v>
      </c>
      <c r="G1880" s="37" t="inlineStr">
        <is>
          <t>Y</t>
        </is>
      </c>
      <c r="H1880" s="37" t="inlineStr">
        <is>
          <t>N</t>
        </is>
      </c>
      <c r="I1880" s="37">
        <f>COUNTIF(G$5:G1880,"Y")/COUNTA(G$5:G1880)</f>
        <v/>
      </c>
      <c r="J1880" s="37">
        <f>COUNTIF(H$5:H1880,"Y")/COUNTA(H$5:H1880)</f>
        <v/>
      </c>
      <c r="K1880" s="37">
        <f>AVERAGE(F$5:F1880)</f>
        <v/>
      </c>
      <c r="L1880" s="37">
        <f>SUM(F$5:F1880)/SUM(E$5:E1880)</f>
        <v/>
      </c>
    </row>
    <row r="1881">
      <c r="A1881" s="29" t="n">
        <v>45936</v>
      </c>
      <c r="B1881" s="37" t="inlineStr">
        <is>
          <t>JOB-2877</t>
        </is>
      </c>
      <c r="C1881" s="34" t="n">
        <v>1</v>
      </c>
      <c r="D1881" s="37" t="inlineStr">
        <is>
          <t>Tech C</t>
        </is>
      </c>
      <c r="E1881" s="35" t="n">
        <v>3.1</v>
      </c>
      <c r="F1881" s="35" t="n">
        <v>2.8</v>
      </c>
      <c r="G1881" s="37" t="inlineStr">
        <is>
          <t>Y</t>
        </is>
      </c>
      <c r="H1881" s="37" t="inlineStr">
        <is>
          <t>N</t>
        </is>
      </c>
      <c r="I1881" s="37">
        <f>COUNTIF(G$5:G1881,"Y")/COUNTA(G$5:G1881)</f>
        <v/>
      </c>
      <c r="J1881" s="37">
        <f>COUNTIF(H$5:H1881,"Y")/COUNTA(H$5:H1881)</f>
        <v/>
      </c>
      <c r="K1881" s="37">
        <f>AVERAGE(F$5:F1881)</f>
        <v/>
      </c>
      <c r="L1881" s="37">
        <f>SUM(F$5:F1881)/SUM(E$5:E1881)</f>
        <v/>
      </c>
    </row>
    <row r="1882">
      <c r="A1882" s="29" t="n">
        <v>45937</v>
      </c>
      <c r="B1882" s="37" t="inlineStr">
        <is>
          <t>JOB-2878</t>
        </is>
      </c>
      <c r="C1882" s="34" t="n">
        <v>1</v>
      </c>
      <c r="D1882" s="37" t="inlineStr">
        <is>
          <t>Tech F</t>
        </is>
      </c>
      <c r="E1882" s="35" t="n">
        <v>2</v>
      </c>
      <c r="F1882" s="35" t="n">
        <v>1.7</v>
      </c>
      <c r="G1882" s="37" t="inlineStr">
        <is>
          <t>Y</t>
        </is>
      </c>
      <c r="H1882" s="37" t="inlineStr">
        <is>
          <t>N</t>
        </is>
      </c>
      <c r="I1882" s="37">
        <f>COUNTIF(G$5:G1882,"Y")/COUNTA(G$5:G1882)</f>
        <v/>
      </c>
      <c r="J1882" s="37">
        <f>COUNTIF(H$5:H1882,"Y")/COUNTA(H$5:H1882)</f>
        <v/>
      </c>
      <c r="K1882" s="37">
        <f>AVERAGE(F$5:F1882)</f>
        <v/>
      </c>
      <c r="L1882" s="37">
        <f>SUM(F$5:F1882)/SUM(E$5:E1882)</f>
        <v/>
      </c>
    </row>
    <row r="1883">
      <c r="A1883" s="29" t="n">
        <v>45938</v>
      </c>
      <c r="B1883" s="37" t="inlineStr">
        <is>
          <t>JOB-2879</t>
        </is>
      </c>
      <c r="C1883" s="34" t="n">
        <v>1</v>
      </c>
      <c r="D1883" s="37" t="inlineStr">
        <is>
          <t>Tech A</t>
        </is>
      </c>
      <c r="E1883" s="35" t="n">
        <v>4.5</v>
      </c>
      <c r="F1883" s="35" t="n">
        <v>3.6</v>
      </c>
      <c r="G1883" s="37" t="inlineStr">
        <is>
          <t>Y</t>
        </is>
      </c>
      <c r="H1883" s="37" t="inlineStr">
        <is>
          <t>N</t>
        </is>
      </c>
      <c r="I1883" s="37">
        <f>COUNTIF(G$5:G1883,"Y")/COUNTA(G$5:G1883)</f>
        <v/>
      </c>
      <c r="J1883" s="37">
        <f>COUNTIF(H$5:H1883,"Y")/COUNTA(H$5:H1883)</f>
        <v/>
      </c>
      <c r="K1883" s="37">
        <f>AVERAGE(F$5:F1883)</f>
        <v/>
      </c>
      <c r="L1883" s="37">
        <f>SUM(F$5:F1883)/SUM(E$5:E1883)</f>
        <v/>
      </c>
    </row>
    <row r="1884">
      <c r="A1884" s="29" t="n">
        <v>45939</v>
      </c>
      <c r="B1884" s="37" t="inlineStr">
        <is>
          <t>JOB-2880</t>
        </is>
      </c>
      <c r="C1884" s="34" t="n">
        <v>1</v>
      </c>
      <c r="D1884" s="37" t="inlineStr">
        <is>
          <t>Tech B</t>
        </is>
      </c>
      <c r="E1884" s="35" t="n">
        <v>2.9</v>
      </c>
      <c r="F1884" s="35" t="n">
        <v>2</v>
      </c>
      <c r="G1884" s="37" t="inlineStr">
        <is>
          <t>Y</t>
        </is>
      </c>
      <c r="H1884" s="37" t="inlineStr">
        <is>
          <t>N</t>
        </is>
      </c>
      <c r="I1884" s="37">
        <f>COUNTIF(G$5:G1884,"Y")/COUNTA(G$5:G1884)</f>
        <v/>
      </c>
      <c r="J1884" s="37">
        <f>COUNTIF(H$5:H1884,"Y")/COUNTA(H$5:H1884)</f>
        <v/>
      </c>
      <c r="K1884" s="37">
        <f>AVERAGE(F$5:F1884)</f>
        <v/>
      </c>
      <c r="L1884" s="37">
        <f>SUM(F$5:F1884)/SUM(E$5:E1884)</f>
        <v/>
      </c>
    </row>
    <row r="1885">
      <c r="A1885" s="29" t="n">
        <v>45940</v>
      </c>
      <c r="B1885" s="37" t="inlineStr">
        <is>
          <t>JOB-2881</t>
        </is>
      </c>
      <c r="C1885" s="34" t="n">
        <v>1</v>
      </c>
      <c r="D1885" s="37" t="inlineStr">
        <is>
          <t>Tech C</t>
        </is>
      </c>
      <c r="E1885" s="35" t="n">
        <v>4</v>
      </c>
      <c r="F1885" s="35" t="n">
        <v>2.7</v>
      </c>
      <c r="G1885" s="37" t="inlineStr">
        <is>
          <t>Y</t>
        </is>
      </c>
      <c r="H1885" s="37" t="inlineStr">
        <is>
          <t>N</t>
        </is>
      </c>
      <c r="I1885" s="37">
        <f>COUNTIF(G$5:G1885,"Y")/COUNTA(G$5:G1885)</f>
        <v/>
      </c>
      <c r="J1885" s="37">
        <f>COUNTIF(H$5:H1885,"Y")/COUNTA(H$5:H1885)</f>
        <v/>
      </c>
      <c r="K1885" s="37">
        <f>AVERAGE(F$5:F1885)</f>
        <v/>
      </c>
      <c r="L1885" s="37">
        <f>SUM(F$5:F1885)/SUM(E$5:E1885)</f>
        <v/>
      </c>
    </row>
    <row r="1886">
      <c r="A1886" s="29" t="n">
        <v>45936</v>
      </c>
      <c r="B1886" s="37" t="inlineStr">
        <is>
          <t>JOB-2882</t>
        </is>
      </c>
      <c r="C1886" s="34" t="n">
        <v>1</v>
      </c>
      <c r="D1886" s="37" t="inlineStr">
        <is>
          <t>Tech G</t>
        </is>
      </c>
      <c r="E1886" s="35" t="n">
        <v>2.9</v>
      </c>
      <c r="F1886" s="35" t="n">
        <v>2.2</v>
      </c>
      <c r="G1886" s="37" t="inlineStr">
        <is>
          <t>Y</t>
        </is>
      </c>
      <c r="H1886" s="37" t="inlineStr">
        <is>
          <t>N</t>
        </is>
      </c>
      <c r="I1886" s="37">
        <f>COUNTIF(G$5:G1886,"Y")/COUNTA(G$5:G1886)</f>
        <v/>
      </c>
      <c r="J1886" s="37">
        <f>COUNTIF(H$5:H1886,"Y")/COUNTA(H$5:H1886)</f>
        <v/>
      </c>
      <c r="K1886" s="37">
        <f>AVERAGE(F$5:F1886)</f>
        <v/>
      </c>
      <c r="L1886" s="37">
        <f>SUM(F$5:F1886)/SUM(E$5:E1886)</f>
        <v/>
      </c>
    </row>
    <row r="1887">
      <c r="A1887" s="29" t="n">
        <v>45937</v>
      </c>
      <c r="B1887" s="37" t="inlineStr">
        <is>
          <t>JOB-2883</t>
        </is>
      </c>
      <c r="C1887" s="34" t="n">
        <v>1</v>
      </c>
      <c r="D1887" s="37" t="inlineStr">
        <is>
          <t>Tech D</t>
        </is>
      </c>
      <c r="E1887" s="35" t="n">
        <v>1.7</v>
      </c>
      <c r="F1887" s="35" t="n">
        <v>1.5</v>
      </c>
      <c r="G1887" s="37" t="inlineStr">
        <is>
          <t>N</t>
        </is>
      </c>
      <c r="H1887" s="37" t="inlineStr">
        <is>
          <t>N</t>
        </is>
      </c>
      <c r="I1887" s="37">
        <f>COUNTIF(G$5:G1887,"Y")/COUNTA(G$5:G1887)</f>
        <v/>
      </c>
      <c r="J1887" s="37">
        <f>COUNTIF(H$5:H1887,"Y")/COUNTA(H$5:H1887)</f>
        <v/>
      </c>
      <c r="K1887" s="37">
        <f>AVERAGE(F$5:F1887)</f>
        <v/>
      </c>
      <c r="L1887" s="37">
        <f>SUM(F$5:F1887)/SUM(E$5:E1887)</f>
        <v/>
      </c>
    </row>
    <row r="1888">
      <c r="A1888" s="29" t="n">
        <v>45938</v>
      </c>
      <c r="B1888" s="37" t="inlineStr">
        <is>
          <t>JOB-2884</t>
        </is>
      </c>
      <c r="C1888" s="34" t="n">
        <v>1</v>
      </c>
      <c r="D1888" s="37" t="inlineStr">
        <is>
          <t>Tech D</t>
        </is>
      </c>
      <c r="E1888" s="35" t="n">
        <v>3</v>
      </c>
      <c r="F1888" s="35" t="n">
        <v>2.4</v>
      </c>
      <c r="G1888" s="37" t="inlineStr">
        <is>
          <t>Y</t>
        </is>
      </c>
      <c r="H1888" s="37" t="inlineStr">
        <is>
          <t>N</t>
        </is>
      </c>
      <c r="I1888" s="37">
        <f>COUNTIF(G$5:G1888,"Y")/COUNTA(G$5:G1888)</f>
        <v/>
      </c>
      <c r="J1888" s="37">
        <f>COUNTIF(H$5:H1888,"Y")/COUNTA(H$5:H1888)</f>
        <v/>
      </c>
      <c r="K1888" s="37">
        <f>AVERAGE(F$5:F1888)</f>
        <v/>
      </c>
      <c r="L1888" s="37">
        <f>SUM(F$5:F1888)/SUM(E$5:E1888)</f>
        <v/>
      </c>
    </row>
    <row r="1889">
      <c r="A1889" s="29" t="n">
        <v>45939</v>
      </c>
      <c r="B1889" s="37" t="inlineStr">
        <is>
          <t>JOB-2885</t>
        </is>
      </c>
      <c r="C1889" s="34" t="n">
        <v>1</v>
      </c>
      <c r="D1889" s="37" t="inlineStr">
        <is>
          <t>Tech B</t>
        </is>
      </c>
      <c r="E1889" s="35" t="n">
        <v>3.6</v>
      </c>
      <c r="F1889" s="35" t="n">
        <v>2.8</v>
      </c>
      <c r="G1889" s="37" t="inlineStr">
        <is>
          <t>Y</t>
        </is>
      </c>
      <c r="H1889" s="37" t="inlineStr">
        <is>
          <t>N</t>
        </is>
      </c>
      <c r="I1889" s="37">
        <f>COUNTIF(G$5:G1889,"Y")/COUNTA(G$5:G1889)</f>
        <v/>
      </c>
      <c r="J1889" s="37">
        <f>COUNTIF(H$5:H1889,"Y")/COUNTA(H$5:H1889)</f>
        <v/>
      </c>
      <c r="K1889" s="37">
        <f>AVERAGE(F$5:F1889)</f>
        <v/>
      </c>
      <c r="L1889" s="37">
        <f>SUM(F$5:F1889)/SUM(E$5:E1889)</f>
        <v/>
      </c>
    </row>
    <row r="1890">
      <c r="A1890" s="29" t="n">
        <v>45940</v>
      </c>
      <c r="B1890" s="37" t="inlineStr">
        <is>
          <t>JOB-2886</t>
        </is>
      </c>
      <c r="C1890" s="34" t="n">
        <v>1</v>
      </c>
      <c r="D1890" s="37" t="inlineStr">
        <is>
          <t>Tech A</t>
        </is>
      </c>
      <c r="E1890" s="35" t="n">
        <v>3.7</v>
      </c>
      <c r="F1890" s="35" t="n">
        <v>2.9</v>
      </c>
      <c r="G1890" s="37" t="inlineStr">
        <is>
          <t>Y</t>
        </is>
      </c>
      <c r="H1890" s="37" t="inlineStr">
        <is>
          <t>Y</t>
        </is>
      </c>
      <c r="I1890" s="37">
        <f>COUNTIF(G$5:G1890,"Y")/COUNTA(G$5:G1890)</f>
        <v/>
      </c>
      <c r="J1890" s="37">
        <f>COUNTIF(H$5:H1890,"Y")/COUNTA(H$5:H1890)</f>
        <v/>
      </c>
      <c r="K1890" s="37">
        <f>AVERAGE(F$5:F1890)</f>
        <v/>
      </c>
      <c r="L1890" s="37">
        <f>SUM(F$5:F1890)/SUM(E$5:E1890)</f>
        <v/>
      </c>
    </row>
    <row r="1891">
      <c r="A1891" s="29" t="n">
        <v>45936</v>
      </c>
      <c r="B1891" s="37" t="inlineStr">
        <is>
          <t>JOB-2887</t>
        </is>
      </c>
      <c r="C1891" s="34" t="n">
        <v>1</v>
      </c>
      <c r="D1891" s="37" t="inlineStr">
        <is>
          <t>Tech B</t>
        </is>
      </c>
      <c r="E1891" s="35" t="n">
        <v>3</v>
      </c>
      <c r="F1891" s="35" t="n">
        <v>2.4</v>
      </c>
      <c r="G1891" s="37" t="inlineStr">
        <is>
          <t>Y</t>
        </is>
      </c>
      <c r="H1891" s="37" t="inlineStr">
        <is>
          <t>N</t>
        </is>
      </c>
      <c r="I1891" s="37">
        <f>COUNTIF(G$5:G1891,"Y")/COUNTA(G$5:G1891)</f>
        <v/>
      </c>
      <c r="J1891" s="37">
        <f>COUNTIF(H$5:H1891,"Y")/COUNTA(H$5:H1891)</f>
        <v/>
      </c>
      <c r="K1891" s="37">
        <f>AVERAGE(F$5:F1891)</f>
        <v/>
      </c>
      <c r="L1891" s="37">
        <f>SUM(F$5:F1891)/SUM(E$5:E1891)</f>
        <v/>
      </c>
    </row>
    <row r="1892">
      <c r="A1892" s="29" t="n">
        <v>45937</v>
      </c>
      <c r="B1892" s="37" t="inlineStr">
        <is>
          <t>JOB-2888</t>
        </is>
      </c>
      <c r="C1892" s="34" t="n">
        <v>1</v>
      </c>
      <c r="D1892" s="37" t="inlineStr">
        <is>
          <t>Tech F</t>
        </is>
      </c>
      <c r="E1892" s="35" t="n">
        <v>4.2</v>
      </c>
      <c r="F1892" s="35" t="n">
        <v>3.4</v>
      </c>
      <c r="G1892" s="37" t="inlineStr">
        <is>
          <t>Y</t>
        </is>
      </c>
      <c r="H1892" s="37" t="inlineStr">
        <is>
          <t>N</t>
        </is>
      </c>
      <c r="I1892" s="37">
        <f>COUNTIF(G$5:G1892,"Y")/COUNTA(G$5:G1892)</f>
        <v/>
      </c>
      <c r="J1892" s="37">
        <f>COUNTIF(H$5:H1892,"Y")/COUNTA(H$5:H1892)</f>
        <v/>
      </c>
      <c r="K1892" s="37">
        <f>AVERAGE(F$5:F1892)</f>
        <v/>
      </c>
      <c r="L1892" s="37">
        <f>SUM(F$5:F1892)/SUM(E$5:E1892)</f>
        <v/>
      </c>
    </row>
    <row r="1893">
      <c r="A1893" s="29" t="n">
        <v>45938</v>
      </c>
      <c r="B1893" s="37" t="inlineStr">
        <is>
          <t>JOB-2889</t>
        </is>
      </c>
      <c r="C1893" s="34" t="n">
        <v>1</v>
      </c>
      <c r="D1893" s="37" t="inlineStr">
        <is>
          <t>Tech D</t>
        </is>
      </c>
      <c r="E1893" s="35" t="n">
        <v>2.6</v>
      </c>
      <c r="F1893" s="35" t="n">
        <v>2.2</v>
      </c>
      <c r="G1893" s="37" t="inlineStr">
        <is>
          <t>Y</t>
        </is>
      </c>
      <c r="H1893" s="37" t="inlineStr">
        <is>
          <t>N</t>
        </is>
      </c>
      <c r="I1893" s="37">
        <f>COUNTIF(G$5:G1893,"Y")/COUNTA(G$5:G1893)</f>
        <v/>
      </c>
      <c r="J1893" s="37">
        <f>COUNTIF(H$5:H1893,"Y")/COUNTA(H$5:H1893)</f>
        <v/>
      </c>
      <c r="K1893" s="37">
        <f>AVERAGE(F$5:F1893)</f>
        <v/>
      </c>
      <c r="L1893" s="37">
        <f>SUM(F$5:F1893)/SUM(E$5:E1893)</f>
        <v/>
      </c>
    </row>
    <row r="1894">
      <c r="A1894" s="29" t="n">
        <v>45939</v>
      </c>
      <c r="B1894" s="37" t="inlineStr">
        <is>
          <t>JOB-2890</t>
        </is>
      </c>
      <c r="C1894" s="34" t="n">
        <v>1</v>
      </c>
      <c r="D1894" s="37" t="inlineStr">
        <is>
          <t>Tech D</t>
        </is>
      </c>
      <c r="E1894" s="35" t="n">
        <v>2.4</v>
      </c>
      <c r="F1894" s="35" t="n">
        <v>1.8</v>
      </c>
      <c r="G1894" s="37" t="inlineStr">
        <is>
          <t>Y</t>
        </is>
      </c>
      <c r="H1894" s="37" t="inlineStr">
        <is>
          <t>N</t>
        </is>
      </c>
      <c r="I1894" s="37">
        <f>COUNTIF(G$5:G1894,"Y")/COUNTA(G$5:G1894)</f>
        <v/>
      </c>
      <c r="J1894" s="37">
        <f>COUNTIF(H$5:H1894,"Y")/COUNTA(H$5:H1894)</f>
        <v/>
      </c>
      <c r="K1894" s="37">
        <f>AVERAGE(F$5:F1894)</f>
        <v/>
      </c>
      <c r="L1894" s="37">
        <f>SUM(F$5:F1894)/SUM(E$5:E1894)</f>
        <v/>
      </c>
    </row>
    <row r="1895">
      <c r="A1895" s="29" t="n">
        <v>45940</v>
      </c>
      <c r="B1895" s="37" t="inlineStr">
        <is>
          <t>JOB-2891</t>
        </is>
      </c>
      <c r="C1895" s="34" t="n">
        <v>1</v>
      </c>
      <c r="D1895" s="37" t="inlineStr">
        <is>
          <t>Tech H</t>
        </is>
      </c>
      <c r="E1895" s="35" t="n">
        <v>2.4</v>
      </c>
      <c r="F1895" s="35" t="n">
        <v>2.1</v>
      </c>
      <c r="G1895" s="37" t="inlineStr">
        <is>
          <t>Y</t>
        </is>
      </c>
      <c r="H1895" s="37" t="inlineStr">
        <is>
          <t>N</t>
        </is>
      </c>
      <c r="I1895" s="37">
        <f>COUNTIF(G$5:G1895,"Y")/COUNTA(G$5:G1895)</f>
        <v/>
      </c>
      <c r="J1895" s="37">
        <f>COUNTIF(H$5:H1895,"Y")/COUNTA(H$5:H1895)</f>
        <v/>
      </c>
      <c r="K1895" s="37">
        <f>AVERAGE(F$5:F1895)</f>
        <v/>
      </c>
      <c r="L1895" s="37">
        <f>SUM(F$5:F1895)/SUM(E$5:E1895)</f>
        <v/>
      </c>
    </row>
    <row r="1896">
      <c r="A1896" s="29" t="n">
        <v>45936</v>
      </c>
      <c r="B1896" s="37" t="inlineStr">
        <is>
          <t>JOB-2892</t>
        </is>
      </c>
      <c r="C1896" s="34" t="n">
        <v>1</v>
      </c>
      <c r="D1896" s="37" t="inlineStr">
        <is>
          <t>Tech A</t>
        </is>
      </c>
      <c r="E1896" s="35" t="n">
        <v>4.6</v>
      </c>
      <c r="F1896" s="35" t="n">
        <v>3.5</v>
      </c>
      <c r="G1896" s="37" t="inlineStr">
        <is>
          <t>Y</t>
        </is>
      </c>
      <c r="H1896" s="37" t="inlineStr">
        <is>
          <t>N</t>
        </is>
      </c>
      <c r="I1896" s="37">
        <f>COUNTIF(G$5:G1896,"Y")/COUNTA(G$5:G1896)</f>
        <v/>
      </c>
      <c r="J1896" s="37">
        <f>COUNTIF(H$5:H1896,"Y")/COUNTA(H$5:H1896)</f>
        <v/>
      </c>
      <c r="K1896" s="37">
        <f>AVERAGE(F$5:F1896)</f>
        <v/>
      </c>
      <c r="L1896" s="37">
        <f>SUM(F$5:F1896)/SUM(E$5:E1896)</f>
        <v/>
      </c>
    </row>
    <row r="1897">
      <c r="A1897" s="29" t="n">
        <v>45937</v>
      </c>
      <c r="B1897" s="37" t="inlineStr">
        <is>
          <t>JOB-2893</t>
        </is>
      </c>
      <c r="C1897" s="34" t="n">
        <v>1</v>
      </c>
      <c r="D1897" s="37" t="inlineStr">
        <is>
          <t>Tech D</t>
        </is>
      </c>
      <c r="E1897" s="35" t="n">
        <v>4.1</v>
      </c>
      <c r="F1897" s="35" t="n">
        <v>2.9</v>
      </c>
      <c r="G1897" s="37" t="inlineStr">
        <is>
          <t>Y</t>
        </is>
      </c>
      <c r="H1897" s="37" t="inlineStr">
        <is>
          <t>N</t>
        </is>
      </c>
      <c r="I1897" s="37">
        <f>COUNTIF(G$5:G1897,"Y")/COUNTA(G$5:G1897)</f>
        <v/>
      </c>
      <c r="J1897" s="37">
        <f>COUNTIF(H$5:H1897,"Y")/COUNTA(H$5:H1897)</f>
        <v/>
      </c>
      <c r="K1897" s="37">
        <f>AVERAGE(F$5:F1897)</f>
        <v/>
      </c>
      <c r="L1897" s="37">
        <f>SUM(F$5:F1897)/SUM(E$5:E1897)</f>
        <v/>
      </c>
    </row>
    <row r="1898">
      <c r="A1898" s="29" t="n">
        <v>45938</v>
      </c>
      <c r="B1898" s="37" t="inlineStr">
        <is>
          <t>JOB-2894</t>
        </is>
      </c>
      <c r="C1898" s="34" t="n">
        <v>1</v>
      </c>
      <c r="D1898" s="37" t="inlineStr">
        <is>
          <t>Tech G</t>
        </is>
      </c>
      <c r="E1898" s="35" t="n">
        <v>4.3</v>
      </c>
      <c r="F1898" s="35" t="n">
        <v>3.8</v>
      </c>
      <c r="G1898" s="37" t="inlineStr">
        <is>
          <t>N</t>
        </is>
      </c>
      <c r="H1898" s="37" t="inlineStr">
        <is>
          <t>N</t>
        </is>
      </c>
      <c r="I1898" s="37">
        <f>COUNTIF(G$5:G1898,"Y")/COUNTA(G$5:G1898)</f>
        <v/>
      </c>
      <c r="J1898" s="37">
        <f>COUNTIF(H$5:H1898,"Y")/COUNTA(H$5:H1898)</f>
        <v/>
      </c>
      <c r="K1898" s="37">
        <f>AVERAGE(F$5:F1898)</f>
        <v/>
      </c>
      <c r="L1898" s="37">
        <f>SUM(F$5:F1898)/SUM(E$5:E1898)</f>
        <v/>
      </c>
    </row>
    <row r="1899">
      <c r="A1899" s="29" t="n">
        <v>45939</v>
      </c>
      <c r="B1899" s="37" t="inlineStr">
        <is>
          <t>JOB-2895</t>
        </is>
      </c>
      <c r="C1899" s="34" t="n">
        <v>1</v>
      </c>
      <c r="D1899" s="37" t="inlineStr">
        <is>
          <t>Tech B</t>
        </is>
      </c>
      <c r="E1899" s="35" t="n">
        <v>1.5</v>
      </c>
      <c r="F1899" s="35" t="n">
        <v>1.3</v>
      </c>
      <c r="G1899" s="37" t="inlineStr">
        <is>
          <t>Y</t>
        </is>
      </c>
      <c r="H1899" s="37" t="inlineStr">
        <is>
          <t>N</t>
        </is>
      </c>
      <c r="I1899" s="37">
        <f>COUNTIF(G$5:G1899,"Y")/COUNTA(G$5:G1899)</f>
        <v/>
      </c>
      <c r="J1899" s="37">
        <f>COUNTIF(H$5:H1899,"Y")/COUNTA(H$5:H1899)</f>
        <v/>
      </c>
      <c r="K1899" s="37">
        <f>AVERAGE(F$5:F1899)</f>
        <v/>
      </c>
      <c r="L1899" s="37">
        <f>SUM(F$5:F1899)/SUM(E$5:E1899)</f>
        <v/>
      </c>
    </row>
    <row r="1900">
      <c r="A1900" s="29" t="n">
        <v>45940</v>
      </c>
      <c r="B1900" s="37" t="inlineStr">
        <is>
          <t>JOB-2896</t>
        </is>
      </c>
      <c r="C1900" s="34" t="n">
        <v>1</v>
      </c>
      <c r="D1900" s="37" t="inlineStr">
        <is>
          <t>Tech B</t>
        </is>
      </c>
      <c r="E1900" s="35" t="n">
        <v>2</v>
      </c>
      <c r="F1900" s="35" t="n">
        <v>1.7</v>
      </c>
      <c r="G1900" s="37" t="inlineStr">
        <is>
          <t>N</t>
        </is>
      </c>
      <c r="H1900" s="37" t="inlineStr">
        <is>
          <t>N</t>
        </is>
      </c>
      <c r="I1900" s="37">
        <f>COUNTIF(G$5:G1900,"Y")/COUNTA(G$5:G1900)</f>
        <v/>
      </c>
      <c r="J1900" s="37">
        <f>COUNTIF(H$5:H1900,"Y")/COUNTA(H$5:H1900)</f>
        <v/>
      </c>
      <c r="K1900" s="37">
        <f>AVERAGE(F$5:F1900)</f>
        <v/>
      </c>
      <c r="L1900" s="37">
        <f>SUM(F$5:F1900)/SUM(E$5:E1900)</f>
        <v/>
      </c>
    </row>
    <row r="1901">
      <c r="A1901" s="29" t="n">
        <v>45936</v>
      </c>
      <c r="B1901" s="37" t="inlineStr">
        <is>
          <t>JOB-2897</t>
        </is>
      </c>
      <c r="C1901" s="34" t="n">
        <v>1</v>
      </c>
      <c r="D1901" s="37" t="inlineStr">
        <is>
          <t>Tech G</t>
        </is>
      </c>
      <c r="E1901" s="35" t="n">
        <v>2.4</v>
      </c>
      <c r="F1901" s="35" t="n">
        <v>2</v>
      </c>
      <c r="G1901" s="37" t="inlineStr">
        <is>
          <t>Y</t>
        </is>
      </c>
      <c r="H1901" s="37" t="inlineStr">
        <is>
          <t>N</t>
        </is>
      </c>
      <c r="I1901" s="37">
        <f>COUNTIF(G$5:G1901,"Y")/COUNTA(G$5:G1901)</f>
        <v/>
      </c>
      <c r="J1901" s="37">
        <f>COUNTIF(H$5:H1901,"Y")/COUNTA(H$5:H1901)</f>
        <v/>
      </c>
      <c r="K1901" s="37">
        <f>AVERAGE(F$5:F1901)</f>
        <v/>
      </c>
      <c r="L1901" s="37">
        <f>SUM(F$5:F1901)/SUM(E$5:E1901)</f>
        <v/>
      </c>
    </row>
    <row r="1902">
      <c r="A1902" s="29" t="n">
        <v>45937</v>
      </c>
      <c r="B1902" s="37" t="inlineStr">
        <is>
          <t>JOB-2898</t>
        </is>
      </c>
      <c r="C1902" s="34" t="n">
        <v>1</v>
      </c>
      <c r="D1902" s="37" t="inlineStr">
        <is>
          <t>Tech B</t>
        </is>
      </c>
      <c r="E1902" s="35" t="n">
        <v>4.7</v>
      </c>
      <c r="F1902" s="35" t="n">
        <v>3.4</v>
      </c>
      <c r="G1902" s="37" t="inlineStr">
        <is>
          <t>Y</t>
        </is>
      </c>
      <c r="H1902" s="37" t="inlineStr">
        <is>
          <t>N</t>
        </is>
      </c>
      <c r="I1902" s="37">
        <f>COUNTIF(G$5:G1902,"Y")/COUNTA(G$5:G1902)</f>
        <v/>
      </c>
      <c r="J1902" s="37">
        <f>COUNTIF(H$5:H1902,"Y")/COUNTA(H$5:H1902)</f>
        <v/>
      </c>
      <c r="K1902" s="37">
        <f>AVERAGE(F$5:F1902)</f>
        <v/>
      </c>
      <c r="L1902" s="37">
        <f>SUM(F$5:F1902)/SUM(E$5:E1902)</f>
        <v/>
      </c>
    </row>
    <row r="1903">
      <c r="A1903" s="29" t="n">
        <v>45938</v>
      </c>
      <c r="B1903" s="37" t="inlineStr">
        <is>
          <t>JOB-2899</t>
        </is>
      </c>
      <c r="C1903" s="34" t="n">
        <v>1</v>
      </c>
      <c r="D1903" s="37" t="inlineStr">
        <is>
          <t>Tech C</t>
        </is>
      </c>
      <c r="E1903" s="35" t="n">
        <v>2.6</v>
      </c>
      <c r="F1903" s="35" t="n">
        <v>1.9</v>
      </c>
      <c r="G1903" s="37" t="inlineStr">
        <is>
          <t>Y</t>
        </is>
      </c>
      <c r="H1903" s="37" t="inlineStr">
        <is>
          <t>N</t>
        </is>
      </c>
      <c r="I1903" s="37">
        <f>COUNTIF(G$5:G1903,"Y")/COUNTA(G$5:G1903)</f>
        <v/>
      </c>
      <c r="J1903" s="37">
        <f>COUNTIF(H$5:H1903,"Y")/COUNTA(H$5:H1903)</f>
        <v/>
      </c>
      <c r="K1903" s="37">
        <f>AVERAGE(F$5:F1903)</f>
        <v/>
      </c>
      <c r="L1903" s="37">
        <f>SUM(F$5:F1903)/SUM(E$5:E1903)</f>
        <v/>
      </c>
    </row>
    <row r="1904">
      <c r="A1904" s="29" t="n">
        <v>45939</v>
      </c>
      <c r="B1904" s="37" t="inlineStr">
        <is>
          <t>JOB-2900</t>
        </is>
      </c>
      <c r="C1904" s="34" t="n">
        <v>1</v>
      </c>
      <c r="D1904" s="37" t="inlineStr">
        <is>
          <t>Tech D</t>
        </is>
      </c>
      <c r="E1904" s="35" t="n">
        <v>6</v>
      </c>
      <c r="F1904" s="35" t="n">
        <v>4</v>
      </c>
      <c r="G1904" s="37" t="inlineStr">
        <is>
          <t>Y</t>
        </is>
      </c>
      <c r="H1904" s="37" t="inlineStr">
        <is>
          <t>N</t>
        </is>
      </c>
      <c r="I1904" s="37">
        <f>COUNTIF(G$5:G1904,"Y")/COUNTA(G$5:G1904)</f>
        <v/>
      </c>
      <c r="J1904" s="37">
        <f>COUNTIF(H$5:H1904,"Y")/COUNTA(H$5:H1904)</f>
        <v/>
      </c>
      <c r="K1904" s="37">
        <f>AVERAGE(F$5:F1904)</f>
        <v/>
      </c>
      <c r="L1904" s="37">
        <f>SUM(F$5:F1904)/SUM(E$5:E1904)</f>
        <v/>
      </c>
    </row>
    <row r="1905">
      <c r="A1905" s="29" t="n">
        <v>45940</v>
      </c>
      <c r="B1905" s="37" t="inlineStr">
        <is>
          <t>JOB-2901</t>
        </is>
      </c>
      <c r="C1905" s="34" t="n">
        <v>1</v>
      </c>
      <c r="D1905" s="37" t="inlineStr">
        <is>
          <t>Tech G</t>
        </is>
      </c>
      <c r="E1905" s="35" t="n">
        <v>4.6</v>
      </c>
      <c r="F1905" s="35" t="n">
        <v>3.3</v>
      </c>
      <c r="G1905" s="37" t="inlineStr">
        <is>
          <t>Y</t>
        </is>
      </c>
      <c r="H1905" s="37" t="inlineStr">
        <is>
          <t>N</t>
        </is>
      </c>
      <c r="I1905" s="37">
        <f>COUNTIF(G$5:G1905,"Y")/COUNTA(G$5:G1905)</f>
        <v/>
      </c>
      <c r="J1905" s="37">
        <f>COUNTIF(H$5:H1905,"Y")/COUNTA(H$5:H1905)</f>
        <v/>
      </c>
      <c r="K1905" s="37">
        <f>AVERAGE(F$5:F1905)</f>
        <v/>
      </c>
      <c r="L1905" s="37">
        <f>SUM(F$5:F1905)/SUM(E$5:E1905)</f>
        <v/>
      </c>
    </row>
    <row r="1906">
      <c r="A1906" s="29" t="n">
        <v>45936</v>
      </c>
      <c r="B1906" s="37" t="inlineStr">
        <is>
          <t>JOB-2902</t>
        </is>
      </c>
      <c r="C1906" s="34" t="n">
        <v>1</v>
      </c>
      <c r="D1906" s="37" t="inlineStr">
        <is>
          <t>Tech H</t>
        </is>
      </c>
      <c r="E1906" s="35" t="n">
        <v>4.1</v>
      </c>
      <c r="F1906" s="35" t="n">
        <v>3.7</v>
      </c>
      <c r="G1906" s="37" t="inlineStr">
        <is>
          <t>Y</t>
        </is>
      </c>
      <c r="H1906" s="37" t="inlineStr">
        <is>
          <t>N</t>
        </is>
      </c>
      <c r="I1906" s="37">
        <f>COUNTIF(G$5:G1906,"Y")/COUNTA(G$5:G1906)</f>
        <v/>
      </c>
      <c r="J1906" s="37">
        <f>COUNTIF(H$5:H1906,"Y")/COUNTA(H$5:H1906)</f>
        <v/>
      </c>
      <c r="K1906" s="37">
        <f>AVERAGE(F$5:F1906)</f>
        <v/>
      </c>
      <c r="L1906" s="37">
        <f>SUM(F$5:F1906)/SUM(E$5:E1906)</f>
        <v/>
      </c>
    </row>
    <row r="1907">
      <c r="A1907" s="29" t="n">
        <v>45937</v>
      </c>
      <c r="B1907" s="37" t="inlineStr">
        <is>
          <t>JOB-2903</t>
        </is>
      </c>
      <c r="C1907" s="34" t="n">
        <v>1</v>
      </c>
      <c r="D1907" s="37" t="inlineStr">
        <is>
          <t>Tech H</t>
        </is>
      </c>
      <c r="E1907" s="35" t="n">
        <v>2.8</v>
      </c>
      <c r="F1907" s="35" t="n">
        <v>2</v>
      </c>
      <c r="G1907" s="37" t="inlineStr">
        <is>
          <t>Y</t>
        </is>
      </c>
      <c r="H1907" s="37" t="inlineStr">
        <is>
          <t>N</t>
        </is>
      </c>
      <c r="I1907" s="37">
        <f>COUNTIF(G$5:G1907,"Y")/COUNTA(G$5:G1907)</f>
        <v/>
      </c>
      <c r="J1907" s="37">
        <f>COUNTIF(H$5:H1907,"Y")/COUNTA(H$5:H1907)</f>
        <v/>
      </c>
      <c r="K1907" s="37">
        <f>AVERAGE(F$5:F1907)</f>
        <v/>
      </c>
      <c r="L1907" s="37">
        <f>SUM(F$5:F1907)/SUM(E$5:E1907)</f>
        <v/>
      </c>
    </row>
    <row r="1908">
      <c r="A1908" s="29" t="n">
        <v>45938</v>
      </c>
      <c r="B1908" s="37" t="inlineStr">
        <is>
          <t>JOB-2904</t>
        </is>
      </c>
      <c r="C1908" s="34" t="n">
        <v>1</v>
      </c>
      <c r="D1908" s="37" t="inlineStr">
        <is>
          <t>Tech D</t>
        </is>
      </c>
      <c r="E1908" s="35" t="n">
        <v>0.6</v>
      </c>
      <c r="F1908" s="35" t="n">
        <v>0.5</v>
      </c>
      <c r="G1908" s="37" t="inlineStr">
        <is>
          <t>Y</t>
        </is>
      </c>
      <c r="H1908" s="37" t="inlineStr">
        <is>
          <t>N</t>
        </is>
      </c>
      <c r="I1908" s="37">
        <f>COUNTIF(G$5:G1908,"Y")/COUNTA(G$5:G1908)</f>
        <v/>
      </c>
      <c r="J1908" s="37">
        <f>COUNTIF(H$5:H1908,"Y")/COUNTA(H$5:H1908)</f>
        <v/>
      </c>
      <c r="K1908" s="37">
        <f>AVERAGE(F$5:F1908)</f>
        <v/>
      </c>
      <c r="L1908" s="37">
        <f>SUM(F$5:F1908)/SUM(E$5:E1908)</f>
        <v/>
      </c>
    </row>
    <row r="1909">
      <c r="A1909" s="29" t="n">
        <v>45939</v>
      </c>
      <c r="B1909" s="37" t="inlineStr">
        <is>
          <t>JOB-2905</t>
        </is>
      </c>
      <c r="C1909" s="34" t="n">
        <v>1</v>
      </c>
      <c r="D1909" s="37" t="inlineStr">
        <is>
          <t>Tech B</t>
        </is>
      </c>
      <c r="E1909" s="35" t="n">
        <v>0.7</v>
      </c>
      <c r="F1909" s="35" t="n">
        <v>0.5</v>
      </c>
      <c r="G1909" s="37" t="inlineStr">
        <is>
          <t>N</t>
        </is>
      </c>
      <c r="H1909" s="37" t="inlineStr">
        <is>
          <t>N</t>
        </is>
      </c>
      <c r="I1909" s="37">
        <f>COUNTIF(G$5:G1909,"Y")/COUNTA(G$5:G1909)</f>
        <v/>
      </c>
      <c r="J1909" s="37">
        <f>COUNTIF(H$5:H1909,"Y")/COUNTA(H$5:H1909)</f>
        <v/>
      </c>
      <c r="K1909" s="37">
        <f>AVERAGE(F$5:F1909)</f>
        <v/>
      </c>
      <c r="L1909" s="37">
        <f>SUM(F$5:F1909)/SUM(E$5:E1909)</f>
        <v/>
      </c>
    </row>
    <row r="1910">
      <c r="A1910" s="29" t="n">
        <v>45940</v>
      </c>
      <c r="B1910" s="37" t="inlineStr">
        <is>
          <t>JOB-2906</t>
        </is>
      </c>
      <c r="C1910" s="34" t="n">
        <v>1</v>
      </c>
      <c r="D1910" s="37" t="inlineStr">
        <is>
          <t>Tech F</t>
        </is>
      </c>
      <c r="E1910" s="35" t="n">
        <v>0.6</v>
      </c>
      <c r="F1910" s="35" t="n">
        <v>0.5</v>
      </c>
      <c r="G1910" s="37" t="inlineStr">
        <is>
          <t>Y</t>
        </is>
      </c>
      <c r="H1910" s="37" t="inlineStr">
        <is>
          <t>N</t>
        </is>
      </c>
      <c r="I1910" s="37">
        <f>COUNTIF(G$5:G1910,"Y")/COUNTA(G$5:G1910)</f>
        <v/>
      </c>
      <c r="J1910" s="37">
        <f>COUNTIF(H$5:H1910,"Y")/COUNTA(H$5:H1910)</f>
        <v/>
      </c>
      <c r="K1910" s="37">
        <f>AVERAGE(F$5:F1910)</f>
        <v/>
      </c>
      <c r="L1910" s="37">
        <f>SUM(F$5:F1910)/SUM(E$5:E1910)</f>
        <v/>
      </c>
    </row>
    <row r="1911">
      <c r="A1911" s="29" t="n">
        <v>45936</v>
      </c>
      <c r="B1911" s="37" t="inlineStr">
        <is>
          <t>JOB-2907</t>
        </is>
      </c>
      <c r="C1911" s="34" t="n">
        <v>1</v>
      </c>
      <c r="D1911" s="37" t="inlineStr">
        <is>
          <t>Tech F</t>
        </is>
      </c>
      <c r="E1911" s="35" t="n">
        <v>0.7</v>
      </c>
      <c r="F1911" s="35" t="n">
        <v>0.5</v>
      </c>
      <c r="G1911" s="37" t="inlineStr">
        <is>
          <t>N</t>
        </is>
      </c>
      <c r="H1911" s="37" t="inlineStr">
        <is>
          <t>N</t>
        </is>
      </c>
      <c r="I1911" s="37">
        <f>COUNTIF(G$5:G1911,"Y")/COUNTA(G$5:G1911)</f>
        <v/>
      </c>
      <c r="J1911" s="37">
        <f>COUNTIF(H$5:H1911,"Y")/COUNTA(H$5:H1911)</f>
        <v/>
      </c>
      <c r="K1911" s="37">
        <f>AVERAGE(F$5:F1911)</f>
        <v/>
      </c>
      <c r="L1911" s="37">
        <f>SUM(F$5:F1911)/SUM(E$5:E1911)</f>
        <v/>
      </c>
    </row>
    <row r="1912">
      <c r="A1912" s="29" t="n">
        <v>45937</v>
      </c>
      <c r="B1912" s="37" t="inlineStr">
        <is>
          <t>JOB-2908</t>
        </is>
      </c>
      <c r="C1912" s="34" t="n">
        <v>1</v>
      </c>
      <c r="D1912" s="37" t="inlineStr">
        <is>
          <t>Tech C</t>
        </is>
      </c>
      <c r="E1912" s="35" t="n">
        <v>0.6</v>
      </c>
      <c r="F1912" s="35" t="n">
        <v>0.5</v>
      </c>
      <c r="G1912" s="37" t="inlineStr">
        <is>
          <t>Y</t>
        </is>
      </c>
      <c r="H1912" s="37" t="inlineStr">
        <is>
          <t>N</t>
        </is>
      </c>
      <c r="I1912" s="37">
        <f>COUNTIF(G$5:G1912,"Y")/COUNTA(G$5:G1912)</f>
        <v/>
      </c>
      <c r="J1912" s="37">
        <f>COUNTIF(H$5:H1912,"Y")/COUNTA(H$5:H1912)</f>
        <v/>
      </c>
      <c r="K1912" s="37">
        <f>AVERAGE(F$5:F1912)</f>
        <v/>
      </c>
      <c r="L1912" s="37">
        <f>SUM(F$5:F1912)/SUM(E$5:E1912)</f>
        <v/>
      </c>
    </row>
    <row r="1913">
      <c r="A1913" s="29" t="n">
        <v>45938</v>
      </c>
      <c r="B1913" s="37" t="inlineStr">
        <is>
          <t>JOB-2909</t>
        </is>
      </c>
      <c r="C1913" s="34" t="n">
        <v>1</v>
      </c>
      <c r="D1913" s="37" t="inlineStr">
        <is>
          <t>Tech F</t>
        </is>
      </c>
      <c r="E1913" s="35" t="n">
        <v>0.7</v>
      </c>
      <c r="F1913" s="35" t="n">
        <v>0.5</v>
      </c>
      <c r="G1913" s="37" t="inlineStr">
        <is>
          <t>Y</t>
        </is>
      </c>
      <c r="H1913" s="37" t="inlineStr">
        <is>
          <t>N</t>
        </is>
      </c>
      <c r="I1913" s="37">
        <f>COUNTIF(G$5:G1913,"Y")/COUNTA(G$5:G1913)</f>
        <v/>
      </c>
      <c r="J1913" s="37">
        <f>COUNTIF(H$5:H1913,"Y")/COUNTA(H$5:H1913)</f>
        <v/>
      </c>
      <c r="K1913" s="37">
        <f>AVERAGE(F$5:F1913)</f>
        <v/>
      </c>
      <c r="L1913" s="37">
        <f>SUM(F$5:F1913)/SUM(E$5:E1913)</f>
        <v/>
      </c>
    </row>
    <row r="1914">
      <c r="A1914" s="29" t="n">
        <v>45939</v>
      </c>
      <c r="B1914" s="37" t="inlineStr">
        <is>
          <t>JOB-2910</t>
        </is>
      </c>
      <c r="C1914" s="34" t="n">
        <v>1</v>
      </c>
      <c r="D1914" s="37" t="inlineStr">
        <is>
          <t>Tech B</t>
        </is>
      </c>
      <c r="E1914" s="35" t="n">
        <v>1.5</v>
      </c>
      <c r="F1914" s="35" t="n">
        <v>0.5</v>
      </c>
      <c r="G1914" s="37" t="inlineStr">
        <is>
          <t>Y</t>
        </is>
      </c>
      <c r="H1914" s="37" t="inlineStr">
        <is>
          <t>N</t>
        </is>
      </c>
      <c r="I1914" s="37">
        <f>COUNTIF(G$5:G1914,"Y")/COUNTA(G$5:G1914)</f>
        <v/>
      </c>
      <c r="J1914" s="37">
        <f>COUNTIF(H$5:H1914,"Y")/COUNTA(H$5:H1914)</f>
        <v/>
      </c>
      <c r="K1914" s="37">
        <f>AVERAGE(F$5:F1914)</f>
        <v/>
      </c>
      <c r="L1914" s="37">
        <f>SUM(F$5:F1914)/SUM(E$5:E1914)</f>
        <v/>
      </c>
      <c r="M1914" s="37" t="n">
        <v>11</v>
      </c>
    </row>
    <row r="1915">
      <c r="A1915" s="29" t="n">
        <v>45943</v>
      </c>
      <c r="B1915" s="37" t="inlineStr">
        <is>
          <t>JOB-2911</t>
        </is>
      </c>
      <c r="C1915" s="34" t="n">
        <v>1</v>
      </c>
      <c r="D1915" s="37" t="inlineStr">
        <is>
          <t>Tech H</t>
        </is>
      </c>
      <c r="E1915" s="35" t="n">
        <v>3.8</v>
      </c>
      <c r="F1915" s="35" t="n">
        <v>2.8</v>
      </c>
      <c r="G1915" s="37" t="inlineStr">
        <is>
          <t>Y</t>
        </is>
      </c>
      <c r="H1915" s="37" t="inlineStr">
        <is>
          <t>N</t>
        </is>
      </c>
      <c r="I1915" s="37">
        <f>COUNTIF(G$5:G1915,"Y")/COUNTA(G$5:G1915)</f>
        <v/>
      </c>
      <c r="J1915" s="37">
        <f>COUNTIF(H$5:H1915,"Y")/COUNTA(H$5:H1915)</f>
        <v/>
      </c>
      <c r="K1915" s="37">
        <f>AVERAGE(F$5:F1915)</f>
        <v/>
      </c>
      <c r="L1915" s="37">
        <f>SUM(F$5:F1915)/SUM(E$5:E1915)</f>
        <v/>
      </c>
    </row>
    <row r="1916">
      <c r="A1916" s="29" t="n">
        <v>45944</v>
      </c>
      <c r="B1916" s="37" t="inlineStr">
        <is>
          <t>JOB-2912</t>
        </is>
      </c>
      <c r="C1916" s="34" t="n">
        <v>1</v>
      </c>
      <c r="D1916" s="37" t="inlineStr">
        <is>
          <t>Tech G</t>
        </is>
      </c>
      <c r="E1916" s="35" t="n">
        <v>2.3</v>
      </c>
      <c r="F1916" s="35" t="n">
        <v>2.1</v>
      </c>
      <c r="G1916" s="37" t="inlineStr">
        <is>
          <t>Y</t>
        </is>
      </c>
      <c r="H1916" s="37" t="inlineStr">
        <is>
          <t>N</t>
        </is>
      </c>
      <c r="I1916" s="37">
        <f>COUNTIF(G$5:G1916,"Y")/COUNTA(G$5:G1916)</f>
        <v/>
      </c>
      <c r="J1916" s="37">
        <f>COUNTIF(H$5:H1916,"Y")/COUNTA(H$5:H1916)</f>
        <v/>
      </c>
      <c r="K1916" s="37">
        <f>AVERAGE(F$5:F1916)</f>
        <v/>
      </c>
      <c r="L1916" s="37">
        <f>SUM(F$5:F1916)/SUM(E$5:E1916)</f>
        <v/>
      </c>
    </row>
    <row r="1917">
      <c r="A1917" s="29" t="n">
        <v>45945</v>
      </c>
      <c r="B1917" s="37" t="inlineStr">
        <is>
          <t>JOB-2913</t>
        </is>
      </c>
      <c r="C1917" s="34" t="n">
        <v>1</v>
      </c>
      <c r="D1917" s="37" t="inlineStr">
        <is>
          <t>Tech H</t>
        </is>
      </c>
      <c r="E1917" s="35" t="n">
        <v>1.8</v>
      </c>
      <c r="F1917" s="35" t="n">
        <v>1.6</v>
      </c>
      <c r="G1917" s="37" t="inlineStr">
        <is>
          <t>Y</t>
        </is>
      </c>
      <c r="H1917" s="37" t="inlineStr">
        <is>
          <t>N</t>
        </is>
      </c>
      <c r="I1917" s="37">
        <f>COUNTIF(G$5:G1917,"Y")/COUNTA(G$5:G1917)</f>
        <v/>
      </c>
      <c r="J1917" s="37">
        <f>COUNTIF(H$5:H1917,"Y")/COUNTA(H$5:H1917)</f>
        <v/>
      </c>
      <c r="K1917" s="37">
        <f>AVERAGE(F$5:F1917)</f>
        <v/>
      </c>
      <c r="L1917" s="37">
        <f>SUM(F$5:F1917)/SUM(E$5:E1917)</f>
        <v/>
      </c>
    </row>
    <row r="1918">
      <c r="A1918" s="29" t="n">
        <v>45946</v>
      </c>
      <c r="B1918" s="37" t="inlineStr">
        <is>
          <t>JOB-2914</t>
        </is>
      </c>
      <c r="C1918" s="34" t="n">
        <v>1</v>
      </c>
      <c r="D1918" s="37" t="inlineStr">
        <is>
          <t>Tech B</t>
        </is>
      </c>
      <c r="E1918" s="35" t="n">
        <v>3.3</v>
      </c>
      <c r="F1918" s="35" t="n">
        <v>2.4</v>
      </c>
      <c r="G1918" s="37" t="inlineStr">
        <is>
          <t>N</t>
        </is>
      </c>
      <c r="H1918" s="37" t="inlineStr">
        <is>
          <t>N</t>
        </is>
      </c>
      <c r="I1918" s="37">
        <f>COUNTIF(G$5:G1918,"Y")/COUNTA(G$5:G1918)</f>
        <v/>
      </c>
      <c r="J1918" s="37">
        <f>COUNTIF(H$5:H1918,"Y")/COUNTA(H$5:H1918)</f>
        <v/>
      </c>
      <c r="K1918" s="37">
        <f>AVERAGE(F$5:F1918)</f>
        <v/>
      </c>
      <c r="L1918" s="37">
        <f>SUM(F$5:F1918)/SUM(E$5:E1918)</f>
        <v/>
      </c>
    </row>
    <row r="1919">
      <c r="A1919" s="29" t="n">
        <v>45947</v>
      </c>
      <c r="B1919" s="37" t="inlineStr">
        <is>
          <t>JOB-2915</t>
        </is>
      </c>
      <c r="C1919" s="34" t="n">
        <v>1</v>
      </c>
      <c r="D1919" s="37" t="inlineStr">
        <is>
          <t>Tech C</t>
        </is>
      </c>
      <c r="E1919" s="35" t="n">
        <v>4</v>
      </c>
      <c r="F1919" s="35" t="n">
        <v>2.8</v>
      </c>
      <c r="G1919" s="37" t="inlineStr">
        <is>
          <t>Y</t>
        </is>
      </c>
      <c r="H1919" s="37" t="inlineStr">
        <is>
          <t>N</t>
        </is>
      </c>
      <c r="I1919" s="37">
        <f>COUNTIF(G$5:G1919,"Y")/COUNTA(G$5:G1919)</f>
        <v/>
      </c>
      <c r="J1919" s="37">
        <f>COUNTIF(H$5:H1919,"Y")/COUNTA(H$5:H1919)</f>
        <v/>
      </c>
      <c r="K1919" s="37">
        <f>AVERAGE(F$5:F1919)</f>
        <v/>
      </c>
      <c r="L1919" s="37">
        <f>SUM(F$5:F1919)/SUM(E$5:E1919)</f>
        <v/>
      </c>
    </row>
    <row r="1920">
      <c r="A1920" s="29" t="n">
        <v>45943</v>
      </c>
      <c r="B1920" s="37" t="inlineStr">
        <is>
          <t>JOB-2916</t>
        </is>
      </c>
      <c r="C1920" s="34" t="n">
        <v>1</v>
      </c>
      <c r="D1920" s="37" t="inlineStr">
        <is>
          <t>Tech B</t>
        </is>
      </c>
      <c r="E1920" s="35" t="n">
        <v>4.9</v>
      </c>
      <c r="F1920" s="35" t="n">
        <v>3.9</v>
      </c>
      <c r="G1920" s="37" t="inlineStr">
        <is>
          <t>Y</t>
        </is>
      </c>
      <c r="H1920" s="37" t="inlineStr">
        <is>
          <t>N</t>
        </is>
      </c>
      <c r="I1920" s="37">
        <f>COUNTIF(G$5:G1920,"Y")/COUNTA(G$5:G1920)</f>
        <v/>
      </c>
      <c r="J1920" s="37">
        <f>COUNTIF(H$5:H1920,"Y")/COUNTA(H$5:H1920)</f>
        <v/>
      </c>
      <c r="K1920" s="37">
        <f>AVERAGE(F$5:F1920)</f>
        <v/>
      </c>
      <c r="L1920" s="37">
        <f>SUM(F$5:F1920)/SUM(E$5:E1920)</f>
        <v/>
      </c>
    </row>
    <row r="1921">
      <c r="A1921" s="29" t="n">
        <v>45944</v>
      </c>
      <c r="B1921" s="37" t="inlineStr">
        <is>
          <t>JOB-2917</t>
        </is>
      </c>
      <c r="C1921" s="34" t="n">
        <v>1</v>
      </c>
      <c r="D1921" s="37" t="inlineStr">
        <is>
          <t>Tech H</t>
        </is>
      </c>
      <c r="E1921" s="35" t="n">
        <v>4.1</v>
      </c>
      <c r="F1921" s="35" t="n">
        <v>3</v>
      </c>
      <c r="G1921" s="37" t="inlineStr">
        <is>
          <t>Y</t>
        </is>
      </c>
      <c r="H1921" s="37" t="inlineStr">
        <is>
          <t>N</t>
        </is>
      </c>
      <c r="I1921" s="37">
        <f>COUNTIF(G$5:G1921,"Y")/COUNTA(G$5:G1921)</f>
        <v/>
      </c>
      <c r="J1921" s="37">
        <f>COUNTIF(H$5:H1921,"Y")/COUNTA(H$5:H1921)</f>
        <v/>
      </c>
      <c r="K1921" s="37">
        <f>AVERAGE(F$5:F1921)</f>
        <v/>
      </c>
      <c r="L1921" s="37">
        <f>SUM(F$5:F1921)/SUM(E$5:E1921)</f>
        <v/>
      </c>
    </row>
    <row r="1922">
      <c r="A1922" s="29" t="n">
        <v>45945</v>
      </c>
      <c r="B1922" s="37" t="inlineStr">
        <is>
          <t>JOB-2918</t>
        </is>
      </c>
      <c r="C1922" s="34" t="n">
        <v>1</v>
      </c>
      <c r="D1922" s="37" t="inlineStr">
        <is>
          <t>Tech G</t>
        </is>
      </c>
      <c r="E1922" s="35" t="n">
        <v>3</v>
      </c>
      <c r="F1922" s="35" t="n">
        <v>2.1</v>
      </c>
      <c r="G1922" s="37" t="inlineStr">
        <is>
          <t>Y</t>
        </is>
      </c>
      <c r="H1922" s="37" t="inlineStr">
        <is>
          <t>N</t>
        </is>
      </c>
      <c r="I1922" s="37">
        <f>COUNTIF(G$5:G1922,"Y")/COUNTA(G$5:G1922)</f>
        <v/>
      </c>
      <c r="J1922" s="37">
        <f>COUNTIF(H$5:H1922,"Y")/COUNTA(H$5:H1922)</f>
        <v/>
      </c>
      <c r="K1922" s="37">
        <f>AVERAGE(F$5:F1922)</f>
        <v/>
      </c>
      <c r="L1922" s="37">
        <f>SUM(F$5:F1922)/SUM(E$5:E1922)</f>
        <v/>
      </c>
    </row>
    <row r="1923">
      <c r="A1923" s="29" t="n">
        <v>45946</v>
      </c>
      <c r="B1923" s="37" t="inlineStr">
        <is>
          <t>JOB-2919</t>
        </is>
      </c>
      <c r="C1923" s="34" t="n">
        <v>1</v>
      </c>
      <c r="D1923" s="37" t="inlineStr">
        <is>
          <t>Tech H</t>
        </is>
      </c>
      <c r="E1923" s="35" t="n">
        <v>3.5</v>
      </c>
      <c r="F1923" s="35" t="n">
        <v>2.6</v>
      </c>
      <c r="G1923" s="37" t="inlineStr">
        <is>
          <t>Y</t>
        </is>
      </c>
      <c r="H1923" s="37" t="inlineStr">
        <is>
          <t>N</t>
        </is>
      </c>
      <c r="I1923" s="37">
        <f>COUNTIF(G$5:G1923,"Y")/COUNTA(G$5:G1923)</f>
        <v/>
      </c>
      <c r="J1923" s="37">
        <f>COUNTIF(H$5:H1923,"Y")/COUNTA(H$5:H1923)</f>
        <v/>
      </c>
      <c r="K1923" s="37">
        <f>AVERAGE(F$5:F1923)</f>
        <v/>
      </c>
      <c r="L1923" s="37">
        <f>SUM(F$5:F1923)/SUM(E$5:E1923)</f>
        <v/>
      </c>
    </row>
    <row r="1924">
      <c r="A1924" s="29" t="n">
        <v>45947</v>
      </c>
      <c r="B1924" s="37" t="inlineStr">
        <is>
          <t>JOB-2920</t>
        </is>
      </c>
      <c r="C1924" s="34" t="n">
        <v>1</v>
      </c>
      <c r="D1924" s="37" t="inlineStr">
        <is>
          <t>Tech C</t>
        </is>
      </c>
      <c r="E1924" s="35" t="n">
        <v>4.1</v>
      </c>
      <c r="F1924" s="35" t="n">
        <v>3.4</v>
      </c>
      <c r="G1924" s="37" t="inlineStr">
        <is>
          <t>Y</t>
        </is>
      </c>
      <c r="H1924" s="37" t="inlineStr">
        <is>
          <t>N</t>
        </is>
      </c>
      <c r="I1924" s="37">
        <f>COUNTIF(G$5:G1924,"Y")/COUNTA(G$5:G1924)</f>
        <v/>
      </c>
      <c r="J1924" s="37">
        <f>COUNTIF(H$5:H1924,"Y")/COUNTA(H$5:H1924)</f>
        <v/>
      </c>
      <c r="K1924" s="37">
        <f>AVERAGE(F$5:F1924)</f>
        <v/>
      </c>
      <c r="L1924" s="37">
        <f>SUM(F$5:F1924)/SUM(E$5:E1924)</f>
        <v/>
      </c>
    </row>
    <row r="1925">
      <c r="A1925" s="29" t="n">
        <v>45943</v>
      </c>
      <c r="B1925" s="37" t="inlineStr">
        <is>
          <t>JOB-2921</t>
        </is>
      </c>
      <c r="C1925" s="34" t="n">
        <v>1</v>
      </c>
      <c r="D1925" s="37" t="inlineStr">
        <is>
          <t>Tech G</t>
        </is>
      </c>
      <c r="E1925" s="35" t="n">
        <v>4.3</v>
      </c>
      <c r="F1925" s="35" t="n">
        <v>3.1</v>
      </c>
      <c r="G1925" s="37" t="inlineStr">
        <is>
          <t>Y</t>
        </is>
      </c>
      <c r="H1925" s="37" t="inlineStr">
        <is>
          <t>N</t>
        </is>
      </c>
      <c r="I1925" s="37">
        <f>COUNTIF(G$5:G1925,"Y")/COUNTA(G$5:G1925)</f>
        <v/>
      </c>
      <c r="J1925" s="37">
        <f>COUNTIF(H$5:H1925,"Y")/COUNTA(H$5:H1925)</f>
        <v/>
      </c>
      <c r="K1925" s="37">
        <f>AVERAGE(F$5:F1925)</f>
        <v/>
      </c>
      <c r="L1925" s="37">
        <f>SUM(F$5:F1925)/SUM(E$5:E1925)</f>
        <v/>
      </c>
    </row>
    <row r="1926">
      <c r="A1926" s="29" t="n">
        <v>45944</v>
      </c>
      <c r="B1926" s="37" t="inlineStr">
        <is>
          <t>JOB-2922</t>
        </is>
      </c>
      <c r="C1926" s="34" t="n">
        <v>1</v>
      </c>
      <c r="D1926" s="37" t="inlineStr">
        <is>
          <t>Tech H</t>
        </is>
      </c>
      <c r="E1926" s="35" t="n">
        <v>2</v>
      </c>
      <c r="F1926" s="35" t="n">
        <v>1.7</v>
      </c>
      <c r="G1926" s="37" t="inlineStr">
        <is>
          <t>Y</t>
        </is>
      </c>
      <c r="H1926" s="37" t="inlineStr">
        <is>
          <t>N</t>
        </is>
      </c>
      <c r="I1926" s="37">
        <f>COUNTIF(G$5:G1926,"Y")/COUNTA(G$5:G1926)</f>
        <v/>
      </c>
      <c r="J1926" s="37">
        <f>COUNTIF(H$5:H1926,"Y")/COUNTA(H$5:H1926)</f>
        <v/>
      </c>
      <c r="K1926" s="37">
        <f>AVERAGE(F$5:F1926)</f>
        <v/>
      </c>
      <c r="L1926" s="37">
        <f>SUM(F$5:F1926)/SUM(E$5:E1926)</f>
        <v/>
      </c>
    </row>
    <row r="1927">
      <c r="A1927" s="29" t="n">
        <v>45945</v>
      </c>
      <c r="B1927" s="37" t="inlineStr">
        <is>
          <t>JOB-2923</t>
        </is>
      </c>
      <c r="C1927" s="34" t="n">
        <v>1</v>
      </c>
      <c r="D1927" s="37" t="inlineStr">
        <is>
          <t>Tech D</t>
        </is>
      </c>
      <c r="E1927" s="35" t="n">
        <v>5.5</v>
      </c>
      <c r="F1927" s="35" t="n">
        <v>4</v>
      </c>
      <c r="G1927" s="37" t="inlineStr">
        <is>
          <t>Y</t>
        </is>
      </c>
      <c r="H1927" s="37" t="inlineStr">
        <is>
          <t>N</t>
        </is>
      </c>
      <c r="I1927" s="37">
        <f>COUNTIF(G$5:G1927,"Y")/COUNTA(G$5:G1927)</f>
        <v/>
      </c>
      <c r="J1927" s="37">
        <f>COUNTIF(H$5:H1927,"Y")/COUNTA(H$5:H1927)</f>
        <v/>
      </c>
      <c r="K1927" s="37">
        <f>AVERAGE(F$5:F1927)</f>
        <v/>
      </c>
      <c r="L1927" s="37">
        <f>SUM(F$5:F1927)/SUM(E$5:E1927)</f>
        <v/>
      </c>
    </row>
    <row r="1928">
      <c r="A1928" s="29" t="n">
        <v>45946</v>
      </c>
      <c r="B1928" s="37" t="inlineStr">
        <is>
          <t>JOB-2924</t>
        </is>
      </c>
      <c r="C1928" s="34" t="n">
        <v>1</v>
      </c>
      <c r="D1928" s="37" t="inlineStr">
        <is>
          <t>Tech A</t>
        </is>
      </c>
      <c r="E1928" s="35" t="n">
        <v>3.7</v>
      </c>
      <c r="F1928" s="35" t="n">
        <v>2.6</v>
      </c>
      <c r="G1928" s="37" t="inlineStr">
        <is>
          <t>Y</t>
        </is>
      </c>
      <c r="H1928" s="37" t="inlineStr">
        <is>
          <t>N</t>
        </is>
      </c>
      <c r="I1928" s="37">
        <f>COUNTIF(G$5:G1928,"Y")/COUNTA(G$5:G1928)</f>
        <v/>
      </c>
      <c r="J1928" s="37">
        <f>COUNTIF(H$5:H1928,"Y")/COUNTA(H$5:H1928)</f>
        <v/>
      </c>
      <c r="K1928" s="37">
        <f>AVERAGE(F$5:F1928)</f>
        <v/>
      </c>
      <c r="L1928" s="37">
        <f>SUM(F$5:F1928)/SUM(E$5:E1928)</f>
        <v/>
      </c>
    </row>
    <row r="1929">
      <c r="A1929" s="29" t="n">
        <v>45947</v>
      </c>
      <c r="B1929" s="37" t="inlineStr">
        <is>
          <t>JOB-2925</t>
        </is>
      </c>
      <c r="C1929" s="34" t="n">
        <v>1</v>
      </c>
      <c r="D1929" s="37" t="inlineStr">
        <is>
          <t>Tech C</t>
        </is>
      </c>
      <c r="E1929" s="35" t="n">
        <v>2.3</v>
      </c>
      <c r="F1929" s="35" t="n">
        <v>1.8</v>
      </c>
      <c r="G1929" s="37" t="inlineStr">
        <is>
          <t>Y</t>
        </is>
      </c>
      <c r="H1929" s="37" t="inlineStr">
        <is>
          <t>N</t>
        </is>
      </c>
      <c r="I1929" s="37">
        <f>COUNTIF(G$5:G1929,"Y")/COUNTA(G$5:G1929)</f>
        <v/>
      </c>
      <c r="J1929" s="37">
        <f>COUNTIF(H$5:H1929,"Y")/COUNTA(H$5:H1929)</f>
        <v/>
      </c>
      <c r="K1929" s="37">
        <f>AVERAGE(F$5:F1929)</f>
        <v/>
      </c>
      <c r="L1929" s="37">
        <f>SUM(F$5:F1929)/SUM(E$5:E1929)</f>
        <v/>
      </c>
    </row>
    <row r="1930">
      <c r="A1930" s="29" t="n">
        <v>45943</v>
      </c>
      <c r="B1930" s="37" t="inlineStr">
        <is>
          <t>JOB-2926</t>
        </is>
      </c>
      <c r="C1930" s="34" t="n">
        <v>1</v>
      </c>
      <c r="D1930" s="37" t="inlineStr">
        <is>
          <t>Tech A</t>
        </is>
      </c>
      <c r="E1930" s="35" t="n">
        <v>3.5</v>
      </c>
      <c r="F1930" s="35" t="n">
        <v>2.4</v>
      </c>
      <c r="G1930" s="37" t="inlineStr">
        <is>
          <t>Y</t>
        </is>
      </c>
      <c r="H1930" s="37" t="inlineStr">
        <is>
          <t>N</t>
        </is>
      </c>
      <c r="I1930" s="37">
        <f>COUNTIF(G$5:G1930,"Y")/COUNTA(G$5:G1930)</f>
        <v/>
      </c>
      <c r="J1930" s="37">
        <f>COUNTIF(H$5:H1930,"Y")/COUNTA(H$5:H1930)</f>
        <v/>
      </c>
      <c r="K1930" s="37">
        <f>AVERAGE(F$5:F1930)</f>
        <v/>
      </c>
      <c r="L1930" s="37">
        <f>SUM(F$5:F1930)/SUM(E$5:E1930)</f>
        <v/>
      </c>
    </row>
    <row r="1931">
      <c r="A1931" s="29" t="n">
        <v>45944</v>
      </c>
      <c r="B1931" s="37" t="inlineStr">
        <is>
          <t>JOB-2927</t>
        </is>
      </c>
      <c r="C1931" s="34" t="n">
        <v>1</v>
      </c>
      <c r="D1931" s="37" t="inlineStr">
        <is>
          <t>Tech F</t>
        </is>
      </c>
      <c r="E1931" s="35" t="n">
        <v>2.7</v>
      </c>
      <c r="F1931" s="35" t="n">
        <v>1.9</v>
      </c>
      <c r="G1931" s="37" t="inlineStr">
        <is>
          <t>Y</t>
        </is>
      </c>
      <c r="H1931" s="37" t="inlineStr">
        <is>
          <t>N</t>
        </is>
      </c>
      <c r="I1931" s="37">
        <f>COUNTIF(G$5:G1931,"Y")/COUNTA(G$5:G1931)</f>
        <v/>
      </c>
      <c r="J1931" s="37">
        <f>COUNTIF(H$5:H1931,"Y")/COUNTA(H$5:H1931)</f>
        <v/>
      </c>
      <c r="K1931" s="37">
        <f>AVERAGE(F$5:F1931)</f>
        <v/>
      </c>
      <c r="L1931" s="37">
        <f>SUM(F$5:F1931)/SUM(E$5:E1931)</f>
        <v/>
      </c>
    </row>
    <row r="1932">
      <c r="A1932" s="29" t="n">
        <v>45945</v>
      </c>
      <c r="B1932" s="37" t="inlineStr">
        <is>
          <t>JOB-2928</t>
        </is>
      </c>
      <c r="C1932" s="34" t="n">
        <v>1</v>
      </c>
      <c r="D1932" s="37" t="inlineStr">
        <is>
          <t>Tech F</t>
        </is>
      </c>
      <c r="E1932" s="35" t="n">
        <v>2.8</v>
      </c>
      <c r="F1932" s="35" t="n">
        <v>2.1</v>
      </c>
      <c r="G1932" s="37" t="inlineStr">
        <is>
          <t>Y</t>
        </is>
      </c>
      <c r="H1932" s="37" t="inlineStr">
        <is>
          <t>Y</t>
        </is>
      </c>
      <c r="I1932" s="37">
        <f>COUNTIF(G$5:G1932,"Y")/COUNTA(G$5:G1932)</f>
        <v/>
      </c>
      <c r="J1932" s="37">
        <f>COUNTIF(H$5:H1932,"Y")/COUNTA(H$5:H1932)</f>
        <v/>
      </c>
      <c r="K1932" s="37">
        <f>AVERAGE(F$5:F1932)</f>
        <v/>
      </c>
      <c r="L1932" s="37">
        <f>SUM(F$5:F1932)/SUM(E$5:E1932)</f>
        <v/>
      </c>
    </row>
    <row r="1933">
      <c r="A1933" s="29" t="n">
        <v>45946</v>
      </c>
      <c r="B1933" s="37" t="inlineStr">
        <is>
          <t>JOB-2929</t>
        </is>
      </c>
      <c r="C1933" s="34" t="n">
        <v>1</v>
      </c>
      <c r="D1933" s="37" t="inlineStr">
        <is>
          <t>Tech D</t>
        </is>
      </c>
      <c r="E1933" s="35" t="n">
        <v>3</v>
      </c>
      <c r="F1933" s="35" t="n">
        <v>2.1</v>
      </c>
      <c r="G1933" s="37" t="inlineStr">
        <is>
          <t>Y</t>
        </is>
      </c>
      <c r="H1933" s="37" t="inlineStr">
        <is>
          <t>N</t>
        </is>
      </c>
      <c r="I1933" s="37">
        <f>COUNTIF(G$5:G1933,"Y")/COUNTA(G$5:G1933)</f>
        <v/>
      </c>
      <c r="J1933" s="37">
        <f>COUNTIF(H$5:H1933,"Y")/COUNTA(H$5:H1933)</f>
        <v/>
      </c>
      <c r="K1933" s="37">
        <f>AVERAGE(F$5:F1933)</f>
        <v/>
      </c>
      <c r="L1933" s="37">
        <f>SUM(F$5:F1933)/SUM(E$5:E1933)</f>
        <v/>
      </c>
    </row>
    <row r="1934">
      <c r="A1934" s="29" t="n">
        <v>45947</v>
      </c>
      <c r="B1934" s="37" t="inlineStr">
        <is>
          <t>JOB-2930</t>
        </is>
      </c>
      <c r="C1934" s="34" t="n">
        <v>1</v>
      </c>
      <c r="D1934" s="37" t="inlineStr">
        <is>
          <t>Tech D</t>
        </is>
      </c>
      <c r="E1934" s="35" t="n">
        <v>4.6</v>
      </c>
      <c r="F1934" s="35" t="n">
        <v>3.4</v>
      </c>
      <c r="G1934" s="37" t="inlineStr">
        <is>
          <t>Y</t>
        </is>
      </c>
      <c r="H1934" s="37" t="inlineStr">
        <is>
          <t>N</t>
        </is>
      </c>
      <c r="I1934" s="37">
        <f>COUNTIF(G$5:G1934,"Y")/COUNTA(G$5:G1934)</f>
        <v/>
      </c>
      <c r="J1934" s="37">
        <f>COUNTIF(H$5:H1934,"Y")/COUNTA(H$5:H1934)</f>
        <v/>
      </c>
      <c r="K1934" s="37">
        <f>AVERAGE(F$5:F1934)</f>
        <v/>
      </c>
      <c r="L1934" s="37">
        <f>SUM(F$5:F1934)/SUM(E$5:E1934)</f>
        <v/>
      </c>
    </row>
    <row r="1935">
      <c r="A1935" s="29" t="n">
        <v>45943</v>
      </c>
      <c r="B1935" s="37" t="inlineStr">
        <is>
          <t>JOB-2931</t>
        </is>
      </c>
      <c r="C1935" s="34" t="n">
        <v>1</v>
      </c>
      <c r="D1935" s="37" t="inlineStr">
        <is>
          <t>Tech F</t>
        </is>
      </c>
      <c r="E1935" s="35" t="n">
        <v>2.4</v>
      </c>
      <c r="F1935" s="35" t="n">
        <v>1.9</v>
      </c>
      <c r="G1935" s="37" t="inlineStr">
        <is>
          <t>N</t>
        </is>
      </c>
      <c r="H1935" s="37" t="inlineStr">
        <is>
          <t>N</t>
        </is>
      </c>
      <c r="I1935" s="37">
        <f>COUNTIF(G$5:G1935,"Y")/COUNTA(G$5:G1935)</f>
        <v/>
      </c>
      <c r="J1935" s="37">
        <f>COUNTIF(H$5:H1935,"Y")/COUNTA(H$5:H1935)</f>
        <v/>
      </c>
      <c r="K1935" s="37">
        <f>AVERAGE(F$5:F1935)</f>
        <v/>
      </c>
      <c r="L1935" s="37">
        <f>SUM(F$5:F1935)/SUM(E$5:E1935)</f>
        <v/>
      </c>
    </row>
    <row r="1936">
      <c r="A1936" s="29" t="n">
        <v>45944</v>
      </c>
      <c r="B1936" s="37" t="inlineStr">
        <is>
          <t>JOB-2932</t>
        </is>
      </c>
      <c r="C1936" s="34" t="n">
        <v>1</v>
      </c>
      <c r="D1936" s="37" t="inlineStr">
        <is>
          <t>Tech H</t>
        </is>
      </c>
      <c r="E1936" s="35" t="n">
        <v>5.6</v>
      </c>
      <c r="F1936" s="35" t="n">
        <v>4.3</v>
      </c>
      <c r="G1936" s="37" t="inlineStr">
        <is>
          <t>Y</t>
        </is>
      </c>
      <c r="H1936" s="37" t="inlineStr">
        <is>
          <t>N</t>
        </is>
      </c>
      <c r="I1936" s="37">
        <f>COUNTIF(G$5:G1936,"Y")/COUNTA(G$5:G1936)</f>
        <v/>
      </c>
      <c r="J1936" s="37">
        <f>COUNTIF(H$5:H1936,"Y")/COUNTA(H$5:H1936)</f>
        <v/>
      </c>
      <c r="K1936" s="37">
        <f>AVERAGE(F$5:F1936)</f>
        <v/>
      </c>
      <c r="L1936" s="37">
        <f>SUM(F$5:F1936)/SUM(E$5:E1936)</f>
        <v/>
      </c>
    </row>
    <row r="1937">
      <c r="A1937" s="29" t="n">
        <v>45945</v>
      </c>
      <c r="B1937" s="37" t="inlineStr">
        <is>
          <t>JOB-2933</t>
        </is>
      </c>
      <c r="C1937" s="34" t="n">
        <v>1</v>
      </c>
      <c r="D1937" s="37" t="inlineStr">
        <is>
          <t>Tech H</t>
        </is>
      </c>
      <c r="E1937" s="35" t="n">
        <v>4.8</v>
      </c>
      <c r="F1937" s="35" t="n">
        <v>4.3</v>
      </c>
      <c r="G1937" s="37" t="inlineStr">
        <is>
          <t>Y</t>
        </is>
      </c>
      <c r="H1937" s="37" t="inlineStr">
        <is>
          <t>N</t>
        </is>
      </c>
      <c r="I1937" s="37">
        <f>COUNTIF(G$5:G1937,"Y")/COUNTA(G$5:G1937)</f>
        <v/>
      </c>
      <c r="J1937" s="37">
        <f>COUNTIF(H$5:H1937,"Y")/COUNTA(H$5:H1937)</f>
        <v/>
      </c>
      <c r="K1937" s="37">
        <f>AVERAGE(F$5:F1937)</f>
        <v/>
      </c>
      <c r="L1937" s="37">
        <f>SUM(F$5:F1937)/SUM(E$5:E1937)</f>
        <v/>
      </c>
    </row>
    <row r="1938">
      <c r="A1938" s="29" t="n">
        <v>45946</v>
      </c>
      <c r="B1938" s="37" t="inlineStr">
        <is>
          <t>JOB-2934</t>
        </is>
      </c>
      <c r="C1938" s="34" t="n">
        <v>1</v>
      </c>
      <c r="D1938" s="37" t="inlineStr">
        <is>
          <t>Tech B</t>
        </is>
      </c>
      <c r="E1938" s="35" t="n">
        <v>2.1</v>
      </c>
      <c r="F1938" s="35" t="n">
        <v>1.5</v>
      </c>
      <c r="G1938" s="37" t="inlineStr">
        <is>
          <t>Y</t>
        </is>
      </c>
      <c r="H1938" s="37" t="inlineStr">
        <is>
          <t>N</t>
        </is>
      </c>
      <c r="I1938" s="37">
        <f>COUNTIF(G$5:G1938,"Y")/COUNTA(G$5:G1938)</f>
        <v/>
      </c>
      <c r="J1938" s="37">
        <f>COUNTIF(H$5:H1938,"Y")/COUNTA(H$5:H1938)</f>
        <v/>
      </c>
      <c r="K1938" s="37">
        <f>AVERAGE(F$5:F1938)</f>
        <v/>
      </c>
      <c r="L1938" s="37">
        <f>SUM(F$5:F1938)/SUM(E$5:E1938)</f>
        <v/>
      </c>
    </row>
    <row r="1939">
      <c r="A1939" s="29" t="n">
        <v>45947</v>
      </c>
      <c r="B1939" s="37" t="inlineStr">
        <is>
          <t>JOB-2935</t>
        </is>
      </c>
      <c r="C1939" s="34" t="n">
        <v>1</v>
      </c>
      <c r="D1939" s="37" t="inlineStr">
        <is>
          <t>Tech F</t>
        </is>
      </c>
      <c r="E1939" s="35" t="n">
        <v>2.8</v>
      </c>
      <c r="F1939" s="35" t="n">
        <v>2.2</v>
      </c>
      <c r="G1939" s="37" t="inlineStr">
        <is>
          <t>Y</t>
        </is>
      </c>
      <c r="H1939" s="37" t="inlineStr">
        <is>
          <t>N</t>
        </is>
      </c>
      <c r="I1939" s="37">
        <f>COUNTIF(G$5:G1939,"Y")/COUNTA(G$5:G1939)</f>
        <v/>
      </c>
      <c r="J1939" s="37">
        <f>COUNTIF(H$5:H1939,"Y")/COUNTA(H$5:H1939)</f>
        <v/>
      </c>
      <c r="K1939" s="37">
        <f>AVERAGE(F$5:F1939)</f>
        <v/>
      </c>
      <c r="L1939" s="37">
        <f>SUM(F$5:F1939)/SUM(E$5:E1939)</f>
        <v/>
      </c>
    </row>
    <row r="1940">
      <c r="A1940" s="29" t="n">
        <v>45943</v>
      </c>
      <c r="B1940" s="37" t="inlineStr">
        <is>
          <t>JOB-2936</t>
        </is>
      </c>
      <c r="C1940" s="34" t="n">
        <v>1</v>
      </c>
      <c r="D1940" s="37" t="inlineStr">
        <is>
          <t>Tech F</t>
        </is>
      </c>
      <c r="E1940" s="35" t="n">
        <v>2.6</v>
      </c>
      <c r="F1940" s="35" t="n">
        <v>2</v>
      </c>
      <c r="G1940" s="37" t="inlineStr">
        <is>
          <t>Y</t>
        </is>
      </c>
      <c r="H1940" s="37" t="inlineStr">
        <is>
          <t>N</t>
        </is>
      </c>
      <c r="I1940" s="37">
        <f>COUNTIF(G$5:G1940,"Y")/COUNTA(G$5:G1940)</f>
        <v/>
      </c>
      <c r="J1940" s="37">
        <f>COUNTIF(H$5:H1940,"Y")/COUNTA(H$5:H1940)</f>
        <v/>
      </c>
      <c r="K1940" s="37">
        <f>AVERAGE(F$5:F1940)</f>
        <v/>
      </c>
      <c r="L1940" s="37">
        <f>SUM(F$5:F1940)/SUM(E$5:E1940)</f>
        <v/>
      </c>
    </row>
    <row r="1941">
      <c r="A1941" s="29" t="n">
        <v>45944</v>
      </c>
      <c r="B1941" s="37" t="inlineStr">
        <is>
          <t>JOB-2937</t>
        </is>
      </c>
      <c r="C1941" s="34" t="n">
        <v>1</v>
      </c>
      <c r="D1941" s="37" t="inlineStr">
        <is>
          <t>Tech H</t>
        </is>
      </c>
      <c r="E1941" s="35" t="n">
        <v>2.9</v>
      </c>
      <c r="F1941" s="35" t="n">
        <v>2.6</v>
      </c>
      <c r="G1941" s="37" t="inlineStr">
        <is>
          <t>Y</t>
        </is>
      </c>
      <c r="H1941" s="37" t="inlineStr">
        <is>
          <t>N</t>
        </is>
      </c>
      <c r="I1941" s="37">
        <f>COUNTIF(G$5:G1941,"Y")/COUNTA(G$5:G1941)</f>
        <v/>
      </c>
      <c r="J1941" s="37">
        <f>COUNTIF(H$5:H1941,"Y")/COUNTA(H$5:H1941)</f>
        <v/>
      </c>
      <c r="K1941" s="37">
        <f>AVERAGE(F$5:F1941)</f>
        <v/>
      </c>
      <c r="L1941" s="37">
        <f>SUM(F$5:F1941)/SUM(E$5:E1941)</f>
        <v/>
      </c>
    </row>
    <row r="1942">
      <c r="A1942" s="29" t="n">
        <v>45945</v>
      </c>
      <c r="B1942" s="37" t="inlineStr">
        <is>
          <t>JOB-2938</t>
        </is>
      </c>
      <c r="C1942" s="34" t="n">
        <v>1</v>
      </c>
      <c r="D1942" s="37" t="inlineStr">
        <is>
          <t>Tech A</t>
        </is>
      </c>
      <c r="E1942" s="35" t="n">
        <v>4.7</v>
      </c>
      <c r="F1942" s="35" t="n">
        <v>3.4</v>
      </c>
      <c r="G1942" s="37" t="inlineStr">
        <is>
          <t>Y</t>
        </is>
      </c>
      <c r="H1942" s="37" t="inlineStr">
        <is>
          <t>N</t>
        </is>
      </c>
      <c r="I1942" s="37">
        <f>COUNTIF(G$5:G1942,"Y")/COUNTA(G$5:G1942)</f>
        <v/>
      </c>
      <c r="J1942" s="37">
        <f>COUNTIF(H$5:H1942,"Y")/COUNTA(H$5:H1942)</f>
        <v/>
      </c>
      <c r="K1942" s="37">
        <f>AVERAGE(F$5:F1942)</f>
        <v/>
      </c>
      <c r="L1942" s="37">
        <f>SUM(F$5:F1942)/SUM(E$5:E1942)</f>
        <v/>
      </c>
    </row>
    <row r="1943">
      <c r="A1943" s="29" t="n">
        <v>45946</v>
      </c>
      <c r="B1943" s="37" t="inlineStr">
        <is>
          <t>JOB-2939</t>
        </is>
      </c>
      <c r="C1943" s="34" t="n">
        <v>1</v>
      </c>
      <c r="D1943" s="37" t="inlineStr">
        <is>
          <t>Tech B</t>
        </is>
      </c>
      <c r="E1943" s="35" t="n">
        <v>3.3</v>
      </c>
      <c r="F1943" s="35" t="n">
        <v>2.4</v>
      </c>
      <c r="G1943" s="37" t="inlineStr">
        <is>
          <t>Y</t>
        </is>
      </c>
      <c r="H1943" s="37" t="inlineStr">
        <is>
          <t>N</t>
        </is>
      </c>
      <c r="I1943" s="37">
        <f>COUNTIF(G$5:G1943,"Y")/COUNTA(G$5:G1943)</f>
        <v/>
      </c>
      <c r="J1943" s="37">
        <f>COUNTIF(H$5:H1943,"Y")/COUNTA(H$5:H1943)</f>
        <v/>
      </c>
      <c r="K1943" s="37">
        <f>AVERAGE(F$5:F1943)</f>
        <v/>
      </c>
      <c r="L1943" s="37">
        <f>SUM(F$5:F1943)/SUM(E$5:E1943)</f>
        <v/>
      </c>
    </row>
    <row r="1944">
      <c r="A1944" s="29" t="n">
        <v>45947</v>
      </c>
      <c r="B1944" s="37" t="inlineStr">
        <is>
          <t>JOB-2940</t>
        </is>
      </c>
      <c r="C1944" s="34" t="n">
        <v>1</v>
      </c>
      <c r="D1944" s="37" t="inlineStr">
        <is>
          <t>Tech A</t>
        </is>
      </c>
      <c r="E1944" s="35" t="n">
        <v>4.8</v>
      </c>
      <c r="F1944" s="35" t="n">
        <v>3.9</v>
      </c>
      <c r="G1944" s="37" t="inlineStr">
        <is>
          <t>Y</t>
        </is>
      </c>
      <c r="H1944" s="37" t="inlineStr">
        <is>
          <t>N</t>
        </is>
      </c>
      <c r="I1944" s="37">
        <f>COUNTIF(G$5:G1944,"Y")/COUNTA(G$5:G1944)</f>
        <v/>
      </c>
      <c r="J1944" s="37">
        <f>COUNTIF(H$5:H1944,"Y")/COUNTA(H$5:H1944)</f>
        <v/>
      </c>
      <c r="K1944" s="37">
        <f>AVERAGE(F$5:F1944)</f>
        <v/>
      </c>
      <c r="L1944" s="37">
        <f>SUM(F$5:F1944)/SUM(E$5:E1944)</f>
        <v/>
      </c>
    </row>
    <row r="1945">
      <c r="A1945" s="29" t="n">
        <v>45943</v>
      </c>
      <c r="B1945" s="37" t="inlineStr">
        <is>
          <t>JOB-2941</t>
        </is>
      </c>
      <c r="C1945" s="34" t="n">
        <v>1</v>
      </c>
      <c r="D1945" s="37" t="inlineStr">
        <is>
          <t>Tech F</t>
        </is>
      </c>
      <c r="E1945" s="35" t="n">
        <v>1.4</v>
      </c>
      <c r="F1945" s="35" t="n">
        <v>1.2</v>
      </c>
      <c r="G1945" s="37" t="inlineStr">
        <is>
          <t>Y</t>
        </is>
      </c>
      <c r="H1945" s="37" t="inlineStr">
        <is>
          <t>N</t>
        </is>
      </c>
      <c r="I1945" s="37">
        <f>COUNTIF(G$5:G1945,"Y")/COUNTA(G$5:G1945)</f>
        <v/>
      </c>
      <c r="J1945" s="37">
        <f>COUNTIF(H$5:H1945,"Y")/COUNTA(H$5:H1945)</f>
        <v/>
      </c>
      <c r="K1945" s="37">
        <f>AVERAGE(F$5:F1945)</f>
        <v/>
      </c>
      <c r="L1945" s="37">
        <f>SUM(F$5:F1945)/SUM(E$5:E1945)</f>
        <v/>
      </c>
    </row>
    <row r="1946">
      <c r="A1946" s="29" t="n">
        <v>45944</v>
      </c>
      <c r="B1946" s="37" t="inlineStr">
        <is>
          <t>JOB-2942</t>
        </is>
      </c>
      <c r="C1946" s="34" t="n">
        <v>1</v>
      </c>
      <c r="D1946" s="37" t="inlineStr">
        <is>
          <t>Tech G</t>
        </is>
      </c>
      <c r="E1946" s="35" t="n">
        <v>5</v>
      </c>
      <c r="F1946" s="35" t="n">
        <v>4.1</v>
      </c>
      <c r="G1946" s="37" t="inlineStr">
        <is>
          <t>Y</t>
        </is>
      </c>
      <c r="H1946" s="37" t="inlineStr">
        <is>
          <t>Y</t>
        </is>
      </c>
      <c r="I1946" s="37">
        <f>COUNTIF(G$5:G1946,"Y")/COUNTA(G$5:G1946)</f>
        <v/>
      </c>
      <c r="J1946" s="37">
        <f>COUNTIF(H$5:H1946,"Y")/COUNTA(H$5:H1946)</f>
        <v/>
      </c>
      <c r="K1946" s="37">
        <f>AVERAGE(F$5:F1946)</f>
        <v/>
      </c>
      <c r="L1946" s="37">
        <f>SUM(F$5:F1946)/SUM(E$5:E1946)</f>
        <v/>
      </c>
    </row>
    <row r="1947">
      <c r="A1947" s="29" t="n">
        <v>45945</v>
      </c>
      <c r="B1947" s="37" t="inlineStr">
        <is>
          <t>JOB-2943</t>
        </is>
      </c>
      <c r="C1947" s="34" t="n">
        <v>1</v>
      </c>
      <c r="D1947" s="37" t="inlineStr">
        <is>
          <t>Tech A</t>
        </is>
      </c>
      <c r="E1947" s="35" t="n">
        <v>4.5</v>
      </c>
      <c r="F1947" s="35" t="n">
        <v>3.5</v>
      </c>
      <c r="G1947" s="37" t="inlineStr">
        <is>
          <t>Y</t>
        </is>
      </c>
      <c r="H1947" s="37" t="inlineStr">
        <is>
          <t>N</t>
        </is>
      </c>
      <c r="I1947" s="37">
        <f>COUNTIF(G$5:G1947,"Y")/COUNTA(G$5:G1947)</f>
        <v/>
      </c>
      <c r="J1947" s="37">
        <f>COUNTIF(H$5:H1947,"Y")/COUNTA(H$5:H1947)</f>
        <v/>
      </c>
      <c r="K1947" s="37">
        <f>AVERAGE(F$5:F1947)</f>
        <v/>
      </c>
      <c r="L1947" s="37">
        <f>SUM(F$5:F1947)/SUM(E$5:E1947)</f>
        <v/>
      </c>
    </row>
    <row r="1948">
      <c r="A1948" s="29" t="n">
        <v>45946</v>
      </c>
      <c r="B1948" s="37" t="inlineStr">
        <is>
          <t>JOB-2944</t>
        </is>
      </c>
      <c r="C1948" s="34" t="n">
        <v>1</v>
      </c>
      <c r="D1948" s="37" t="inlineStr">
        <is>
          <t>Tech C</t>
        </is>
      </c>
      <c r="E1948" s="35" t="n">
        <v>1.8</v>
      </c>
      <c r="F1948" s="35" t="n">
        <v>1.4</v>
      </c>
      <c r="G1948" s="37" t="inlineStr">
        <is>
          <t>Y</t>
        </is>
      </c>
      <c r="H1948" s="37" t="inlineStr">
        <is>
          <t>N</t>
        </is>
      </c>
      <c r="I1948" s="37">
        <f>COUNTIF(G$5:G1948,"Y")/COUNTA(G$5:G1948)</f>
        <v/>
      </c>
      <c r="J1948" s="37">
        <f>COUNTIF(H$5:H1948,"Y")/COUNTA(H$5:H1948)</f>
        <v/>
      </c>
      <c r="K1948" s="37">
        <f>AVERAGE(F$5:F1948)</f>
        <v/>
      </c>
      <c r="L1948" s="37">
        <f>SUM(F$5:F1948)/SUM(E$5:E1948)</f>
        <v/>
      </c>
    </row>
    <row r="1949">
      <c r="A1949" s="29" t="n">
        <v>45947</v>
      </c>
      <c r="B1949" s="37" t="inlineStr">
        <is>
          <t>JOB-2945</t>
        </is>
      </c>
      <c r="C1949" s="34" t="n">
        <v>1</v>
      </c>
      <c r="D1949" s="37" t="inlineStr">
        <is>
          <t>Tech B</t>
        </is>
      </c>
      <c r="E1949" s="35" t="n">
        <v>2.9</v>
      </c>
      <c r="F1949" s="35" t="n">
        <v>2</v>
      </c>
      <c r="G1949" s="37" t="inlineStr">
        <is>
          <t>N</t>
        </is>
      </c>
      <c r="H1949" s="37" t="inlineStr">
        <is>
          <t>N</t>
        </is>
      </c>
      <c r="I1949" s="37">
        <f>COUNTIF(G$5:G1949,"Y")/COUNTA(G$5:G1949)</f>
        <v/>
      </c>
      <c r="J1949" s="37">
        <f>COUNTIF(H$5:H1949,"Y")/COUNTA(H$5:H1949)</f>
        <v/>
      </c>
      <c r="K1949" s="37">
        <f>AVERAGE(F$5:F1949)</f>
        <v/>
      </c>
      <c r="L1949" s="37">
        <f>SUM(F$5:F1949)/SUM(E$5:E1949)</f>
        <v/>
      </c>
    </row>
    <row r="1950">
      <c r="A1950" s="29" t="n">
        <v>45943</v>
      </c>
      <c r="B1950" s="37" t="inlineStr">
        <is>
          <t>JOB-2946</t>
        </is>
      </c>
      <c r="C1950" s="34" t="n">
        <v>1</v>
      </c>
      <c r="D1950" s="37" t="inlineStr">
        <is>
          <t>Tech H</t>
        </is>
      </c>
      <c r="E1950" s="35" t="n">
        <v>2.2</v>
      </c>
      <c r="F1950" s="35" t="n">
        <v>1.6</v>
      </c>
      <c r="G1950" s="37" t="inlineStr">
        <is>
          <t>Y</t>
        </is>
      </c>
      <c r="H1950" s="37" t="inlineStr">
        <is>
          <t>N</t>
        </is>
      </c>
      <c r="I1950" s="37">
        <f>COUNTIF(G$5:G1950,"Y")/COUNTA(G$5:G1950)</f>
        <v/>
      </c>
      <c r="J1950" s="37">
        <f>COUNTIF(H$5:H1950,"Y")/COUNTA(H$5:H1950)</f>
        <v/>
      </c>
      <c r="K1950" s="37">
        <f>AVERAGE(F$5:F1950)</f>
        <v/>
      </c>
      <c r="L1950" s="37">
        <f>SUM(F$5:F1950)/SUM(E$5:E1950)</f>
        <v/>
      </c>
    </row>
    <row r="1951">
      <c r="A1951" s="29" t="n">
        <v>45944</v>
      </c>
      <c r="B1951" s="37" t="inlineStr">
        <is>
          <t>JOB-2947</t>
        </is>
      </c>
      <c r="C1951" s="34" t="n">
        <v>1</v>
      </c>
      <c r="D1951" s="37" t="inlineStr">
        <is>
          <t>Tech D</t>
        </is>
      </c>
      <c r="E1951" s="35" t="n">
        <v>4.4</v>
      </c>
      <c r="F1951" s="35" t="n">
        <v>3.8</v>
      </c>
      <c r="G1951" s="37" t="inlineStr">
        <is>
          <t>Y</t>
        </is>
      </c>
      <c r="H1951" s="37" t="inlineStr">
        <is>
          <t>N</t>
        </is>
      </c>
      <c r="I1951" s="37">
        <f>COUNTIF(G$5:G1951,"Y")/COUNTA(G$5:G1951)</f>
        <v/>
      </c>
      <c r="J1951" s="37">
        <f>COUNTIF(H$5:H1951,"Y")/COUNTA(H$5:H1951)</f>
        <v/>
      </c>
      <c r="K1951" s="37">
        <f>AVERAGE(F$5:F1951)</f>
        <v/>
      </c>
      <c r="L1951" s="37">
        <f>SUM(F$5:F1951)/SUM(E$5:E1951)</f>
        <v/>
      </c>
    </row>
    <row r="1952">
      <c r="A1952" s="29" t="n">
        <v>45945</v>
      </c>
      <c r="B1952" s="37" t="inlineStr">
        <is>
          <t>JOB-2948</t>
        </is>
      </c>
      <c r="C1952" s="34" t="n">
        <v>1</v>
      </c>
      <c r="D1952" s="37" t="inlineStr">
        <is>
          <t>Tech G</t>
        </is>
      </c>
      <c r="E1952" s="35" t="n">
        <v>1.5</v>
      </c>
      <c r="F1952" s="35" t="n">
        <v>1.3</v>
      </c>
      <c r="G1952" s="37" t="inlineStr">
        <is>
          <t>Y</t>
        </is>
      </c>
      <c r="H1952" s="37" t="inlineStr">
        <is>
          <t>N</t>
        </is>
      </c>
      <c r="I1952" s="37">
        <f>COUNTIF(G$5:G1952,"Y")/COUNTA(G$5:G1952)</f>
        <v/>
      </c>
      <c r="J1952" s="37">
        <f>COUNTIF(H$5:H1952,"Y")/COUNTA(H$5:H1952)</f>
        <v/>
      </c>
      <c r="K1952" s="37">
        <f>AVERAGE(F$5:F1952)</f>
        <v/>
      </c>
      <c r="L1952" s="37">
        <f>SUM(F$5:F1952)/SUM(E$5:E1952)</f>
        <v/>
      </c>
    </row>
    <row r="1953">
      <c r="A1953" s="29" t="n">
        <v>45946</v>
      </c>
      <c r="B1953" s="37" t="inlineStr">
        <is>
          <t>JOB-2949</t>
        </is>
      </c>
      <c r="C1953" s="34" t="n">
        <v>1</v>
      </c>
      <c r="D1953" s="37" t="inlineStr">
        <is>
          <t>Tech B</t>
        </is>
      </c>
      <c r="E1953" s="35" t="n">
        <v>2.7</v>
      </c>
      <c r="F1953" s="35" t="n">
        <v>2.1</v>
      </c>
      <c r="G1953" s="37" t="inlineStr">
        <is>
          <t>Y</t>
        </is>
      </c>
      <c r="H1953" s="37" t="inlineStr">
        <is>
          <t>N</t>
        </is>
      </c>
      <c r="I1953" s="37">
        <f>COUNTIF(G$5:G1953,"Y")/COUNTA(G$5:G1953)</f>
        <v/>
      </c>
      <c r="J1953" s="37">
        <f>COUNTIF(H$5:H1953,"Y")/COUNTA(H$5:H1953)</f>
        <v/>
      </c>
      <c r="K1953" s="37">
        <f>AVERAGE(F$5:F1953)</f>
        <v/>
      </c>
      <c r="L1953" s="37">
        <f>SUM(F$5:F1953)/SUM(E$5:E1953)</f>
        <v/>
      </c>
    </row>
    <row r="1954">
      <c r="A1954" s="29" t="n">
        <v>45947</v>
      </c>
      <c r="B1954" s="37" t="inlineStr">
        <is>
          <t>JOB-2950</t>
        </is>
      </c>
      <c r="C1954" s="34" t="n">
        <v>1</v>
      </c>
      <c r="D1954" s="37" t="inlineStr">
        <is>
          <t>Tech F</t>
        </is>
      </c>
      <c r="E1954" s="35" t="n">
        <v>1.3</v>
      </c>
      <c r="F1954" s="35" t="n">
        <v>2.3</v>
      </c>
      <c r="G1954" s="37" t="inlineStr">
        <is>
          <t>Y</t>
        </is>
      </c>
      <c r="H1954" s="37" t="inlineStr">
        <is>
          <t>N</t>
        </is>
      </c>
      <c r="I1954" s="37">
        <f>COUNTIF(G$5:G1954,"Y")/COUNTA(G$5:G1954)</f>
        <v/>
      </c>
      <c r="J1954" s="37">
        <f>COUNTIF(H$5:H1954,"Y")/COUNTA(H$5:H1954)</f>
        <v/>
      </c>
      <c r="K1954" s="37">
        <f>AVERAGE(F$5:F1954)</f>
        <v/>
      </c>
      <c r="L1954" s="37">
        <f>SUM(F$5:F1954)/SUM(E$5:E1954)</f>
        <v/>
      </c>
    </row>
    <row r="1955">
      <c r="A1955" s="29" t="n">
        <v>45943</v>
      </c>
      <c r="B1955" s="37" t="inlineStr">
        <is>
          <t>JOB-2951</t>
        </is>
      </c>
      <c r="C1955" s="34" t="n">
        <v>1</v>
      </c>
      <c r="D1955" s="37" t="inlineStr">
        <is>
          <t>Tech A</t>
        </is>
      </c>
      <c r="E1955" s="35" t="n">
        <v>0.5</v>
      </c>
      <c r="F1955" s="35" t="n">
        <v>0.5</v>
      </c>
      <c r="G1955" s="37" t="inlineStr">
        <is>
          <t>Y</t>
        </is>
      </c>
      <c r="H1955" s="37" t="inlineStr">
        <is>
          <t>N</t>
        </is>
      </c>
      <c r="I1955" s="37">
        <f>COUNTIF(G$5:G1955,"Y")/COUNTA(G$5:G1955)</f>
        <v/>
      </c>
      <c r="J1955" s="37">
        <f>COUNTIF(H$5:H1955,"Y")/COUNTA(H$5:H1955)</f>
        <v/>
      </c>
      <c r="K1955" s="37">
        <f>AVERAGE(F$5:F1955)</f>
        <v/>
      </c>
      <c r="L1955" s="37">
        <f>SUM(F$5:F1955)/SUM(E$5:E1955)</f>
        <v/>
      </c>
    </row>
    <row r="1956">
      <c r="A1956" s="29" t="n">
        <v>45944</v>
      </c>
      <c r="B1956" s="37" t="inlineStr">
        <is>
          <t>JOB-2952</t>
        </is>
      </c>
      <c r="C1956" s="34" t="n">
        <v>1</v>
      </c>
      <c r="D1956" s="37" t="inlineStr">
        <is>
          <t>Tech A</t>
        </is>
      </c>
      <c r="E1956" s="35" t="n">
        <v>0.5</v>
      </c>
      <c r="F1956" s="35" t="n">
        <v>0.5</v>
      </c>
      <c r="G1956" s="37" t="inlineStr">
        <is>
          <t>Y</t>
        </is>
      </c>
      <c r="H1956" s="37" t="inlineStr">
        <is>
          <t>N</t>
        </is>
      </c>
      <c r="I1956" s="37">
        <f>COUNTIF(G$5:G1956,"Y")/COUNTA(G$5:G1956)</f>
        <v/>
      </c>
      <c r="J1956" s="37">
        <f>COUNTIF(H$5:H1956,"Y")/COUNTA(H$5:H1956)</f>
        <v/>
      </c>
      <c r="K1956" s="37">
        <f>AVERAGE(F$5:F1956)</f>
        <v/>
      </c>
      <c r="L1956" s="37">
        <f>SUM(F$5:F1956)/SUM(E$5:E1956)</f>
        <v/>
      </c>
    </row>
    <row r="1957">
      <c r="A1957" s="29" t="n">
        <v>45945</v>
      </c>
      <c r="B1957" s="37" t="inlineStr">
        <is>
          <t>JOB-2953</t>
        </is>
      </c>
      <c r="C1957" s="34" t="n">
        <v>1</v>
      </c>
      <c r="D1957" s="37" t="inlineStr">
        <is>
          <t>Tech B</t>
        </is>
      </c>
      <c r="E1957" s="35" t="n">
        <v>0.5</v>
      </c>
      <c r="F1957" s="35" t="n">
        <v>0.5</v>
      </c>
      <c r="G1957" s="37" t="inlineStr">
        <is>
          <t>Y</t>
        </is>
      </c>
      <c r="H1957" s="37" t="inlineStr">
        <is>
          <t>N</t>
        </is>
      </c>
      <c r="I1957" s="37">
        <f>COUNTIF(G$5:G1957,"Y")/COUNTA(G$5:G1957)</f>
        <v/>
      </c>
      <c r="J1957" s="37">
        <f>COUNTIF(H$5:H1957,"Y")/COUNTA(H$5:H1957)</f>
        <v/>
      </c>
      <c r="K1957" s="37">
        <f>AVERAGE(F$5:F1957)</f>
        <v/>
      </c>
      <c r="L1957" s="37">
        <f>SUM(F$5:F1957)/SUM(E$5:E1957)</f>
        <v/>
      </c>
    </row>
    <row r="1958">
      <c r="A1958" s="29" t="n">
        <v>45946</v>
      </c>
      <c r="B1958" s="37" t="inlineStr">
        <is>
          <t>JOB-2954</t>
        </is>
      </c>
      <c r="C1958" s="34" t="n">
        <v>1</v>
      </c>
      <c r="D1958" s="37" t="inlineStr">
        <is>
          <t>Tech C</t>
        </is>
      </c>
      <c r="E1958" s="35" t="n">
        <v>0.5</v>
      </c>
      <c r="F1958" s="35" t="n">
        <v>0.5</v>
      </c>
      <c r="G1958" s="37" t="inlineStr">
        <is>
          <t>N</t>
        </is>
      </c>
      <c r="H1958" s="37" t="inlineStr">
        <is>
          <t>N</t>
        </is>
      </c>
      <c r="I1958" s="37">
        <f>COUNTIF(G$5:G1958,"Y")/COUNTA(G$5:G1958)</f>
        <v/>
      </c>
      <c r="J1958" s="37">
        <f>COUNTIF(H$5:H1958,"Y")/COUNTA(H$5:H1958)</f>
        <v/>
      </c>
      <c r="K1958" s="37">
        <f>AVERAGE(F$5:F1958)</f>
        <v/>
      </c>
      <c r="L1958" s="37">
        <f>SUM(F$5:F1958)/SUM(E$5:E1958)</f>
        <v/>
      </c>
      <c r="M1958" s="37" t="n">
        <v>8</v>
      </c>
    </row>
    <row r="1959">
      <c r="A1959" s="29" t="n">
        <v>45950</v>
      </c>
      <c r="B1959" s="37" t="inlineStr">
        <is>
          <t>JOB-2955</t>
        </is>
      </c>
      <c r="C1959" s="34" t="n">
        <v>1</v>
      </c>
      <c r="D1959" s="37" t="inlineStr">
        <is>
          <t>Tech G</t>
        </is>
      </c>
      <c r="E1959" s="35" t="n">
        <v>3.3</v>
      </c>
      <c r="F1959" s="35" t="n">
        <v>2.8</v>
      </c>
      <c r="G1959" s="37" t="inlineStr">
        <is>
          <t>Y</t>
        </is>
      </c>
      <c r="H1959" s="37" t="inlineStr">
        <is>
          <t>N</t>
        </is>
      </c>
      <c r="I1959" s="37">
        <f>COUNTIF(G$5:G1959,"Y")/COUNTA(G$5:G1959)</f>
        <v/>
      </c>
      <c r="J1959" s="37">
        <f>COUNTIF(H$5:H1959,"Y")/COUNTA(H$5:H1959)</f>
        <v/>
      </c>
      <c r="K1959" s="37">
        <f>AVERAGE(F$5:F1959)</f>
        <v/>
      </c>
      <c r="L1959" s="37">
        <f>SUM(F$5:F1959)/SUM(E$5:E1959)</f>
        <v/>
      </c>
    </row>
    <row r="1960">
      <c r="A1960" s="29" t="n">
        <v>45951</v>
      </c>
      <c r="B1960" s="37" t="inlineStr">
        <is>
          <t>JOB-2956</t>
        </is>
      </c>
      <c r="C1960" s="34" t="n">
        <v>1</v>
      </c>
      <c r="D1960" s="37" t="inlineStr">
        <is>
          <t>Tech B</t>
        </is>
      </c>
      <c r="E1960" s="35" t="n">
        <v>3.2</v>
      </c>
      <c r="F1960" s="35" t="n">
        <v>2.4</v>
      </c>
      <c r="G1960" s="37" t="inlineStr">
        <is>
          <t>Y</t>
        </is>
      </c>
      <c r="H1960" s="37" t="inlineStr">
        <is>
          <t>N</t>
        </is>
      </c>
      <c r="I1960" s="37">
        <f>COUNTIF(G$5:G1960,"Y")/COUNTA(G$5:G1960)</f>
        <v/>
      </c>
      <c r="J1960" s="37">
        <f>COUNTIF(H$5:H1960,"Y")/COUNTA(H$5:H1960)</f>
        <v/>
      </c>
      <c r="K1960" s="37">
        <f>AVERAGE(F$5:F1960)</f>
        <v/>
      </c>
      <c r="L1960" s="37">
        <f>SUM(F$5:F1960)/SUM(E$5:E1960)</f>
        <v/>
      </c>
    </row>
    <row r="1961">
      <c r="A1961" s="29" t="n">
        <v>45952</v>
      </c>
      <c r="B1961" s="37" t="inlineStr">
        <is>
          <t>JOB-2957</t>
        </is>
      </c>
      <c r="C1961" s="34" t="n">
        <v>1</v>
      </c>
      <c r="D1961" s="37" t="inlineStr">
        <is>
          <t>Tech C</t>
        </is>
      </c>
      <c r="E1961" s="35" t="n">
        <v>2.6</v>
      </c>
      <c r="F1961" s="35" t="n">
        <v>1.9</v>
      </c>
      <c r="G1961" s="37" t="inlineStr">
        <is>
          <t>Y</t>
        </is>
      </c>
      <c r="H1961" s="37" t="inlineStr">
        <is>
          <t>N</t>
        </is>
      </c>
      <c r="I1961" s="37">
        <f>COUNTIF(G$5:G1961,"Y")/COUNTA(G$5:G1961)</f>
        <v/>
      </c>
      <c r="J1961" s="37">
        <f>COUNTIF(H$5:H1961,"Y")/COUNTA(H$5:H1961)</f>
        <v/>
      </c>
      <c r="K1961" s="37">
        <f>AVERAGE(F$5:F1961)</f>
        <v/>
      </c>
      <c r="L1961" s="37">
        <f>SUM(F$5:F1961)/SUM(E$5:E1961)</f>
        <v/>
      </c>
    </row>
    <row r="1962">
      <c r="A1962" s="29" t="n">
        <v>45953</v>
      </c>
      <c r="B1962" s="37" t="inlineStr">
        <is>
          <t>JOB-2958</t>
        </is>
      </c>
      <c r="C1962" s="34" t="n">
        <v>1</v>
      </c>
      <c r="D1962" s="37" t="inlineStr">
        <is>
          <t>Tech H</t>
        </is>
      </c>
      <c r="E1962" s="35" t="n">
        <v>5.5</v>
      </c>
      <c r="F1962" s="35" t="n">
        <v>4.3</v>
      </c>
      <c r="G1962" s="37" t="inlineStr">
        <is>
          <t>Y</t>
        </is>
      </c>
      <c r="H1962" s="37" t="inlineStr">
        <is>
          <t>N</t>
        </is>
      </c>
      <c r="I1962" s="37">
        <f>COUNTIF(G$5:G1962,"Y")/COUNTA(G$5:G1962)</f>
        <v/>
      </c>
      <c r="J1962" s="37">
        <f>COUNTIF(H$5:H1962,"Y")/COUNTA(H$5:H1962)</f>
        <v/>
      </c>
      <c r="K1962" s="37">
        <f>AVERAGE(F$5:F1962)</f>
        <v/>
      </c>
      <c r="L1962" s="37">
        <f>SUM(F$5:F1962)/SUM(E$5:E1962)</f>
        <v/>
      </c>
    </row>
    <row r="1963">
      <c r="A1963" s="29" t="n">
        <v>45954</v>
      </c>
      <c r="B1963" s="37" t="inlineStr">
        <is>
          <t>JOB-2959</t>
        </is>
      </c>
      <c r="C1963" s="34" t="n">
        <v>1</v>
      </c>
      <c r="D1963" s="37" t="inlineStr">
        <is>
          <t>Tech B</t>
        </is>
      </c>
      <c r="E1963" s="35" t="n">
        <v>4.5</v>
      </c>
      <c r="F1963" s="35" t="n">
        <v>3.9</v>
      </c>
      <c r="G1963" s="37" t="inlineStr">
        <is>
          <t>Y</t>
        </is>
      </c>
      <c r="H1963" s="37" t="inlineStr">
        <is>
          <t>N</t>
        </is>
      </c>
      <c r="I1963" s="37">
        <f>COUNTIF(G$5:G1963,"Y")/COUNTA(G$5:G1963)</f>
        <v/>
      </c>
      <c r="J1963" s="37">
        <f>COUNTIF(H$5:H1963,"Y")/COUNTA(H$5:H1963)</f>
        <v/>
      </c>
      <c r="K1963" s="37">
        <f>AVERAGE(F$5:F1963)</f>
        <v/>
      </c>
      <c r="L1963" s="37">
        <f>SUM(F$5:F1963)/SUM(E$5:E1963)</f>
        <v/>
      </c>
    </row>
    <row r="1964">
      <c r="A1964" s="29" t="n">
        <v>45950</v>
      </c>
      <c r="B1964" s="37" t="inlineStr">
        <is>
          <t>JOB-2960</t>
        </is>
      </c>
      <c r="C1964" s="34" t="n">
        <v>1</v>
      </c>
      <c r="D1964" s="37" t="inlineStr">
        <is>
          <t>Tech H</t>
        </is>
      </c>
      <c r="E1964" s="35" t="n">
        <v>3.1</v>
      </c>
      <c r="F1964" s="35" t="n">
        <v>2.2</v>
      </c>
      <c r="G1964" s="37" t="inlineStr">
        <is>
          <t>N</t>
        </is>
      </c>
      <c r="H1964" s="37" t="inlineStr">
        <is>
          <t>N</t>
        </is>
      </c>
      <c r="I1964" s="37">
        <f>COUNTIF(G$5:G1964,"Y")/COUNTA(G$5:G1964)</f>
        <v/>
      </c>
      <c r="J1964" s="37">
        <f>COUNTIF(H$5:H1964,"Y")/COUNTA(H$5:H1964)</f>
        <v/>
      </c>
      <c r="K1964" s="37">
        <f>AVERAGE(F$5:F1964)</f>
        <v/>
      </c>
      <c r="L1964" s="37">
        <f>SUM(F$5:F1964)/SUM(E$5:E1964)</f>
        <v/>
      </c>
    </row>
    <row r="1965">
      <c r="A1965" s="29" t="n">
        <v>45951</v>
      </c>
      <c r="B1965" s="37" t="inlineStr">
        <is>
          <t>JOB-2961</t>
        </is>
      </c>
      <c r="C1965" s="34" t="n">
        <v>1</v>
      </c>
      <c r="D1965" s="37" t="inlineStr">
        <is>
          <t>Tech D</t>
        </is>
      </c>
      <c r="E1965" s="35" t="n">
        <v>1.8</v>
      </c>
      <c r="F1965" s="35" t="n">
        <v>1.3</v>
      </c>
      <c r="G1965" s="37" t="inlineStr">
        <is>
          <t>Y</t>
        </is>
      </c>
      <c r="H1965" s="37" t="inlineStr">
        <is>
          <t>N</t>
        </is>
      </c>
      <c r="I1965" s="37">
        <f>COUNTIF(G$5:G1965,"Y")/COUNTA(G$5:G1965)</f>
        <v/>
      </c>
      <c r="J1965" s="37">
        <f>COUNTIF(H$5:H1965,"Y")/COUNTA(H$5:H1965)</f>
        <v/>
      </c>
      <c r="K1965" s="37">
        <f>AVERAGE(F$5:F1965)</f>
        <v/>
      </c>
      <c r="L1965" s="37">
        <f>SUM(F$5:F1965)/SUM(E$5:E1965)</f>
        <v/>
      </c>
    </row>
    <row r="1966">
      <c r="A1966" s="29" t="n">
        <v>45952</v>
      </c>
      <c r="B1966" s="37" t="inlineStr">
        <is>
          <t>JOB-2962</t>
        </is>
      </c>
      <c r="C1966" s="34" t="n">
        <v>1</v>
      </c>
      <c r="D1966" s="37" t="inlineStr">
        <is>
          <t>Tech H</t>
        </is>
      </c>
      <c r="E1966" s="35" t="n">
        <v>3.6</v>
      </c>
      <c r="F1966" s="35" t="n">
        <v>2.5</v>
      </c>
      <c r="G1966" s="37" t="inlineStr">
        <is>
          <t>Y</t>
        </is>
      </c>
      <c r="H1966" s="37" t="inlineStr">
        <is>
          <t>N</t>
        </is>
      </c>
      <c r="I1966" s="37">
        <f>COUNTIF(G$5:G1966,"Y")/COUNTA(G$5:G1966)</f>
        <v/>
      </c>
      <c r="J1966" s="37">
        <f>COUNTIF(H$5:H1966,"Y")/COUNTA(H$5:H1966)</f>
        <v/>
      </c>
      <c r="K1966" s="37">
        <f>AVERAGE(F$5:F1966)</f>
        <v/>
      </c>
      <c r="L1966" s="37">
        <f>SUM(F$5:F1966)/SUM(E$5:E1966)</f>
        <v/>
      </c>
    </row>
    <row r="1967">
      <c r="A1967" s="29" t="n">
        <v>45953</v>
      </c>
      <c r="B1967" s="37" t="inlineStr">
        <is>
          <t>JOB-2963</t>
        </is>
      </c>
      <c r="C1967" s="34" t="n">
        <v>1</v>
      </c>
      <c r="D1967" s="37" t="inlineStr">
        <is>
          <t>Tech C</t>
        </is>
      </c>
      <c r="E1967" s="35" t="n">
        <v>4.2</v>
      </c>
      <c r="F1967" s="35" t="n">
        <v>3.5</v>
      </c>
      <c r="G1967" s="37" t="inlineStr">
        <is>
          <t>Y</t>
        </is>
      </c>
      <c r="H1967" s="37" t="inlineStr">
        <is>
          <t>N</t>
        </is>
      </c>
      <c r="I1967" s="37">
        <f>COUNTIF(G$5:G1967,"Y")/COUNTA(G$5:G1967)</f>
        <v/>
      </c>
      <c r="J1967" s="37">
        <f>COUNTIF(H$5:H1967,"Y")/COUNTA(H$5:H1967)</f>
        <v/>
      </c>
      <c r="K1967" s="37">
        <f>AVERAGE(F$5:F1967)</f>
        <v/>
      </c>
      <c r="L1967" s="37">
        <f>SUM(F$5:F1967)/SUM(E$5:E1967)</f>
        <v/>
      </c>
    </row>
    <row r="1968">
      <c r="A1968" s="29" t="n">
        <v>45954</v>
      </c>
      <c r="B1968" s="37" t="inlineStr">
        <is>
          <t>JOB-2964</t>
        </is>
      </c>
      <c r="C1968" s="34" t="n">
        <v>1</v>
      </c>
      <c r="D1968" s="37" t="inlineStr">
        <is>
          <t>Tech A</t>
        </is>
      </c>
      <c r="E1968" s="35" t="n">
        <v>4.3</v>
      </c>
      <c r="F1968" s="35" t="n">
        <v>3.5</v>
      </c>
      <c r="G1968" s="37" t="inlineStr">
        <is>
          <t>Y</t>
        </is>
      </c>
      <c r="H1968" s="37" t="inlineStr">
        <is>
          <t>N</t>
        </is>
      </c>
      <c r="I1968" s="37">
        <f>COUNTIF(G$5:G1968,"Y")/COUNTA(G$5:G1968)</f>
        <v/>
      </c>
      <c r="J1968" s="37">
        <f>COUNTIF(H$5:H1968,"Y")/COUNTA(H$5:H1968)</f>
        <v/>
      </c>
      <c r="K1968" s="37">
        <f>AVERAGE(F$5:F1968)</f>
        <v/>
      </c>
      <c r="L1968" s="37">
        <f>SUM(F$5:F1968)/SUM(E$5:E1968)</f>
        <v/>
      </c>
    </row>
    <row r="1969">
      <c r="A1969" s="29" t="n">
        <v>45950</v>
      </c>
      <c r="B1969" s="37" t="inlineStr">
        <is>
          <t>JOB-2965</t>
        </is>
      </c>
      <c r="C1969" s="34" t="n">
        <v>1</v>
      </c>
      <c r="D1969" s="37" t="inlineStr">
        <is>
          <t>Tech B</t>
        </is>
      </c>
      <c r="E1969" s="35" t="n">
        <v>2</v>
      </c>
      <c r="F1969" s="35" t="n">
        <v>1.8</v>
      </c>
      <c r="G1969" s="37" t="inlineStr">
        <is>
          <t>Y</t>
        </is>
      </c>
      <c r="H1969" s="37" t="inlineStr">
        <is>
          <t>N</t>
        </is>
      </c>
      <c r="I1969" s="37">
        <f>COUNTIF(G$5:G1969,"Y")/COUNTA(G$5:G1969)</f>
        <v/>
      </c>
      <c r="J1969" s="37">
        <f>COUNTIF(H$5:H1969,"Y")/COUNTA(H$5:H1969)</f>
        <v/>
      </c>
      <c r="K1969" s="37">
        <f>AVERAGE(F$5:F1969)</f>
        <v/>
      </c>
      <c r="L1969" s="37">
        <f>SUM(F$5:F1969)/SUM(E$5:E1969)</f>
        <v/>
      </c>
    </row>
    <row r="1970">
      <c r="A1970" s="29" t="n">
        <v>45951</v>
      </c>
      <c r="B1970" s="37" t="inlineStr">
        <is>
          <t>JOB-2966</t>
        </is>
      </c>
      <c r="C1970" s="34" t="n">
        <v>1</v>
      </c>
      <c r="D1970" s="37" t="inlineStr">
        <is>
          <t>Tech G</t>
        </is>
      </c>
      <c r="E1970" s="35" t="n">
        <v>6.1</v>
      </c>
      <c r="F1970" s="35" t="n">
        <v>4.1</v>
      </c>
      <c r="G1970" s="37" t="inlineStr">
        <is>
          <t>Y</t>
        </is>
      </c>
      <c r="H1970" s="37" t="inlineStr">
        <is>
          <t>N</t>
        </is>
      </c>
      <c r="I1970" s="37">
        <f>COUNTIF(G$5:G1970,"Y")/COUNTA(G$5:G1970)</f>
        <v/>
      </c>
      <c r="J1970" s="37">
        <f>COUNTIF(H$5:H1970,"Y")/COUNTA(H$5:H1970)</f>
        <v/>
      </c>
      <c r="K1970" s="37">
        <f>AVERAGE(F$5:F1970)</f>
        <v/>
      </c>
      <c r="L1970" s="37">
        <f>SUM(F$5:F1970)/SUM(E$5:E1970)</f>
        <v/>
      </c>
    </row>
    <row r="1971">
      <c r="A1971" s="29" t="n">
        <v>45952</v>
      </c>
      <c r="B1971" s="37" t="inlineStr">
        <is>
          <t>JOB-2967</t>
        </is>
      </c>
      <c r="C1971" s="34" t="n">
        <v>1</v>
      </c>
      <c r="D1971" s="37" t="inlineStr">
        <is>
          <t>Tech D</t>
        </is>
      </c>
      <c r="E1971" s="35" t="n">
        <v>5.1</v>
      </c>
      <c r="F1971" s="35" t="n">
        <v>3.7</v>
      </c>
      <c r="G1971" s="37" t="inlineStr">
        <is>
          <t>Y</t>
        </is>
      </c>
      <c r="H1971" s="37" t="inlineStr">
        <is>
          <t>N</t>
        </is>
      </c>
      <c r="I1971" s="37">
        <f>COUNTIF(G$5:G1971,"Y")/COUNTA(G$5:G1971)</f>
        <v/>
      </c>
      <c r="J1971" s="37">
        <f>COUNTIF(H$5:H1971,"Y")/COUNTA(H$5:H1971)</f>
        <v/>
      </c>
      <c r="K1971" s="37">
        <f>AVERAGE(F$5:F1971)</f>
        <v/>
      </c>
      <c r="L1971" s="37">
        <f>SUM(F$5:F1971)/SUM(E$5:E1971)</f>
        <v/>
      </c>
    </row>
    <row r="1972">
      <c r="A1972" s="29" t="n">
        <v>45953</v>
      </c>
      <c r="B1972" s="37" t="inlineStr">
        <is>
          <t>JOB-2968</t>
        </is>
      </c>
      <c r="C1972" s="34" t="n">
        <v>1</v>
      </c>
      <c r="D1972" s="37" t="inlineStr">
        <is>
          <t>Tech A</t>
        </is>
      </c>
      <c r="E1972" s="35" t="n">
        <v>2.7</v>
      </c>
      <c r="F1972" s="35" t="n">
        <v>1.9</v>
      </c>
      <c r="G1972" s="37" t="inlineStr">
        <is>
          <t>Y</t>
        </is>
      </c>
      <c r="H1972" s="37" t="inlineStr">
        <is>
          <t>N</t>
        </is>
      </c>
      <c r="I1972" s="37">
        <f>COUNTIF(G$5:G1972,"Y")/COUNTA(G$5:G1972)</f>
        <v/>
      </c>
      <c r="J1972" s="37">
        <f>COUNTIF(H$5:H1972,"Y")/COUNTA(H$5:H1972)</f>
        <v/>
      </c>
      <c r="K1972" s="37">
        <f>AVERAGE(F$5:F1972)</f>
        <v/>
      </c>
      <c r="L1972" s="37">
        <f>SUM(F$5:F1972)/SUM(E$5:E1972)</f>
        <v/>
      </c>
    </row>
    <row r="1973">
      <c r="A1973" s="29" t="n">
        <v>45954</v>
      </c>
      <c r="B1973" s="37" t="inlineStr">
        <is>
          <t>JOB-2969</t>
        </is>
      </c>
      <c r="C1973" s="34" t="n">
        <v>1</v>
      </c>
      <c r="D1973" s="37" t="inlineStr">
        <is>
          <t>Tech A</t>
        </is>
      </c>
      <c r="E1973" s="35" t="n">
        <v>3.3</v>
      </c>
      <c r="F1973" s="35" t="n">
        <v>2.8</v>
      </c>
      <c r="G1973" s="37" t="inlineStr">
        <is>
          <t>Y</t>
        </is>
      </c>
      <c r="H1973" s="37" t="inlineStr">
        <is>
          <t>N</t>
        </is>
      </c>
      <c r="I1973" s="37">
        <f>COUNTIF(G$5:G1973,"Y")/COUNTA(G$5:G1973)</f>
        <v/>
      </c>
      <c r="J1973" s="37">
        <f>COUNTIF(H$5:H1973,"Y")/COUNTA(H$5:H1973)</f>
        <v/>
      </c>
      <c r="K1973" s="37">
        <f>AVERAGE(F$5:F1973)</f>
        <v/>
      </c>
      <c r="L1973" s="37">
        <f>SUM(F$5:F1973)/SUM(E$5:E1973)</f>
        <v/>
      </c>
    </row>
    <row r="1974">
      <c r="A1974" s="29" t="n">
        <v>45950</v>
      </c>
      <c r="B1974" s="37" t="inlineStr">
        <is>
          <t>JOB-2970</t>
        </is>
      </c>
      <c r="C1974" s="34" t="n">
        <v>1</v>
      </c>
      <c r="D1974" s="37" t="inlineStr">
        <is>
          <t>Tech A</t>
        </is>
      </c>
      <c r="E1974" s="35" t="n">
        <v>3.6</v>
      </c>
      <c r="F1974" s="35" t="n">
        <v>3.2</v>
      </c>
      <c r="G1974" s="37" t="inlineStr">
        <is>
          <t>Y</t>
        </is>
      </c>
      <c r="H1974" s="37" t="inlineStr">
        <is>
          <t>N</t>
        </is>
      </c>
      <c r="I1974" s="37">
        <f>COUNTIF(G$5:G1974,"Y")/COUNTA(G$5:G1974)</f>
        <v/>
      </c>
      <c r="J1974" s="37">
        <f>COUNTIF(H$5:H1974,"Y")/COUNTA(H$5:H1974)</f>
        <v/>
      </c>
      <c r="K1974" s="37">
        <f>AVERAGE(F$5:F1974)</f>
        <v/>
      </c>
      <c r="L1974" s="37">
        <f>SUM(F$5:F1974)/SUM(E$5:E1974)</f>
        <v/>
      </c>
    </row>
    <row r="1975">
      <c r="A1975" s="29" t="n">
        <v>45951</v>
      </c>
      <c r="B1975" s="37" t="inlineStr">
        <is>
          <t>JOB-2971</t>
        </is>
      </c>
      <c r="C1975" s="34" t="n">
        <v>1</v>
      </c>
      <c r="D1975" s="37" t="inlineStr">
        <is>
          <t>Tech G</t>
        </is>
      </c>
      <c r="E1975" s="35" t="n">
        <v>4</v>
      </c>
      <c r="F1975" s="35" t="n">
        <v>2.7</v>
      </c>
      <c r="G1975" s="37" t="inlineStr">
        <is>
          <t>Y</t>
        </is>
      </c>
      <c r="H1975" s="37" t="inlineStr">
        <is>
          <t>N</t>
        </is>
      </c>
      <c r="I1975" s="37">
        <f>COUNTIF(G$5:G1975,"Y")/COUNTA(G$5:G1975)</f>
        <v/>
      </c>
      <c r="J1975" s="37">
        <f>COUNTIF(H$5:H1975,"Y")/COUNTA(H$5:H1975)</f>
        <v/>
      </c>
      <c r="K1975" s="37">
        <f>AVERAGE(F$5:F1975)</f>
        <v/>
      </c>
      <c r="L1975" s="37">
        <f>SUM(F$5:F1975)/SUM(E$5:E1975)</f>
        <v/>
      </c>
    </row>
    <row r="1976">
      <c r="A1976" s="29" t="n">
        <v>45952</v>
      </c>
      <c r="B1976" s="37" t="inlineStr">
        <is>
          <t>JOB-2972</t>
        </is>
      </c>
      <c r="C1976" s="34" t="n">
        <v>1</v>
      </c>
      <c r="D1976" s="37" t="inlineStr">
        <is>
          <t>Tech H</t>
        </is>
      </c>
      <c r="E1976" s="35" t="n">
        <v>2.1</v>
      </c>
      <c r="F1976" s="35" t="n">
        <v>1.4</v>
      </c>
      <c r="G1976" s="37" t="inlineStr">
        <is>
          <t>Y</t>
        </is>
      </c>
      <c r="H1976" s="37" t="inlineStr">
        <is>
          <t>N</t>
        </is>
      </c>
      <c r="I1976" s="37">
        <f>COUNTIF(G$5:G1976,"Y")/COUNTA(G$5:G1976)</f>
        <v/>
      </c>
      <c r="J1976" s="37">
        <f>COUNTIF(H$5:H1976,"Y")/COUNTA(H$5:H1976)</f>
        <v/>
      </c>
      <c r="K1976" s="37">
        <f>AVERAGE(F$5:F1976)</f>
        <v/>
      </c>
      <c r="L1976" s="37">
        <f>SUM(F$5:F1976)/SUM(E$5:E1976)</f>
        <v/>
      </c>
    </row>
    <row r="1977">
      <c r="A1977" s="29" t="n">
        <v>45953</v>
      </c>
      <c r="B1977" s="37" t="inlineStr">
        <is>
          <t>JOB-2973</t>
        </is>
      </c>
      <c r="C1977" s="34" t="n">
        <v>1</v>
      </c>
      <c r="D1977" s="37" t="inlineStr">
        <is>
          <t>Tech D</t>
        </is>
      </c>
      <c r="E1977" s="35" t="n">
        <v>4.7</v>
      </c>
      <c r="F1977" s="35" t="n">
        <v>4.1</v>
      </c>
      <c r="G1977" s="37" t="inlineStr">
        <is>
          <t>Y</t>
        </is>
      </c>
      <c r="H1977" s="37" t="inlineStr">
        <is>
          <t>N</t>
        </is>
      </c>
      <c r="I1977" s="37">
        <f>COUNTIF(G$5:G1977,"Y")/COUNTA(G$5:G1977)</f>
        <v/>
      </c>
      <c r="J1977" s="37">
        <f>COUNTIF(H$5:H1977,"Y")/COUNTA(H$5:H1977)</f>
        <v/>
      </c>
      <c r="K1977" s="37">
        <f>AVERAGE(F$5:F1977)</f>
        <v/>
      </c>
      <c r="L1977" s="37">
        <f>SUM(F$5:F1977)/SUM(E$5:E1977)</f>
        <v/>
      </c>
    </row>
    <row r="1978">
      <c r="A1978" s="29" t="n">
        <v>45954</v>
      </c>
      <c r="B1978" s="37" t="inlineStr">
        <is>
          <t>JOB-2974</t>
        </is>
      </c>
      <c r="C1978" s="34" t="n">
        <v>1</v>
      </c>
      <c r="D1978" s="37" t="inlineStr">
        <is>
          <t>Tech F</t>
        </is>
      </c>
      <c r="E1978" s="35" t="n">
        <v>2.2</v>
      </c>
      <c r="F1978" s="35" t="n">
        <v>1.7</v>
      </c>
      <c r="G1978" s="37" t="inlineStr">
        <is>
          <t>Y</t>
        </is>
      </c>
      <c r="H1978" s="37" t="inlineStr">
        <is>
          <t>N</t>
        </is>
      </c>
      <c r="I1978" s="37">
        <f>COUNTIF(G$5:G1978,"Y")/COUNTA(G$5:G1978)</f>
        <v/>
      </c>
      <c r="J1978" s="37">
        <f>COUNTIF(H$5:H1978,"Y")/COUNTA(H$5:H1978)</f>
        <v/>
      </c>
      <c r="K1978" s="37">
        <f>AVERAGE(F$5:F1978)</f>
        <v/>
      </c>
      <c r="L1978" s="37">
        <f>SUM(F$5:F1978)/SUM(E$5:E1978)</f>
        <v/>
      </c>
    </row>
    <row r="1979">
      <c r="A1979" s="29" t="n">
        <v>45950</v>
      </c>
      <c r="B1979" s="37" t="inlineStr">
        <is>
          <t>JOB-2975</t>
        </is>
      </c>
      <c r="C1979" s="34" t="n">
        <v>1</v>
      </c>
      <c r="D1979" s="37" t="inlineStr">
        <is>
          <t>Tech D</t>
        </is>
      </c>
      <c r="E1979" s="35" t="n">
        <v>4.4</v>
      </c>
      <c r="F1979" s="35" t="n">
        <v>3.7</v>
      </c>
      <c r="G1979" s="37" t="inlineStr">
        <is>
          <t>Y</t>
        </is>
      </c>
      <c r="H1979" s="37" t="inlineStr">
        <is>
          <t>N</t>
        </is>
      </c>
      <c r="I1979" s="37">
        <f>COUNTIF(G$5:G1979,"Y")/COUNTA(G$5:G1979)</f>
        <v/>
      </c>
      <c r="J1979" s="37">
        <f>COUNTIF(H$5:H1979,"Y")/COUNTA(H$5:H1979)</f>
        <v/>
      </c>
      <c r="K1979" s="37">
        <f>AVERAGE(F$5:F1979)</f>
        <v/>
      </c>
      <c r="L1979" s="37">
        <f>SUM(F$5:F1979)/SUM(E$5:E1979)</f>
        <v/>
      </c>
    </row>
    <row r="1980">
      <c r="A1980" s="29" t="n">
        <v>45951</v>
      </c>
      <c r="B1980" s="37" t="inlineStr">
        <is>
          <t>JOB-2976</t>
        </is>
      </c>
      <c r="C1980" s="34" t="n">
        <v>1</v>
      </c>
      <c r="D1980" s="37" t="inlineStr">
        <is>
          <t>Tech H</t>
        </is>
      </c>
      <c r="E1980" s="35" t="n">
        <v>3.6</v>
      </c>
      <c r="F1980" s="35" t="n">
        <v>2.8</v>
      </c>
      <c r="G1980" s="37" t="inlineStr">
        <is>
          <t>Y</t>
        </is>
      </c>
      <c r="H1980" s="37" t="inlineStr">
        <is>
          <t>N</t>
        </is>
      </c>
      <c r="I1980" s="37">
        <f>COUNTIF(G$5:G1980,"Y")/COUNTA(G$5:G1980)</f>
        <v/>
      </c>
      <c r="J1980" s="37">
        <f>COUNTIF(H$5:H1980,"Y")/COUNTA(H$5:H1980)</f>
        <v/>
      </c>
      <c r="K1980" s="37">
        <f>AVERAGE(F$5:F1980)</f>
        <v/>
      </c>
      <c r="L1980" s="37">
        <f>SUM(F$5:F1980)/SUM(E$5:E1980)</f>
        <v/>
      </c>
    </row>
    <row r="1981">
      <c r="A1981" s="29" t="n">
        <v>45952</v>
      </c>
      <c r="B1981" s="37" t="inlineStr">
        <is>
          <t>JOB-2977</t>
        </is>
      </c>
      <c r="C1981" s="34" t="n">
        <v>1</v>
      </c>
      <c r="D1981" s="37" t="inlineStr">
        <is>
          <t>Tech C</t>
        </is>
      </c>
      <c r="E1981" s="35" t="n">
        <v>3.2</v>
      </c>
      <c r="F1981" s="35" t="n">
        <v>2.7</v>
      </c>
      <c r="G1981" s="37" t="inlineStr">
        <is>
          <t>Y</t>
        </is>
      </c>
      <c r="H1981" s="37" t="inlineStr">
        <is>
          <t>N</t>
        </is>
      </c>
      <c r="I1981" s="37">
        <f>COUNTIF(G$5:G1981,"Y")/COUNTA(G$5:G1981)</f>
        <v/>
      </c>
      <c r="J1981" s="37">
        <f>COUNTIF(H$5:H1981,"Y")/COUNTA(H$5:H1981)</f>
        <v/>
      </c>
      <c r="K1981" s="37">
        <f>AVERAGE(F$5:F1981)</f>
        <v/>
      </c>
      <c r="L1981" s="37">
        <f>SUM(F$5:F1981)/SUM(E$5:E1981)</f>
        <v/>
      </c>
    </row>
    <row r="1982">
      <c r="A1982" s="29" t="n">
        <v>45953</v>
      </c>
      <c r="B1982" s="37" t="inlineStr">
        <is>
          <t>JOB-2978</t>
        </is>
      </c>
      <c r="C1982" s="34" t="n">
        <v>1</v>
      </c>
      <c r="D1982" s="37" t="inlineStr">
        <is>
          <t>Tech H</t>
        </is>
      </c>
      <c r="E1982" s="35" t="n">
        <v>2.3</v>
      </c>
      <c r="F1982" s="35" t="n">
        <v>1.8</v>
      </c>
      <c r="G1982" s="37" t="inlineStr">
        <is>
          <t>Y</t>
        </is>
      </c>
      <c r="H1982" s="37" t="inlineStr">
        <is>
          <t>N</t>
        </is>
      </c>
      <c r="I1982" s="37">
        <f>COUNTIF(G$5:G1982,"Y")/COUNTA(G$5:G1982)</f>
        <v/>
      </c>
      <c r="J1982" s="37">
        <f>COUNTIF(H$5:H1982,"Y")/COUNTA(H$5:H1982)</f>
        <v/>
      </c>
      <c r="K1982" s="37">
        <f>AVERAGE(F$5:F1982)</f>
        <v/>
      </c>
      <c r="L1982" s="37">
        <f>SUM(F$5:F1982)/SUM(E$5:E1982)</f>
        <v/>
      </c>
    </row>
    <row r="1983">
      <c r="A1983" s="29" t="n">
        <v>45954</v>
      </c>
      <c r="B1983" s="37" t="inlineStr">
        <is>
          <t>JOB-2979</t>
        </is>
      </c>
      <c r="C1983" s="34" t="n">
        <v>1</v>
      </c>
      <c r="D1983" s="37" t="inlineStr">
        <is>
          <t>Tech D</t>
        </is>
      </c>
      <c r="E1983" s="35" t="n">
        <v>3.8</v>
      </c>
      <c r="F1983" s="35" t="n">
        <v>3.1</v>
      </c>
      <c r="G1983" s="37" t="inlineStr">
        <is>
          <t>N</t>
        </is>
      </c>
      <c r="H1983" s="37" t="inlineStr">
        <is>
          <t>Y</t>
        </is>
      </c>
      <c r="I1983" s="37">
        <f>COUNTIF(G$5:G1983,"Y")/COUNTA(G$5:G1983)</f>
        <v/>
      </c>
      <c r="J1983" s="37">
        <f>COUNTIF(H$5:H1983,"Y")/COUNTA(H$5:H1983)</f>
        <v/>
      </c>
      <c r="K1983" s="37">
        <f>AVERAGE(F$5:F1983)</f>
        <v/>
      </c>
      <c r="L1983" s="37">
        <f>SUM(F$5:F1983)/SUM(E$5:E1983)</f>
        <v/>
      </c>
    </row>
    <row r="1984">
      <c r="A1984" s="29" t="n">
        <v>45950</v>
      </c>
      <c r="B1984" s="37" t="inlineStr">
        <is>
          <t>JOB-2980</t>
        </is>
      </c>
      <c r="C1984" s="34" t="n">
        <v>1</v>
      </c>
      <c r="D1984" s="37" t="inlineStr">
        <is>
          <t>Tech B</t>
        </is>
      </c>
      <c r="E1984" s="35" t="n">
        <v>4.4</v>
      </c>
      <c r="F1984" s="35" t="n">
        <v>3</v>
      </c>
      <c r="G1984" s="37" t="inlineStr">
        <is>
          <t>Y</t>
        </is>
      </c>
      <c r="H1984" s="37" t="inlineStr">
        <is>
          <t>N</t>
        </is>
      </c>
      <c r="I1984" s="37">
        <f>COUNTIF(G$5:G1984,"Y")/COUNTA(G$5:G1984)</f>
        <v/>
      </c>
      <c r="J1984" s="37">
        <f>COUNTIF(H$5:H1984,"Y")/COUNTA(H$5:H1984)</f>
        <v/>
      </c>
      <c r="K1984" s="37">
        <f>AVERAGE(F$5:F1984)</f>
        <v/>
      </c>
      <c r="L1984" s="37">
        <f>SUM(F$5:F1984)/SUM(E$5:E1984)</f>
        <v/>
      </c>
    </row>
    <row r="1985">
      <c r="A1985" s="29" t="n">
        <v>45951</v>
      </c>
      <c r="B1985" s="37" t="inlineStr">
        <is>
          <t>JOB-2981</t>
        </is>
      </c>
      <c r="C1985" s="34" t="n">
        <v>1</v>
      </c>
      <c r="D1985" s="37" t="inlineStr">
        <is>
          <t>Tech B</t>
        </is>
      </c>
      <c r="E1985" s="35" t="n">
        <v>2.6</v>
      </c>
      <c r="F1985" s="35" t="n">
        <v>1.8</v>
      </c>
      <c r="G1985" s="37" t="inlineStr">
        <is>
          <t>Y</t>
        </is>
      </c>
      <c r="H1985" s="37" t="inlineStr">
        <is>
          <t>N</t>
        </is>
      </c>
      <c r="I1985" s="37">
        <f>COUNTIF(G$5:G1985,"Y")/COUNTA(G$5:G1985)</f>
        <v/>
      </c>
      <c r="J1985" s="37">
        <f>COUNTIF(H$5:H1985,"Y")/COUNTA(H$5:H1985)</f>
        <v/>
      </c>
      <c r="K1985" s="37">
        <f>AVERAGE(F$5:F1985)</f>
        <v/>
      </c>
      <c r="L1985" s="37">
        <f>SUM(F$5:F1985)/SUM(E$5:E1985)</f>
        <v/>
      </c>
    </row>
    <row r="1986">
      <c r="A1986" s="29" t="n">
        <v>45952</v>
      </c>
      <c r="B1986" s="37" t="inlineStr">
        <is>
          <t>JOB-2982</t>
        </is>
      </c>
      <c r="C1986" s="34" t="n">
        <v>1</v>
      </c>
      <c r="D1986" s="37" t="inlineStr">
        <is>
          <t>Tech C</t>
        </is>
      </c>
      <c r="E1986" s="35" t="n">
        <v>4</v>
      </c>
      <c r="F1986" s="35" t="n">
        <v>2.7</v>
      </c>
      <c r="G1986" s="37" t="inlineStr">
        <is>
          <t>Y</t>
        </is>
      </c>
      <c r="H1986" s="37" t="inlineStr">
        <is>
          <t>N</t>
        </is>
      </c>
      <c r="I1986" s="37">
        <f>COUNTIF(G$5:G1986,"Y")/COUNTA(G$5:G1986)</f>
        <v/>
      </c>
      <c r="J1986" s="37">
        <f>COUNTIF(H$5:H1986,"Y")/COUNTA(H$5:H1986)</f>
        <v/>
      </c>
      <c r="K1986" s="37">
        <f>AVERAGE(F$5:F1986)</f>
        <v/>
      </c>
      <c r="L1986" s="37">
        <f>SUM(F$5:F1986)/SUM(E$5:E1986)</f>
        <v/>
      </c>
    </row>
    <row r="1987">
      <c r="A1987" s="29" t="n">
        <v>45953</v>
      </c>
      <c r="B1987" s="37" t="inlineStr">
        <is>
          <t>JOB-2983</t>
        </is>
      </c>
      <c r="C1987" s="34" t="n">
        <v>1</v>
      </c>
      <c r="D1987" s="37" t="inlineStr">
        <is>
          <t>Tech B</t>
        </is>
      </c>
      <c r="E1987" s="35" t="n">
        <v>2.9</v>
      </c>
      <c r="F1987" s="35" t="n">
        <v>2.3</v>
      </c>
      <c r="G1987" s="37" t="inlineStr">
        <is>
          <t>Y</t>
        </is>
      </c>
      <c r="H1987" s="37" t="inlineStr">
        <is>
          <t>N</t>
        </is>
      </c>
      <c r="I1987" s="37">
        <f>COUNTIF(G$5:G1987,"Y")/COUNTA(G$5:G1987)</f>
        <v/>
      </c>
      <c r="J1987" s="37">
        <f>COUNTIF(H$5:H1987,"Y")/COUNTA(H$5:H1987)</f>
        <v/>
      </c>
      <c r="K1987" s="37">
        <f>AVERAGE(F$5:F1987)</f>
        <v/>
      </c>
      <c r="L1987" s="37">
        <f>SUM(F$5:F1987)/SUM(E$5:E1987)</f>
        <v/>
      </c>
    </row>
    <row r="1988">
      <c r="A1988" s="29" t="n">
        <v>45954</v>
      </c>
      <c r="B1988" s="37" t="inlineStr">
        <is>
          <t>JOB-2984</t>
        </is>
      </c>
      <c r="C1988" s="34" t="n">
        <v>1</v>
      </c>
      <c r="D1988" s="37" t="inlineStr">
        <is>
          <t>Tech H</t>
        </is>
      </c>
      <c r="E1988" s="35" t="n">
        <v>3.4</v>
      </c>
      <c r="F1988" s="35" t="n">
        <v>2.7</v>
      </c>
      <c r="G1988" s="37" t="inlineStr">
        <is>
          <t>N</t>
        </is>
      </c>
      <c r="H1988" s="37" t="inlineStr">
        <is>
          <t>N</t>
        </is>
      </c>
      <c r="I1988" s="37">
        <f>COUNTIF(G$5:G1988,"Y")/COUNTA(G$5:G1988)</f>
        <v/>
      </c>
      <c r="J1988" s="37">
        <f>COUNTIF(H$5:H1988,"Y")/COUNTA(H$5:H1988)</f>
        <v/>
      </c>
      <c r="K1988" s="37">
        <f>AVERAGE(F$5:F1988)</f>
        <v/>
      </c>
      <c r="L1988" s="37">
        <f>SUM(F$5:F1988)/SUM(E$5:E1988)</f>
        <v/>
      </c>
    </row>
    <row r="1989">
      <c r="A1989" s="29" t="n">
        <v>45950</v>
      </c>
      <c r="B1989" s="37" t="inlineStr">
        <is>
          <t>JOB-2985</t>
        </is>
      </c>
      <c r="C1989" s="34" t="n">
        <v>1</v>
      </c>
      <c r="D1989" s="37" t="inlineStr">
        <is>
          <t>Tech B</t>
        </is>
      </c>
      <c r="E1989" s="35" t="n">
        <v>3.9</v>
      </c>
      <c r="F1989" s="35" t="n">
        <v>3.1</v>
      </c>
      <c r="G1989" s="37" t="inlineStr">
        <is>
          <t>Y</t>
        </is>
      </c>
      <c r="H1989" s="37" t="inlineStr">
        <is>
          <t>N</t>
        </is>
      </c>
      <c r="I1989" s="37">
        <f>COUNTIF(G$5:G1989,"Y")/COUNTA(G$5:G1989)</f>
        <v/>
      </c>
      <c r="J1989" s="37">
        <f>COUNTIF(H$5:H1989,"Y")/COUNTA(H$5:H1989)</f>
        <v/>
      </c>
      <c r="K1989" s="37">
        <f>AVERAGE(F$5:F1989)</f>
        <v/>
      </c>
      <c r="L1989" s="37">
        <f>SUM(F$5:F1989)/SUM(E$5:E1989)</f>
        <v/>
      </c>
    </row>
    <row r="1990">
      <c r="A1990" s="29" t="n">
        <v>45951</v>
      </c>
      <c r="B1990" s="37" t="inlineStr">
        <is>
          <t>JOB-2986</t>
        </is>
      </c>
      <c r="C1990" s="34" t="n">
        <v>1</v>
      </c>
      <c r="D1990" s="37" t="inlineStr">
        <is>
          <t>Tech B</t>
        </is>
      </c>
      <c r="E1990" s="35" t="n">
        <v>2.5</v>
      </c>
      <c r="F1990" s="35" t="n">
        <v>1.7</v>
      </c>
      <c r="G1990" s="37" t="inlineStr">
        <is>
          <t>Y</t>
        </is>
      </c>
      <c r="H1990" s="37" t="inlineStr">
        <is>
          <t>N</t>
        </is>
      </c>
      <c r="I1990" s="37">
        <f>COUNTIF(G$5:G1990,"Y")/COUNTA(G$5:G1990)</f>
        <v/>
      </c>
      <c r="J1990" s="37">
        <f>COUNTIF(H$5:H1990,"Y")/COUNTA(H$5:H1990)</f>
        <v/>
      </c>
      <c r="K1990" s="37">
        <f>AVERAGE(F$5:F1990)</f>
        <v/>
      </c>
      <c r="L1990" s="37">
        <f>SUM(F$5:F1990)/SUM(E$5:E1990)</f>
        <v/>
      </c>
    </row>
    <row r="1991">
      <c r="A1991" s="29" t="n">
        <v>45952</v>
      </c>
      <c r="B1991" s="37" t="inlineStr">
        <is>
          <t>JOB-2987</t>
        </is>
      </c>
      <c r="C1991" s="34" t="n">
        <v>1</v>
      </c>
      <c r="D1991" s="37" t="inlineStr">
        <is>
          <t>Tech D</t>
        </is>
      </c>
      <c r="E1991" s="35" t="n">
        <v>3.8</v>
      </c>
      <c r="F1991" s="35" t="n">
        <v>2.7</v>
      </c>
      <c r="G1991" s="37" t="inlineStr">
        <is>
          <t>Y</t>
        </is>
      </c>
      <c r="H1991" s="37" t="inlineStr">
        <is>
          <t>N</t>
        </is>
      </c>
      <c r="I1991" s="37">
        <f>COUNTIF(G$5:G1991,"Y")/COUNTA(G$5:G1991)</f>
        <v/>
      </c>
      <c r="J1991" s="37">
        <f>COUNTIF(H$5:H1991,"Y")/COUNTA(H$5:H1991)</f>
        <v/>
      </c>
      <c r="K1991" s="37">
        <f>AVERAGE(F$5:F1991)</f>
        <v/>
      </c>
      <c r="L1991" s="37">
        <f>SUM(F$5:F1991)/SUM(E$5:E1991)</f>
        <v/>
      </c>
    </row>
    <row r="1992">
      <c r="A1992" s="29" t="n">
        <v>45953</v>
      </c>
      <c r="B1992" s="37" t="inlineStr">
        <is>
          <t>JOB-2988</t>
        </is>
      </c>
      <c r="C1992" s="34" t="n">
        <v>1</v>
      </c>
      <c r="D1992" s="37" t="inlineStr">
        <is>
          <t>Tech B</t>
        </is>
      </c>
      <c r="E1992" s="35" t="n">
        <v>2.8</v>
      </c>
      <c r="F1992" s="35" t="n">
        <v>2.5</v>
      </c>
      <c r="G1992" s="37" t="inlineStr">
        <is>
          <t>Y</t>
        </is>
      </c>
      <c r="H1992" s="37" t="inlineStr">
        <is>
          <t>N</t>
        </is>
      </c>
      <c r="I1992" s="37">
        <f>COUNTIF(G$5:G1992,"Y")/COUNTA(G$5:G1992)</f>
        <v/>
      </c>
      <c r="J1992" s="37">
        <f>COUNTIF(H$5:H1992,"Y")/COUNTA(H$5:H1992)</f>
        <v/>
      </c>
      <c r="K1992" s="37">
        <f>AVERAGE(F$5:F1992)</f>
        <v/>
      </c>
      <c r="L1992" s="37">
        <f>SUM(F$5:F1992)/SUM(E$5:E1992)</f>
        <v/>
      </c>
    </row>
    <row r="1993">
      <c r="A1993" s="29" t="n">
        <v>45954</v>
      </c>
      <c r="B1993" s="37" t="inlineStr">
        <is>
          <t>JOB-2989</t>
        </is>
      </c>
      <c r="C1993" s="34" t="n">
        <v>1</v>
      </c>
      <c r="D1993" s="37" t="inlineStr">
        <is>
          <t>Tech F</t>
        </is>
      </c>
      <c r="E1993" s="35" t="n">
        <v>3.8</v>
      </c>
      <c r="F1993" s="35" t="n">
        <v>3.1</v>
      </c>
      <c r="G1993" s="37" t="inlineStr">
        <is>
          <t>Y</t>
        </is>
      </c>
      <c r="H1993" s="37" t="inlineStr">
        <is>
          <t>N</t>
        </is>
      </c>
      <c r="I1993" s="37">
        <f>COUNTIF(G$5:G1993,"Y")/COUNTA(G$5:G1993)</f>
        <v/>
      </c>
      <c r="J1993" s="37">
        <f>COUNTIF(H$5:H1993,"Y")/COUNTA(H$5:H1993)</f>
        <v/>
      </c>
      <c r="K1993" s="37">
        <f>AVERAGE(F$5:F1993)</f>
        <v/>
      </c>
      <c r="L1993" s="37">
        <f>SUM(F$5:F1993)/SUM(E$5:E1993)</f>
        <v/>
      </c>
    </row>
    <row r="1994">
      <c r="A1994" s="29" t="n">
        <v>45950</v>
      </c>
      <c r="B1994" s="37" t="inlineStr">
        <is>
          <t>JOB-2990</t>
        </is>
      </c>
      <c r="C1994" s="34" t="n">
        <v>1</v>
      </c>
      <c r="D1994" s="37" t="inlineStr">
        <is>
          <t>Tech A</t>
        </is>
      </c>
      <c r="E1994" s="35" t="n">
        <v>0.7</v>
      </c>
      <c r="F1994" s="35" t="n">
        <v>0.5</v>
      </c>
      <c r="G1994" s="37" t="inlineStr">
        <is>
          <t>Y</t>
        </is>
      </c>
      <c r="H1994" s="37" t="inlineStr">
        <is>
          <t>N</t>
        </is>
      </c>
      <c r="I1994" s="37">
        <f>COUNTIF(G$5:G1994,"Y")/COUNTA(G$5:G1994)</f>
        <v/>
      </c>
      <c r="J1994" s="37">
        <f>COUNTIF(H$5:H1994,"Y")/COUNTA(H$5:H1994)</f>
        <v/>
      </c>
      <c r="K1994" s="37">
        <f>AVERAGE(F$5:F1994)</f>
        <v/>
      </c>
      <c r="L1994" s="37">
        <f>SUM(F$5:F1994)/SUM(E$5:E1994)</f>
        <v/>
      </c>
    </row>
    <row r="1995">
      <c r="A1995" s="29" t="n">
        <v>45951</v>
      </c>
      <c r="B1995" s="37" t="inlineStr">
        <is>
          <t>JOB-2991</t>
        </is>
      </c>
      <c r="C1995" s="34" t="n">
        <v>1</v>
      </c>
      <c r="D1995" s="37" t="inlineStr">
        <is>
          <t>Tech D</t>
        </is>
      </c>
      <c r="E1995" s="35" t="n">
        <v>0.6</v>
      </c>
      <c r="F1995" s="35" t="n">
        <v>0.5</v>
      </c>
      <c r="G1995" s="37" t="inlineStr">
        <is>
          <t>N</t>
        </is>
      </c>
      <c r="H1995" s="37" t="inlineStr">
        <is>
          <t>Y</t>
        </is>
      </c>
      <c r="I1995" s="37">
        <f>COUNTIF(G$5:G1995,"Y")/COUNTA(G$5:G1995)</f>
        <v/>
      </c>
      <c r="J1995" s="37">
        <f>COUNTIF(H$5:H1995,"Y")/COUNTA(H$5:H1995)</f>
        <v/>
      </c>
      <c r="K1995" s="37">
        <f>AVERAGE(F$5:F1995)</f>
        <v/>
      </c>
      <c r="L1995" s="37">
        <f>SUM(F$5:F1995)/SUM(E$5:E1995)</f>
        <v/>
      </c>
    </row>
    <row r="1996">
      <c r="A1996" s="29" t="n">
        <v>45952</v>
      </c>
      <c r="B1996" s="37" t="inlineStr">
        <is>
          <t>JOB-2992</t>
        </is>
      </c>
      <c r="C1996" s="34" t="n">
        <v>1</v>
      </c>
      <c r="D1996" s="37" t="inlineStr">
        <is>
          <t>Tech F</t>
        </is>
      </c>
      <c r="E1996" s="35" t="n">
        <v>0.6</v>
      </c>
      <c r="F1996" s="35" t="n">
        <v>0.5</v>
      </c>
      <c r="G1996" s="37" t="inlineStr">
        <is>
          <t>Y</t>
        </is>
      </c>
      <c r="H1996" s="37" t="inlineStr">
        <is>
          <t>N</t>
        </is>
      </c>
      <c r="I1996" s="37">
        <f>COUNTIF(G$5:G1996,"Y")/COUNTA(G$5:G1996)</f>
        <v/>
      </c>
      <c r="J1996" s="37">
        <f>COUNTIF(H$5:H1996,"Y")/COUNTA(H$5:H1996)</f>
        <v/>
      </c>
      <c r="K1996" s="37">
        <f>AVERAGE(F$5:F1996)</f>
        <v/>
      </c>
      <c r="L1996" s="37">
        <f>SUM(F$5:F1996)/SUM(E$5:E1996)</f>
        <v/>
      </c>
    </row>
    <row r="1997">
      <c r="A1997" s="29" t="n">
        <v>45953</v>
      </c>
      <c r="B1997" s="37" t="inlineStr">
        <is>
          <t>JOB-2993</t>
        </is>
      </c>
      <c r="C1997" s="34" t="n">
        <v>1</v>
      </c>
      <c r="D1997" s="37" t="inlineStr">
        <is>
          <t>Tech G</t>
        </is>
      </c>
      <c r="E1997" s="35" t="n">
        <v>0.6</v>
      </c>
      <c r="F1997" s="35" t="n">
        <v>0.5</v>
      </c>
      <c r="G1997" s="37" t="inlineStr">
        <is>
          <t>N</t>
        </is>
      </c>
      <c r="H1997" s="37" t="inlineStr">
        <is>
          <t>N</t>
        </is>
      </c>
      <c r="I1997" s="37">
        <f>COUNTIF(G$5:G1997,"Y")/COUNTA(G$5:G1997)</f>
        <v/>
      </c>
      <c r="J1997" s="37">
        <f>COUNTIF(H$5:H1997,"Y")/COUNTA(H$5:H1997)</f>
        <v/>
      </c>
      <c r="K1997" s="37">
        <f>AVERAGE(F$5:F1997)</f>
        <v/>
      </c>
      <c r="L1997" s="37">
        <f>SUM(F$5:F1997)/SUM(E$5:E1997)</f>
        <v/>
      </c>
    </row>
    <row r="1998">
      <c r="A1998" s="29" t="n">
        <v>45954</v>
      </c>
      <c r="B1998" s="37" t="inlineStr">
        <is>
          <t>JOB-2994</t>
        </is>
      </c>
      <c r="C1998" s="34" t="n">
        <v>1</v>
      </c>
      <c r="D1998" s="37" t="inlineStr">
        <is>
          <t>Tech B</t>
        </is>
      </c>
      <c r="E1998" s="35" t="n">
        <v>0.7</v>
      </c>
      <c r="F1998" s="35" t="n">
        <v>0.5</v>
      </c>
      <c r="G1998" s="37" t="inlineStr">
        <is>
          <t>Y</t>
        </is>
      </c>
      <c r="H1998" s="37" t="inlineStr">
        <is>
          <t>N</t>
        </is>
      </c>
      <c r="I1998" s="37">
        <f>COUNTIF(G$5:G1998,"Y")/COUNTA(G$5:G1998)</f>
        <v/>
      </c>
      <c r="J1998" s="37">
        <f>COUNTIF(H$5:H1998,"Y")/COUNTA(H$5:H1998)</f>
        <v/>
      </c>
      <c r="K1998" s="37">
        <f>AVERAGE(F$5:F1998)</f>
        <v/>
      </c>
      <c r="L1998" s="37">
        <f>SUM(F$5:F1998)/SUM(E$5:E1998)</f>
        <v/>
      </c>
    </row>
    <row r="1999">
      <c r="A1999" s="29" t="n">
        <v>45950</v>
      </c>
      <c r="B1999" s="37" t="inlineStr">
        <is>
          <t>JOB-2995</t>
        </is>
      </c>
      <c r="C1999" s="34" t="n">
        <v>1</v>
      </c>
      <c r="D1999" s="37" t="inlineStr">
        <is>
          <t>Tech B</t>
        </is>
      </c>
      <c r="E1999" s="35" t="n">
        <v>1.3</v>
      </c>
      <c r="F1999" s="35" t="n">
        <v>0.5</v>
      </c>
      <c r="G1999" s="37" t="inlineStr">
        <is>
          <t>Y</t>
        </is>
      </c>
      <c r="H1999" s="37" t="inlineStr">
        <is>
          <t>N</t>
        </is>
      </c>
      <c r="I1999" s="37">
        <f>COUNTIF(G$5:G1999,"Y")/COUNTA(G$5:G1999)</f>
        <v/>
      </c>
      <c r="J1999" s="37">
        <f>COUNTIF(H$5:H1999,"Y")/COUNTA(H$5:H1999)</f>
        <v/>
      </c>
      <c r="K1999" s="37">
        <f>AVERAGE(F$5:F1999)</f>
        <v/>
      </c>
      <c r="L1999" s="37">
        <f>SUM(F$5:F1999)/SUM(E$5:E1999)</f>
        <v/>
      </c>
      <c r="M1999" s="37" t="n">
        <v>14</v>
      </c>
    </row>
    <row r="2000">
      <c r="A2000" s="29" t="n">
        <v>45957</v>
      </c>
      <c r="B2000" s="37" t="inlineStr">
        <is>
          <t>JOB-2996</t>
        </is>
      </c>
      <c r="C2000" s="34" t="n">
        <v>1</v>
      </c>
      <c r="D2000" s="37" t="inlineStr">
        <is>
          <t>Tech A</t>
        </is>
      </c>
      <c r="E2000" s="35" t="n">
        <v>2.2</v>
      </c>
      <c r="F2000" s="35" t="n">
        <v>1.6</v>
      </c>
      <c r="G2000" s="37" t="inlineStr">
        <is>
          <t>Y</t>
        </is>
      </c>
      <c r="H2000" s="37" t="inlineStr">
        <is>
          <t>N</t>
        </is>
      </c>
      <c r="I2000" s="37">
        <f>COUNTIF(G$5:G2000,"Y")/COUNTA(G$5:G2000)</f>
        <v/>
      </c>
      <c r="J2000" s="37">
        <f>COUNTIF(H$5:H2000,"Y")/COUNTA(H$5:H2000)</f>
        <v/>
      </c>
      <c r="K2000" s="37">
        <f>AVERAGE(F$5:F2000)</f>
        <v/>
      </c>
      <c r="L2000" s="37">
        <f>SUM(F$5:F2000)/SUM(E$5:E2000)</f>
        <v/>
      </c>
    </row>
    <row r="2001">
      <c r="A2001" s="29" t="n">
        <v>45958</v>
      </c>
      <c r="B2001" s="37" t="inlineStr">
        <is>
          <t>JOB-2997</t>
        </is>
      </c>
      <c r="C2001" s="34" t="n">
        <v>1</v>
      </c>
      <c r="D2001" s="37" t="inlineStr">
        <is>
          <t>Tech F</t>
        </is>
      </c>
      <c r="E2001" s="35" t="n">
        <v>3.9</v>
      </c>
      <c r="F2001" s="35" t="n">
        <v>3.3</v>
      </c>
      <c r="G2001" s="37" t="inlineStr">
        <is>
          <t>N</t>
        </is>
      </c>
      <c r="H2001" s="37" t="inlineStr">
        <is>
          <t>N</t>
        </is>
      </c>
      <c r="I2001" s="37">
        <f>COUNTIF(G$5:G2001,"Y")/COUNTA(G$5:G2001)</f>
        <v/>
      </c>
      <c r="J2001" s="37">
        <f>COUNTIF(H$5:H2001,"Y")/COUNTA(H$5:H2001)</f>
        <v/>
      </c>
      <c r="K2001" s="37">
        <f>AVERAGE(F$5:F2001)</f>
        <v/>
      </c>
      <c r="L2001" s="37">
        <f>SUM(F$5:F2001)/SUM(E$5:E2001)</f>
        <v/>
      </c>
    </row>
    <row r="2002">
      <c r="A2002" s="29" t="n">
        <v>45959</v>
      </c>
      <c r="B2002" s="37" t="inlineStr">
        <is>
          <t>JOB-2998</t>
        </is>
      </c>
      <c r="C2002" s="34" t="n">
        <v>1</v>
      </c>
      <c r="D2002" s="37" t="inlineStr">
        <is>
          <t>Tech G</t>
        </is>
      </c>
      <c r="E2002" s="35" t="n">
        <v>5.3</v>
      </c>
      <c r="F2002" s="35" t="n">
        <v>3.7</v>
      </c>
      <c r="G2002" s="37" t="inlineStr">
        <is>
          <t>Y</t>
        </is>
      </c>
      <c r="H2002" s="37" t="inlineStr">
        <is>
          <t>N</t>
        </is>
      </c>
      <c r="I2002" s="37">
        <f>COUNTIF(G$5:G2002,"Y")/COUNTA(G$5:G2002)</f>
        <v/>
      </c>
      <c r="J2002" s="37">
        <f>COUNTIF(H$5:H2002,"Y")/COUNTA(H$5:H2002)</f>
        <v/>
      </c>
      <c r="K2002" s="37">
        <f>AVERAGE(F$5:F2002)</f>
        <v/>
      </c>
      <c r="L2002" s="37">
        <f>SUM(F$5:F2002)/SUM(E$5:E2002)</f>
        <v/>
      </c>
    </row>
    <row r="2003">
      <c r="A2003" s="29" t="n">
        <v>45960</v>
      </c>
      <c r="B2003" s="37" t="inlineStr">
        <is>
          <t>JOB-2999</t>
        </is>
      </c>
      <c r="C2003" s="34" t="n">
        <v>1</v>
      </c>
      <c r="D2003" s="37" t="inlineStr">
        <is>
          <t>Tech D</t>
        </is>
      </c>
      <c r="E2003" s="35" t="n">
        <v>3.4</v>
      </c>
      <c r="F2003" s="35" t="n">
        <v>2.3</v>
      </c>
      <c r="G2003" s="37" t="inlineStr">
        <is>
          <t>Y</t>
        </is>
      </c>
      <c r="H2003" s="37" t="inlineStr">
        <is>
          <t>N</t>
        </is>
      </c>
      <c r="I2003" s="37">
        <f>COUNTIF(G$5:G2003,"Y")/COUNTA(G$5:G2003)</f>
        <v/>
      </c>
      <c r="J2003" s="37">
        <f>COUNTIF(H$5:H2003,"Y")/COUNTA(H$5:H2003)</f>
        <v/>
      </c>
      <c r="K2003" s="37">
        <f>AVERAGE(F$5:F2003)</f>
        <v/>
      </c>
      <c r="L2003" s="37">
        <f>SUM(F$5:F2003)/SUM(E$5:E2003)</f>
        <v/>
      </c>
    </row>
    <row r="2004">
      <c r="A2004" s="29" t="n">
        <v>45961</v>
      </c>
      <c r="B2004" s="37" t="inlineStr">
        <is>
          <t>JOB-3000</t>
        </is>
      </c>
      <c r="C2004" s="34" t="n">
        <v>1</v>
      </c>
      <c r="D2004" s="37" t="inlineStr">
        <is>
          <t>Tech C</t>
        </is>
      </c>
      <c r="E2004" s="35" t="n">
        <v>1.8</v>
      </c>
      <c r="F2004" s="35" t="n">
        <v>1.3</v>
      </c>
      <c r="G2004" s="37" t="inlineStr">
        <is>
          <t>Y</t>
        </is>
      </c>
      <c r="H2004" s="37" t="inlineStr">
        <is>
          <t>Y</t>
        </is>
      </c>
      <c r="I2004" s="37">
        <f>COUNTIF(G$5:G2004,"Y")/COUNTA(G$5:G2004)</f>
        <v/>
      </c>
      <c r="J2004" s="37">
        <f>COUNTIF(H$5:H2004,"Y")/COUNTA(H$5:H2004)</f>
        <v/>
      </c>
      <c r="K2004" s="37">
        <f>AVERAGE(F$5:F2004)</f>
        <v/>
      </c>
      <c r="L2004" s="37">
        <f>SUM(F$5:F2004)/SUM(E$5:E2004)</f>
        <v/>
      </c>
    </row>
    <row r="2005">
      <c r="A2005" s="29" t="n">
        <v>45957</v>
      </c>
      <c r="B2005" s="37" t="inlineStr">
        <is>
          <t>JOB-3001</t>
        </is>
      </c>
      <c r="C2005" s="34" t="n">
        <v>1</v>
      </c>
      <c r="D2005" s="37" t="inlineStr">
        <is>
          <t>Tech B</t>
        </is>
      </c>
      <c r="E2005" s="35" t="n">
        <v>1.5</v>
      </c>
      <c r="F2005" s="35" t="n">
        <v>1.3</v>
      </c>
      <c r="G2005" s="37" t="inlineStr">
        <is>
          <t>N</t>
        </is>
      </c>
      <c r="H2005" s="37" t="inlineStr">
        <is>
          <t>N</t>
        </is>
      </c>
      <c r="I2005" s="37">
        <f>COUNTIF(G$5:G2005,"Y")/COUNTA(G$5:G2005)</f>
        <v/>
      </c>
      <c r="J2005" s="37">
        <f>COUNTIF(H$5:H2005,"Y")/COUNTA(H$5:H2005)</f>
        <v/>
      </c>
      <c r="K2005" s="37">
        <f>AVERAGE(F$5:F2005)</f>
        <v/>
      </c>
      <c r="L2005" s="37">
        <f>SUM(F$5:F2005)/SUM(E$5:E2005)</f>
        <v/>
      </c>
    </row>
    <row r="2006">
      <c r="A2006" s="29" t="n">
        <v>45958</v>
      </c>
      <c r="B2006" s="37" t="inlineStr">
        <is>
          <t>JOB-3002</t>
        </is>
      </c>
      <c r="C2006" s="34" t="n">
        <v>1</v>
      </c>
      <c r="D2006" s="37" t="inlineStr">
        <is>
          <t>Tech G</t>
        </is>
      </c>
      <c r="E2006" s="35" t="n">
        <v>1.6</v>
      </c>
      <c r="F2006" s="35" t="n">
        <v>1.4</v>
      </c>
      <c r="G2006" s="37" t="inlineStr">
        <is>
          <t>Y</t>
        </is>
      </c>
      <c r="H2006" s="37" t="inlineStr">
        <is>
          <t>N</t>
        </is>
      </c>
      <c r="I2006" s="37">
        <f>COUNTIF(G$5:G2006,"Y")/COUNTA(G$5:G2006)</f>
        <v/>
      </c>
      <c r="J2006" s="37">
        <f>COUNTIF(H$5:H2006,"Y")/COUNTA(H$5:H2006)</f>
        <v/>
      </c>
      <c r="K2006" s="37">
        <f>AVERAGE(F$5:F2006)</f>
        <v/>
      </c>
      <c r="L2006" s="37">
        <f>SUM(F$5:F2006)/SUM(E$5:E2006)</f>
        <v/>
      </c>
    </row>
    <row r="2007">
      <c r="A2007" s="29" t="n">
        <v>45959</v>
      </c>
      <c r="B2007" s="37" t="inlineStr">
        <is>
          <t>JOB-3003</t>
        </is>
      </c>
      <c r="C2007" s="34" t="n">
        <v>1</v>
      </c>
      <c r="D2007" s="37" t="inlineStr">
        <is>
          <t>Tech C</t>
        </is>
      </c>
      <c r="E2007" s="35" t="n">
        <v>1.3</v>
      </c>
      <c r="F2007" s="35" t="n">
        <v>1.1</v>
      </c>
      <c r="G2007" s="37" t="inlineStr">
        <is>
          <t>Y</t>
        </is>
      </c>
      <c r="H2007" s="37" t="inlineStr">
        <is>
          <t>N</t>
        </is>
      </c>
      <c r="I2007" s="37">
        <f>COUNTIF(G$5:G2007,"Y")/COUNTA(G$5:G2007)</f>
        <v/>
      </c>
      <c r="J2007" s="37">
        <f>COUNTIF(H$5:H2007,"Y")/COUNTA(H$5:H2007)</f>
        <v/>
      </c>
      <c r="K2007" s="37">
        <f>AVERAGE(F$5:F2007)</f>
        <v/>
      </c>
      <c r="L2007" s="37">
        <f>SUM(F$5:F2007)/SUM(E$5:E2007)</f>
        <v/>
      </c>
    </row>
    <row r="2008">
      <c r="A2008" s="29" t="n">
        <v>45960</v>
      </c>
      <c r="B2008" s="37" t="inlineStr">
        <is>
          <t>JOB-3004</t>
        </is>
      </c>
      <c r="C2008" s="34" t="n">
        <v>1</v>
      </c>
      <c r="D2008" s="37" t="inlineStr">
        <is>
          <t>Tech G</t>
        </is>
      </c>
      <c r="E2008" s="35" t="n">
        <v>3.4</v>
      </c>
      <c r="F2008" s="35" t="n">
        <v>2.4</v>
      </c>
      <c r="G2008" s="37" t="inlineStr">
        <is>
          <t>Y</t>
        </is>
      </c>
      <c r="H2008" s="37" t="inlineStr">
        <is>
          <t>N</t>
        </is>
      </c>
      <c r="I2008" s="37">
        <f>COUNTIF(G$5:G2008,"Y")/COUNTA(G$5:G2008)</f>
        <v/>
      </c>
      <c r="J2008" s="37">
        <f>COUNTIF(H$5:H2008,"Y")/COUNTA(H$5:H2008)</f>
        <v/>
      </c>
      <c r="K2008" s="37">
        <f>AVERAGE(F$5:F2008)</f>
        <v/>
      </c>
      <c r="L2008" s="37">
        <f>SUM(F$5:F2008)/SUM(E$5:E2008)</f>
        <v/>
      </c>
    </row>
    <row r="2009">
      <c r="A2009" s="29" t="n">
        <v>45961</v>
      </c>
      <c r="B2009" s="37" t="inlineStr">
        <is>
          <t>JOB-3005</t>
        </is>
      </c>
      <c r="C2009" s="34" t="n">
        <v>1</v>
      </c>
      <c r="D2009" s="37" t="inlineStr">
        <is>
          <t>Tech B</t>
        </is>
      </c>
      <c r="E2009" s="35" t="n">
        <v>1.3</v>
      </c>
      <c r="F2009" s="35" t="n">
        <v>1.1</v>
      </c>
      <c r="G2009" s="37" t="inlineStr">
        <is>
          <t>Y</t>
        </is>
      </c>
      <c r="H2009" s="37" t="inlineStr">
        <is>
          <t>N</t>
        </is>
      </c>
      <c r="I2009" s="37">
        <f>COUNTIF(G$5:G2009,"Y")/COUNTA(G$5:G2009)</f>
        <v/>
      </c>
      <c r="J2009" s="37">
        <f>COUNTIF(H$5:H2009,"Y")/COUNTA(H$5:H2009)</f>
        <v/>
      </c>
      <c r="K2009" s="37">
        <f>AVERAGE(F$5:F2009)</f>
        <v/>
      </c>
      <c r="L2009" s="37">
        <f>SUM(F$5:F2009)/SUM(E$5:E2009)</f>
        <v/>
      </c>
    </row>
    <row r="2010">
      <c r="A2010" s="29" t="n">
        <v>45957</v>
      </c>
      <c r="B2010" s="37" t="inlineStr">
        <is>
          <t>JOB-3006</t>
        </is>
      </c>
      <c r="C2010" s="34" t="n">
        <v>1</v>
      </c>
      <c r="D2010" s="37" t="inlineStr">
        <is>
          <t>Tech D</t>
        </is>
      </c>
      <c r="E2010" s="35" t="n">
        <v>5</v>
      </c>
      <c r="F2010" s="35" t="n">
        <v>3.7</v>
      </c>
      <c r="G2010" s="37" t="inlineStr">
        <is>
          <t>N</t>
        </is>
      </c>
      <c r="H2010" s="37" t="inlineStr">
        <is>
          <t>N</t>
        </is>
      </c>
      <c r="I2010" s="37">
        <f>COUNTIF(G$5:G2010,"Y")/COUNTA(G$5:G2010)</f>
        <v/>
      </c>
      <c r="J2010" s="37">
        <f>COUNTIF(H$5:H2010,"Y")/COUNTA(H$5:H2010)</f>
        <v/>
      </c>
      <c r="K2010" s="37">
        <f>AVERAGE(F$5:F2010)</f>
        <v/>
      </c>
      <c r="L2010" s="37">
        <f>SUM(F$5:F2010)/SUM(E$5:E2010)</f>
        <v/>
      </c>
    </row>
    <row r="2011">
      <c r="A2011" s="29" t="n">
        <v>45958</v>
      </c>
      <c r="B2011" s="37" t="inlineStr">
        <is>
          <t>JOB-3007</t>
        </is>
      </c>
      <c r="C2011" s="34" t="n">
        <v>1</v>
      </c>
      <c r="D2011" s="37" t="inlineStr">
        <is>
          <t>Tech H</t>
        </is>
      </c>
      <c r="E2011" s="35" t="n">
        <v>3.6</v>
      </c>
      <c r="F2011" s="35" t="n">
        <v>3.2</v>
      </c>
      <c r="G2011" s="37" t="inlineStr">
        <is>
          <t>Y</t>
        </is>
      </c>
      <c r="H2011" s="37" t="inlineStr">
        <is>
          <t>N</t>
        </is>
      </c>
      <c r="I2011" s="37">
        <f>COUNTIF(G$5:G2011,"Y")/COUNTA(G$5:G2011)</f>
        <v/>
      </c>
      <c r="J2011" s="37">
        <f>COUNTIF(H$5:H2011,"Y")/COUNTA(H$5:H2011)</f>
        <v/>
      </c>
      <c r="K2011" s="37">
        <f>AVERAGE(F$5:F2011)</f>
        <v/>
      </c>
      <c r="L2011" s="37">
        <f>SUM(F$5:F2011)/SUM(E$5:E2011)</f>
        <v/>
      </c>
    </row>
    <row r="2012">
      <c r="A2012" s="29" t="n">
        <v>45959</v>
      </c>
      <c r="B2012" s="37" t="inlineStr">
        <is>
          <t>JOB-3008</t>
        </is>
      </c>
      <c r="C2012" s="34" t="n">
        <v>1</v>
      </c>
      <c r="D2012" s="37" t="inlineStr">
        <is>
          <t>Tech D</t>
        </is>
      </c>
      <c r="E2012" s="35" t="n">
        <v>2.3</v>
      </c>
      <c r="F2012" s="35" t="n">
        <v>1.6</v>
      </c>
      <c r="G2012" s="37" t="inlineStr">
        <is>
          <t>Y</t>
        </is>
      </c>
      <c r="H2012" s="37" t="inlineStr">
        <is>
          <t>N</t>
        </is>
      </c>
      <c r="I2012" s="37">
        <f>COUNTIF(G$5:G2012,"Y")/COUNTA(G$5:G2012)</f>
        <v/>
      </c>
      <c r="J2012" s="37">
        <f>COUNTIF(H$5:H2012,"Y")/COUNTA(H$5:H2012)</f>
        <v/>
      </c>
      <c r="K2012" s="37">
        <f>AVERAGE(F$5:F2012)</f>
        <v/>
      </c>
      <c r="L2012" s="37">
        <f>SUM(F$5:F2012)/SUM(E$5:E2012)</f>
        <v/>
      </c>
    </row>
    <row r="2013">
      <c r="A2013" s="29" t="n">
        <v>45960</v>
      </c>
      <c r="B2013" s="37" t="inlineStr">
        <is>
          <t>JOB-3009</t>
        </is>
      </c>
      <c r="C2013" s="34" t="n">
        <v>1</v>
      </c>
      <c r="D2013" s="37" t="inlineStr">
        <is>
          <t>Tech B</t>
        </is>
      </c>
      <c r="E2013" s="35" t="n">
        <v>2.7</v>
      </c>
      <c r="F2013" s="35" t="n">
        <v>2.1</v>
      </c>
      <c r="G2013" s="37" t="inlineStr">
        <is>
          <t>Y</t>
        </is>
      </c>
      <c r="H2013" s="37" t="inlineStr">
        <is>
          <t>N</t>
        </is>
      </c>
      <c r="I2013" s="37">
        <f>COUNTIF(G$5:G2013,"Y")/COUNTA(G$5:G2013)</f>
        <v/>
      </c>
      <c r="J2013" s="37">
        <f>COUNTIF(H$5:H2013,"Y")/COUNTA(H$5:H2013)</f>
        <v/>
      </c>
      <c r="K2013" s="37">
        <f>AVERAGE(F$5:F2013)</f>
        <v/>
      </c>
      <c r="L2013" s="37">
        <f>SUM(F$5:F2013)/SUM(E$5:E2013)</f>
        <v/>
      </c>
    </row>
    <row r="2014">
      <c r="A2014" s="29" t="n">
        <v>45961</v>
      </c>
      <c r="B2014" s="37" t="inlineStr">
        <is>
          <t>JOB-3010</t>
        </is>
      </c>
      <c r="C2014" s="34" t="n">
        <v>1</v>
      </c>
      <c r="D2014" s="37" t="inlineStr">
        <is>
          <t>Tech F</t>
        </is>
      </c>
      <c r="E2014" s="35" t="n">
        <v>4.5</v>
      </c>
      <c r="F2014" s="35" t="n">
        <v>3.7</v>
      </c>
      <c r="G2014" s="37" t="inlineStr">
        <is>
          <t>Y</t>
        </is>
      </c>
      <c r="H2014" s="37" t="inlineStr">
        <is>
          <t>N</t>
        </is>
      </c>
      <c r="I2014" s="37">
        <f>COUNTIF(G$5:G2014,"Y")/COUNTA(G$5:G2014)</f>
        <v/>
      </c>
      <c r="J2014" s="37">
        <f>COUNTIF(H$5:H2014,"Y")/COUNTA(H$5:H2014)</f>
        <v/>
      </c>
      <c r="K2014" s="37">
        <f>AVERAGE(F$5:F2014)</f>
        <v/>
      </c>
      <c r="L2014" s="37">
        <f>SUM(F$5:F2014)/SUM(E$5:E2014)</f>
        <v/>
      </c>
    </row>
    <row r="2015">
      <c r="A2015" s="29" t="n">
        <v>45957</v>
      </c>
      <c r="B2015" s="37" t="inlineStr">
        <is>
          <t>JOB-3011</t>
        </is>
      </c>
      <c r="C2015" s="34" t="n">
        <v>1</v>
      </c>
      <c r="D2015" s="37" t="inlineStr">
        <is>
          <t>Tech C</t>
        </is>
      </c>
      <c r="E2015" s="35" t="n">
        <v>3.4</v>
      </c>
      <c r="F2015" s="35" t="n">
        <v>2.4</v>
      </c>
      <c r="G2015" s="37" t="inlineStr">
        <is>
          <t>Y</t>
        </is>
      </c>
      <c r="H2015" s="37" t="inlineStr">
        <is>
          <t>Y</t>
        </is>
      </c>
      <c r="I2015" s="37">
        <f>COUNTIF(G$5:G2015,"Y")/COUNTA(G$5:G2015)</f>
        <v/>
      </c>
      <c r="J2015" s="37">
        <f>COUNTIF(H$5:H2015,"Y")/COUNTA(H$5:H2015)</f>
        <v/>
      </c>
      <c r="K2015" s="37">
        <f>AVERAGE(F$5:F2015)</f>
        <v/>
      </c>
      <c r="L2015" s="37">
        <f>SUM(F$5:F2015)/SUM(E$5:E2015)</f>
        <v/>
      </c>
    </row>
    <row r="2016">
      <c r="A2016" s="29" t="n">
        <v>45958</v>
      </c>
      <c r="B2016" s="37" t="inlineStr">
        <is>
          <t>JOB-3012</t>
        </is>
      </c>
      <c r="C2016" s="34" t="n">
        <v>1</v>
      </c>
      <c r="D2016" s="37" t="inlineStr">
        <is>
          <t>Tech B</t>
        </is>
      </c>
      <c r="E2016" s="35" t="n">
        <v>3.3</v>
      </c>
      <c r="F2016" s="35" t="n">
        <v>2.7</v>
      </c>
      <c r="G2016" s="37" t="inlineStr">
        <is>
          <t>Y</t>
        </is>
      </c>
      <c r="H2016" s="37" t="inlineStr">
        <is>
          <t>N</t>
        </is>
      </c>
      <c r="I2016" s="37">
        <f>COUNTIF(G$5:G2016,"Y")/COUNTA(G$5:G2016)</f>
        <v/>
      </c>
      <c r="J2016" s="37">
        <f>COUNTIF(H$5:H2016,"Y")/COUNTA(H$5:H2016)</f>
        <v/>
      </c>
      <c r="K2016" s="37">
        <f>AVERAGE(F$5:F2016)</f>
        <v/>
      </c>
      <c r="L2016" s="37">
        <f>SUM(F$5:F2016)/SUM(E$5:E2016)</f>
        <v/>
      </c>
    </row>
    <row r="2017">
      <c r="A2017" s="29" t="n">
        <v>45959</v>
      </c>
      <c r="B2017" s="37" t="inlineStr">
        <is>
          <t>JOB-3013</t>
        </is>
      </c>
      <c r="C2017" s="34" t="n">
        <v>1</v>
      </c>
      <c r="D2017" s="37" t="inlineStr">
        <is>
          <t>Tech H</t>
        </is>
      </c>
      <c r="E2017" s="35" t="n">
        <v>3.6</v>
      </c>
      <c r="F2017" s="35" t="n">
        <v>2.9</v>
      </c>
      <c r="G2017" s="37" t="inlineStr">
        <is>
          <t>Y</t>
        </is>
      </c>
      <c r="H2017" s="37" t="inlineStr">
        <is>
          <t>N</t>
        </is>
      </c>
      <c r="I2017" s="37">
        <f>COUNTIF(G$5:G2017,"Y")/COUNTA(G$5:G2017)</f>
        <v/>
      </c>
      <c r="J2017" s="37">
        <f>COUNTIF(H$5:H2017,"Y")/COUNTA(H$5:H2017)</f>
        <v/>
      </c>
      <c r="K2017" s="37">
        <f>AVERAGE(F$5:F2017)</f>
        <v/>
      </c>
      <c r="L2017" s="37">
        <f>SUM(F$5:F2017)/SUM(E$5:E2017)</f>
        <v/>
      </c>
    </row>
    <row r="2018">
      <c r="A2018" s="29" t="n">
        <v>45960</v>
      </c>
      <c r="B2018" s="37" t="inlineStr">
        <is>
          <t>JOB-3014</t>
        </is>
      </c>
      <c r="C2018" s="34" t="n">
        <v>1</v>
      </c>
      <c r="D2018" s="37" t="inlineStr">
        <is>
          <t>Tech H</t>
        </is>
      </c>
      <c r="E2018" s="35" t="n">
        <v>2.3</v>
      </c>
      <c r="F2018" s="35" t="n">
        <v>1.9</v>
      </c>
      <c r="G2018" s="37" t="inlineStr">
        <is>
          <t>Y</t>
        </is>
      </c>
      <c r="H2018" s="37" t="inlineStr">
        <is>
          <t>N</t>
        </is>
      </c>
      <c r="I2018" s="37">
        <f>COUNTIF(G$5:G2018,"Y")/COUNTA(G$5:G2018)</f>
        <v/>
      </c>
      <c r="J2018" s="37">
        <f>COUNTIF(H$5:H2018,"Y")/COUNTA(H$5:H2018)</f>
        <v/>
      </c>
      <c r="K2018" s="37">
        <f>AVERAGE(F$5:F2018)</f>
        <v/>
      </c>
      <c r="L2018" s="37">
        <f>SUM(F$5:F2018)/SUM(E$5:E2018)</f>
        <v/>
      </c>
    </row>
    <row r="2019">
      <c r="A2019" s="29" t="n">
        <v>45961</v>
      </c>
      <c r="B2019" s="37" t="inlineStr">
        <is>
          <t>JOB-3015</t>
        </is>
      </c>
      <c r="C2019" s="34" t="n">
        <v>1</v>
      </c>
      <c r="D2019" s="37" t="inlineStr">
        <is>
          <t>Tech G</t>
        </is>
      </c>
      <c r="E2019" s="35" t="n">
        <v>2.5</v>
      </c>
      <c r="F2019" s="35" t="n">
        <v>2</v>
      </c>
      <c r="G2019" s="37" t="inlineStr">
        <is>
          <t>Y</t>
        </is>
      </c>
      <c r="H2019" s="37" t="inlineStr">
        <is>
          <t>N</t>
        </is>
      </c>
      <c r="I2019" s="37">
        <f>COUNTIF(G$5:G2019,"Y")/COUNTA(G$5:G2019)</f>
        <v/>
      </c>
      <c r="J2019" s="37">
        <f>COUNTIF(H$5:H2019,"Y")/COUNTA(H$5:H2019)</f>
        <v/>
      </c>
      <c r="K2019" s="37">
        <f>AVERAGE(F$5:F2019)</f>
        <v/>
      </c>
      <c r="L2019" s="37">
        <f>SUM(F$5:F2019)/SUM(E$5:E2019)</f>
        <v/>
      </c>
    </row>
    <row r="2020">
      <c r="A2020" s="29" t="n">
        <v>45957</v>
      </c>
      <c r="B2020" s="37" t="inlineStr">
        <is>
          <t>JOB-3016</t>
        </is>
      </c>
      <c r="C2020" s="34" t="n">
        <v>1</v>
      </c>
      <c r="D2020" s="37" t="inlineStr">
        <is>
          <t>Tech G</t>
        </is>
      </c>
      <c r="E2020" s="35" t="n">
        <v>4</v>
      </c>
      <c r="F2020" s="35" t="n">
        <v>2.7</v>
      </c>
      <c r="G2020" s="37" t="inlineStr">
        <is>
          <t>Y</t>
        </is>
      </c>
      <c r="H2020" s="37" t="inlineStr">
        <is>
          <t>N</t>
        </is>
      </c>
      <c r="I2020" s="37">
        <f>COUNTIF(G$5:G2020,"Y")/COUNTA(G$5:G2020)</f>
        <v/>
      </c>
      <c r="J2020" s="37">
        <f>COUNTIF(H$5:H2020,"Y")/COUNTA(H$5:H2020)</f>
        <v/>
      </c>
      <c r="K2020" s="37">
        <f>AVERAGE(F$5:F2020)</f>
        <v/>
      </c>
      <c r="L2020" s="37">
        <f>SUM(F$5:F2020)/SUM(E$5:E2020)</f>
        <v/>
      </c>
    </row>
    <row r="2021">
      <c r="A2021" s="29" t="n">
        <v>45958</v>
      </c>
      <c r="B2021" s="37" t="inlineStr">
        <is>
          <t>JOB-3017</t>
        </is>
      </c>
      <c r="C2021" s="34" t="n">
        <v>1</v>
      </c>
      <c r="D2021" s="37" t="inlineStr">
        <is>
          <t>Tech G</t>
        </is>
      </c>
      <c r="E2021" s="35" t="n">
        <v>4.8</v>
      </c>
      <c r="F2021" s="35" t="n">
        <v>3.4</v>
      </c>
      <c r="G2021" s="37" t="inlineStr">
        <is>
          <t>N</t>
        </is>
      </c>
      <c r="H2021" s="37" t="inlineStr">
        <is>
          <t>N</t>
        </is>
      </c>
      <c r="I2021" s="37">
        <f>COUNTIF(G$5:G2021,"Y")/COUNTA(G$5:G2021)</f>
        <v/>
      </c>
      <c r="J2021" s="37">
        <f>COUNTIF(H$5:H2021,"Y")/COUNTA(H$5:H2021)</f>
        <v/>
      </c>
      <c r="K2021" s="37">
        <f>AVERAGE(F$5:F2021)</f>
        <v/>
      </c>
      <c r="L2021" s="37">
        <f>SUM(F$5:F2021)/SUM(E$5:E2021)</f>
        <v/>
      </c>
    </row>
    <row r="2022">
      <c r="A2022" s="29" t="n">
        <v>45959</v>
      </c>
      <c r="B2022" s="37" t="inlineStr">
        <is>
          <t>JOB-3018</t>
        </is>
      </c>
      <c r="C2022" s="34" t="n">
        <v>1</v>
      </c>
      <c r="D2022" s="37" t="inlineStr">
        <is>
          <t>Tech H</t>
        </is>
      </c>
      <c r="E2022" s="35" t="n">
        <v>1.6</v>
      </c>
      <c r="F2022" s="35" t="n">
        <v>1.1</v>
      </c>
      <c r="G2022" s="37" t="inlineStr">
        <is>
          <t>Y</t>
        </is>
      </c>
      <c r="H2022" s="37" t="inlineStr">
        <is>
          <t>N</t>
        </is>
      </c>
      <c r="I2022" s="37">
        <f>COUNTIF(G$5:G2022,"Y")/COUNTA(G$5:G2022)</f>
        <v/>
      </c>
      <c r="J2022" s="37">
        <f>COUNTIF(H$5:H2022,"Y")/COUNTA(H$5:H2022)</f>
        <v/>
      </c>
      <c r="K2022" s="37">
        <f>AVERAGE(F$5:F2022)</f>
        <v/>
      </c>
      <c r="L2022" s="37">
        <f>SUM(F$5:F2022)/SUM(E$5:E2022)</f>
        <v/>
      </c>
    </row>
    <row r="2023">
      <c r="A2023" s="29" t="n">
        <v>45960</v>
      </c>
      <c r="B2023" s="37" t="inlineStr">
        <is>
          <t>JOB-3019</t>
        </is>
      </c>
      <c r="C2023" s="34" t="n">
        <v>1</v>
      </c>
      <c r="D2023" s="37" t="inlineStr">
        <is>
          <t>Tech A</t>
        </is>
      </c>
      <c r="E2023" s="35" t="n">
        <v>3</v>
      </c>
      <c r="F2023" s="35" t="n">
        <v>2.1</v>
      </c>
      <c r="G2023" s="37" t="inlineStr">
        <is>
          <t>Y</t>
        </is>
      </c>
      <c r="H2023" s="37" t="inlineStr">
        <is>
          <t>N</t>
        </is>
      </c>
      <c r="I2023" s="37">
        <f>COUNTIF(G$5:G2023,"Y")/COUNTA(G$5:G2023)</f>
        <v/>
      </c>
      <c r="J2023" s="37">
        <f>COUNTIF(H$5:H2023,"Y")/COUNTA(H$5:H2023)</f>
        <v/>
      </c>
      <c r="K2023" s="37">
        <f>AVERAGE(F$5:F2023)</f>
        <v/>
      </c>
      <c r="L2023" s="37">
        <f>SUM(F$5:F2023)/SUM(E$5:E2023)</f>
        <v/>
      </c>
    </row>
    <row r="2024">
      <c r="A2024" s="29" t="n">
        <v>45961</v>
      </c>
      <c r="B2024" s="37" t="inlineStr">
        <is>
          <t>JOB-3020</t>
        </is>
      </c>
      <c r="C2024" s="34" t="n">
        <v>1</v>
      </c>
      <c r="D2024" s="37" t="inlineStr">
        <is>
          <t>Tech F</t>
        </is>
      </c>
      <c r="E2024" s="35" t="n">
        <v>4</v>
      </c>
      <c r="F2024" s="35" t="n">
        <v>3.6</v>
      </c>
      <c r="G2024" s="37" t="inlineStr">
        <is>
          <t>Y</t>
        </is>
      </c>
      <c r="H2024" s="37" t="inlineStr">
        <is>
          <t>N</t>
        </is>
      </c>
      <c r="I2024" s="37">
        <f>COUNTIF(G$5:G2024,"Y")/COUNTA(G$5:G2024)</f>
        <v/>
      </c>
      <c r="J2024" s="37">
        <f>COUNTIF(H$5:H2024,"Y")/COUNTA(H$5:H2024)</f>
        <v/>
      </c>
      <c r="K2024" s="37">
        <f>AVERAGE(F$5:F2024)</f>
        <v/>
      </c>
      <c r="L2024" s="37">
        <f>SUM(F$5:F2024)/SUM(E$5:E2024)</f>
        <v/>
      </c>
    </row>
    <row r="2025">
      <c r="A2025" s="29" t="n">
        <v>45957</v>
      </c>
      <c r="B2025" s="37" t="inlineStr">
        <is>
          <t>JOB-3021</t>
        </is>
      </c>
      <c r="C2025" s="34" t="n">
        <v>1</v>
      </c>
      <c r="D2025" s="37" t="inlineStr">
        <is>
          <t>Tech C</t>
        </is>
      </c>
      <c r="E2025" s="35" t="n">
        <v>1.8</v>
      </c>
      <c r="F2025" s="35" t="n">
        <v>1.4</v>
      </c>
      <c r="G2025" s="37" t="inlineStr">
        <is>
          <t>Y</t>
        </is>
      </c>
      <c r="H2025" s="37" t="inlineStr">
        <is>
          <t>N</t>
        </is>
      </c>
      <c r="I2025" s="37">
        <f>COUNTIF(G$5:G2025,"Y")/COUNTA(G$5:G2025)</f>
        <v/>
      </c>
      <c r="J2025" s="37">
        <f>COUNTIF(H$5:H2025,"Y")/COUNTA(H$5:H2025)</f>
        <v/>
      </c>
      <c r="K2025" s="37">
        <f>AVERAGE(F$5:F2025)</f>
        <v/>
      </c>
      <c r="L2025" s="37">
        <f>SUM(F$5:F2025)/SUM(E$5:E2025)</f>
        <v/>
      </c>
    </row>
    <row r="2026">
      <c r="A2026" s="29" t="n">
        <v>45958</v>
      </c>
      <c r="B2026" s="37" t="inlineStr">
        <is>
          <t>JOB-3022</t>
        </is>
      </c>
      <c r="C2026" s="34" t="n">
        <v>1</v>
      </c>
      <c r="D2026" s="37" t="inlineStr">
        <is>
          <t>Tech C</t>
        </is>
      </c>
      <c r="E2026" s="35" t="n">
        <v>5</v>
      </c>
      <c r="F2026" s="35" t="n">
        <v>3.6</v>
      </c>
      <c r="G2026" s="37" t="inlineStr">
        <is>
          <t>Y</t>
        </is>
      </c>
      <c r="H2026" s="37" t="inlineStr">
        <is>
          <t>N</t>
        </is>
      </c>
      <c r="I2026" s="37">
        <f>COUNTIF(G$5:G2026,"Y")/COUNTA(G$5:G2026)</f>
        <v/>
      </c>
      <c r="J2026" s="37">
        <f>COUNTIF(H$5:H2026,"Y")/COUNTA(H$5:H2026)</f>
        <v/>
      </c>
      <c r="K2026" s="37">
        <f>AVERAGE(F$5:F2026)</f>
        <v/>
      </c>
      <c r="L2026" s="37">
        <f>SUM(F$5:F2026)/SUM(E$5:E2026)</f>
        <v/>
      </c>
    </row>
    <row r="2027">
      <c r="A2027" s="29" t="n">
        <v>45959</v>
      </c>
      <c r="B2027" s="37" t="inlineStr">
        <is>
          <t>JOB-3023</t>
        </is>
      </c>
      <c r="C2027" s="34" t="n">
        <v>1</v>
      </c>
      <c r="D2027" s="37" t="inlineStr">
        <is>
          <t>Tech F</t>
        </is>
      </c>
      <c r="E2027" s="35" t="n">
        <v>2.2</v>
      </c>
      <c r="F2027" s="35" t="n">
        <v>1.7</v>
      </c>
      <c r="G2027" s="37" t="inlineStr">
        <is>
          <t>Y</t>
        </is>
      </c>
      <c r="H2027" s="37" t="inlineStr">
        <is>
          <t>N</t>
        </is>
      </c>
      <c r="I2027" s="37">
        <f>COUNTIF(G$5:G2027,"Y")/COUNTA(G$5:G2027)</f>
        <v/>
      </c>
      <c r="J2027" s="37">
        <f>COUNTIF(H$5:H2027,"Y")/COUNTA(H$5:H2027)</f>
        <v/>
      </c>
      <c r="K2027" s="37">
        <f>AVERAGE(F$5:F2027)</f>
        <v/>
      </c>
      <c r="L2027" s="37">
        <f>SUM(F$5:F2027)/SUM(E$5:E2027)</f>
        <v/>
      </c>
    </row>
    <row r="2028">
      <c r="A2028" s="29" t="n">
        <v>45960</v>
      </c>
      <c r="B2028" s="37" t="inlineStr">
        <is>
          <t>JOB-3024</t>
        </is>
      </c>
      <c r="C2028" s="34" t="n">
        <v>1</v>
      </c>
      <c r="D2028" s="37" t="inlineStr">
        <is>
          <t>Tech H</t>
        </is>
      </c>
      <c r="E2028" s="35" t="n">
        <v>4.2</v>
      </c>
      <c r="F2028" s="35" t="n">
        <v>2.9</v>
      </c>
      <c r="G2028" s="37" t="inlineStr">
        <is>
          <t>Y</t>
        </is>
      </c>
      <c r="H2028" s="37" t="inlineStr">
        <is>
          <t>N</t>
        </is>
      </c>
      <c r="I2028" s="37">
        <f>COUNTIF(G$5:G2028,"Y")/COUNTA(G$5:G2028)</f>
        <v/>
      </c>
      <c r="J2028" s="37">
        <f>COUNTIF(H$5:H2028,"Y")/COUNTA(H$5:H2028)</f>
        <v/>
      </c>
      <c r="K2028" s="37">
        <f>AVERAGE(F$5:F2028)</f>
        <v/>
      </c>
      <c r="L2028" s="37">
        <f>SUM(F$5:F2028)/SUM(E$5:E2028)</f>
        <v/>
      </c>
    </row>
    <row r="2029">
      <c r="A2029" s="29" t="n">
        <v>45961</v>
      </c>
      <c r="B2029" s="37" t="inlineStr">
        <is>
          <t>JOB-3025</t>
        </is>
      </c>
      <c r="C2029" s="34" t="n">
        <v>1</v>
      </c>
      <c r="D2029" s="37" t="inlineStr">
        <is>
          <t>Tech A</t>
        </is>
      </c>
      <c r="E2029" s="35" t="n">
        <v>3.4</v>
      </c>
      <c r="F2029" s="35" t="n">
        <v>2.5</v>
      </c>
      <c r="G2029" s="37" t="inlineStr">
        <is>
          <t>Y</t>
        </is>
      </c>
      <c r="H2029" s="37" t="inlineStr">
        <is>
          <t>N</t>
        </is>
      </c>
      <c r="I2029" s="37">
        <f>COUNTIF(G$5:G2029,"Y")/COUNTA(G$5:G2029)</f>
        <v/>
      </c>
      <c r="J2029" s="37">
        <f>COUNTIF(H$5:H2029,"Y")/COUNTA(H$5:H2029)</f>
        <v/>
      </c>
      <c r="K2029" s="37">
        <f>AVERAGE(F$5:F2029)</f>
        <v/>
      </c>
      <c r="L2029" s="37">
        <f>SUM(F$5:F2029)/SUM(E$5:E2029)</f>
        <v/>
      </c>
    </row>
    <row r="2030">
      <c r="A2030" s="29" t="n">
        <v>45957</v>
      </c>
      <c r="B2030" s="37" t="inlineStr">
        <is>
          <t>JOB-3026</t>
        </is>
      </c>
      <c r="C2030" s="34" t="n">
        <v>1</v>
      </c>
      <c r="D2030" s="37" t="inlineStr">
        <is>
          <t>Tech C</t>
        </is>
      </c>
      <c r="E2030" s="35" t="n">
        <v>1.5</v>
      </c>
      <c r="F2030" s="35" t="n">
        <v>1.1</v>
      </c>
      <c r="G2030" s="37" t="inlineStr">
        <is>
          <t>Y</t>
        </is>
      </c>
      <c r="H2030" s="37" t="inlineStr">
        <is>
          <t>N</t>
        </is>
      </c>
      <c r="I2030" s="37">
        <f>COUNTIF(G$5:G2030,"Y")/COUNTA(G$5:G2030)</f>
        <v/>
      </c>
      <c r="J2030" s="37">
        <f>COUNTIF(H$5:H2030,"Y")/COUNTA(H$5:H2030)</f>
        <v/>
      </c>
      <c r="K2030" s="37">
        <f>AVERAGE(F$5:F2030)</f>
        <v/>
      </c>
      <c r="L2030" s="37">
        <f>SUM(F$5:F2030)/SUM(E$5:E2030)</f>
        <v/>
      </c>
    </row>
    <row r="2031">
      <c r="A2031" s="29" t="n">
        <v>45958</v>
      </c>
      <c r="B2031" s="37" t="inlineStr">
        <is>
          <t>JOB-3027</t>
        </is>
      </c>
      <c r="C2031" s="34" t="n">
        <v>1</v>
      </c>
      <c r="D2031" s="37" t="inlineStr">
        <is>
          <t>Tech G</t>
        </is>
      </c>
      <c r="E2031" s="35" t="n">
        <v>4.4</v>
      </c>
      <c r="F2031" s="35" t="n">
        <v>3.6</v>
      </c>
      <c r="G2031" s="37" t="inlineStr">
        <is>
          <t>Y</t>
        </is>
      </c>
      <c r="H2031" s="37" t="inlineStr">
        <is>
          <t>N</t>
        </is>
      </c>
      <c r="I2031" s="37">
        <f>COUNTIF(G$5:G2031,"Y")/COUNTA(G$5:G2031)</f>
        <v/>
      </c>
      <c r="J2031" s="37">
        <f>COUNTIF(H$5:H2031,"Y")/COUNTA(H$5:H2031)</f>
        <v/>
      </c>
      <c r="K2031" s="37">
        <f>AVERAGE(F$5:F2031)</f>
        <v/>
      </c>
      <c r="L2031" s="37">
        <f>SUM(F$5:F2031)/SUM(E$5:E2031)</f>
        <v/>
      </c>
    </row>
    <row r="2032">
      <c r="A2032" s="29" t="n">
        <v>45959</v>
      </c>
      <c r="B2032" s="37" t="inlineStr">
        <is>
          <t>JOB-3028</t>
        </is>
      </c>
      <c r="C2032" s="34" t="n">
        <v>1</v>
      </c>
      <c r="D2032" s="37" t="inlineStr">
        <is>
          <t>Tech H</t>
        </is>
      </c>
      <c r="E2032" s="35" t="n">
        <v>4</v>
      </c>
      <c r="F2032" s="35" t="n">
        <v>2.8</v>
      </c>
      <c r="G2032" s="37" t="inlineStr">
        <is>
          <t>Y</t>
        </is>
      </c>
      <c r="H2032" s="37" t="inlineStr">
        <is>
          <t>N</t>
        </is>
      </c>
      <c r="I2032" s="37">
        <f>COUNTIF(G$5:G2032,"Y")/COUNTA(G$5:G2032)</f>
        <v/>
      </c>
      <c r="J2032" s="37">
        <f>COUNTIF(H$5:H2032,"Y")/COUNTA(H$5:H2032)</f>
        <v/>
      </c>
      <c r="K2032" s="37">
        <f>AVERAGE(F$5:F2032)</f>
        <v/>
      </c>
      <c r="L2032" s="37">
        <f>SUM(F$5:F2032)/SUM(E$5:E2032)</f>
        <v/>
      </c>
    </row>
    <row r="2033">
      <c r="A2033" s="29" t="n">
        <v>45960</v>
      </c>
      <c r="B2033" s="37" t="inlineStr">
        <is>
          <t>JOB-3029</t>
        </is>
      </c>
      <c r="C2033" s="34" t="n">
        <v>1</v>
      </c>
      <c r="D2033" s="37" t="inlineStr">
        <is>
          <t>Tech F</t>
        </is>
      </c>
      <c r="E2033" s="35" t="n">
        <v>5.2</v>
      </c>
      <c r="F2033" s="35" t="n">
        <v>3.7</v>
      </c>
      <c r="G2033" s="37" t="inlineStr">
        <is>
          <t>Y</t>
        </is>
      </c>
      <c r="H2033" s="37" t="inlineStr">
        <is>
          <t>N</t>
        </is>
      </c>
      <c r="I2033" s="37">
        <f>COUNTIF(G$5:G2033,"Y")/COUNTA(G$5:G2033)</f>
        <v/>
      </c>
      <c r="J2033" s="37">
        <f>COUNTIF(H$5:H2033,"Y")/COUNTA(H$5:H2033)</f>
        <v/>
      </c>
      <c r="K2033" s="37">
        <f>AVERAGE(F$5:F2033)</f>
        <v/>
      </c>
      <c r="L2033" s="37">
        <f>SUM(F$5:F2033)/SUM(E$5:E2033)</f>
        <v/>
      </c>
    </row>
    <row r="2034">
      <c r="A2034" s="29" t="n">
        <v>45961</v>
      </c>
      <c r="B2034" s="37" t="inlineStr">
        <is>
          <t>JOB-3030</t>
        </is>
      </c>
      <c r="C2034" s="34" t="n">
        <v>1</v>
      </c>
      <c r="D2034" s="37" t="inlineStr">
        <is>
          <t>Tech D</t>
        </is>
      </c>
      <c r="E2034" s="35" t="n">
        <v>3.5</v>
      </c>
      <c r="F2034" s="35" t="n">
        <v>2.9</v>
      </c>
      <c r="G2034" s="37" t="inlineStr">
        <is>
          <t>Y</t>
        </is>
      </c>
      <c r="H2034" s="37" t="inlineStr">
        <is>
          <t>N</t>
        </is>
      </c>
      <c r="I2034" s="37">
        <f>COUNTIF(G$5:G2034,"Y")/COUNTA(G$5:G2034)</f>
        <v/>
      </c>
      <c r="J2034" s="37">
        <f>COUNTIF(H$5:H2034,"Y")/COUNTA(H$5:H2034)</f>
        <v/>
      </c>
      <c r="K2034" s="37">
        <f>AVERAGE(F$5:F2034)</f>
        <v/>
      </c>
      <c r="L2034" s="37">
        <f>SUM(F$5:F2034)/SUM(E$5:E2034)</f>
        <v/>
      </c>
    </row>
    <row r="2035">
      <c r="A2035" s="29" t="n">
        <v>45957</v>
      </c>
      <c r="B2035" s="37" t="inlineStr">
        <is>
          <t>JOB-3031</t>
        </is>
      </c>
      <c r="C2035" s="34" t="n">
        <v>1</v>
      </c>
      <c r="D2035" s="37" t="inlineStr">
        <is>
          <t>Tech H</t>
        </is>
      </c>
      <c r="E2035" s="35" t="n">
        <v>2.4</v>
      </c>
      <c r="F2035" s="35" t="n">
        <v>2</v>
      </c>
      <c r="G2035" s="37" t="inlineStr">
        <is>
          <t>Y</t>
        </is>
      </c>
      <c r="H2035" s="37" t="inlineStr">
        <is>
          <t>N</t>
        </is>
      </c>
      <c r="I2035" s="37">
        <f>COUNTIF(G$5:G2035,"Y")/COUNTA(G$5:G2035)</f>
        <v/>
      </c>
      <c r="J2035" s="37">
        <f>COUNTIF(H$5:H2035,"Y")/COUNTA(H$5:H2035)</f>
        <v/>
      </c>
      <c r="K2035" s="37">
        <f>AVERAGE(F$5:F2035)</f>
        <v/>
      </c>
      <c r="L2035" s="37">
        <f>SUM(F$5:F2035)/SUM(E$5:E2035)</f>
        <v/>
      </c>
    </row>
    <row r="2036">
      <c r="A2036" s="29" t="n">
        <v>45958</v>
      </c>
      <c r="B2036" s="37" t="inlineStr">
        <is>
          <t>JOB-3032</t>
        </is>
      </c>
      <c r="C2036" s="34" t="n">
        <v>1</v>
      </c>
      <c r="D2036" s="37" t="inlineStr">
        <is>
          <t>Tech G</t>
        </is>
      </c>
      <c r="E2036" s="35" t="n">
        <v>0.5</v>
      </c>
      <c r="F2036" s="35" t="n">
        <v>0.5</v>
      </c>
      <c r="G2036" s="37" t="inlineStr">
        <is>
          <t>Y</t>
        </is>
      </c>
      <c r="H2036" s="37" t="inlineStr">
        <is>
          <t>N</t>
        </is>
      </c>
      <c r="I2036" s="37">
        <f>COUNTIF(G$5:G2036,"Y")/COUNTA(G$5:G2036)</f>
        <v/>
      </c>
      <c r="J2036" s="37">
        <f>COUNTIF(H$5:H2036,"Y")/COUNTA(H$5:H2036)</f>
        <v/>
      </c>
      <c r="K2036" s="37">
        <f>AVERAGE(F$5:F2036)</f>
        <v/>
      </c>
      <c r="L2036" s="37">
        <f>SUM(F$5:F2036)/SUM(E$5:E2036)</f>
        <v/>
      </c>
    </row>
    <row r="2037">
      <c r="A2037" s="29" t="n">
        <v>45959</v>
      </c>
      <c r="B2037" s="37" t="inlineStr">
        <is>
          <t>JOB-3033</t>
        </is>
      </c>
      <c r="C2037" s="34" t="n">
        <v>1</v>
      </c>
      <c r="D2037" s="37" t="inlineStr">
        <is>
          <t>Tech B</t>
        </is>
      </c>
      <c r="E2037" s="35" t="n">
        <v>0.5</v>
      </c>
      <c r="F2037" s="35" t="n">
        <v>0.5</v>
      </c>
      <c r="G2037" s="37" t="inlineStr">
        <is>
          <t>Y</t>
        </is>
      </c>
      <c r="H2037" s="37" t="inlineStr">
        <is>
          <t>N</t>
        </is>
      </c>
      <c r="I2037" s="37">
        <f>COUNTIF(G$5:G2037,"Y")/COUNTA(G$5:G2037)</f>
        <v/>
      </c>
      <c r="J2037" s="37">
        <f>COUNTIF(H$5:H2037,"Y")/COUNTA(H$5:H2037)</f>
        <v/>
      </c>
      <c r="K2037" s="37">
        <f>AVERAGE(F$5:F2037)</f>
        <v/>
      </c>
      <c r="L2037" s="37">
        <f>SUM(F$5:F2037)/SUM(E$5:E2037)</f>
        <v/>
      </c>
    </row>
    <row r="2038">
      <c r="A2038" s="29" t="n">
        <v>45960</v>
      </c>
      <c r="B2038" s="37" t="inlineStr">
        <is>
          <t>JOB-3034</t>
        </is>
      </c>
      <c r="C2038" s="34" t="n">
        <v>1</v>
      </c>
      <c r="D2038" s="37" t="inlineStr">
        <is>
          <t>Tech D</t>
        </is>
      </c>
      <c r="E2038" s="35" t="n">
        <v>0.5</v>
      </c>
      <c r="F2038" s="35" t="n">
        <v>0.5</v>
      </c>
      <c r="G2038" s="37" t="inlineStr">
        <is>
          <t>Y</t>
        </is>
      </c>
      <c r="H2038" s="37" t="inlineStr">
        <is>
          <t>N</t>
        </is>
      </c>
      <c r="I2038" s="37">
        <f>COUNTIF(G$5:G2038,"Y")/COUNTA(G$5:G2038)</f>
        <v/>
      </c>
      <c r="J2038" s="37">
        <f>COUNTIF(H$5:H2038,"Y")/COUNTA(H$5:H2038)</f>
        <v/>
      </c>
      <c r="K2038" s="37">
        <f>AVERAGE(F$5:F2038)</f>
        <v/>
      </c>
      <c r="L2038" s="37">
        <f>SUM(F$5:F2038)/SUM(E$5:E2038)</f>
        <v/>
      </c>
    </row>
    <row r="2039">
      <c r="A2039" s="29" t="n">
        <v>45961</v>
      </c>
      <c r="B2039" s="37" t="inlineStr">
        <is>
          <t>JOB-3035</t>
        </is>
      </c>
      <c r="C2039" s="34" t="n">
        <v>1</v>
      </c>
      <c r="D2039" s="37" t="inlineStr">
        <is>
          <t>Tech C</t>
        </is>
      </c>
      <c r="E2039" s="35" t="n">
        <v>0.5</v>
      </c>
      <c r="F2039" s="35" t="n">
        <v>0.5</v>
      </c>
      <c r="G2039" s="37" t="inlineStr">
        <is>
          <t>Y</t>
        </is>
      </c>
      <c r="H2039" s="37" t="inlineStr">
        <is>
          <t>N</t>
        </is>
      </c>
      <c r="I2039" s="37">
        <f>COUNTIF(G$5:G2039,"Y")/COUNTA(G$5:G2039)</f>
        <v/>
      </c>
      <c r="J2039" s="37">
        <f>COUNTIF(H$5:H2039,"Y")/COUNTA(H$5:H2039)</f>
        <v/>
      </c>
      <c r="K2039" s="37">
        <f>AVERAGE(F$5:F2039)</f>
        <v/>
      </c>
      <c r="L2039" s="37">
        <f>SUM(F$5:F2039)/SUM(E$5:E2039)</f>
        <v/>
      </c>
    </row>
    <row r="2040">
      <c r="A2040" s="29" t="n">
        <v>45957</v>
      </c>
      <c r="B2040" s="37" t="inlineStr">
        <is>
          <t>JOB-3036</t>
        </is>
      </c>
      <c r="C2040" s="34" t="n">
        <v>1</v>
      </c>
      <c r="D2040" s="37" t="inlineStr">
        <is>
          <t>Tech H</t>
        </is>
      </c>
      <c r="E2040" s="35" t="n">
        <v>0.5</v>
      </c>
      <c r="F2040" s="35" t="n">
        <v>0.5</v>
      </c>
      <c r="G2040" s="37" t="inlineStr">
        <is>
          <t>Y</t>
        </is>
      </c>
      <c r="H2040" s="37" t="inlineStr">
        <is>
          <t>N</t>
        </is>
      </c>
      <c r="I2040" s="37">
        <f>COUNTIF(G$5:G2040,"Y")/COUNTA(G$5:G2040)</f>
        <v/>
      </c>
      <c r="J2040" s="37">
        <f>COUNTIF(H$5:H2040,"Y")/COUNTA(H$5:H2040)</f>
        <v/>
      </c>
      <c r="K2040" s="37">
        <f>AVERAGE(F$5:F2040)</f>
        <v/>
      </c>
      <c r="L2040" s="37">
        <f>SUM(F$5:F2040)/SUM(E$5:E2040)</f>
        <v/>
      </c>
    </row>
    <row r="2041">
      <c r="A2041" s="29" t="n">
        <v>45958</v>
      </c>
      <c r="B2041" s="37" t="inlineStr">
        <is>
          <t>JOB-3037</t>
        </is>
      </c>
      <c r="C2041" s="34" t="n">
        <v>1</v>
      </c>
      <c r="D2041" s="37" t="inlineStr">
        <is>
          <t>Tech D</t>
        </is>
      </c>
      <c r="E2041" s="35" t="n">
        <v>0.5</v>
      </c>
      <c r="F2041" s="35" t="n">
        <v>0.5</v>
      </c>
      <c r="G2041" s="37" t="inlineStr">
        <is>
          <t>Y</t>
        </is>
      </c>
      <c r="H2041" s="37" t="inlineStr">
        <is>
          <t>N</t>
        </is>
      </c>
      <c r="I2041" s="37">
        <f>COUNTIF(G$5:G2041,"Y")/COUNTA(G$5:G2041)</f>
        <v/>
      </c>
      <c r="J2041" s="37">
        <f>COUNTIF(H$5:H2041,"Y")/COUNTA(H$5:H2041)</f>
        <v/>
      </c>
      <c r="K2041" s="37">
        <f>AVERAGE(F$5:F2041)</f>
        <v/>
      </c>
      <c r="L2041" s="37">
        <f>SUM(F$5:F2041)/SUM(E$5:E2041)</f>
        <v/>
      </c>
    </row>
    <row r="2042">
      <c r="A2042" s="29" t="n">
        <v>45959</v>
      </c>
      <c r="B2042" s="37" t="inlineStr">
        <is>
          <t>JOB-3038</t>
        </is>
      </c>
      <c r="C2042" s="34" t="n">
        <v>1</v>
      </c>
      <c r="D2042" s="37" t="inlineStr">
        <is>
          <t>Tech A</t>
        </is>
      </c>
      <c r="E2042" s="35" t="n">
        <v>0.5</v>
      </c>
      <c r="F2042" s="35" t="n">
        <v>0.5</v>
      </c>
      <c r="G2042" s="37" t="inlineStr">
        <is>
          <t>Y</t>
        </is>
      </c>
      <c r="H2042" s="37" t="inlineStr">
        <is>
          <t>N</t>
        </is>
      </c>
      <c r="I2042" s="37">
        <f>COUNTIF(G$5:G2042,"Y")/COUNTA(G$5:G2042)</f>
        <v/>
      </c>
      <c r="J2042" s="37">
        <f>COUNTIF(H$5:H2042,"Y")/COUNTA(H$5:H2042)</f>
        <v/>
      </c>
      <c r="K2042" s="37">
        <f>AVERAGE(F$5:F2042)</f>
        <v/>
      </c>
      <c r="L2042" s="37">
        <f>SUM(F$5:F2042)/SUM(E$5:E2042)</f>
        <v/>
      </c>
      <c r="M2042" s="37" t="n">
        <v>5</v>
      </c>
    </row>
    <row r="2043">
      <c r="A2043" s="29" t="n">
        <v>45964</v>
      </c>
      <c r="B2043" s="37" t="inlineStr">
        <is>
          <t>JOB-3039</t>
        </is>
      </c>
      <c r="C2043" s="34" t="n">
        <v>1</v>
      </c>
      <c r="D2043" s="37" t="inlineStr">
        <is>
          <t>Tech B</t>
        </is>
      </c>
      <c r="E2043" s="35" t="n">
        <v>4.9</v>
      </c>
      <c r="F2043" s="35" t="n">
        <v>3.9</v>
      </c>
      <c r="G2043" s="37" t="inlineStr">
        <is>
          <t>Y</t>
        </is>
      </c>
      <c r="H2043" s="37" t="inlineStr">
        <is>
          <t>N</t>
        </is>
      </c>
      <c r="I2043" s="37">
        <f>COUNTIF(G$5:G2043,"Y")/COUNTA(G$5:G2043)</f>
        <v/>
      </c>
      <c r="J2043" s="37">
        <f>COUNTIF(H$5:H2043,"Y")/COUNTA(H$5:H2043)</f>
        <v/>
      </c>
      <c r="K2043" s="37">
        <f>AVERAGE(F$5:F2043)</f>
        <v/>
      </c>
      <c r="L2043" s="37">
        <f>SUM(F$5:F2043)/SUM(E$5:E2043)</f>
        <v/>
      </c>
    </row>
    <row r="2044">
      <c r="A2044" s="29" t="n">
        <v>45965</v>
      </c>
      <c r="B2044" s="37" t="inlineStr">
        <is>
          <t>JOB-3040</t>
        </is>
      </c>
      <c r="C2044" s="34" t="n">
        <v>1</v>
      </c>
      <c r="D2044" s="37" t="inlineStr">
        <is>
          <t>Tech F</t>
        </is>
      </c>
      <c r="E2044" s="35" t="n">
        <v>4.3</v>
      </c>
      <c r="F2044" s="35" t="n">
        <v>3.5</v>
      </c>
      <c r="G2044" s="37" t="inlineStr">
        <is>
          <t>Y</t>
        </is>
      </c>
      <c r="H2044" s="37" t="inlineStr">
        <is>
          <t>N</t>
        </is>
      </c>
      <c r="I2044" s="37">
        <f>COUNTIF(G$5:G2044,"Y")/COUNTA(G$5:G2044)</f>
        <v/>
      </c>
      <c r="J2044" s="37">
        <f>COUNTIF(H$5:H2044,"Y")/COUNTA(H$5:H2044)</f>
        <v/>
      </c>
      <c r="K2044" s="37">
        <f>AVERAGE(F$5:F2044)</f>
        <v/>
      </c>
      <c r="L2044" s="37">
        <f>SUM(F$5:F2044)/SUM(E$5:E2044)</f>
        <v/>
      </c>
    </row>
    <row r="2045">
      <c r="A2045" s="29" t="n">
        <v>45966</v>
      </c>
      <c r="B2045" s="37" t="inlineStr">
        <is>
          <t>JOB-3041</t>
        </is>
      </c>
      <c r="C2045" s="34" t="n">
        <v>1</v>
      </c>
      <c r="D2045" s="37" t="inlineStr">
        <is>
          <t>Tech F</t>
        </is>
      </c>
      <c r="E2045" s="35" t="n">
        <v>4.7</v>
      </c>
      <c r="F2045" s="35" t="n">
        <v>3.2</v>
      </c>
      <c r="G2045" s="37" t="inlineStr">
        <is>
          <t>Y</t>
        </is>
      </c>
      <c r="H2045" s="37" t="inlineStr">
        <is>
          <t>N</t>
        </is>
      </c>
      <c r="I2045" s="37">
        <f>COUNTIF(G$5:G2045,"Y")/COUNTA(G$5:G2045)</f>
        <v/>
      </c>
      <c r="J2045" s="37">
        <f>COUNTIF(H$5:H2045,"Y")/COUNTA(H$5:H2045)</f>
        <v/>
      </c>
      <c r="K2045" s="37">
        <f>AVERAGE(F$5:F2045)</f>
        <v/>
      </c>
      <c r="L2045" s="37">
        <f>SUM(F$5:F2045)/SUM(E$5:E2045)</f>
        <v/>
      </c>
    </row>
    <row r="2046">
      <c r="A2046" s="29" t="n">
        <v>45967</v>
      </c>
      <c r="B2046" s="37" t="inlineStr">
        <is>
          <t>JOB-3042</t>
        </is>
      </c>
      <c r="C2046" s="34" t="n">
        <v>1</v>
      </c>
      <c r="D2046" s="37" t="inlineStr">
        <is>
          <t>Tech B</t>
        </is>
      </c>
      <c r="E2046" s="35" t="n">
        <v>3.6</v>
      </c>
      <c r="F2046" s="35" t="n">
        <v>3.1</v>
      </c>
      <c r="G2046" s="37" t="inlineStr">
        <is>
          <t>Y</t>
        </is>
      </c>
      <c r="H2046" s="37" t="inlineStr">
        <is>
          <t>N</t>
        </is>
      </c>
      <c r="I2046" s="37">
        <f>COUNTIF(G$5:G2046,"Y")/COUNTA(G$5:G2046)</f>
        <v/>
      </c>
      <c r="J2046" s="37">
        <f>COUNTIF(H$5:H2046,"Y")/COUNTA(H$5:H2046)</f>
        <v/>
      </c>
      <c r="K2046" s="37">
        <f>AVERAGE(F$5:F2046)</f>
        <v/>
      </c>
      <c r="L2046" s="37">
        <f>SUM(F$5:F2046)/SUM(E$5:E2046)</f>
        <v/>
      </c>
    </row>
    <row r="2047">
      <c r="A2047" s="29" t="n">
        <v>45968</v>
      </c>
      <c r="B2047" s="37" t="inlineStr">
        <is>
          <t>JOB-3043</t>
        </is>
      </c>
      <c r="C2047" s="34" t="n">
        <v>1</v>
      </c>
      <c r="D2047" s="37" t="inlineStr">
        <is>
          <t>Tech F</t>
        </is>
      </c>
      <c r="E2047" s="35" t="n">
        <v>4.3</v>
      </c>
      <c r="F2047" s="35" t="n">
        <v>3.6</v>
      </c>
      <c r="G2047" s="37" t="inlineStr">
        <is>
          <t>Y</t>
        </is>
      </c>
      <c r="H2047" s="37" t="inlineStr">
        <is>
          <t>N</t>
        </is>
      </c>
      <c r="I2047" s="37">
        <f>COUNTIF(G$5:G2047,"Y")/COUNTA(G$5:G2047)</f>
        <v/>
      </c>
      <c r="J2047" s="37">
        <f>COUNTIF(H$5:H2047,"Y")/COUNTA(H$5:H2047)</f>
        <v/>
      </c>
      <c r="K2047" s="37">
        <f>AVERAGE(F$5:F2047)</f>
        <v/>
      </c>
      <c r="L2047" s="37">
        <f>SUM(F$5:F2047)/SUM(E$5:E2047)</f>
        <v/>
      </c>
    </row>
    <row r="2048">
      <c r="A2048" s="29" t="n">
        <v>45964</v>
      </c>
      <c r="B2048" s="37" t="inlineStr">
        <is>
          <t>JOB-3044</t>
        </is>
      </c>
      <c r="C2048" s="34" t="n">
        <v>1</v>
      </c>
      <c r="D2048" s="37" t="inlineStr">
        <is>
          <t>Tech C</t>
        </is>
      </c>
      <c r="E2048" s="35" t="n">
        <v>3.2</v>
      </c>
      <c r="F2048" s="35" t="n">
        <v>2.5</v>
      </c>
      <c r="G2048" s="37" t="inlineStr">
        <is>
          <t>Y</t>
        </is>
      </c>
      <c r="H2048" s="37" t="inlineStr">
        <is>
          <t>N</t>
        </is>
      </c>
      <c r="I2048" s="37">
        <f>COUNTIF(G$5:G2048,"Y")/COUNTA(G$5:G2048)</f>
        <v/>
      </c>
      <c r="J2048" s="37">
        <f>COUNTIF(H$5:H2048,"Y")/COUNTA(H$5:H2048)</f>
        <v/>
      </c>
      <c r="K2048" s="37">
        <f>AVERAGE(F$5:F2048)</f>
        <v/>
      </c>
      <c r="L2048" s="37">
        <f>SUM(F$5:F2048)/SUM(E$5:E2048)</f>
        <v/>
      </c>
    </row>
    <row r="2049">
      <c r="A2049" s="29" t="n">
        <v>45965</v>
      </c>
      <c r="B2049" s="37" t="inlineStr">
        <is>
          <t>JOB-3045</t>
        </is>
      </c>
      <c r="C2049" s="34" t="n">
        <v>1</v>
      </c>
      <c r="D2049" s="37" t="inlineStr">
        <is>
          <t>Tech C</t>
        </is>
      </c>
      <c r="E2049" s="35" t="n">
        <v>5.4</v>
      </c>
      <c r="F2049" s="35" t="n">
        <v>3.9</v>
      </c>
      <c r="G2049" s="37" t="inlineStr">
        <is>
          <t>Y</t>
        </is>
      </c>
      <c r="H2049" s="37" t="inlineStr">
        <is>
          <t>N</t>
        </is>
      </c>
      <c r="I2049" s="37">
        <f>COUNTIF(G$5:G2049,"Y")/COUNTA(G$5:G2049)</f>
        <v/>
      </c>
      <c r="J2049" s="37">
        <f>COUNTIF(H$5:H2049,"Y")/COUNTA(H$5:H2049)</f>
        <v/>
      </c>
      <c r="K2049" s="37">
        <f>AVERAGE(F$5:F2049)</f>
        <v/>
      </c>
      <c r="L2049" s="37">
        <f>SUM(F$5:F2049)/SUM(E$5:E2049)</f>
        <v/>
      </c>
    </row>
    <row r="2050">
      <c r="A2050" s="29" t="n">
        <v>45966</v>
      </c>
      <c r="B2050" s="37" t="inlineStr">
        <is>
          <t>JOB-3046</t>
        </is>
      </c>
      <c r="C2050" s="34" t="n">
        <v>1</v>
      </c>
      <c r="D2050" s="37" t="inlineStr">
        <is>
          <t>Tech B</t>
        </is>
      </c>
      <c r="E2050" s="35" t="n">
        <v>5.4</v>
      </c>
      <c r="F2050" s="35" t="n">
        <v>3.5</v>
      </c>
      <c r="G2050" s="37" t="inlineStr">
        <is>
          <t>Y</t>
        </is>
      </c>
      <c r="H2050" s="37" t="inlineStr">
        <is>
          <t>N</t>
        </is>
      </c>
      <c r="I2050" s="37">
        <f>COUNTIF(G$5:G2050,"Y")/COUNTA(G$5:G2050)</f>
        <v/>
      </c>
      <c r="J2050" s="37">
        <f>COUNTIF(H$5:H2050,"Y")/COUNTA(H$5:H2050)</f>
        <v/>
      </c>
      <c r="K2050" s="37">
        <f>AVERAGE(F$5:F2050)</f>
        <v/>
      </c>
      <c r="L2050" s="37">
        <f>SUM(F$5:F2050)/SUM(E$5:E2050)</f>
        <v/>
      </c>
    </row>
    <row r="2051">
      <c r="A2051" s="29" t="n">
        <v>45967</v>
      </c>
      <c r="B2051" s="37" t="inlineStr">
        <is>
          <t>JOB-3047</t>
        </is>
      </c>
      <c r="C2051" s="34" t="n">
        <v>1</v>
      </c>
      <c r="D2051" s="37" t="inlineStr">
        <is>
          <t>Tech H</t>
        </is>
      </c>
      <c r="E2051" s="35" t="n">
        <v>3.4</v>
      </c>
      <c r="F2051" s="35" t="n">
        <v>2.7</v>
      </c>
      <c r="G2051" s="37" t="inlineStr">
        <is>
          <t>Y</t>
        </is>
      </c>
      <c r="H2051" s="37" t="inlineStr">
        <is>
          <t>N</t>
        </is>
      </c>
      <c r="I2051" s="37">
        <f>COUNTIF(G$5:G2051,"Y")/COUNTA(G$5:G2051)</f>
        <v/>
      </c>
      <c r="J2051" s="37">
        <f>COUNTIF(H$5:H2051,"Y")/COUNTA(H$5:H2051)</f>
        <v/>
      </c>
      <c r="K2051" s="37">
        <f>AVERAGE(F$5:F2051)</f>
        <v/>
      </c>
      <c r="L2051" s="37">
        <f>SUM(F$5:F2051)/SUM(E$5:E2051)</f>
        <v/>
      </c>
    </row>
    <row r="2052">
      <c r="A2052" s="29" t="n">
        <v>45968</v>
      </c>
      <c r="B2052" s="37" t="inlineStr">
        <is>
          <t>JOB-3048</t>
        </is>
      </c>
      <c r="C2052" s="34" t="n">
        <v>1</v>
      </c>
      <c r="D2052" s="37" t="inlineStr">
        <is>
          <t>Tech F</t>
        </is>
      </c>
      <c r="E2052" s="35" t="n">
        <v>4.6</v>
      </c>
      <c r="F2052" s="35" t="n">
        <v>3</v>
      </c>
      <c r="G2052" s="37" t="inlineStr">
        <is>
          <t>Y</t>
        </is>
      </c>
      <c r="H2052" s="37" t="inlineStr">
        <is>
          <t>N</t>
        </is>
      </c>
      <c r="I2052" s="37">
        <f>COUNTIF(G$5:G2052,"Y")/COUNTA(G$5:G2052)</f>
        <v/>
      </c>
      <c r="J2052" s="37">
        <f>COUNTIF(H$5:H2052,"Y")/COUNTA(H$5:H2052)</f>
        <v/>
      </c>
      <c r="K2052" s="37">
        <f>AVERAGE(F$5:F2052)</f>
        <v/>
      </c>
      <c r="L2052" s="37">
        <f>SUM(F$5:F2052)/SUM(E$5:E2052)</f>
        <v/>
      </c>
    </row>
    <row r="2053">
      <c r="A2053" s="29" t="n">
        <v>45964</v>
      </c>
      <c r="B2053" s="37" t="inlineStr">
        <is>
          <t>JOB-3049</t>
        </is>
      </c>
      <c r="C2053" s="34" t="n">
        <v>1</v>
      </c>
      <c r="D2053" s="37" t="inlineStr">
        <is>
          <t>Tech D</t>
        </is>
      </c>
      <c r="E2053" s="35" t="n">
        <v>4.3</v>
      </c>
      <c r="F2053" s="35" t="n">
        <v>3.3</v>
      </c>
      <c r="G2053" s="37" t="inlineStr">
        <is>
          <t>Y</t>
        </is>
      </c>
      <c r="H2053" s="37" t="inlineStr">
        <is>
          <t>N</t>
        </is>
      </c>
      <c r="I2053" s="37">
        <f>COUNTIF(G$5:G2053,"Y")/COUNTA(G$5:G2053)</f>
        <v/>
      </c>
      <c r="J2053" s="37">
        <f>COUNTIF(H$5:H2053,"Y")/COUNTA(H$5:H2053)</f>
        <v/>
      </c>
      <c r="K2053" s="37">
        <f>AVERAGE(F$5:F2053)</f>
        <v/>
      </c>
      <c r="L2053" s="37">
        <f>SUM(F$5:F2053)/SUM(E$5:E2053)</f>
        <v/>
      </c>
    </row>
    <row r="2054">
      <c r="A2054" s="29" t="n">
        <v>45965</v>
      </c>
      <c r="B2054" s="37" t="inlineStr">
        <is>
          <t>JOB-3050</t>
        </is>
      </c>
      <c r="C2054" s="34" t="n">
        <v>1</v>
      </c>
      <c r="D2054" s="37" t="inlineStr">
        <is>
          <t>Tech A</t>
        </is>
      </c>
      <c r="E2054" s="35" t="n">
        <v>3.2</v>
      </c>
      <c r="F2054" s="35" t="n">
        <v>2.6</v>
      </c>
      <c r="G2054" s="37" t="inlineStr">
        <is>
          <t>Y</t>
        </is>
      </c>
      <c r="H2054" s="37" t="inlineStr">
        <is>
          <t>N</t>
        </is>
      </c>
      <c r="I2054" s="37">
        <f>COUNTIF(G$5:G2054,"Y")/COUNTA(G$5:G2054)</f>
        <v/>
      </c>
      <c r="J2054" s="37">
        <f>COUNTIF(H$5:H2054,"Y")/COUNTA(H$5:H2054)</f>
        <v/>
      </c>
      <c r="K2054" s="37">
        <f>AVERAGE(F$5:F2054)</f>
        <v/>
      </c>
      <c r="L2054" s="37">
        <f>SUM(F$5:F2054)/SUM(E$5:E2054)</f>
        <v/>
      </c>
    </row>
    <row r="2055">
      <c r="A2055" s="29" t="n">
        <v>45966</v>
      </c>
      <c r="B2055" s="37" t="inlineStr">
        <is>
          <t>JOB-3051</t>
        </is>
      </c>
      <c r="C2055" s="34" t="n">
        <v>1</v>
      </c>
      <c r="D2055" s="37" t="inlineStr">
        <is>
          <t>Tech F</t>
        </is>
      </c>
      <c r="E2055" s="35" t="n">
        <v>3.8</v>
      </c>
      <c r="F2055" s="35" t="n">
        <v>3.1</v>
      </c>
      <c r="G2055" s="37" t="inlineStr">
        <is>
          <t>Y</t>
        </is>
      </c>
      <c r="H2055" s="37" t="inlineStr">
        <is>
          <t>N</t>
        </is>
      </c>
      <c r="I2055" s="37">
        <f>COUNTIF(G$5:G2055,"Y")/COUNTA(G$5:G2055)</f>
        <v/>
      </c>
      <c r="J2055" s="37">
        <f>COUNTIF(H$5:H2055,"Y")/COUNTA(H$5:H2055)</f>
        <v/>
      </c>
      <c r="K2055" s="37">
        <f>AVERAGE(F$5:F2055)</f>
        <v/>
      </c>
      <c r="L2055" s="37">
        <f>SUM(F$5:F2055)/SUM(E$5:E2055)</f>
        <v/>
      </c>
    </row>
    <row r="2056">
      <c r="A2056" s="29" t="n">
        <v>45967</v>
      </c>
      <c r="B2056" s="37" t="inlineStr">
        <is>
          <t>JOB-3052</t>
        </is>
      </c>
      <c r="C2056" s="34" t="n">
        <v>1</v>
      </c>
      <c r="D2056" s="37" t="inlineStr">
        <is>
          <t>Tech C</t>
        </is>
      </c>
      <c r="E2056" s="35" t="n">
        <v>4.5</v>
      </c>
      <c r="F2056" s="35" t="n">
        <v>3.5</v>
      </c>
      <c r="G2056" s="37" t="inlineStr">
        <is>
          <t>Y</t>
        </is>
      </c>
      <c r="H2056" s="37" t="inlineStr">
        <is>
          <t>N</t>
        </is>
      </c>
      <c r="I2056" s="37">
        <f>COUNTIF(G$5:G2056,"Y")/COUNTA(G$5:G2056)</f>
        <v/>
      </c>
      <c r="J2056" s="37">
        <f>COUNTIF(H$5:H2056,"Y")/COUNTA(H$5:H2056)</f>
        <v/>
      </c>
      <c r="K2056" s="37">
        <f>AVERAGE(F$5:F2056)</f>
        <v/>
      </c>
      <c r="L2056" s="37">
        <f>SUM(F$5:F2056)/SUM(E$5:E2056)</f>
        <v/>
      </c>
    </row>
    <row r="2057">
      <c r="A2057" s="29" t="n">
        <v>45968</v>
      </c>
      <c r="B2057" s="37" t="inlineStr">
        <is>
          <t>JOB-3053</t>
        </is>
      </c>
      <c r="C2057" s="34" t="n">
        <v>1</v>
      </c>
      <c r="D2057" s="37" t="inlineStr">
        <is>
          <t>Tech C</t>
        </is>
      </c>
      <c r="E2057" s="35" t="n">
        <v>2.2</v>
      </c>
      <c r="F2057" s="35" t="n">
        <v>1.5</v>
      </c>
      <c r="G2057" s="37" t="inlineStr">
        <is>
          <t>Y</t>
        </is>
      </c>
      <c r="H2057" s="37" t="inlineStr">
        <is>
          <t>N</t>
        </is>
      </c>
      <c r="I2057" s="37">
        <f>COUNTIF(G$5:G2057,"Y")/COUNTA(G$5:G2057)</f>
        <v/>
      </c>
      <c r="J2057" s="37">
        <f>COUNTIF(H$5:H2057,"Y")/COUNTA(H$5:H2057)</f>
        <v/>
      </c>
      <c r="K2057" s="37">
        <f>AVERAGE(F$5:F2057)</f>
        <v/>
      </c>
      <c r="L2057" s="37">
        <f>SUM(F$5:F2057)/SUM(E$5:E2057)</f>
        <v/>
      </c>
    </row>
    <row r="2058">
      <c r="A2058" s="29" t="n">
        <v>45964</v>
      </c>
      <c r="B2058" s="37" t="inlineStr">
        <is>
          <t>JOB-3054</t>
        </is>
      </c>
      <c r="C2058" s="34" t="n">
        <v>1</v>
      </c>
      <c r="D2058" s="37" t="inlineStr">
        <is>
          <t>Tech D</t>
        </is>
      </c>
      <c r="E2058" s="35" t="n">
        <v>4.1</v>
      </c>
      <c r="F2058" s="35" t="n">
        <v>2.8</v>
      </c>
      <c r="G2058" s="37" t="inlineStr">
        <is>
          <t>Y</t>
        </is>
      </c>
      <c r="H2058" s="37" t="inlineStr">
        <is>
          <t>N</t>
        </is>
      </c>
      <c r="I2058" s="37">
        <f>COUNTIF(G$5:G2058,"Y")/COUNTA(G$5:G2058)</f>
        <v/>
      </c>
      <c r="J2058" s="37">
        <f>COUNTIF(H$5:H2058,"Y")/COUNTA(H$5:H2058)</f>
        <v/>
      </c>
      <c r="K2058" s="37">
        <f>AVERAGE(F$5:F2058)</f>
        <v/>
      </c>
      <c r="L2058" s="37">
        <f>SUM(F$5:F2058)/SUM(E$5:E2058)</f>
        <v/>
      </c>
    </row>
    <row r="2059">
      <c r="A2059" s="29" t="n">
        <v>45965</v>
      </c>
      <c r="B2059" s="37" t="inlineStr">
        <is>
          <t>JOB-3055</t>
        </is>
      </c>
      <c r="C2059" s="34" t="n">
        <v>1</v>
      </c>
      <c r="D2059" s="37" t="inlineStr">
        <is>
          <t>Tech H</t>
        </is>
      </c>
      <c r="E2059" s="35" t="n">
        <v>5</v>
      </c>
      <c r="F2059" s="35" t="n">
        <v>3.5</v>
      </c>
      <c r="G2059" s="37" t="inlineStr">
        <is>
          <t>N</t>
        </is>
      </c>
      <c r="H2059" s="37" t="inlineStr">
        <is>
          <t>N</t>
        </is>
      </c>
      <c r="I2059" s="37">
        <f>COUNTIF(G$5:G2059,"Y")/COUNTA(G$5:G2059)</f>
        <v/>
      </c>
      <c r="J2059" s="37">
        <f>COUNTIF(H$5:H2059,"Y")/COUNTA(H$5:H2059)</f>
        <v/>
      </c>
      <c r="K2059" s="37">
        <f>AVERAGE(F$5:F2059)</f>
        <v/>
      </c>
      <c r="L2059" s="37">
        <f>SUM(F$5:F2059)/SUM(E$5:E2059)</f>
        <v/>
      </c>
    </row>
    <row r="2060">
      <c r="A2060" s="29" t="n">
        <v>45966</v>
      </c>
      <c r="B2060" s="37" t="inlineStr">
        <is>
          <t>JOB-3056</t>
        </is>
      </c>
      <c r="C2060" s="34" t="n">
        <v>1</v>
      </c>
      <c r="D2060" s="37" t="inlineStr">
        <is>
          <t>Tech B</t>
        </is>
      </c>
      <c r="E2060" s="35" t="n">
        <v>2.9</v>
      </c>
      <c r="F2060" s="35" t="n">
        <v>2.4</v>
      </c>
      <c r="G2060" s="37" t="inlineStr">
        <is>
          <t>Y</t>
        </is>
      </c>
      <c r="H2060" s="37" t="inlineStr">
        <is>
          <t>N</t>
        </is>
      </c>
      <c r="I2060" s="37">
        <f>COUNTIF(G$5:G2060,"Y")/COUNTA(G$5:G2060)</f>
        <v/>
      </c>
      <c r="J2060" s="37">
        <f>COUNTIF(H$5:H2060,"Y")/COUNTA(H$5:H2060)</f>
        <v/>
      </c>
      <c r="K2060" s="37">
        <f>AVERAGE(F$5:F2060)</f>
        <v/>
      </c>
      <c r="L2060" s="37">
        <f>SUM(F$5:F2060)/SUM(E$5:E2060)</f>
        <v/>
      </c>
    </row>
    <row r="2061">
      <c r="A2061" s="29" t="n">
        <v>45967</v>
      </c>
      <c r="B2061" s="37" t="inlineStr">
        <is>
          <t>JOB-3057</t>
        </is>
      </c>
      <c r="C2061" s="34" t="n">
        <v>1</v>
      </c>
      <c r="D2061" s="37" t="inlineStr">
        <is>
          <t>Tech D</t>
        </is>
      </c>
      <c r="E2061" s="35" t="n">
        <v>2.1</v>
      </c>
      <c r="F2061" s="35" t="n">
        <v>1.5</v>
      </c>
      <c r="G2061" s="37" t="inlineStr">
        <is>
          <t>Y</t>
        </is>
      </c>
      <c r="H2061" s="37" t="inlineStr">
        <is>
          <t>N</t>
        </is>
      </c>
      <c r="I2061" s="37">
        <f>COUNTIF(G$5:G2061,"Y")/COUNTA(G$5:G2061)</f>
        <v/>
      </c>
      <c r="J2061" s="37">
        <f>COUNTIF(H$5:H2061,"Y")/COUNTA(H$5:H2061)</f>
        <v/>
      </c>
      <c r="K2061" s="37">
        <f>AVERAGE(F$5:F2061)</f>
        <v/>
      </c>
      <c r="L2061" s="37">
        <f>SUM(F$5:F2061)/SUM(E$5:E2061)</f>
        <v/>
      </c>
    </row>
    <row r="2062">
      <c r="A2062" s="29" t="n">
        <v>45968</v>
      </c>
      <c r="B2062" s="37" t="inlineStr">
        <is>
          <t>JOB-3058</t>
        </is>
      </c>
      <c r="C2062" s="34" t="n">
        <v>1</v>
      </c>
      <c r="D2062" s="37" t="inlineStr">
        <is>
          <t>Tech D</t>
        </is>
      </c>
      <c r="E2062" s="35" t="n">
        <v>2.3</v>
      </c>
      <c r="F2062" s="35" t="n">
        <v>1.9</v>
      </c>
      <c r="G2062" s="37" t="inlineStr">
        <is>
          <t>Y</t>
        </is>
      </c>
      <c r="H2062" s="37" t="inlineStr">
        <is>
          <t>N</t>
        </is>
      </c>
      <c r="I2062" s="37">
        <f>COUNTIF(G$5:G2062,"Y")/COUNTA(G$5:G2062)</f>
        <v/>
      </c>
      <c r="J2062" s="37">
        <f>COUNTIF(H$5:H2062,"Y")/COUNTA(H$5:H2062)</f>
        <v/>
      </c>
      <c r="K2062" s="37">
        <f>AVERAGE(F$5:F2062)</f>
        <v/>
      </c>
      <c r="L2062" s="37">
        <f>SUM(F$5:F2062)/SUM(E$5:E2062)</f>
        <v/>
      </c>
    </row>
    <row r="2063">
      <c r="A2063" s="29" t="n">
        <v>45964</v>
      </c>
      <c r="B2063" s="37" t="inlineStr">
        <is>
          <t>JOB-3059</t>
        </is>
      </c>
      <c r="C2063" s="34" t="n">
        <v>1</v>
      </c>
      <c r="D2063" s="37" t="inlineStr">
        <is>
          <t>Tech A</t>
        </is>
      </c>
      <c r="E2063" s="35" t="n">
        <v>2.4</v>
      </c>
      <c r="F2063" s="35" t="n">
        <v>1.7</v>
      </c>
      <c r="G2063" s="37" t="inlineStr">
        <is>
          <t>Y</t>
        </is>
      </c>
      <c r="H2063" s="37" t="inlineStr">
        <is>
          <t>N</t>
        </is>
      </c>
      <c r="I2063" s="37">
        <f>COUNTIF(G$5:G2063,"Y")/COUNTA(G$5:G2063)</f>
        <v/>
      </c>
      <c r="J2063" s="37">
        <f>COUNTIF(H$5:H2063,"Y")/COUNTA(H$5:H2063)</f>
        <v/>
      </c>
      <c r="K2063" s="37">
        <f>AVERAGE(F$5:F2063)</f>
        <v/>
      </c>
      <c r="L2063" s="37">
        <f>SUM(F$5:F2063)/SUM(E$5:E2063)</f>
        <v/>
      </c>
    </row>
    <row r="2064">
      <c r="A2064" s="29" t="n">
        <v>45965</v>
      </c>
      <c r="B2064" s="37" t="inlineStr">
        <is>
          <t>JOB-3060</t>
        </is>
      </c>
      <c r="C2064" s="34" t="n">
        <v>1</v>
      </c>
      <c r="D2064" s="37" t="inlineStr">
        <is>
          <t>Tech C</t>
        </is>
      </c>
      <c r="E2064" s="35" t="n">
        <v>3.6</v>
      </c>
      <c r="F2064" s="35" t="n">
        <v>3.2</v>
      </c>
      <c r="G2064" s="37" t="inlineStr">
        <is>
          <t>Y</t>
        </is>
      </c>
      <c r="H2064" s="37" t="inlineStr">
        <is>
          <t>N</t>
        </is>
      </c>
      <c r="I2064" s="37">
        <f>COUNTIF(G$5:G2064,"Y")/COUNTA(G$5:G2064)</f>
        <v/>
      </c>
      <c r="J2064" s="37">
        <f>COUNTIF(H$5:H2064,"Y")/COUNTA(H$5:H2064)</f>
        <v/>
      </c>
      <c r="K2064" s="37">
        <f>AVERAGE(F$5:F2064)</f>
        <v/>
      </c>
      <c r="L2064" s="37">
        <f>SUM(F$5:F2064)/SUM(E$5:E2064)</f>
        <v/>
      </c>
    </row>
    <row r="2065">
      <c r="A2065" s="29" t="n">
        <v>45966</v>
      </c>
      <c r="B2065" s="37" t="inlineStr">
        <is>
          <t>JOB-3061</t>
        </is>
      </c>
      <c r="C2065" s="34" t="n">
        <v>1</v>
      </c>
      <c r="D2065" s="37" t="inlineStr">
        <is>
          <t>Tech H</t>
        </is>
      </c>
      <c r="E2065" s="35" t="n">
        <v>4.4</v>
      </c>
      <c r="F2065" s="35" t="n">
        <v>3.2</v>
      </c>
      <c r="G2065" s="37" t="inlineStr">
        <is>
          <t>Y</t>
        </is>
      </c>
      <c r="H2065" s="37" t="inlineStr">
        <is>
          <t>Y</t>
        </is>
      </c>
      <c r="I2065" s="37">
        <f>COUNTIF(G$5:G2065,"Y")/COUNTA(G$5:G2065)</f>
        <v/>
      </c>
      <c r="J2065" s="37">
        <f>COUNTIF(H$5:H2065,"Y")/COUNTA(H$5:H2065)</f>
        <v/>
      </c>
      <c r="K2065" s="37">
        <f>AVERAGE(F$5:F2065)</f>
        <v/>
      </c>
      <c r="L2065" s="37">
        <f>SUM(F$5:F2065)/SUM(E$5:E2065)</f>
        <v/>
      </c>
    </row>
    <row r="2066">
      <c r="A2066" s="29" t="n">
        <v>45967</v>
      </c>
      <c r="B2066" s="37" t="inlineStr">
        <is>
          <t>JOB-3062</t>
        </is>
      </c>
      <c r="C2066" s="34" t="n">
        <v>1</v>
      </c>
      <c r="D2066" s="37" t="inlineStr">
        <is>
          <t>Tech D</t>
        </is>
      </c>
      <c r="E2066" s="35" t="n">
        <v>4.6</v>
      </c>
      <c r="F2066" s="35" t="n">
        <v>3</v>
      </c>
      <c r="G2066" s="37" t="inlineStr">
        <is>
          <t>Y</t>
        </is>
      </c>
      <c r="H2066" s="37" t="inlineStr">
        <is>
          <t>N</t>
        </is>
      </c>
      <c r="I2066" s="37">
        <f>COUNTIF(G$5:G2066,"Y")/COUNTA(G$5:G2066)</f>
        <v/>
      </c>
      <c r="J2066" s="37">
        <f>COUNTIF(H$5:H2066,"Y")/COUNTA(H$5:H2066)</f>
        <v/>
      </c>
      <c r="K2066" s="37">
        <f>AVERAGE(F$5:F2066)</f>
        <v/>
      </c>
      <c r="L2066" s="37">
        <f>SUM(F$5:F2066)/SUM(E$5:E2066)</f>
        <v/>
      </c>
    </row>
    <row r="2067">
      <c r="A2067" s="29" t="n">
        <v>45968</v>
      </c>
      <c r="B2067" s="37" t="inlineStr">
        <is>
          <t>JOB-3063</t>
        </is>
      </c>
      <c r="C2067" s="34" t="n">
        <v>1</v>
      </c>
      <c r="D2067" s="37" t="inlineStr">
        <is>
          <t>Tech H</t>
        </is>
      </c>
      <c r="E2067" s="35" t="n">
        <v>2.3</v>
      </c>
      <c r="F2067" s="35" t="n">
        <v>1.5</v>
      </c>
      <c r="G2067" s="37" t="inlineStr">
        <is>
          <t>Y</t>
        </is>
      </c>
      <c r="H2067" s="37" t="inlineStr">
        <is>
          <t>N</t>
        </is>
      </c>
      <c r="I2067" s="37">
        <f>COUNTIF(G$5:G2067,"Y")/COUNTA(G$5:G2067)</f>
        <v/>
      </c>
      <c r="J2067" s="37">
        <f>COUNTIF(H$5:H2067,"Y")/COUNTA(H$5:H2067)</f>
        <v/>
      </c>
      <c r="K2067" s="37">
        <f>AVERAGE(F$5:F2067)</f>
        <v/>
      </c>
      <c r="L2067" s="37">
        <f>SUM(F$5:F2067)/SUM(E$5:E2067)</f>
        <v/>
      </c>
    </row>
    <row r="2068">
      <c r="A2068" s="29" t="n">
        <v>45964</v>
      </c>
      <c r="B2068" s="37" t="inlineStr">
        <is>
          <t>JOB-3064</t>
        </is>
      </c>
      <c r="C2068" s="34" t="n">
        <v>1</v>
      </c>
      <c r="D2068" s="37" t="inlineStr">
        <is>
          <t>Tech B</t>
        </is>
      </c>
      <c r="E2068" s="35" t="n">
        <v>3.4</v>
      </c>
      <c r="F2068" s="35" t="n">
        <v>2.3</v>
      </c>
      <c r="G2068" s="37" t="inlineStr">
        <is>
          <t>Y</t>
        </is>
      </c>
      <c r="H2068" s="37" t="inlineStr">
        <is>
          <t>Y</t>
        </is>
      </c>
      <c r="I2068" s="37">
        <f>COUNTIF(G$5:G2068,"Y")/COUNTA(G$5:G2068)</f>
        <v/>
      </c>
      <c r="J2068" s="37">
        <f>COUNTIF(H$5:H2068,"Y")/COUNTA(H$5:H2068)</f>
        <v/>
      </c>
      <c r="K2068" s="37">
        <f>AVERAGE(F$5:F2068)</f>
        <v/>
      </c>
      <c r="L2068" s="37">
        <f>SUM(F$5:F2068)/SUM(E$5:E2068)</f>
        <v/>
      </c>
    </row>
    <row r="2069">
      <c r="A2069" s="29" t="n">
        <v>45965</v>
      </c>
      <c r="B2069" s="37" t="inlineStr">
        <is>
          <t>JOB-3065</t>
        </is>
      </c>
      <c r="C2069" s="34" t="n">
        <v>1</v>
      </c>
      <c r="D2069" s="37" t="inlineStr">
        <is>
          <t>Tech F</t>
        </is>
      </c>
      <c r="E2069" s="35" t="n">
        <v>4.3</v>
      </c>
      <c r="F2069" s="35" t="n">
        <v>3.7</v>
      </c>
      <c r="G2069" s="37" t="inlineStr">
        <is>
          <t>N</t>
        </is>
      </c>
      <c r="H2069" s="37" t="inlineStr">
        <is>
          <t>N</t>
        </is>
      </c>
      <c r="I2069" s="37">
        <f>COUNTIF(G$5:G2069,"Y")/COUNTA(G$5:G2069)</f>
        <v/>
      </c>
      <c r="J2069" s="37">
        <f>COUNTIF(H$5:H2069,"Y")/COUNTA(H$5:H2069)</f>
        <v/>
      </c>
      <c r="K2069" s="37">
        <f>AVERAGE(F$5:F2069)</f>
        <v/>
      </c>
      <c r="L2069" s="37">
        <f>SUM(F$5:F2069)/SUM(E$5:E2069)</f>
        <v/>
      </c>
    </row>
    <row r="2070">
      <c r="A2070" s="29" t="n">
        <v>45966</v>
      </c>
      <c r="B2070" s="37" t="inlineStr">
        <is>
          <t>JOB-3066</t>
        </is>
      </c>
      <c r="C2070" s="34" t="n">
        <v>1</v>
      </c>
      <c r="D2070" s="37" t="inlineStr">
        <is>
          <t>Tech B</t>
        </is>
      </c>
      <c r="E2070" s="35" t="n">
        <v>4.7</v>
      </c>
      <c r="F2070" s="35" t="n">
        <v>3.9</v>
      </c>
      <c r="G2070" s="37" t="inlineStr">
        <is>
          <t>Y</t>
        </is>
      </c>
      <c r="H2070" s="37" t="inlineStr">
        <is>
          <t>N</t>
        </is>
      </c>
      <c r="I2070" s="37">
        <f>COUNTIF(G$5:G2070,"Y")/COUNTA(G$5:G2070)</f>
        <v/>
      </c>
      <c r="J2070" s="37">
        <f>COUNTIF(H$5:H2070,"Y")/COUNTA(H$5:H2070)</f>
        <v/>
      </c>
      <c r="K2070" s="37">
        <f>AVERAGE(F$5:F2070)</f>
        <v/>
      </c>
      <c r="L2070" s="37">
        <f>SUM(F$5:F2070)/SUM(E$5:E2070)</f>
        <v/>
      </c>
    </row>
    <row r="2071">
      <c r="A2071" s="29" t="n">
        <v>45967</v>
      </c>
      <c r="B2071" s="37" t="inlineStr">
        <is>
          <t>JOB-3067</t>
        </is>
      </c>
      <c r="C2071" s="34" t="n">
        <v>1</v>
      </c>
      <c r="D2071" s="37" t="inlineStr">
        <is>
          <t>Tech A</t>
        </is>
      </c>
      <c r="E2071" s="35" t="n">
        <v>2</v>
      </c>
      <c r="F2071" s="35" t="n">
        <v>1.3</v>
      </c>
      <c r="G2071" s="37" t="inlineStr">
        <is>
          <t>Y</t>
        </is>
      </c>
      <c r="H2071" s="37" t="inlineStr">
        <is>
          <t>N</t>
        </is>
      </c>
      <c r="I2071" s="37">
        <f>COUNTIF(G$5:G2071,"Y")/COUNTA(G$5:G2071)</f>
        <v/>
      </c>
      <c r="J2071" s="37">
        <f>COUNTIF(H$5:H2071,"Y")/COUNTA(H$5:H2071)</f>
        <v/>
      </c>
      <c r="K2071" s="37">
        <f>AVERAGE(F$5:F2071)</f>
        <v/>
      </c>
      <c r="L2071" s="37">
        <f>SUM(F$5:F2071)/SUM(E$5:E2071)</f>
        <v/>
      </c>
    </row>
    <row r="2072">
      <c r="A2072" s="29" t="n">
        <v>45968</v>
      </c>
      <c r="B2072" s="37" t="inlineStr">
        <is>
          <t>JOB-3068</t>
        </is>
      </c>
      <c r="C2072" s="34" t="n">
        <v>1</v>
      </c>
      <c r="D2072" s="37" t="inlineStr">
        <is>
          <t>Tech H</t>
        </is>
      </c>
      <c r="E2072" s="35" t="n">
        <v>4.1</v>
      </c>
      <c r="F2072" s="35" t="n">
        <v>3</v>
      </c>
      <c r="G2072" s="37" t="inlineStr">
        <is>
          <t>Y</t>
        </is>
      </c>
      <c r="H2072" s="37" t="inlineStr">
        <is>
          <t>N</t>
        </is>
      </c>
      <c r="I2072" s="37">
        <f>COUNTIF(G$5:G2072,"Y")/COUNTA(G$5:G2072)</f>
        <v/>
      </c>
      <c r="J2072" s="37">
        <f>COUNTIF(H$5:H2072,"Y")/COUNTA(H$5:H2072)</f>
        <v/>
      </c>
      <c r="K2072" s="37">
        <f>AVERAGE(F$5:F2072)</f>
        <v/>
      </c>
      <c r="L2072" s="37">
        <f>SUM(F$5:F2072)/SUM(E$5:E2072)</f>
        <v/>
      </c>
    </row>
    <row r="2073">
      <c r="A2073" s="29" t="n">
        <v>45964</v>
      </c>
      <c r="B2073" s="37" t="inlineStr">
        <is>
          <t>JOB-3069</t>
        </is>
      </c>
      <c r="C2073" s="34" t="n">
        <v>1</v>
      </c>
      <c r="D2073" s="37" t="inlineStr">
        <is>
          <t>Tech H</t>
        </is>
      </c>
      <c r="E2073" s="35" t="n">
        <v>5.4</v>
      </c>
      <c r="F2073" s="35" t="n">
        <v>3.9</v>
      </c>
      <c r="G2073" s="37" t="inlineStr">
        <is>
          <t>Y</t>
        </is>
      </c>
      <c r="H2073" s="37" t="inlineStr">
        <is>
          <t>N</t>
        </is>
      </c>
      <c r="I2073" s="37">
        <f>COUNTIF(G$5:G2073,"Y")/COUNTA(G$5:G2073)</f>
        <v/>
      </c>
      <c r="J2073" s="37">
        <f>COUNTIF(H$5:H2073,"Y")/COUNTA(H$5:H2073)</f>
        <v/>
      </c>
      <c r="K2073" s="37">
        <f>AVERAGE(F$5:F2073)</f>
        <v/>
      </c>
      <c r="L2073" s="37">
        <f>SUM(F$5:F2073)/SUM(E$5:E2073)</f>
        <v/>
      </c>
    </row>
    <row r="2074">
      <c r="A2074" s="29" t="n">
        <v>45965</v>
      </c>
      <c r="B2074" s="37" t="inlineStr">
        <is>
          <t>JOB-3070</t>
        </is>
      </c>
      <c r="C2074" s="34" t="n">
        <v>1</v>
      </c>
      <c r="D2074" s="37" t="inlineStr">
        <is>
          <t>Tech C</t>
        </is>
      </c>
      <c r="E2074" s="35" t="n">
        <v>1.3</v>
      </c>
      <c r="F2074" s="35" t="n">
        <v>1.1</v>
      </c>
      <c r="G2074" s="37" t="inlineStr">
        <is>
          <t>Y</t>
        </is>
      </c>
      <c r="H2074" s="37" t="inlineStr">
        <is>
          <t>N</t>
        </is>
      </c>
      <c r="I2074" s="37">
        <f>COUNTIF(G$5:G2074,"Y")/COUNTA(G$5:G2074)</f>
        <v/>
      </c>
      <c r="J2074" s="37">
        <f>COUNTIF(H$5:H2074,"Y")/COUNTA(H$5:H2074)</f>
        <v/>
      </c>
      <c r="K2074" s="37">
        <f>AVERAGE(F$5:F2074)</f>
        <v/>
      </c>
      <c r="L2074" s="37">
        <f>SUM(F$5:F2074)/SUM(E$5:E2074)</f>
        <v/>
      </c>
    </row>
    <row r="2075">
      <c r="A2075" s="29" t="n">
        <v>45966</v>
      </c>
      <c r="B2075" s="37" t="inlineStr">
        <is>
          <t>JOB-3071</t>
        </is>
      </c>
      <c r="C2075" s="34" t="n">
        <v>1</v>
      </c>
      <c r="D2075" s="37" t="inlineStr">
        <is>
          <t>Tech H</t>
        </is>
      </c>
      <c r="E2075" s="35" t="n">
        <v>0.7</v>
      </c>
      <c r="F2075" s="35" t="n">
        <v>0.5</v>
      </c>
      <c r="G2075" s="37" t="inlineStr">
        <is>
          <t>N</t>
        </is>
      </c>
      <c r="H2075" s="37" t="inlineStr">
        <is>
          <t>N</t>
        </is>
      </c>
      <c r="I2075" s="37">
        <f>COUNTIF(G$5:G2075,"Y")/COUNTA(G$5:G2075)</f>
        <v/>
      </c>
      <c r="J2075" s="37">
        <f>COUNTIF(H$5:H2075,"Y")/COUNTA(H$5:H2075)</f>
        <v/>
      </c>
      <c r="K2075" s="37">
        <f>AVERAGE(F$5:F2075)</f>
        <v/>
      </c>
      <c r="L2075" s="37">
        <f>SUM(F$5:F2075)/SUM(E$5:E2075)</f>
        <v/>
      </c>
    </row>
    <row r="2076">
      <c r="A2076" s="29" t="n">
        <v>45967</v>
      </c>
      <c r="B2076" s="37" t="inlineStr">
        <is>
          <t>JOB-3072</t>
        </is>
      </c>
      <c r="C2076" s="34" t="n">
        <v>1</v>
      </c>
      <c r="D2076" s="37" t="inlineStr">
        <is>
          <t>Tech H</t>
        </is>
      </c>
      <c r="E2076" s="35" t="n">
        <v>0.8</v>
      </c>
      <c r="F2076" s="35" t="n">
        <v>0.5</v>
      </c>
      <c r="G2076" s="37" t="inlineStr">
        <is>
          <t>Y</t>
        </is>
      </c>
      <c r="H2076" s="37" t="inlineStr">
        <is>
          <t>N</t>
        </is>
      </c>
      <c r="I2076" s="37">
        <f>COUNTIF(G$5:G2076,"Y")/COUNTA(G$5:G2076)</f>
        <v/>
      </c>
      <c r="J2076" s="37">
        <f>COUNTIF(H$5:H2076,"Y")/COUNTA(H$5:H2076)</f>
        <v/>
      </c>
      <c r="K2076" s="37">
        <f>AVERAGE(F$5:F2076)</f>
        <v/>
      </c>
      <c r="L2076" s="37">
        <f>SUM(F$5:F2076)/SUM(E$5:E2076)</f>
        <v/>
      </c>
    </row>
    <row r="2077">
      <c r="A2077" s="29" t="n">
        <v>45968</v>
      </c>
      <c r="B2077" s="37" t="inlineStr">
        <is>
          <t>JOB-3073</t>
        </is>
      </c>
      <c r="C2077" s="34" t="n">
        <v>1</v>
      </c>
      <c r="D2077" s="37" t="inlineStr">
        <is>
          <t>Tech H</t>
        </is>
      </c>
      <c r="E2077" s="35" t="n">
        <v>0.6</v>
      </c>
      <c r="F2077" s="35" t="n">
        <v>0.5</v>
      </c>
      <c r="G2077" s="37" t="inlineStr">
        <is>
          <t>Y</t>
        </is>
      </c>
      <c r="H2077" s="37" t="inlineStr">
        <is>
          <t>N</t>
        </is>
      </c>
      <c r="I2077" s="37">
        <f>COUNTIF(G$5:G2077,"Y")/COUNTA(G$5:G2077)</f>
        <v/>
      </c>
      <c r="J2077" s="37">
        <f>COUNTIF(H$5:H2077,"Y")/COUNTA(H$5:H2077)</f>
        <v/>
      </c>
      <c r="K2077" s="37">
        <f>AVERAGE(F$5:F2077)</f>
        <v/>
      </c>
      <c r="L2077" s="37">
        <f>SUM(F$5:F2077)/SUM(E$5:E2077)</f>
        <v/>
      </c>
    </row>
    <row r="2078">
      <c r="A2078" s="29" t="n">
        <v>45964</v>
      </c>
      <c r="B2078" s="37" t="inlineStr">
        <is>
          <t>JOB-3074</t>
        </is>
      </c>
      <c r="C2078" s="34" t="n">
        <v>1</v>
      </c>
      <c r="D2078" s="37" t="inlineStr">
        <is>
          <t>Tech B</t>
        </is>
      </c>
      <c r="E2078" s="35" t="n">
        <v>0.7</v>
      </c>
      <c r="F2078" s="35" t="n">
        <v>0.5</v>
      </c>
      <c r="G2078" s="37" t="inlineStr">
        <is>
          <t>Y</t>
        </is>
      </c>
      <c r="H2078" s="37" t="inlineStr">
        <is>
          <t>N</t>
        </is>
      </c>
      <c r="I2078" s="37">
        <f>COUNTIF(G$5:G2078,"Y")/COUNTA(G$5:G2078)</f>
        <v/>
      </c>
      <c r="J2078" s="37">
        <f>COUNTIF(H$5:H2078,"Y")/COUNTA(H$5:H2078)</f>
        <v/>
      </c>
      <c r="K2078" s="37">
        <f>AVERAGE(F$5:F2078)</f>
        <v/>
      </c>
      <c r="L2078" s="37">
        <f>SUM(F$5:F2078)/SUM(E$5:E2078)</f>
        <v/>
      </c>
    </row>
    <row r="2079">
      <c r="A2079" s="29" t="n">
        <v>45965</v>
      </c>
      <c r="B2079" s="37" t="inlineStr">
        <is>
          <t>JOB-3075</t>
        </is>
      </c>
      <c r="C2079" s="34" t="n">
        <v>1</v>
      </c>
      <c r="D2079" s="37" t="inlineStr">
        <is>
          <t>Tech H</t>
        </is>
      </c>
      <c r="E2079" s="35" t="n">
        <v>0.7</v>
      </c>
      <c r="F2079" s="35" t="n">
        <v>0.5</v>
      </c>
      <c r="G2079" s="37" t="inlineStr">
        <is>
          <t>N</t>
        </is>
      </c>
      <c r="H2079" s="37" t="inlineStr">
        <is>
          <t>N</t>
        </is>
      </c>
      <c r="I2079" s="37">
        <f>COUNTIF(G$5:G2079,"Y")/COUNTA(G$5:G2079)</f>
        <v/>
      </c>
      <c r="J2079" s="37">
        <f>COUNTIF(H$5:H2079,"Y")/COUNTA(H$5:H2079)</f>
        <v/>
      </c>
      <c r="K2079" s="37">
        <f>AVERAGE(F$5:F2079)</f>
        <v/>
      </c>
      <c r="L2079" s="37">
        <f>SUM(F$5:F2079)/SUM(E$5:E2079)</f>
        <v/>
      </c>
    </row>
    <row r="2080">
      <c r="A2080" s="29" t="n">
        <v>45966</v>
      </c>
      <c r="B2080" s="37" t="inlineStr">
        <is>
          <t>JOB-3076</t>
        </is>
      </c>
      <c r="C2080" s="34" t="n">
        <v>1</v>
      </c>
      <c r="D2080" s="37" t="inlineStr">
        <is>
          <t>Tech C</t>
        </is>
      </c>
      <c r="E2080" s="35" t="n">
        <v>0.7</v>
      </c>
      <c r="F2080" s="35" t="n">
        <v>0.5</v>
      </c>
      <c r="G2080" s="37" t="inlineStr">
        <is>
          <t>Y</t>
        </is>
      </c>
      <c r="H2080" s="37" t="inlineStr">
        <is>
          <t>N</t>
        </is>
      </c>
      <c r="I2080" s="37">
        <f>COUNTIF(G$5:G2080,"Y")/COUNTA(G$5:G2080)</f>
        <v/>
      </c>
      <c r="J2080" s="37">
        <f>COUNTIF(H$5:H2080,"Y")/COUNTA(H$5:H2080)</f>
        <v/>
      </c>
      <c r="K2080" s="37">
        <f>AVERAGE(F$5:F2080)</f>
        <v/>
      </c>
      <c r="L2080" s="37">
        <f>SUM(F$5:F2080)/SUM(E$5:E2080)</f>
        <v/>
      </c>
    </row>
    <row r="2081">
      <c r="A2081" s="29" t="n">
        <v>45967</v>
      </c>
      <c r="B2081" s="37" t="inlineStr">
        <is>
          <t>JOB-3077</t>
        </is>
      </c>
      <c r="C2081" s="34" t="n">
        <v>1</v>
      </c>
      <c r="D2081" s="37" t="inlineStr">
        <is>
          <t>Tech F</t>
        </is>
      </c>
      <c r="E2081" s="35" t="n">
        <v>0.7</v>
      </c>
      <c r="F2081" s="35" t="n">
        <v>0.5</v>
      </c>
      <c r="G2081" s="37" t="inlineStr">
        <is>
          <t>Y</t>
        </is>
      </c>
      <c r="H2081" s="37" t="inlineStr">
        <is>
          <t>N</t>
        </is>
      </c>
      <c r="I2081" s="37">
        <f>COUNTIF(G$5:G2081,"Y")/COUNTA(G$5:G2081)</f>
        <v/>
      </c>
      <c r="J2081" s="37">
        <f>COUNTIF(H$5:H2081,"Y")/COUNTA(H$5:H2081)</f>
        <v/>
      </c>
      <c r="K2081" s="37">
        <f>AVERAGE(F$5:F2081)</f>
        <v/>
      </c>
      <c r="L2081" s="37">
        <f>SUM(F$5:F2081)/SUM(E$5:E2081)</f>
        <v/>
      </c>
    </row>
    <row r="2082">
      <c r="A2082" s="29" t="n">
        <v>45968</v>
      </c>
      <c r="B2082" s="37" t="inlineStr">
        <is>
          <t>JOB-3078</t>
        </is>
      </c>
      <c r="C2082" s="34" t="n">
        <v>1</v>
      </c>
      <c r="D2082" s="37" t="inlineStr">
        <is>
          <t>Tech H</t>
        </is>
      </c>
      <c r="E2082" s="35" t="n">
        <v>0.6</v>
      </c>
      <c r="F2082" s="35" t="n">
        <v>0.5</v>
      </c>
      <c r="G2082" s="37" t="inlineStr">
        <is>
          <t>Y</t>
        </is>
      </c>
      <c r="H2082" s="37" t="inlineStr">
        <is>
          <t>N</t>
        </is>
      </c>
      <c r="I2082" s="37">
        <f>COUNTIF(G$5:G2082,"Y")/COUNTA(G$5:G2082)</f>
        <v/>
      </c>
      <c r="J2082" s="37">
        <f>COUNTIF(H$5:H2082,"Y")/COUNTA(H$5:H2082)</f>
        <v/>
      </c>
      <c r="K2082" s="37">
        <f>AVERAGE(F$5:F2082)</f>
        <v/>
      </c>
      <c r="L2082" s="37">
        <f>SUM(F$5:F2082)/SUM(E$5:E2082)</f>
        <v/>
      </c>
    </row>
    <row r="2083">
      <c r="A2083" s="29" t="n">
        <v>45964</v>
      </c>
      <c r="B2083" s="37" t="inlineStr">
        <is>
          <t>JOB-3079</t>
        </is>
      </c>
      <c r="C2083" s="34" t="n">
        <v>1</v>
      </c>
      <c r="D2083" s="37" t="inlineStr">
        <is>
          <t>Tech H</t>
        </is>
      </c>
      <c r="E2083" s="35" t="n">
        <v>0.7</v>
      </c>
      <c r="F2083" s="35" t="n">
        <v>0.5</v>
      </c>
      <c r="G2083" s="37" t="inlineStr">
        <is>
          <t>Y</t>
        </is>
      </c>
      <c r="H2083" s="37" t="inlineStr">
        <is>
          <t>N</t>
        </is>
      </c>
      <c r="I2083" s="37">
        <f>COUNTIF(G$5:G2083,"Y")/COUNTA(G$5:G2083)</f>
        <v/>
      </c>
      <c r="J2083" s="37">
        <f>COUNTIF(H$5:H2083,"Y")/COUNTA(H$5:H2083)</f>
        <v/>
      </c>
      <c r="K2083" s="37">
        <f>AVERAGE(F$5:F2083)</f>
        <v/>
      </c>
      <c r="L2083" s="37">
        <f>SUM(F$5:F2083)/SUM(E$5:E2083)</f>
        <v/>
      </c>
    </row>
    <row r="2084">
      <c r="A2084" s="29" t="n">
        <v>45965</v>
      </c>
      <c r="B2084" s="37" t="inlineStr">
        <is>
          <t>JOB-3080</t>
        </is>
      </c>
      <c r="C2084" s="34" t="n">
        <v>1</v>
      </c>
      <c r="D2084" s="37" t="inlineStr">
        <is>
          <t>Tech G</t>
        </is>
      </c>
      <c r="E2084" s="35" t="n">
        <v>0.7</v>
      </c>
      <c r="F2084" s="35" t="n">
        <v>0.5</v>
      </c>
      <c r="G2084" s="37" t="inlineStr">
        <is>
          <t>Y</t>
        </is>
      </c>
      <c r="H2084" s="37" t="inlineStr">
        <is>
          <t>N</t>
        </is>
      </c>
      <c r="I2084" s="37">
        <f>COUNTIF(G$5:G2084,"Y")/COUNTA(G$5:G2084)</f>
        <v/>
      </c>
      <c r="J2084" s="37">
        <f>COUNTIF(H$5:H2084,"Y")/COUNTA(H$5:H2084)</f>
        <v/>
      </c>
      <c r="K2084" s="37">
        <f>AVERAGE(F$5:F2084)</f>
        <v/>
      </c>
      <c r="L2084" s="37">
        <f>SUM(F$5:F2084)/SUM(E$5:E2084)</f>
        <v/>
      </c>
    </row>
    <row r="2085">
      <c r="A2085" s="29" t="n">
        <v>45966</v>
      </c>
      <c r="B2085" s="37" t="inlineStr">
        <is>
          <t>JOB-3081</t>
        </is>
      </c>
      <c r="C2085" s="34" t="n">
        <v>1</v>
      </c>
      <c r="D2085" s="37" t="inlineStr">
        <is>
          <t>Tech F</t>
        </is>
      </c>
      <c r="E2085" s="35" t="n">
        <v>0.7</v>
      </c>
      <c r="F2085" s="35" t="n">
        <v>0.5</v>
      </c>
      <c r="G2085" s="37" t="inlineStr">
        <is>
          <t>Y</t>
        </is>
      </c>
      <c r="H2085" s="37" t="inlineStr">
        <is>
          <t>N</t>
        </is>
      </c>
      <c r="I2085" s="37">
        <f>COUNTIF(G$5:G2085,"Y")/COUNTA(G$5:G2085)</f>
        <v/>
      </c>
      <c r="J2085" s="37">
        <f>COUNTIF(H$5:H2085,"Y")/COUNTA(H$5:H2085)</f>
        <v/>
      </c>
      <c r="K2085" s="37">
        <f>AVERAGE(F$5:F2085)</f>
        <v/>
      </c>
      <c r="L2085" s="37">
        <f>SUM(F$5:F2085)/SUM(E$5:E2085)</f>
        <v/>
      </c>
    </row>
    <row r="2086">
      <c r="A2086" s="29" t="n">
        <v>45967</v>
      </c>
      <c r="B2086" s="37" t="inlineStr">
        <is>
          <t>JOB-3082</t>
        </is>
      </c>
      <c r="C2086" s="34" t="n">
        <v>1</v>
      </c>
      <c r="D2086" s="37" t="inlineStr">
        <is>
          <t>Tech F</t>
        </is>
      </c>
      <c r="E2086" s="35" t="n">
        <v>0.8</v>
      </c>
      <c r="F2086" s="35" t="n">
        <v>0.5</v>
      </c>
      <c r="G2086" s="37" t="inlineStr">
        <is>
          <t>Y</t>
        </is>
      </c>
      <c r="H2086" s="37" t="inlineStr">
        <is>
          <t>N</t>
        </is>
      </c>
      <c r="I2086" s="37">
        <f>COUNTIF(G$5:G2086,"Y")/COUNTA(G$5:G2086)</f>
        <v/>
      </c>
      <c r="J2086" s="37">
        <f>COUNTIF(H$5:H2086,"Y")/COUNTA(H$5:H2086)</f>
        <v/>
      </c>
      <c r="K2086" s="37">
        <f>AVERAGE(F$5:F2086)</f>
        <v/>
      </c>
      <c r="L2086" s="37">
        <f>SUM(F$5:F2086)/SUM(E$5:E2086)</f>
        <v/>
      </c>
      <c r="M2086" s="37" t="n">
        <v>9</v>
      </c>
    </row>
    <row r="2087">
      <c r="A2087" s="29" t="n">
        <v>45971</v>
      </c>
      <c r="B2087" s="37" t="inlineStr">
        <is>
          <t>JOB-3083</t>
        </is>
      </c>
      <c r="C2087" s="34" t="n">
        <v>1</v>
      </c>
      <c r="D2087" s="37" t="inlineStr">
        <is>
          <t>Tech F</t>
        </is>
      </c>
      <c r="E2087" s="35" t="n">
        <v>2.3</v>
      </c>
      <c r="F2087" s="35" t="n">
        <v>1.6</v>
      </c>
      <c r="G2087" s="37" t="inlineStr">
        <is>
          <t>Y</t>
        </is>
      </c>
      <c r="H2087" s="37" t="inlineStr">
        <is>
          <t>N</t>
        </is>
      </c>
      <c r="I2087" s="37">
        <f>COUNTIF(G$5:G2087,"Y")/COUNTA(G$5:G2087)</f>
        <v/>
      </c>
      <c r="J2087" s="37">
        <f>COUNTIF(H$5:H2087,"Y")/COUNTA(H$5:H2087)</f>
        <v/>
      </c>
      <c r="K2087" s="37">
        <f>AVERAGE(F$5:F2087)</f>
        <v/>
      </c>
      <c r="L2087" s="37">
        <f>SUM(F$5:F2087)/SUM(E$5:E2087)</f>
        <v/>
      </c>
    </row>
    <row r="2088">
      <c r="A2088" s="29" t="n">
        <v>45972</v>
      </c>
      <c r="B2088" s="37" t="inlineStr">
        <is>
          <t>JOB-3084</t>
        </is>
      </c>
      <c r="C2088" s="34" t="n">
        <v>1</v>
      </c>
      <c r="D2088" s="37" t="inlineStr">
        <is>
          <t>Tech D</t>
        </is>
      </c>
      <c r="E2088" s="35" t="n">
        <v>2.8</v>
      </c>
      <c r="F2088" s="35" t="n">
        <v>2</v>
      </c>
      <c r="G2088" s="37" t="inlineStr">
        <is>
          <t>Y</t>
        </is>
      </c>
      <c r="H2088" s="37" t="inlineStr">
        <is>
          <t>N</t>
        </is>
      </c>
      <c r="I2088" s="37">
        <f>COUNTIF(G$5:G2088,"Y")/COUNTA(G$5:G2088)</f>
        <v/>
      </c>
      <c r="J2088" s="37">
        <f>COUNTIF(H$5:H2088,"Y")/COUNTA(H$5:H2088)</f>
        <v/>
      </c>
      <c r="K2088" s="37">
        <f>AVERAGE(F$5:F2088)</f>
        <v/>
      </c>
      <c r="L2088" s="37">
        <f>SUM(F$5:F2088)/SUM(E$5:E2088)</f>
        <v/>
      </c>
    </row>
    <row r="2089">
      <c r="A2089" s="29" t="n">
        <v>45973</v>
      </c>
      <c r="B2089" s="37" t="inlineStr">
        <is>
          <t>JOB-3085</t>
        </is>
      </c>
      <c r="C2089" s="34" t="n">
        <v>1</v>
      </c>
      <c r="D2089" s="37" t="inlineStr">
        <is>
          <t>Tech G</t>
        </is>
      </c>
      <c r="E2089" s="35" t="n">
        <v>3.2</v>
      </c>
      <c r="F2089" s="35" t="n">
        <v>2.2</v>
      </c>
      <c r="G2089" s="37" t="inlineStr">
        <is>
          <t>Y</t>
        </is>
      </c>
      <c r="H2089" s="37" t="inlineStr">
        <is>
          <t>N</t>
        </is>
      </c>
      <c r="I2089" s="37">
        <f>COUNTIF(G$5:G2089,"Y")/COUNTA(G$5:G2089)</f>
        <v/>
      </c>
      <c r="J2089" s="37">
        <f>COUNTIF(H$5:H2089,"Y")/COUNTA(H$5:H2089)</f>
        <v/>
      </c>
      <c r="K2089" s="37">
        <f>AVERAGE(F$5:F2089)</f>
        <v/>
      </c>
      <c r="L2089" s="37">
        <f>SUM(F$5:F2089)/SUM(E$5:E2089)</f>
        <v/>
      </c>
    </row>
    <row r="2090">
      <c r="A2090" s="29" t="n">
        <v>45974</v>
      </c>
      <c r="B2090" s="37" t="inlineStr">
        <is>
          <t>JOB-3086</t>
        </is>
      </c>
      <c r="C2090" s="34" t="n">
        <v>1</v>
      </c>
      <c r="D2090" s="37" t="inlineStr">
        <is>
          <t>Tech H</t>
        </is>
      </c>
      <c r="E2090" s="35" t="n">
        <v>2.2</v>
      </c>
      <c r="F2090" s="35" t="n">
        <v>1.8</v>
      </c>
      <c r="G2090" s="37" t="inlineStr">
        <is>
          <t>Y</t>
        </is>
      </c>
      <c r="H2090" s="37" t="inlineStr">
        <is>
          <t>N</t>
        </is>
      </c>
      <c r="I2090" s="37">
        <f>COUNTIF(G$5:G2090,"Y")/COUNTA(G$5:G2090)</f>
        <v/>
      </c>
      <c r="J2090" s="37">
        <f>COUNTIF(H$5:H2090,"Y")/COUNTA(H$5:H2090)</f>
        <v/>
      </c>
      <c r="K2090" s="37">
        <f>AVERAGE(F$5:F2090)</f>
        <v/>
      </c>
      <c r="L2090" s="37">
        <f>SUM(F$5:F2090)/SUM(E$5:E2090)</f>
        <v/>
      </c>
    </row>
    <row r="2091">
      <c r="A2091" s="29" t="n">
        <v>45975</v>
      </c>
      <c r="B2091" s="37" t="inlineStr">
        <is>
          <t>JOB-3087</t>
        </is>
      </c>
      <c r="C2091" s="34" t="n">
        <v>1</v>
      </c>
      <c r="D2091" s="37" t="inlineStr">
        <is>
          <t>Tech H</t>
        </is>
      </c>
      <c r="E2091" s="35" t="n">
        <v>3.5</v>
      </c>
      <c r="F2091" s="35" t="n">
        <v>2.6</v>
      </c>
      <c r="G2091" s="37" t="inlineStr">
        <is>
          <t>Y</t>
        </is>
      </c>
      <c r="H2091" s="37" t="inlineStr">
        <is>
          <t>N</t>
        </is>
      </c>
      <c r="I2091" s="37">
        <f>COUNTIF(G$5:G2091,"Y")/COUNTA(G$5:G2091)</f>
        <v/>
      </c>
      <c r="J2091" s="37">
        <f>COUNTIF(H$5:H2091,"Y")/COUNTA(H$5:H2091)</f>
        <v/>
      </c>
      <c r="K2091" s="37">
        <f>AVERAGE(F$5:F2091)</f>
        <v/>
      </c>
      <c r="L2091" s="37">
        <f>SUM(F$5:F2091)/SUM(E$5:E2091)</f>
        <v/>
      </c>
    </row>
    <row r="2092">
      <c r="A2092" s="29" t="n">
        <v>45971</v>
      </c>
      <c r="B2092" s="37" t="inlineStr">
        <is>
          <t>JOB-3088</t>
        </is>
      </c>
      <c r="C2092" s="34" t="n">
        <v>1</v>
      </c>
      <c r="D2092" s="37" t="inlineStr">
        <is>
          <t>Tech B</t>
        </is>
      </c>
      <c r="E2092" s="35" t="n">
        <v>2.8</v>
      </c>
      <c r="F2092" s="35" t="n">
        <v>2.3</v>
      </c>
      <c r="G2092" s="37" t="inlineStr">
        <is>
          <t>Y</t>
        </is>
      </c>
      <c r="H2092" s="37" t="inlineStr">
        <is>
          <t>N</t>
        </is>
      </c>
      <c r="I2092" s="37">
        <f>COUNTIF(G$5:G2092,"Y")/COUNTA(G$5:G2092)</f>
        <v/>
      </c>
      <c r="J2092" s="37">
        <f>COUNTIF(H$5:H2092,"Y")/COUNTA(H$5:H2092)</f>
        <v/>
      </c>
      <c r="K2092" s="37">
        <f>AVERAGE(F$5:F2092)</f>
        <v/>
      </c>
      <c r="L2092" s="37">
        <f>SUM(F$5:F2092)/SUM(E$5:E2092)</f>
        <v/>
      </c>
    </row>
    <row r="2093">
      <c r="A2093" s="29" t="n">
        <v>45972</v>
      </c>
      <c r="B2093" s="37" t="inlineStr">
        <is>
          <t>JOB-3089</t>
        </is>
      </c>
      <c r="C2093" s="34" t="n">
        <v>1</v>
      </c>
      <c r="D2093" s="37" t="inlineStr">
        <is>
          <t>Tech C</t>
        </is>
      </c>
      <c r="E2093" s="35" t="n">
        <v>2</v>
      </c>
      <c r="F2093" s="35" t="n">
        <v>1.4</v>
      </c>
      <c r="G2093" s="37" t="inlineStr">
        <is>
          <t>Y</t>
        </is>
      </c>
      <c r="H2093" s="37" t="inlineStr">
        <is>
          <t>N</t>
        </is>
      </c>
      <c r="I2093" s="37">
        <f>COUNTIF(G$5:G2093,"Y")/COUNTA(G$5:G2093)</f>
        <v/>
      </c>
      <c r="J2093" s="37">
        <f>COUNTIF(H$5:H2093,"Y")/COUNTA(H$5:H2093)</f>
        <v/>
      </c>
      <c r="K2093" s="37">
        <f>AVERAGE(F$5:F2093)</f>
        <v/>
      </c>
      <c r="L2093" s="37">
        <f>SUM(F$5:F2093)/SUM(E$5:E2093)</f>
        <v/>
      </c>
    </row>
    <row r="2094">
      <c r="A2094" s="29" t="n">
        <v>45973</v>
      </c>
      <c r="B2094" s="37" t="inlineStr">
        <is>
          <t>JOB-3090</t>
        </is>
      </c>
      <c r="C2094" s="34" t="n">
        <v>1</v>
      </c>
      <c r="D2094" s="37" t="inlineStr">
        <is>
          <t>Tech G</t>
        </is>
      </c>
      <c r="E2094" s="35" t="n">
        <v>3.8</v>
      </c>
      <c r="F2094" s="35" t="n">
        <v>3.3</v>
      </c>
      <c r="G2094" s="37" t="inlineStr">
        <is>
          <t>Y</t>
        </is>
      </c>
      <c r="H2094" s="37" t="inlineStr">
        <is>
          <t>N</t>
        </is>
      </c>
      <c r="I2094" s="37">
        <f>COUNTIF(G$5:G2094,"Y")/COUNTA(G$5:G2094)</f>
        <v/>
      </c>
      <c r="J2094" s="37">
        <f>COUNTIF(H$5:H2094,"Y")/COUNTA(H$5:H2094)</f>
        <v/>
      </c>
      <c r="K2094" s="37">
        <f>AVERAGE(F$5:F2094)</f>
        <v/>
      </c>
      <c r="L2094" s="37">
        <f>SUM(F$5:F2094)/SUM(E$5:E2094)</f>
        <v/>
      </c>
    </row>
    <row r="2095">
      <c r="A2095" s="29" t="n">
        <v>45974</v>
      </c>
      <c r="B2095" s="37" t="inlineStr">
        <is>
          <t>JOB-3091</t>
        </is>
      </c>
      <c r="C2095" s="34" t="n">
        <v>1</v>
      </c>
      <c r="D2095" s="37" t="inlineStr">
        <is>
          <t>Tech G</t>
        </is>
      </c>
      <c r="E2095" s="35" t="n">
        <v>4.1</v>
      </c>
      <c r="F2095" s="35" t="n">
        <v>3.4</v>
      </c>
      <c r="G2095" s="37" t="inlineStr">
        <is>
          <t>Y</t>
        </is>
      </c>
      <c r="H2095" s="37" t="inlineStr">
        <is>
          <t>N</t>
        </is>
      </c>
      <c r="I2095" s="37">
        <f>COUNTIF(G$5:G2095,"Y")/COUNTA(G$5:G2095)</f>
        <v/>
      </c>
      <c r="J2095" s="37">
        <f>COUNTIF(H$5:H2095,"Y")/COUNTA(H$5:H2095)</f>
        <v/>
      </c>
      <c r="K2095" s="37">
        <f>AVERAGE(F$5:F2095)</f>
        <v/>
      </c>
      <c r="L2095" s="37">
        <f>SUM(F$5:F2095)/SUM(E$5:E2095)</f>
        <v/>
      </c>
    </row>
    <row r="2096">
      <c r="A2096" s="29" t="n">
        <v>45975</v>
      </c>
      <c r="B2096" s="37" t="inlineStr">
        <is>
          <t>JOB-3092</t>
        </is>
      </c>
      <c r="C2096" s="34" t="n">
        <v>1</v>
      </c>
      <c r="D2096" s="37" t="inlineStr">
        <is>
          <t>Tech G</t>
        </is>
      </c>
      <c r="E2096" s="35" t="n">
        <v>2.1</v>
      </c>
      <c r="F2096" s="35" t="n">
        <v>1.4</v>
      </c>
      <c r="G2096" s="37" t="inlineStr">
        <is>
          <t>Y</t>
        </is>
      </c>
      <c r="H2096" s="37" t="inlineStr">
        <is>
          <t>N</t>
        </is>
      </c>
      <c r="I2096" s="37">
        <f>COUNTIF(G$5:G2096,"Y")/COUNTA(G$5:G2096)</f>
        <v/>
      </c>
      <c r="J2096" s="37">
        <f>COUNTIF(H$5:H2096,"Y")/COUNTA(H$5:H2096)</f>
        <v/>
      </c>
      <c r="K2096" s="37">
        <f>AVERAGE(F$5:F2096)</f>
        <v/>
      </c>
      <c r="L2096" s="37">
        <f>SUM(F$5:F2096)/SUM(E$5:E2096)</f>
        <v/>
      </c>
    </row>
    <row r="2097">
      <c r="A2097" s="29" t="n">
        <v>45971</v>
      </c>
      <c r="B2097" s="37" t="inlineStr">
        <is>
          <t>JOB-3093</t>
        </is>
      </c>
      <c r="C2097" s="34" t="n">
        <v>1</v>
      </c>
      <c r="D2097" s="37" t="inlineStr">
        <is>
          <t>Tech D</t>
        </is>
      </c>
      <c r="E2097" s="35" t="n">
        <v>2.5</v>
      </c>
      <c r="F2097" s="35" t="n">
        <v>1.7</v>
      </c>
      <c r="G2097" s="37" t="inlineStr">
        <is>
          <t>N</t>
        </is>
      </c>
      <c r="H2097" s="37" t="inlineStr">
        <is>
          <t>N</t>
        </is>
      </c>
      <c r="I2097" s="37">
        <f>COUNTIF(G$5:G2097,"Y")/COUNTA(G$5:G2097)</f>
        <v/>
      </c>
      <c r="J2097" s="37">
        <f>COUNTIF(H$5:H2097,"Y")/COUNTA(H$5:H2097)</f>
        <v/>
      </c>
      <c r="K2097" s="37">
        <f>AVERAGE(F$5:F2097)</f>
        <v/>
      </c>
      <c r="L2097" s="37">
        <f>SUM(F$5:F2097)/SUM(E$5:E2097)</f>
        <v/>
      </c>
    </row>
    <row r="2098">
      <c r="A2098" s="29" t="n">
        <v>45972</v>
      </c>
      <c r="B2098" s="37" t="inlineStr">
        <is>
          <t>JOB-3094</t>
        </is>
      </c>
      <c r="C2098" s="34" t="n">
        <v>1</v>
      </c>
      <c r="D2098" s="37" t="inlineStr">
        <is>
          <t>Tech F</t>
        </is>
      </c>
      <c r="E2098" s="35" t="n">
        <v>3.8</v>
      </c>
      <c r="F2098" s="35" t="n">
        <v>3.3</v>
      </c>
      <c r="G2098" s="37" t="inlineStr">
        <is>
          <t>Y</t>
        </is>
      </c>
      <c r="H2098" s="37" t="inlineStr">
        <is>
          <t>N</t>
        </is>
      </c>
      <c r="I2098" s="37">
        <f>COUNTIF(G$5:G2098,"Y")/COUNTA(G$5:G2098)</f>
        <v/>
      </c>
      <c r="J2098" s="37">
        <f>COUNTIF(H$5:H2098,"Y")/COUNTA(H$5:H2098)</f>
        <v/>
      </c>
      <c r="K2098" s="37">
        <f>AVERAGE(F$5:F2098)</f>
        <v/>
      </c>
      <c r="L2098" s="37">
        <f>SUM(F$5:F2098)/SUM(E$5:E2098)</f>
        <v/>
      </c>
    </row>
    <row r="2099">
      <c r="A2099" s="29" t="n">
        <v>45973</v>
      </c>
      <c r="B2099" s="37" t="inlineStr">
        <is>
          <t>JOB-3095</t>
        </is>
      </c>
      <c r="C2099" s="34" t="n">
        <v>1</v>
      </c>
      <c r="D2099" s="37" t="inlineStr">
        <is>
          <t>Tech H</t>
        </is>
      </c>
      <c r="E2099" s="35" t="n">
        <v>3.7</v>
      </c>
      <c r="F2099" s="35" t="n">
        <v>2.6</v>
      </c>
      <c r="G2099" s="37" t="inlineStr">
        <is>
          <t>Y</t>
        </is>
      </c>
      <c r="H2099" s="37" t="inlineStr">
        <is>
          <t>N</t>
        </is>
      </c>
      <c r="I2099" s="37">
        <f>COUNTIF(G$5:G2099,"Y")/COUNTA(G$5:G2099)</f>
        <v/>
      </c>
      <c r="J2099" s="37">
        <f>COUNTIF(H$5:H2099,"Y")/COUNTA(H$5:H2099)</f>
        <v/>
      </c>
      <c r="K2099" s="37">
        <f>AVERAGE(F$5:F2099)</f>
        <v/>
      </c>
      <c r="L2099" s="37">
        <f>SUM(F$5:F2099)/SUM(E$5:E2099)</f>
        <v/>
      </c>
    </row>
    <row r="2100">
      <c r="A2100" s="29" t="n">
        <v>45974</v>
      </c>
      <c r="B2100" s="37" t="inlineStr">
        <is>
          <t>JOB-3096</t>
        </is>
      </c>
      <c r="C2100" s="34" t="n">
        <v>1</v>
      </c>
      <c r="D2100" s="37" t="inlineStr">
        <is>
          <t>Tech H</t>
        </is>
      </c>
      <c r="E2100" s="35" t="n">
        <v>3.9</v>
      </c>
      <c r="F2100" s="35" t="n">
        <v>2.8</v>
      </c>
      <c r="G2100" s="37" t="inlineStr">
        <is>
          <t>Y</t>
        </is>
      </c>
      <c r="H2100" s="37" t="inlineStr">
        <is>
          <t>N</t>
        </is>
      </c>
      <c r="I2100" s="37">
        <f>COUNTIF(G$5:G2100,"Y")/COUNTA(G$5:G2100)</f>
        <v/>
      </c>
      <c r="J2100" s="37">
        <f>COUNTIF(H$5:H2100,"Y")/COUNTA(H$5:H2100)</f>
        <v/>
      </c>
      <c r="K2100" s="37">
        <f>AVERAGE(F$5:F2100)</f>
        <v/>
      </c>
      <c r="L2100" s="37">
        <f>SUM(F$5:F2100)/SUM(E$5:E2100)</f>
        <v/>
      </c>
    </row>
    <row r="2101">
      <c r="A2101" s="29" t="n">
        <v>45975</v>
      </c>
      <c r="B2101" s="37" t="inlineStr">
        <is>
          <t>JOB-3097</t>
        </is>
      </c>
      <c r="C2101" s="34" t="n">
        <v>1</v>
      </c>
      <c r="D2101" s="37" t="inlineStr">
        <is>
          <t>Tech G</t>
        </is>
      </c>
      <c r="E2101" s="35" t="n">
        <v>1.7</v>
      </c>
      <c r="F2101" s="35" t="n">
        <v>1.4</v>
      </c>
      <c r="G2101" s="37" t="inlineStr">
        <is>
          <t>Y</t>
        </is>
      </c>
      <c r="H2101" s="37" t="inlineStr">
        <is>
          <t>N</t>
        </is>
      </c>
      <c r="I2101" s="37">
        <f>COUNTIF(G$5:G2101,"Y")/COUNTA(G$5:G2101)</f>
        <v/>
      </c>
      <c r="J2101" s="37">
        <f>COUNTIF(H$5:H2101,"Y")/COUNTA(H$5:H2101)</f>
        <v/>
      </c>
      <c r="K2101" s="37">
        <f>AVERAGE(F$5:F2101)</f>
        <v/>
      </c>
      <c r="L2101" s="37">
        <f>SUM(F$5:F2101)/SUM(E$5:E2101)</f>
        <v/>
      </c>
    </row>
    <row r="2102">
      <c r="A2102" s="29" t="n">
        <v>45971</v>
      </c>
      <c r="B2102" s="37" t="inlineStr">
        <is>
          <t>JOB-3098</t>
        </is>
      </c>
      <c r="C2102" s="34" t="n">
        <v>1</v>
      </c>
      <c r="D2102" s="37" t="inlineStr">
        <is>
          <t>Tech G</t>
        </is>
      </c>
      <c r="E2102" s="35" t="n">
        <v>3.2</v>
      </c>
      <c r="F2102" s="35" t="n">
        <v>2.7</v>
      </c>
      <c r="G2102" s="37" t="inlineStr">
        <is>
          <t>N</t>
        </is>
      </c>
      <c r="H2102" s="37" t="inlineStr">
        <is>
          <t>Y</t>
        </is>
      </c>
      <c r="I2102" s="37">
        <f>COUNTIF(G$5:G2102,"Y")/COUNTA(G$5:G2102)</f>
        <v/>
      </c>
      <c r="J2102" s="37">
        <f>COUNTIF(H$5:H2102,"Y")/COUNTA(H$5:H2102)</f>
        <v/>
      </c>
      <c r="K2102" s="37">
        <f>AVERAGE(F$5:F2102)</f>
        <v/>
      </c>
      <c r="L2102" s="37">
        <f>SUM(F$5:F2102)/SUM(E$5:E2102)</f>
        <v/>
      </c>
    </row>
    <row r="2103">
      <c r="A2103" s="29" t="n">
        <v>45972</v>
      </c>
      <c r="B2103" s="37" t="inlineStr">
        <is>
          <t>JOB-3099</t>
        </is>
      </c>
      <c r="C2103" s="34" t="n">
        <v>1</v>
      </c>
      <c r="D2103" s="37" t="inlineStr">
        <is>
          <t>Tech D</t>
        </is>
      </c>
      <c r="E2103" s="35" t="n">
        <v>2.1</v>
      </c>
      <c r="F2103" s="35" t="n">
        <v>1.9</v>
      </c>
      <c r="G2103" s="37" t="inlineStr">
        <is>
          <t>N</t>
        </is>
      </c>
      <c r="H2103" s="37" t="inlineStr">
        <is>
          <t>N</t>
        </is>
      </c>
      <c r="I2103" s="37">
        <f>COUNTIF(G$5:G2103,"Y")/COUNTA(G$5:G2103)</f>
        <v/>
      </c>
      <c r="J2103" s="37">
        <f>COUNTIF(H$5:H2103,"Y")/COUNTA(H$5:H2103)</f>
        <v/>
      </c>
      <c r="K2103" s="37">
        <f>AVERAGE(F$5:F2103)</f>
        <v/>
      </c>
      <c r="L2103" s="37">
        <f>SUM(F$5:F2103)/SUM(E$5:E2103)</f>
        <v/>
      </c>
    </row>
    <row r="2104">
      <c r="A2104" s="29" t="n">
        <v>45973</v>
      </c>
      <c r="B2104" s="37" t="inlineStr">
        <is>
          <t>JOB-3100</t>
        </is>
      </c>
      <c r="C2104" s="34" t="n">
        <v>1</v>
      </c>
      <c r="D2104" s="37" t="inlineStr">
        <is>
          <t>Tech B</t>
        </is>
      </c>
      <c r="E2104" s="35" t="n">
        <v>1.5</v>
      </c>
      <c r="F2104" s="35" t="n">
        <v>1.2</v>
      </c>
      <c r="G2104" s="37" t="inlineStr">
        <is>
          <t>Y</t>
        </is>
      </c>
      <c r="H2104" s="37" t="inlineStr">
        <is>
          <t>N</t>
        </is>
      </c>
      <c r="I2104" s="37">
        <f>COUNTIF(G$5:G2104,"Y")/COUNTA(G$5:G2104)</f>
        <v/>
      </c>
      <c r="J2104" s="37">
        <f>COUNTIF(H$5:H2104,"Y")/COUNTA(H$5:H2104)</f>
        <v/>
      </c>
      <c r="K2104" s="37">
        <f>AVERAGE(F$5:F2104)</f>
        <v/>
      </c>
      <c r="L2104" s="37">
        <f>SUM(F$5:F2104)/SUM(E$5:E2104)</f>
        <v/>
      </c>
    </row>
    <row r="2105">
      <c r="A2105" s="29" t="n">
        <v>45974</v>
      </c>
      <c r="B2105" s="37" t="inlineStr">
        <is>
          <t>JOB-3101</t>
        </is>
      </c>
      <c r="C2105" s="34" t="n">
        <v>1</v>
      </c>
      <c r="D2105" s="37" t="inlineStr">
        <is>
          <t>Tech A</t>
        </is>
      </c>
      <c r="E2105" s="35" t="n">
        <v>3.8</v>
      </c>
      <c r="F2105" s="35" t="n">
        <v>3.3</v>
      </c>
      <c r="G2105" s="37" t="inlineStr">
        <is>
          <t>N</t>
        </is>
      </c>
      <c r="H2105" s="37" t="inlineStr">
        <is>
          <t>N</t>
        </is>
      </c>
      <c r="I2105" s="37">
        <f>COUNTIF(G$5:G2105,"Y")/COUNTA(G$5:G2105)</f>
        <v/>
      </c>
      <c r="J2105" s="37">
        <f>COUNTIF(H$5:H2105,"Y")/COUNTA(H$5:H2105)</f>
        <v/>
      </c>
      <c r="K2105" s="37">
        <f>AVERAGE(F$5:F2105)</f>
        <v/>
      </c>
      <c r="L2105" s="37">
        <f>SUM(F$5:F2105)/SUM(E$5:E2105)</f>
        <v/>
      </c>
    </row>
    <row r="2106">
      <c r="A2106" s="29" t="n">
        <v>45975</v>
      </c>
      <c r="B2106" s="37" t="inlineStr">
        <is>
          <t>JOB-3102</t>
        </is>
      </c>
      <c r="C2106" s="34" t="n">
        <v>1</v>
      </c>
      <c r="D2106" s="37" t="inlineStr">
        <is>
          <t>Tech A</t>
        </is>
      </c>
      <c r="E2106" s="35" t="n">
        <v>4.6</v>
      </c>
      <c r="F2106" s="35" t="n">
        <v>3.4</v>
      </c>
      <c r="G2106" s="37" t="inlineStr">
        <is>
          <t>Y</t>
        </is>
      </c>
      <c r="H2106" s="37" t="inlineStr">
        <is>
          <t>N</t>
        </is>
      </c>
      <c r="I2106" s="37">
        <f>COUNTIF(G$5:G2106,"Y")/COUNTA(G$5:G2106)</f>
        <v/>
      </c>
      <c r="J2106" s="37">
        <f>COUNTIF(H$5:H2106,"Y")/COUNTA(H$5:H2106)</f>
        <v/>
      </c>
      <c r="K2106" s="37">
        <f>AVERAGE(F$5:F2106)</f>
        <v/>
      </c>
      <c r="L2106" s="37">
        <f>SUM(F$5:F2106)/SUM(E$5:E2106)</f>
        <v/>
      </c>
    </row>
    <row r="2107">
      <c r="A2107" s="29" t="n">
        <v>45971</v>
      </c>
      <c r="B2107" s="37" t="inlineStr">
        <is>
          <t>JOB-3103</t>
        </is>
      </c>
      <c r="C2107" s="34" t="n">
        <v>1</v>
      </c>
      <c r="D2107" s="37" t="inlineStr">
        <is>
          <t>Tech G</t>
        </is>
      </c>
      <c r="E2107" s="35" t="n">
        <v>4.4</v>
      </c>
      <c r="F2107" s="35" t="n">
        <v>3.4</v>
      </c>
      <c r="G2107" s="37" t="inlineStr">
        <is>
          <t>Y</t>
        </is>
      </c>
      <c r="H2107" s="37" t="inlineStr">
        <is>
          <t>N</t>
        </is>
      </c>
      <c r="I2107" s="37">
        <f>COUNTIF(G$5:G2107,"Y")/COUNTA(G$5:G2107)</f>
        <v/>
      </c>
      <c r="J2107" s="37">
        <f>COUNTIF(H$5:H2107,"Y")/COUNTA(H$5:H2107)</f>
        <v/>
      </c>
      <c r="K2107" s="37">
        <f>AVERAGE(F$5:F2107)</f>
        <v/>
      </c>
      <c r="L2107" s="37">
        <f>SUM(F$5:F2107)/SUM(E$5:E2107)</f>
        <v/>
      </c>
    </row>
    <row r="2108">
      <c r="A2108" s="29" t="n">
        <v>45972</v>
      </c>
      <c r="B2108" s="37" t="inlineStr">
        <is>
          <t>JOB-3104</t>
        </is>
      </c>
      <c r="C2108" s="34" t="n">
        <v>1</v>
      </c>
      <c r="D2108" s="37" t="inlineStr">
        <is>
          <t>Tech A</t>
        </is>
      </c>
      <c r="E2108" s="35" t="n">
        <v>4.5</v>
      </c>
      <c r="F2108" s="35" t="n">
        <v>3.6</v>
      </c>
      <c r="G2108" s="37" t="inlineStr">
        <is>
          <t>Y</t>
        </is>
      </c>
      <c r="H2108" s="37" t="inlineStr">
        <is>
          <t>N</t>
        </is>
      </c>
      <c r="I2108" s="37">
        <f>COUNTIF(G$5:G2108,"Y")/COUNTA(G$5:G2108)</f>
        <v/>
      </c>
      <c r="J2108" s="37">
        <f>COUNTIF(H$5:H2108,"Y")/COUNTA(H$5:H2108)</f>
        <v/>
      </c>
      <c r="K2108" s="37">
        <f>AVERAGE(F$5:F2108)</f>
        <v/>
      </c>
      <c r="L2108" s="37">
        <f>SUM(F$5:F2108)/SUM(E$5:E2108)</f>
        <v/>
      </c>
    </row>
    <row r="2109">
      <c r="A2109" s="29" t="n">
        <v>45973</v>
      </c>
      <c r="B2109" s="37" t="inlineStr">
        <is>
          <t>JOB-3105</t>
        </is>
      </c>
      <c r="C2109" s="34" t="n">
        <v>1</v>
      </c>
      <c r="D2109" s="37" t="inlineStr">
        <is>
          <t>Tech B</t>
        </is>
      </c>
      <c r="E2109" s="35" t="n">
        <v>3.3</v>
      </c>
      <c r="F2109" s="35" t="n">
        <v>2.8</v>
      </c>
      <c r="G2109" s="37" t="inlineStr">
        <is>
          <t>Y</t>
        </is>
      </c>
      <c r="H2109" s="37" t="inlineStr">
        <is>
          <t>N</t>
        </is>
      </c>
      <c r="I2109" s="37">
        <f>COUNTIF(G$5:G2109,"Y")/COUNTA(G$5:G2109)</f>
        <v/>
      </c>
      <c r="J2109" s="37">
        <f>COUNTIF(H$5:H2109,"Y")/COUNTA(H$5:H2109)</f>
        <v/>
      </c>
      <c r="K2109" s="37">
        <f>AVERAGE(F$5:F2109)</f>
        <v/>
      </c>
      <c r="L2109" s="37">
        <f>SUM(F$5:F2109)/SUM(E$5:E2109)</f>
        <v/>
      </c>
    </row>
    <row r="2110">
      <c r="A2110" s="29" t="n">
        <v>45974</v>
      </c>
      <c r="B2110" s="37" t="inlineStr">
        <is>
          <t>JOB-3106</t>
        </is>
      </c>
      <c r="C2110" s="34" t="n">
        <v>1</v>
      </c>
      <c r="D2110" s="37" t="inlineStr">
        <is>
          <t>Tech B</t>
        </is>
      </c>
      <c r="E2110" s="35" t="n">
        <v>4.2</v>
      </c>
      <c r="F2110" s="35" t="n">
        <v>3.1</v>
      </c>
      <c r="G2110" s="37" t="inlineStr">
        <is>
          <t>Y</t>
        </is>
      </c>
      <c r="H2110" s="37" t="inlineStr">
        <is>
          <t>N</t>
        </is>
      </c>
      <c r="I2110" s="37">
        <f>COUNTIF(G$5:G2110,"Y")/COUNTA(G$5:G2110)</f>
        <v/>
      </c>
      <c r="J2110" s="37">
        <f>COUNTIF(H$5:H2110,"Y")/COUNTA(H$5:H2110)</f>
        <v/>
      </c>
      <c r="K2110" s="37">
        <f>AVERAGE(F$5:F2110)</f>
        <v/>
      </c>
      <c r="L2110" s="37">
        <f>SUM(F$5:F2110)/SUM(E$5:E2110)</f>
        <v/>
      </c>
    </row>
    <row r="2111">
      <c r="A2111" s="29" t="n">
        <v>45975</v>
      </c>
      <c r="B2111" s="37" t="inlineStr">
        <is>
          <t>JOB-3107</t>
        </is>
      </c>
      <c r="C2111" s="34" t="n">
        <v>1</v>
      </c>
      <c r="D2111" s="37" t="inlineStr">
        <is>
          <t>Tech C</t>
        </is>
      </c>
      <c r="E2111" s="35" t="n">
        <v>3.4</v>
      </c>
      <c r="F2111" s="35" t="n">
        <v>3</v>
      </c>
      <c r="G2111" s="37" t="inlineStr">
        <is>
          <t>Y</t>
        </is>
      </c>
      <c r="H2111" s="37" t="inlineStr">
        <is>
          <t>N</t>
        </is>
      </c>
      <c r="I2111" s="37">
        <f>COUNTIF(G$5:G2111,"Y")/COUNTA(G$5:G2111)</f>
        <v/>
      </c>
      <c r="J2111" s="37">
        <f>COUNTIF(H$5:H2111,"Y")/COUNTA(H$5:H2111)</f>
        <v/>
      </c>
      <c r="K2111" s="37">
        <f>AVERAGE(F$5:F2111)</f>
        <v/>
      </c>
      <c r="L2111" s="37">
        <f>SUM(F$5:F2111)/SUM(E$5:E2111)</f>
        <v/>
      </c>
    </row>
    <row r="2112">
      <c r="A2112" s="29" t="n">
        <v>45971</v>
      </c>
      <c r="B2112" s="37" t="inlineStr">
        <is>
          <t>JOB-3108</t>
        </is>
      </c>
      <c r="C2112" s="34" t="n">
        <v>1</v>
      </c>
      <c r="D2112" s="37" t="inlineStr">
        <is>
          <t>Tech F</t>
        </is>
      </c>
      <c r="E2112" s="35" t="n">
        <v>3.2</v>
      </c>
      <c r="F2112" s="35" t="n">
        <v>2.7</v>
      </c>
      <c r="G2112" s="37" t="inlineStr">
        <is>
          <t>Y</t>
        </is>
      </c>
      <c r="H2112" s="37" t="inlineStr">
        <is>
          <t>N</t>
        </is>
      </c>
      <c r="I2112" s="37">
        <f>COUNTIF(G$5:G2112,"Y")/COUNTA(G$5:G2112)</f>
        <v/>
      </c>
      <c r="J2112" s="37">
        <f>COUNTIF(H$5:H2112,"Y")/COUNTA(H$5:H2112)</f>
        <v/>
      </c>
      <c r="K2112" s="37">
        <f>AVERAGE(F$5:F2112)</f>
        <v/>
      </c>
      <c r="L2112" s="37">
        <f>SUM(F$5:F2112)/SUM(E$5:E2112)</f>
        <v/>
      </c>
    </row>
    <row r="2113">
      <c r="A2113" s="29" t="n">
        <v>45972</v>
      </c>
      <c r="B2113" s="37" t="inlineStr">
        <is>
          <t>JOB-3109</t>
        </is>
      </c>
      <c r="C2113" s="34" t="n">
        <v>1</v>
      </c>
      <c r="D2113" s="37" t="inlineStr">
        <is>
          <t>Tech A</t>
        </is>
      </c>
      <c r="E2113" s="35" t="n">
        <v>4.9</v>
      </c>
      <c r="F2113" s="35" t="n">
        <v>3.7</v>
      </c>
      <c r="G2113" s="37" t="inlineStr">
        <is>
          <t>Y</t>
        </is>
      </c>
      <c r="H2113" s="37" t="inlineStr">
        <is>
          <t>N</t>
        </is>
      </c>
      <c r="I2113" s="37">
        <f>COUNTIF(G$5:G2113,"Y")/COUNTA(G$5:G2113)</f>
        <v/>
      </c>
      <c r="J2113" s="37">
        <f>COUNTIF(H$5:H2113,"Y")/COUNTA(H$5:H2113)</f>
        <v/>
      </c>
      <c r="K2113" s="37">
        <f>AVERAGE(F$5:F2113)</f>
        <v/>
      </c>
      <c r="L2113" s="37">
        <f>SUM(F$5:F2113)/SUM(E$5:E2113)</f>
        <v/>
      </c>
    </row>
    <row r="2114">
      <c r="A2114" s="29" t="n">
        <v>45973</v>
      </c>
      <c r="B2114" s="37" t="inlineStr">
        <is>
          <t>JOB-3110</t>
        </is>
      </c>
      <c r="C2114" s="34" t="n">
        <v>1</v>
      </c>
      <c r="D2114" s="37" t="inlineStr">
        <is>
          <t>Tech G</t>
        </is>
      </c>
      <c r="E2114" s="35" t="n">
        <v>3.1</v>
      </c>
      <c r="F2114" s="35" t="n">
        <v>2.2</v>
      </c>
      <c r="G2114" s="37" t="inlineStr">
        <is>
          <t>Y</t>
        </is>
      </c>
      <c r="H2114" s="37" t="inlineStr">
        <is>
          <t>N</t>
        </is>
      </c>
      <c r="I2114" s="37">
        <f>COUNTIF(G$5:G2114,"Y")/COUNTA(G$5:G2114)</f>
        <v/>
      </c>
      <c r="J2114" s="37">
        <f>COUNTIF(H$5:H2114,"Y")/COUNTA(H$5:H2114)</f>
        <v/>
      </c>
      <c r="K2114" s="37">
        <f>AVERAGE(F$5:F2114)</f>
        <v/>
      </c>
      <c r="L2114" s="37">
        <f>SUM(F$5:F2114)/SUM(E$5:E2114)</f>
        <v/>
      </c>
    </row>
    <row r="2115">
      <c r="A2115" s="29" t="n">
        <v>45974</v>
      </c>
      <c r="B2115" s="37" t="inlineStr">
        <is>
          <t>JOB-3111</t>
        </is>
      </c>
      <c r="C2115" s="34" t="n">
        <v>1</v>
      </c>
      <c r="D2115" s="37" t="inlineStr">
        <is>
          <t>Tech H</t>
        </is>
      </c>
      <c r="E2115" s="35" t="n">
        <v>3.8</v>
      </c>
      <c r="F2115" s="35" t="n">
        <v>3</v>
      </c>
      <c r="G2115" s="37" t="inlineStr">
        <is>
          <t>Y</t>
        </is>
      </c>
      <c r="H2115" s="37" t="inlineStr">
        <is>
          <t>N</t>
        </is>
      </c>
      <c r="I2115" s="37">
        <f>COUNTIF(G$5:G2115,"Y")/COUNTA(G$5:G2115)</f>
        <v/>
      </c>
      <c r="J2115" s="37">
        <f>COUNTIF(H$5:H2115,"Y")/COUNTA(H$5:H2115)</f>
        <v/>
      </c>
      <c r="K2115" s="37">
        <f>AVERAGE(F$5:F2115)</f>
        <v/>
      </c>
      <c r="L2115" s="37">
        <f>SUM(F$5:F2115)/SUM(E$5:E2115)</f>
        <v/>
      </c>
    </row>
    <row r="2116">
      <c r="A2116" s="29" t="n">
        <v>45975</v>
      </c>
      <c r="B2116" s="37" t="inlineStr">
        <is>
          <t>JOB-3112</t>
        </is>
      </c>
      <c r="C2116" s="34" t="n">
        <v>1</v>
      </c>
      <c r="D2116" s="37" t="inlineStr">
        <is>
          <t>Tech B</t>
        </is>
      </c>
      <c r="E2116" s="35" t="n">
        <v>3</v>
      </c>
      <c r="F2116" s="35" t="n">
        <v>2.4</v>
      </c>
      <c r="G2116" s="37" t="inlineStr">
        <is>
          <t>Y</t>
        </is>
      </c>
      <c r="H2116" s="37" t="inlineStr">
        <is>
          <t>N</t>
        </is>
      </c>
      <c r="I2116" s="37">
        <f>COUNTIF(G$5:G2116,"Y")/COUNTA(G$5:G2116)</f>
        <v/>
      </c>
      <c r="J2116" s="37">
        <f>COUNTIF(H$5:H2116,"Y")/COUNTA(H$5:H2116)</f>
        <v/>
      </c>
      <c r="K2116" s="37">
        <f>AVERAGE(F$5:F2116)</f>
        <v/>
      </c>
      <c r="L2116" s="37">
        <f>SUM(F$5:F2116)/SUM(E$5:E2116)</f>
        <v/>
      </c>
    </row>
    <row r="2117">
      <c r="A2117" s="29" t="n">
        <v>45971</v>
      </c>
      <c r="B2117" s="37" t="inlineStr">
        <is>
          <t>JOB-3113</t>
        </is>
      </c>
      <c r="C2117" s="34" t="n">
        <v>1</v>
      </c>
      <c r="D2117" s="37" t="inlineStr">
        <is>
          <t>Tech A</t>
        </is>
      </c>
      <c r="E2117" s="35" t="n">
        <v>2.7</v>
      </c>
      <c r="F2117" s="35" t="n">
        <v>2.1</v>
      </c>
      <c r="G2117" s="37" t="inlineStr">
        <is>
          <t>N</t>
        </is>
      </c>
      <c r="H2117" s="37" t="inlineStr">
        <is>
          <t>N</t>
        </is>
      </c>
      <c r="I2117" s="37">
        <f>COUNTIF(G$5:G2117,"Y")/COUNTA(G$5:G2117)</f>
        <v/>
      </c>
      <c r="J2117" s="37">
        <f>COUNTIF(H$5:H2117,"Y")/COUNTA(H$5:H2117)</f>
        <v/>
      </c>
      <c r="K2117" s="37">
        <f>AVERAGE(F$5:F2117)</f>
        <v/>
      </c>
      <c r="L2117" s="37">
        <f>SUM(F$5:F2117)/SUM(E$5:E2117)</f>
        <v/>
      </c>
    </row>
    <row r="2118">
      <c r="A2118" s="29" t="n">
        <v>45972</v>
      </c>
      <c r="B2118" s="37" t="inlineStr">
        <is>
          <t>JOB-3114</t>
        </is>
      </c>
      <c r="C2118" s="34" t="n">
        <v>1</v>
      </c>
      <c r="D2118" s="37" t="inlineStr">
        <is>
          <t>Tech H</t>
        </is>
      </c>
      <c r="E2118" s="35" t="n">
        <v>2.8</v>
      </c>
      <c r="F2118" s="35" t="n">
        <v>1.9</v>
      </c>
      <c r="G2118" s="37" t="inlineStr">
        <is>
          <t>Y</t>
        </is>
      </c>
      <c r="H2118" s="37" t="inlineStr">
        <is>
          <t>N</t>
        </is>
      </c>
      <c r="I2118" s="37">
        <f>COUNTIF(G$5:G2118,"Y")/COUNTA(G$5:G2118)</f>
        <v/>
      </c>
      <c r="J2118" s="37">
        <f>COUNTIF(H$5:H2118,"Y")/COUNTA(H$5:H2118)</f>
        <v/>
      </c>
      <c r="K2118" s="37">
        <f>AVERAGE(F$5:F2118)</f>
        <v/>
      </c>
      <c r="L2118" s="37">
        <f>SUM(F$5:F2118)/SUM(E$5:E2118)</f>
        <v/>
      </c>
    </row>
    <row r="2119">
      <c r="A2119" s="29" t="n">
        <v>45973</v>
      </c>
      <c r="B2119" s="37" t="inlineStr">
        <is>
          <t>JOB-3115</t>
        </is>
      </c>
      <c r="C2119" s="34" t="n">
        <v>1</v>
      </c>
      <c r="D2119" s="37" t="inlineStr">
        <is>
          <t>Tech G</t>
        </is>
      </c>
      <c r="E2119" s="35" t="n">
        <v>3.6</v>
      </c>
      <c r="F2119" s="35" t="n">
        <v>2.6</v>
      </c>
      <c r="G2119" s="37" t="inlineStr">
        <is>
          <t>Y</t>
        </is>
      </c>
      <c r="H2119" s="37" t="inlineStr">
        <is>
          <t>N</t>
        </is>
      </c>
      <c r="I2119" s="37">
        <f>COUNTIF(G$5:G2119,"Y")/COUNTA(G$5:G2119)</f>
        <v/>
      </c>
      <c r="J2119" s="37">
        <f>COUNTIF(H$5:H2119,"Y")/COUNTA(H$5:H2119)</f>
        <v/>
      </c>
      <c r="K2119" s="37">
        <f>AVERAGE(F$5:F2119)</f>
        <v/>
      </c>
      <c r="L2119" s="37">
        <f>SUM(F$5:F2119)/SUM(E$5:E2119)</f>
        <v/>
      </c>
    </row>
    <row r="2120">
      <c r="A2120" s="29" t="n">
        <v>45974</v>
      </c>
      <c r="B2120" s="37" t="inlineStr">
        <is>
          <t>JOB-3116</t>
        </is>
      </c>
      <c r="C2120" s="34" t="n">
        <v>1</v>
      </c>
      <c r="D2120" s="37" t="inlineStr">
        <is>
          <t>Tech C</t>
        </is>
      </c>
      <c r="E2120" s="35" t="n">
        <v>4.4</v>
      </c>
      <c r="F2120" s="35" t="n">
        <v>3.7</v>
      </c>
      <c r="G2120" s="37" t="inlineStr">
        <is>
          <t>Y</t>
        </is>
      </c>
      <c r="H2120" s="37" t="inlineStr">
        <is>
          <t>N</t>
        </is>
      </c>
      <c r="I2120" s="37">
        <f>COUNTIF(G$5:G2120,"Y")/COUNTA(G$5:G2120)</f>
        <v/>
      </c>
      <c r="J2120" s="37">
        <f>COUNTIF(H$5:H2120,"Y")/COUNTA(H$5:H2120)</f>
        <v/>
      </c>
      <c r="K2120" s="37">
        <f>AVERAGE(F$5:F2120)</f>
        <v/>
      </c>
      <c r="L2120" s="37">
        <f>SUM(F$5:F2120)/SUM(E$5:E2120)</f>
        <v/>
      </c>
    </row>
    <row r="2121">
      <c r="A2121" s="29" t="n">
        <v>45975</v>
      </c>
      <c r="B2121" s="37" t="inlineStr">
        <is>
          <t>JOB-3117</t>
        </is>
      </c>
      <c r="C2121" s="34" t="n">
        <v>1</v>
      </c>
      <c r="D2121" s="37" t="inlineStr">
        <is>
          <t>Tech D</t>
        </is>
      </c>
      <c r="E2121" s="35" t="n">
        <v>3.3</v>
      </c>
      <c r="F2121" s="35" t="n">
        <v>2.9</v>
      </c>
      <c r="G2121" s="37" t="inlineStr">
        <is>
          <t>Y</t>
        </is>
      </c>
      <c r="H2121" s="37" t="inlineStr">
        <is>
          <t>N</t>
        </is>
      </c>
      <c r="I2121" s="37">
        <f>COUNTIF(G$5:G2121,"Y")/COUNTA(G$5:G2121)</f>
        <v/>
      </c>
      <c r="J2121" s="37">
        <f>COUNTIF(H$5:H2121,"Y")/COUNTA(H$5:H2121)</f>
        <v/>
      </c>
      <c r="K2121" s="37">
        <f>AVERAGE(F$5:F2121)</f>
        <v/>
      </c>
      <c r="L2121" s="37">
        <f>SUM(F$5:F2121)/SUM(E$5:E2121)</f>
        <v/>
      </c>
    </row>
    <row r="2122">
      <c r="A2122" s="29" t="n">
        <v>45971</v>
      </c>
      <c r="B2122" s="37" t="inlineStr">
        <is>
          <t>JOB-3118</t>
        </is>
      </c>
      <c r="C2122" s="34" t="n">
        <v>1</v>
      </c>
      <c r="D2122" s="37" t="inlineStr">
        <is>
          <t>Tech F</t>
        </is>
      </c>
      <c r="E2122" s="35" t="n">
        <v>2.8</v>
      </c>
      <c r="F2122" s="35" t="n">
        <v>2</v>
      </c>
      <c r="G2122" s="37" t="inlineStr">
        <is>
          <t>Y</t>
        </is>
      </c>
      <c r="H2122" s="37" t="inlineStr">
        <is>
          <t>N</t>
        </is>
      </c>
      <c r="I2122" s="37">
        <f>COUNTIF(G$5:G2122,"Y")/COUNTA(G$5:G2122)</f>
        <v/>
      </c>
      <c r="J2122" s="37">
        <f>COUNTIF(H$5:H2122,"Y")/COUNTA(H$5:H2122)</f>
        <v/>
      </c>
      <c r="K2122" s="37">
        <f>AVERAGE(F$5:F2122)</f>
        <v/>
      </c>
      <c r="L2122" s="37">
        <f>SUM(F$5:F2122)/SUM(E$5:E2122)</f>
        <v/>
      </c>
    </row>
    <row r="2123">
      <c r="A2123" s="29" t="n">
        <v>45972</v>
      </c>
      <c r="B2123" s="37" t="inlineStr">
        <is>
          <t>JOB-3119</t>
        </is>
      </c>
      <c r="C2123" s="34" t="n">
        <v>1</v>
      </c>
      <c r="D2123" s="37" t="inlineStr">
        <is>
          <t>Tech H</t>
        </is>
      </c>
      <c r="E2123" s="35" t="n">
        <v>4.7</v>
      </c>
      <c r="F2123" s="35" t="n">
        <v>3.5</v>
      </c>
      <c r="G2123" s="37" t="inlineStr">
        <is>
          <t>Y</t>
        </is>
      </c>
      <c r="H2123" s="37" t="inlineStr">
        <is>
          <t>N</t>
        </is>
      </c>
      <c r="I2123" s="37">
        <f>COUNTIF(G$5:G2123,"Y")/COUNTA(G$5:G2123)</f>
        <v/>
      </c>
      <c r="J2123" s="37">
        <f>COUNTIF(H$5:H2123,"Y")/COUNTA(H$5:H2123)</f>
        <v/>
      </c>
      <c r="K2123" s="37">
        <f>AVERAGE(F$5:F2123)</f>
        <v/>
      </c>
      <c r="L2123" s="37">
        <f>SUM(F$5:F2123)/SUM(E$5:E2123)</f>
        <v/>
      </c>
    </row>
    <row r="2124">
      <c r="A2124" s="29" t="n">
        <v>45973</v>
      </c>
      <c r="B2124" s="37" t="inlineStr">
        <is>
          <t>JOB-3120</t>
        </is>
      </c>
      <c r="C2124" s="34" t="n">
        <v>1</v>
      </c>
      <c r="D2124" s="37" t="inlineStr">
        <is>
          <t>Tech A</t>
        </is>
      </c>
      <c r="E2124" s="35" t="n">
        <v>1.5</v>
      </c>
      <c r="F2124" s="35" t="n">
        <v>1.3</v>
      </c>
      <c r="G2124" s="37" t="inlineStr">
        <is>
          <t>Y</t>
        </is>
      </c>
      <c r="H2124" s="37" t="inlineStr">
        <is>
          <t>N</t>
        </is>
      </c>
      <c r="I2124" s="37">
        <f>COUNTIF(G$5:G2124,"Y")/COUNTA(G$5:G2124)</f>
        <v/>
      </c>
      <c r="J2124" s="37">
        <f>COUNTIF(H$5:H2124,"Y")/COUNTA(H$5:H2124)</f>
        <v/>
      </c>
      <c r="K2124" s="37">
        <f>AVERAGE(F$5:F2124)</f>
        <v/>
      </c>
      <c r="L2124" s="37">
        <f>SUM(F$5:F2124)/SUM(E$5:E2124)</f>
        <v/>
      </c>
    </row>
    <row r="2125">
      <c r="A2125" s="29" t="n">
        <v>45974</v>
      </c>
      <c r="B2125" s="37" t="inlineStr">
        <is>
          <t>JOB-3121</t>
        </is>
      </c>
      <c r="C2125" s="34" t="n">
        <v>1</v>
      </c>
      <c r="D2125" s="37" t="inlineStr">
        <is>
          <t>Tech D</t>
        </is>
      </c>
      <c r="E2125" s="35" t="n">
        <v>1.8</v>
      </c>
      <c r="F2125" s="35" t="n">
        <v>1.4</v>
      </c>
      <c r="G2125" s="37" t="inlineStr">
        <is>
          <t>Y</t>
        </is>
      </c>
      <c r="H2125" s="37" t="inlineStr">
        <is>
          <t>N</t>
        </is>
      </c>
      <c r="I2125" s="37">
        <f>COUNTIF(G$5:G2125,"Y")/COUNTA(G$5:G2125)</f>
        <v/>
      </c>
      <c r="J2125" s="37">
        <f>COUNTIF(H$5:H2125,"Y")/COUNTA(H$5:H2125)</f>
        <v/>
      </c>
      <c r="K2125" s="37">
        <f>AVERAGE(F$5:F2125)</f>
        <v/>
      </c>
      <c r="L2125" s="37">
        <f>SUM(F$5:F2125)/SUM(E$5:E2125)</f>
        <v/>
      </c>
    </row>
    <row r="2126">
      <c r="A2126" s="29" t="n">
        <v>45975</v>
      </c>
      <c r="B2126" s="37" t="inlineStr">
        <is>
          <t>JOB-3122</t>
        </is>
      </c>
      <c r="C2126" s="34" t="n">
        <v>1</v>
      </c>
      <c r="D2126" s="37" t="inlineStr">
        <is>
          <t>Tech D</t>
        </is>
      </c>
      <c r="E2126" s="35" t="n">
        <v>1.6</v>
      </c>
      <c r="F2126" s="35" t="n">
        <v>1.3</v>
      </c>
      <c r="G2126" s="37" t="inlineStr">
        <is>
          <t>Y</t>
        </is>
      </c>
      <c r="H2126" s="37" t="inlineStr">
        <is>
          <t>N</t>
        </is>
      </c>
      <c r="I2126" s="37">
        <f>COUNTIF(G$5:G2126,"Y")/COUNTA(G$5:G2126)</f>
        <v/>
      </c>
      <c r="J2126" s="37">
        <f>COUNTIF(H$5:H2126,"Y")/COUNTA(H$5:H2126)</f>
        <v/>
      </c>
      <c r="K2126" s="37">
        <f>AVERAGE(F$5:F2126)</f>
        <v/>
      </c>
      <c r="L2126" s="37">
        <f>SUM(F$5:F2126)/SUM(E$5:E2126)</f>
        <v/>
      </c>
    </row>
    <row r="2127">
      <c r="A2127" s="29" t="n">
        <v>45971</v>
      </c>
      <c r="B2127" s="37" t="inlineStr">
        <is>
          <t>JOB-3123</t>
        </is>
      </c>
      <c r="C2127" s="34" t="n">
        <v>1</v>
      </c>
      <c r="D2127" s="37" t="inlineStr">
        <is>
          <t>Tech C</t>
        </is>
      </c>
      <c r="E2127" s="35" t="n">
        <v>5.3</v>
      </c>
      <c r="F2127" s="35" t="n">
        <v>3.8</v>
      </c>
      <c r="G2127" s="37" t="inlineStr">
        <is>
          <t>N</t>
        </is>
      </c>
      <c r="H2127" s="37" t="inlineStr">
        <is>
          <t>N</t>
        </is>
      </c>
      <c r="I2127" s="37">
        <f>COUNTIF(G$5:G2127,"Y")/COUNTA(G$5:G2127)</f>
        <v/>
      </c>
      <c r="J2127" s="37">
        <f>COUNTIF(H$5:H2127,"Y")/COUNTA(H$5:H2127)</f>
        <v/>
      </c>
      <c r="K2127" s="37">
        <f>AVERAGE(F$5:F2127)</f>
        <v/>
      </c>
      <c r="L2127" s="37">
        <f>SUM(F$5:F2127)/SUM(E$5:E2127)</f>
        <v/>
      </c>
    </row>
    <row r="2128">
      <c r="A2128" s="29" t="n">
        <v>45972</v>
      </c>
      <c r="B2128" s="37" t="inlineStr">
        <is>
          <t>JOB-3124</t>
        </is>
      </c>
      <c r="C2128" s="34" t="n">
        <v>1</v>
      </c>
      <c r="D2128" s="37" t="inlineStr">
        <is>
          <t>Tech C</t>
        </is>
      </c>
      <c r="E2128" s="35" t="n">
        <v>1.6</v>
      </c>
      <c r="F2128" s="35" t="n">
        <v>1.1</v>
      </c>
      <c r="G2128" s="37" t="inlineStr">
        <is>
          <t>Y</t>
        </is>
      </c>
      <c r="H2128" s="37" t="inlineStr">
        <is>
          <t>N</t>
        </is>
      </c>
      <c r="I2128" s="37">
        <f>COUNTIF(G$5:G2128,"Y")/COUNTA(G$5:G2128)</f>
        <v/>
      </c>
      <c r="J2128" s="37">
        <f>COUNTIF(H$5:H2128,"Y")/COUNTA(H$5:H2128)</f>
        <v/>
      </c>
      <c r="K2128" s="37">
        <f>AVERAGE(F$5:F2128)</f>
        <v/>
      </c>
      <c r="L2128" s="37">
        <f>SUM(F$5:F2128)/SUM(E$5:E2128)</f>
        <v/>
      </c>
    </row>
    <row r="2129">
      <c r="A2129" s="29" t="n">
        <v>45973</v>
      </c>
      <c r="B2129" s="37" t="inlineStr">
        <is>
          <t>JOB-3125</t>
        </is>
      </c>
      <c r="C2129" s="34" t="n">
        <v>1</v>
      </c>
      <c r="D2129" s="37" t="inlineStr">
        <is>
          <t>Tech D</t>
        </is>
      </c>
      <c r="E2129" s="35" t="n">
        <v>4.3</v>
      </c>
      <c r="F2129" s="35" t="n">
        <v>3</v>
      </c>
      <c r="G2129" s="37" t="inlineStr">
        <is>
          <t>Y</t>
        </is>
      </c>
      <c r="H2129" s="37" t="inlineStr">
        <is>
          <t>N</t>
        </is>
      </c>
      <c r="I2129" s="37">
        <f>COUNTIF(G$5:G2129,"Y")/COUNTA(G$5:G2129)</f>
        <v/>
      </c>
      <c r="J2129" s="37">
        <f>COUNTIF(H$5:H2129,"Y")/COUNTA(H$5:H2129)</f>
        <v/>
      </c>
      <c r="K2129" s="37">
        <f>AVERAGE(F$5:F2129)</f>
        <v/>
      </c>
      <c r="L2129" s="37">
        <f>SUM(F$5:F2129)/SUM(E$5:E2129)</f>
        <v/>
      </c>
    </row>
    <row r="2130">
      <c r="A2130" s="29" t="n">
        <v>45974</v>
      </c>
      <c r="B2130" s="37" t="inlineStr">
        <is>
          <t>JOB-3126</t>
        </is>
      </c>
      <c r="C2130" s="34" t="n">
        <v>1</v>
      </c>
      <c r="D2130" s="37" t="inlineStr">
        <is>
          <t>Tech A</t>
        </is>
      </c>
      <c r="E2130" s="35" t="n">
        <v>1.9</v>
      </c>
      <c r="F2130" s="35" t="n">
        <v>1.5</v>
      </c>
      <c r="G2130" s="37" t="inlineStr">
        <is>
          <t>Y</t>
        </is>
      </c>
      <c r="H2130" s="37" t="inlineStr">
        <is>
          <t>Y</t>
        </is>
      </c>
      <c r="I2130" s="37">
        <f>COUNTIF(G$5:G2130,"Y")/COUNTA(G$5:G2130)</f>
        <v/>
      </c>
      <c r="J2130" s="37">
        <f>COUNTIF(H$5:H2130,"Y")/COUNTA(H$5:H2130)</f>
        <v/>
      </c>
      <c r="K2130" s="37">
        <f>AVERAGE(F$5:F2130)</f>
        <v/>
      </c>
      <c r="L2130" s="37">
        <f>SUM(F$5:F2130)/SUM(E$5:E2130)</f>
        <v/>
      </c>
    </row>
    <row r="2131">
      <c r="A2131" s="29" t="n">
        <v>45975</v>
      </c>
      <c r="B2131" s="37" t="inlineStr">
        <is>
          <t>JOB-3127</t>
        </is>
      </c>
      <c r="C2131" s="34" t="n">
        <v>1</v>
      </c>
      <c r="D2131" s="37" t="inlineStr">
        <is>
          <t>Tech G</t>
        </is>
      </c>
      <c r="E2131" s="35" t="n">
        <v>4.2</v>
      </c>
      <c r="F2131" s="35" t="n">
        <v>3.1</v>
      </c>
      <c r="G2131" s="37" t="inlineStr">
        <is>
          <t>Y</t>
        </is>
      </c>
      <c r="H2131" s="37" t="inlineStr">
        <is>
          <t>N</t>
        </is>
      </c>
      <c r="I2131" s="37">
        <f>COUNTIF(G$5:G2131,"Y")/COUNTA(G$5:G2131)</f>
        <v/>
      </c>
      <c r="J2131" s="37">
        <f>COUNTIF(H$5:H2131,"Y")/COUNTA(H$5:H2131)</f>
        <v/>
      </c>
      <c r="K2131" s="37">
        <f>AVERAGE(F$5:F2131)</f>
        <v/>
      </c>
      <c r="L2131" s="37">
        <f>SUM(F$5:F2131)/SUM(E$5:E2131)</f>
        <v/>
      </c>
    </row>
    <row r="2132">
      <c r="A2132" s="29" t="n">
        <v>45971</v>
      </c>
      <c r="B2132" s="37" t="inlineStr">
        <is>
          <t>JOB-3128</t>
        </is>
      </c>
      <c r="C2132" s="34" t="n">
        <v>1</v>
      </c>
      <c r="D2132" s="37" t="inlineStr">
        <is>
          <t>Tech D</t>
        </is>
      </c>
      <c r="E2132" s="35" t="n">
        <v>3</v>
      </c>
      <c r="F2132" s="35" t="n">
        <v>2.6</v>
      </c>
      <c r="G2132" s="37" t="inlineStr">
        <is>
          <t>Y</t>
        </is>
      </c>
      <c r="H2132" s="37" t="inlineStr">
        <is>
          <t>N</t>
        </is>
      </c>
      <c r="I2132" s="37">
        <f>COUNTIF(G$5:G2132,"Y")/COUNTA(G$5:G2132)</f>
        <v/>
      </c>
      <c r="J2132" s="37">
        <f>COUNTIF(H$5:H2132,"Y")/COUNTA(H$5:H2132)</f>
        <v/>
      </c>
      <c r="K2132" s="37">
        <f>AVERAGE(F$5:F2132)</f>
        <v/>
      </c>
      <c r="L2132" s="37">
        <f>SUM(F$5:F2132)/SUM(E$5:E2132)</f>
        <v/>
      </c>
    </row>
    <row r="2133">
      <c r="A2133" s="29" t="n">
        <v>45972</v>
      </c>
      <c r="B2133" s="37" t="inlineStr">
        <is>
          <t>JOB-3129</t>
        </is>
      </c>
      <c r="C2133" s="34" t="n">
        <v>1</v>
      </c>
      <c r="D2133" s="37" t="inlineStr">
        <is>
          <t>Tech B</t>
        </is>
      </c>
      <c r="E2133" s="35" t="n">
        <v>1.3</v>
      </c>
      <c r="F2133" s="35" t="n">
        <v>1.1</v>
      </c>
      <c r="G2133" s="37" t="inlineStr">
        <is>
          <t>Y</t>
        </is>
      </c>
      <c r="H2133" s="37" t="inlineStr">
        <is>
          <t>N</t>
        </is>
      </c>
      <c r="I2133" s="37">
        <f>COUNTIF(G$5:G2133,"Y")/COUNTA(G$5:G2133)</f>
        <v/>
      </c>
      <c r="J2133" s="37">
        <f>COUNTIF(H$5:H2133,"Y")/COUNTA(H$5:H2133)</f>
        <v/>
      </c>
      <c r="K2133" s="37">
        <f>AVERAGE(F$5:F2133)</f>
        <v/>
      </c>
      <c r="L2133" s="37">
        <f>SUM(F$5:F2133)/SUM(E$5:E2133)</f>
        <v/>
      </c>
    </row>
    <row r="2134">
      <c r="A2134" s="29" t="n">
        <v>45973</v>
      </c>
      <c r="B2134" s="37" t="inlineStr">
        <is>
          <t>JOB-3130</t>
        </is>
      </c>
      <c r="C2134" s="34" t="n">
        <v>1</v>
      </c>
      <c r="D2134" s="37" t="inlineStr">
        <is>
          <t>Tech F</t>
        </is>
      </c>
      <c r="E2134" s="35" t="n">
        <v>2.6</v>
      </c>
      <c r="F2134" s="35" t="n">
        <v>2.4</v>
      </c>
      <c r="G2134" s="37" t="inlineStr">
        <is>
          <t>Y</t>
        </is>
      </c>
      <c r="H2134" s="37" t="inlineStr">
        <is>
          <t>N</t>
        </is>
      </c>
      <c r="I2134" s="37">
        <f>COUNTIF(G$5:G2134,"Y")/COUNTA(G$5:G2134)</f>
        <v/>
      </c>
      <c r="J2134" s="37">
        <f>COUNTIF(H$5:H2134,"Y")/COUNTA(H$5:H2134)</f>
        <v/>
      </c>
      <c r="K2134" s="37">
        <f>AVERAGE(F$5:F2134)</f>
        <v/>
      </c>
      <c r="L2134" s="37">
        <f>SUM(F$5:F2134)/SUM(E$5:E2134)</f>
        <v/>
      </c>
    </row>
    <row r="2135">
      <c r="A2135" s="29" t="n">
        <v>45974</v>
      </c>
      <c r="B2135" s="37" t="inlineStr">
        <is>
          <t>JOB-3131</t>
        </is>
      </c>
      <c r="C2135" s="34" t="n">
        <v>1</v>
      </c>
      <c r="D2135" s="37" t="inlineStr">
        <is>
          <t>Tech B</t>
        </is>
      </c>
      <c r="E2135" s="35" t="n">
        <v>0.6</v>
      </c>
      <c r="F2135" s="35" t="n">
        <v>0.5</v>
      </c>
      <c r="G2135" s="37" t="inlineStr">
        <is>
          <t>Y</t>
        </is>
      </c>
      <c r="H2135" s="37" t="inlineStr">
        <is>
          <t>N</t>
        </is>
      </c>
      <c r="I2135" s="37">
        <f>COUNTIF(G$5:G2135,"Y")/COUNTA(G$5:G2135)</f>
        <v/>
      </c>
      <c r="J2135" s="37">
        <f>COUNTIF(H$5:H2135,"Y")/COUNTA(H$5:H2135)</f>
        <v/>
      </c>
      <c r="K2135" s="37">
        <f>AVERAGE(F$5:F2135)</f>
        <v/>
      </c>
      <c r="L2135" s="37">
        <f>SUM(F$5:F2135)/SUM(E$5:E2135)</f>
        <v/>
      </c>
    </row>
    <row r="2136">
      <c r="A2136" s="29" t="n">
        <v>45975</v>
      </c>
      <c r="B2136" s="37" t="inlineStr">
        <is>
          <t>JOB-3132</t>
        </is>
      </c>
      <c r="C2136" s="34" t="n">
        <v>1</v>
      </c>
      <c r="D2136" s="37" t="inlineStr">
        <is>
          <t>Tech H</t>
        </is>
      </c>
      <c r="E2136" s="35" t="n">
        <v>0.7</v>
      </c>
      <c r="F2136" s="35" t="n">
        <v>0.5</v>
      </c>
      <c r="G2136" s="37" t="inlineStr">
        <is>
          <t>Y</t>
        </is>
      </c>
      <c r="H2136" s="37" t="inlineStr">
        <is>
          <t>N</t>
        </is>
      </c>
      <c r="I2136" s="37">
        <f>COUNTIF(G$5:G2136,"Y")/COUNTA(G$5:G2136)</f>
        <v/>
      </c>
      <c r="J2136" s="37">
        <f>COUNTIF(H$5:H2136,"Y")/COUNTA(H$5:H2136)</f>
        <v/>
      </c>
      <c r="K2136" s="37">
        <f>AVERAGE(F$5:F2136)</f>
        <v/>
      </c>
      <c r="L2136" s="37">
        <f>SUM(F$5:F2136)/SUM(E$5:E2136)</f>
        <v/>
      </c>
    </row>
    <row r="2137">
      <c r="A2137" s="29" t="n">
        <v>45971</v>
      </c>
      <c r="B2137" s="37" t="inlineStr">
        <is>
          <t>JOB-3133</t>
        </is>
      </c>
      <c r="C2137" s="34" t="n">
        <v>1</v>
      </c>
      <c r="D2137" s="37" t="inlineStr">
        <is>
          <t>Tech F</t>
        </is>
      </c>
      <c r="E2137" s="35" t="n">
        <v>0.7</v>
      </c>
      <c r="F2137" s="35" t="n">
        <v>0.5</v>
      </c>
      <c r="G2137" s="37" t="inlineStr">
        <is>
          <t>Y</t>
        </is>
      </c>
      <c r="H2137" s="37" t="inlineStr">
        <is>
          <t>N</t>
        </is>
      </c>
      <c r="I2137" s="37">
        <f>COUNTIF(G$5:G2137,"Y")/COUNTA(G$5:G2137)</f>
        <v/>
      </c>
      <c r="J2137" s="37">
        <f>COUNTIF(H$5:H2137,"Y")/COUNTA(H$5:H2137)</f>
        <v/>
      </c>
      <c r="K2137" s="37">
        <f>AVERAGE(F$5:F2137)</f>
        <v/>
      </c>
      <c r="L2137" s="37">
        <f>SUM(F$5:F2137)/SUM(E$5:E2137)</f>
        <v/>
      </c>
    </row>
    <row r="2138">
      <c r="A2138" s="29" t="n">
        <v>45972</v>
      </c>
      <c r="B2138" s="37" t="inlineStr">
        <is>
          <t>JOB-3134</t>
        </is>
      </c>
      <c r="C2138" s="34" t="n">
        <v>1</v>
      </c>
      <c r="D2138" s="37" t="inlineStr">
        <is>
          <t>Tech B</t>
        </is>
      </c>
      <c r="E2138" s="35" t="n">
        <v>0.7</v>
      </c>
      <c r="F2138" s="35" t="n">
        <v>0.5</v>
      </c>
      <c r="G2138" s="37" t="inlineStr">
        <is>
          <t>Y</t>
        </is>
      </c>
      <c r="H2138" s="37" t="inlineStr">
        <is>
          <t>N</t>
        </is>
      </c>
      <c r="I2138" s="37">
        <f>COUNTIF(G$5:G2138,"Y")/COUNTA(G$5:G2138)</f>
        <v/>
      </c>
      <c r="J2138" s="37">
        <f>COUNTIF(H$5:H2138,"Y")/COUNTA(H$5:H2138)</f>
        <v/>
      </c>
      <c r="K2138" s="37">
        <f>AVERAGE(F$5:F2138)</f>
        <v/>
      </c>
      <c r="L2138" s="37">
        <f>SUM(F$5:F2138)/SUM(E$5:E2138)</f>
        <v/>
      </c>
    </row>
    <row r="2139">
      <c r="A2139" s="29" t="n">
        <v>45973</v>
      </c>
      <c r="B2139" s="37" t="inlineStr">
        <is>
          <t>JOB-3135</t>
        </is>
      </c>
      <c r="C2139" s="34" t="n">
        <v>1</v>
      </c>
      <c r="D2139" s="37" t="inlineStr">
        <is>
          <t>Tech B</t>
        </is>
      </c>
      <c r="E2139" s="35" t="n">
        <v>0.6</v>
      </c>
      <c r="F2139" s="35" t="n">
        <v>0.5</v>
      </c>
      <c r="G2139" s="37" t="inlineStr">
        <is>
          <t>Y</t>
        </is>
      </c>
      <c r="H2139" s="37" t="inlineStr">
        <is>
          <t>N</t>
        </is>
      </c>
      <c r="I2139" s="37">
        <f>COUNTIF(G$5:G2139,"Y")/COUNTA(G$5:G2139)</f>
        <v/>
      </c>
      <c r="J2139" s="37">
        <f>COUNTIF(H$5:H2139,"Y")/COUNTA(H$5:H2139)</f>
        <v/>
      </c>
      <c r="K2139" s="37">
        <f>AVERAGE(F$5:F2139)</f>
        <v/>
      </c>
      <c r="L2139" s="37">
        <f>SUM(F$5:F2139)/SUM(E$5:E2139)</f>
        <v/>
      </c>
    </row>
    <row r="2140">
      <c r="A2140" s="29" t="n">
        <v>45974</v>
      </c>
      <c r="B2140" s="37" t="inlineStr">
        <is>
          <t>JOB-3136</t>
        </is>
      </c>
      <c r="C2140" s="34" t="n">
        <v>1</v>
      </c>
      <c r="D2140" s="37" t="inlineStr">
        <is>
          <t>Tech C</t>
        </is>
      </c>
      <c r="E2140" s="35" t="n">
        <v>0.6</v>
      </c>
      <c r="F2140" s="35" t="n">
        <v>0.5</v>
      </c>
      <c r="G2140" s="37" t="inlineStr">
        <is>
          <t>Y</t>
        </is>
      </c>
      <c r="H2140" s="37" t="inlineStr">
        <is>
          <t>N</t>
        </is>
      </c>
      <c r="I2140" s="37">
        <f>COUNTIF(G$5:G2140,"Y")/COUNTA(G$5:G2140)</f>
        <v/>
      </c>
      <c r="J2140" s="37">
        <f>COUNTIF(H$5:H2140,"Y")/COUNTA(H$5:H2140)</f>
        <v/>
      </c>
      <c r="K2140" s="37">
        <f>AVERAGE(F$5:F2140)</f>
        <v/>
      </c>
      <c r="L2140" s="37">
        <f>SUM(F$5:F2140)/SUM(E$5:E2140)</f>
        <v/>
      </c>
    </row>
    <row r="2141">
      <c r="A2141" s="29" t="n">
        <v>45975</v>
      </c>
      <c r="B2141" s="37" t="inlineStr">
        <is>
          <t>JOB-3137</t>
        </is>
      </c>
      <c r="C2141" s="34" t="n">
        <v>1</v>
      </c>
      <c r="D2141" s="37" t="inlineStr">
        <is>
          <t>Tech G</t>
        </is>
      </c>
      <c r="E2141" s="35" t="n">
        <v>0.6</v>
      </c>
      <c r="F2141" s="35" t="n">
        <v>0.5</v>
      </c>
      <c r="G2141" s="37" t="inlineStr">
        <is>
          <t>Y</t>
        </is>
      </c>
      <c r="H2141" s="37" t="inlineStr">
        <is>
          <t>N</t>
        </is>
      </c>
      <c r="I2141" s="37">
        <f>COUNTIF(G$5:G2141,"Y")/COUNTA(G$5:G2141)</f>
        <v/>
      </c>
      <c r="J2141" s="37">
        <f>COUNTIF(H$5:H2141,"Y")/COUNTA(H$5:H2141)</f>
        <v/>
      </c>
      <c r="K2141" s="37">
        <f>AVERAGE(F$5:F2141)</f>
        <v/>
      </c>
      <c r="L2141" s="37">
        <f>SUM(F$5:F2141)/SUM(E$5:E2141)</f>
        <v/>
      </c>
      <c r="M2141" s="37" t="n">
        <v>4</v>
      </c>
    </row>
    <row r="2142">
      <c r="A2142" s="29" t="n">
        <v>45978</v>
      </c>
      <c r="B2142" s="37" t="inlineStr">
        <is>
          <t>JOB-3138</t>
        </is>
      </c>
      <c r="C2142" s="34" t="n">
        <v>1</v>
      </c>
      <c r="D2142" s="37" t="inlineStr">
        <is>
          <t>Tech C</t>
        </is>
      </c>
      <c r="E2142" s="35" t="n">
        <v>1.7</v>
      </c>
      <c r="F2142" s="35" t="n">
        <v>1.4</v>
      </c>
      <c r="G2142" s="37" t="inlineStr">
        <is>
          <t>Y</t>
        </is>
      </c>
      <c r="H2142" s="37" t="inlineStr">
        <is>
          <t>N</t>
        </is>
      </c>
      <c r="I2142" s="37">
        <f>COUNTIF(G$5:G2142,"Y")/COUNTA(G$5:G2142)</f>
        <v/>
      </c>
      <c r="J2142" s="37">
        <f>COUNTIF(H$5:H2142,"Y")/COUNTA(H$5:H2142)</f>
        <v/>
      </c>
      <c r="K2142" s="37">
        <f>AVERAGE(F$5:F2142)</f>
        <v/>
      </c>
      <c r="L2142" s="37">
        <f>SUM(F$5:F2142)/SUM(E$5:E2142)</f>
        <v/>
      </c>
    </row>
    <row r="2143">
      <c r="A2143" s="29" t="n">
        <v>45979</v>
      </c>
      <c r="B2143" s="37" t="inlineStr">
        <is>
          <t>JOB-3139</t>
        </is>
      </c>
      <c r="C2143" s="34" t="n">
        <v>1</v>
      </c>
      <c r="D2143" s="37" t="inlineStr">
        <is>
          <t>Tech A</t>
        </is>
      </c>
      <c r="E2143" s="35" t="n">
        <v>4.2</v>
      </c>
      <c r="F2143" s="35" t="n">
        <v>3</v>
      </c>
      <c r="G2143" s="37" t="inlineStr">
        <is>
          <t>Y</t>
        </is>
      </c>
      <c r="H2143" s="37" t="inlineStr">
        <is>
          <t>N</t>
        </is>
      </c>
      <c r="I2143" s="37">
        <f>COUNTIF(G$5:G2143,"Y")/COUNTA(G$5:G2143)</f>
        <v/>
      </c>
      <c r="J2143" s="37">
        <f>COUNTIF(H$5:H2143,"Y")/COUNTA(H$5:H2143)</f>
        <v/>
      </c>
      <c r="K2143" s="37">
        <f>AVERAGE(F$5:F2143)</f>
        <v/>
      </c>
      <c r="L2143" s="37">
        <f>SUM(F$5:F2143)/SUM(E$5:E2143)</f>
        <v/>
      </c>
    </row>
    <row r="2144">
      <c r="A2144" s="29" t="n">
        <v>45980</v>
      </c>
      <c r="B2144" s="37" t="inlineStr">
        <is>
          <t>JOB-3140</t>
        </is>
      </c>
      <c r="C2144" s="34" t="n">
        <v>1</v>
      </c>
      <c r="D2144" s="37" t="inlineStr">
        <is>
          <t>Tech H</t>
        </is>
      </c>
      <c r="E2144" s="35" t="n">
        <v>2.9</v>
      </c>
      <c r="F2144" s="35" t="n">
        <v>2.2</v>
      </c>
      <c r="G2144" s="37" t="inlineStr">
        <is>
          <t>N</t>
        </is>
      </c>
      <c r="H2144" s="37" t="inlineStr">
        <is>
          <t>N</t>
        </is>
      </c>
      <c r="I2144" s="37">
        <f>COUNTIF(G$5:G2144,"Y")/COUNTA(G$5:G2144)</f>
        <v/>
      </c>
      <c r="J2144" s="37">
        <f>COUNTIF(H$5:H2144,"Y")/COUNTA(H$5:H2144)</f>
        <v/>
      </c>
      <c r="K2144" s="37">
        <f>AVERAGE(F$5:F2144)</f>
        <v/>
      </c>
      <c r="L2144" s="37">
        <f>SUM(F$5:F2144)/SUM(E$5:E2144)</f>
        <v/>
      </c>
    </row>
    <row r="2145">
      <c r="A2145" s="29" t="n">
        <v>45981</v>
      </c>
      <c r="B2145" s="37" t="inlineStr">
        <is>
          <t>JOB-3141</t>
        </is>
      </c>
      <c r="C2145" s="34" t="n">
        <v>1</v>
      </c>
      <c r="D2145" s="37" t="inlineStr">
        <is>
          <t>Tech G</t>
        </is>
      </c>
      <c r="E2145" s="35" t="n">
        <v>3.8</v>
      </c>
      <c r="F2145" s="35" t="n">
        <v>3.2</v>
      </c>
      <c r="G2145" s="37" t="inlineStr">
        <is>
          <t>Y</t>
        </is>
      </c>
      <c r="H2145" s="37" t="inlineStr">
        <is>
          <t>N</t>
        </is>
      </c>
      <c r="I2145" s="37">
        <f>COUNTIF(G$5:G2145,"Y")/COUNTA(G$5:G2145)</f>
        <v/>
      </c>
      <c r="J2145" s="37">
        <f>COUNTIF(H$5:H2145,"Y")/COUNTA(H$5:H2145)</f>
        <v/>
      </c>
      <c r="K2145" s="37">
        <f>AVERAGE(F$5:F2145)</f>
        <v/>
      </c>
      <c r="L2145" s="37">
        <f>SUM(F$5:F2145)/SUM(E$5:E2145)</f>
        <v/>
      </c>
    </row>
    <row r="2146">
      <c r="A2146" s="29" t="n">
        <v>45982</v>
      </c>
      <c r="B2146" s="37" t="inlineStr">
        <is>
          <t>JOB-3142</t>
        </is>
      </c>
      <c r="C2146" s="34" t="n">
        <v>1</v>
      </c>
      <c r="D2146" s="37" t="inlineStr">
        <is>
          <t>Tech A</t>
        </is>
      </c>
      <c r="E2146" s="35" t="n">
        <v>4.1</v>
      </c>
      <c r="F2146" s="35" t="n">
        <v>3</v>
      </c>
      <c r="G2146" s="37" t="inlineStr">
        <is>
          <t>Y</t>
        </is>
      </c>
      <c r="H2146" s="37" t="inlineStr">
        <is>
          <t>N</t>
        </is>
      </c>
      <c r="I2146" s="37">
        <f>COUNTIF(G$5:G2146,"Y")/COUNTA(G$5:G2146)</f>
        <v/>
      </c>
      <c r="J2146" s="37">
        <f>COUNTIF(H$5:H2146,"Y")/COUNTA(H$5:H2146)</f>
        <v/>
      </c>
      <c r="K2146" s="37">
        <f>AVERAGE(F$5:F2146)</f>
        <v/>
      </c>
      <c r="L2146" s="37">
        <f>SUM(F$5:F2146)/SUM(E$5:E2146)</f>
        <v/>
      </c>
    </row>
    <row r="2147">
      <c r="A2147" s="29" t="n">
        <v>45978</v>
      </c>
      <c r="B2147" s="37" t="inlineStr">
        <is>
          <t>JOB-3143</t>
        </is>
      </c>
      <c r="C2147" s="34" t="n">
        <v>1</v>
      </c>
      <c r="D2147" s="37" t="inlineStr">
        <is>
          <t>Tech G</t>
        </is>
      </c>
      <c r="E2147" s="35" t="n">
        <v>2.4</v>
      </c>
      <c r="F2147" s="35" t="n">
        <v>1.6</v>
      </c>
      <c r="G2147" s="37" t="inlineStr">
        <is>
          <t>Y</t>
        </is>
      </c>
      <c r="H2147" s="37" t="inlineStr">
        <is>
          <t>N</t>
        </is>
      </c>
      <c r="I2147" s="37">
        <f>COUNTIF(G$5:G2147,"Y")/COUNTA(G$5:G2147)</f>
        <v/>
      </c>
      <c r="J2147" s="37">
        <f>COUNTIF(H$5:H2147,"Y")/COUNTA(H$5:H2147)</f>
        <v/>
      </c>
      <c r="K2147" s="37">
        <f>AVERAGE(F$5:F2147)</f>
        <v/>
      </c>
      <c r="L2147" s="37">
        <f>SUM(F$5:F2147)/SUM(E$5:E2147)</f>
        <v/>
      </c>
    </row>
    <row r="2148">
      <c r="A2148" s="29" t="n">
        <v>45979</v>
      </c>
      <c r="B2148" s="37" t="inlineStr">
        <is>
          <t>JOB-3144</t>
        </is>
      </c>
      <c r="C2148" s="34" t="n">
        <v>1</v>
      </c>
      <c r="D2148" s="37" t="inlineStr">
        <is>
          <t>Tech C</t>
        </is>
      </c>
      <c r="E2148" s="35" t="n">
        <v>3.3</v>
      </c>
      <c r="F2148" s="35" t="n">
        <v>2.8</v>
      </c>
      <c r="G2148" s="37" t="inlineStr">
        <is>
          <t>Y</t>
        </is>
      </c>
      <c r="H2148" s="37" t="inlineStr">
        <is>
          <t>N</t>
        </is>
      </c>
      <c r="I2148" s="37">
        <f>COUNTIF(G$5:G2148,"Y")/COUNTA(G$5:G2148)</f>
        <v/>
      </c>
      <c r="J2148" s="37">
        <f>COUNTIF(H$5:H2148,"Y")/COUNTA(H$5:H2148)</f>
        <v/>
      </c>
      <c r="K2148" s="37">
        <f>AVERAGE(F$5:F2148)</f>
        <v/>
      </c>
      <c r="L2148" s="37">
        <f>SUM(F$5:F2148)/SUM(E$5:E2148)</f>
        <v/>
      </c>
    </row>
    <row r="2149">
      <c r="A2149" s="29" t="n">
        <v>45980</v>
      </c>
      <c r="B2149" s="37" t="inlineStr">
        <is>
          <t>JOB-3145</t>
        </is>
      </c>
      <c r="C2149" s="34" t="n">
        <v>1</v>
      </c>
      <c r="D2149" s="37" t="inlineStr">
        <is>
          <t>Tech B</t>
        </is>
      </c>
      <c r="E2149" s="35" t="n">
        <v>1.8</v>
      </c>
      <c r="F2149" s="35" t="n">
        <v>1.4</v>
      </c>
      <c r="G2149" s="37" t="inlineStr">
        <is>
          <t>Y</t>
        </is>
      </c>
      <c r="H2149" s="37" t="inlineStr">
        <is>
          <t>N</t>
        </is>
      </c>
      <c r="I2149" s="37">
        <f>COUNTIF(G$5:G2149,"Y")/COUNTA(G$5:G2149)</f>
        <v/>
      </c>
      <c r="J2149" s="37">
        <f>COUNTIF(H$5:H2149,"Y")/COUNTA(H$5:H2149)</f>
        <v/>
      </c>
      <c r="K2149" s="37">
        <f>AVERAGE(F$5:F2149)</f>
        <v/>
      </c>
      <c r="L2149" s="37">
        <f>SUM(F$5:F2149)/SUM(E$5:E2149)</f>
        <v/>
      </c>
    </row>
    <row r="2150">
      <c r="A2150" s="29" t="n">
        <v>45981</v>
      </c>
      <c r="B2150" s="37" t="inlineStr">
        <is>
          <t>JOB-3146</t>
        </is>
      </c>
      <c r="C2150" s="34" t="n">
        <v>1</v>
      </c>
      <c r="D2150" s="37" t="inlineStr">
        <is>
          <t>Tech H</t>
        </is>
      </c>
      <c r="E2150" s="35" t="n">
        <v>2.2</v>
      </c>
      <c r="F2150" s="35" t="n">
        <v>1.8</v>
      </c>
      <c r="G2150" s="37" t="inlineStr">
        <is>
          <t>Y</t>
        </is>
      </c>
      <c r="H2150" s="37" t="inlineStr">
        <is>
          <t>N</t>
        </is>
      </c>
      <c r="I2150" s="37">
        <f>COUNTIF(G$5:G2150,"Y")/COUNTA(G$5:G2150)</f>
        <v/>
      </c>
      <c r="J2150" s="37">
        <f>COUNTIF(H$5:H2150,"Y")/COUNTA(H$5:H2150)</f>
        <v/>
      </c>
      <c r="K2150" s="37">
        <f>AVERAGE(F$5:F2150)</f>
        <v/>
      </c>
      <c r="L2150" s="37">
        <f>SUM(F$5:F2150)/SUM(E$5:E2150)</f>
        <v/>
      </c>
    </row>
    <row r="2151">
      <c r="A2151" s="29" t="n">
        <v>45982</v>
      </c>
      <c r="B2151" s="37" t="inlineStr">
        <is>
          <t>JOB-3147</t>
        </is>
      </c>
      <c r="C2151" s="34" t="n">
        <v>1</v>
      </c>
      <c r="D2151" s="37" t="inlineStr">
        <is>
          <t>Tech C</t>
        </is>
      </c>
      <c r="E2151" s="35" t="n">
        <v>1.6</v>
      </c>
      <c r="F2151" s="35" t="n">
        <v>1.4</v>
      </c>
      <c r="G2151" s="37" t="inlineStr">
        <is>
          <t>Y</t>
        </is>
      </c>
      <c r="H2151" s="37" t="inlineStr">
        <is>
          <t>N</t>
        </is>
      </c>
      <c r="I2151" s="37">
        <f>COUNTIF(G$5:G2151,"Y")/COUNTA(G$5:G2151)</f>
        <v/>
      </c>
      <c r="J2151" s="37">
        <f>COUNTIF(H$5:H2151,"Y")/COUNTA(H$5:H2151)</f>
        <v/>
      </c>
      <c r="K2151" s="37">
        <f>AVERAGE(F$5:F2151)</f>
        <v/>
      </c>
      <c r="L2151" s="37">
        <f>SUM(F$5:F2151)/SUM(E$5:E2151)</f>
        <v/>
      </c>
    </row>
    <row r="2152">
      <c r="A2152" s="29" t="n">
        <v>45978</v>
      </c>
      <c r="B2152" s="37" t="inlineStr">
        <is>
          <t>JOB-3148</t>
        </is>
      </c>
      <c r="C2152" s="34" t="n">
        <v>1</v>
      </c>
      <c r="D2152" s="37" t="inlineStr">
        <is>
          <t>Tech B</t>
        </is>
      </c>
      <c r="E2152" s="35" t="n">
        <v>2.4</v>
      </c>
      <c r="F2152" s="35" t="n">
        <v>1.6</v>
      </c>
      <c r="G2152" s="37" t="inlineStr">
        <is>
          <t>Y</t>
        </is>
      </c>
      <c r="H2152" s="37" t="inlineStr">
        <is>
          <t>N</t>
        </is>
      </c>
      <c r="I2152" s="37">
        <f>COUNTIF(G$5:G2152,"Y")/COUNTA(G$5:G2152)</f>
        <v/>
      </c>
      <c r="J2152" s="37">
        <f>COUNTIF(H$5:H2152,"Y")/COUNTA(H$5:H2152)</f>
        <v/>
      </c>
      <c r="K2152" s="37">
        <f>AVERAGE(F$5:F2152)</f>
        <v/>
      </c>
      <c r="L2152" s="37">
        <f>SUM(F$5:F2152)/SUM(E$5:E2152)</f>
        <v/>
      </c>
    </row>
    <row r="2153">
      <c r="A2153" s="29" t="n">
        <v>45979</v>
      </c>
      <c r="B2153" s="37" t="inlineStr">
        <is>
          <t>JOB-3149</t>
        </is>
      </c>
      <c r="C2153" s="34" t="n">
        <v>1</v>
      </c>
      <c r="D2153" s="37" t="inlineStr">
        <is>
          <t>Tech C</t>
        </is>
      </c>
      <c r="E2153" s="35" t="n">
        <v>2.8</v>
      </c>
      <c r="F2153" s="35" t="n">
        <v>2.1</v>
      </c>
      <c r="G2153" s="37" t="inlineStr">
        <is>
          <t>Y</t>
        </is>
      </c>
      <c r="H2153" s="37" t="inlineStr">
        <is>
          <t>N</t>
        </is>
      </c>
      <c r="I2153" s="37">
        <f>COUNTIF(G$5:G2153,"Y")/COUNTA(G$5:G2153)</f>
        <v/>
      </c>
      <c r="J2153" s="37">
        <f>COUNTIF(H$5:H2153,"Y")/COUNTA(H$5:H2153)</f>
        <v/>
      </c>
      <c r="K2153" s="37">
        <f>AVERAGE(F$5:F2153)</f>
        <v/>
      </c>
      <c r="L2153" s="37">
        <f>SUM(F$5:F2153)/SUM(E$5:E2153)</f>
        <v/>
      </c>
    </row>
    <row r="2154">
      <c r="A2154" s="29" t="n">
        <v>45980</v>
      </c>
      <c r="B2154" s="37" t="inlineStr">
        <is>
          <t>JOB-3150</t>
        </is>
      </c>
      <c r="C2154" s="34" t="n">
        <v>1</v>
      </c>
      <c r="D2154" s="37" t="inlineStr">
        <is>
          <t>Tech A</t>
        </is>
      </c>
      <c r="E2154" s="35" t="n">
        <v>4.6</v>
      </c>
      <c r="F2154" s="35" t="n">
        <v>3</v>
      </c>
      <c r="G2154" s="37" t="inlineStr">
        <is>
          <t>N</t>
        </is>
      </c>
      <c r="H2154" s="37" t="inlineStr">
        <is>
          <t>N</t>
        </is>
      </c>
      <c r="I2154" s="37">
        <f>COUNTIF(G$5:G2154,"Y")/COUNTA(G$5:G2154)</f>
        <v/>
      </c>
      <c r="J2154" s="37">
        <f>COUNTIF(H$5:H2154,"Y")/COUNTA(H$5:H2154)</f>
        <v/>
      </c>
      <c r="K2154" s="37">
        <f>AVERAGE(F$5:F2154)</f>
        <v/>
      </c>
      <c r="L2154" s="37">
        <f>SUM(F$5:F2154)/SUM(E$5:E2154)</f>
        <v/>
      </c>
    </row>
    <row r="2155">
      <c r="A2155" s="29" t="n">
        <v>45981</v>
      </c>
      <c r="B2155" s="37" t="inlineStr">
        <is>
          <t>JOB-3151</t>
        </is>
      </c>
      <c r="C2155" s="34" t="n">
        <v>1</v>
      </c>
      <c r="D2155" s="37" t="inlineStr">
        <is>
          <t>Tech F</t>
        </is>
      </c>
      <c r="E2155" s="35" t="n">
        <v>2.2</v>
      </c>
      <c r="F2155" s="35" t="n">
        <v>1.7</v>
      </c>
      <c r="G2155" s="37" t="inlineStr">
        <is>
          <t>Y</t>
        </is>
      </c>
      <c r="H2155" s="37" t="inlineStr">
        <is>
          <t>N</t>
        </is>
      </c>
      <c r="I2155" s="37">
        <f>COUNTIF(G$5:G2155,"Y")/COUNTA(G$5:G2155)</f>
        <v/>
      </c>
      <c r="J2155" s="37">
        <f>COUNTIF(H$5:H2155,"Y")/COUNTA(H$5:H2155)</f>
        <v/>
      </c>
      <c r="K2155" s="37">
        <f>AVERAGE(F$5:F2155)</f>
        <v/>
      </c>
      <c r="L2155" s="37">
        <f>SUM(F$5:F2155)/SUM(E$5:E2155)</f>
        <v/>
      </c>
    </row>
    <row r="2156">
      <c r="A2156" s="29" t="n">
        <v>45982</v>
      </c>
      <c r="B2156" s="37" t="inlineStr">
        <is>
          <t>JOB-3152</t>
        </is>
      </c>
      <c r="C2156" s="34" t="n">
        <v>1</v>
      </c>
      <c r="D2156" s="37" t="inlineStr">
        <is>
          <t>Tech H</t>
        </is>
      </c>
      <c r="E2156" s="35" t="n">
        <v>1.6</v>
      </c>
      <c r="F2156" s="35" t="n">
        <v>1.2</v>
      </c>
      <c r="G2156" s="37" t="inlineStr">
        <is>
          <t>N</t>
        </is>
      </c>
      <c r="H2156" s="37" t="inlineStr">
        <is>
          <t>N</t>
        </is>
      </c>
      <c r="I2156" s="37">
        <f>COUNTIF(G$5:G2156,"Y")/COUNTA(G$5:G2156)</f>
        <v/>
      </c>
      <c r="J2156" s="37">
        <f>COUNTIF(H$5:H2156,"Y")/COUNTA(H$5:H2156)</f>
        <v/>
      </c>
      <c r="K2156" s="37">
        <f>AVERAGE(F$5:F2156)</f>
        <v/>
      </c>
      <c r="L2156" s="37">
        <f>SUM(F$5:F2156)/SUM(E$5:E2156)</f>
        <v/>
      </c>
    </row>
    <row r="2157">
      <c r="A2157" s="29" t="n">
        <v>45978</v>
      </c>
      <c r="B2157" s="37" t="inlineStr">
        <is>
          <t>JOB-3153</t>
        </is>
      </c>
      <c r="C2157" s="34" t="n">
        <v>1</v>
      </c>
      <c r="D2157" s="37" t="inlineStr">
        <is>
          <t>Tech G</t>
        </is>
      </c>
      <c r="E2157" s="35" t="n">
        <v>1.4</v>
      </c>
      <c r="F2157" s="35" t="n">
        <v>1.2</v>
      </c>
      <c r="G2157" s="37" t="inlineStr">
        <is>
          <t>N</t>
        </is>
      </c>
      <c r="H2157" s="37" t="inlineStr">
        <is>
          <t>N</t>
        </is>
      </c>
      <c r="I2157" s="37">
        <f>COUNTIF(G$5:G2157,"Y")/COUNTA(G$5:G2157)</f>
        <v/>
      </c>
      <c r="J2157" s="37">
        <f>COUNTIF(H$5:H2157,"Y")/COUNTA(H$5:H2157)</f>
        <v/>
      </c>
      <c r="K2157" s="37">
        <f>AVERAGE(F$5:F2157)</f>
        <v/>
      </c>
      <c r="L2157" s="37">
        <f>SUM(F$5:F2157)/SUM(E$5:E2157)</f>
        <v/>
      </c>
    </row>
    <row r="2158">
      <c r="A2158" s="29" t="n">
        <v>45979</v>
      </c>
      <c r="B2158" s="37" t="inlineStr">
        <is>
          <t>JOB-3154</t>
        </is>
      </c>
      <c r="C2158" s="34" t="n">
        <v>1</v>
      </c>
      <c r="D2158" s="37" t="inlineStr">
        <is>
          <t>Tech G</t>
        </is>
      </c>
      <c r="E2158" s="35" t="n">
        <v>3</v>
      </c>
      <c r="F2158" s="35" t="n">
        <v>2</v>
      </c>
      <c r="G2158" s="37" t="inlineStr">
        <is>
          <t>Y</t>
        </is>
      </c>
      <c r="H2158" s="37" t="inlineStr">
        <is>
          <t>N</t>
        </is>
      </c>
      <c r="I2158" s="37">
        <f>COUNTIF(G$5:G2158,"Y")/COUNTA(G$5:G2158)</f>
        <v/>
      </c>
      <c r="J2158" s="37">
        <f>COUNTIF(H$5:H2158,"Y")/COUNTA(H$5:H2158)</f>
        <v/>
      </c>
      <c r="K2158" s="37">
        <f>AVERAGE(F$5:F2158)</f>
        <v/>
      </c>
      <c r="L2158" s="37">
        <f>SUM(F$5:F2158)/SUM(E$5:E2158)</f>
        <v/>
      </c>
    </row>
    <row r="2159">
      <c r="A2159" s="29" t="n">
        <v>45980</v>
      </c>
      <c r="B2159" s="37" t="inlineStr">
        <is>
          <t>JOB-3155</t>
        </is>
      </c>
      <c r="C2159" s="34" t="n">
        <v>1</v>
      </c>
      <c r="D2159" s="37" t="inlineStr">
        <is>
          <t>Tech G</t>
        </is>
      </c>
      <c r="E2159" s="35" t="n">
        <v>3.7</v>
      </c>
      <c r="F2159" s="35" t="n">
        <v>3</v>
      </c>
      <c r="G2159" s="37" t="inlineStr">
        <is>
          <t>Y</t>
        </is>
      </c>
      <c r="H2159" s="37" t="inlineStr">
        <is>
          <t>N</t>
        </is>
      </c>
      <c r="I2159" s="37">
        <f>COUNTIF(G$5:G2159,"Y")/COUNTA(G$5:G2159)</f>
        <v/>
      </c>
      <c r="J2159" s="37">
        <f>COUNTIF(H$5:H2159,"Y")/COUNTA(H$5:H2159)</f>
        <v/>
      </c>
      <c r="K2159" s="37">
        <f>AVERAGE(F$5:F2159)</f>
        <v/>
      </c>
      <c r="L2159" s="37">
        <f>SUM(F$5:F2159)/SUM(E$5:E2159)</f>
        <v/>
      </c>
    </row>
    <row r="2160">
      <c r="A2160" s="29" t="n">
        <v>45981</v>
      </c>
      <c r="B2160" s="37" t="inlineStr">
        <is>
          <t>JOB-3156</t>
        </is>
      </c>
      <c r="C2160" s="34" t="n">
        <v>1</v>
      </c>
      <c r="D2160" s="37" t="inlineStr">
        <is>
          <t>Tech F</t>
        </is>
      </c>
      <c r="E2160" s="35" t="n">
        <v>4.2</v>
      </c>
      <c r="F2160" s="35" t="n">
        <v>3.5</v>
      </c>
      <c r="G2160" s="37" t="inlineStr">
        <is>
          <t>Y</t>
        </is>
      </c>
      <c r="H2160" s="37" t="inlineStr">
        <is>
          <t>N</t>
        </is>
      </c>
      <c r="I2160" s="37">
        <f>COUNTIF(G$5:G2160,"Y")/COUNTA(G$5:G2160)</f>
        <v/>
      </c>
      <c r="J2160" s="37">
        <f>COUNTIF(H$5:H2160,"Y")/COUNTA(H$5:H2160)</f>
        <v/>
      </c>
      <c r="K2160" s="37">
        <f>AVERAGE(F$5:F2160)</f>
        <v/>
      </c>
      <c r="L2160" s="37">
        <f>SUM(F$5:F2160)/SUM(E$5:E2160)</f>
        <v/>
      </c>
    </row>
    <row r="2161">
      <c r="A2161" s="29" t="n">
        <v>45982</v>
      </c>
      <c r="B2161" s="37" t="inlineStr">
        <is>
          <t>JOB-3157</t>
        </is>
      </c>
      <c r="C2161" s="34" t="n">
        <v>1</v>
      </c>
      <c r="D2161" s="37" t="inlineStr">
        <is>
          <t>Tech A</t>
        </is>
      </c>
      <c r="E2161" s="35" t="n">
        <v>1.5</v>
      </c>
      <c r="F2161" s="35" t="n">
        <v>1.1</v>
      </c>
      <c r="G2161" s="37" t="inlineStr">
        <is>
          <t>Y</t>
        </is>
      </c>
      <c r="H2161" s="37" t="inlineStr">
        <is>
          <t>N</t>
        </is>
      </c>
      <c r="I2161" s="37">
        <f>COUNTIF(G$5:G2161,"Y")/COUNTA(G$5:G2161)</f>
        <v/>
      </c>
      <c r="J2161" s="37">
        <f>COUNTIF(H$5:H2161,"Y")/COUNTA(H$5:H2161)</f>
        <v/>
      </c>
      <c r="K2161" s="37">
        <f>AVERAGE(F$5:F2161)</f>
        <v/>
      </c>
      <c r="L2161" s="37">
        <f>SUM(F$5:F2161)/SUM(E$5:E2161)</f>
        <v/>
      </c>
    </row>
    <row r="2162">
      <c r="A2162" s="29" t="n">
        <v>45978</v>
      </c>
      <c r="B2162" s="37" t="inlineStr">
        <is>
          <t>JOB-3158</t>
        </is>
      </c>
      <c r="C2162" s="34" t="n">
        <v>1</v>
      </c>
      <c r="D2162" s="37" t="inlineStr">
        <is>
          <t>Tech H</t>
        </is>
      </c>
      <c r="E2162" s="35" t="n">
        <v>2.4</v>
      </c>
      <c r="F2162" s="35" t="n">
        <v>1.9</v>
      </c>
      <c r="G2162" s="37" t="inlineStr">
        <is>
          <t>Y</t>
        </is>
      </c>
      <c r="H2162" s="37" t="inlineStr">
        <is>
          <t>N</t>
        </is>
      </c>
      <c r="I2162" s="37">
        <f>COUNTIF(G$5:G2162,"Y")/COUNTA(G$5:G2162)</f>
        <v/>
      </c>
      <c r="J2162" s="37">
        <f>COUNTIF(H$5:H2162,"Y")/COUNTA(H$5:H2162)</f>
        <v/>
      </c>
      <c r="K2162" s="37">
        <f>AVERAGE(F$5:F2162)</f>
        <v/>
      </c>
      <c r="L2162" s="37">
        <f>SUM(F$5:F2162)/SUM(E$5:E2162)</f>
        <v/>
      </c>
    </row>
    <row r="2163">
      <c r="A2163" s="29" t="n">
        <v>45979</v>
      </c>
      <c r="B2163" s="37" t="inlineStr">
        <is>
          <t>JOB-3159</t>
        </is>
      </c>
      <c r="C2163" s="34" t="n">
        <v>1</v>
      </c>
      <c r="D2163" s="37" t="inlineStr">
        <is>
          <t>Tech H</t>
        </is>
      </c>
      <c r="E2163" s="35" t="n">
        <v>2.5</v>
      </c>
      <c r="F2163" s="35" t="n">
        <v>1.8</v>
      </c>
      <c r="G2163" s="37" t="inlineStr">
        <is>
          <t>Y</t>
        </is>
      </c>
      <c r="H2163" s="37" t="inlineStr">
        <is>
          <t>N</t>
        </is>
      </c>
      <c r="I2163" s="37">
        <f>COUNTIF(G$5:G2163,"Y")/COUNTA(G$5:G2163)</f>
        <v/>
      </c>
      <c r="J2163" s="37">
        <f>COUNTIF(H$5:H2163,"Y")/COUNTA(H$5:H2163)</f>
        <v/>
      </c>
      <c r="K2163" s="37">
        <f>AVERAGE(F$5:F2163)</f>
        <v/>
      </c>
      <c r="L2163" s="37">
        <f>SUM(F$5:F2163)/SUM(E$5:E2163)</f>
        <v/>
      </c>
    </row>
    <row r="2164">
      <c r="A2164" s="29" t="n">
        <v>45980</v>
      </c>
      <c r="B2164" s="37" t="inlineStr">
        <is>
          <t>JOB-3160</t>
        </is>
      </c>
      <c r="C2164" s="34" t="n">
        <v>1</v>
      </c>
      <c r="D2164" s="37" t="inlineStr">
        <is>
          <t>Tech H</t>
        </is>
      </c>
      <c r="E2164" s="35" t="n">
        <v>2.7</v>
      </c>
      <c r="F2164" s="35" t="n">
        <v>2.2</v>
      </c>
      <c r="G2164" s="37" t="inlineStr">
        <is>
          <t>Y</t>
        </is>
      </c>
      <c r="H2164" s="37" t="inlineStr">
        <is>
          <t>N</t>
        </is>
      </c>
      <c r="I2164" s="37">
        <f>COUNTIF(G$5:G2164,"Y")/COUNTA(G$5:G2164)</f>
        <v/>
      </c>
      <c r="J2164" s="37">
        <f>COUNTIF(H$5:H2164,"Y")/COUNTA(H$5:H2164)</f>
        <v/>
      </c>
      <c r="K2164" s="37">
        <f>AVERAGE(F$5:F2164)</f>
        <v/>
      </c>
      <c r="L2164" s="37">
        <f>SUM(F$5:F2164)/SUM(E$5:E2164)</f>
        <v/>
      </c>
    </row>
    <row r="2165">
      <c r="A2165" s="29" t="n">
        <v>45981</v>
      </c>
      <c r="B2165" s="37" t="inlineStr">
        <is>
          <t>JOB-3161</t>
        </is>
      </c>
      <c r="C2165" s="34" t="n">
        <v>1</v>
      </c>
      <c r="D2165" s="37" t="inlineStr">
        <is>
          <t>Tech D</t>
        </is>
      </c>
      <c r="E2165" s="35" t="n">
        <v>3</v>
      </c>
      <c r="F2165" s="35" t="n">
        <v>2.4</v>
      </c>
      <c r="G2165" s="37" t="inlineStr">
        <is>
          <t>Y</t>
        </is>
      </c>
      <c r="H2165" s="37" t="inlineStr">
        <is>
          <t>N</t>
        </is>
      </c>
      <c r="I2165" s="37">
        <f>COUNTIF(G$5:G2165,"Y")/COUNTA(G$5:G2165)</f>
        <v/>
      </c>
      <c r="J2165" s="37">
        <f>COUNTIF(H$5:H2165,"Y")/COUNTA(H$5:H2165)</f>
        <v/>
      </c>
      <c r="K2165" s="37">
        <f>AVERAGE(F$5:F2165)</f>
        <v/>
      </c>
      <c r="L2165" s="37">
        <f>SUM(F$5:F2165)/SUM(E$5:E2165)</f>
        <v/>
      </c>
    </row>
    <row r="2166">
      <c r="A2166" s="29" t="n">
        <v>45982</v>
      </c>
      <c r="B2166" s="37" t="inlineStr">
        <is>
          <t>JOB-3162</t>
        </is>
      </c>
      <c r="C2166" s="34" t="n">
        <v>1</v>
      </c>
      <c r="D2166" s="37" t="inlineStr">
        <is>
          <t>Tech H</t>
        </is>
      </c>
      <c r="E2166" s="35" t="n">
        <v>2</v>
      </c>
      <c r="F2166" s="35" t="n">
        <v>1.4</v>
      </c>
      <c r="G2166" s="37" t="inlineStr">
        <is>
          <t>Y</t>
        </is>
      </c>
      <c r="H2166" s="37" t="inlineStr">
        <is>
          <t>N</t>
        </is>
      </c>
      <c r="I2166" s="37">
        <f>COUNTIF(G$5:G2166,"Y")/COUNTA(G$5:G2166)</f>
        <v/>
      </c>
      <c r="J2166" s="37">
        <f>COUNTIF(H$5:H2166,"Y")/COUNTA(H$5:H2166)</f>
        <v/>
      </c>
      <c r="K2166" s="37">
        <f>AVERAGE(F$5:F2166)</f>
        <v/>
      </c>
      <c r="L2166" s="37">
        <f>SUM(F$5:F2166)/SUM(E$5:E2166)</f>
        <v/>
      </c>
    </row>
    <row r="2167">
      <c r="A2167" s="29" t="n">
        <v>45978</v>
      </c>
      <c r="B2167" s="37" t="inlineStr">
        <is>
          <t>JOB-3163</t>
        </is>
      </c>
      <c r="C2167" s="34" t="n">
        <v>1</v>
      </c>
      <c r="D2167" s="37" t="inlineStr">
        <is>
          <t>Tech C</t>
        </is>
      </c>
      <c r="E2167" s="35" t="n">
        <v>4.2</v>
      </c>
      <c r="F2167" s="35" t="n">
        <v>2.9</v>
      </c>
      <c r="G2167" s="37" t="inlineStr">
        <is>
          <t>Y</t>
        </is>
      </c>
      <c r="H2167" s="37" t="inlineStr">
        <is>
          <t>N</t>
        </is>
      </c>
      <c r="I2167" s="37">
        <f>COUNTIF(G$5:G2167,"Y")/COUNTA(G$5:G2167)</f>
        <v/>
      </c>
      <c r="J2167" s="37">
        <f>COUNTIF(H$5:H2167,"Y")/COUNTA(H$5:H2167)</f>
        <v/>
      </c>
      <c r="K2167" s="37">
        <f>AVERAGE(F$5:F2167)</f>
        <v/>
      </c>
      <c r="L2167" s="37">
        <f>SUM(F$5:F2167)/SUM(E$5:E2167)</f>
        <v/>
      </c>
    </row>
    <row r="2168">
      <c r="A2168" s="29" t="n">
        <v>45979</v>
      </c>
      <c r="B2168" s="37" t="inlineStr">
        <is>
          <t>JOB-3164</t>
        </is>
      </c>
      <c r="C2168" s="34" t="n">
        <v>1</v>
      </c>
      <c r="D2168" s="37" t="inlineStr">
        <is>
          <t>Tech G</t>
        </is>
      </c>
      <c r="E2168" s="35" t="n">
        <v>1.8</v>
      </c>
      <c r="F2168" s="35" t="n">
        <v>1.4</v>
      </c>
      <c r="G2168" s="37" t="inlineStr">
        <is>
          <t>Y</t>
        </is>
      </c>
      <c r="H2168" s="37" t="inlineStr">
        <is>
          <t>N</t>
        </is>
      </c>
      <c r="I2168" s="37">
        <f>COUNTIF(G$5:G2168,"Y")/COUNTA(G$5:G2168)</f>
        <v/>
      </c>
      <c r="J2168" s="37">
        <f>COUNTIF(H$5:H2168,"Y")/COUNTA(H$5:H2168)</f>
        <v/>
      </c>
      <c r="K2168" s="37">
        <f>AVERAGE(F$5:F2168)</f>
        <v/>
      </c>
      <c r="L2168" s="37">
        <f>SUM(F$5:F2168)/SUM(E$5:E2168)</f>
        <v/>
      </c>
    </row>
    <row r="2169">
      <c r="A2169" s="29" t="n">
        <v>45980</v>
      </c>
      <c r="B2169" s="37" t="inlineStr">
        <is>
          <t>JOB-3165</t>
        </is>
      </c>
      <c r="C2169" s="34" t="n">
        <v>1</v>
      </c>
      <c r="D2169" s="37" t="inlineStr">
        <is>
          <t>Tech H</t>
        </is>
      </c>
      <c r="E2169" s="35" t="n">
        <v>4.7</v>
      </c>
      <c r="F2169" s="35" t="n">
        <v>3.3</v>
      </c>
      <c r="G2169" s="37" t="inlineStr">
        <is>
          <t>N</t>
        </is>
      </c>
      <c r="H2169" s="37" t="inlineStr">
        <is>
          <t>N</t>
        </is>
      </c>
      <c r="I2169" s="37">
        <f>COUNTIF(G$5:G2169,"Y")/COUNTA(G$5:G2169)</f>
        <v/>
      </c>
      <c r="J2169" s="37">
        <f>COUNTIF(H$5:H2169,"Y")/COUNTA(H$5:H2169)</f>
        <v/>
      </c>
      <c r="K2169" s="37">
        <f>AVERAGE(F$5:F2169)</f>
        <v/>
      </c>
      <c r="L2169" s="37">
        <f>SUM(F$5:F2169)/SUM(E$5:E2169)</f>
        <v/>
      </c>
    </row>
    <row r="2170">
      <c r="A2170" s="29" t="n">
        <v>45981</v>
      </c>
      <c r="B2170" s="37" t="inlineStr">
        <is>
          <t>JOB-3166</t>
        </is>
      </c>
      <c r="C2170" s="34" t="n">
        <v>1</v>
      </c>
      <c r="D2170" s="37" t="inlineStr">
        <is>
          <t>Tech H</t>
        </is>
      </c>
      <c r="E2170" s="35" t="n">
        <v>3.7</v>
      </c>
      <c r="F2170" s="35" t="n">
        <v>2.7</v>
      </c>
      <c r="G2170" s="37" t="inlineStr">
        <is>
          <t>Y</t>
        </is>
      </c>
      <c r="H2170" s="37" t="inlineStr">
        <is>
          <t>Y</t>
        </is>
      </c>
      <c r="I2170" s="37">
        <f>COUNTIF(G$5:G2170,"Y")/COUNTA(G$5:G2170)</f>
        <v/>
      </c>
      <c r="J2170" s="37">
        <f>COUNTIF(H$5:H2170,"Y")/COUNTA(H$5:H2170)</f>
        <v/>
      </c>
      <c r="K2170" s="37">
        <f>AVERAGE(F$5:F2170)</f>
        <v/>
      </c>
      <c r="L2170" s="37">
        <f>SUM(F$5:F2170)/SUM(E$5:E2170)</f>
        <v/>
      </c>
    </row>
    <row r="2171">
      <c r="A2171" s="29" t="n">
        <v>45982</v>
      </c>
      <c r="B2171" s="37" t="inlineStr">
        <is>
          <t>JOB-3167</t>
        </is>
      </c>
      <c r="C2171" s="34" t="n">
        <v>1</v>
      </c>
      <c r="D2171" s="37" t="inlineStr">
        <is>
          <t>Tech F</t>
        </is>
      </c>
      <c r="E2171" s="35" t="n">
        <v>2.1</v>
      </c>
      <c r="F2171" s="35" t="n">
        <v>1.7</v>
      </c>
      <c r="G2171" s="37" t="inlineStr">
        <is>
          <t>Y</t>
        </is>
      </c>
      <c r="H2171" s="37" t="inlineStr">
        <is>
          <t>N</t>
        </is>
      </c>
      <c r="I2171" s="37">
        <f>COUNTIF(G$5:G2171,"Y")/COUNTA(G$5:G2171)</f>
        <v/>
      </c>
      <c r="J2171" s="37">
        <f>COUNTIF(H$5:H2171,"Y")/COUNTA(H$5:H2171)</f>
        <v/>
      </c>
      <c r="K2171" s="37">
        <f>AVERAGE(F$5:F2171)</f>
        <v/>
      </c>
      <c r="L2171" s="37">
        <f>SUM(F$5:F2171)/SUM(E$5:E2171)</f>
        <v/>
      </c>
    </row>
    <row r="2172">
      <c r="A2172" s="29" t="n">
        <v>45978</v>
      </c>
      <c r="B2172" s="37" t="inlineStr">
        <is>
          <t>JOB-3168</t>
        </is>
      </c>
      <c r="C2172" s="34" t="n">
        <v>1</v>
      </c>
      <c r="D2172" s="37" t="inlineStr">
        <is>
          <t>Tech F</t>
        </is>
      </c>
      <c r="E2172" s="35" t="n">
        <v>3</v>
      </c>
      <c r="F2172" s="35" t="n">
        <v>2.6</v>
      </c>
      <c r="G2172" s="37" t="inlineStr">
        <is>
          <t>Y</t>
        </is>
      </c>
      <c r="H2172" s="37" t="inlineStr">
        <is>
          <t>N</t>
        </is>
      </c>
      <c r="I2172" s="37">
        <f>COUNTIF(G$5:G2172,"Y")/COUNTA(G$5:G2172)</f>
        <v/>
      </c>
      <c r="J2172" s="37">
        <f>COUNTIF(H$5:H2172,"Y")/COUNTA(H$5:H2172)</f>
        <v/>
      </c>
      <c r="K2172" s="37">
        <f>AVERAGE(F$5:F2172)</f>
        <v/>
      </c>
      <c r="L2172" s="37">
        <f>SUM(F$5:F2172)/SUM(E$5:E2172)</f>
        <v/>
      </c>
    </row>
    <row r="2173">
      <c r="A2173" s="29" t="n">
        <v>45979</v>
      </c>
      <c r="B2173" s="37" t="inlineStr">
        <is>
          <t>JOB-3169</t>
        </is>
      </c>
      <c r="C2173" s="34" t="n">
        <v>1</v>
      </c>
      <c r="D2173" s="37" t="inlineStr">
        <is>
          <t>Tech B</t>
        </is>
      </c>
      <c r="E2173" s="35" t="n">
        <v>1.8</v>
      </c>
      <c r="F2173" s="35" t="n">
        <v>1.3</v>
      </c>
      <c r="G2173" s="37" t="inlineStr">
        <is>
          <t>Y</t>
        </is>
      </c>
      <c r="H2173" s="37" t="inlineStr">
        <is>
          <t>N</t>
        </is>
      </c>
      <c r="I2173" s="37">
        <f>COUNTIF(G$5:G2173,"Y")/COUNTA(G$5:G2173)</f>
        <v/>
      </c>
      <c r="J2173" s="37">
        <f>COUNTIF(H$5:H2173,"Y")/COUNTA(H$5:H2173)</f>
        <v/>
      </c>
      <c r="K2173" s="37">
        <f>AVERAGE(F$5:F2173)</f>
        <v/>
      </c>
      <c r="L2173" s="37">
        <f>SUM(F$5:F2173)/SUM(E$5:E2173)</f>
        <v/>
      </c>
    </row>
    <row r="2174">
      <c r="A2174" s="29" t="n">
        <v>45980</v>
      </c>
      <c r="B2174" s="37" t="inlineStr">
        <is>
          <t>JOB-3170</t>
        </is>
      </c>
      <c r="C2174" s="34" t="n">
        <v>1</v>
      </c>
      <c r="D2174" s="37" t="inlineStr">
        <is>
          <t>Tech G</t>
        </is>
      </c>
      <c r="E2174" s="35" t="n">
        <v>3.1</v>
      </c>
      <c r="F2174" s="35" t="n">
        <v>2.7</v>
      </c>
      <c r="G2174" s="37" t="inlineStr">
        <is>
          <t>Y</t>
        </is>
      </c>
      <c r="H2174" s="37" t="inlineStr">
        <is>
          <t>N</t>
        </is>
      </c>
      <c r="I2174" s="37">
        <f>COUNTIF(G$5:G2174,"Y")/COUNTA(G$5:G2174)</f>
        <v/>
      </c>
      <c r="J2174" s="37">
        <f>COUNTIF(H$5:H2174,"Y")/COUNTA(H$5:H2174)</f>
        <v/>
      </c>
      <c r="K2174" s="37">
        <f>AVERAGE(F$5:F2174)</f>
        <v/>
      </c>
      <c r="L2174" s="37">
        <f>SUM(F$5:F2174)/SUM(E$5:E2174)</f>
        <v/>
      </c>
    </row>
    <row r="2175">
      <c r="A2175" s="29" t="n">
        <v>45981</v>
      </c>
      <c r="B2175" s="37" t="inlineStr">
        <is>
          <t>JOB-3171</t>
        </is>
      </c>
      <c r="C2175" s="34" t="n">
        <v>1</v>
      </c>
      <c r="D2175" s="37" t="inlineStr">
        <is>
          <t>Tech D</t>
        </is>
      </c>
      <c r="E2175" s="35" t="n">
        <v>5.5</v>
      </c>
      <c r="F2175" s="35" t="n">
        <v>3.7</v>
      </c>
      <c r="G2175" s="37" t="inlineStr">
        <is>
          <t>Y</t>
        </is>
      </c>
      <c r="H2175" s="37" t="inlineStr">
        <is>
          <t>N</t>
        </is>
      </c>
      <c r="I2175" s="37">
        <f>COUNTIF(G$5:G2175,"Y")/COUNTA(G$5:G2175)</f>
        <v/>
      </c>
      <c r="J2175" s="37">
        <f>COUNTIF(H$5:H2175,"Y")/COUNTA(H$5:H2175)</f>
        <v/>
      </c>
      <c r="K2175" s="37">
        <f>AVERAGE(F$5:F2175)</f>
        <v/>
      </c>
      <c r="L2175" s="37">
        <f>SUM(F$5:F2175)/SUM(E$5:E2175)</f>
        <v/>
      </c>
    </row>
    <row r="2176">
      <c r="A2176" s="29" t="n">
        <v>45982</v>
      </c>
      <c r="B2176" s="37" t="inlineStr">
        <is>
          <t>JOB-3172</t>
        </is>
      </c>
      <c r="C2176" s="34" t="n">
        <v>1</v>
      </c>
      <c r="D2176" s="37" t="inlineStr">
        <is>
          <t>Tech B</t>
        </is>
      </c>
      <c r="E2176" s="35" t="n">
        <v>4</v>
      </c>
      <c r="F2176" s="35" t="n">
        <v>3.3</v>
      </c>
      <c r="G2176" s="37" t="inlineStr">
        <is>
          <t>Y</t>
        </is>
      </c>
      <c r="H2176" s="37" t="inlineStr">
        <is>
          <t>N</t>
        </is>
      </c>
      <c r="I2176" s="37">
        <f>COUNTIF(G$5:G2176,"Y")/COUNTA(G$5:G2176)</f>
        <v/>
      </c>
      <c r="J2176" s="37">
        <f>COUNTIF(H$5:H2176,"Y")/COUNTA(H$5:H2176)</f>
        <v/>
      </c>
      <c r="K2176" s="37">
        <f>AVERAGE(F$5:F2176)</f>
        <v/>
      </c>
      <c r="L2176" s="37">
        <f>SUM(F$5:F2176)/SUM(E$5:E2176)</f>
        <v/>
      </c>
    </row>
    <row r="2177">
      <c r="A2177" s="29" t="n">
        <v>45978</v>
      </c>
      <c r="B2177" s="37" t="inlineStr">
        <is>
          <t>JOB-3173</t>
        </is>
      </c>
      <c r="C2177" s="34" t="n">
        <v>1</v>
      </c>
      <c r="D2177" s="37" t="inlineStr">
        <is>
          <t>Tech C</t>
        </is>
      </c>
      <c r="E2177" s="35" t="n">
        <v>2.7</v>
      </c>
      <c r="F2177" s="35" t="n">
        <v>2.3</v>
      </c>
      <c r="G2177" s="37" t="inlineStr">
        <is>
          <t>Y</t>
        </is>
      </c>
      <c r="H2177" s="37" t="inlineStr">
        <is>
          <t>N</t>
        </is>
      </c>
      <c r="I2177" s="37">
        <f>COUNTIF(G$5:G2177,"Y")/COUNTA(G$5:G2177)</f>
        <v/>
      </c>
      <c r="J2177" s="37">
        <f>COUNTIF(H$5:H2177,"Y")/COUNTA(H$5:H2177)</f>
        <v/>
      </c>
      <c r="K2177" s="37">
        <f>AVERAGE(F$5:F2177)</f>
        <v/>
      </c>
      <c r="L2177" s="37">
        <f>SUM(F$5:F2177)/SUM(E$5:E2177)</f>
        <v/>
      </c>
    </row>
    <row r="2178">
      <c r="A2178" s="29" t="n">
        <v>45979</v>
      </c>
      <c r="B2178" s="37" t="inlineStr">
        <is>
          <t>JOB-3174</t>
        </is>
      </c>
      <c r="C2178" s="34" t="n">
        <v>1</v>
      </c>
      <c r="D2178" s="37" t="inlineStr">
        <is>
          <t>Tech C</t>
        </is>
      </c>
      <c r="E2178" s="35" t="n">
        <v>5</v>
      </c>
      <c r="F2178" s="35" t="n">
        <v>3.6</v>
      </c>
      <c r="G2178" s="37" t="inlineStr">
        <is>
          <t>Y</t>
        </is>
      </c>
      <c r="H2178" s="37" t="inlineStr">
        <is>
          <t>N</t>
        </is>
      </c>
      <c r="I2178" s="37">
        <f>COUNTIF(G$5:G2178,"Y")/COUNTA(G$5:G2178)</f>
        <v/>
      </c>
      <c r="J2178" s="37">
        <f>COUNTIF(H$5:H2178,"Y")/COUNTA(H$5:H2178)</f>
        <v/>
      </c>
      <c r="K2178" s="37">
        <f>AVERAGE(F$5:F2178)</f>
        <v/>
      </c>
      <c r="L2178" s="37">
        <f>SUM(F$5:F2178)/SUM(E$5:E2178)</f>
        <v/>
      </c>
    </row>
    <row r="2179">
      <c r="A2179" s="29" t="n">
        <v>45980</v>
      </c>
      <c r="B2179" s="37" t="inlineStr">
        <is>
          <t>JOB-3175</t>
        </is>
      </c>
      <c r="C2179" s="34" t="n">
        <v>1</v>
      </c>
      <c r="D2179" s="37" t="inlineStr">
        <is>
          <t>Tech B</t>
        </is>
      </c>
      <c r="E2179" s="35" t="n">
        <v>2.5</v>
      </c>
      <c r="F2179" s="35" t="n">
        <v>1.9</v>
      </c>
      <c r="G2179" s="37" t="inlineStr">
        <is>
          <t>Y</t>
        </is>
      </c>
      <c r="H2179" s="37" t="inlineStr">
        <is>
          <t>N</t>
        </is>
      </c>
      <c r="I2179" s="37">
        <f>COUNTIF(G$5:G2179,"Y")/COUNTA(G$5:G2179)</f>
        <v/>
      </c>
      <c r="J2179" s="37">
        <f>COUNTIF(H$5:H2179,"Y")/COUNTA(H$5:H2179)</f>
        <v/>
      </c>
      <c r="K2179" s="37">
        <f>AVERAGE(F$5:F2179)</f>
        <v/>
      </c>
      <c r="L2179" s="37">
        <f>SUM(F$5:F2179)/SUM(E$5:E2179)</f>
        <v/>
      </c>
    </row>
    <row r="2180">
      <c r="A2180" s="29" t="n">
        <v>45981</v>
      </c>
      <c r="B2180" s="37" t="inlineStr">
        <is>
          <t>JOB-3176</t>
        </is>
      </c>
      <c r="C2180" s="34" t="n">
        <v>1</v>
      </c>
      <c r="D2180" s="37" t="inlineStr">
        <is>
          <t>Tech F</t>
        </is>
      </c>
      <c r="E2180" s="35" t="n">
        <v>4</v>
      </c>
      <c r="F2180" s="35" t="n">
        <v>3</v>
      </c>
      <c r="G2180" s="37" t="inlineStr">
        <is>
          <t>Y</t>
        </is>
      </c>
      <c r="H2180" s="37" t="inlineStr">
        <is>
          <t>N</t>
        </is>
      </c>
      <c r="I2180" s="37">
        <f>COUNTIF(G$5:G2180,"Y")/COUNTA(G$5:G2180)</f>
        <v/>
      </c>
      <c r="J2180" s="37">
        <f>COUNTIF(H$5:H2180,"Y")/COUNTA(H$5:H2180)</f>
        <v/>
      </c>
      <c r="K2180" s="37">
        <f>AVERAGE(F$5:F2180)</f>
        <v/>
      </c>
      <c r="L2180" s="37">
        <f>SUM(F$5:F2180)/SUM(E$5:E2180)</f>
        <v/>
      </c>
    </row>
    <row r="2181">
      <c r="A2181" s="29" t="n">
        <v>45982</v>
      </c>
      <c r="B2181" s="37" t="inlineStr">
        <is>
          <t>JOB-3177</t>
        </is>
      </c>
      <c r="C2181" s="34" t="n">
        <v>1</v>
      </c>
      <c r="D2181" s="37" t="inlineStr">
        <is>
          <t>Tech H</t>
        </is>
      </c>
      <c r="E2181" s="35" t="n">
        <v>0.6</v>
      </c>
      <c r="F2181" s="35" t="n">
        <v>0.5</v>
      </c>
      <c r="G2181" s="37" t="inlineStr">
        <is>
          <t>Y</t>
        </is>
      </c>
      <c r="H2181" s="37" t="inlineStr">
        <is>
          <t>N</t>
        </is>
      </c>
      <c r="I2181" s="37">
        <f>COUNTIF(G$5:G2181,"Y")/COUNTA(G$5:G2181)</f>
        <v/>
      </c>
      <c r="J2181" s="37">
        <f>COUNTIF(H$5:H2181,"Y")/COUNTA(H$5:H2181)</f>
        <v/>
      </c>
      <c r="K2181" s="37">
        <f>AVERAGE(F$5:F2181)</f>
        <v/>
      </c>
      <c r="L2181" s="37">
        <f>SUM(F$5:F2181)/SUM(E$5:E2181)</f>
        <v/>
      </c>
    </row>
    <row r="2182">
      <c r="A2182" s="29" t="n">
        <v>45978</v>
      </c>
      <c r="B2182" s="37" t="inlineStr">
        <is>
          <t>JOB-3178</t>
        </is>
      </c>
      <c r="C2182" s="34" t="n">
        <v>1</v>
      </c>
      <c r="D2182" s="37" t="inlineStr">
        <is>
          <t>Tech G</t>
        </is>
      </c>
      <c r="E2182" s="35" t="n">
        <v>0.7</v>
      </c>
      <c r="F2182" s="35" t="n">
        <v>0.5</v>
      </c>
      <c r="G2182" s="37" t="inlineStr">
        <is>
          <t>Y</t>
        </is>
      </c>
      <c r="H2182" s="37" t="inlineStr">
        <is>
          <t>N</t>
        </is>
      </c>
      <c r="I2182" s="37">
        <f>COUNTIF(G$5:G2182,"Y")/COUNTA(G$5:G2182)</f>
        <v/>
      </c>
      <c r="J2182" s="37">
        <f>COUNTIF(H$5:H2182,"Y")/COUNTA(H$5:H2182)</f>
        <v/>
      </c>
      <c r="K2182" s="37">
        <f>AVERAGE(F$5:F2182)</f>
        <v/>
      </c>
      <c r="L2182" s="37">
        <f>SUM(F$5:F2182)/SUM(E$5:E2182)</f>
        <v/>
      </c>
    </row>
    <row r="2183">
      <c r="A2183" s="29" t="n">
        <v>45979</v>
      </c>
      <c r="B2183" s="37" t="inlineStr">
        <is>
          <t>JOB-3179</t>
        </is>
      </c>
      <c r="C2183" s="34" t="n">
        <v>1</v>
      </c>
      <c r="D2183" s="37" t="inlineStr">
        <is>
          <t>Tech G</t>
        </is>
      </c>
      <c r="E2183" s="35" t="n">
        <v>0.7</v>
      </c>
      <c r="F2183" s="35" t="n">
        <v>0.5</v>
      </c>
      <c r="G2183" s="37" t="inlineStr">
        <is>
          <t>Y</t>
        </is>
      </c>
      <c r="H2183" s="37" t="inlineStr">
        <is>
          <t>Y</t>
        </is>
      </c>
      <c r="I2183" s="37">
        <f>COUNTIF(G$5:G2183,"Y")/COUNTA(G$5:G2183)</f>
        <v/>
      </c>
      <c r="J2183" s="37">
        <f>COUNTIF(H$5:H2183,"Y")/COUNTA(H$5:H2183)</f>
        <v/>
      </c>
      <c r="K2183" s="37">
        <f>AVERAGE(F$5:F2183)</f>
        <v/>
      </c>
      <c r="L2183" s="37">
        <f>SUM(F$5:F2183)/SUM(E$5:E2183)</f>
        <v/>
      </c>
    </row>
    <row r="2184">
      <c r="A2184" s="29" t="n">
        <v>45980</v>
      </c>
      <c r="B2184" s="37" t="inlineStr">
        <is>
          <t>JOB-3180</t>
        </is>
      </c>
      <c r="C2184" s="34" t="n">
        <v>1</v>
      </c>
      <c r="D2184" s="37" t="inlineStr">
        <is>
          <t>Tech G</t>
        </is>
      </c>
      <c r="E2184" s="35" t="n">
        <v>2.1</v>
      </c>
      <c r="F2184" s="35" t="n">
        <v>0.5</v>
      </c>
      <c r="G2184" s="37" t="inlineStr">
        <is>
          <t>Y</t>
        </is>
      </c>
      <c r="H2184" s="37" t="inlineStr">
        <is>
          <t>N</t>
        </is>
      </c>
      <c r="I2184" s="37">
        <f>COUNTIF(G$5:G2184,"Y")/COUNTA(G$5:G2184)</f>
        <v/>
      </c>
      <c r="J2184" s="37">
        <f>COUNTIF(H$5:H2184,"Y")/COUNTA(H$5:H2184)</f>
        <v/>
      </c>
      <c r="K2184" s="37">
        <f>AVERAGE(F$5:F2184)</f>
        <v/>
      </c>
      <c r="L2184" s="37">
        <f>SUM(F$5:F2184)/SUM(E$5:E2184)</f>
        <v/>
      </c>
      <c r="M2184" s="37" t="n">
        <v>8</v>
      </c>
    </row>
    <row r="2185">
      <c r="A2185" s="29" t="n">
        <v>45985</v>
      </c>
      <c r="B2185" s="37" t="inlineStr">
        <is>
          <t>JOB-3181</t>
        </is>
      </c>
      <c r="C2185" s="34" t="n">
        <v>1</v>
      </c>
      <c r="D2185" s="37" t="inlineStr">
        <is>
          <t>Tech H</t>
        </is>
      </c>
      <c r="E2185" s="35" t="n">
        <v>2.6</v>
      </c>
      <c r="F2185" s="35" t="n">
        <v>2</v>
      </c>
      <c r="G2185" s="37" t="inlineStr">
        <is>
          <t>Y</t>
        </is>
      </c>
      <c r="H2185" s="37" t="inlineStr">
        <is>
          <t>Y</t>
        </is>
      </c>
      <c r="I2185" s="37">
        <f>COUNTIF(G$5:G2185,"Y")/COUNTA(G$5:G2185)</f>
        <v/>
      </c>
      <c r="J2185" s="37">
        <f>COUNTIF(H$5:H2185,"Y")/COUNTA(H$5:H2185)</f>
        <v/>
      </c>
      <c r="K2185" s="37">
        <f>AVERAGE(F$5:F2185)</f>
        <v/>
      </c>
      <c r="L2185" s="37">
        <f>SUM(F$5:F2185)/SUM(E$5:E2185)</f>
        <v/>
      </c>
    </row>
    <row r="2186">
      <c r="A2186" s="29" t="n">
        <v>45986</v>
      </c>
      <c r="B2186" s="37" t="inlineStr">
        <is>
          <t>JOB-3182</t>
        </is>
      </c>
      <c r="C2186" s="34" t="n">
        <v>1</v>
      </c>
      <c r="D2186" s="37" t="inlineStr">
        <is>
          <t>Tech A</t>
        </is>
      </c>
      <c r="E2186" s="35" t="n">
        <v>3.7</v>
      </c>
      <c r="F2186" s="35" t="n">
        <v>2.9</v>
      </c>
      <c r="G2186" s="37" t="inlineStr">
        <is>
          <t>Y</t>
        </is>
      </c>
      <c r="H2186" s="37" t="inlineStr">
        <is>
          <t>N</t>
        </is>
      </c>
      <c r="I2186" s="37">
        <f>COUNTIF(G$5:G2186,"Y")/COUNTA(G$5:G2186)</f>
        <v/>
      </c>
      <c r="J2186" s="37">
        <f>COUNTIF(H$5:H2186,"Y")/COUNTA(H$5:H2186)</f>
        <v/>
      </c>
      <c r="K2186" s="37">
        <f>AVERAGE(F$5:F2186)</f>
        <v/>
      </c>
      <c r="L2186" s="37">
        <f>SUM(F$5:F2186)/SUM(E$5:E2186)</f>
        <v/>
      </c>
    </row>
    <row r="2187">
      <c r="A2187" s="29" t="n">
        <v>45987</v>
      </c>
      <c r="B2187" s="37" t="inlineStr">
        <is>
          <t>JOB-3183</t>
        </is>
      </c>
      <c r="C2187" s="34" t="n">
        <v>1</v>
      </c>
      <c r="D2187" s="37" t="inlineStr">
        <is>
          <t>Tech B</t>
        </is>
      </c>
      <c r="E2187" s="35" t="n">
        <v>1.8</v>
      </c>
      <c r="F2187" s="35" t="n">
        <v>1.4</v>
      </c>
      <c r="G2187" s="37" t="inlineStr">
        <is>
          <t>Y</t>
        </is>
      </c>
      <c r="H2187" s="37" t="inlineStr">
        <is>
          <t>N</t>
        </is>
      </c>
      <c r="I2187" s="37">
        <f>COUNTIF(G$5:G2187,"Y")/COUNTA(G$5:G2187)</f>
        <v/>
      </c>
      <c r="J2187" s="37">
        <f>COUNTIF(H$5:H2187,"Y")/COUNTA(H$5:H2187)</f>
        <v/>
      </c>
      <c r="K2187" s="37">
        <f>AVERAGE(F$5:F2187)</f>
        <v/>
      </c>
      <c r="L2187" s="37">
        <f>SUM(F$5:F2187)/SUM(E$5:E2187)</f>
        <v/>
      </c>
    </row>
    <row r="2188">
      <c r="A2188" s="29" t="n">
        <v>45988</v>
      </c>
      <c r="B2188" s="37" t="inlineStr">
        <is>
          <t>JOB-3184</t>
        </is>
      </c>
      <c r="C2188" s="34" t="n">
        <v>1</v>
      </c>
      <c r="D2188" s="37" t="inlineStr">
        <is>
          <t>Tech C</t>
        </is>
      </c>
      <c r="E2188" s="35" t="n">
        <v>3</v>
      </c>
      <c r="F2188" s="35" t="n">
        <v>2.3</v>
      </c>
      <c r="G2188" s="37" t="inlineStr">
        <is>
          <t>Y</t>
        </is>
      </c>
      <c r="H2188" s="37" t="inlineStr">
        <is>
          <t>N</t>
        </is>
      </c>
      <c r="I2188" s="37">
        <f>COUNTIF(G$5:G2188,"Y")/COUNTA(G$5:G2188)</f>
        <v/>
      </c>
      <c r="J2188" s="37">
        <f>COUNTIF(H$5:H2188,"Y")/COUNTA(H$5:H2188)</f>
        <v/>
      </c>
      <c r="K2188" s="37">
        <f>AVERAGE(F$5:F2188)</f>
        <v/>
      </c>
      <c r="L2188" s="37">
        <f>SUM(F$5:F2188)/SUM(E$5:E2188)</f>
        <v/>
      </c>
    </row>
    <row r="2189">
      <c r="A2189" s="29" t="n">
        <v>45989</v>
      </c>
      <c r="B2189" s="37" t="inlineStr">
        <is>
          <t>JOB-3185</t>
        </is>
      </c>
      <c r="C2189" s="34" t="n">
        <v>1</v>
      </c>
      <c r="D2189" s="37" t="inlineStr">
        <is>
          <t>Tech A</t>
        </is>
      </c>
      <c r="E2189" s="35" t="n">
        <v>3.7</v>
      </c>
      <c r="F2189" s="35" t="n">
        <v>3.1</v>
      </c>
      <c r="G2189" s="37" t="inlineStr">
        <is>
          <t>Y</t>
        </is>
      </c>
      <c r="H2189" s="37" t="inlineStr">
        <is>
          <t>N</t>
        </is>
      </c>
      <c r="I2189" s="37">
        <f>COUNTIF(G$5:G2189,"Y")/COUNTA(G$5:G2189)</f>
        <v/>
      </c>
      <c r="J2189" s="37">
        <f>COUNTIF(H$5:H2189,"Y")/COUNTA(H$5:H2189)</f>
        <v/>
      </c>
      <c r="K2189" s="37">
        <f>AVERAGE(F$5:F2189)</f>
        <v/>
      </c>
      <c r="L2189" s="37">
        <f>SUM(F$5:F2189)/SUM(E$5:E2189)</f>
        <v/>
      </c>
    </row>
    <row r="2190">
      <c r="A2190" s="29" t="n">
        <v>45985</v>
      </c>
      <c r="B2190" s="37" t="inlineStr">
        <is>
          <t>JOB-3186</t>
        </is>
      </c>
      <c r="C2190" s="34" t="n">
        <v>1</v>
      </c>
      <c r="D2190" s="37" t="inlineStr">
        <is>
          <t>Tech B</t>
        </is>
      </c>
      <c r="E2190" s="35" t="n">
        <v>3.7</v>
      </c>
      <c r="F2190" s="35" t="n">
        <v>2.5</v>
      </c>
      <c r="G2190" s="37" t="inlineStr">
        <is>
          <t>Y</t>
        </is>
      </c>
      <c r="H2190" s="37" t="inlineStr">
        <is>
          <t>Y</t>
        </is>
      </c>
      <c r="I2190" s="37">
        <f>COUNTIF(G$5:G2190,"Y")/COUNTA(G$5:G2190)</f>
        <v/>
      </c>
      <c r="J2190" s="37">
        <f>COUNTIF(H$5:H2190,"Y")/COUNTA(H$5:H2190)</f>
        <v/>
      </c>
      <c r="K2190" s="37">
        <f>AVERAGE(F$5:F2190)</f>
        <v/>
      </c>
      <c r="L2190" s="37">
        <f>SUM(F$5:F2190)/SUM(E$5:E2190)</f>
        <v/>
      </c>
    </row>
    <row r="2191">
      <c r="A2191" s="29" t="n">
        <v>45986</v>
      </c>
      <c r="B2191" s="37" t="inlineStr">
        <is>
          <t>JOB-3187</t>
        </is>
      </c>
      <c r="C2191" s="34" t="n">
        <v>1</v>
      </c>
      <c r="D2191" s="37" t="inlineStr">
        <is>
          <t>Tech G</t>
        </is>
      </c>
      <c r="E2191" s="35" t="n">
        <v>1.8</v>
      </c>
      <c r="F2191" s="35" t="n">
        <v>1.5</v>
      </c>
      <c r="G2191" s="37" t="inlineStr">
        <is>
          <t>N</t>
        </is>
      </c>
      <c r="H2191" s="37" t="inlineStr">
        <is>
          <t>N</t>
        </is>
      </c>
      <c r="I2191" s="37">
        <f>COUNTIF(G$5:G2191,"Y")/COUNTA(G$5:G2191)</f>
        <v/>
      </c>
      <c r="J2191" s="37">
        <f>COUNTIF(H$5:H2191,"Y")/COUNTA(H$5:H2191)</f>
        <v/>
      </c>
      <c r="K2191" s="37">
        <f>AVERAGE(F$5:F2191)</f>
        <v/>
      </c>
      <c r="L2191" s="37">
        <f>SUM(F$5:F2191)/SUM(E$5:E2191)</f>
        <v/>
      </c>
    </row>
    <row r="2192">
      <c r="A2192" s="29" t="n">
        <v>45987</v>
      </c>
      <c r="B2192" s="37" t="inlineStr">
        <is>
          <t>JOB-3188</t>
        </is>
      </c>
      <c r="C2192" s="34" t="n">
        <v>1</v>
      </c>
      <c r="D2192" s="37" t="inlineStr">
        <is>
          <t>Tech A</t>
        </is>
      </c>
      <c r="E2192" s="35" t="n">
        <v>2.6</v>
      </c>
      <c r="F2192" s="35" t="n">
        <v>1.8</v>
      </c>
      <c r="G2192" s="37" t="inlineStr">
        <is>
          <t>Y</t>
        </is>
      </c>
      <c r="H2192" s="37" t="inlineStr">
        <is>
          <t>N</t>
        </is>
      </c>
      <c r="I2192" s="37">
        <f>COUNTIF(G$5:G2192,"Y")/COUNTA(G$5:G2192)</f>
        <v/>
      </c>
      <c r="J2192" s="37">
        <f>COUNTIF(H$5:H2192,"Y")/COUNTA(H$5:H2192)</f>
        <v/>
      </c>
      <c r="K2192" s="37">
        <f>AVERAGE(F$5:F2192)</f>
        <v/>
      </c>
      <c r="L2192" s="37">
        <f>SUM(F$5:F2192)/SUM(E$5:E2192)</f>
        <v/>
      </c>
    </row>
    <row r="2193">
      <c r="A2193" s="29" t="n">
        <v>45988</v>
      </c>
      <c r="B2193" s="37" t="inlineStr">
        <is>
          <t>JOB-3189</t>
        </is>
      </c>
      <c r="C2193" s="34" t="n">
        <v>1</v>
      </c>
      <c r="D2193" s="37" t="inlineStr">
        <is>
          <t>Tech C</t>
        </is>
      </c>
      <c r="E2193" s="35" t="n">
        <v>4.3</v>
      </c>
      <c r="F2193" s="35" t="n">
        <v>3.1</v>
      </c>
      <c r="G2193" s="37" t="inlineStr">
        <is>
          <t>Y</t>
        </is>
      </c>
      <c r="H2193" s="37" t="inlineStr">
        <is>
          <t>N</t>
        </is>
      </c>
      <c r="I2193" s="37">
        <f>COUNTIF(G$5:G2193,"Y")/COUNTA(G$5:G2193)</f>
        <v/>
      </c>
      <c r="J2193" s="37">
        <f>COUNTIF(H$5:H2193,"Y")/COUNTA(H$5:H2193)</f>
        <v/>
      </c>
      <c r="K2193" s="37">
        <f>AVERAGE(F$5:F2193)</f>
        <v/>
      </c>
      <c r="L2193" s="37">
        <f>SUM(F$5:F2193)/SUM(E$5:E2193)</f>
        <v/>
      </c>
    </row>
    <row r="2194">
      <c r="A2194" s="29" t="n">
        <v>45989</v>
      </c>
      <c r="B2194" s="37" t="inlineStr">
        <is>
          <t>JOB-3190</t>
        </is>
      </c>
      <c r="C2194" s="34" t="n">
        <v>1</v>
      </c>
      <c r="D2194" s="37" t="inlineStr">
        <is>
          <t>Tech F</t>
        </is>
      </c>
      <c r="E2194" s="35" t="n">
        <v>1.8</v>
      </c>
      <c r="F2194" s="35" t="n">
        <v>1.5</v>
      </c>
      <c r="G2194" s="37" t="inlineStr">
        <is>
          <t>Y</t>
        </is>
      </c>
      <c r="H2194" s="37" t="inlineStr">
        <is>
          <t>N</t>
        </is>
      </c>
      <c r="I2194" s="37">
        <f>COUNTIF(G$5:G2194,"Y")/COUNTA(G$5:G2194)</f>
        <v/>
      </c>
      <c r="J2194" s="37">
        <f>COUNTIF(H$5:H2194,"Y")/COUNTA(H$5:H2194)</f>
        <v/>
      </c>
      <c r="K2194" s="37">
        <f>AVERAGE(F$5:F2194)</f>
        <v/>
      </c>
      <c r="L2194" s="37">
        <f>SUM(F$5:F2194)/SUM(E$5:E2194)</f>
        <v/>
      </c>
    </row>
    <row r="2195">
      <c r="A2195" s="29" t="n">
        <v>45985</v>
      </c>
      <c r="B2195" s="37" t="inlineStr">
        <is>
          <t>JOB-3191</t>
        </is>
      </c>
      <c r="C2195" s="34" t="n">
        <v>1</v>
      </c>
      <c r="D2195" s="37" t="inlineStr">
        <is>
          <t>Tech D</t>
        </is>
      </c>
      <c r="E2195" s="35" t="n">
        <v>2.7</v>
      </c>
      <c r="F2195" s="35" t="n">
        <v>2.1</v>
      </c>
      <c r="G2195" s="37" t="inlineStr">
        <is>
          <t>Y</t>
        </is>
      </c>
      <c r="H2195" s="37" t="inlineStr">
        <is>
          <t>N</t>
        </is>
      </c>
      <c r="I2195" s="37">
        <f>COUNTIF(G$5:G2195,"Y")/COUNTA(G$5:G2195)</f>
        <v/>
      </c>
      <c r="J2195" s="37">
        <f>COUNTIF(H$5:H2195,"Y")/COUNTA(H$5:H2195)</f>
        <v/>
      </c>
      <c r="K2195" s="37">
        <f>AVERAGE(F$5:F2195)</f>
        <v/>
      </c>
      <c r="L2195" s="37">
        <f>SUM(F$5:F2195)/SUM(E$5:E2195)</f>
        <v/>
      </c>
    </row>
    <row r="2196">
      <c r="A2196" s="29" t="n">
        <v>45986</v>
      </c>
      <c r="B2196" s="37" t="inlineStr">
        <is>
          <t>JOB-3192</t>
        </is>
      </c>
      <c r="C2196" s="34" t="n">
        <v>1</v>
      </c>
      <c r="D2196" s="37" t="inlineStr">
        <is>
          <t>Tech B</t>
        </is>
      </c>
      <c r="E2196" s="35" t="n">
        <v>3.4</v>
      </c>
      <c r="F2196" s="35" t="n">
        <v>2.7</v>
      </c>
      <c r="G2196" s="37" t="inlineStr">
        <is>
          <t>Y</t>
        </is>
      </c>
      <c r="H2196" s="37" t="inlineStr">
        <is>
          <t>N</t>
        </is>
      </c>
      <c r="I2196" s="37">
        <f>COUNTIF(G$5:G2196,"Y")/COUNTA(G$5:G2196)</f>
        <v/>
      </c>
      <c r="J2196" s="37">
        <f>COUNTIF(H$5:H2196,"Y")/COUNTA(H$5:H2196)</f>
        <v/>
      </c>
      <c r="K2196" s="37">
        <f>AVERAGE(F$5:F2196)</f>
        <v/>
      </c>
      <c r="L2196" s="37">
        <f>SUM(F$5:F2196)/SUM(E$5:E2196)</f>
        <v/>
      </c>
    </row>
    <row r="2197">
      <c r="A2197" s="29" t="n">
        <v>45987</v>
      </c>
      <c r="B2197" s="37" t="inlineStr">
        <is>
          <t>JOB-3193</t>
        </is>
      </c>
      <c r="C2197" s="34" t="n">
        <v>1</v>
      </c>
      <c r="D2197" s="37" t="inlineStr">
        <is>
          <t>Tech A</t>
        </is>
      </c>
      <c r="E2197" s="35" t="n">
        <v>3.4</v>
      </c>
      <c r="F2197" s="35" t="n">
        <v>2.9</v>
      </c>
      <c r="G2197" s="37" t="inlineStr">
        <is>
          <t>Y</t>
        </is>
      </c>
      <c r="H2197" s="37" t="inlineStr">
        <is>
          <t>N</t>
        </is>
      </c>
      <c r="I2197" s="37">
        <f>COUNTIF(G$5:G2197,"Y")/COUNTA(G$5:G2197)</f>
        <v/>
      </c>
      <c r="J2197" s="37">
        <f>COUNTIF(H$5:H2197,"Y")/COUNTA(H$5:H2197)</f>
        <v/>
      </c>
      <c r="K2197" s="37">
        <f>AVERAGE(F$5:F2197)</f>
        <v/>
      </c>
      <c r="L2197" s="37">
        <f>SUM(F$5:F2197)/SUM(E$5:E2197)</f>
        <v/>
      </c>
    </row>
    <row r="2198">
      <c r="A2198" s="29" t="n">
        <v>45988</v>
      </c>
      <c r="B2198" s="37" t="inlineStr">
        <is>
          <t>JOB-3194</t>
        </is>
      </c>
      <c r="C2198" s="34" t="n">
        <v>1</v>
      </c>
      <c r="D2198" s="37" t="inlineStr">
        <is>
          <t>Tech A</t>
        </is>
      </c>
      <c r="E2198" s="35" t="n">
        <v>3.4</v>
      </c>
      <c r="F2198" s="35" t="n">
        <v>3</v>
      </c>
      <c r="G2198" s="37" t="inlineStr">
        <is>
          <t>Y</t>
        </is>
      </c>
      <c r="H2198" s="37" t="inlineStr">
        <is>
          <t>N</t>
        </is>
      </c>
      <c r="I2198" s="37">
        <f>COUNTIF(G$5:G2198,"Y")/COUNTA(G$5:G2198)</f>
        <v/>
      </c>
      <c r="J2198" s="37">
        <f>COUNTIF(H$5:H2198,"Y")/COUNTA(H$5:H2198)</f>
        <v/>
      </c>
      <c r="K2198" s="37">
        <f>AVERAGE(F$5:F2198)</f>
        <v/>
      </c>
      <c r="L2198" s="37">
        <f>SUM(F$5:F2198)/SUM(E$5:E2198)</f>
        <v/>
      </c>
    </row>
    <row r="2199">
      <c r="A2199" s="29" t="n">
        <v>45989</v>
      </c>
      <c r="B2199" s="37" t="inlineStr">
        <is>
          <t>JOB-3195</t>
        </is>
      </c>
      <c r="C2199" s="34" t="n">
        <v>1</v>
      </c>
      <c r="D2199" s="37" t="inlineStr">
        <is>
          <t>Tech C</t>
        </is>
      </c>
      <c r="E2199" s="35" t="n">
        <v>1.6</v>
      </c>
      <c r="F2199" s="35" t="n">
        <v>1.3</v>
      </c>
      <c r="G2199" s="37" t="inlineStr">
        <is>
          <t>Y</t>
        </is>
      </c>
      <c r="H2199" s="37" t="inlineStr">
        <is>
          <t>N</t>
        </is>
      </c>
      <c r="I2199" s="37">
        <f>COUNTIF(G$5:G2199,"Y")/COUNTA(G$5:G2199)</f>
        <v/>
      </c>
      <c r="J2199" s="37">
        <f>COUNTIF(H$5:H2199,"Y")/COUNTA(H$5:H2199)</f>
        <v/>
      </c>
      <c r="K2199" s="37">
        <f>AVERAGE(F$5:F2199)</f>
        <v/>
      </c>
      <c r="L2199" s="37">
        <f>SUM(F$5:F2199)/SUM(E$5:E2199)</f>
        <v/>
      </c>
    </row>
    <row r="2200">
      <c r="A2200" s="29" t="n">
        <v>45985</v>
      </c>
      <c r="B2200" s="37" t="inlineStr">
        <is>
          <t>JOB-3196</t>
        </is>
      </c>
      <c r="C2200" s="34" t="n">
        <v>1</v>
      </c>
      <c r="D2200" s="37" t="inlineStr">
        <is>
          <t>Tech C</t>
        </is>
      </c>
      <c r="E2200" s="35" t="n">
        <v>1.5</v>
      </c>
      <c r="F2200" s="35" t="n">
        <v>1.3</v>
      </c>
      <c r="G2200" s="37" t="inlineStr">
        <is>
          <t>Y</t>
        </is>
      </c>
      <c r="H2200" s="37" t="inlineStr">
        <is>
          <t>N</t>
        </is>
      </c>
      <c r="I2200" s="37">
        <f>COUNTIF(G$5:G2200,"Y")/COUNTA(G$5:G2200)</f>
        <v/>
      </c>
      <c r="J2200" s="37">
        <f>COUNTIF(H$5:H2200,"Y")/COUNTA(H$5:H2200)</f>
        <v/>
      </c>
      <c r="K2200" s="37">
        <f>AVERAGE(F$5:F2200)</f>
        <v/>
      </c>
      <c r="L2200" s="37">
        <f>SUM(F$5:F2200)/SUM(E$5:E2200)</f>
        <v/>
      </c>
    </row>
    <row r="2201">
      <c r="A2201" s="29" t="n">
        <v>45986</v>
      </c>
      <c r="B2201" s="37" t="inlineStr">
        <is>
          <t>JOB-3197</t>
        </is>
      </c>
      <c r="C2201" s="34" t="n">
        <v>1</v>
      </c>
      <c r="D2201" s="37" t="inlineStr">
        <is>
          <t>Tech G</t>
        </is>
      </c>
      <c r="E2201" s="35" t="n">
        <v>4.7</v>
      </c>
      <c r="F2201" s="35" t="n">
        <v>3.2</v>
      </c>
      <c r="G2201" s="37" t="inlineStr">
        <is>
          <t>Y</t>
        </is>
      </c>
      <c r="H2201" s="37" t="inlineStr">
        <is>
          <t>N</t>
        </is>
      </c>
      <c r="I2201" s="37">
        <f>COUNTIF(G$5:G2201,"Y")/COUNTA(G$5:G2201)</f>
        <v/>
      </c>
      <c r="J2201" s="37">
        <f>COUNTIF(H$5:H2201,"Y")/COUNTA(H$5:H2201)</f>
        <v/>
      </c>
      <c r="K2201" s="37">
        <f>AVERAGE(F$5:F2201)</f>
        <v/>
      </c>
      <c r="L2201" s="37">
        <f>SUM(F$5:F2201)/SUM(E$5:E2201)</f>
        <v/>
      </c>
    </row>
    <row r="2202">
      <c r="A2202" s="29" t="n">
        <v>45987</v>
      </c>
      <c r="B2202" s="37" t="inlineStr">
        <is>
          <t>JOB-3198</t>
        </is>
      </c>
      <c r="C2202" s="34" t="n">
        <v>1</v>
      </c>
      <c r="D2202" s="37" t="inlineStr">
        <is>
          <t>Tech G</t>
        </is>
      </c>
      <c r="E2202" s="35" t="n">
        <v>1.8</v>
      </c>
      <c r="F2202" s="35" t="n">
        <v>1.3</v>
      </c>
      <c r="G2202" s="37" t="inlineStr">
        <is>
          <t>Y</t>
        </is>
      </c>
      <c r="H2202" s="37" t="inlineStr">
        <is>
          <t>N</t>
        </is>
      </c>
      <c r="I2202" s="37">
        <f>COUNTIF(G$5:G2202,"Y")/COUNTA(G$5:G2202)</f>
        <v/>
      </c>
      <c r="J2202" s="37">
        <f>COUNTIF(H$5:H2202,"Y")/COUNTA(H$5:H2202)</f>
        <v/>
      </c>
      <c r="K2202" s="37">
        <f>AVERAGE(F$5:F2202)</f>
        <v/>
      </c>
      <c r="L2202" s="37">
        <f>SUM(F$5:F2202)/SUM(E$5:E2202)</f>
        <v/>
      </c>
    </row>
    <row r="2203">
      <c r="A2203" s="29" t="n">
        <v>45988</v>
      </c>
      <c r="B2203" s="37" t="inlineStr">
        <is>
          <t>JOB-3199</t>
        </is>
      </c>
      <c r="C2203" s="34" t="n">
        <v>1</v>
      </c>
      <c r="D2203" s="37" t="inlineStr">
        <is>
          <t>Tech G</t>
        </is>
      </c>
      <c r="E2203" s="35" t="n">
        <v>2.5</v>
      </c>
      <c r="F2203" s="35" t="n">
        <v>1.7</v>
      </c>
      <c r="G2203" s="37" t="inlineStr">
        <is>
          <t>Y</t>
        </is>
      </c>
      <c r="H2203" s="37" t="inlineStr">
        <is>
          <t>N</t>
        </is>
      </c>
      <c r="I2203" s="37">
        <f>COUNTIF(G$5:G2203,"Y")/COUNTA(G$5:G2203)</f>
        <v/>
      </c>
      <c r="J2203" s="37">
        <f>COUNTIF(H$5:H2203,"Y")/COUNTA(H$5:H2203)</f>
        <v/>
      </c>
      <c r="K2203" s="37">
        <f>AVERAGE(F$5:F2203)</f>
        <v/>
      </c>
      <c r="L2203" s="37">
        <f>SUM(F$5:F2203)/SUM(E$5:E2203)</f>
        <v/>
      </c>
    </row>
    <row r="2204">
      <c r="A2204" s="29" t="n">
        <v>45989</v>
      </c>
      <c r="B2204" s="37" t="inlineStr">
        <is>
          <t>JOB-3200</t>
        </is>
      </c>
      <c r="C2204" s="34" t="n">
        <v>1</v>
      </c>
      <c r="D2204" s="37" t="inlineStr">
        <is>
          <t>Tech G</t>
        </is>
      </c>
      <c r="E2204" s="35" t="n">
        <v>3.7</v>
      </c>
      <c r="F2204" s="35" t="n">
        <v>2.6</v>
      </c>
      <c r="G2204" s="37" t="inlineStr">
        <is>
          <t>Y</t>
        </is>
      </c>
      <c r="H2204" s="37" t="inlineStr">
        <is>
          <t>N</t>
        </is>
      </c>
      <c r="I2204" s="37">
        <f>COUNTIF(G$5:G2204,"Y")/COUNTA(G$5:G2204)</f>
        <v/>
      </c>
      <c r="J2204" s="37">
        <f>COUNTIF(H$5:H2204,"Y")/COUNTA(H$5:H2204)</f>
        <v/>
      </c>
      <c r="K2204" s="37">
        <f>AVERAGE(F$5:F2204)</f>
        <v/>
      </c>
      <c r="L2204" s="37">
        <f>SUM(F$5:F2204)/SUM(E$5:E2204)</f>
        <v/>
      </c>
    </row>
    <row r="2205">
      <c r="A2205" s="29" t="n">
        <v>45985</v>
      </c>
      <c r="B2205" s="37" t="inlineStr">
        <is>
          <t>JOB-3201</t>
        </is>
      </c>
      <c r="C2205" s="34" t="n">
        <v>1</v>
      </c>
      <c r="D2205" s="37" t="inlineStr">
        <is>
          <t>Tech G</t>
        </is>
      </c>
      <c r="E2205" s="35" t="n">
        <v>1.4</v>
      </c>
      <c r="F2205" s="35" t="n">
        <v>1</v>
      </c>
      <c r="G2205" s="37" t="inlineStr">
        <is>
          <t>Y</t>
        </is>
      </c>
      <c r="H2205" s="37" t="inlineStr">
        <is>
          <t>N</t>
        </is>
      </c>
      <c r="I2205" s="37">
        <f>COUNTIF(G$5:G2205,"Y")/COUNTA(G$5:G2205)</f>
        <v/>
      </c>
      <c r="J2205" s="37">
        <f>COUNTIF(H$5:H2205,"Y")/COUNTA(H$5:H2205)</f>
        <v/>
      </c>
      <c r="K2205" s="37">
        <f>AVERAGE(F$5:F2205)</f>
        <v/>
      </c>
      <c r="L2205" s="37">
        <f>SUM(F$5:F2205)/SUM(E$5:E2205)</f>
        <v/>
      </c>
    </row>
    <row r="2206">
      <c r="A2206" s="29" t="n">
        <v>45986</v>
      </c>
      <c r="B2206" s="37" t="inlineStr">
        <is>
          <t>JOB-3202</t>
        </is>
      </c>
      <c r="C2206" s="34" t="n">
        <v>1</v>
      </c>
      <c r="D2206" s="37" t="inlineStr">
        <is>
          <t>Tech B</t>
        </is>
      </c>
      <c r="E2206" s="35" t="n">
        <v>3.4</v>
      </c>
      <c r="F2206" s="35" t="n">
        <v>2.4</v>
      </c>
      <c r="G2206" s="37" t="inlineStr">
        <is>
          <t>Y</t>
        </is>
      </c>
      <c r="H2206" s="37" t="inlineStr">
        <is>
          <t>N</t>
        </is>
      </c>
      <c r="I2206" s="37">
        <f>COUNTIF(G$5:G2206,"Y")/COUNTA(G$5:G2206)</f>
        <v/>
      </c>
      <c r="J2206" s="37">
        <f>COUNTIF(H$5:H2206,"Y")/COUNTA(H$5:H2206)</f>
        <v/>
      </c>
      <c r="K2206" s="37">
        <f>AVERAGE(F$5:F2206)</f>
        <v/>
      </c>
      <c r="L2206" s="37">
        <f>SUM(F$5:F2206)/SUM(E$5:E2206)</f>
        <v/>
      </c>
    </row>
    <row r="2207">
      <c r="A2207" s="29" t="n">
        <v>45987</v>
      </c>
      <c r="B2207" s="37" t="inlineStr">
        <is>
          <t>JOB-3203</t>
        </is>
      </c>
      <c r="C2207" s="34" t="n">
        <v>1</v>
      </c>
      <c r="D2207" s="37" t="inlineStr">
        <is>
          <t>Tech C</t>
        </is>
      </c>
      <c r="E2207" s="35" t="n">
        <v>3.7</v>
      </c>
      <c r="F2207" s="35" t="n">
        <v>3.2</v>
      </c>
      <c r="G2207" s="37" t="inlineStr">
        <is>
          <t>N</t>
        </is>
      </c>
      <c r="H2207" s="37" t="inlineStr">
        <is>
          <t>N</t>
        </is>
      </c>
      <c r="I2207" s="37">
        <f>COUNTIF(G$5:G2207,"Y")/COUNTA(G$5:G2207)</f>
        <v/>
      </c>
      <c r="J2207" s="37">
        <f>COUNTIF(H$5:H2207,"Y")/COUNTA(H$5:H2207)</f>
        <v/>
      </c>
      <c r="K2207" s="37">
        <f>AVERAGE(F$5:F2207)</f>
        <v/>
      </c>
      <c r="L2207" s="37">
        <f>SUM(F$5:F2207)/SUM(E$5:E2207)</f>
        <v/>
      </c>
    </row>
    <row r="2208">
      <c r="A2208" s="29" t="n">
        <v>45988</v>
      </c>
      <c r="B2208" s="37" t="inlineStr">
        <is>
          <t>JOB-3204</t>
        </is>
      </c>
      <c r="C2208" s="34" t="n">
        <v>1</v>
      </c>
      <c r="D2208" s="37" t="inlineStr">
        <is>
          <t>Tech D</t>
        </is>
      </c>
      <c r="E2208" s="35" t="n">
        <v>2</v>
      </c>
      <c r="F2208" s="35" t="n">
        <v>1.4</v>
      </c>
      <c r="G2208" s="37" t="inlineStr">
        <is>
          <t>Y</t>
        </is>
      </c>
      <c r="H2208" s="37" t="inlineStr">
        <is>
          <t>N</t>
        </is>
      </c>
      <c r="I2208" s="37">
        <f>COUNTIF(G$5:G2208,"Y")/COUNTA(G$5:G2208)</f>
        <v/>
      </c>
      <c r="J2208" s="37">
        <f>COUNTIF(H$5:H2208,"Y")/COUNTA(H$5:H2208)</f>
        <v/>
      </c>
      <c r="K2208" s="37">
        <f>AVERAGE(F$5:F2208)</f>
        <v/>
      </c>
      <c r="L2208" s="37">
        <f>SUM(F$5:F2208)/SUM(E$5:E2208)</f>
        <v/>
      </c>
    </row>
    <row r="2209">
      <c r="A2209" s="29" t="n">
        <v>45989</v>
      </c>
      <c r="B2209" s="37" t="inlineStr">
        <is>
          <t>JOB-3205</t>
        </is>
      </c>
      <c r="C2209" s="34" t="n">
        <v>1</v>
      </c>
      <c r="D2209" s="37" t="inlineStr">
        <is>
          <t>Tech B</t>
        </is>
      </c>
      <c r="E2209" s="35" t="n">
        <v>4.7</v>
      </c>
      <c r="F2209" s="35" t="n">
        <v>3.3</v>
      </c>
      <c r="G2209" s="37" t="inlineStr">
        <is>
          <t>N</t>
        </is>
      </c>
      <c r="H2209" s="37" t="inlineStr">
        <is>
          <t>N</t>
        </is>
      </c>
      <c r="I2209" s="37">
        <f>COUNTIF(G$5:G2209,"Y")/COUNTA(G$5:G2209)</f>
        <v/>
      </c>
      <c r="J2209" s="37">
        <f>COUNTIF(H$5:H2209,"Y")/COUNTA(H$5:H2209)</f>
        <v/>
      </c>
      <c r="K2209" s="37">
        <f>AVERAGE(F$5:F2209)</f>
        <v/>
      </c>
      <c r="L2209" s="37">
        <f>SUM(F$5:F2209)/SUM(E$5:E2209)</f>
        <v/>
      </c>
    </row>
    <row r="2210">
      <c r="A2210" s="29" t="n">
        <v>45985</v>
      </c>
      <c r="B2210" s="37" t="inlineStr">
        <is>
          <t>JOB-3206</t>
        </is>
      </c>
      <c r="C2210" s="34" t="n">
        <v>1</v>
      </c>
      <c r="D2210" s="37" t="inlineStr">
        <is>
          <t>Tech G</t>
        </is>
      </c>
      <c r="E2210" s="35" t="n">
        <v>2.3</v>
      </c>
      <c r="F2210" s="35" t="n">
        <v>1.8</v>
      </c>
      <c r="G2210" s="37" t="inlineStr">
        <is>
          <t>Y</t>
        </is>
      </c>
      <c r="H2210" s="37" t="inlineStr">
        <is>
          <t>N</t>
        </is>
      </c>
      <c r="I2210" s="37">
        <f>COUNTIF(G$5:G2210,"Y")/COUNTA(G$5:G2210)</f>
        <v/>
      </c>
      <c r="J2210" s="37">
        <f>COUNTIF(H$5:H2210,"Y")/COUNTA(H$5:H2210)</f>
        <v/>
      </c>
      <c r="K2210" s="37">
        <f>AVERAGE(F$5:F2210)</f>
        <v/>
      </c>
      <c r="L2210" s="37">
        <f>SUM(F$5:F2210)/SUM(E$5:E2210)</f>
        <v/>
      </c>
    </row>
    <row r="2211">
      <c r="A2211" s="29" t="n">
        <v>45986</v>
      </c>
      <c r="B2211" s="37" t="inlineStr">
        <is>
          <t>JOB-3207</t>
        </is>
      </c>
      <c r="C2211" s="34" t="n">
        <v>1</v>
      </c>
      <c r="D2211" s="37" t="inlineStr">
        <is>
          <t>Tech G</t>
        </is>
      </c>
      <c r="E2211" s="35" t="n">
        <v>2.1</v>
      </c>
      <c r="F2211" s="35" t="n">
        <v>1.6</v>
      </c>
      <c r="G2211" s="37" t="inlineStr">
        <is>
          <t>N</t>
        </is>
      </c>
      <c r="H2211" s="37" t="inlineStr">
        <is>
          <t>N</t>
        </is>
      </c>
      <c r="I2211" s="37">
        <f>COUNTIF(G$5:G2211,"Y")/COUNTA(G$5:G2211)</f>
        <v/>
      </c>
      <c r="J2211" s="37">
        <f>COUNTIF(H$5:H2211,"Y")/COUNTA(H$5:H2211)</f>
        <v/>
      </c>
      <c r="K2211" s="37">
        <f>AVERAGE(F$5:F2211)</f>
        <v/>
      </c>
      <c r="L2211" s="37">
        <f>SUM(F$5:F2211)/SUM(E$5:E2211)</f>
        <v/>
      </c>
    </row>
    <row r="2212">
      <c r="A2212" s="29" t="n">
        <v>45987</v>
      </c>
      <c r="B2212" s="37" t="inlineStr">
        <is>
          <t>JOB-3208</t>
        </is>
      </c>
      <c r="C2212" s="34" t="n">
        <v>1</v>
      </c>
      <c r="D2212" s="37" t="inlineStr">
        <is>
          <t>Tech F</t>
        </is>
      </c>
      <c r="E2212" s="35" t="n">
        <v>2.3</v>
      </c>
      <c r="F2212" s="35" t="n">
        <v>1.7</v>
      </c>
      <c r="G2212" s="37" t="inlineStr">
        <is>
          <t>Y</t>
        </is>
      </c>
      <c r="H2212" s="37" t="inlineStr">
        <is>
          <t>N</t>
        </is>
      </c>
      <c r="I2212" s="37">
        <f>COUNTIF(G$5:G2212,"Y")/COUNTA(G$5:G2212)</f>
        <v/>
      </c>
      <c r="J2212" s="37">
        <f>COUNTIF(H$5:H2212,"Y")/COUNTA(H$5:H2212)</f>
        <v/>
      </c>
      <c r="K2212" s="37">
        <f>AVERAGE(F$5:F2212)</f>
        <v/>
      </c>
      <c r="L2212" s="37">
        <f>SUM(F$5:F2212)/SUM(E$5:E2212)</f>
        <v/>
      </c>
    </row>
    <row r="2213">
      <c r="A2213" s="29" t="n">
        <v>45988</v>
      </c>
      <c r="B2213" s="37" t="inlineStr">
        <is>
          <t>JOB-3209</t>
        </is>
      </c>
      <c r="C2213" s="34" t="n">
        <v>1</v>
      </c>
      <c r="D2213" s="37" t="inlineStr">
        <is>
          <t>Tech D</t>
        </is>
      </c>
      <c r="E2213" s="35" t="n">
        <v>1.2</v>
      </c>
      <c r="F2213" s="35" t="n">
        <v>1.1</v>
      </c>
      <c r="G2213" s="37" t="inlineStr">
        <is>
          <t>Y</t>
        </is>
      </c>
      <c r="H2213" s="37" t="inlineStr">
        <is>
          <t>N</t>
        </is>
      </c>
      <c r="I2213" s="37">
        <f>COUNTIF(G$5:G2213,"Y")/COUNTA(G$5:G2213)</f>
        <v/>
      </c>
      <c r="J2213" s="37">
        <f>COUNTIF(H$5:H2213,"Y")/COUNTA(H$5:H2213)</f>
        <v/>
      </c>
      <c r="K2213" s="37">
        <f>AVERAGE(F$5:F2213)</f>
        <v/>
      </c>
      <c r="L2213" s="37">
        <f>SUM(F$5:F2213)/SUM(E$5:E2213)</f>
        <v/>
      </c>
    </row>
    <row r="2214">
      <c r="A2214" s="29" t="n">
        <v>45989</v>
      </c>
      <c r="B2214" s="37" t="inlineStr">
        <is>
          <t>JOB-3210</t>
        </is>
      </c>
      <c r="C2214" s="34" t="n">
        <v>1</v>
      </c>
      <c r="D2214" s="37" t="inlineStr">
        <is>
          <t>Tech B</t>
        </is>
      </c>
      <c r="E2214" s="35" t="n">
        <v>2.8</v>
      </c>
      <c r="F2214" s="35" t="n">
        <v>2.4</v>
      </c>
      <c r="G2214" s="37" t="inlineStr">
        <is>
          <t>Y</t>
        </is>
      </c>
      <c r="H2214" s="37" t="inlineStr">
        <is>
          <t>N</t>
        </is>
      </c>
      <c r="I2214" s="37">
        <f>COUNTIF(G$5:G2214,"Y")/COUNTA(G$5:G2214)</f>
        <v/>
      </c>
      <c r="J2214" s="37">
        <f>COUNTIF(H$5:H2214,"Y")/COUNTA(H$5:H2214)</f>
        <v/>
      </c>
      <c r="K2214" s="37">
        <f>AVERAGE(F$5:F2214)</f>
        <v/>
      </c>
      <c r="L2214" s="37">
        <f>SUM(F$5:F2214)/SUM(E$5:E2214)</f>
        <v/>
      </c>
    </row>
    <row r="2215">
      <c r="A2215" s="29" t="n">
        <v>45985</v>
      </c>
      <c r="B2215" s="37" t="inlineStr">
        <is>
          <t>JOB-3211</t>
        </is>
      </c>
      <c r="C2215" s="34" t="n">
        <v>1</v>
      </c>
      <c r="D2215" s="37" t="inlineStr">
        <is>
          <t>Tech B</t>
        </is>
      </c>
      <c r="E2215" s="35" t="n">
        <v>4.2</v>
      </c>
      <c r="F2215" s="35" t="n">
        <v>3.3</v>
      </c>
      <c r="G2215" s="37" t="inlineStr">
        <is>
          <t>Y</t>
        </is>
      </c>
      <c r="H2215" s="37" t="inlineStr">
        <is>
          <t>N</t>
        </is>
      </c>
      <c r="I2215" s="37">
        <f>COUNTIF(G$5:G2215,"Y")/COUNTA(G$5:G2215)</f>
        <v/>
      </c>
      <c r="J2215" s="37">
        <f>COUNTIF(H$5:H2215,"Y")/COUNTA(H$5:H2215)</f>
        <v/>
      </c>
      <c r="K2215" s="37">
        <f>AVERAGE(F$5:F2215)</f>
        <v/>
      </c>
      <c r="L2215" s="37">
        <f>SUM(F$5:F2215)/SUM(E$5:E2215)</f>
        <v/>
      </c>
    </row>
    <row r="2216">
      <c r="A2216" s="29" t="n">
        <v>45986</v>
      </c>
      <c r="B2216" s="37" t="inlineStr">
        <is>
          <t>JOB-3212</t>
        </is>
      </c>
      <c r="C2216" s="34" t="n">
        <v>1</v>
      </c>
      <c r="D2216" s="37" t="inlineStr">
        <is>
          <t>Tech G</t>
        </is>
      </c>
      <c r="E2216" s="35" t="n">
        <v>1.2</v>
      </c>
      <c r="F2216" s="35" t="n">
        <v>1</v>
      </c>
      <c r="G2216" s="37" t="inlineStr">
        <is>
          <t>Y</t>
        </is>
      </c>
      <c r="H2216" s="37" t="inlineStr">
        <is>
          <t>N</t>
        </is>
      </c>
      <c r="I2216" s="37">
        <f>COUNTIF(G$5:G2216,"Y")/COUNTA(G$5:G2216)</f>
        <v/>
      </c>
      <c r="J2216" s="37">
        <f>COUNTIF(H$5:H2216,"Y")/COUNTA(H$5:H2216)</f>
        <v/>
      </c>
      <c r="K2216" s="37">
        <f>AVERAGE(F$5:F2216)</f>
        <v/>
      </c>
      <c r="L2216" s="37">
        <f>SUM(F$5:F2216)/SUM(E$5:E2216)</f>
        <v/>
      </c>
    </row>
    <row r="2217">
      <c r="A2217" s="29" t="n">
        <v>45987</v>
      </c>
      <c r="B2217" s="37" t="inlineStr">
        <is>
          <t>JOB-3213</t>
        </is>
      </c>
      <c r="C2217" s="34" t="n">
        <v>1</v>
      </c>
      <c r="D2217" s="37" t="inlineStr">
        <is>
          <t>Tech B</t>
        </is>
      </c>
      <c r="E2217" s="35" t="n">
        <v>2</v>
      </c>
      <c r="F2217" s="35" t="n">
        <v>1.6</v>
      </c>
      <c r="G2217" s="37" t="inlineStr">
        <is>
          <t>Y</t>
        </is>
      </c>
      <c r="H2217" s="37" t="inlineStr">
        <is>
          <t>N</t>
        </is>
      </c>
      <c r="I2217" s="37">
        <f>COUNTIF(G$5:G2217,"Y")/COUNTA(G$5:G2217)</f>
        <v/>
      </c>
      <c r="J2217" s="37">
        <f>COUNTIF(H$5:H2217,"Y")/COUNTA(H$5:H2217)</f>
        <v/>
      </c>
      <c r="K2217" s="37">
        <f>AVERAGE(F$5:F2217)</f>
        <v/>
      </c>
      <c r="L2217" s="37">
        <f>SUM(F$5:F2217)/SUM(E$5:E2217)</f>
        <v/>
      </c>
    </row>
    <row r="2218">
      <c r="A2218" s="29" t="n">
        <v>45988</v>
      </c>
      <c r="B2218" s="37" t="inlineStr">
        <is>
          <t>JOB-3214</t>
        </is>
      </c>
      <c r="C2218" s="34" t="n">
        <v>1</v>
      </c>
      <c r="D2218" s="37" t="inlineStr">
        <is>
          <t>Tech A</t>
        </is>
      </c>
      <c r="E2218" s="35" t="n">
        <v>2.3</v>
      </c>
      <c r="F2218" s="35" t="n">
        <v>1.9</v>
      </c>
      <c r="G2218" s="37" t="inlineStr">
        <is>
          <t>Y</t>
        </is>
      </c>
      <c r="H2218" s="37" t="inlineStr">
        <is>
          <t>N</t>
        </is>
      </c>
      <c r="I2218" s="37">
        <f>COUNTIF(G$5:G2218,"Y")/COUNTA(G$5:G2218)</f>
        <v/>
      </c>
      <c r="J2218" s="37">
        <f>COUNTIF(H$5:H2218,"Y")/COUNTA(H$5:H2218)</f>
        <v/>
      </c>
      <c r="K2218" s="37">
        <f>AVERAGE(F$5:F2218)</f>
        <v/>
      </c>
      <c r="L2218" s="37">
        <f>SUM(F$5:F2218)/SUM(E$5:E2218)</f>
        <v/>
      </c>
    </row>
    <row r="2219">
      <c r="A2219" s="29" t="n">
        <v>45989</v>
      </c>
      <c r="B2219" s="37" t="inlineStr">
        <is>
          <t>JOB-3215</t>
        </is>
      </c>
      <c r="C2219" s="34" t="n">
        <v>1</v>
      </c>
      <c r="D2219" s="37" t="inlineStr">
        <is>
          <t>Tech H</t>
        </is>
      </c>
      <c r="E2219" s="35" t="n">
        <v>4.7</v>
      </c>
      <c r="F2219" s="35" t="n">
        <v>3.4</v>
      </c>
      <c r="G2219" s="37" t="inlineStr">
        <is>
          <t>Y</t>
        </is>
      </c>
      <c r="H2219" s="37" t="inlineStr">
        <is>
          <t>N</t>
        </is>
      </c>
      <c r="I2219" s="37">
        <f>COUNTIF(G$5:G2219,"Y")/COUNTA(G$5:G2219)</f>
        <v/>
      </c>
      <c r="J2219" s="37">
        <f>COUNTIF(H$5:H2219,"Y")/COUNTA(H$5:H2219)</f>
        <v/>
      </c>
      <c r="K2219" s="37">
        <f>AVERAGE(F$5:F2219)</f>
        <v/>
      </c>
      <c r="L2219" s="37">
        <f>SUM(F$5:F2219)/SUM(E$5:E2219)</f>
        <v/>
      </c>
    </row>
    <row r="2220">
      <c r="A2220" s="29" t="n">
        <v>45985</v>
      </c>
      <c r="B2220" s="37" t="inlineStr">
        <is>
          <t>JOB-3216</t>
        </is>
      </c>
      <c r="C2220" s="34" t="n">
        <v>1</v>
      </c>
      <c r="D2220" s="37" t="inlineStr">
        <is>
          <t>Tech B</t>
        </is>
      </c>
      <c r="E2220" s="35" t="n">
        <v>3.8</v>
      </c>
      <c r="F2220" s="35" t="n">
        <v>2.7</v>
      </c>
      <c r="G2220" s="37" t="inlineStr">
        <is>
          <t>Y</t>
        </is>
      </c>
      <c r="H2220" s="37" t="inlineStr">
        <is>
          <t>N</t>
        </is>
      </c>
      <c r="I2220" s="37">
        <f>COUNTIF(G$5:G2220,"Y")/COUNTA(G$5:G2220)</f>
        <v/>
      </c>
      <c r="J2220" s="37">
        <f>COUNTIF(H$5:H2220,"Y")/COUNTA(H$5:H2220)</f>
        <v/>
      </c>
      <c r="K2220" s="37">
        <f>AVERAGE(F$5:F2220)</f>
        <v/>
      </c>
      <c r="L2220" s="37">
        <f>SUM(F$5:F2220)/SUM(E$5:E2220)</f>
        <v/>
      </c>
    </row>
    <row r="2221">
      <c r="A2221" s="29" t="n">
        <v>45986</v>
      </c>
      <c r="B2221" s="37" t="inlineStr">
        <is>
          <t>JOB-3217</t>
        </is>
      </c>
      <c r="C2221" s="34" t="n">
        <v>1</v>
      </c>
      <c r="D2221" s="37" t="inlineStr">
        <is>
          <t>Tech A</t>
        </is>
      </c>
      <c r="E2221" s="35" t="n">
        <v>0.7</v>
      </c>
      <c r="F2221" s="35" t="n">
        <v>0.5</v>
      </c>
      <c r="G2221" s="37" t="inlineStr">
        <is>
          <t>Y</t>
        </is>
      </c>
      <c r="H2221" s="37" t="inlineStr">
        <is>
          <t>N</t>
        </is>
      </c>
      <c r="I2221" s="37">
        <f>COUNTIF(G$5:G2221,"Y")/COUNTA(G$5:G2221)</f>
        <v/>
      </c>
      <c r="J2221" s="37">
        <f>COUNTIF(H$5:H2221,"Y")/COUNTA(H$5:H2221)</f>
        <v/>
      </c>
      <c r="K2221" s="37">
        <f>AVERAGE(F$5:F2221)</f>
        <v/>
      </c>
      <c r="L2221" s="37">
        <f>SUM(F$5:F2221)/SUM(E$5:E2221)</f>
        <v/>
      </c>
    </row>
    <row r="2222">
      <c r="A2222" s="29" t="n">
        <v>45987</v>
      </c>
      <c r="B2222" s="37" t="inlineStr">
        <is>
          <t>JOB-3218</t>
        </is>
      </c>
      <c r="C2222" s="34" t="n">
        <v>1</v>
      </c>
      <c r="D2222" s="37" t="inlineStr">
        <is>
          <t>Tech H</t>
        </is>
      </c>
      <c r="E2222" s="35" t="n">
        <v>0.6</v>
      </c>
      <c r="F2222" s="35" t="n">
        <v>0.5</v>
      </c>
      <c r="G2222" s="37" t="inlineStr">
        <is>
          <t>Y</t>
        </is>
      </c>
      <c r="H2222" s="37" t="inlineStr">
        <is>
          <t>N</t>
        </is>
      </c>
      <c r="I2222" s="37">
        <f>COUNTIF(G$5:G2222,"Y")/COUNTA(G$5:G2222)</f>
        <v/>
      </c>
      <c r="J2222" s="37">
        <f>COUNTIF(H$5:H2222,"Y")/COUNTA(H$5:H2222)</f>
        <v/>
      </c>
      <c r="K2222" s="37">
        <f>AVERAGE(F$5:F2222)</f>
        <v/>
      </c>
      <c r="L2222" s="37">
        <f>SUM(F$5:F2222)/SUM(E$5:E2222)</f>
        <v/>
      </c>
    </row>
    <row r="2223">
      <c r="A2223" s="29" t="n">
        <v>45988</v>
      </c>
      <c r="B2223" s="37" t="inlineStr">
        <is>
          <t>JOB-3219</t>
        </is>
      </c>
      <c r="C2223" s="34" t="n">
        <v>1</v>
      </c>
      <c r="D2223" s="37" t="inlineStr">
        <is>
          <t>Tech H</t>
        </is>
      </c>
      <c r="E2223" s="35" t="n">
        <v>0.6</v>
      </c>
      <c r="F2223" s="35" t="n">
        <v>0.5</v>
      </c>
      <c r="G2223" s="37" t="inlineStr">
        <is>
          <t>Y</t>
        </is>
      </c>
      <c r="H2223" s="37" t="inlineStr">
        <is>
          <t>N</t>
        </is>
      </c>
      <c r="I2223" s="37">
        <f>COUNTIF(G$5:G2223,"Y")/COUNTA(G$5:G2223)</f>
        <v/>
      </c>
      <c r="J2223" s="37">
        <f>COUNTIF(H$5:H2223,"Y")/COUNTA(H$5:H2223)</f>
        <v/>
      </c>
      <c r="K2223" s="37">
        <f>AVERAGE(F$5:F2223)</f>
        <v/>
      </c>
      <c r="L2223" s="37">
        <f>SUM(F$5:F2223)/SUM(E$5:E2223)</f>
        <v/>
      </c>
    </row>
    <row r="2224">
      <c r="A2224" s="29" t="n">
        <v>45989</v>
      </c>
      <c r="B2224" s="37" t="inlineStr">
        <is>
          <t>JOB-3220</t>
        </is>
      </c>
      <c r="C2224" s="34" t="n">
        <v>1</v>
      </c>
      <c r="D2224" s="37" t="inlineStr">
        <is>
          <t>Tech B</t>
        </is>
      </c>
      <c r="E2224" s="35" t="n">
        <v>1</v>
      </c>
      <c r="F2224" s="35" t="n">
        <v>0.5</v>
      </c>
      <c r="G2224" s="37" t="inlineStr">
        <is>
          <t>Y</t>
        </is>
      </c>
      <c r="H2224" s="37" t="inlineStr">
        <is>
          <t>N</t>
        </is>
      </c>
      <c r="I2224" s="37">
        <f>COUNTIF(G$5:G2224,"Y")/COUNTA(G$5:G2224)</f>
        <v/>
      </c>
      <c r="J2224" s="37">
        <f>COUNTIF(H$5:H2224,"Y")/COUNTA(H$5:H2224)</f>
        <v/>
      </c>
      <c r="K2224" s="37">
        <f>AVERAGE(F$5:F2224)</f>
        <v/>
      </c>
      <c r="L2224" s="37">
        <f>SUM(F$5:F2224)/SUM(E$5:E2224)</f>
        <v/>
      </c>
      <c r="M2224" s="37" t="n">
        <v>10</v>
      </c>
    </row>
    <row r="2225">
      <c r="A2225" s="29" t="n">
        <v>45992</v>
      </c>
      <c r="B2225" s="37" t="inlineStr">
        <is>
          <t>JOB-3221</t>
        </is>
      </c>
      <c r="C2225" s="34" t="n">
        <v>1</v>
      </c>
      <c r="D2225" s="37" t="inlineStr">
        <is>
          <t>Tech F</t>
        </is>
      </c>
      <c r="E2225" s="35" t="n">
        <v>2.4</v>
      </c>
      <c r="F2225" s="35" t="n">
        <v>2.1</v>
      </c>
      <c r="G2225" s="37" t="inlineStr">
        <is>
          <t>Y</t>
        </is>
      </c>
      <c r="H2225" s="37" t="inlineStr">
        <is>
          <t>N</t>
        </is>
      </c>
      <c r="I2225" s="37">
        <f>COUNTIF(G$5:G2225,"Y")/COUNTA(G$5:G2225)</f>
        <v/>
      </c>
      <c r="J2225" s="37">
        <f>COUNTIF(H$5:H2225,"Y")/COUNTA(H$5:H2225)</f>
        <v/>
      </c>
      <c r="K2225" s="37">
        <f>AVERAGE(F$5:F2225)</f>
        <v/>
      </c>
      <c r="L2225" s="37">
        <f>SUM(F$5:F2225)/SUM(E$5:E2225)</f>
        <v/>
      </c>
    </row>
    <row r="2226">
      <c r="A2226" s="29" t="n">
        <v>45993</v>
      </c>
      <c r="B2226" s="37" t="inlineStr">
        <is>
          <t>JOB-3222</t>
        </is>
      </c>
      <c r="C2226" s="34" t="n">
        <v>1</v>
      </c>
      <c r="D2226" s="37" t="inlineStr">
        <is>
          <t>Tech G</t>
        </is>
      </c>
      <c r="E2226" s="35" t="n">
        <v>4.7</v>
      </c>
      <c r="F2226" s="35" t="n">
        <v>3.7</v>
      </c>
      <c r="G2226" s="37" t="inlineStr">
        <is>
          <t>Y</t>
        </is>
      </c>
      <c r="H2226" s="37" t="inlineStr">
        <is>
          <t>N</t>
        </is>
      </c>
      <c r="I2226" s="37">
        <f>COUNTIF(G$5:G2226,"Y")/COUNTA(G$5:G2226)</f>
        <v/>
      </c>
      <c r="J2226" s="37">
        <f>COUNTIF(H$5:H2226,"Y")/COUNTA(H$5:H2226)</f>
        <v/>
      </c>
      <c r="K2226" s="37">
        <f>AVERAGE(F$5:F2226)</f>
        <v/>
      </c>
      <c r="L2226" s="37">
        <f>SUM(F$5:F2226)/SUM(E$5:E2226)</f>
        <v/>
      </c>
    </row>
    <row r="2227">
      <c r="A2227" s="29" t="n">
        <v>45994</v>
      </c>
      <c r="B2227" s="37" t="inlineStr">
        <is>
          <t>JOB-3223</t>
        </is>
      </c>
      <c r="C2227" s="34" t="n">
        <v>1</v>
      </c>
      <c r="D2227" s="37" t="inlineStr">
        <is>
          <t>Tech F</t>
        </is>
      </c>
      <c r="E2227" s="35" t="n">
        <v>4.2</v>
      </c>
      <c r="F2227" s="35" t="n">
        <v>3</v>
      </c>
      <c r="G2227" s="37" t="inlineStr">
        <is>
          <t>Y</t>
        </is>
      </c>
      <c r="H2227" s="37" t="inlineStr">
        <is>
          <t>N</t>
        </is>
      </c>
      <c r="I2227" s="37">
        <f>COUNTIF(G$5:G2227,"Y")/COUNTA(G$5:G2227)</f>
        <v/>
      </c>
      <c r="J2227" s="37">
        <f>COUNTIF(H$5:H2227,"Y")/COUNTA(H$5:H2227)</f>
        <v/>
      </c>
      <c r="K2227" s="37">
        <f>AVERAGE(F$5:F2227)</f>
        <v/>
      </c>
      <c r="L2227" s="37">
        <f>SUM(F$5:F2227)/SUM(E$5:E2227)</f>
        <v/>
      </c>
    </row>
    <row r="2228">
      <c r="A2228" s="29" t="n">
        <v>45995</v>
      </c>
      <c r="B2228" s="37" t="inlineStr">
        <is>
          <t>JOB-3224</t>
        </is>
      </c>
      <c r="C2228" s="34" t="n">
        <v>1</v>
      </c>
      <c r="D2228" s="37" t="inlineStr">
        <is>
          <t>Tech C</t>
        </is>
      </c>
      <c r="E2228" s="35" t="n">
        <v>1.9</v>
      </c>
      <c r="F2228" s="35" t="n">
        <v>1.3</v>
      </c>
      <c r="G2228" s="37" t="inlineStr">
        <is>
          <t>Y</t>
        </is>
      </c>
      <c r="H2228" s="37" t="inlineStr">
        <is>
          <t>N</t>
        </is>
      </c>
      <c r="I2228" s="37">
        <f>COUNTIF(G$5:G2228,"Y")/COUNTA(G$5:G2228)</f>
        <v/>
      </c>
      <c r="J2228" s="37">
        <f>COUNTIF(H$5:H2228,"Y")/COUNTA(H$5:H2228)</f>
        <v/>
      </c>
      <c r="K2228" s="37">
        <f>AVERAGE(F$5:F2228)</f>
        <v/>
      </c>
      <c r="L2228" s="37">
        <f>SUM(F$5:F2228)/SUM(E$5:E2228)</f>
        <v/>
      </c>
    </row>
    <row r="2229">
      <c r="A2229" s="29" t="n">
        <v>45996</v>
      </c>
      <c r="B2229" s="37" t="inlineStr">
        <is>
          <t>JOB-3225</t>
        </is>
      </c>
      <c r="C2229" s="34" t="n">
        <v>1</v>
      </c>
      <c r="D2229" s="37" t="inlineStr">
        <is>
          <t>Tech C</t>
        </is>
      </c>
      <c r="E2229" s="35" t="n">
        <v>3.9</v>
      </c>
      <c r="F2229" s="35" t="n">
        <v>3.4</v>
      </c>
      <c r="G2229" s="37" t="inlineStr">
        <is>
          <t>Y</t>
        </is>
      </c>
      <c r="H2229" s="37" t="inlineStr">
        <is>
          <t>N</t>
        </is>
      </c>
      <c r="I2229" s="37">
        <f>COUNTIF(G$5:G2229,"Y")/COUNTA(G$5:G2229)</f>
        <v/>
      </c>
      <c r="J2229" s="37">
        <f>COUNTIF(H$5:H2229,"Y")/COUNTA(H$5:H2229)</f>
        <v/>
      </c>
      <c r="K2229" s="37">
        <f>AVERAGE(F$5:F2229)</f>
        <v/>
      </c>
      <c r="L2229" s="37">
        <f>SUM(F$5:F2229)/SUM(E$5:E2229)</f>
        <v/>
      </c>
    </row>
    <row r="2230">
      <c r="A2230" s="29" t="n">
        <v>45992</v>
      </c>
      <c r="B2230" s="37" t="inlineStr">
        <is>
          <t>JOB-3226</t>
        </is>
      </c>
      <c r="C2230" s="34" t="n">
        <v>1</v>
      </c>
      <c r="D2230" s="37" t="inlineStr">
        <is>
          <t>Tech A</t>
        </is>
      </c>
      <c r="E2230" s="35" t="n">
        <v>2.3</v>
      </c>
      <c r="F2230" s="35" t="n">
        <v>2</v>
      </c>
      <c r="G2230" s="37" t="inlineStr">
        <is>
          <t>N</t>
        </is>
      </c>
      <c r="H2230" s="37" t="inlineStr">
        <is>
          <t>N</t>
        </is>
      </c>
      <c r="I2230" s="37">
        <f>COUNTIF(G$5:G2230,"Y")/COUNTA(G$5:G2230)</f>
        <v/>
      </c>
      <c r="J2230" s="37">
        <f>COUNTIF(H$5:H2230,"Y")/COUNTA(H$5:H2230)</f>
        <v/>
      </c>
      <c r="K2230" s="37">
        <f>AVERAGE(F$5:F2230)</f>
        <v/>
      </c>
      <c r="L2230" s="37">
        <f>SUM(F$5:F2230)/SUM(E$5:E2230)</f>
        <v/>
      </c>
    </row>
    <row r="2231">
      <c r="A2231" s="29" t="n">
        <v>45993</v>
      </c>
      <c r="B2231" s="37" t="inlineStr">
        <is>
          <t>JOB-3227</t>
        </is>
      </c>
      <c r="C2231" s="34" t="n">
        <v>1</v>
      </c>
      <c r="D2231" s="37" t="inlineStr">
        <is>
          <t>Tech H</t>
        </is>
      </c>
      <c r="E2231" s="35" t="n">
        <v>1.8</v>
      </c>
      <c r="F2231" s="35" t="n">
        <v>1.3</v>
      </c>
      <c r="G2231" s="37" t="inlineStr">
        <is>
          <t>Y</t>
        </is>
      </c>
      <c r="H2231" s="37" t="inlineStr">
        <is>
          <t>N</t>
        </is>
      </c>
      <c r="I2231" s="37">
        <f>COUNTIF(G$5:G2231,"Y")/COUNTA(G$5:G2231)</f>
        <v/>
      </c>
      <c r="J2231" s="37">
        <f>COUNTIF(H$5:H2231,"Y")/COUNTA(H$5:H2231)</f>
        <v/>
      </c>
      <c r="K2231" s="37">
        <f>AVERAGE(F$5:F2231)</f>
        <v/>
      </c>
      <c r="L2231" s="37">
        <f>SUM(F$5:F2231)/SUM(E$5:E2231)</f>
        <v/>
      </c>
    </row>
    <row r="2232">
      <c r="A2232" s="29" t="n">
        <v>45994</v>
      </c>
      <c r="B2232" s="37" t="inlineStr">
        <is>
          <t>JOB-3228</t>
        </is>
      </c>
      <c r="C2232" s="34" t="n">
        <v>1</v>
      </c>
      <c r="D2232" s="37" t="inlineStr">
        <is>
          <t>Tech D</t>
        </is>
      </c>
      <c r="E2232" s="35" t="n">
        <v>3.9</v>
      </c>
      <c r="F2232" s="35" t="n">
        <v>3.3</v>
      </c>
      <c r="G2232" s="37" t="inlineStr">
        <is>
          <t>Y</t>
        </is>
      </c>
      <c r="H2232" s="37" t="inlineStr">
        <is>
          <t>N</t>
        </is>
      </c>
      <c r="I2232" s="37">
        <f>COUNTIF(G$5:G2232,"Y")/COUNTA(G$5:G2232)</f>
        <v/>
      </c>
      <c r="J2232" s="37">
        <f>COUNTIF(H$5:H2232,"Y")/COUNTA(H$5:H2232)</f>
        <v/>
      </c>
      <c r="K2232" s="37">
        <f>AVERAGE(F$5:F2232)</f>
        <v/>
      </c>
      <c r="L2232" s="37">
        <f>SUM(F$5:F2232)/SUM(E$5:E2232)</f>
        <v/>
      </c>
    </row>
    <row r="2233">
      <c r="A2233" s="29" t="n">
        <v>45995</v>
      </c>
      <c r="B2233" s="37" t="inlineStr">
        <is>
          <t>JOB-3229</t>
        </is>
      </c>
      <c r="C2233" s="34" t="n">
        <v>1</v>
      </c>
      <c r="D2233" s="37" t="inlineStr">
        <is>
          <t>Tech F</t>
        </is>
      </c>
      <c r="E2233" s="35" t="n">
        <v>2.1</v>
      </c>
      <c r="F2233" s="35" t="n">
        <v>1.5</v>
      </c>
      <c r="G2233" s="37" t="inlineStr">
        <is>
          <t>Y</t>
        </is>
      </c>
      <c r="H2233" s="37" t="inlineStr">
        <is>
          <t>N</t>
        </is>
      </c>
      <c r="I2233" s="37">
        <f>COUNTIF(G$5:G2233,"Y")/COUNTA(G$5:G2233)</f>
        <v/>
      </c>
      <c r="J2233" s="37">
        <f>COUNTIF(H$5:H2233,"Y")/COUNTA(H$5:H2233)</f>
        <v/>
      </c>
      <c r="K2233" s="37">
        <f>AVERAGE(F$5:F2233)</f>
        <v/>
      </c>
      <c r="L2233" s="37">
        <f>SUM(F$5:F2233)/SUM(E$5:E2233)</f>
        <v/>
      </c>
    </row>
    <row r="2234">
      <c r="A2234" s="29" t="n">
        <v>45996</v>
      </c>
      <c r="B2234" s="37" t="inlineStr">
        <is>
          <t>JOB-3230</t>
        </is>
      </c>
      <c r="C2234" s="34" t="n">
        <v>1</v>
      </c>
      <c r="D2234" s="37" t="inlineStr">
        <is>
          <t>Tech D</t>
        </is>
      </c>
      <c r="E2234" s="35" t="n">
        <v>4.4</v>
      </c>
      <c r="F2234" s="35" t="n">
        <v>3.1</v>
      </c>
      <c r="G2234" s="37" t="inlineStr">
        <is>
          <t>Y</t>
        </is>
      </c>
      <c r="H2234" s="37" t="inlineStr">
        <is>
          <t>N</t>
        </is>
      </c>
      <c r="I2234" s="37">
        <f>COUNTIF(G$5:G2234,"Y")/COUNTA(G$5:G2234)</f>
        <v/>
      </c>
      <c r="J2234" s="37">
        <f>COUNTIF(H$5:H2234,"Y")/COUNTA(H$5:H2234)</f>
        <v/>
      </c>
      <c r="K2234" s="37">
        <f>AVERAGE(F$5:F2234)</f>
        <v/>
      </c>
      <c r="L2234" s="37">
        <f>SUM(F$5:F2234)/SUM(E$5:E2234)</f>
        <v/>
      </c>
    </row>
    <row r="2235">
      <c r="A2235" s="29" t="n">
        <v>45992</v>
      </c>
      <c r="B2235" s="37" t="inlineStr">
        <is>
          <t>JOB-3231</t>
        </is>
      </c>
      <c r="C2235" s="34" t="n">
        <v>1</v>
      </c>
      <c r="D2235" s="37" t="inlineStr">
        <is>
          <t>Tech C</t>
        </is>
      </c>
      <c r="E2235" s="35" t="n">
        <v>2.5</v>
      </c>
      <c r="F2235" s="35" t="n">
        <v>1.9</v>
      </c>
      <c r="G2235" s="37" t="inlineStr">
        <is>
          <t>Y</t>
        </is>
      </c>
      <c r="H2235" s="37" t="inlineStr">
        <is>
          <t>N</t>
        </is>
      </c>
      <c r="I2235" s="37">
        <f>COUNTIF(G$5:G2235,"Y")/COUNTA(G$5:G2235)</f>
        <v/>
      </c>
      <c r="J2235" s="37">
        <f>COUNTIF(H$5:H2235,"Y")/COUNTA(H$5:H2235)</f>
        <v/>
      </c>
      <c r="K2235" s="37">
        <f>AVERAGE(F$5:F2235)</f>
        <v/>
      </c>
      <c r="L2235" s="37">
        <f>SUM(F$5:F2235)/SUM(E$5:E2235)</f>
        <v/>
      </c>
    </row>
    <row r="2236">
      <c r="A2236" s="29" t="n">
        <v>45993</v>
      </c>
      <c r="B2236" s="37" t="inlineStr">
        <is>
          <t>JOB-3232</t>
        </is>
      </c>
      <c r="C2236" s="34" t="n">
        <v>1</v>
      </c>
      <c r="D2236" s="37" t="inlineStr">
        <is>
          <t>Tech H</t>
        </is>
      </c>
      <c r="E2236" s="35" t="n">
        <v>2.9</v>
      </c>
      <c r="F2236" s="35" t="n">
        <v>2</v>
      </c>
      <c r="G2236" s="37" t="inlineStr">
        <is>
          <t>Y</t>
        </is>
      </c>
      <c r="H2236" s="37" t="inlineStr">
        <is>
          <t>N</t>
        </is>
      </c>
      <c r="I2236" s="37">
        <f>COUNTIF(G$5:G2236,"Y")/COUNTA(G$5:G2236)</f>
        <v/>
      </c>
      <c r="J2236" s="37">
        <f>COUNTIF(H$5:H2236,"Y")/COUNTA(H$5:H2236)</f>
        <v/>
      </c>
      <c r="K2236" s="37">
        <f>AVERAGE(F$5:F2236)</f>
        <v/>
      </c>
      <c r="L2236" s="37">
        <f>SUM(F$5:F2236)/SUM(E$5:E2236)</f>
        <v/>
      </c>
    </row>
    <row r="2237">
      <c r="A2237" s="29" t="n">
        <v>45994</v>
      </c>
      <c r="B2237" s="37" t="inlineStr">
        <is>
          <t>JOB-3233</t>
        </is>
      </c>
      <c r="C2237" s="34" t="n">
        <v>1</v>
      </c>
      <c r="D2237" s="37" t="inlineStr">
        <is>
          <t>Tech A</t>
        </is>
      </c>
      <c r="E2237" s="35" t="n">
        <v>3.6</v>
      </c>
      <c r="F2237" s="35" t="n">
        <v>2.9</v>
      </c>
      <c r="G2237" s="37" t="inlineStr">
        <is>
          <t>Y</t>
        </is>
      </c>
      <c r="H2237" s="37" t="inlineStr">
        <is>
          <t>Y</t>
        </is>
      </c>
      <c r="I2237" s="37">
        <f>COUNTIF(G$5:G2237,"Y")/COUNTA(G$5:G2237)</f>
        <v/>
      </c>
      <c r="J2237" s="37">
        <f>COUNTIF(H$5:H2237,"Y")/COUNTA(H$5:H2237)</f>
        <v/>
      </c>
      <c r="K2237" s="37">
        <f>AVERAGE(F$5:F2237)</f>
        <v/>
      </c>
      <c r="L2237" s="37">
        <f>SUM(F$5:F2237)/SUM(E$5:E2237)</f>
        <v/>
      </c>
    </row>
    <row r="2238">
      <c r="A2238" s="29" t="n">
        <v>45995</v>
      </c>
      <c r="B2238" s="37" t="inlineStr">
        <is>
          <t>JOB-3234</t>
        </is>
      </c>
      <c r="C2238" s="34" t="n">
        <v>1</v>
      </c>
      <c r="D2238" s="37" t="inlineStr">
        <is>
          <t>Tech F</t>
        </is>
      </c>
      <c r="E2238" s="35" t="n">
        <v>2.2</v>
      </c>
      <c r="F2238" s="35" t="n">
        <v>1.5</v>
      </c>
      <c r="G2238" s="37" t="inlineStr">
        <is>
          <t>Y</t>
        </is>
      </c>
      <c r="H2238" s="37" t="inlineStr">
        <is>
          <t>N</t>
        </is>
      </c>
      <c r="I2238" s="37">
        <f>COUNTIF(G$5:G2238,"Y")/COUNTA(G$5:G2238)</f>
        <v/>
      </c>
      <c r="J2238" s="37">
        <f>COUNTIF(H$5:H2238,"Y")/COUNTA(H$5:H2238)</f>
        <v/>
      </c>
      <c r="K2238" s="37">
        <f>AVERAGE(F$5:F2238)</f>
        <v/>
      </c>
      <c r="L2238" s="37">
        <f>SUM(F$5:F2238)/SUM(E$5:E2238)</f>
        <v/>
      </c>
    </row>
    <row r="2239">
      <c r="A2239" s="29" t="n">
        <v>45996</v>
      </c>
      <c r="B2239" s="37" t="inlineStr">
        <is>
          <t>JOB-3235</t>
        </is>
      </c>
      <c r="C2239" s="34" t="n">
        <v>1</v>
      </c>
      <c r="D2239" s="37" t="inlineStr">
        <is>
          <t>Tech H</t>
        </is>
      </c>
      <c r="E2239" s="35" t="n">
        <v>1.6</v>
      </c>
      <c r="F2239" s="35" t="n">
        <v>1.1</v>
      </c>
      <c r="G2239" s="37" t="inlineStr">
        <is>
          <t>Y</t>
        </is>
      </c>
      <c r="H2239" s="37" t="inlineStr">
        <is>
          <t>N</t>
        </is>
      </c>
      <c r="I2239" s="37">
        <f>COUNTIF(G$5:G2239,"Y")/COUNTA(G$5:G2239)</f>
        <v/>
      </c>
      <c r="J2239" s="37">
        <f>COUNTIF(H$5:H2239,"Y")/COUNTA(H$5:H2239)</f>
        <v/>
      </c>
      <c r="K2239" s="37">
        <f>AVERAGE(F$5:F2239)</f>
        <v/>
      </c>
      <c r="L2239" s="37">
        <f>SUM(F$5:F2239)/SUM(E$5:E2239)</f>
        <v/>
      </c>
    </row>
    <row r="2240">
      <c r="A2240" s="29" t="n">
        <v>45992</v>
      </c>
      <c r="B2240" s="37" t="inlineStr">
        <is>
          <t>JOB-3236</t>
        </is>
      </c>
      <c r="C2240" s="34" t="n">
        <v>1</v>
      </c>
      <c r="D2240" s="37" t="inlineStr">
        <is>
          <t>Tech A</t>
        </is>
      </c>
      <c r="E2240" s="35" t="n">
        <v>2.7</v>
      </c>
      <c r="F2240" s="35" t="n">
        <v>2.4</v>
      </c>
      <c r="G2240" s="37" t="inlineStr">
        <is>
          <t>Y</t>
        </is>
      </c>
      <c r="H2240" s="37" t="inlineStr">
        <is>
          <t>N</t>
        </is>
      </c>
      <c r="I2240" s="37">
        <f>COUNTIF(G$5:G2240,"Y")/COUNTA(G$5:G2240)</f>
        <v/>
      </c>
      <c r="J2240" s="37">
        <f>COUNTIF(H$5:H2240,"Y")/COUNTA(H$5:H2240)</f>
        <v/>
      </c>
      <c r="K2240" s="37">
        <f>AVERAGE(F$5:F2240)</f>
        <v/>
      </c>
      <c r="L2240" s="37">
        <f>SUM(F$5:F2240)/SUM(E$5:E2240)</f>
        <v/>
      </c>
    </row>
    <row r="2241">
      <c r="A2241" s="29" t="n">
        <v>45993</v>
      </c>
      <c r="B2241" s="37" t="inlineStr">
        <is>
          <t>JOB-3237</t>
        </is>
      </c>
      <c r="C2241" s="34" t="n">
        <v>1</v>
      </c>
      <c r="D2241" s="37" t="inlineStr">
        <is>
          <t>Tech H</t>
        </is>
      </c>
      <c r="E2241" s="35" t="n">
        <v>4.6</v>
      </c>
      <c r="F2241" s="35" t="n">
        <v>3.3</v>
      </c>
      <c r="G2241" s="37" t="inlineStr">
        <is>
          <t>Y</t>
        </is>
      </c>
      <c r="H2241" s="37" t="inlineStr">
        <is>
          <t>N</t>
        </is>
      </c>
      <c r="I2241" s="37">
        <f>COUNTIF(G$5:G2241,"Y")/COUNTA(G$5:G2241)</f>
        <v/>
      </c>
      <c r="J2241" s="37">
        <f>COUNTIF(H$5:H2241,"Y")/COUNTA(H$5:H2241)</f>
        <v/>
      </c>
      <c r="K2241" s="37">
        <f>AVERAGE(F$5:F2241)</f>
        <v/>
      </c>
      <c r="L2241" s="37">
        <f>SUM(F$5:F2241)/SUM(E$5:E2241)</f>
        <v/>
      </c>
    </row>
    <row r="2242">
      <c r="A2242" s="29" t="n">
        <v>45994</v>
      </c>
      <c r="B2242" s="37" t="inlineStr">
        <is>
          <t>JOB-3238</t>
        </is>
      </c>
      <c r="C2242" s="34" t="n">
        <v>1</v>
      </c>
      <c r="D2242" s="37" t="inlineStr">
        <is>
          <t>Tech G</t>
        </is>
      </c>
      <c r="E2242" s="35" t="n">
        <v>4.6</v>
      </c>
      <c r="F2242" s="35" t="n">
        <v>3.4</v>
      </c>
      <c r="G2242" s="37" t="inlineStr">
        <is>
          <t>Y</t>
        </is>
      </c>
      <c r="H2242" s="37" t="inlineStr">
        <is>
          <t>N</t>
        </is>
      </c>
      <c r="I2242" s="37">
        <f>COUNTIF(G$5:G2242,"Y")/COUNTA(G$5:G2242)</f>
        <v/>
      </c>
      <c r="J2242" s="37">
        <f>COUNTIF(H$5:H2242,"Y")/COUNTA(H$5:H2242)</f>
        <v/>
      </c>
      <c r="K2242" s="37">
        <f>AVERAGE(F$5:F2242)</f>
        <v/>
      </c>
      <c r="L2242" s="37">
        <f>SUM(F$5:F2242)/SUM(E$5:E2242)</f>
        <v/>
      </c>
    </row>
    <row r="2243">
      <c r="A2243" s="29" t="n">
        <v>45995</v>
      </c>
      <c r="B2243" s="37" t="inlineStr">
        <is>
          <t>JOB-3239</t>
        </is>
      </c>
      <c r="C2243" s="34" t="n">
        <v>1</v>
      </c>
      <c r="D2243" s="37" t="inlineStr">
        <is>
          <t>Tech B</t>
        </is>
      </c>
      <c r="E2243" s="35" t="n">
        <v>4.9</v>
      </c>
      <c r="F2243" s="35" t="n">
        <v>3.3</v>
      </c>
      <c r="G2243" s="37" t="inlineStr">
        <is>
          <t>Y</t>
        </is>
      </c>
      <c r="H2243" s="37" t="inlineStr">
        <is>
          <t>N</t>
        </is>
      </c>
      <c r="I2243" s="37">
        <f>COUNTIF(G$5:G2243,"Y")/COUNTA(G$5:G2243)</f>
        <v/>
      </c>
      <c r="J2243" s="37">
        <f>COUNTIF(H$5:H2243,"Y")/COUNTA(H$5:H2243)</f>
        <v/>
      </c>
      <c r="K2243" s="37">
        <f>AVERAGE(F$5:F2243)</f>
        <v/>
      </c>
      <c r="L2243" s="37">
        <f>SUM(F$5:F2243)/SUM(E$5:E2243)</f>
        <v/>
      </c>
    </row>
    <row r="2244">
      <c r="A2244" s="29" t="n">
        <v>45996</v>
      </c>
      <c r="B2244" s="37" t="inlineStr">
        <is>
          <t>JOB-3240</t>
        </is>
      </c>
      <c r="C2244" s="34" t="n">
        <v>1</v>
      </c>
      <c r="D2244" s="37" t="inlineStr">
        <is>
          <t>Tech H</t>
        </is>
      </c>
      <c r="E2244" s="35" t="n">
        <v>3.4</v>
      </c>
      <c r="F2244" s="35" t="n">
        <v>2.4</v>
      </c>
      <c r="G2244" s="37" t="inlineStr">
        <is>
          <t>Y</t>
        </is>
      </c>
      <c r="H2244" s="37" t="inlineStr">
        <is>
          <t>N</t>
        </is>
      </c>
      <c r="I2244" s="37">
        <f>COUNTIF(G$5:G2244,"Y")/COUNTA(G$5:G2244)</f>
        <v/>
      </c>
      <c r="J2244" s="37">
        <f>COUNTIF(H$5:H2244,"Y")/COUNTA(H$5:H2244)</f>
        <v/>
      </c>
      <c r="K2244" s="37">
        <f>AVERAGE(F$5:F2244)</f>
        <v/>
      </c>
      <c r="L2244" s="37">
        <f>SUM(F$5:F2244)/SUM(E$5:E2244)</f>
        <v/>
      </c>
    </row>
    <row r="2245">
      <c r="A2245" s="29" t="n">
        <v>45992</v>
      </c>
      <c r="B2245" s="37" t="inlineStr">
        <is>
          <t>JOB-3241</t>
        </is>
      </c>
      <c r="C2245" s="34" t="n">
        <v>1</v>
      </c>
      <c r="D2245" s="37" t="inlineStr">
        <is>
          <t>Tech G</t>
        </is>
      </c>
      <c r="E2245" s="35" t="n">
        <v>2.6</v>
      </c>
      <c r="F2245" s="35" t="n">
        <v>2.2</v>
      </c>
      <c r="G2245" s="37" t="inlineStr">
        <is>
          <t>Y</t>
        </is>
      </c>
      <c r="H2245" s="37" t="inlineStr">
        <is>
          <t>N</t>
        </is>
      </c>
      <c r="I2245" s="37">
        <f>COUNTIF(G$5:G2245,"Y")/COUNTA(G$5:G2245)</f>
        <v/>
      </c>
      <c r="J2245" s="37">
        <f>COUNTIF(H$5:H2245,"Y")/COUNTA(H$5:H2245)</f>
        <v/>
      </c>
      <c r="K2245" s="37">
        <f>AVERAGE(F$5:F2245)</f>
        <v/>
      </c>
      <c r="L2245" s="37">
        <f>SUM(F$5:F2245)/SUM(E$5:E2245)</f>
        <v/>
      </c>
    </row>
    <row r="2246">
      <c r="A2246" s="29" t="n">
        <v>45993</v>
      </c>
      <c r="B2246" s="37" t="inlineStr">
        <is>
          <t>JOB-3242</t>
        </is>
      </c>
      <c r="C2246" s="34" t="n">
        <v>1</v>
      </c>
      <c r="D2246" s="37" t="inlineStr">
        <is>
          <t>Tech F</t>
        </is>
      </c>
      <c r="E2246" s="35" t="n">
        <v>4.9</v>
      </c>
      <c r="F2246" s="35" t="n">
        <v>3.7</v>
      </c>
      <c r="G2246" s="37" t="inlineStr">
        <is>
          <t>Y</t>
        </is>
      </c>
      <c r="H2246" s="37" t="inlineStr">
        <is>
          <t>N</t>
        </is>
      </c>
      <c r="I2246" s="37">
        <f>COUNTIF(G$5:G2246,"Y")/COUNTA(G$5:G2246)</f>
        <v/>
      </c>
      <c r="J2246" s="37">
        <f>COUNTIF(H$5:H2246,"Y")/COUNTA(H$5:H2246)</f>
        <v/>
      </c>
      <c r="K2246" s="37">
        <f>AVERAGE(F$5:F2246)</f>
        <v/>
      </c>
      <c r="L2246" s="37">
        <f>SUM(F$5:F2246)/SUM(E$5:E2246)</f>
        <v/>
      </c>
    </row>
    <row r="2247">
      <c r="A2247" s="29" t="n">
        <v>45994</v>
      </c>
      <c r="B2247" s="37" t="inlineStr">
        <is>
          <t>JOB-3243</t>
        </is>
      </c>
      <c r="C2247" s="34" t="n">
        <v>1</v>
      </c>
      <c r="D2247" s="37" t="inlineStr">
        <is>
          <t>Tech A</t>
        </is>
      </c>
      <c r="E2247" s="35" t="n">
        <v>4.4</v>
      </c>
      <c r="F2247" s="35" t="n">
        <v>3.7</v>
      </c>
      <c r="G2247" s="37" t="inlineStr">
        <is>
          <t>Y</t>
        </is>
      </c>
      <c r="H2247" s="37" t="inlineStr">
        <is>
          <t>N</t>
        </is>
      </c>
      <c r="I2247" s="37">
        <f>COUNTIF(G$5:G2247,"Y")/COUNTA(G$5:G2247)</f>
        <v/>
      </c>
      <c r="J2247" s="37">
        <f>COUNTIF(H$5:H2247,"Y")/COUNTA(H$5:H2247)</f>
        <v/>
      </c>
      <c r="K2247" s="37">
        <f>AVERAGE(F$5:F2247)</f>
        <v/>
      </c>
      <c r="L2247" s="37">
        <f>SUM(F$5:F2247)/SUM(E$5:E2247)</f>
        <v/>
      </c>
    </row>
    <row r="2248">
      <c r="A2248" s="29" t="n">
        <v>45995</v>
      </c>
      <c r="B2248" s="37" t="inlineStr">
        <is>
          <t>JOB-3244</t>
        </is>
      </c>
      <c r="C2248" s="34" t="n">
        <v>1</v>
      </c>
      <c r="D2248" s="37" t="inlineStr">
        <is>
          <t>Tech B</t>
        </is>
      </c>
      <c r="E2248" s="35" t="n">
        <v>2.2</v>
      </c>
      <c r="F2248" s="35" t="n">
        <v>1.6</v>
      </c>
      <c r="G2248" s="37" t="inlineStr">
        <is>
          <t>N</t>
        </is>
      </c>
      <c r="H2248" s="37" t="inlineStr">
        <is>
          <t>N</t>
        </is>
      </c>
      <c r="I2248" s="37">
        <f>COUNTIF(G$5:G2248,"Y")/COUNTA(G$5:G2248)</f>
        <v/>
      </c>
      <c r="J2248" s="37">
        <f>COUNTIF(H$5:H2248,"Y")/COUNTA(H$5:H2248)</f>
        <v/>
      </c>
      <c r="K2248" s="37">
        <f>AVERAGE(F$5:F2248)</f>
        <v/>
      </c>
      <c r="L2248" s="37">
        <f>SUM(F$5:F2248)/SUM(E$5:E2248)</f>
        <v/>
      </c>
    </row>
    <row r="2249">
      <c r="A2249" s="29" t="n">
        <v>45996</v>
      </c>
      <c r="B2249" s="37" t="inlineStr">
        <is>
          <t>JOB-3245</t>
        </is>
      </c>
      <c r="C2249" s="34" t="n">
        <v>1</v>
      </c>
      <c r="D2249" s="37" t="inlineStr">
        <is>
          <t>Tech G</t>
        </is>
      </c>
      <c r="E2249" s="35" t="n">
        <v>1.9</v>
      </c>
      <c r="F2249" s="35" t="n">
        <v>1.6</v>
      </c>
      <c r="G2249" s="37" t="inlineStr">
        <is>
          <t>Y</t>
        </is>
      </c>
      <c r="H2249" s="37" t="inlineStr">
        <is>
          <t>N</t>
        </is>
      </c>
      <c r="I2249" s="37">
        <f>COUNTIF(G$5:G2249,"Y")/COUNTA(G$5:G2249)</f>
        <v/>
      </c>
      <c r="J2249" s="37">
        <f>COUNTIF(H$5:H2249,"Y")/COUNTA(H$5:H2249)</f>
        <v/>
      </c>
      <c r="K2249" s="37">
        <f>AVERAGE(F$5:F2249)</f>
        <v/>
      </c>
      <c r="L2249" s="37">
        <f>SUM(F$5:F2249)/SUM(E$5:E2249)</f>
        <v/>
      </c>
    </row>
    <row r="2250">
      <c r="A2250" s="29" t="n">
        <v>45992</v>
      </c>
      <c r="B2250" s="37" t="inlineStr">
        <is>
          <t>JOB-3246</t>
        </is>
      </c>
      <c r="C2250" s="34" t="n">
        <v>1</v>
      </c>
      <c r="D2250" s="37" t="inlineStr">
        <is>
          <t>Tech A</t>
        </is>
      </c>
      <c r="E2250" s="35" t="n">
        <v>4.2</v>
      </c>
      <c r="F2250" s="35" t="n">
        <v>3.1</v>
      </c>
      <c r="G2250" s="37" t="inlineStr">
        <is>
          <t>Y</t>
        </is>
      </c>
      <c r="H2250" s="37" t="inlineStr">
        <is>
          <t>N</t>
        </is>
      </c>
      <c r="I2250" s="37">
        <f>COUNTIF(G$5:G2250,"Y")/COUNTA(G$5:G2250)</f>
        <v/>
      </c>
      <c r="J2250" s="37">
        <f>COUNTIF(H$5:H2250,"Y")/COUNTA(H$5:H2250)</f>
        <v/>
      </c>
      <c r="K2250" s="37">
        <f>AVERAGE(F$5:F2250)</f>
        <v/>
      </c>
      <c r="L2250" s="37">
        <f>SUM(F$5:F2250)/SUM(E$5:E2250)</f>
        <v/>
      </c>
    </row>
    <row r="2251">
      <c r="A2251" s="29" t="n">
        <v>45993</v>
      </c>
      <c r="B2251" s="37" t="inlineStr">
        <is>
          <t>JOB-3247</t>
        </is>
      </c>
      <c r="C2251" s="34" t="n">
        <v>1</v>
      </c>
      <c r="D2251" s="37" t="inlineStr">
        <is>
          <t>Tech C</t>
        </is>
      </c>
      <c r="E2251" s="35" t="n">
        <v>4.8</v>
      </c>
      <c r="F2251" s="35" t="n">
        <v>3.3</v>
      </c>
      <c r="G2251" s="37" t="inlineStr">
        <is>
          <t>Y</t>
        </is>
      </c>
      <c r="H2251" s="37" t="inlineStr">
        <is>
          <t>N</t>
        </is>
      </c>
      <c r="I2251" s="37">
        <f>COUNTIF(G$5:G2251,"Y")/COUNTA(G$5:G2251)</f>
        <v/>
      </c>
      <c r="J2251" s="37">
        <f>COUNTIF(H$5:H2251,"Y")/COUNTA(H$5:H2251)</f>
        <v/>
      </c>
      <c r="K2251" s="37">
        <f>AVERAGE(F$5:F2251)</f>
        <v/>
      </c>
      <c r="L2251" s="37">
        <f>SUM(F$5:F2251)/SUM(E$5:E2251)</f>
        <v/>
      </c>
    </row>
    <row r="2252">
      <c r="A2252" s="29" t="n">
        <v>45994</v>
      </c>
      <c r="B2252" s="37" t="inlineStr">
        <is>
          <t>JOB-3248</t>
        </is>
      </c>
      <c r="C2252" s="34" t="n">
        <v>1</v>
      </c>
      <c r="D2252" s="37" t="inlineStr">
        <is>
          <t>Tech D</t>
        </is>
      </c>
      <c r="E2252" s="35" t="n">
        <v>2.9</v>
      </c>
      <c r="F2252" s="35" t="n">
        <v>2.3</v>
      </c>
      <c r="G2252" s="37" t="inlineStr">
        <is>
          <t>Y</t>
        </is>
      </c>
      <c r="H2252" s="37" t="inlineStr">
        <is>
          <t>N</t>
        </is>
      </c>
      <c r="I2252" s="37">
        <f>COUNTIF(G$5:G2252,"Y")/COUNTA(G$5:G2252)</f>
        <v/>
      </c>
      <c r="J2252" s="37">
        <f>COUNTIF(H$5:H2252,"Y")/COUNTA(H$5:H2252)</f>
        <v/>
      </c>
      <c r="K2252" s="37">
        <f>AVERAGE(F$5:F2252)</f>
        <v/>
      </c>
      <c r="L2252" s="37">
        <f>SUM(F$5:F2252)/SUM(E$5:E2252)</f>
        <v/>
      </c>
    </row>
    <row r="2253">
      <c r="A2253" s="29" t="n">
        <v>45995</v>
      </c>
      <c r="B2253" s="37" t="inlineStr">
        <is>
          <t>JOB-3249</t>
        </is>
      </c>
      <c r="C2253" s="34" t="n">
        <v>1</v>
      </c>
      <c r="D2253" s="37" t="inlineStr">
        <is>
          <t>Tech B</t>
        </is>
      </c>
      <c r="E2253" s="35" t="n">
        <v>4.1</v>
      </c>
      <c r="F2253" s="35" t="n">
        <v>2.8</v>
      </c>
      <c r="G2253" s="37" t="inlineStr">
        <is>
          <t>N</t>
        </is>
      </c>
      <c r="H2253" s="37" t="inlineStr">
        <is>
          <t>N</t>
        </is>
      </c>
      <c r="I2253" s="37">
        <f>COUNTIF(G$5:G2253,"Y")/COUNTA(G$5:G2253)</f>
        <v/>
      </c>
      <c r="J2253" s="37">
        <f>COUNTIF(H$5:H2253,"Y")/COUNTA(H$5:H2253)</f>
        <v/>
      </c>
      <c r="K2253" s="37">
        <f>AVERAGE(F$5:F2253)</f>
        <v/>
      </c>
      <c r="L2253" s="37">
        <f>SUM(F$5:F2253)/SUM(E$5:E2253)</f>
        <v/>
      </c>
    </row>
    <row r="2254">
      <c r="A2254" s="29" t="n">
        <v>45996</v>
      </c>
      <c r="B2254" s="37" t="inlineStr">
        <is>
          <t>JOB-3250</t>
        </is>
      </c>
      <c r="C2254" s="34" t="n">
        <v>1</v>
      </c>
      <c r="D2254" s="37" t="inlineStr">
        <is>
          <t>Tech F</t>
        </is>
      </c>
      <c r="E2254" s="35" t="n">
        <v>2.2</v>
      </c>
      <c r="F2254" s="35" t="n">
        <v>1.5</v>
      </c>
      <c r="G2254" s="37" t="inlineStr">
        <is>
          <t>Y</t>
        </is>
      </c>
      <c r="H2254" s="37" t="inlineStr">
        <is>
          <t>N</t>
        </is>
      </c>
      <c r="I2254" s="37">
        <f>COUNTIF(G$5:G2254,"Y")/COUNTA(G$5:G2254)</f>
        <v/>
      </c>
      <c r="J2254" s="37">
        <f>COUNTIF(H$5:H2254,"Y")/COUNTA(H$5:H2254)</f>
        <v/>
      </c>
      <c r="K2254" s="37">
        <f>AVERAGE(F$5:F2254)</f>
        <v/>
      </c>
      <c r="L2254" s="37">
        <f>SUM(F$5:F2254)/SUM(E$5:E2254)</f>
        <v/>
      </c>
    </row>
    <row r="2255">
      <c r="A2255" s="29" t="n">
        <v>45992</v>
      </c>
      <c r="B2255" s="37" t="inlineStr">
        <is>
          <t>JOB-3251</t>
        </is>
      </c>
      <c r="C2255" s="34" t="n">
        <v>1</v>
      </c>
      <c r="D2255" s="37" t="inlineStr">
        <is>
          <t>Tech D</t>
        </is>
      </c>
      <c r="E2255" s="35" t="n">
        <v>3.4</v>
      </c>
      <c r="F2255" s="35" t="n">
        <v>2.8</v>
      </c>
      <c r="G2255" s="37" t="inlineStr">
        <is>
          <t>Y</t>
        </is>
      </c>
      <c r="H2255" s="37" t="inlineStr">
        <is>
          <t>N</t>
        </is>
      </c>
      <c r="I2255" s="37">
        <f>COUNTIF(G$5:G2255,"Y")/COUNTA(G$5:G2255)</f>
        <v/>
      </c>
      <c r="J2255" s="37">
        <f>COUNTIF(H$5:H2255,"Y")/COUNTA(H$5:H2255)</f>
        <v/>
      </c>
      <c r="K2255" s="37">
        <f>AVERAGE(F$5:F2255)</f>
        <v/>
      </c>
      <c r="L2255" s="37">
        <f>SUM(F$5:F2255)/SUM(E$5:E2255)</f>
        <v/>
      </c>
    </row>
    <row r="2256">
      <c r="A2256" s="29" t="n">
        <v>45993</v>
      </c>
      <c r="B2256" s="37" t="inlineStr">
        <is>
          <t>JOB-3252</t>
        </is>
      </c>
      <c r="C2256" s="34" t="n">
        <v>1</v>
      </c>
      <c r="D2256" s="37" t="inlineStr">
        <is>
          <t>Tech G</t>
        </is>
      </c>
      <c r="E2256" s="35" t="n">
        <v>1.5</v>
      </c>
      <c r="F2256" s="35" t="n">
        <v>1.3</v>
      </c>
      <c r="G2256" s="37" t="inlineStr">
        <is>
          <t>Y</t>
        </is>
      </c>
      <c r="H2256" s="37" t="inlineStr">
        <is>
          <t>N</t>
        </is>
      </c>
      <c r="I2256" s="37">
        <f>COUNTIF(G$5:G2256,"Y")/COUNTA(G$5:G2256)</f>
        <v/>
      </c>
      <c r="J2256" s="37">
        <f>COUNTIF(H$5:H2256,"Y")/COUNTA(H$5:H2256)</f>
        <v/>
      </c>
      <c r="K2256" s="37">
        <f>AVERAGE(F$5:F2256)</f>
        <v/>
      </c>
      <c r="L2256" s="37">
        <f>SUM(F$5:F2256)/SUM(E$5:E2256)</f>
        <v/>
      </c>
    </row>
    <row r="2257">
      <c r="A2257" s="29" t="n">
        <v>45994</v>
      </c>
      <c r="B2257" s="37" t="inlineStr">
        <is>
          <t>JOB-3253</t>
        </is>
      </c>
      <c r="C2257" s="34" t="n">
        <v>1</v>
      </c>
      <c r="D2257" s="37" t="inlineStr">
        <is>
          <t>Tech A</t>
        </is>
      </c>
      <c r="E2257" s="35" t="n">
        <v>4</v>
      </c>
      <c r="F2257" s="35" t="n">
        <v>2.7</v>
      </c>
      <c r="G2257" s="37" t="inlineStr">
        <is>
          <t>Y</t>
        </is>
      </c>
      <c r="H2257" s="37" t="inlineStr">
        <is>
          <t>N</t>
        </is>
      </c>
      <c r="I2257" s="37">
        <f>COUNTIF(G$5:G2257,"Y")/COUNTA(G$5:G2257)</f>
        <v/>
      </c>
      <c r="J2257" s="37">
        <f>COUNTIF(H$5:H2257,"Y")/COUNTA(H$5:H2257)</f>
        <v/>
      </c>
      <c r="K2257" s="37">
        <f>AVERAGE(F$5:F2257)</f>
        <v/>
      </c>
      <c r="L2257" s="37">
        <f>SUM(F$5:F2257)/SUM(E$5:E2257)</f>
        <v/>
      </c>
    </row>
    <row r="2258">
      <c r="A2258" s="29" t="n">
        <v>45995</v>
      </c>
      <c r="B2258" s="37" t="inlineStr">
        <is>
          <t>JOB-3254</t>
        </is>
      </c>
      <c r="C2258" s="34" t="n">
        <v>1</v>
      </c>
      <c r="D2258" s="37" t="inlineStr">
        <is>
          <t>Tech B</t>
        </is>
      </c>
      <c r="E2258" s="35" t="n">
        <v>1.4</v>
      </c>
      <c r="F2258" s="35" t="n">
        <v>1.1</v>
      </c>
      <c r="G2258" s="37" t="inlineStr">
        <is>
          <t>Y</t>
        </is>
      </c>
      <c r="H2258" s="37" t="inlineStr">
        <is>
          <t>N</t>
        </is>
      </c>
      <c r="I2258" s="37">
        <f>COUNTIF(G$5:G2258,"Y")/COUNTA(G$5:G2258)</f>
        <v/>
      </c>
      <c r="J2258" s="37">
        <f>COUNTIF(H$5:H2258,"Y")/COUNTA(H$5:H2258)</f>
        <v/>
      </c>
      <c r="K2258" s="37">
        <f>AVERAGE(F$5:F2258)</f>
        <v/>
      </c>
      <c r="L2258" s="37">
        <f>SUM(F$5:F2258)/SUM(E$5:E2258)</f>
        <v/>
      </c>
    </row>
    <row r="2259">
      <c r="A2259" s="29" t="n">
        <v>45996</v>
      </c>
      <c r="B2259" s="37" t="inlineStr">
        <is>
          <t>JOB-3255</t>
        </is>
      </c>
      <c r="C2259" s="34" t="n">
        <v>1</v>
      </c>
      <c r="D2259" s="37" t="inlineStr">
        <is>
          <t>Tech D</t>
        </is>
      </c>
      <c r="E2259" s="35" t="n">
        <v>2.9</v>
      </c>
      <c r="F2259" s="35" t="n">
        <v>2.5</v>
      </c>
      <c r="G2259" s="37" t="inlineStr">
        <is>
          <t>Y</t>
        </is>
      </c>
      <c r="H2259" s="37" t="inlineStr">
        <is>
          <t>N</t>
        </is>
      </c>
      <c r="I2259" s="37">
        <f>COUNTIF(G$5:G2259,"Y")/COUNTA(G$5:G2259)</f>
        <v/>
      </c>
      <c r="J2259" s="37">
        <f>COUNTIF(H$5:H2259,"Y")/COUNTA(H$5:H2259)</f>
        <v/>
      </c>
      <c r="K2259" s="37">
        <f>AVERAGE(F$5:F2259)</f>
        <v/>
      </c>
      <c r="L2259" s="37">
        <f>SUM(F$5:F2259)/SUM(E$5:E2259)</f>
        <v/>
      </c>
    </row>
    <row r="2260">
      <c r="A2260" s="29" t="n">
        <v>45992</v>
      </c>
      <c r="B2260" s="37" t="inlineStr">
        <is>
          <t>JOB-3256</t>
        </is>
      </c>
      <c r="C2260" s="34" t="n">
        <v>1</v>
      </c>
      <c r="D2260" s="37" t="inlineStr">
        <is>
          <t>Tech G</t>
        </is>
      </c>
      <c r="E2260" s="35" t="n">
        <v>3.9</v>
      </c>
      <c r="F2260" s="35" t="n">
        <v>2.7</v>
      </c>
      <c r="G2260" s="37" t="inlineStr">
        <is>
          <t>Y</t>
        </is>
      </c>
      <c r="H2260" s="37" t="inlineStr">
        <is>
          <t>N</t>
        </is>
      </c>
      <c r="I2260" s="37">
        <f>COUNTIF(G$5:G2260,"Y")/COUNTA(G$5:G2260)</f>
        <v/>
      </c>
      <c r="J2260" s="37">
        <f>COUNTIF(H$5:H2260,"Y")/COUNTA(H$5:H2260)</f>
        <v/>
      </c>
      <c r="K2260" s="37">
        <f>AVERAGE(F$5:F2260)</f>
        <v/>
      </c>
      <c r="L2260" s="37">
        <f>SUM(F$5:F2260)/SUM(E$5:E2260)</f>
        <v/>
      </c>
    </row>
    <row r="2261">
      <c r="A2261" s="29" t="n">
        <v>45993</v>
      </c>
      <c r="B2261" s="37" t="inlineStr">
        <is>
          <t>JOB-3257</t>
        </is>
      </c>
      <c r="C2261" s="34" t="n">
        <v>1</v>
      </c>
      <c r="D2261" s="37" t="inlineStr">
        <is>
          <t>Tech D</t>
        </is>
      </c>
      <c r="E2261" s="35" t="n">
        <v>2.6</v>
      </c>
      <c r="F2261" s="35" t="n">
        <v>1.9</v>
      </c>
      <c r="G2261" s="37" t="inlineStr">
        <is>
          <t>Y</t>
        </is>
      </c>
      <c r="H2261" s="37" t="inlineStr">
        <is>
          <t>N</t>
        </is>
      </c>
      <c r="I2261" s="37">
        <f>COUNTIF(G$5:G2261,"Y")/COUNTA(G$5:G2261)</f>
        <v/>
      </c>
      <c r="J2261" s="37">
        <f>COUNTIF(H$5:H2261,"Y")/COUNTA(H$5:H2261)</f>
        <v/>
      </c>
      <c r="K2261" s="37">
        <f>AVERAGE(F$5:F2261)</f>
        <v/>
      </c>
      <c r="L2261" s="37">
        <f>SUM(F$5:F2261)/SUM(E$5:E2261)</f>
        <v/>
      </c>
    </row>
    <row r="2262">
      <c r="A2262" s="29" t="n">
        <v>45994</v>
      </c>
      <c r="B2262" s="37" t="inlineStr">
        <is>
          <t>JOB-3258</t>
        </is>
      </c>
      <c r="C2262" s="34" t="n">
        <v>1</v>
      </c>
      <c r="D2262" s="37" t="inlineStr">
        <is>
          <t>Tech H</t>
        </is>
      </c>
      <c r="E2262" s="35" t="n">
        <v>3.2</v>
      </c>
      <c r="F2262" s="35" t="n">
        <v>2.8</v>
      </c>
      <c r="G2262" s="37" t="inlineStr">
        <is>
          <t>Y</t>
        </is>
      </c>
      <c r="H2262" s="37" t="inlineStr">
        <is>
          <t>N</t>
        </is>
      </c>
      <c r="I2262" s="37">
        <f>COUNTIF(G$5:G2262,"Y")/COUNTA(G$5:G2262)</f>
        <v/>
      </c>
      <c r="J2262" s="37">
        <f>COUNTIF(H$5:H2262,"Y")/COUNTA(H$5:H2262)</f>
        <v/>
      </c>
      <c r="K2262" s="37">
        <f>AVERAGE(F$5:F2262)</f>
        <v/>
      </c>
      <c r="L2262" s="37">
        <f>SUM(F$5:F2262)/SUM(E$5:E2262)</f>
        <v/>
      </c>
    </row>
    <row r="2263">
      <c r="A2263" s="29" t="n">
        <v>45995</v>
      </c>
      <c r="B2263" s="37" t="inlineStr">
        <is>
          <t>JOB-3259</t>
        </is>
      </c>
      <c r="C2263" s="34" t="n">
        <v>1</v>
      </c>
      <c r="D2263" s="37" t="inlineStr">
        <is>
          <t>Tech A</t>
        </is>
      </c>
      <c r="E2263" s="35" t="n">
        <v>0.9</v>
      </c>
      <c r="F2263" s="35" t="n">
        <v>0.6</v>
      </c>
      <c r="G2263" s="37" t="inlineStr">
        <is>
          <t>N</t>
        </is>
      </c>
      <c r="H2263" s="37" t="inlineStr">
        <is>
          <t>N</t>
        </is>
      </c>
      <c r="I2263" s="37">
        <f>COUNTIF(G$5:G2263,"Y")/COUNTA(G$5:G2263)</f>
        <v/>
      </c>
      <c r="J2263" s="37">
        <f>COUNTIF(H$5:H2263,"Y")/COUNTA(H$5:H2263)</f>
        <v/>
      </c>
      <c r="K2263" s="37">
        <f>AVERAGE(F$5:F2263)</f>
        <v/>
      </c>
      <c r="L2263" s="37">
        <f>SUM(F$5:F2263)/SUM(E$5:E2263)</f>
        <v/>
      </c>
    </row>
    <row r="2264">
      <c r="A2264" s="29" t="n">
        <v>45996</v>
      </c>
      <c r="B2264" s="37" t="inlineStr">
        <is>
          <t>JOB-3260</t>
        </is>
      </c>
      <c r="C2264" s="34" t="n">
        <v>1</v>
      </c>
      <c r="D2264" s="37" t="inlineStr">
        <is>
          <t>Tech C</t>
        </is>
      </c>
      <c r="E2264" s="35" t="n">
        <v>0.7</v>
      </c>
      <c r="F2264" s="35" t="n">
        <v>0.5</v>
      </c>
      <c r="G2264" s="37" t="inlineStr">
        <is>
          <t>Y</t>
        </is>
      </c>
      <c r="H2264" s="37" t="inlineStr">
        <is>
          <t>N</t>
        </is>
      </c>
      <c r="I2264" s="37">
        <f>COUNTIF(G$5:G2264,"Y")/COUNTA(G$5:G2264)</f>
        <v/>
      </c>
      <c r="J2264" s="37">
        <f>COUNTIF(H$5:H2264,"Y")/COUNTA(H$5:H2264)</f>
        <v/>
      </c>
      <c r="K2264" s="37">
        <f>AVERAGE(F$5:F2264)</f>
        <v/>
      </c>
      <c r="L2264" s="37">
        <f>SUM(F$5:F2264)/SUM(E$5:E2264)</f>
        <v/>
      </c>
    </row>
    <row r="2265">
      <c r="A2265" s="29" t="n">
        <v>45992</v>
      </c>
      <c r="B2265" s="37" t="inlineStr">
        <is>
          <t>JOB-3261</t>
        </is>
      </c>
      <c r="C2265" s="34" t="n">
        <v>1</v>
      </c>
      <c r="D2265" s="37" t="inlineStr">
        <is>
          <t>Tech D</t>
        </is>
      </c>
      <c r="E2265" s="35" t="n">
        <v>0.6</v>
      </c>
      <c r="F2265" s="35" t="n">
        <v>0.5</v>
      </c>
      <c r="G2265" s="37" t="inlineStr">
        <is>
          <t>Y</t>
        </is>
      </c>
      <c r="H2265" s="37" t="inlineStr">
        <is>
          <t>Y</t>
        </is>
      </c>
      <c r="I2265" s="37">
        <f>COUNTIF(G$5:G2265,"Y")/COUNTA(G$5:G2265)</f>
        <v/>
      </c>
      <c r="J2265" s="37">
        <f>COUNTIF(H$5:H2265,"Y")/COUNTA(H$5:H2265)</f>
        <v/>
      </c>
      <c r="K2265" s="37">
        <f>AVERAGE(F$5:F2265)</f>
        <v/>
      </c>
      <c r="L2265" s="37">
        <f>SUM(F$5:F2265)/SUM(E$5:E2265)</f>
        <v/>
      </c>
    </row>
    <row r="2266">
      <c r="A2266" s="29" t="n">
        <v>45993</v>
      </c>
      <c r="B2266" s="37" t="inlineStr">
        <is>
          <t>JOB-3262</t>
        </is>
      </c>
      <c r="C2266" s="34" t="n">
        <v>1</v>
      </c>
      <c r="D2266" s="37" t="inlineStr">
        <is>
          <t>Tech D</t>
        </is>
      </c>
      <c r="E2266" s="35" t="n">
        <v>0.8</v>
      </c>
      <c r="F2266" s="35" t="n">
        <v>0.5</v>
      </c>
      <c r="G2266" s="37" t="inlineStr">
        <is>
          <t>Y</t>
        </is>
      </c>
      <c r="H2266" s="37" t="inlineStr">
        <is>
          <t>N</t>
        </is>
      </c>
      <c r="I2266" s="37">
        <f>COUNTIF(G$5:G2266,"Y")/COUNTA(G$5:G2266)</f>
        <v/>
      </c>
      <c r="J2266" s="37">
        <f>COUNTIF(H$5:H2266,"Y")/COUNTA(H$5:H2266)</f>
        <v/>
      </c>
      <c r="K2266" s="37">
        <f>AVERAGE(F$5:F2266)</f>
        <v/>
      </c>
      <c r="L2266" s="37">
        <f>SUM(F$5:F2266)/SUM(E$5:E2266)</f>
        <v/>
      </c>
    </row>
    <row r="2267">
      <c r="A2267" s="29" t="n">
        <v>45994</v>
      </c>
      <c r="B2267" s="37" t="inlineStr">
        <is>
          <t>JOB-3263</t>
        </is>
      </c>
      <c r="C2267" s="34" t="n">
        <v>1</v>
      </c>
      <c r="D2267" s="37" t="inlineStr">
        <is>
          <t>Tech H</t>
        </is>
      </c>
      <c r="E2267" s="35" t="n">
        <v>0.6</v>
      </c>
      <c r="F2267" s="35" t="n">
        <v>0.5</v>
      </c>
      <c r="G2267" s="37" t="inlineStr">
        <is>
          <t>Y</t>
        </is>
      </c>
      <c r="H2267" s="37" t="inlineStr">
        <is>
          <t>N</t>
        </is>
      </c>
      <c r="I2267" s="37">
        <f>COUNTIF(G$5:G2267,"Y")/COUNTA(G$5:G2267)</f>
        <v/>
      </c>
      <c r="J2267" s="37">
        <f>COUNTIF(H$5:H2267,"Y")/COUNTA(H$5:H2267)</f>
        <v/>
      </c>
      <c r="K2267" s="37">
        <f>AVERAGE(F$5:F2267)</f>
        <v/>
      </c>
      <c r="L2267" s="37">
        <f>SUM(F$5:F2267)/SUM(E$5:E2267)</f>
        <v/>
      </c>
    </row>
    <row r="2268">
      <c r="A2268" s="29" t="n">
        <v>45995</v>
      </c>
      <c r="B2268" s="37" t="inlineStr">
        <is>
          <t>JOB-3264</t>
        </is>
      </c>
      <c r="C2268" s="34" t="n">
        <v>1</v>
      </c>
      <c r="D2268" s="37" t="inlineStr">
        <is>
          <t>Tech F</t>
        </is>
      </c>
      <c r="E2268" s="35" t="n">
        <v>0.6</v>
      </c>
      <c r="F2268" s="35" t="n">
        <v>0.5</v>
      </c>
      <c r="G2268" s="37" t="inlineStr">
        <is>
          <t>N</t>
        </is>
      </c>
      <c r="H2268" s="37" t="inlineStr">
        <is>
          <t>N</t>
        </is>
      </c>
      <c r="I2268" s="37">
        <f>COUNTIF(G$5:G2268,"Y")/COUNTA(G$5:G2268)</f>
        <v/>
      </c>
      <c r="J2268" s="37">
        <f>COUNTIF(H$5:H2268,"Y")/COUNTA(H$5:H2268)</f>
        <v/>
      </c>
      <c r="K2268" s="37">
        <f>AVERAGE(F$5:F2268)</f>
        <v/>
      </c>
      <c r="L2268" s="37">
        <f>SUM(F$5:F2268)/SUM(E$5:E2268)</f>
        <v/>
      </c>
    </row>
    <row r="2269">
      <c r="A2269" s="29" t="n">
        <v>45996</v>
      </c>
      <c r="B2269" s="37" t="inlineStr">
        <is>
          <t>JOB-3265</t>
        </is>
      </c>
      <c r="C2269" s="34" t="n">
        <v>1</v>
      </c>
      <c r="D2269" s="37" t="inlineStr">
        <is>
          <t>Tech G</t>
        </is>
      </c>
      <c r="E2269" s="35" t="n">
        <v>0.7</v>
      </c>
      <c r="F2269" s="35" t="n">
        <v>0.5</v>
      </c>
      <c r="G2269" s="37" t="inlineStr">
        <is>
          <t>Y</t>
        </is>
      </c>
      <c r="H2269" s="37" t="inlineStr">
        <is>
          <t>N</t>
        </is>
      </c>
      <c r="I2269" s="37">
        <f>COUNTIF(G$5:G2269,"Y")/COUNTA(G$5:G2269)</f>
        <v/>
      </c>
      <c r="J2269" s="37">
        <f>COUNTIF(H$5:H2269,"Y")/COUNTA(H$5:H2269)</f>
        <v/>
      </c>
      <c r="K2269" s="37">
        <f>AVERAGE(F$5:F2269)</f>
        <v/>
      </c>
      <c r="L2269" s="37">
        <f>SUM(F$5:F2269)/SUM(E$5:E2269)</f>
        <v/>
      </c>
    </row>
    <row r="2270">
      <c r="A2270" s="29" t="n">
        <v>45992</v>
      </c>
      <c r="B2270" s="37" t="inlineStr">
        <is>
          <t>JOB-3266</t>
        </is>
      </c>
      <c r="C2270" s="34" t="n">
        <v>1</v>
      </c>
      <c r="D2270" s="37" t="inlineStr">
        <is>
          <t>Tech D</t>
        </is>
      </c>
      <c r="E2270" s="35" t="n">
        <v>1.5</v>
      </c>
      <c r="F2270" s="35" t="n">
        <v>0.5</v>
      </c>
      <c r="G2270" s="37" t="inlineStr">
        <is>
          <t>Y</t>
        </is>
      </c>
      <c r="H2270" s="37" t="inlineStr">
        <is>
          <t>N</t>
        </is>
      </c>
      <c r="I2270" s="37">
        <f>COUNTIF(G$5:G2270,"Y")/COUNTA(G$5:G2270)</f>
        <v/>
      </c>
      <c r="J2270" s="37">
        <f>COUNTIF(H$5:H2270,"Y")/COUNTA(H$5:H2270)</f>
        <v/>
      </c>
      <c r="K2270" s="37">
        <f>AVERAGE(F$5:F2270)</f>
        <v/>
      </c>
      <c r="L2270" s="37">
        <f>SUM(F$5:F2270)/SUM(E$5:E2270)</f>
        <v/>
      </c>
      <c r="M2270" s="37" t="n">
        <v>14</v>
      </c>
    </row>
    <row r="2271">
      <c r="A2271" s="29" t="n">
        <v>45999</v>
      </c>
      <c r="B2271" s="37" t="inlineStr">
        <is>
          <t>JOB-3267</t>
        </is>
      </c>
      <c r="C2271" s="34" t="n">
        <v>1</v>
      </c>
      <c r="D2271" s="37" t="inlineStr">
        <is>
          <t>Tech C</t>
        </is>
      </c>
      <c r="E2271" s="35" t="n">
        <v>1.5</v>
      </c>
      <c r="F2271" s="35" t="n">
        <v>1.3</v>
      </c>
      <c r="G2271" s="37" t="inlineStr">
        <is>
          <t>Y</t>
        </is>
      </c>
      <c r="H2271" s="37" t="inlineStr">
        <is>
          <t>N</t>
        </is>
      </c>
      <c r="I2271" s="37">
        <f>COUNTIF(G$5:G2271,"Y")/COUNTA(G$5:G2271)</f>
        <v/>
      </c>
      <c r="J2271" s="37">
        <f>COUNTIF(H$5:H2271,"Y")/COUNTA(H$5:H2271)</f>
        <v/>
      </c>
      <c r="K2271" s="37">
        <f>AVERAGE(F$5:F2271)</f>
        <v/>
      </c>
      <c r="L2271" s="37">
        <f>SUM(F$5:F2271)/SUM(E$5:E2271)</f>
        <v/>
      </c>
    </row>
    <row r="2272">
      <c r="A2272" s="29" t="n">
        <v>46000</v>
      </c>
      <c r="B2272" s="37" t="inlineStr">
        <is>
          <t>JOB-3268</t>
        </is>
      </c>
      <c r="C2272" s="34" t="n">
        <v>1</v>
      </c>
      <c r="D2272" s="37" t="inlineStr">
        <is>
          <t>Tech G</t>
        </is>
      </c>
      <c r="E2272" s="35" t="n">
        <v>1.9</v>
      </c>
      <c r="F2272" s="35" t="n">
        <v>1.3</v>
      </c>
      <c r="G2272" s="37" t="inlineStr">
        <is>
          <t>Y</t>
        </is>
      </c>
      <c r="H2272" s="37" t="inlineStr">
        <is>
          <t>N</t>
        </is>
      </c>
      <c r="I2272" s="37">
        <f>COUNTIF(G$5:G2272,"Y")/COUNTA(G$5:G2272)</f>
        <v/>
      </c>
      <c r="J2272" s="37">
        <f>COUNTIF(H$5:H2272,"Y")/COUNTA(H$5:H2272)</f>
        <v/>
      </c>
      <c r="K2272" s="37">
        <f>AVERAGE(F$5:F2272)</f>
        <v/>
      </c>
      <c r="L2272" s="37">
        <f>SUM(F$5:F2272)/SUM(E$5:E2272)</f>
        <v/>
      </c>
    </row>
    <row r="2273">
      <c r="A2273" s="29" t="n">
        <v>46001</v>
      </c>
      <c r="B2273" s="37" t="inlineStr">
        <is>
          <t>JOB-3269</t>
        </is>
      </c>
      <c r="C2273" s="34" t="n">
        <v>1</v>
      </c>
      <c r="D2273" s="37" t="inlineStr">
        <is>
          <t>Tech G</t>
        </is>
      </c>
      <c r="E2273" s="35" t="n">
        <v>2.6</v>
      </c>
      <c r="F2273" s="35" t="n">
        <v>2</v>
      </c>
      <c r="G2273" s="37" t="inlineStr">
        <is>
          <t>Y</t>
        </is>
      </c>
      <c r="H2273" s="37" t="inlineStr">
        <is>
          <t>N</t>
        </is>
      </c>
      <c r="I2273" s="37">
        <f>COUNTIF(G$5:G2273,"Y")/COUNTA(G$5:G2273)</f>
        <v/>
      </c>
      <c r="J2273" s="37">
        <f>COUNTIF(H$5:H2273,"Y")/COUNTA(H$5:H2273)</f>
        <v/>
      </c>
      <c r="K2273" s="37">
        <f>AVERAGE(F$5:F2273)</f>
        <v/>
      </c>
      <c r="L2273" s="37">
        <f>SUM(F$5:F2273)/SUM(E$5:E2273)</f>
        <v/>
      </c>
    </row>
    <row r="2274">
      <c r="A2274" s="29" t="n">
        <v>46002</v>
      </c>
      <c r="B2274" s="37" t="inlineStr">
        <is>
          <t>JOB-3270</t>
        </is>
      </c>
      <c r="C2274" s="34" t="n">
        <v>1</v>
      </c>
      <c r="D2274" s="37" t="inlineStr">
        <is>
          <t>Tech D</t>
        </is>
      </c>
      <c r="E2274" s="35" t="n">
        <v>2.3</v>
      </c>
      <c r="F2274" s="35" t="n">
        <v>2</v>
      </c>
      <c r="G2274" s="37" t="inlineStr">
        <is>
          <t>Y</t>
        </is>
      </c>
      <c r="H2274" s="37" t="inlineStr">
        <is>
          <t>N</t>
        </is>
      </c>
      <c r="I2274" s="37">
        <f>COUNTIF(G$5:G2274,"Y")/COUNTA(G$5:G2274)</f>
        <v/>
      </c>
      <c r="J2274" s="37">
        <f>COUNTIF(H$5:H2274,"Y")/COUNTA(H$5:H2274)</f>
        <v/>
      </c>
      <c r="K2274" s="37">
        <f>AVERAGE(F$5:F2274)</f>
        <v/>
      </c>
      <c r="L2274" s="37">
        <f>SUM(F$5:F2274)/SUM(E$5:E2274)</f>
        <v/>
      </c>
    </row>
    <row r="2275">
      <c r="A2275" s="29" t="n">
        <v>46003</v>
      </c>
      <c r="B2275" s="37" t="inlineStr">
        <is>
          <t>JOB-3271</t>
        </is>
      </c>
      <c r="C2275" s="34" t="n">
        <v>1</v>
      </c>
      <c r="D2275" s="37" t="inlineStr">
        <is>
          <t>Tech H</t>
        </is>
      </c>
      <c r="E2275" s="35" t="n">
        <v>2.6</v>
      </c>
      <c r="F2275" s="35" t="n">
        <v>1.9</v>
      </c>
      <c r="G2275" s="37" t="inlineStr">
        <is>
          <t>N</t>
        </is>
      </c>
      <c r="H2275" s="37" t="inlineStr">
        <is>
          <t>N</t>
        </is>
      </c>
      <c r="I2275" s="37">
        <f>COUNTIF(G$5:G2275,"Y")/COUNTA(G$5:G2275)</f>
        <v/>
      </c>
      <c r="J2275" s="37">
        <f>COUNTIF(H$5:H2275,"Y")/COUNTA(H$5:H2275)</f>
        <v/>
      </c>
      <c r="K2275" s="37">
        <f>AVERAGE(F$5:F2275)</f>
        <v/>
      </c>
      <c r="L2275" s="37">
        <f>SUM(F$5:F2275)/SUM(E$5:E2275)</f>
        <v/>
      </c>
    </row>
    <row r="2276">
      <c r="A2276" s="29" t="n">
        <v>45999</v>
      </c>
      <c r="B2276" s="37" t="inlineStr">
        <is>
          <t>JOB-3272</t>
        </is>
      </c>
      <c r="C2276" s="34" t="n">
        <v>1</v>
      </c>
      <c r="D2276" s="37" t="inlineStr">
        <is>
          <t>Tech B</t>
        </is>
      </c>
      <c r="E2276" s="35" t="n">
        <v>2.3</v>
      </c>
      <c r="F2276" s="35" t="n">
        <v>1.6</v>
      </c>
      <c r="G2276" s="37" t="inlineStr">
        <is>
          <t>Y</t>
        </is>
      </c>
      <c r="H2276" s="37" t="inlineStr">
        <is>
          <t>N</t>
        </is>
      </c>
      <c r="I2276" s="37">
        <f>COUNTIF(G$5:G2276,"Y")/COUNTA(G$5:G2276)</f>
        <v/>
      </c>
      <c r="J2276" s="37">
        <f>COUNTIF(H$5:H2276,"Y")/COUNTA(H$5:H2276)</f>
        <v/>
      </c>
      <c r="K2276" s="37">
        <f>AVERAGE(F$5:F2276)</f>
        <v/>
      </c>
      <c r="L2276" s="37">
        <f>SUM(F$5:F2276)/SUM(E$5:E2276)</f>
        <v/>
      </c>
    </row>
    <row r="2277">
      <c r="A2277" s="29" t="n">
        <v>46000</v>
      </c>
      <c r="B2277" s="37" t="inlineStr">
        <is>
          <t>JOB-3273</t>
        </is>
      </c>
      <c r="C2277" s="34" t="n">
        <v>1</v>
      </c>
      <c r="D2277" s="37" t="inlineStr">
        <is>
          <t>Tech A</t>
        </is>
      </c>
      <c r="E2277" s="35" t="n">
        <v>1.7</v>
      </c>
      <c r="F2277" s="35" t="n">
        <v>1.3</v>
      </c>
      <c r="G2277" s="37" t="inlineStr">
        <is>
          <t>Y</t>
        </is>
      </c>
      <c r="H2277" s="37" t="inlineStr">
        <is>
          <t>N</t>
        </is>
      </c>
      <c r="I2277" s="37">
        <f>COUNTIF(G$5:G2277,"Y")/COUNTA(G$5:G2277)</f>
        <v/>
      </c>
      <c r="J2277" s="37">
        <f>COUNTIF(H$5:H2277,"Y")/COUNTA(H$5:H2277)</f>
        <v/>
      </c>
      <c r="K2277" s="37">
        <f>AVERAGE(F$5:F2277)</f>
        <v/>
      </c>
      <c r="L2277" s="37">
        <f>SUM(F$5:F2277)/SUM(E$5:E2277)</f>
        <v/>
      </c>
    </row>
    <row r="2278">
      <c r="A2278" s="29" t="n">
        <v>46001</v>
      </c>
      <c r="B2278" s="37" t="inlineStr">
        <is>
          <t>JOB-3274</t>
        </is>
      </c>
      <c r="C2278" s="34" t="n">
        <v>1</v>
      </c>
      <c r="D2278" s="37" t="inlineStr">
        <is>
          <t>Tech D</t>
        </is>
      </c>
      <c r="E2278" s="35" t="n">
        <v>3.6</v>
      </c>
      <c r="F2278" s="35" t="n">
        <v>2.4</v>
      </c>
      <c r="G2278" s="37" t="inlineStr">
        <is>
          <t>Y</t>
        </is>
      </c>
      <c r="H2278" s="37" t="inlineStr">
        <is>
          <t>N</t>
        </is>
      </c>
      <c r="I2278" s="37">
        <f>COUNTIF(G$5:G2278,"Y")/COUNTA(G$5:G2278)</f>
        <v/>
      </c>
      <c r="J2278" s="37">
        <f>COUNTIF(H$5:H2278,"Y")/COUNTA(H$5:H2278)</f>
        <v/>
      </c>
      <c r="K2278" s="37">
        <f>AVERAGE(F$5:F2278)</f>
        <v/>
      </c>
      <c r="L2278" s="37">
        <f>SUM(F$5:F2278)/SUM(E$5:E2278)</f>
        <v/>
      </c>
    </row>
    <row r="2279">
      <c r="A2279" s="29" t="n">
        <v>46002</v>
      </c>
      <c r="B2279" s="37" t="inlineStr">
        <is>
          <t>JOB-3275</t>
        </is>
      </c>
      <c r="C2279" s="34" t="n">
        <v>1</v>
      </c>
      <c r="D2279" s="37" t="inlineStr">
        <is>
          <t>Tech A</t>
        </is>
      </c>
      <c r="E2279" s="35" t="n">
        <v>1.7</v>
      </c>
      <c r="F2279" s="35" t="n">
        <v>1.4</v>
      </c>
      <c r="G2279" s="37" t="inlineStr">
        <is>
          <t>Y</t>
        </is>
      </c>
      <c r="H2279" s="37" t="inlineStr">
        <is>
          <t>Y</t>
        </is>
      </c>
      <c r="I2279" s="37">
        <f>COUNTIF(G$5:G2279,"Y")/COUNTA(G$5:G2279)</f>
        <v/>
      </c>
      <c r="J2279" s="37">
        <f>COUNTIF(H$5:H2279,"Y")/COUNTA(H$5:H2279)</f>
        <v/>
      </c>
      <c r="K2279" s="37">
        <f>AVERAGE(F$5:F2279)</f>
        <v/>
      </c>
      <c r="L2279" s="37">
        <f>SUM(F$5:F2279)/SUM(E$5:E2279)</f>
        <v/>
      </c>
    </row>
    <row r="2280">
      <c r="A2280" s="29" t="n">
        <v>46003</v>
      </c>
      <c r="B2280" s="37" t="inlineStr">
        <is>
          <t>JOB-3276</t>
        </is>
      </c>
      <c r="C2280" s="34" t="n">
        <v>1</v>
      </c>
      <c r="D2280" s="37" t="inlineStr">
        <is>
          <t>Tech A</t>
        </is>
      </c>
      <c r="E2280" s="35" t="n">
        <v>3.8</v>
      </c>
      <c r="F2280" s="35" t="n">
        <v>2.5</v>
      </c>
      <c r="G2280" s="37" t="inlineStr">
        <is>
          <t>Y</t>
        </is>
      </c>
      <c r="H2280" s="37" t="inlineStr">
        <is>
          <t>N</t>
        </is>
      </c>
      <c r="I2280" s="37">
        <f>COUNTIF(G$5:G2280,"Y")/COUNTA(G$5:G2280)</f>
        <v/>
      </c>
      <c r="J2280" s="37">
        <f>COUNTIF(H$5:H2280,"Y")/COUNTA(H$5:H2280)</f>
        <v/>
      </c>
      <c r="K2280" s="37">
        <f>AVERAGE(F$5:F2280)</f>
        <v/>
      </c>
      <c r="L2280" s="37">
        <f>SUM(F$5:F2280)/SUM(E$5:E2280)</f>
        <v/>
      </c>
    </row>
    <row r="2281">
      <c r="A2281" s="29" t="n">
        <v>45999</v>
      </c>
      <c r="B2281" s="37" t="inlineStr">
        <is>
          <t>JOB-3277</t>
        </is>
      </c>
      <c r="C2281" s="34" t="n">
        <v>1</v>
      </c>
      <c r="D2281" s="37" t="inlineStr">
        <is>
          <t>Tech A</t>
        </is>
      </c>
      <c r="E2281" s="35" t="n">
        <v>3.4</v>
      </c>
      <c r="F2281" s="35" t="n">
        <v>3</v>
      </c>
      <c r="G2281" s="37" t="inlineStr">
        <is>
          <t>Y</t>
        </is>
      </c>
      <c r="H2281" s="37" t="inlineStr">
        <is>
          <t>N</t>
        </is>
      </c>
      <c r="I2281" s="37">
        <f>COUNTIF(G$5:G2281,"Y")/COUNTA(G$5:G2281)</f>
        <v/>
      </c>
      <c r="J2281" s="37">
        <f>COUNTIF(H$5:H2281,"Y")/COUNTA(H$5:H2281)</f>
        <v/>
      </c>
      <c r="K2281" s="37">
        <f>AVERAGE(F$5:F2281)</f>
        <v/>
      </c>
      <c r="L2281" s="37">
        <f>SUM(F$5:F2281)/SUM(E$5:E2281)</f>
        <v/>
      </c>
    </row>
    <row r="2282">
      <c r="A2282" s="29" t="n">
        <v>46000</v>
      </c>
      <c r="B2282" s="37" t="inlineStr">
        <is>
          <t>JOB-3278</t>
        </is>
      </c>
      <c r="C2282" s="34" t="n">
        <v>1</v>
      </c>
      <c r="D2282" s="37" t="inlineStr">
        <is>
          <t>Tech B</t>
        </is>
      </c>
      <c r="E2282" s="35" t="n">
        <v>4.4</v>
      </c>
      <c r="F2282" s="35" t="n">
        <v>3.1</v>
      </c>
      <c r="G2282" s="37" t="inlineStr">
        <is>
          <t>Y</t>
        </is>
      </c>
      <c r="H2282" s="37" t="inlineStr">
        <is>
          <t>N</t>
        </is>
      </c>
      <c r="I2282" s="37">
        <f>COUNTIF(G$5:G2282,"Y")/COUNTA(G$5:G2282)</f>
        <v/>
      </c>
      <c r="J2282" s="37">
        <f>COUNTIF(H$5:H2282,"Y")/COUNTA(H$5:H2282)</f>
        <v/>
      </c>
      <c r="K2282" s="37">
        <f>AVERAGE(F$5:F2282)</f>
        <v/>
      </c>
      <c r="L2282" s="37">
        <f>SUM(F$5:F2282)/SUM(E$5:E2282)</f>
        <v/>
      </c>
    </row>
    <row r="2283">
      <c r="A2283" s="29" t="n">
        <v>46001</v>
      </c>
      <c r="B2283" s="37" t="inlineStr">
        <is>
          <t>JOB-3279</t>
        </is>
      </c>
      <c r="C2283" s="34" t="n">
        <v>1</v>
      </c>
      <c r="D2283" s="37" t="inlineStr">
        <is>
          <t>Tech G</t>
        </is>
      </c>
      <c r="E2283" s="35" t="n">
        <v>4.2</v>
      </c>
      <c r="F2283" s="35" t="n">
        <v>3.5</v>
      </c>
      <c r="G2283" s="37" t="inlineStr">
        <is>
          <t>Y</t>
        </is>
      </c>
      <c r="H2283" s="37" t="inlineStr">
        <is>
          <t>N</t>
        </is>
      </c>
      <c r="I2283" s="37">
        <f>COUNTIF(G$5:G2283,"Y")/COUNTA(G$5:G2283)</f>
        <v/>
      </c>
      <c r="J2283" s="37">
        <f>COUNTIF(H$5:H2283,"Y")/COUNTA(H$5:H2283)</f>
        <v/>
      </c>
      <c r="K2283" s="37">
        <f>AVERAGE(F$5:F2283)</f>
        <v/>
      </c>
      <c r="L2283" s="37">
        <f>SUM(F$5:F2283)/SUM(E$5:E2283)</f>
        <v/>
      </c>
    </row>
    <row r="2284">
      <c r="A2284" s="29" t="n">
        <v>46002</v>
      </c>
      <c r="B2284" s="37" t="inlineStr">
        <is>
          <t>JOB-3280</t>
        </is>
      </c>
      <c r="C2284" s="34" t="n">
        <v>1</v>
      </c>
      <c r="D2284" s="37" t="inlineStr">
        <is>
          <t>Tech C</t>
        </is>
      </c>
      <c r="E2284" s="35" t="n">
        <v>1.7</v>
      </c>
      <c r="F2284" s="35" t="n">
        <v>1.5</v>
      </c>
      <c r="G2284" s="37" t="inlineStr">
        <is>
          <t>Y</t>
        </is>
      </c>
      <c r="H2284" s="37" t="inlineStr">
        <is>
          <t>N</t>
        </is>
      </c>
      <c r="I2284" s="37">
        <f>COUNTIF(G$5:G2284,"Y")/COUNTA(G$5:G2284)</f>
        <v/>
      </c>
      <c r="J2284" s="37">
        <f>COUNTIF(H$5:H2284,"Y")/COUNTA(H$5:H2284)</f>
        <v/>
      </c>
      <c r="K2284" s="37">
        <f>AVERAGE(F$5:F2284)</f>
        <v/>
      </c>
      <c r="L2284" s="37">
        <f>SUM(F$5:F2284)/SUM(E$5:E2284)</f>
        <v/>
      </c>
    </row>
    <row r="2285">
      <c r="A2285" s="29" t="n">
        <v>46003</v>
      </c>
      <c r="B2285" s="37" t="inlineStr">
        <is>
          <t>JOB-3281</t>
        </is>
      </c>
      <c r="C2285" s="34" t="n">
        <v>1</v>
      </c>
      <c r="D2285" s="37" t="inlineStr">
        <is>
          <t>Tech G</t>
        </is>
      </c>
      <c r="E2285" s="35" t="n">
        <v>3.9</v>
      </c>
      <c r="F2285" s="35" t="n">
        <v>3</v>
      </c>
      <c r="G2285" s="37" t="inlineStr">
        <is>
          <t>Y</t>
        </is>
      </c>
      <c r="H2285" s="37" t="inlineStr">
        <is>
          <t>N</t>
        </is>
      </c>
      <c r="I2285" s="37">
        <f>COUNTIF(G$5:G2285,"Y")/COUNTA(G$5:G2285)</f>
        <v/>
      </c>
      <c r="J2285" s="37">
        <f>COUNTIF(H$5:H2285,"Y")/COUNTA(H$5:H2285)</f>
        <v/>
      </c>
      <c r="K2285" s="37">
        <f>AVERAGE(F$5:F2285)</f>
        <v/>
      </c>
      <c r="L2285" s="37">
        <f>SUM(F$5:F2285)/SUM(E$5:E2285)</f>
        <v/>
      </c>
    </row>
    <row r="2286">
      <c r="A2286" s="29" t="n">
        <v>45999</v>
      </c>
      <c r="B2286" s="37" t="inlineStr">
        <is>
          <t>JOB-3282</t>
        </is>
      </c>
      <c r="C2286" s="34" t="n">
        <v>1</v>
      </c>
      <c r="D2286" s="37" t="inlineStr">
        <is>
          <t>Tech G</t>
        </is>
      </c>
      <c r="E2286" s="35" t="n">
        <v>2</v>
      </c>
      <c r="F2286" s="35" t="n">
        <v>1.7</v>
      </c>
      <c r="G2286" s="37" t="inlineStr">
        <is>
          <t>N</t>
        </is>
      </c>
      <c r="H2286" s="37" t="inlineStr">
        <is>
          <t>N</t>
        </is>
      </c>
      <c r="I2286" s="37">
        <f>COUNTIF(G$5:G2286,"Y")/COUNTA(G$5:G2286)</f>
        <v/>
      </c>
      <c r="J2286" s="37">
        <f>COUNTIF(H$5:H2286,"Y")/COUNTA(H$5:H2286)</f>
        <v/>
      </c>
      <c r="K2286" s="37">
        <f>AVERAGE(F$5:F2286)</f>
        <v/>
      </c>
      <c r="L2286" s="37">
        <f>SUM(F$5:F2286)/SUM(E$5:E2286)</f>
        <v/>
      </c>
    </row>
    <row r="2287">
      <c r="A2287" s="29" t="n">
        <v>46000</v>
      </c>
      <c r="B2287" s="37" t="inlineStr">
        <is>
          <t>JOB-3283</t>
        </is>
      </c>
      <c r="C2287" s="34" t="n">
        <v>1</v>
      </c>
      <c r="D2287" s="37" t="inlineStr">
        <is>
          <t>Tech F</t>
        </is>
      </c>
      <c r="E2287" s="35" t="n">
        <v>1.7</v>
      </c>
      <c r="F2287" s="35" t="n">
        <v>1.4</v>
      </c>
      <c r="G2287" s="37" t="inlineStr">
        <is>
          <t>Y</t>
        </is>
      </c>
      <c r="H2287" s="37" t="inlineStr">
        <is>
          <t>N</t>
        </is>
      </c>
      <c r="I2287" s="37">
        <f>COUNTIF(G$5:G2287,"Y")/COUNTA(G$5:G2287)</f>
        <v/>
      </c>
      <c r="J2287" s="37">
        <f>COUNTIF(H$5:H2287,"Y")/COUNTA(H$5:H2287)</f>
        <v/>
      </c>
      <c r="K2287" s="37">
        <f>AVERAGE(F$5:F2287)</f>
        <v/>
      </c>
      <c r="L2287" s="37">
        <f>SUM(F$5:F2287)/SUM(E$5:E2287)</f>
        <v/>
      </c>
    </row>
    <row r="2288">
      <c r="A2288" s="29" t="n">
        <v>46001</v>
      </c>
      <c r="B2288" s="37" t="inlineStr">
        <is>
          <t>JOB-3284</t>
        </is>
      </c>
      <c r="C2288" s="34" t="n">
        <v>1</v>
      </c>
      <c r="D2288" s="37" t="inlineStr">
        <is>
          <t>Tech G</t>
        </is>
      </c>
      <c r="E2288" s="35" t="n">
        <v>1.8</v>
      </c>
      <c r="F2288" s="35" t="n">
        <v>1.2</v>
      </c>
      <c r="G2288" s="37" t="inlineStr">
        <is>
          <t>Y</t>
        </is>
      </c>
      <c r="H2288" s="37" t="inlineStr">
        <is>
          <t>N</t>
        </is>
      </c>
      <c r="I2288" s="37">
        <f>COUNTIF(G$5:G2288,"Y")/COUNTA(G$5:G2288)</f>
        <v/>
      </c>
      <c r="J2288" s="37">
        <f>COUNTIF(H$5:H2288,"Y")/COUNTA(H$5:H2288)</f>
        <v/>
      </c>
      <c r="K2288" s="37">
        <f>AVERAGE(F$5:F2288)</f>
        <v/>
      </c>
      <c r="L2288" s="37">
        <f>SUM(F$5:F2288)/SUM(E$5:E2288)</f>
        <v/>
      </c>
    </row>
    <row r="2289">
      <c r="A2289" s="29" t="n">
        <v>46002</v>
      </c>
      <c r="B2289" s="37" t="inlineStr">
        <is>
          <t>JOB-3285</t>
        </is>
      </c>
      <c r="C2289" s="34" t="n">
        <v>1</v>
      </c>
      <c r="D2289" s="37" t="inlineStr">
        <is>
          <t>Tech H</t>
        </is>
      </c>
      <c r="E2289" s="35" t="n">
        <v>2.8</v>
      </c>
      <c r="F2289" s="35" t="n">
        <v>2.2</v>
      </c>
      <c r="G2289" s="37" t="inlineStr">
        <is>
          <t>Y</t>
        </is>
      </c>
      <c r="H2289" s="37" t="inlineStr">
        <is>
          <t>N</t>
        </is>
      </c>
      <c r="I2289" s="37">
        <f>COUNTIF(G$5:G2289,"Y")/COUNTA(G$5:G2289)</f>
        <v/>
      </c>
      <c r="J2289" s="37">
        <f>COUNTIF(H$5:H2289,"Y")/COUNTA(H$5:H2289)</f>
        <v/>
      </c>
      <c r="K2289" s="37">
        <f>AVERAGE(F$5:F2289)</f>
        <v/>
      </c>
      <c r="L2289" s="37">
        <f>SUM(F$5:F2289)/SUM(E$5:E2289)</f>
        <v/>
      </c>
    </row>
    <row r="2290">
      <c r="A2290" s="29" t="n">
        <v>46003</v>
      </c>
      <c r="B2290" s="37" t="inlineStr">
        <is>
          <t>JOB-3286</t>
        </is>
      </c>
      <c r="C2290" s="34" t="n">
        <v>1</v>
      </c>
      <c r="D2290" s="37" t="inlineStr">
        <is>
          <t>Tech F</t>
        </is>
      </c>
      <c r="E2290" s="35" t="n">
        <v>2.4</v>
      </c>
      <c r="F2290" s="35" t="n">
        <v>1.6</v>
      </c>
      <c r="G2290" s="37" t="inlineStr">
        <is>
          <t>Y</t>
        </is>
      </c>
      <c r="H2290" s="37" t="inlineStr">
        <is>
          <t>N</t>
        </is>
      </c>
      <c r="I2290" s="37">
        <f>COUNTIF(G$5:G2290,"Y")/COUNTA(G$5:G2290)</f>
        <v/>
      </c>
      <c r="J2290" s="37">
        <f>COUNTIF(H$5:H2290,"Y")/COUNTA(H$5:H2290)</f>
        <v/>
      </c>
      <c r="K2290" s="37">
        <f>AVERAGE(F$5:F2290)</f>
        <v/>
      </c>
      <c r="L2290" s="37">
        <f>SUM(F$5:F2290)/SUM(E$5:E2290)</f>
        <v/>
      </c>
    </row>
    <row r="2291">
      <c r="A2291" s="29" t="n">
        <v>45999</v>
      </c>
      <c r="B2291" s="37" t="inlineStr">
        <is>
          <t>JOB-3287</t>
        </is>
      </c>
      <c r="C2291" s="34" t="n">
        <v>1</v>
      </c>
      <c r="D2291" s="37" t="inlineStr">
        <is>
          <t>Tech C</t>
        </is>
      </c>
      <c r="E2291" s="35" t="n">
        <v>1.7</v>
      </c>
      <c r="F2291" s="35" t="n">
        <v>1.5</v>
      </c>
      <c r="G2291" s="37" t="inlineStr">
        <is>
          <t>Y</t>
        </is>
      </c>
      <c r="H2291" s="37" t="inlineStr">
        <is>
          <t>N</t>
        </is>
      </c>
      <c r="I2291" s="37">
        <f>COUNTIF(G$5:G2291,"Y")/COUNTA(G$5:G2291)</f>
        <v/>
      </c>
      <c r="J2291" s="37">
        <f>COUNTIF(H$5:H2291,"Y")/COUNTA(H$5:H2291)</f>
        <v/>
      </c>
      <c r="K2291" s="37">
        <f>AVERAGE(F$5:F2291)</f>
        <v/>
      </c>
      <c r="L2291" s="37">
        <f>SUM(F$5:F2291)/SUM(E$5:E2291)</f>
        <v/>
      </c>
    </row>
    <row r="2292">
      <c r="A2292" s="29" t="n">
        <v>46000</v>
      </c>
      <c r="B2292" s="37" t="inlineStr">
        <is>
          <t>JOB-3288</t>
        </is>
      </c>
      <c r="C2292" s="34" t="n">
        <v>1</v>
      </c>
      <c r="D2292" s="37" t="inlineStr">
        <is>
          <t>Tech C</t>
        </is>
      </c>
      <c r="E2292" s="35" t="n">
        <v>4.2</v>
      </c>
      <c r="F2292" s="35" t="n">
        <v>3.3</v>
      </c>
      <c r="G2292" s="37" t="inlineStr">
        <is>
          <t>N</t>
        </is>
      </c>
      <c r="H2292" s="37" t="inlineStr">
        <is>
          <t>N</t>
        </is>
      </c>
      <c r="I2292" s="37">
        <f>COUNTIF(G$5:G2292,"Y")/COUNTA(G$5:G2292)</f>
        <v/>
      </c>
      <c r="J2292" s="37">
        <f>COUNTIF(H$5:H2292,"Y")/COUNTA(H$5:H2292)</f>
        <v/>
      </c>
      <c r="K2292" s="37">
        <f>AVERAGE(F$5:F2292)</f>
        <v/>
      </c>
      <c r="L2292" s="37">
        <f>SUM(F$5:F2292)/SUM(E$5:E2292)</f>
        <v/>
      </c>
    </row>
    <row r="2293">
      <c r="A2293" s="29" t="n">
        <v>46001</v>
      </c>
      <c r="B2293" s="37" t="inlineStr">
        <is>
          <t>JOB-3289</t>
        </is>
      </c>
      <c r="C2293" s="34" t="n">
        <v>1</v>
      </c>
      <c r="D2293" s="37" t="inlineStr">
        <is>
          <t>Tech B</t>
        </is>
      </c>
      <c r="E2293" s="35" t="n">
        <v>4.3</v>
      </c>
      <c r="F2293" s="35" t="n">
        <v>3.5</v>
      </c>
      <c r="G2293" s="37" t="inlineStr">
        <is>
          <t>Y</t>
        </is>
      </c>
      <c r="H2293" s="37" t="inlineStr">
        <is>
          <t>N</t>
        </is>
      </c>
      <c r="I2293" s="37">
        <f>COUNTIF(G$5:G2293,"Y")/COUNTA(G$5:G2293)</f>
        <v/>
      </c>
      <c r="J2293" s="37">
        <f>COUNTIF(H$5:H2293,"Y")/COUNTA(H$5:H2293)</f>
        <v/>
      </c>
      <c r="K2293" s="37">
        <f>AVERAGE(F$5:F2293)</f>
        <v/>
      </c>
      <c r="L2293" s="37">
        <f>SUM(F$5:F2293)/SUM(E$5:E2293)</f>
        <v/>
      </c>
    </row>
    <row r="2294">
      <c r="A2294" s="29" t="n">
        <v>46002</v>
      </c>
      <c r="B2294" s="37" t="inlineStr">
        <is>
          <t>JOB-3290</t>
        </is>
      </c>
      <c r="C2294" s="34" t="n">
        <v>1</v>
      </c>
      <c r="D2294" s="37" t="inlineStr">
        <is>
          <t>Tech F</t>
        </is>
      </c>
      <c r="E2294" s="35" t="n">
        <v>2.2</v>
      </c>
      <c r="F2294" s="35" t="n">
        <v>1.5</v>
      </c>
      <c r="G2294" s="37" t="inlineStr">
        <is>
          <t>Y</t>
        </is>
      </c>
      <c r="H2294" s="37" t="inlineStr">
        <is>
          <t>N</t>
        </is>
      </c>
      <c r="I2294" s="37">
        <f>COUNTIF(G$5:G2294,"Y")/COUNTA(G$5:G2294)</f>
        <v/>
      </c>
      <c r="J2294" s="37">
        <f>COUNTIF(H$5:H2294,"Y")/COUNTA(H$5:H2294)</f>
        <v/>
      </c>
      <c r="K2294" s="37">
        <f>AVERAGE(F$5:F2294)</f>
        <v/>
      </c>
      <c r="L2294" s="37">
        <f>SUM(F$5:F2294)/SUM(E$5:E2294)</f>
        <v/>
      </c>
    </row>
    <row r="2295">
      <c r="A2295" s="29" t="n">
        <v>46003</v>
      </c>
      <c r="B2295" s="37" t="inlineStr">
        <is>
          <t>JOB-3291</t>
        </is>
      </c>
      <c r="C2295" s="34" t="n">
        <v>1</v>
      </c>
      <c r="D2295" s="37" t="inlineStr">
        <is>
          <t>Tech D</t>
        </is>
      </c>
      <c r="E2295" s="35" t="n">
        <v>3.1</v>
      </c>
      <c r="F2295" s="35" t="n">
        <v>2.3</v>
      </c>
      <c r="G2295" s="37" t="inlineStr">
        <is>
          <t>Y</t>
        </is>
      </c>
      <c r="H2295" s="37" t="inlineStr">
        <is>
          <t>N</t>
        </is>
      </c>
      <c r="I2295" s="37">
        <f>COUNTIF(G$5:G2295,"Y")/COUNTA(G$5:G2295)</f>
        <v/>
      </c>
      <c r="J2295" s="37">
        <f>COUNTIF(H$5:H2295,"Y")/COUNTA(H$5:H2295)</f>
        <v/>
      </c>
      <c r="K2295" s="37">
        <f>AVERAGE(F$5:F2295)</f>
        <v/>
      </c>
      <c r="L2295" s="37">
        <f>SUM(F$5:F2295)/SUM(E$5:E2295)</f>
        <v/>
      </c>
    </row>
    <row r="2296">
      <c r="A2296" s="29" t="n">
        <v>45999</v>
      </c>
      <c r="B2296" s="37" t="inlineStr">
        <is>
          <t>JOB-3292</t>
        </is>
      </c>
      <c r="C2296" s="34" t="n">
        <v>1</v>
      </c>
      <c r="D2296" s="37" t="inlineStr">
        <is>
          <t>Tech B</t>
        </is>
      </c>
      <c r="E2296" s="35" t="n">
        <v>4.5</v>
      </c>
      <c r="F2296" s="35" t="n">
        <v>3</v>
      </c>
      <c r="G2296" s="37" t="inlineStr">
        <is>
          <t>Y</t>
        </is>
      </c>
      <c r="H2296" s="37" t="inlineStr">
        <is>
          <t>N</t>
        </is>
      </c>
      <c r="I2296" s="37">
        <f>COUNTIF(G$5:G2296,"Y")/COUNTA(G$5:G2296)</f>
        <v/>
      </c>
      <c r="J2296" s="37">
        <f>COUNTIF(H$5:H2296,"Y")/COUNTA(H$5:H2296)</f>
        <v/>
      </c>
      <c r="K2296" s="37">
        <f>AVERAGE(F$5:F2296)</f>
        <v/>
      </c>
      <c r="L2296" s="37">
        <f>SUM(F$5:F2296)/SUM(E$5:E2296)</f>
        <v/>
      </c>
    </row>
    <row r="2297">
      <c r="A2297" s="29" t="n">
        <v>46000</v>
      </c>
      <c r="B2297" s="37" t="inlineStr">
        <is>
          <t>JOB-3293</t>
        </is>
      </c>
      <c r="C2297" s="34" t="n">
        <v>1</v>
      </c>
      <c r="D2297" s="37" t="inlineStr">
        <is>
          <t>Tech F</t>
        </is>
      </c>
      <c r="E2297" s="35" t="n">
        <v>3.1</v>
      </c>
      <c r="F2297" s="35" t="n">
        <v>2.1</v>
      </c>
      <c r="G2297" s="37" t="inlineStr">
        <is>
          <t>Y</t>
        </is>
      </c>
      <c r="H2297" s="37" t="inlineStr">
        <is>
          <t>N</t>
        </is>
      </c>
      <c r="I2297" s="37">
        <f>COUNTIF(G$5:G2297,"Y")/COUNTA(G$5:G2297)</f>
        <v/>
      </c>
      <c r="J2297" s="37">
        <f>COUNTIF(H$5:H2297,"Y")/COUNTA(H$5:H2297)</f>
        <v/>
      </c>
      <c r="K2297" s="37">
        <f>AVERAGE(F$5:F2297)</f>
        <v/>
      </c>
      <c r="L2297" s="37">
        <f>SUM(F$5:F2297)/SUM(E$5:E2297)</f>
        <v/>
      </c>
    </row>
    <row r="2298">
      <c r="A2298" s="29" t="n">
        <v>46001</v>
      </c>
      <c r="B2298" s="37" t="inlineStr">
        <is>
          <t>JOB-3294</t>
        </is>
      </c>
      <c r="C2298" s="34" t="n">
        <v>1</v>
      </c>
      <c r="D2298" s="37" t="inlineStr">
        <is>
          <t>Tech D</t>
        </is>
      </c>
      <c r="E2298" s="35" t="n">
        <v>3.6</v>
      </c>
      <c r="F2298" s="35" t="n">
        <v>2.5</v>
      </c>
      <c r="G2298" s="37" t="inlineStr">
        <is>
          <t>Y</t>
        </is>
      </c>
      <c r="H2298" s="37" t="inlineStr">
        <is>
          <t>N</t>
        </is>
      </c>
      <c r="I2298" s="37">
        <f>COUNTIF(G$5:G2298,"Y")/COUNTA(G$5:G2298)</f>
        <v/>
      </c>
      <c r="J2298" s="37">
        <f>COUNTIF(H$5:H2298,"Y")/COUNTA(H$5:H2298)</f>
        <v/>
      </c>
      <c r="K2298" s="37">
        <f>AVERAGE(F$5:F2298)</f>
        <v/>
      </c>
      <c r="L2298" s="37">
        <f>SUM(F$5:F2298)/SUM(E$5:E2298)</f>
        <v/>
      </c>
    </row>
    <row r="2299">
      <c r="A2299" s="29" t="n">
        <v>46002</v>
      </c>
      <c r="B2299" s="37" t="inlineStr">
        <is>
          <t>JOB-3295</t>
        </is>
      </c>
      <c r="C2299" s="34" t="n">
        <v>1</v>
      </c>
      <c r="D2299" s="37" t="inlineStr">
        <is>
          <t>Tech B</t>
        </is>
      </c>
      <c r="E2299" s="35" t="n">
        <v>3.7</v>
      </c>
      <c r="F2299" s="35" t="n">
        <v>2.5</v>
      </c>
      <c r="G2299" s="37" t="inlineStr">
        <is>
          <t>Y</t>
        </is>
      </c>
      <c r="H2299" s="37" t="inlineStr">
        <is>
          <t>N</t>
        </is>
      </c>
      <c r="I2299" s="37">
        <f>COUNTIF(G$5:G2299,"Y")/COUNTA(G$5:G2299)</f>
        <v/>
      </c>
      <c r="J2299" s="37">
        <f>COUNTIF(H$5:H2299,"Y")/COUNTA(H$5:H2299)</f>
        <v/>
      </c>
      <c r="K2299" s="37">
        <f>AVERAGE(F$5:F2299)</f>
        <v/>
      </c>
      <c r="L2299" s="37">
        <f>SUM(F$5:F2299)/SUM(E$5:E2299)</f>
        <v/>
      </c>
    </row>
    <row r="2300">
      <c r="A2300" s="29" t="n">
        <v>46003</v>
      </c>
      <c r="B2300" s="37" t="inlineStr">
        <is>
          <t>JOB-3296</t>
        </is>
      </c>
      <c r="C2300" s="34" t="n">
        <v>1</v>
      </c>
      <c r="D2300" s="37" t="inlineStr">
        <is>
          <t>Tech F</t>
        </is>
      </c>
      <c r="E2300" s="35" t="n">
        <v>2.1</v>
      </c>
      <c r="F2300" s="35" t="n">
        <v>1.5</v>
      </c>
      <c r="G2300" s="37" t="inlineStr">
        <is>
          <t>Y</t>
        </is>
      </c>
      <c r="H2300" s="37" t="inlineStr">
        <is>
          <t>N</t>
        </is>
      </c>
      <c r="I2300" s="37">
        <f>COUNTIF(G$5:G2300,"Y")/COUNTA(G$5:G2300)</f>
        <v/>
      </c>
      <c r="J2300" s="37">
        <f>COUNTIF(H$5:H2300,"Y")/COUNTA(H$5:H2300)</f>
        <v/>
      </c>
      <c r="K2300" s="37">
        <f>AVERAGE(F$5:F2300)</f>
        <v/>
      </c>
      <c r="L2300" s="37">
        <f>SUM(F$5:F2300)/SUM(E$5:E2300)</f>
        <v/>
      </c>
    </row>
    <row r="2301">
      <c r="A2301" s="29" t="n">
        <v>45999</v>
      </c>
      <c r="B2301" s="37" t="inlineStr">
        <is>
          <t>JOB-3297</t>
        </is>
      </c>
      <c r="C2301" s="34" t="n">
        <v>1</v>
      </c>
      <c r="D2301" s="37" t="inlineStr">
        <is>
          <t>Tech H</t>
        </is>
      </c>
      <c r="E2301" s="35" t="n">
        <v>2.9</v>
      </c>
      <c r="F2301" s="35" t="n">
        <v>2.5</v>
      </c>
      <c r="G2301" s="37" t="inlineStr">
        <is>
          <t>Y</t>
        </is>
      </c>
      <c r="H2301" s="37" t="inlineStr">
        <is>
          <t>N</t>
        </is>
      </c>
      <c r="I2301" s="37">
        <f>COUNTIF(G$5:G2301,"Y")/COUNTA(G$5:G2301)</f>
        <v/>
      </c>
      <c r="J2301" s="37">
        <f>COUNTIF(H$5:H2301,"Y")/COUNTA(H$5:H2301)</f>
        <v/>
      </c>
      <c r="K2301" s="37">
        <f>AVERAGE(F$5:F2301)</f>
        <v/>
      </c>
      <c r="L2301" s="37">
        <f>SUM(F$5:F2301)/SUM(E$5:E2301)</f>
        <v/>
      </c>
    </row>
    <row r="2302">
      <c r="A2302" s="29" t="n">
        <v>46000</v>
      </c>
      <c r="B2302" s="37" t="inlineStr">
        <is>
          <t>JOB-3298</t>
        </is>
      </c>
      <c r="C2302" s="34" t="n">
        <v>1</v>
      </c>
      <c r="D2302" s="37" t="inlineStr">
        <is>
          <t>Tech D</t>
        </is>
      </c>
      <c r="E2302" s="35" t="n">
        <v>3.9</v>
      </c>
      <c r="F2302" s="35" t="n">
        <v>2.7</v>
      </c>
      <c r="G2302" s="37" t="inlineStr">
        <is>
          <t>Y</t>
        </is>
      </c>
      <c r="H2302" s="37" t="inlineStr">
        <is>
          <t>N</t>
        </is>
      </c>
      <c r="I2302" s="37">
        <f>COUNTIF(G$5:G2302,"Y")/COUNTA(G$5:G2302)</f>
        <v/>
      </c>
      <c r="J2302" s="37">
        <f>COUNTIF(H$5:H2302,"Y")/COUNTA(H$5:H2302)</f>
        <v/>
      </c>
      <c r="K2302" s="37">
        <f>AVERAGE(F$5:F2302)</f>
        <v/>
      </c>
      <c r="L2302" s="37">
        <f>SUM(F$5:F2302)/SUM(E$5:E2302)</f>
        <v/>
      </c>
    </row>
    <row r="2303">
      <c r="A2303" s="29" t="n">
        <v>46001</v>
      </c>
      <c r="B2303" s="37" t="inlineStr">
        <is>
          <t>JOB-3299</t>
        </is>
      </c>
      <c r="C2303" s="34" t="n">
        <v>1</v>
      </c>
      <c r="D2303" s="37" t="inlineStr">
        <is>
          <t>Tech G</t>
        </is>
      </c>
      <c r="E2303" s="35" t="n">
        <v>4.2</v>
      </c>
      <c r="F2303" s="35" t="n">
        <v>2.9</v>
      </c>
      <c r="G2303" s="37" t="inlineStr">
        <is>
          <t>Y</t>
        </is>
      </c>
      <c r="H2303" s="37" t="inlineStr">
        <is>
          <t>N</t>
        </is>
      </c>
      <c r="I2303" s="37">
        <f>COUNTIF(G$5:G2303,"Y")/COUNTA(G$5:G2303)</f>
        <v/>
      </c>
      <c r="J2303" s="37">
        <f>COUNTIF(H$5:H2303,"Y")/COUNTA(H$5:H2303)</f>
        <v/>
      </c>
      <c r="K2303" s="37">
        <f>AVERAGE(F$5:F2303)</f>
        <v/>
      </c>
      <c r="L2303" s="37">
        <f>SUM(F$5:F2303)/SUM(E$5:E2303)</f>
        <v/>
      </c>
    </row>
    <row r="2304">
      <c r="A2304" s="29" t="n">
        <v>46002</v>
      </c>
      <c r="B2304" s="37" t="inlineStr">
        <is>
          <t>JOB-3300</t>
        </is>
      </c>
      <c r="C2304" s="34" t="n">
        <v>1</v>
      </c>
      <c r="D2304" s="37" t="inlineStr">
        <is>
          <t>Tech A</t>
        </is>
      </c>
      <c r="E2304" s="35" t="n">
        <v>3.3</v>
      </c>
      <c r="F2304" s="35" t="n">
        <v>2.9</v>
      </c>
      <c r="G2304" s="37" t="inlineStr">
        <is>
          <t>Y</t>
        </is>
      </c>
      <c r="H2304" s="37" t="inlineStr">
        <is>
          <t>N</t>
        </is>
      </c>
      <c r="I2304" s="37">
        <f>COUNTIF(G$5:G2304,"Y")/COUNTA(G$5:G2304)</f>
        <v/>
      </c>
      <c r="J2304" s="37">
        <f>COUNTIF(H$5:H2304,"Y")/COUNTA(H$5:H2304)</f>
        <v/>
      </c>
      <c r="K2304" s="37">
        <f>AVERAGE(F$5:F2304)</f>
        <v/>
      </c>
      <c r="L2304" s="37">
        <f>SUM(F$5:F2304)/SUM(E$5:E2304)</f>
        <v/>
      </c>
    </row>
    <row r="2305">
      <c r="A2305" s="29" t="n">
        <v>46003</v>
      </c>
      <c r="B2305" s="37" t="inlineStr">
        <is>
          <t>JOB-3301</t>
        </is>
      </c>
      <c r="C2305" s="34" t="n">
        <v>1</v>
      </c>
      <c r="D2305" s="37" t="inlineStr">
        <is>
          <t>Tech G</t>
        </is>
      </c>
      <c r="E2305" s="35" t="n">
        <v>4.9</v>
      </c>
      <c r="F2305" s="35" t="n">
        <v>3.3</v>
      </c>
      <c r="G2305" s="37" t="inlineStr">
        <is>
          <t>Y</t>
        </is>
      </c>
      <c r="H2305" s="37" t="inlineStr">
        <is>
          <t>N</t>
        </is>
      </c>
      <c r="I2305" s="37">
        <f>COUNTIF(G$5:G2305,"Y")/COUNTA(G$5:G2305)</f>
        <v/>
      </c>
      <c r="J2305" s="37">
        <f>COUNTIF(H$5:H2305,"Y")/COUNTA(H$5:H2305)</f>
        <v/>
      </c>
      <c r="K2305" s="37">
        <f>AVERAGE(F$5:F2305)</f>
        <v/>
      </c>
      <c r="L2305" s="37">
        <f>SUM(F$5:F2305)/SUM(E$5:E2305)</f>
        <v/>
      </c>
    </row>
    <row r="2306">
      <c r="A2306" s="29" t="n">
        <v>45999</v>
      </c>
      <c r="B2306" s="37" t="inlineStr">
        <is>
          <t>JOB-3302</t>
        </is>
      </c>
      <c r="C2306" s="34" t="n">
        <v>1</v>
      </c>
      <c r="D2306" s="37" t="inlineStr">
        <is>
          <t>Tech F</t>
        </is>
      </c>
      <c r="E2306" s="35" t="n">
        <v>2.9</v>
      </c>
      <c r="F2306" s="35" t="n">
        <v>2.3</v>
      </c>
      <c r="G2306" s="37" t="inlineStr">
        <is>
          <t>Y</t>
        </is>
      </c>
      <c r="H2306" s="37" t="inlineStr">
        <is>
          <t>N</t>
        </is>
      </c>
      <c r="I2306" s="37">
        <f>COUNTIF(G$5:G2306,"Y")/COUNTA(G$5:G2306)</f>
        <v/>
      </c>
      <c r="J2306" s="37">
        <f>COUNTIF(H$5:H2306,"Y")/COUNTA(H$5:H2306)</f>
        <v/>
      </c>
      <c r="K2306" s="37">
        <f>AVERAGE(F$5:F2306)</f>
        <v/>
      </c>
      <c r="L2306" s="37">
        <f>SUM(F$5:F2306)/SUM(E$5:E2306)</f>
        <v/>
      </c>
    </row>
    <row r="2307">
      <c r="A2307" s="29" t="n">
        <v>46000</v>
      </c>
      <c r="B2307" s="37" t="inlineStr">
        <is>
          <t>JOB-3303</t>
        </is>
      </c>
      <c r="C2307" s="34" t="n">
        <v>1</v>
      </c>
      <c r="D2307" s="37" t="inlineStr">
        <is>
          <t>Tech D</t>
        </is>
      </c>
      <c r="E2307" s="35" t="n">
        <v>4.3</v>
      </c>
      <c r="F2307" s="35" t="n">
        <v>3.1</v>
      </c>
      <c r="G2307" s="37" t="inlineStr">
        <is>
          <t>Y</t>
        </is>
      </c>
      <c r="H2307" s="37" t="inlineStr">
        <is>
          <t>Y</t>
        </is>
      </c>
      <c r="I2307" s="37">
        <f>COUNTIF(G$5:G2307,"Y")/COUNTA(G$5:G2307)</f>
        <v/>
      </c>
      <c r="J2307" s="37">
        <f>COUNTIF(H$5:H2307,"Y")/COUNTA(H$5:H2307)</f>
        <v/>
      </c>
      <c r="K2307" s="37">
        <f>AVERAGE(F$5:F2307)</f>
        <v/>
      </c>
      <c r="L2307" s="37">
        <f>SUM(F$5:F2307)/SUM(E$5:E2307)</f>
        <v/>
      </c>
    </row>
    <row r="2308">
      <c r="A2308" s="29" t="n">
        <v>46001</v>
      </c>
      <c r="B2308" s="37" t="inlineStr">
        <is>
          <t>JOB-3304</t>
        </is>
      </c>
      <c r="C2308" s="34" t="n">
        <v>1</v>
      </c>
      <c r="D2308" s="37" t="inlineStr">
        <is>
          <t>Tech B</t>
        </is>
      </c>
      <c r="E2308" s="35" t="n">
        <v>1.6</v>
      </c>
      <c r="F2308" s="35" t="n">
        <v>1.7</v>
      </c>
      <c r="G2308" s="37" t="inlineStr">
        <is>
          <t>Y</t>
        </is>
      </c>
      <c r="H2308" s="37" t="inlineStr">
        <is>
          <t>N</t>
        </is>
      </c>
      <c r="I2308" s="37">
        <f>COUNTIF(G$5:G2308,"Y")/COUNTA(G$5:G2308)</f>
        <v/>
      </c>
      <c r="J2308" s="37">
        <f>COUNTIF(H$5:H2308,"Y")/COUNTA(H$5:H2308)</f>
        <v/>
      </c>
      <c r="K2308" s="37">
        <f>AVERAGE(F$5:F2308)</f>
        <v/>
      </c>
      <c r="L2308" s="37">
        <f>SUM(F$5:F2308)/SUM(E$5:E2308)</f>
        <v/>
      </c>
    </row>
    <row r="2309">
      <c r="A2309" s="29" t="n">
        <v>46002</v>
      </c>
      <c r="B2309" s="37" t="inlineStr">
        <is>
          <t>JOB-3305</t>
        </is>
      </c>
      <c r="C2309" s="34" t="n">
        <v>1</v>
      </c>
      <c r="D2309" s="37" t="inlineStr">
        <is>
          <t>Tech H</t>
        </is>
      </c>
      <c r="E2309" s="35" t="n">
        <v>0.5</v>
      </c>
      <c r="F2309" s="35" t="n">
        <v>0.5</v>
      </c>
      <c r="G2309" s="37" t="inlineStr">
        <is>
          <t>N</t>
        </is>
      </c>
      <c r="H2309" s="37" t="inlineStr">
        <is>
          <t>N</t>
        </is>
      </c>
      <c r="I2309" s="37">
        <f>COUNTIF(G$5:G2309,"Y")/COUNTA(G$5:G2309)</f>
        <v/>
      </c>
      <c r="J2309" s="37">
        <f>COUNTIF(H$5:H2309,"Y")/COUNTA(H$5:H2309)</f>
        <v/>
      </c>
      <c r="K2309" s="37">
        <f>AVERAGE(F$5:F2309)</f>
        <v/>
      </c>
      <c r="L2309" s="37">
        <f>SUM(F$5:F2309)/SUM(E$5:E2309)</f>
        <v/>
      </c>
    </row>
    <row r="2310">
      <c r="A2310" s="29" t="n">
        <v>46003</v>
      </c>
      <c r="B2310" s="37" t="inlineStr">
        <is>
          <t>JOB-3306</t>
        </is>
      </c>
      <c r="C2310" s="34" t="n">
        <v>1</v>
      </c>
      <c r="D2310" s="37" t="inlineStr">
        <is>
          <t>Tech D</t>
        </is>
      </c>
      <c r="E2310" s="35" t="n">
        <v>0.5</v>
      </c>
      <c r="F2310" s="35" t="n">
        <v>0.5</v>
      </c>
      <c r="G2310" s="37" t="inlineStr">
        <is>
          <t>Y</t>
        </is>
      </c>
      <c r="H2310" s="37" t="inlineStr">
        <is>
          <t>N</t>
        </is>
      </c>
      <c r="I2310" s="37">
        <f>COUNTIF(G$5:G2310,"Y")/COUNTA(G$5:G2310)</f>
        <v/>
      </c>
      <c r="J2310" s="37">
        <f>COUNTIF(H$5:H2310,"Y")/COUNTA(H$5:H2310)</f>
        <v/>
      </c>
      <c r="K2310" s="37">
        <f>AVERAGE(F$5:F2310)</f>
        <v/>
      </c>
      <c r="L2310" s="37">
        <f>SUM(F$5:F2310)/SUM(E$5:E2310)</f>
        <v/>
      </c>
    </row>
    <row r="2311">
      <c r="A2311" s="29" t="n">
        <v>45999</v>
      </c>
      <c r="B2311" s="37" t="inlineStr">
        <is>
          <t>JOB-3307</t>
        </is>
      </c>
      <c r="C2311" s="34" t="n">
        <v>1</v>
      </c>
      <c r="D2311" s="37" t="inlineStr">
        <is>
          <t>Tech H</t>
        </is>
      </c>
      <c r="E2311" s="35" t="n">
        <v>0.5</v>
      </c>
      <c r="F2311" s="35" t="n">
        <v>0.5</v>
      </c>
      <c r="G2311" s="37" t="inlineStr">
        <is>
          <t>Y</t>
        </is>
      </c>
      <c r="H2311" s="37" t="inlineStr">
        <is>
          <t>N</t>
        </is>
      </c>
      <c r="I2311" s="37">
        <f>COUNTIF(G$5:G2311,"Y")/COUNTA(G$5:G2311)</f>
        <v/>
      </c>
      <c r="J2311" s="37">
        <f>COUNTIF(H$5:H2311,"Y")/COUNTA(H$5:H2311)</f>
        <v/>
      </c>
      <c r="K2311" s="37">
        <f>AVERAGE(F$5:F2311)</f>
        <v/>
      </c>
      <c r="L2311" s="37">
        <f>SUM(F$5:F2311)/SUM(E$5:E2311)</f>
        <v/>
      </c>
    </row>
    <row r="2312">
      <c r="A2312" s="29" t="n">
        <v>46000</v>
      </c>
      <c r="B2312" s="37" t="inlineStr">
        <is>
          <t>JOB-3308</t>
        </is>
      </c>
      <c r="C2312" s="34" t="n">
        <v>1</v>
      </c>
      <c r="D2312" s="37" t="inlineStr">
        <is>
          <t>Tech B</t>
        </is>
      </c>
      <c r="E2312" s="35" t="n">
        <v>0.5</v>
      </c>
      <c r="F2312" s="35" t="n">
        <v>0.5</v>
      </c>
      <c r="G2312" s="37" t="inlineStr">
        <is>
          <t>Y</t>
        </is>
      </c>
      <c r="H2312" s="37" t="inlineStr">
        <is>
          <t>N</t>
        </is>
      </c>
      <c r="I2312" s="37">
        <f>COUNTIF(G$5:G2312,"Y")/COUNTA(G$5:G2312)</f>
        <v/>
      </c>
      <c r="J2312" s="37">
        <f>COUNTIF(H$5:H2312,"Y")/COUNTA(H$5:H2312)</f>
        <v/>
      </c>
      <c r="K2312" s="37">
        <f>AVERAGE(F$5:F2312)</f>
        <v/>
      </c>
      <c r="L2312" s="37">
        <f>SUM(F$5:F2312)/SUM(E$5:E2312)</f>
        <v/>
      </c>
    </row>
    <row r="2313">
      <c r="A2313" s="29" t="n">
        <v>46001</v>
      </c>
      <c r="B2313" s="37" t="inlineStr">
        <is>
          <t>JOB-3309</t>
        </is>
      </c>
      <c r="C2313" s="34" t="n">
        <v>1</v>
      </c>
      <c r="D2313" s="37" t="inlineStr">
        <is>
          <t>Tech D</t>
        </is>
      </c>
      <c r="E2313" s="35" t="n">
        <v>0.5</v>
      </c>
      <c r="F2313" s="35" t="n">
        <v>0.5</v>
      </c>
      <c r="G2313" s="37" t="inlineStr">
        <is>
          <t>Y</t>
        </is>
      </c>
      <c r="H2313" s="37" t="inlineStr">
        <is>
          <t>N</t>
        </is>
      </c>
      <c r="I2313" s="37">
        <f>COUNTIF(G$5:G2313,"Y")/COUNTA(G$5:G2313)</f>
        <v/>
      </c>
      <c r="J2313" s="37">
        <f>COUNTIF(H$5:H2313,"Y")/COUNTA(H$5:H2313)</f>
        <v/>
      </c>
      <c r="K2313" s="37">
        <f>AVERAGE(F$5:F2313)</f>
        <v/>
      </c>
      <c r="L2313" s="37">
        <f>SUM(F$5:F2313)/SUM(E$5:E2313)</f>
        <v/>
      </c>
    </row>
    <row r="2314">
      <c r="A2314" s="29" t="n">
        <v>46002</v>
      </c>
      <c r="B2314" s="37" t="inlineStr">
        <is>
          <t>JOB-3310</t>
        </is>
      </c>
      <c r="C2314" s="34" t="n">
        <v>1</v>
      </c>
      <c r="D2314" s="37" t="inlineStr">
        <is>
          <t>Tech C</t>
        </is>
      </c>
      <c r="E2314" s="35" t="n">
        <v>0.5</v>
      </c>
      <c r="F2314" s="35" t="n">
        <v>0.5</v>
      </c>
      <c r="G2314" s="37" t="inlineStr">
        <is>
          <t>Y</t>
        </is>
      </c>
      <c r="H2314" s="37" t="inlineStr">
        <is>
          <t>N</t>
        </is>
      </c>
      <c r="I2314" s="37">
        <f>COUNTIF(G$5:G2314,"Y")/COUNTA(G$5:G2314)</f>
        <v/>
      </c>
      <c r="J2314" s="37">
        <f>COUNTIF(H$5:H2314,"Y")/COUNTA(H$5:H2314)</f>
        <v/>
      </c>
      <c r="K2314" s="37">
        <f>AVERAGE(F$5:F2314)</f>
        <v/>
      </c>
      <c r="L2314" s="37">
        <f>SUM(F$5:F2314)/SUM(E$5:E2314)</f>
        <v/>
      </c>
      <c r="M2314" s="37" t="n">
        <v>8</v>
      </c>
    </row>
    <row r="2315">
      <c r="A2315" s="29" t="n">
        <v>46006</v>
      </c>
      <c r="B2315" s="37" t="inlineStr">
        <is>
          <t>JOB-3311</t>
        </is>
      </c>
      <c r="C2315" s="34" t="n">
        <v>1</v>
      </c>
      <c r="D2315" s="37" t="inlineStr">
        <is>
          <t>Tech F</t>
        </is>
      </c>
      <c r="E2315" s="35" t="n">
        <v>3.8</v>
      </c>
      <c r="F2315" s="35" t="n">
        <v>2.9</v>
      </c>
      <c r="G2315" s="37" t="inlineStr">
        <is>
          <t>Y</t>
        </is>
      </c>
      <c r="H2315" s="37" t="inlineStr">
        <is>
          <t>N</t>
        </is>
      </c>
      <c r="I2315" s="37">
        <f>COUNTIF(G$5:G2315,"Y")/COUNTA(G$5:G2315)</f>
        <v/>
      </c>
      <c r="J2315" s="37">
        <f>COUNTIF(H$5:H2315,"Y")/COUNTA(H$5:H2315)</f>
        <v/>
      </c>
      <c r="K2315" s="37">
        <f>AVERAGE(F$5:F2315)</f>
        <v/>
      </c>
      <c r="L2315" s="37">
        <f>SUM(F$5:F2315)/SUM(E$5:E2315)</f>
        <v/>
      </c>
    </row>
    <row r="2316">
      <c r="A2316" s="29" t="n">
        <v>46007</v>
      </c>
      <c r="B2316" s="37" t="inlineStr">
        <is>
          <t>JOB-3312</t>
        </is>
      </c>
      <c r="C2316" s="34" t="n">
        <v>1</v>
      </c>
      <c r="D2316" s="37" t="inlineStr">
        <is>
          <t>Tech B</t>
        </is>
      </c>
      <c r="E2316" s="35" t="n">
        <v>2.4</v>
      </c>
      <c r="F2316" s="35" t="n">
        <v>1.6</v>
      </c>
      <c r="G2316" s="37" t="inlineStr">
        <is>
          <t>Y</t>
        </is>
      </c>
      <c r="H2316" s="37" t="inlineStr">
        <is>
          <t>N</t>
        </is>
      </c>
      <c r="I2316" s="37">
        <f>COUNTIF(G$5:G2316,"Y")/COUNTA(G$5:G2316)</f>
        <v/>
      </c>
      <c r="J2316" s="37">
        <f>COUNTIF(H$5:H2316,"Y")/COUNTA(H$5:H2316)</f>
        <v/>
      </c>
      <c r="K2316" s="37">
        <f>AVERAGE(F$5:F2316)</f>
        <v/>
      </c>
      <c r="L2316" s="37">
        <f>SUM(F$5:F2316)/SUM(E$5:E2316)</f>
        <v/>
      </c>
    </row>
    <row r="2317">
      <c r="A2317" s="29" t="n">
        <v>46008</v>
      </c>
      <c r="B2317" s="37" t="inlineStr">
        <is>
          <t>JOB-3313</t>
        </is>
      </c>
      <c r="C2317" s="34" t="n">
        <v>1</v>
      </c>
      <c r="D2317" s="37" t="inlineStr">
        <is>
          <t>Tech A</t>
        </is>
      </c>
      <c r="E2317" s="35" t="n">
        <v>4.1</v>
      </c>
      <c r="F2317" s="35" t="n">
        <v>2.9</v>
      </c>
      <c r="G2317" s="37" t="inlineStr">
        <is>
          <t>Y</t>
        </is>
      </c>
      <c r="H2317" s="37" t="inlineStr">
        <is>
          <t>N</t>
        </is>
      </c>
      <c r="I2317" s="37">
        <f>COUNTIF(G$5:G2317,"Y")/COUNTA(G$5:G2317)</f>
        <v/>
      </c>
      <c r="J2317" s="37">
        <f>COUNTIF(H$5:H2317,"Y")/COUNTA(H$5:H2317)</f>
        <v/>
      </c>
      <c r="K2317" s="37">
        <f>AVERAGE(F$5:F2317)</f>
        <v/>
      </c>
      <c r="L2317" s="37">
        <f>SUM(F$5:F2317)/SUM(E$5:E2317)</f>
        <v/>
      </c>
    </row>
    <row r="2318">
      <c r="A2318" s="29" t="n">
        <v>46009</v>
      </c>
      <c r="B2318" s="37" t="inlineStr">
        <is>
          <t>JOB-3314</t>
        </is>
      </c>
      <c r="C2318" s="34" t="n">
        <v>1</v>
      </c>
      <c r="D2318" s="37" t="inlineStr">
        <is>
          <t>Tech F</t>
        </is>
      </c>
      <c r="E2318" s="35" t="n">
        <v>5.7</v>
      </c>
      <c r="F2318" s="35" t="n">
        <v>3.8</v>
      </c>
      <c r="G2318" s="37" t="inlineStr">
        <is>
          <t>Y</t>
        </is>
      </c>
      <c r="H2318" s="37" t="inlineStr">
        <is>
          <t>N</t>
        </is>
      </c>
      <c r="I2318" s="37">
        <f>COUNTIF(G$5:G2318,"Y")/COUNTA(G$5:G2318)</f>
        <v/>
      </c>
      <c r="J2318" s="37">
        <f>COUNTIF(H$5:H2318,"Y")/COUNTA(H$5:H2318)</f>
        <v/>
      </c>
      <c r="K2318" s="37">
        <f>AVERAGE(F$5:F2318)</f>
        <v/>
      </c>
      <c r="L2318" s="37">
        <f>SUM(F$5:F2318)/SUM(E$5:E2318)</f>
        <v/>
      </c>
    </row>
    <row r="2319">
      <c r="A2319" s="29" t="n">
        <v>46010</v>
      </c>
      <c r="B2319" s="37" t="inlineStr">
        <is>
          <t>JOB-3315</t>
        </is>
      </c>
      <c r="C2319" s="34" t="n">
        <v>1</v>
      </c>
      <c r="D2319" s="37" t="inlineStr">
        <is>
          <t>Tech C</t>
        </is>
      </c>
      <c r="E2319" s="35" t="n">
        <v>4.1</v>
      </c>
      <c r="F2319" s="35" t="n">
        <v>3.3</v>
      </c>
      <c r="G2319" s="37" t="inlineStr">
        <is>
          <t>Y</t>
        </is>
      </c>
      <c r="H2319" s="37" t="inlineStr">
        <is>
          <t>N</t>
        </is>
      </c>
      <c r="I2319" s="37">
        <f>COUNTIF(G$5:G2319,"Y")/COUNTA(G$5:G2319)</f>
        <v/>
      </c>
      <c r="J2319" s="37">
        <f>COUNTIF(H$5:H2319,"Y")/COUNTA(H$5:H2319)</f>
        <v/>
      </c>
      <c r="K2319" s="37">
        <f>AVERAGE(F$5:F2319)</f>
        <v/>
      </c>
      <c r="L2319" s="37">
        <f>SUM(F$5:F2319)/SUM(E$5:E2319)</f>
        <v/>
      </c>
    </row>
    <row r="2320">
      <c r="A2320" s="29" t="n">
        <v>46006</v>
      </c>
      <c r="B2320" s="37" t="inlineStr">
        <is>
          <t>JOB-3316</t>
        </is>
      </c>
      <c r="C2320" s="34" t="n">
        <v>1</v>
      </c>
      <c r="D2320" s="37" t="inlineStr">
        <is>
          <t>Tech H</t>
        </is>
      </c>
      <c r="E2320" s="35" t="n">
        <v>4.6</v>
      </c>
      <c r="F2320" s="35" t="n">
        <v>3</v>
      </c>
      <c r="G2320" s="37" t="inlineStr">
        <is>
          <t>Y</t>
        </is>
      </c>
      <c r="H2320" s="37" t="inlineStr">
        <is>
          <t>N</t>
        </is>
      </c>
      <c r="I2320" s="37">
        <f>COUNTIF(G$5:G2320,"Y")/COUNTA(G$5:G2320)</f>
        <v/>
      </c>
      <c r="J2320" s="37">
        <f>COUNTIF(H$5:H2320,"Y")/COUNTA(H$5:H2320)</f>
        <v/>
      </c>
      <c r="K2320" s="37">
        <f>AVERAGE(F$5:F2320)</f>
        <v/>
      </c>
      <c r="L2320" s="37">
        <f>SUM(F$5:F2320)/SUM(E$5:E2320)</f>
        <v/>
      </c>
    </row>
    <row r="2321">
      <c r="A2321" s="29" t="n">
        <v>46007</v>
      </c>
      <c r="B2321" s="37" t="inlineStr">
        <is>
          <t>JOB-3317</t>
        </is>
      </c>
      <c r="C2321" s="34" t="n">
        <v>1</v>
      </c>
      <c r="D2321" s="37" t="inlineStr">
        <is>
          <t>Tech F</t>
        </is>
      </c>
      <c r="E2321" s="35" t="n">
        <v>2.3</v>
      </c>
      <c r="F2321" s="35" t="n">
        <v>1.9</v>
      </c>
      <c r="G2321" s="37" t="inlineStr">
        <is>
          <t>Y</t>
        </is>
      </c>
      <c r="H2321" s="37" t="inlineStr">
        <is>
          <t>N</t>
        </is>
      </c>
      <c r="I2321" s="37">
        <f>COUNTIF(G$5:G2321,"Y")/COUNTA(G$5:G2321)</f>
        <v/>
      </c>
      <c r="J2321" s="37">
        <f>COUNTIF(H$5:H2321,"Y")/COUNTA(H$5:H2321)</f>
        <v/>
      </c>
      <c r="K2321" s="37">
        <f>AVERAGE(F$5:F2321)</f>
        <v/>
      </c>
      <c r="L2321" s="37">
        <f>SUM(F$5:F2321)/SUM(E$5:E2321)</f>
        <v/>
      </c>
    </row>
    <row r="2322">
      <c r="A2322" s="29" t="n">
        <v>46008</v>
      </c>
      <c r="B2322" s="37" t="inlineStr">
        <is>
          <t>JOB-3318</t>
        </is>
      </c>
      <c r="C2322" s="34" t="n">
        <v>1</v>
      </c>
      <c r="D2322" s="37" t="inlineStr">
        <is>
          <t>Tech G</t>
        </is>
      </c>
      <c r="E2322" s="35" t="n">
        <v>3.8</v>
      </c>
      <c r="F2322" s="35" t="n">
        <v>2.7</v>
      </c>
      <c r="G2322" s="37" t="inlineStr">
        <is>
          <t>Y</t>
        </is>
      </c>
      <c r="H2322" s="37" t="inlineStr">
        <is>
          <t>N</t>
        </is>
      </c>
      <c r="I2322" s="37">
        <f>COUNTIF(G$5:G2322,"Y")/COUNTA(G$5:G2322)</f>
        <v/>
      </c>
      <c r="J2322" s="37">
        <f>COUNTIF(H$5:H2322,"Y")/COUNTA(H$5:H2322)</f>
        <v/>
      </c>
      <c r="K2322" s="37">
        <f>AVERAGE(F$5:F2322)</f>
        <v/>
      </c>
      <c r="L2322" s="37">
        <f>SUM(F$5:F2322)/SUM(E$5:E2322)</f>
        <v/>
      </c>
    </row>
    <row r="2323">
      <c r="A2323" s="29" t="n">
        <v>46009</v>
      </c>
      <c r="B2323" s="37" t="inlineStr">
        <is>
          <t>JOB-3319</t>
        </is>
      </c>
      <c r="C2323" s="34" t="n">
        <v>1</v>
      </c>
      <c r="D2323" s="37" t="inlineStr">
        <is>
          <t>Tech G</t>
        </is>
      </c>
      <c r="E2323" s="35" t="n">
        <v>3.7</v>
      </c>
      <c r="F2323" s="35" t="n">
        <v>3.2</v>
      </c>
      <c r="G2323" s="37" t="inlineStr">
        <is>
          <t>Y</t>
        </is>
      </c>
      <c r="H2323" s="37" t="inlineStr">
        <is>
          <t>N</t>
        </is>
      </c>
      <c r="I2323" s="37">
        <f>COUNTIF(G$5:G2323,"Y")/COUNTA(G$5:G2323)</f>
        <v/>
      </c>
      <c r="J2323" s="37">
        <f>COUNTIF(H$5:H2323,"Y")/COUNTA(H$5:H2323)</f>
        <v/>
      </c>
      <c r="K2323" s="37">
        <f>AVERAGE(F$5:F2323)</f>
        <v/>
      </c>
      <c r="L2323" s="37">
        <f>SUM(F$5:F2323)/SUM(E$5:E2323)</f>
        <v/>
      </c>
    </row>
    <row r="2324">
      <c r="A2324" s="29" t="n">
        <v>46010</v>
      </c>
      <c r="B2324" s="37" t="inlineStr">
        <is>
          <t>JOB-3320</t>
        </is>
      </c>
      <c r="C2324" s="34" t="n">
        <v>1</v>
      </c>
      <c r="D2324" s="37" t="inlineStr">
        <is>
          <t>Tech H</t>
        </is>
      </c>
      <c r="E2324" s="35" t="n">
        <v>5.3</v>
      </c>
      <c r="F2324" s="35" t="n">
        <v>3.5</v>
      </c>
      <c r="G2324" s="37" t="inlineStr">
        <is>
          <t>N</t>
        </is>
      </c>
      <c r="H2324" s="37" t="inlineStr">
        <is>
          <t>N</t>
        </is>
      </c>
      <c r="I2324" s="37">
        <f>COUNTIF(G$5:G2324,"Y")/COUNTA(G$5:G2324)</f>
        <v/>
      </c>
      <c r="J2324" s="37">
        <f>COUNTIF(H$5:H2324,"Y")/COUNTA(H$5:H2324)</f>
        <v/>
      </c>
      <c r="K2324" s="37">
        <f>AVERAGE(F$5:F2324)</f>
        <v/>
      </c>
      <c r="L2324" s="37">
        <f>SUM(F$5:F2324)/SUM(E$5:E2324)</f>
        <v/>
      </c>
    </row>
    <row r="2325">
      <c r="A2325" s="29" t="n">
        <v>46006</v>
      </c>
      <c r="B2325" s="37" t="inlineStr">
        <is>
          <t>JOB-3321</t>
        </is>
      </c>
      <c r="C2325" s="34" t="n">
        <v>1</v>
      </c>
      <c r="D2325" s="37" t="inlineStr">
        <is>
          <t>Tech A</t>
        </is>
      </c>
      <c r="E2325" s="35" t="n">
        <v>2</v>
      </c>
      <c r="F2325" s="35" t="n">
        <v>1.5</v>
      </c>
      <c r="G2325" s="37" t="inlineStr">
        <is>
          <t>Y</t>
        </is>
      </c>
      <c r="H2325" s="37" t="inlineStr">
        <is>
          <t>N</t>
        </is>
      </c>
      <c r="I2325" s="37">
        <f>COUNTIF(G$5:G2325,"Y")/COUNTA(G$5:G2325)</f>
        <v/>
      </c>
      <c r="J2325" s="37">
        <f>COUNTIF(H$5:H2325,"Y")/COUNTA(H$5:H2325)</f>
        <v/>
      </c>
      <c r="K2325" s="37">
        <f>AVERAGE(F$5:F2325)</f>
        <v/>
      </c>
      <c r="L2325" s="37">
        <f>SUM(F$5:F2325)/SUM(E$5:E2325)</f>
        <v/>
      </c>
    </row>
    <row r="2326">
      <c r="A2326" s="29" t="n">
        <v>46007</v>
      </c>
      <c r="B2326" s="37" t="inlineStr">
        <is>
          <t>JOB-3322</t>
        </is>
      </c>
      <c r="C2326" s="34" t="n">
        <v>1</v>
      </c>
      <c r="D2326" s="37" t="inlineStr">
        <is>
          <t>Tech F</t>
        </is>
      </c>
      <c r="E2326" s="35" t="n">
        <v>4.5</v>
      </c>
      <c r="F2326" s="35" t="n">
        <v>3.7</v>
      </c>
      <c r="G2326" s="37" t="inlineStr">
        <is>
          <t>Y</t>
        </is>
      </c>
      <c r="H2326" s="37" t="inlineStr">
        <is>
          <t>N</t>
        </is>
      </c>
      <c r="I2326" s="37">
        <f>COUNTIF(G$5:G2326,"Y")/COUNTA(G$5:G2326)</f>
        <v/>
      </c>
      <c r="J2326" s="37">
        <f>COUNTIF(H$5:H2326,"Y")/COUNTA(H$5:H2326)</f>
        <v/>
      </c>
      <c r="K2326" s="37">
        <f>AVERAGE(F$5:F2326)</f>
        <v/>
      </c>
      <c r="L2326" s="37">
        <f>SUM(F$5:F2326)/SUM(E$5:E2326)</f>
        <v/>
      </c>
    </row>
    <row r="2327">
      <c r="A2327" s="29" t="n">
        <v>46008</v>
      </c>
      <c r="B2327" s="37" t="inlineStr">
        <is>
          <t>JOB-3323</t>
        </is>
      </c>
      <c r="C2327" s="34" t="n">
        <v>1</v>
      </c>
      <c r="D2327" s="37" t="inlineStr">
        <is>
          <t>Tech H</t>
        </is>
      </c>
      <c r="E2327" s="35" t="n">
        <v>3.8</v>
      </c>
      <c r="F2327" s="35" t="n">
        <v>2.7</v>
      </c>
      <c r="G2327" s="37" t="inlineStr">
        <is>
          <t>Y</t>
        </is>
      </c>
      <c r="H2327" s="37" t="inlineStr">
        <is>
          <t>N</t>
        </is>
      </c>
      <c r="I2327" s="37">
        <f>COUNTIF(G$5:G2327,"Y")/COUNTA(G$5:G2327)</f>
        <v/>
      </c>
      <c r="J2327" s="37">
        <f>COUNTIF(H$5:H2327,"Y")/COUNTA(H$5:H2327)</f>
        <v/>
      </c>
      <c r="K2327" s="37">
        <f>AVERAGE(F$5:F2327)</f>
        <v/>
      </c>
      <c r="L2327" s="37">
        <f>SUM(F$5:F2327)/SUM(E$5:E2327)</f>
        <v/>
      </c>
    </row>
    <row r="2328">
      <c r="A2328" s="29" t="n">
        <v>46009</v>
      </c>
      <c r="B2328" s="37" t="inlineStr">
        <is>
          <t>JOB-3324</t>
        </is>
      </c>
      <c r="C2328" s="34" t="n">
        <v>1</v>
      </c>
      <c r="D2328" s="37" t="inlineStr">
        <is>
          <t>Tech D</t>
        </is>
      </c>
      <c r="E2328" s="35" t="n">
        <v>3</v>
      </c>
      <c r="F2328" s="35" t="n">
        <v>2.4</v>
      </c>
      <c r="G2328" s="37" t="inlineStr">
        <is>
          <t>Y</t>
        </is>
      </c>
      <c r="H2328" s="37" t="inlineStr">
        <is>
          <t>N</t>
        </is>
      </c>
      <c r="I2328" s="37">
        <f>COUNTIF(G$5:G2328,"Y")/COUNTA(G$5:G2328)</f>
        <v/>
      </c>
      <c r="J2328" s="37">
        <f>COUNTIF(H$5:H2328,"Y")/COUNTA(H$5:H2328)</f>
        <v/>
      </c>
      <c r="K2328" s="37">
        <f>AVERAGE(F$5:F2328)</f>
        <v/>
      </c>
      <c r="L2328" s="37">
        <f>SUM(F$5:F2328)/SUM(E$5:E2328)</f>
        <v/>
      </c>
    </row>
    <row r="2329">
      <c r="A2329" s="29" t="n">
        <v>46010</v>
      </c>
      <c r="B2329" s="37" t="inlineStr">
        <is>
          <t>JOB-3325</t>
        </is>
      </c>
      <c r="C2329" s="34" t="n">
        <v>1</v>
      </c>
      <c r="D2329" s="37" t="inlineStr">
        <is>
          <t>Tech H</t>
        </is>
      </c>
      <c r="E2329" s="35" t="n">
        <v>5.3</v>
      </c>
      <c r="F2329" s="35" t="n">
        <v>4.2</v>
      </c>
      <c r="G2329" s="37" t="inlineStr">
        <is>
          <t>Y</t>
        </is>
      </c>
      <c r="H2329" s="37" t="inlineStr">
        <is>
          <t>N</t>
        </is>
      </c>
      <c r="I2329" s="37">
        <f>COUNTIF(G$5:G2329,"Y")/COUNTA(G$5:G2329)</f>
        <v/>
      </c>
      <c r="J2329" s="37">
        <f>COUNTIF(H$5:H2329,"Y")/COUNTA(H$5:H2329)</f>
        <v/>
      </c>
      <c r="K2329" s="37">
        <f>AVERAGE(F$5:F2329)</f>
        <v/>
      </c>
      <c r="L2329" s="37">
        <f>SUM(F$5:F2329)/SUM(E$5:E2329)</f>
        <v/>
      </c>
    </row>
    <row r="2330">
      <c r="A2330" s="29" t="n">
        <v>46006</v>
      </c>
      <c r="B2330" s="37" t="inlineStr">
        <is>
          <t>JOB-3326</t>
        </is>
      </c>
      <c r="C2330" s="34" t="n">
        <v>1</v>
      </c>
      <c r="D2330" s="37" t="inlineStr">
        <is>
          <t>Tech G</t>
        </is>
      </c>
      <c r="E2330" s="35" t="n">
        <v>3.7</v>
      </c>
      <c r="F2330" s="35" t="n">
        <v>3</v>
      </c>
      <c r="G2330" s="37" t="inlineStr">
        <is>
          <t>Y</t>
        </is>
      </c>
      <c r="H2330" s="37" t="inlineStr">
        <is>
          <t>Y</t>
        </is>
      </c>
      <c r="I2330" s="37">
        <f>COUNTIF(G$5:G2330,"Y")/COUNTA(G$5:G2330)</f>
        <v/>
      </c>
      <c r="J2330" s="37">
        <f>COUNTIF(H$5:H2330,"Y")/COUNTA(H$5:H2330)</f>
        <v/>
      </c>
      <c r="K2330" s="37">
        <f>AVERAGE(F$5:F2330)</f>
        <v/>
      </c>
      <c r="L2330" s="37">
        <f>SUM(F$5:F2330)/SUM(E$5:E2330)</f>
        <v/>
      </c>
    </row>
    <row r="2331">
      <c r="A2331" s="29" t="n">
        <v>46007</v>
      </c>
      <c r="B2331" s="37" t="inlineStr">
        <is>
          <t>JOB-3327</t>
        </is>
      </c>
      <c r="C2331" s="34" t="n">
        <v>1</v>
      </c>
      <c r="D2331" s="37" t="inlineStr">
        <is>
          <t>Tech D</t>
        </is>
      </c>
      <c r="E2331" s="35" t="n">
        <v>5.6</v>
      </c>
      <c r="F2331" s="35" t="n">
        <v>3.8</v>
      </c>
      <c r="G2331" s="37" t="inlineStr">
        <is>
          <t>Y</t>
        </is>
      </c>
      <c r="H2331" s="37" t="inlineStr">
        <is>
          <t>N</t>
        </is>
      </c>
      <c r="I2331" s="37">
        <f>COUNTIF(G$5:G2331,"Y")/COUNTA(G$5:G2331)</f>
        <v/>
      </c>
      <c r="J2331" s="37">
        <f>COUNTIF(H$5:H2331,"Y")/COUNTA(H$5:H2331)</f>
        <v/>
      </c>
      <c r="K2331" s="37">
        <f>AVERAGE(F$5:F2331)</f>
        <v/>
      </c>
      <c r="L2331" s="37">
        <f>SUM(F$5:F2331)/SUM(E$5:E2331)</f>
        <v/>
      </c>
    </row>
    <row r="2332">
      <c r="A2332" s="29" t="n">
        <v>46008</v>
      </c>
      <c r="B2332" s="37" t="inlineStr">
        <is>
          <t>JOB-3328</t>
        </is>
      </c>
      <c r="C2332" s="34" t="n">
        <v>1</v>
      </c>
      <c r="D2332" s="37" t="inlineStr">
        <is>
          <t>Tech C</t>
        </is>
      </c>
      <c r="E2332" s="35" t="n">
        <v>5.4</v>
      </c>
      <c r="F2332" s="35" t="n">
        <v>3.8</v>
      </c>
      <c r="G2332" s="37" t="inlineStr">
        <is>
          <t>Y</t>
        </is>
      </c>
      <c r="H2332" s="37" t="inlineStr">
        <is>
          <t>N</t>
        </is>
      </c>
      <c r="I2332" s="37">
        <f>COUNTIF(G$5:G2332,"Y")/COUNTA(G$5:G2332)</f>
        <v/>
      </c>
      <c r="J2332" s="37">
        <f>COUNTIF(H$5:H2332,"Y")/COUNTA(H$5:H2332)</f>
        <v/>
      </c>
      <c r="K2332" s="37">
        <f>AVERAGE(F$5:F2332)</f>
        <v/>
      </c>
      <c r="L2332" s="37">
        <f>SUM(F$5:F2332)/SUM(E$5:E2332)</f>
        <v/>
      </c>
    </row>
    <row r="2333">
      <c r="A2333" s="29" t="n">
        <v>46009</v>
      </c>
      <c r="B2333" s="37" t="inlineStr">
        <is>
          <t>JOB-3329</t>
        </is>
      </c>
      <c r="C2333" s="34" t="n">
        <v>1</v>
      </c>
      <c r="D2333" s="37" t="inlineStr">
        <is>
          <t>Tech G</t>
        </is>
      </c>
      <c r="E2333" s="35" t="n">
        <v>3.2</v>
      </c>
      <c r="F2333" s="35" t="n">
        <v>2.1</v>
      </c>
      <c r="G2333" s="37" t="inlineStr">
        <is>
          <t>Y</t>
        </is>
      </c>
      <c r="H2333" s="37" t="inlineStr">
        <is>
          <t>N</t>
        </is>
      </c>
      <c r="I2333" s="37">
        <f>COUNTIF(G$5:G2333,"Y")/COUNTA(G$5:G2333)</f>
        <v/>
      </c>
      <c r="J2333" s="37">
        <f>COUNTIF(H$5:H2333,"Y")/COUNTA(H$5:H2333)</f>
        <v/>
      </c>
      <c r="K2333" s="37">
        <f>AVERAGE(F$5:F2333)</f>
        <v/>
      </c>
      <c r="L2333" s="37">
        <f>SUM(F$5:F2333)/SUM(E$5:E2333)</f>
        <v/>
      </c>
    </row>
    <row r="2334">
      <c r="A2334" s="29" t="n">
        <v>46010</v>
      </c>
      <c r="B2334" s="37" t="inlineStr">
        <is>
          <t>JOB-3330</t>
        </is>
      </c>
      <c r="C2334" s="34" t="n">
        <v>1</v>
      </c>
      <c r="D2334" s="37" t="inlineStr">
        <is>
          <t>Tech C</t>
        </is>
      </c>
      <c r="E2334" s="35" t="n">
        <v>4.6</v>
      </c>
      <c r="F2334" s="35" t="n">
        <v>3.3</v>
      </c>
      <c r="G2334" s="37" t="inlineStr">
        <is>
          <t>Y</t>
        </is>
      </c>
      <c r="H2334" s="37" t="inlineStr">
        <is>
          <t>N</t>
        </is>
      </c>
      <c r="I2334" s="37">
        <f>COUNTIF(G$5:G2334,"Y")/COUNTA(G$5:G2334)</f>
        <v/>
      </c>
      <c r="J2334" s="37">
        <f>COUNTIF(H$5:H2334,"Y")/COUNTA(H$5:H2334)</f>
        <v/>
      </c>
      <c r="K2334" s="37">
        <f>AVERAGE(F$5:F2334)</f>
        <v/>
      </c>
      <c r="L2334" s="37">
        <f>SUM(F$5:F2334)/SUM(E$5:E2334)</f>
        <v/>
      </c>
    </row>
    <row r="2335">
      <c r="A2335" s="29" t="n">
        <v>46006</v>
      </c>
      <c r="B2335" s="37" t="inlineStr">
        <is>
          <t>JOB-3331</t>
        </is>
      </c>
      <c r="C2335" s="34" t="n">
        <v>1</v>
      </c>
      <c r="D2335" s="37" t="inlineStr">
        <is>
          <t>Tech B</t>
        </is>
      </c>
      <c r="E2335" s="35" t="n">
        <v>3.7</v>
      </c>
      <c r="F2335" s="35" t="n">
        <v>3.1</v>
      </c>
      <c r="G2335" s="37" t="inlineStr">
        <is>
          <t>Y</t>
        </is>
      </c>
      <c r="H2335" s="37" t="inlineStr">
        <is>
          <t>N</t>
        </is>
      </c>
      <c r="I2335" s="37">
        <f>COUNTIF(G$5:G2335,"Y")/COUNTA(G$5:G2335)</f>
        <v/>
      </c>
      <c r="J2335" s="37">
        <f>COUNTIF(H$5:H2335,"Y")/COUNTA(H$5:H2335)</f>
        <v/>
      </c>
      <c r="K2335" s="37">
        <f>AVERAGE(F$5:F2335)</f>
        <v/>
      </c>
      <c r="L2335" s="37">
        <f>SUM(F$5:F2335)/SUM(E$5:E2335)</f>
        <v/>
      </c>
    </row>
    <row r="2336">
      <c r="A2336" s="29" t="n">
        <v>46007</v>
      </c>
      <c r="B2336" s="37" t="inlineStr">
        <is>
          <t>JOB-3332</t>
        </is>
      </c>
      <c r="C2336" s="34" t="n">
        <v>1</v>
      </c>
      <c r="D2336" s="37" t="inlineStr">
        <is>
          <t>Tech B</t>
        </is>
      </c>
      <c r="E2336" s="35" t="n">
        <v>3.8</v>
      </c>
      <c r="F2336" s="35" t="n">
        <v>2.7</v>
      </c>
      <c r="G2336" s="37" t="inlineStr">
        <is>
          <t>Y</t>
        </is>
      </c>
      <c r="H2336" s="37" t="inlineStr">
        <is>
          <t>N</t>
        </is>
      </c>
      <c r="I2336" s="37">
        <f>COUNTIF(G$5:G2336,"Y")/COUNTA(G$5:G2336)</f>
        <v/>
      </c>
      <c r="J2336" s="37">
        <f>COUNTIF(H$5:H2336,"Y")/COUNTA(H$5:H2336)</f>
        <v/>
      </c>
      <c r="K2336" s="37">
        <f>AVERAGE(F$5:F2336)</f>
        <v/>
      </c>
      <c r="L2336" s="37">
        <f>SUM(F$5:F2336)/SUM(E$5:E2336)</f>
        <v/>
      </c>
    </row>
    <row r="2337">
      <c r="A2337" s="29" t="n">
        <v>46008</v>
      </c>
      <c r="B2337" s="37" t="inlineStr">
        <is>
          <t>JOB-3333</t>
        </is>
      </c>
      <c r="C2337" s="34" t="n">
        <v>1</v>
      </c>
      <c r="D2337" s="37" t="inlineStr">
        <is>
          <t>Tech A</t>
        </is>
      </c>
      <c r="E2337" s="35" t="n">
        <v>2</v>
      </c>
      <c r="F2337" s="35" t="n">
        <v>1.6</v>
      </c>
      <c r="G2337" s="37" t="inlineStr">
        <is>
          <t>N</t>
        </is>
      </c>
      <c r="H2337" s="37" t="inlineStr">
        <is>
          <t>N</t>
        </is>
      </c>
      <c r="I2337" s="37">
        <f>COUNTIF(G$5:G2337,"Y")/COUNTA(G$5:G2337)</f>
        <v/>
      </c>
      <c r="J2337" s="37">
        <f>COUNTIF(H$5:H2337,"Y")/COUNTA(H$5:H2337)</f>
        <v/>
      </c>
      <c r="K2337" s="37">
        <f>AVERAGE(F$5:F2337)</f>
        <v/>
      </c>
      <c r="L2337" s="37">
        <f>SUM(F$5:F2337)/SUM(E$5:E2337)</f>
        <v/>
      </c>
    </row>
    <row r="2338">
      <c r="A2338" s="29" t="n">
        <v>46009</v>
      </c>
      <c r="B2338" s="37" t="inlineStr">
        <is>
          <t>JOB-3334</t>
        </is>
      </c>
      <c r="C2338" s="34" t="n">
        <v>1</v>
      </c>
      <c r="D2338" s="37" t="inlineStr">
        <is>
          <t>Tech G</t>
        </is>
      </c>
      <c r="E2338" s="35" t="n">
        <v>5</v>
      </c>
      <c r="F2338" s="35" t="n">
        <v>4.2</v>
      </c>
      <c r="G2338" s="37" t="inlineStr">
        <is>
          <t>Y</t>
        </is>
      </c>
      <c r="H2338" s="37" t="inlineStr">
        <is>
          <t>N</t>
        </is>
      </c>
      <c r="I2338" s="37">
        <f>COUNTIF(G$5:G2338,"Y")/COUNTA(G$5:G2338)</f>
        <v/>
      </c>
      <c r="J2338" s="37">
        <f>COUNTIF(H$5:H2338,"Y")/COUNTA(H$5:H2338)</f>
        <v/>
      </c>
      <c r="K2338" s="37">
        <f>AVERAGE(F$5:F2338)</f>
        <v/>
      </c>
      <c r="L2338" s="37">
        <f>SUM(F$5:F2338)/SUM(E$5:E2338)</f>
        <v/>
      </c>
    </row>
    <row r="2339">
      <c r="A2339" s="29" t="n">
        <v>46010</v>
      </c>
      <c r="B2339" s="37" t="inlineStr">
        <is>
          <t>JOB-3335</t>
        </is>
      </c>
      <c r="C2339" s="34" t="n">
        <v>1</v>
      </c>
      <c r="D2339" s="37" t="inlineStr">
        <is>
          <t>Tech D</t>
        </is>
      </c>
      <c r="E2339" s="35" t="n">
        <v>3.8</v>
      </c>
      <c r="F2339" s="35" t="n">
        <v>2.9</v>
      </c>
      <c r="G2339" s="37" t="inlineStr">
        <is>
          <t>Y</t>
        </is>
      </c>
      <c r="H2339" s="37" t="inlineStr">
        <is>
          <t>N</t>
        </is>
      </c>
      <c r="I2339" s="37">
        <f>COUNTIF(G$5:G2339,"Y")/COUNTA(G$5:G2339)</f>
        <v/>
      </c>
      <c r="J2339" s="37">
        <f>COUNTIF(H$5:H2339,"Y")/COUNTA(H$5:H2339)</f>
        <v/>
      </c>
      <c r="K2339" s="37">
        <f>AVERAGE(F$5:F2339)</f>
        <v/>
      </c>
      <c r="L2339" s="37">
        <f>SUM(F$5:F2339)/SUM(E$5:E2339)</f>
        <v/>
      </c>
    </row>
    <row r="2340">
      <c r="A2340" s="29" t="n">
        <v>46006</v>
      </c>
      <c r="B2340" s="37" t="inlineStr">
        <is>
          <t>JOB-3336</t>
        </is>
      </c>
      <c r="C2340" s="34" t="n">
        <v>1</v>
      </c>
      <c r="D2340" s="37" t="inlineStr">
        <is>
          <t>Tech D</t>
        </is>
      </c>
      <c r="E2340" s="35" t="n">
        <v>5.2</v>
      </c>
      <c r="F2340" s="35" t="n">
        <v>4</v>
      </c>
      <c r="G2340" s="37" t="inlineStr">
        <is>
          <t>Y</t>
        </is>
      </c>
      <c r="H2340" s="37" t="inlineStr">
        <is>
          <t>N</t>
        </is>
      </c>
      <c r="I2340" s="37">
        <f>COUNTIF(G$5:G2340,"Y")/COUNTA(G$5:G2340)</f>
        <v/>
      </c>
      <c r="J2340" s="37">
        <f>COUNTIF(H$5:H2340,"Y")/COUNTA(H$5:H2340)</f>
        <v/>
      </c>
      <c r="K2340" s="37">
        <f>AVERAGE(F$5:F2340)</f>
        <v/>
      </c>
      <c r="L2340" s="37">
        <f>SUM(F$5:F2340)/SUM(E$5:E2340)</f>
        <v/>
      </c>
    </row>
    <row r="2341">
      <c r="A2341" s="29" t="n">
        <v>46007</v>
      </c>
      <c r="B2341" s="37" t="inlineStr">
        <is>
          <t>JOB-3337</t>
        </is>
      </c>
      <c r="C2341" s="34" t="n">
        <v>1</v>
      </c>
      <c r="D2341" s="37" t="inlineStr">
        <is>
          <t>Tech A</t>
        </is>
      </c>
      <c r="E2341" s="35" t="n">
        <v>3.2</v>
      </c>
      <c r="F2341" s="35" t="n">
        <v>2.8</v>
      </c>
      <c r="G2341" s="37" t="inlineStr">
        <is>
          <t>N</t>
        </is>
      </c>
      <c r="H2341" s="37" t="inlineStr">
        <is>
          <t>N</t>
        </is>
      </c>
      <c r="I2341" s="37">
        <f>COUNTIF(G$5:G2341,"Y")/COUNTA(G$5:G2341)</f>
        <v/>
      </c>
      <c r="J2341" s="37">
        <f>COUNTIF(H$5:H2341,"Y")/COUNTA(H$5:H2341)</f>
        <v/>
      </c>
      <c r="K2341" s="37">
        <f>AVERAGE(F$5:F2341)</f>
        <v/>
      </c>
      <c r="L2341" s="37">
        <f>SUM(F$5:F2341)/SUM(E$5:E2341)</f>
        <v/>
      </c>
    </row>
    <row r="2342">
      <c r="A2342" s="29" t="n">
        <v>46008</v>
      </c>
      <c r="B2342" s="37" t="inlineStr">
        <is>
          <t>JOB-3338</t>
        </is>
      </c>
      <c r="C2342" s="34" t="n">
        <v>1</v>
      </c>
      <c r="D2342" s="37" t="inlineStr">
        <is>
          <t>Tech C</t>
        </is>
      </c>
      <c r="E2342" s="35" t="n">
        <v>2.3</v>
      </c>
      <c r="F2342" s="35" t="n">
        <v>1.5</v>
      </c>
      <c r="G2342" s="37" t="inlineStr">
        <is>
          <t>Y</t>
        </is>
      </c>
      <c r="H2342" s="37" t="inlineStr">
        <is>
          <t>N</t>
        </is>
      </c>
      <c r="I2342" s="37">
        <f>COUNTIF(G$5:G2342,"Y")/COUNTA(G$5:G2342)</f>
        <v/>
      </c>
      <c r="J2342" s="37">
        <f>COUNTIF(H$5:H2342,"Y")/COUNTA(H$5:H2342)</f>
        <v/>
      </c>
      <c r="K2342" s="37">
        <f>AVERAGE(F$5:F2342)</f>
        <v/>
      </c>
      <c r="L2342" s="37">
        <f>SUM(F$5:F2342)/SUM(E$5:E2342)</f>
        <v/>
      </c>
    </row>
    <row r="2343">
      <c r="A2343" s="29" t="n">
        <v>46009</v>
      </c>
      <c r="B2343" s="37" t="inlineStr">
        <is>
          <t>JOB-3339</t>
        </is>
      </c>
      <c r="C2343" s="34" t="n">
        <v>1</v>
      </c>
      <c r="D2343" s="37" t="inlineStr">
        <is>
          <t>Tech D</t>
        </is>
      </c>
      <c r="E2343" s="35" t="n">
        <v>2.1</v>
      </c>
      <c r="F2343" s="35" t="n">
        <v>1.5</v>
      </c>
      <c r="G2343" s="37" t="inlineStr">
        <is>
          <t>N</t>
        </is>
      </c>
      <c r="H2343" s="37" t="inlineStr">
        <is>
          <t>N</t>
        </is>
      </c>
      <c r="I2343" s="37">
        <f>COUNTIF(G$5:G2343,"Y")/COUNTA(G$5:G2343)</f>
        <v/>
      </c>
      <c r="J2343" s="37">
        <f>COUNTIF(H$5:H2343,"Y")/COUNTA(H$5:H2343)</f>
        <v/>
      </c>
      <c r="K2343" s="37">
        <f>AVERAGE(F$5:F2343)</f>
        <v/>
      </c>
      <c r="L2343" s="37">
        <f>SUM(F$5:F2343)/SUM(E$5:E2343)</f>
        <v/>
      </c>
    </row>
    <row r="2344">
      <c r="A2344" s="29" t="n">
        <v>46010</v>
      </c>
      <c r="B2344" s="37" t="inlineStr">
        <is>
          <t>JOB-3340</t>
        </is>
      </c>
      <c r="C2344" s="34" t="n">
        <v>1</v>
      </c>
      <c r="D2344" s="37" t="inlineStr">
        <is>
          <t>Tech A</t>
        </is>
      </c>
      <c r="E2344" s="35" t="n">
        <v>3.2</v>
      </c>
      <c r="F2344" s="35" t="n">
        <v>2.5</v>
      </c>
      <c r="G2344" s="37" t="inlineStr">
        <is>
          <t>Y</t>
        </is>
      </c>
      <c r="H2344" s="37" t="inlineStr">
        <is>
          <t>N</t>
        </is>
      </c>
      <c r="I2344" s="37">
        <f>COUNTIF(G$5:G2344,"Y")/COUNTA(G$5:G2344)</f>
        <v/>
      </c>
      <c r="J2344" s="37">
        <f>COUNTIF(H$5:H2344,"Y")/COUNTA(H$5:H2344)</f>
        <v/>
      </c>
      <c r="K2344" s="37">
        <f>AVERAGE(F$5:F2344)</f>
        <v/>
      </c>
      <c r="L2344" s="37">
        <f>SUM(F$5:F2344)/SUM(E$5:E2344)</f>
        <v/>
      </c>
    </row>
    <row r="2345">
      <c r="A2345" s="29" t="n">
        <v>46006</v>
      </c>
      <c r="B2345" s="37" t="inlineStr">
        <is>
          <t>JOB-3341</t>
        </is>
      </c>
      <c r="C2345" s="34" t="n">
        <v>1</v>
      </c>
      <c r="D2345" s="37" t="inlineStr">
        <is>
          <t>Tech A</t>
        </is>
      </c>
      <c r="E2345" s="35" t="n">
        <v>6.2</v>
      </c>
      <c r="F2345" s="35" t="n">
        <v>4.2</v>
      </c>
      <c r="G2345" s="37" t="inlineStr">
        <is>
          <t>Y</t>
        </is>
      </c>
      <c r="H2345" s="37" t="inlineStr">
        <is>
          <t>N</t>
        </is>
      </c>
      <c r="I2345" s="37">
        <f>COUNTIF(G$5:G2345,"Y")/COUNTA(G$5:G2345)</f>
        <v/>
      </c>
      <c r="J2345" s="37">
        <f>COUNTIF(H$5:H2345,"Y")/COUNTA(H$5:H2345)</f>
        <v/>
      </c>
      <c r="K2345" s="37">
        <f>AVERAGE(F$5:F2345)</f>
        <v/>
      </c>
      <c r="L2345" s="37">
        <f>SUM(F$5:F2345)/SUM(E$5:E2345)</f>
        <v/>
      </c>
    </row>
    <row r="2346">
      <c r="A2346" s="29" t="n">
        <v>46007</v>
      </c>
      <c r="B2346" s="37" t="inlineStr">
        <is>
          <t>JOB-3342</t>
        </is>
      </c>
      <c r="C2346" s="34" t="n">
        <v>1</v>
      </c>
      <c r="D2346" s="37" t="inlineStr">
        <is>
          <t>Tech D</t>
        </is>
      </c>
      <c r="E2346" s="35" t="n">
        <v>2.1</v>
      </c>
      <c r="F2346" s="35" t="n">
        <v>1.8</v>
      </c>
      <c r="G2346" s="37" t="inlineStr">
        <is>
          <t>Y</t>
        </is>
      </c>
      <c r="H2346" s="37" t="inlineStr">
        <is>
          <t>N</t>
        </is>
      </c>
      <c r="I2346" s="37">
        <f>COUNTIF(G$5:G2346,"Y")/COUNTA(G$5:G2346)</f>
        <v/>
      </c>
      <c r="J2346" s="37">
        <f>COUNTIF(H$5:H2346,"Y")/COUNTA(H$5:H2346)</f>
        <v/>
      </c>
      <c r="K2346" s="37">
        <f>AVERAGE(F$5:F2346)</f>
        <v/>
      </c>
      <c r="L2346" s="37">
        <f>SUM(F$5:F2346)/SUM(E$5:E2346)</f>
        <v/>
      </c>
    </row>
    <row r="2347">
      <c r="A2347" s="29" t="n">
        <v>46008</v>
      </c>
      <c r="B2347" s="37" t="inlineStr">
        <is>
          <t>JOB-3343</t>
        </is>
      </c>
      <c r="C2347" s="34" t="n">
        <v>1</v>
      </c>
      <c r="D2347" s="37" t="inlineStr">
        <is>
          <t>Tech B</t>
        </is>
      </c>
      <c r="E2347" s="35" t="n">
        <v>2.5</v>
      </c>
      <c r="F2347" s="35" t="n">
        <v>1.8</v>
      </c>
      <c r="G2347" s="37" t="inlineStr">
        <is>
          <t>Y</t>
        </is>
      </c>
      <c r="H2347" s="37" t="inlineStr">
        <is>
          <t>Y</t>
        </is>
      </c>
      <c r="I2347" s="37">
        <f>COUNTIF(G$5:G2347,"Y")/COUNTA(G$5:G2347)</f>
        <v/>
      </c>
      <c r="J2347" s="37">
        <f>COUNTIF(H$5:H2347,"Y")/COUNTA(H$5:H2347)</f>
        <v/>
      </c>
      <c r="K2347" s="37">
        <f>AVERAGE(F$5:F2347)</f>
        <v/>
      </c>
      <c r="L2347" s="37">
        <f>SUM(F$5:F2347)/SUM(E$5:E2347)</f>
        <v/>
      </c>
    </row>
    <row r="2348">
      <c r="A2348" s="29" t="n">
        <v>46009</v>
      </c>
      <c r="B2348" s="37" t="inlineStr">
        <is>
          <t>JOB-3344</t>
        </is>
      </c>
      <c r="C2348" s="34" t="n">
        <v>1</v>
      </c>
      <c r="D2348" s="37" t="inlineStr">
        <is>
          <t>Tech F</t>
        </is>
      </c>
      <c r="E2348" s="35" t="n">
        <v>3.7</v>
      </c>
      <c r="F2348" s="35" t="n">
        <v>3.2</v>
      </c>
      <c r="G2348" s="37" t="inlineStr">
        <is>
          <t>Y</t>
        </is>
      </c>
      <c r="H2348" s="37" t="inlineStr">
        <is>
          <t>N</t>
        </is>
      </c>
      <c r="I2348" s="37">
        <f>COUNTIF(G$5:G2348,"Y")/COUNTA(G$5:G2348)</f>
        <v/>
      </c>
      <c r="J2348" s="37">
        <f>COUNTIF(H$5:H2348,"Y")/COUNTA(H$5:H2348)</f>
        <v/>
      </c>
      <c r="K2348" s="37">
        <f>AVERAGE(F$5:F2348)</f>
        <v/>
      </c>
      <c r="L2348" s="37">
        <f>SUM(F$5:F2348)/SUM(E$5:E2348)</f>
        <v/>
      </c>
    </row>
    <row r="2349">
      <c r="A2349" s="29" t="n">
        <v>46010</v>
      </c>
      <c r="B2349" s="37" t="inlineStr">
        <is>
          <t>JOB-3345</t>
        </is>
      </c>
      <c r="C2349" s="34" t="n">
        <v>1</v>
      </c>
      <c r="D2349" s="37" t="inlineStr">
        <is>
          <t>Tech C</t>
        </is>
      </c>
      <c r="E2349" s="35" t="n">
        <v>6.8</v>
      </c>
      <c r="F2349" s="35" t="n">
        <v>4.4</v>
      </c>
      <c r="G2349" s="37" t="inlineStr">
        <is>
          <t>Y</t>
        </is>
      </c>
      <c r="H2349" s="37" t="inlineStr">
        <is>
          <t>N</t>
        </is>
      </c>
      <c r="I2349" s="37">
        <f>COUNTIF(G$5:G2349,"Y")/COUNTA(G$5:G2349)</f>
        <v/>
      </c>
      <c r="J2349" s="37">
        <f>COUNTIF(H$5:H2349,"Y")/COUNTA(H$5:H2349)</f>
        <v/>
      </c>
      <c r="K2349" s="37">
        <f>AVERAGE(F$5:F2349)</f>
        <v/>
      </c>
      <c r="L2349" s="37">
        <f>SUM(F$5:F2349)/SUM(E$5:E2349)</f>
        <v/>
      </c>
    </row>
    <row r="2350">
      <c r="A2350" s="29" t="n">
        <v>46006</v>
      </c>
      <c r="B2350" s="37" t="inlineStr">
        <is>
          <t>JOB-3346</t>
        </is>
      </c>
      <c r="C2350" s="34" t="n">
        <v>1</v>
      </c>
      <c r="D2350" s="37" t="inlineStr">
        <is>
          <t>Tech F</t>
        </is>
      </c>
      <c r="E2350" s="35" t="n">
        <v>3.9</v>
      </c>
      <c r="F2350" s="35" t="n">
        <v>2.8</v>
      </c>
      <c r="G2350" s="37" t="inlineStr">
        <is>
          <t>Y</t>
        </is>
      </c>
      <c r="H2350" s="37" t="inlineStr">
        <is>
          <t>N</t>
        </is>
      </c>
      <c r="I2350" s="37">
        <f>COUNTIF(G$5:G2350,"Y")/COUNTA(G$5:G2350)</f>
        <v/>
      </c>
      <c r="J2350" s="37">
        <f>COUNTIF(H$5:H2350,"Y")/COUNTA(H$5:H2350)</f>
        <v/>
      </c>
      <c r="K2350" s="37">
        <f>AVERAGE(F$5:F2350)</f>
        <v/>
      </c>
      <c r="L2350" s="37">
        <f>SUM(F$5:F2350)/SUM(E$5:E2350)</f>
        <v/>
      </c>
    </row>
    <row r="2351">
      <c r="A2351" s="29" t="n">
        <v>46007</v>
      </c>
      <c r="B2351" s="37" t="inlineStr">
        <is>
          <t>JOB-3347</t>
        </is>
      </c>
      <c r="C2351" s="34" t="n">
        <v>1</v>
      </c>
      <c r="D2351" s="37" t="inlineStr">
        <is>
          <t>Tech D</t>
        </is>
      </c>
      <c r="E2351" s="35" t="n">
        <v>2.7</v>
      </c>
      <c r="F2351" s="35" t="n">
        <v>2.2</v>
      </c>
      <c r="G2351" s="37" t="inlineStr">
        <is>
          <t>Y</t>
        </is>
      </c>
      <c r="H2351" s="37" t="inlineStr">
        <is>
          <t>N</t>
        </is>
      </c>
      <c r="I2351" s="37">
        <f>COUNTIF(G$5:G2351,"Y")/COUNTA(G$5:G2351)</f>
        <v/>
      </c>
      <c r="J2351" s="37">
        <f>COUNTIF(H$5:H2351,"Y")/COUNTA(H$5:H2351)</f>
        <v/>
      </c>
      <c r="K2351" s="37">
        <f>AVERAGE(F$5:F2351)</f>
        <v/>
      </c>
      <c r="L2351" s="37">
        <f>SUM(F$5:F2351)/SUM(E$5:E2351)</f>
        <v/>
      </c>
    </row>
    <row r="2352">
      <c r="A2352" s="29" t="n">
        <v>46008</v>
      </c>
      <c r="B2352" s="37" t="inlineStr">
        <is>
          <t>JOB-3348</t>
        </is>
      </c>
      <c r="C2352" s="34" t="n">
        <v>1</v>
      </c>
      <c r="D2352" s="37" t="inlineStr">
        <is>
          <t>Tech B</t>
        </is>
      </c>
      <c r="E2352" s="35" t="n">
        <v>0.8</v>
      </c>
      <c r="F2352" s="35" t="n">
        <v>0.5</v>
      </c>
      <c r="G2352" s="37" t="inlineStr">
        <is>
          <t>Y</t>
        </is>
      </c>
      <c r="H2352" s="37" t="inlineStr">
        <is>
          <t>N</t>
        </is>
      </c>
      <c r="I2352" s="37">
        <f>COUNTIF(G$5:G2352,"Y")/COUNTA(G$5:G2352)</f>
        <v/>
      </c>
      <c r="J2352" s="37">
        <f>COUNTIF(H$5:H2352,"Y")/COUNTA(H$5:H2352)</f>
        <v/>
      </c>
      <c r="K2352" s="37">
        <f>AVERAGE(F$5:F2352)</f>
        <v/>
      </c>
      <c r="L2352" s="37">
        <f>SUM(F$5:F2352)/SUM(E$5:E2352)</f>
        <v/>
      </c>
    </row>
    <row r="2353">
      <c r="A2353" s="29" t="n">
        <v>46009</v>
      </c>
      <c r="B2353" s="37" t="inlineStr">
        <is>
          <t>JOB-3349</t>
        </is>
      </c>
      <c r="C2353" s="34" t="n">
        <v>1</v>
      </c>
      <c r="D2353" s="37" t="inlineStr">
        <is>
          <t>Tech F</t>
        </is>
      </c>
      <c r="E2353" s="35" t="n">
        <v>0.6</v>
      </c>
      <c r="F2353" s="35" t="n">
        <v>0.5</v>
      </c>
      <c r="G2353" s="37" t="inlineStr">
        <is>
          <t>Y</t>
        </is>
      </c>
      <c r="H2353" s="37" t="inlineStr">
        <is>
          <t>N</t>
        </is>
      </c>
      <c r="I2353" s="37">
        <f>COUNTIF(G$5:G2353,"Y")/COUNTA(G$5:G2353)</f>
        <v/>
      </c>
      <c r="J2353" s="37">
        <f>COUNTIF(H$5:H2353,"Y")/COUNTA(H$5:H2353)</f>
        <v/>
      </c>
      <c r="K2353" s="37">
        <f>AVERAGE(F$5:F2353)</f>
        <v/>
      </c>
      <c r="L2353" s="37">
        <f>SUM(F$5:F2353)/SUM(E$5:E2353)</f>
        <v/>
      </c>
    </row>
    <row r="2354">
      <c r="A2354" s="29" t="n">
        <v>46010</v>
      </c>
      <c r="B2354" s="37" t="inlineStr">
        <is>
          <t>JOB-3350</t>
        </is>
      </c>
      <c r="C2354" s="34" t="n">
        <v>1</v>
      </c>
      <c r="D2354" s="37" t="inlineStr">
        <is>
          <t>Tech A</t>
        </is>
      </c>
      <c r="E2354" s="35" t="n">
        <v>0.7</v>
      </c>
      <c r="F2354" s="35" t="n">
        <v>0.5</v>
      </c>
      <c r="G2354" s="37" t="inlineStr">
        <is>
          <t>Y</t>
        </is>
      </c>
      <c r="H2354" s="37" t="inlineStr">
        <is>
          <t>N</t>
        </is>
      </c>
      <c r="I2354" s="37">
        <f>COUNTIF(G$5:G2354,"Y")/COUNTA(G$5:G2354)</f>
        <v/>
      </c>
      <c r="J2354" s="37">
        <f>COUNTIF(H$5:H2354,"Y")/COUNTA(H$5:H2354)</f>
        <v/>
      </c>
      <c r="K2354" s="37">
        <f>AVERAGE(F$5:F2354)</f>
        <v/>
      </c>
      <c r="L2354" s="37">
        <f>SUM(F$5:F2354)/SUM(E$5:E2354)</f>
        <v/>
      </c>
    </row>
    <row r="2355">
      <c r="A2355" s="29" t="n">
        <v>46006</v>
      </c>
      <c r="B2355" s="37" t="inlineStr">
        <is>
          <t>JOB-3351</t>
        </is>
      </c>
      <c r="C2355" s="34" t="n">
        <v>1</v>
      </c>
      <c r="D2355" s="37" t="inlineStr">
        <is>
          <t>Tech C</t>
        </is>
      </c>
      <c r="E2355" s="35" t="n">
        <v>0.8</v>
      </c>
      <c r="F2355" s="35" t="n">
        <v>0.5</v>
      </c>
      <c r="G2355" s="37" t="inlineStr">
        <is>
          <t>Y</t>
        </is>
      </c>
      <c r="H2355" s="37" t="inlineStr">
        <is>
          <t>N</t>
        </is>
      </c>
      <c r="I2355" s="37">
        <f>COUNTIF(G$5:G2355,"Y")/COUNTA(G$5:G2355)</f>
        <v/>
      </c>
      <c r="J2355" s="37">
        <f>COUNTIF(H$5:H2355,"Y")/COUNTA(H$5:H2355)</f>
        <v/>
      </c>
      <c r="K2355" s="37">
        <f>AVERAGE(F$5:F2355)</f>
        <v/>
      </c>
      <c r="L2355" s="37">
        <f>SUM(F$5:F2355)/SUM(E$5:E2355)</f>
        <v/>
      </c>
    </row>
    <row r="2356">
      <c r="A2356" s="29" t="n">
        <v>46007</v>
      </c>
      <c r="B2356" s="37" t="inlineStr">
        <is>
          <t>JOB-3352</t>
        </is>
      </c>
      <c r="C2356" s="34" t="n">
        <v>1</v>
      </c>
      <c r="D2356" s="37" t="inlineStr">
        <is>
          <t>Tech A</t>
        </is>
      </c>
      <c r="E2356" s="35" t="n">
        <v>0.6</v>
      </c>
      <c r="F2356" s="35" t="n">
        <v>0.5</v>
      </c>
      <c r="G2356" s="37" t="inlineStr">
        <is>
          <t>N</t>
        </is>
      </c>
      <c r="H2356" s="37" t="inlineStr">
        <is>
          <t>N</t>
        </is>
      </c>
      <c r="I2356" s="37">
        <f>COUNTIF(G$5:G2356,"Y")/COUNTA(G$5:G2356)</f>
        <v/>
      </c>
      <c r="J2356" s="37">
        <f>COUNTIF(H$5:H2356,"Y")/COUNTA(H$5:H2356)</f>
        <v/>
      </c>
      <c r="K2356" s="37">
        <f>AVERAGE(F$5:F2356)</f>
        <v/>
      </c>
      <c r="L2356" s="37">
        <f>SUM(F$5:F2356)/SUM(E$5:E2356)</f>
        <v/>
      </c>
    </row>
    <row r="2357">
      <c r="A2357" s="29" t="n">
        <v>46008</v>
      </c>
      <c r="B2357" s="37" t="inlineStr">
        <is>
          <t>JOB-3353</t>
        </is>
      </c>
      <c r="C2357" s="34" t="n">
        <v>1</v>
      </c>
      <c r="D2357" s="37" t="inlineStr">
        <is>
          <t>Tech H</t>
        </is>
      </c>
      <c r="E2357" s="35" t="n">
        <v>0.6</v>
      </c>
      <c r="F2357" s="35" t="n">
        <v>0.5</v>
      </c>
      <c r="G2357" s="37" t="inlineStr">
        <is>
          <t>Y</t>
        </is>
      </c>
      <c r="H2357" s="37" t="inlineStr">
        <is>
          <t>N</t>
        </is>
      </c>
      <c r="I2357" s="37">
        <f>COUNTIF(G$5:G2357,"Y")/COUNTA(G$5:G2357)</f>
        <v/>
      </c>
      <c r="J2357" s="37">
        <f>COUNTIF(H$5:H2357,"Y")/COUNTA(H$5:H2357)</f>
        <v/>
      </c>
      <c r="K2357" s="37">
        <f>AVERAGE(F$5:F2357)</f>
        <v/>
      </c>
      <c r="L2357" s="37">
        <f>SUM(F$5:F2357)/SUM(E$5:E2357)</f>
        <v/>
      </c>
    </row>
    <row r="2358">
      <c r="A2358" s="29" t="n">
        <v>46009</v>
      </c>
      <c r="B2358" s="37" t="inlineStr">
        <is>
          <t>JOB-3354</t>
        </is>
      </c>
      <c r="C2358" s="34" t="n">
        <v>1</v>
      </c>
      <c r="D2358" s="37" t="inlineStr">
        <is>
          <t>Tech G</t>
        </is>
      </c>
      <c r="E2358" s="35" t="n">
        <v>1.6</v>
      </c>
      <c r="F2358" s="35" t="n">
        <v>0.5</v>
      </c>
      <c r="G2358" s="37" t="inlineStr">
        <is>
          <t>Y</t>
        </is>
      </c>
      <c r="H2358" s="37" t="inlineStr">
        <is>
          <t>N</t>
        </is>
      </c>
      <c r="I2358" s="37">
        <f>COUNTIF(G$5:G2358,"Y")/COUNTA(G$5:G2358)</f>
        <v/>
      </c>
      <c r="J2358" s="37">
        <f>COUNTIF(H$5:H2358,"Y")/COUNTA(H$5:H2358)</f>
        <v/>
      </c>
      <c r="K2358" s="37">
        <f>AVERAGE(F$5:F2358)</f>
        <v/>
      </c>
      <c r="L2358" s="37">
        <f>SUM(F$5:F2358)/SUM(E$5:E2358)</f>
        <v/>
      </c>
      <c r="M2358" s="37" t="n">
        <v>12</v>
      </c>
    </row>
    <row r="2359">
      <c r="A2359" s="29" t="n">
        <v>46013</v>
      </c>
      <c r="B2359" s="37" t="inlineStr">
        <is>
          <t>JOB-3355</t>
        </is>
      </c>
      <c r="C2359" s="34" t="n">
        <v>1</v>
      </c>
      <c r="D2359" s="37" t="inlineStr">
        <is>
          <t>Tech A</t>
        </is>
      </c>
      <c r="E2359" s="35" t="n">
        <v>5.3</v>
      </c>
      <c r="F2359" s="35" t="n">
        <v>3.5</v>
      </c>
      <c r="G2359" s="37" t="inlineStr">
        <is>
          <t>Y</t>
        </is>
      </c>
      <c r="H2359" s="37" t="inlineStr">
        <is>
          <t>N</t>
        </is>
      </c>
      <c r="I2359" s="37">
        <f>COUNTIF(G$5:G2359,"Y")/COUNTA(G$5:G2359)</f>
        <v/>
      </c>
      <c r="J2359" s="37">
        <f>COUNTIF(H$5:H2359,"Y")/COUNTA(H$5:H2359)</f>
        <v/>
      </c>
      <c r="K2359" s="37">
        <f>AVERAGE(F$5:F2359)</f>
        <v/>
      </c>
      <c r="L2359" s="37">
        <f>SUM(F$5:F2359)/SUM(E$5:E2359)</f>
        <v/>
      </c>
    </row>
    <row r="2360">
      <c r="A2360" s="29" t="n">
        <v>46014</v>
      </c>
      <c r="B2360" s="37" t="inlineStr">
        <is>
          <t>JOB-3356</t>
        </is>
      </c>
      <c r="C2360" s="34" t="n">
        <v>1</v>
      </c>
      <c r="D2360" s="37" t="inlineStr">
        <is>
          <t>Tech B</t>
        </is>
      </c>
      <c r="E2360" s="35" t="n">
        <v>4.5</v>
      </c>
      <c r="F2360" s="35" t="n">
        <v>3.7</v>
      </c>
      <c r="G2360" s="37" t="inlineStr">
        <is>
          <t>Y</t>
        </is>
      </c>
      <c r="H2360" s="37" t="inlineStr">
        <is>
          <t>N</t>
        </is>
      </c>
      <c r="I2360" s="37">
        <f>COUNTIF(G$5:G2360,"Y")/COUNTA(G$5:G2360)</f>
        <v/>
      </c>
      <c r="J2360" s="37">
        <f>COUNTIF(H$5:H2360,"Y")/COUNTA(H$5:H2360)</f>
        <v/>
      </c>
      <c r="K2360" s="37">
        <f>AVERAGE(F$5:F2360)</f>
        <v/>
      </c>
      <c r="L2360" s="37">
        <f>SUM(F$5:F2360)/SUM(E$5:E2360)</f>
        <v/>
      </c>
    </row>
    <row r="2361">
      <c r="A2361" s="29" t="n">
        <v>46015</v>
      </c>
      <c r="B2361" s="37" t="inlineStr">
        <is>
          <t>JOB-3357</t>
        </is>
      </c>
      <c r="C2361" s="34" t="n">
        <v>1</v>
      </c>
      <c r="D2361" s="37" t="inlineStr">
        <is>
          <t>Tech A</t>
        </is>
      </c>
      <c r="E2361" s="35" t="n">
        <v>4.5</v>
      </c>
      <c r="F2361" s="35" t="n">
        <v>3.5</v>
      </c>
      <c r="G2361" s="37" t="inlineStr">
        <is>
          <t>N</t>
        </is>
      </c>
      <c r="H2361" s="37" t="inlineStr">
        <is>
          <t>N</t>
        </is>
      </c>
      <c r="I2361" s="37">
        <f>COUNTIF(G$5:G2361,"Y")/COUNTA(G$5:G2361)</f>
        <v/>
      </c>
      <c r="J2361" s="37">
        <f>COUNTIF(H$5:H2361,"Y")/COUNTA(H$5:H2361)</f>
        <v/>
      </c>
      <c r="K2361" s="37">
        <f>AVERAGE(F$5:F2361)</f>
        <v/>
      </c>
      <c r="L2361" s="37">
        <f>SUM(F$5:F2361)/SUM(E$5:E2361)</f>
        <v/>
      </c>
    </row>
    <row r="2362">
      <c r="A2362" s="29" t="n">
        <v>46016</v>
      </c>
      <c r="B2362" s="37" t="inlineStr">
        <is>
          <t>JOB-3358</t>
        </is>
      </c>
      <c r="C2362" s="34" t="n">
        <v>1</v>
      </c>
      <c r="D2362" s="37" t="inlineStr">
        <is>
          <t>Tech A</t>
        </is>
      </c>
      <c r="E2362" s="35" t="n">
        <v>5.5</v>
      </c>
      <c r="F2362" s="35" t="n">
        <v>3.7</v>
      </c>
      <c r="G2362" s="37" t="inlineStr">
        <is>
          <t>Y</t>
        </is>
      </c>
      <c r="H2362" s="37" t="inlineStr">
        <is>
          <t>N</t>
        </is>
      </c>
      <c r="I2362" s="37">
        <f>COUNTIF(G$5:G2362,"Y")/COUNTA(G$5:G2362)</f>
        <v/>
      </c>
      <c r="J2362" s="37">
        <f>COUNTIF(H$5:H2362,"Y")/COUNTA(H$5:H2362)</f>
        <v/>
      </c>
      <c r="K2362" s="37">
        <f>AVERAGE(F$5:F2362)</f>
        <v/>
      </c>
      <c r="L2362" s="37">
        <f>SUM(F$5:F2362)/SUM(E$5:E2362)</f>
        <v/>
      </c>
    </row>
    <row r="2363">
      <c r="A2363" s="29" t="n">
        <v>46017</v>
      </c>
      <c r="B2363" s="37" t="inlineStr">
        <is>
          <t>JOB-3359</t>
        </is>
      </c>
      <c r="C2363" s="34" t="n">
        <v>1</v>
      </c>
      <c r="D2363" s="37" t="inlineStr">
        <is>
          <t>Tech A</t>
        </is>
      </c>
      <c r="E2363" s="35" t="n">
        <v>1.6</v>
      </c>
      <c r="F2363" s="35" t="n">
        <v>1.2</v>
      </c>
      <c r="G2363" s="37" t="inlineStr">
        <is>
          <t>Y</t>
        </is>
      </c>
      <c r="H2363" s="37" t="inlineStr">
        <is>
          <t>Y</t>
        </is>
      </c>
      <c r="I2363" s="37">
        <f>COUNTIF(G$5:G2363,"Y")/COUNTA(G$5:G2363)</f>
        <v/>
      </c>
      <c r="J2363" s="37">
        <f>COUNTIF(H$5:H2363,"Y")/COUNTA(H$5:H2363)</f>
        <v/>
      </c>
      <c r="K2363" s="37">
        <f>AVERAGE(F$5:F2363)</f>
        <v/>
      </c>
      <c r="L2363" s="37">
        <f>SUM(F$5:F2363)/SUM(E$5:E2363)</f>
        <v/>
      </c>
    </row>
    <row r="2364">
      <c r="A2364" s="29" t="n">
        <v>46013</v>
      </c>
      <c r="B2364" s="37" t="inlineStr">
        <is>
          <t>JOB-3360</t>
        </is>
      </c>
      <c r="C2364" s="34" t="n">
        <v>1</v>
      </c>
      <c r="D2364" s="37" t="inlineStr">
        <is>
          <t>Tech F</t>
        </is>
      </c>
      <c r="E2364" s="35" t="n">
        <v>1.5</v>
      </c>
      <c r="F2364" s="35" t="n">
        <v>1.3</v>
      </c>
      <c r="G2364" s="37" t="inlineStr">
        <is>
          <t>Y</t>
        </is>
      </c>
      <c r="H2364" s="37" t="inlineStr">
        <is>
          <t>N</t>
        </is>
      </c>
      <c r="I2364" s="37">
        <f>COUNTIF(G$5:G2364,"Y")/COUNTA(G$5:G2364)</f>
        <v/>
      </c>
      <c r="J2364" s="37">
        <f>COUNTIF(H$5:H2364,"Y")/COUNTA(H$5:H2364)</f>
        <v/>
      </c>
      <c r="K2364" s="37">
        <f>AVERAGE(F$5:F2364)</f>
        <v/>
      </c>
      <c r="L2364" s="37">
        <f>SUM(F$5:F2364)/SUM(E$5:E2364)</f>
        <v/>
      </c>
    </row>
    <row r="2365">
      <c r="A2365" s="29" t="n">
        <v>46014</v>
      </c>
      <c r="B2365" s="37" t="inlineStr">
        <is>
          <t>JOB-3361</t>
        </is>
      </c>
      <c r="C2365" s="34" t="n">
        <v>1</v>
      </c>
      <c r="D2365" s="37" t="inlineStr">
        <is>
          <t>Tech C</t>
        </is>
      </c>
      <c r="E2365" s="35" t="n">
        <v>4.8</v>
      </c>
      <c r="F2365" s="35" t="n">
        <v>3.4</v>
      </c>
      <c r="G2365" s="37" t="inlineStr">
        <is>
          <t>Y</t>
        </is>
      </c>
      <c r="H2365" s="37" t="inlineStr">
        <is>
          <t>N</t>
        </is>
      </c>
      <c r="I2365" s="37">
        <f>COUNTIF(G$5:G2365,"Y")/COUNTA(G$5:G2365)</f>
        <v/>
      </c>
      <c r="J2365" s="37">
        <f>COUNTIF(H$5:H2365,"Y")/COUNTA(H$5:H2365)</f>
        <v/>
      </c>
      <c r="K2365" s="37">
        <f>AVERAGE(F$5:F2365)</f>
        <v/>
      </c>
      <c r="L2365" s="37">
        <f>SUM(F$5:F2365)/SUM(E$5:E2365)</f>
        <v/>
      </c>
    </row>
    <row r="2366">
      <c r="A2366" s="29" t="n">
        <v>46015</v>
      </c>
      <c r="B2366" s="37" t="inlineStr">
        <is>
          <t>JOB-3362</t>
        </is>
      </c>
      <c r="C2366" s="34" t="n">
        <v>1</v>
      </c>
      <c r="D2366" s="37" t="inlineStr">
        <is>
          <t>Tech B</t>
        </is>
      </c>
      <c r="E2366" s="35" t="n">
        <v>2.7</v>
      </c>
      <c r="F2366" s="35" t="n">
        <v>1.9</v>
      </c>
      <c r="G2366" s="37" t="inlineStr">
        <is>
          <t>Y</t>
        </is>
      </c>
      <c r="H2366" s="37" t="inlineStr">
        <is>
          <t>N</t>
        </is>
      </c>
      <c r="I2366" s="37">
        <f>COUNTIF(G$5:G2366,"Y")/COUNTA(G$5:G2366)</f>
        <v/>
      </c>
      <c r="J2366" s="37">
        <f>COUNTIF(H$5:H2366,"Y")/COUNTA(H$5:H2366)</f>
        <v/>
      </c>
      <c r="K2366" s="37">
        <f>AVERAGE(F$5:F2366)</f>
        <v/>
      </c>
      <c r="L2366" s="37">
        <f>SUM(F$5:F2366)/SUM(E$5:E2366)</f>
        <v/>
      </c>
    </row>
    <row r="2367">
      <c r="A2367" s="29" t="n">
        <v>46016</v>
      </c>
      <c r="B2367" s="37" t="inlineStr">
        <is>
          <t>JOB-3363</t>
        </is>
      </c>
      <c r="C2367" s="34" t="n">
        <v>1</v>
      </c>
      <c r="D2367" s="37" t="inlineStr">
        <is>
          <t>Tech A</t>
        </is>
      </c>
      <c r="E2367" s="35" t="n">
        <v>2.9</v>
      </c>
      <c r="F2367" s="35" t="n">
        <v>2.2</v>
      </c>
      <c r="G2367" s="37" t="inlineStr">
        <is>
          <t>Y</t>
        </is>
      </c>
      <c r="H2367" s="37" t="inlineStr">
        <is>
          <t>N</t>
        </is>
      </c>
      <c r="I2367" s="37">
        <f>COUNTIF(G$5:G2367,"Y")/COUNTA(G$5:G2367)</f>
        <v/>
      </c>
      <c r="J2367" s="37">
        <f>COUNTIF(H$5:H2367,"Y")/COUNTA(H$5:H2367)</f>
        <v/>
      </c>
      <c r="K2367" s="37">
        <f>AVERAGE(F$5:F2367)</f>
        <v/>
      </c>
      <c r="L2367" s="37">
        <f>SUM(F$5:F2367)/SUM(E$5:E2367)</f>
        <v/>
      </c>
    </row>
    <row r="2368">
      <c r="A2368" s="29" t="n">
        <v>46017</v>
      </c>
      <c r="B2368" s="37" t="inlineStr">
        <is>
          <t>JOB-3364</t>
        </is>
      </c>
      <c r="C2368" s="34" t="n">
        <v>1</v>
      </c>
      <c r="D2368" s="37" t="inlineStr">
        <is>
          <t>Tech F</t>
        </is>
      </c>
      <c r="E2368" s="35" t="n">
        <v>2.7</v>
      </c>
      <c r="F2368" s="35" t="n">
        <v>2</v>
      </c>
      <c r="G2368" s="37" t="inlineStr">
        <is>
          <t>Y</t>
        </is>
      </c>
      <c r="H2368" s="37" t="inlineStr">
        <is>
          <t>N</t>
        </is>
      </c>
      <c r="I2368" s="37">
        <f>COUNTIF(G$5:G2368,"Y")/COUNTA(G$5:G2368)</f>
        <v/>
      </c>
      <c r="J2368" s="37">
        <f>COUNTIF(H$5:H2368,"Y")/COUNTA(H$5:H2368)</f>
        <v/>
      </c>
      <c r="K2368" s="37">
        <f>AVERAGE(F$5:F2368)</f>
        <v/>
      </c>
      <c r="L2368" s="37">
        <f>SUM(F$5:F2368)/SUM(E$5:E2368)</f>
        <v/>
      </c>
    </row>
    <row r="2369">
      <c r="A2369" s="29" t="n">
        <v>46013</v>
      </c>
      <c r="B2369" s="37" t="inlineStr">
        <is>
          <t>JOB-3365</t>
        </is>
      </c>
      <c r="C2369" s="34" t="n">
        <v>1</v>
      </c>
      <c r="D2369" s="37" t="inlineStr">
        <is>
          <t>Tech A</t>
        </is>
      </c>
      <c r="E2369" s="35" t="n">
        <v>3.1</v>
      </c>
      <c r="F2369" s="35" t="n">
        <v>2.2</v>
      </c>
      <c r="G2369" s="37" t="inlineStr">
        <is>
          <t>Y</t>
        </is>
      </c>
      <c r="H2369" s="37" t="inlineStr">
        <is>
          <t>N</t>
        </is>
      </c>
      <c r="I2369" s="37">
        <f>COUNTIF(G$5:G2369,"Y")/COUNTA(G$5:G2369)</f>
        <v/>
      </c>
      <c r="J2369" s="37">
        <f>COUNTIF(H$5:H2369,"Y")/COUNTA(H$5:H2369)</f>
        <v/>
      </c>
      <c r="K2369" s="37">
        <f>AVERAGE(F$5:F2369)</f>
        <v/>
      </c>
      <c r="L2369" s="37">
        <f>SUM(F$5:F2369)/SUM(E$5:E2369)</f>
        <v/>
      </c>
    </row>
    <row r="2370">
      <c r="A2370" s="29" t="n">
        <v>46014</v>
      </c>
      <c r="B2370" s="37" t="inlineStr">
        <is>
          <t>JOB-3366</t>
        </is>
      </c>
      <c r="C2370" s="34" t="n">
        <v>1</v>
      </c>
      <c r="D2370" s="37" t="inlineStr">
        <is>
          <t>Tech C</t>
        </is>
      </c>
      <c r="E2370" s="35" t="n">
        <v>3.5</v>
      </c>
      <c r="F2370" s="35" t="n">
        <v>2.4</v>
      </c>
      <c r="G2370" s="37" t="inlineStr">
        <is>
          <t>Y</t>
        </is>
      </c>
      <c r="H2370" s="37" t="inlineStr">
        <is>
          <t>N</t>
        </is>
      </c>
      <c r="I2370" s="37">
        <f>COUNTIF(G$5:G2370,"Y")/COUNTA(G$5:G2370)</f>
        <v/>
      </c>
      <c r="J2370" s="37">
        <f>COUNTIF(H$5:H2370,"Y")/COUNTA(H$5:H2370)</f>
        <v/>
      </c>
      <c r="K2370" s="37">
        <f>AVERAGE(F$5:F2370)</f>
        <v/>
      </c>
      <c r="L2370" s="37">
        <f>SUM(F$5:F2370)/SUM(E$5:E2370)</f>
        <v/>
      </c>
    </row>
    <row r="2371">
      <c r="A2371" s="29" t="n">
        <v>46015</v>
      </c>
      <c r="B2371" s="37" t="inlineStr">
        <is>
          <t>JOB-3367</t>
        </is>
      </c>
      <c r="C2371" s="34" t="n">
        <v>1</v>
      </c>
      <c r="D2371" s="37" t="inlineStr">
        <is>
          <t>Tech B</t>
        </is>
      </c>
      <c r="E2371" s="35" t="n">
        <v>4.5</v>
      </c>
      <c r="F2371" s="35" t="n">
        <v>3.9</v>
      </c>
      <c r="G2371" s="37" t="inlineStr">
        <is>
          <t>Y</t>
        </is>
      </c>
      <c r="H2371" s="37" t="inlineStr">
        <is>
          <t>N</t>
        </is>
      </c>
      <c r="I2371" s="37">
        <f>COUNTIF(G$5:G2371,"Y")/COUNTA(G$5:G2371)</f>
        <v/>
      </c>
      <c r="J2371" s="37">
        <f>COUNTIF(H$5:H2371,"Y")/COUNTA(H$5:H2371)</f>
        <v/>
      </c>
      <c r="K2371" s="37">
        <f>AVERAGE(F$5:F2371)</f>
        <v/>
      </c>
      <c r="L2371" s="37">
        <f>SUM(F$5:F2371)/SUM(E$5:E2371)</f>
        <v/>
      </c>
    </row>
    <row r="2372">
      <c r="A2372" s="29" t="n">
        <v>46016</v>
      </c>
      <c r="B2372" s="37" t="inlineStr">
        <is>
          <t>JOB-3368</t>
        </is>
      </c>
      <c r="C2372" s="34" t="n">
        <v>1</v>
      </c>
      <c r="D2372" s="37" t="inlineStr">
        <is>
          <t>Tech F</t>
        </is>
      </c>
      <c r="E2372" s="35" t="n">
        <v>3</v>
      </c>
      <c r="F2372" s="35" t="n">
        <v>2.2</v>
      </c>
      <c r="G2372" s="37" t="inlineStr">
        <is>
          <t>Y</t>
        </is>
      </c>
      <c r="H2372" s="37" t="inlineStr">
        <is>
          <t>N</t>
        </is>
      </c>
      <c r="I2372" s="37">
        <f>COUNTIF(G$5:G2372,"Y")/COUNTA(G$5:G2372)</f>
        <v/>
      </c>
      <c r="J2372" s="37">
        <f>COUNTIF(H$5:H2372,"Y")/COUNTA(H$5:H2372)</f>
        <v/>
      </c>
      <c r="K2372" s="37">
        <f>AVERAGE(F$5:F2372)</f>
        <v/>
      </c>
      <c r="L2372" s="37">
        <f>SUM(F$5:F2372)/SUM(E$5:E2372)</f>
        <v/>
      </c>
    </row>
    <row r="2373">
      <c r="A2373" s="29" t="n">
        <v>46017</v>
      </c>
      <c r="B2373" s="37" t="inlineStr">
        <is>
          <t>JOB-3369</t>
        </is>
      </c>
      <c r="C2373" s="34" t="n">
        <v>1</v>
      </c>
      <c r="D2373" s="37" t="inlineStr">
        <is>
          <t>Tech H</t>
        </is>
      </c>
      <c r="E2373" s="35" t="n">
        <v>1.4</v>
      </c>
      <c r="F2373" s="35" t="n">
        <v>1.2</v>
      </c>
      <c r="G2373" s="37" t="inlineStr">
        <is>
          <t>Y</t>
        </is>
      </c>
      <c r="H2373" s="37" t="inlineStr">
        <is>
          <t>N</t>
        </is>
      </c>
      <c r="I2373" s="37">
        <f>COUNTIF(G$5:G2373,"Y")/COUNTA(G$5:G2373)</f>
        <v/>
      </c>
      <c r="J2373" s="37">
        <f>COUNTIF(H$5:H2373,"Y")/COUNTA(H$5:H2373)</f>
        <v/>
      </c>
      <c r="K2373" s="37">
        <f>AVERAGE(F$5:F2373)</f>
        <v/>
      </c>
      <c r="L2373" s="37">
        <f>SUM(F$5:F2373)/SUM(E$5:E2373)</f>
        <v/>
      </c>
    </row>
    <row r="2374">
      <c r="A2374" s="29" t="n">
        <v>46013</v>
      </c>
      <c r="B2374" s="37" t="inlineStr">
        <is>
          <t>JOB-3370</t>
        </is>
      </c>
      <c r="C2374" s="34" t="n">
        <v>1</v>
      </c>
      <c r="D2374" s="37" t="inlineStr">
        <is>
          <t>Tech H</t>
        </is>
      </c>
      <c r="E2374" s="35" t="n">
        <v>1.3</v>
      </c>
      <c r="F2374" s="35" t="n">
        <v>1.1</v>
      </c>
      <c r="G2374" s="37" t="inlineStr">
        <is>
          <t>Y</t>
        </is>
      </c>
      <c r="H2374" s="37" t="inlineStr">
        <is>
          <t>N</t>
        </is>
      </c>
      <c r="I2374" s="37">
        <f>COUNTIF(G$5:G2374,"Y")/COUNTA(G$5:G2374)</f>
        <v/>
      </c>
      <c r="J2374" s="37">
        <f>COUNTIF(H$5:H2374,"Y")/COUNTA(H$5:H2374)</f>
        <v/>
      </c>
      <c r="K2374" s="37">
        <f>AVERAGE(F$5:F2374)</f>
        <v/>
      </c>
      <c r="L2374" s="37">
        <f>SUM(F$5:F2374)/SUM(E$5:E2374)</f>
        <v/>
      </c>
    </row>
    <row r="2375">
      <c r="A2375" s="29" t="n">
        <v>46014</v>
      </c>
      <c r="B2375" s="37" t="inlineStr">
        <is>
          <t>JOB-3371</t>
        </is>
      </c>
      <c r="C2375" s="34" t="n">
        <v>1</v>
      </c>
      <c r="D2375" s="37" t="inlineStr">
        <is>
          <t>Tech D</t>
        </is>
      </c>
      <c r="E2375" s="35" t="n">
        <v>2.8</v>
      </c>
      <c r="F2375" s="35" t="n">
        <v>2</v>
      </c>
      <c r="G2375" s="37" t="inlineStr">
        <is>
          <t>N</t>
        </is>
      </c>
      <c r="H2375" s="37" t="inlineStr">
        <is>
          <t>N</t>
        </is>
      </c>
      <c r="I2375" s="37">
        <f>COUNTIF(G$5:G2375,"Y")/COUNTA(G$5:G2375)</f>
        <v/>
      </c>
      <c r="J2375" s="37">
        <f>COUNTIF(H$5:H2375,"Y")/COUNTA(H$5:H2375)</f>
        <v/>
      </c>
      <c r="K2375" s="37">
        <f>AVERAGE(F$5:F2375)</f>
        <v/>
      </c>
      <c r="L2375" s="37">
        <f>SUM(F$5:F2375)/SUM(E$5:E2375)</f>
        <v/>
      </c>
    </row>
    <row r="2376">
      <c r="A2376" s="29" t="n">
        <v>46015</v>
      </c>
      <c r="B2376" s="37" t="inlineStr">
        <is>
          <t>JOB-3372</t>
        </is>
      </c>
      <c r="C2376" s="34" t="n">
        <v>1</v>
      </c>
      <c r="D2376" s="37" t="inlineStr">
        <is>
          <t>Tech D</t>
        </is>
      </c>
      <c r="E2376" s="35" t="n">
        <v>2.7</v>
      </c>
      <c r="F2376" s="35" t="n">
        <v>2.3</v>
      </c>
      <c r="G2376" s="37" t="inlineStr">
        <is>
          <t>Y</t>
        </is>
      </c>
      <c r="H2376" s="37" t="inlineStr">
        <is>
          <t>N</t>
        </is>
      </c>
      <c r="I2376" s="37">
        <f>COUNTIF(G$5:G2376,"Y")/COUNTA(G$5:G2376)</f>
        <v/>
      </c>
      <c r="J2376" s="37">
        <f>COUNTIF(H$5:H2376,"Y")/COUNTA(H$5:H2376)</f>
        <v/>
      </c>
      <c r="K2376" s="37">
        <f>AVERAGE(F$5:F2376)</f>
        <v/>
      </c>
      <c r="L2376" s="37">
        <f>SUM(F$5:F2376)/SUM(E$5:E2376)</f>
        <v/>
      </c>
    </row>
    <row r="2377">
      <c r="A2377" s="29" t="n">
        <v>46016</v>
      </c>
      <c r="B2377" s="37" t="inlineStr">
        <is>
          <t>JOB-3373</t>
        </is>
      </c>
      <c r="C2377" s="34" t="n">
        <v>1</v>
      </c>
      <c r="D2377" s="37" t="inlineStr">
        <is>
          <t>Tech D</t>
        </is>
      </c>
      <c r="E2377" s="35" t="n">
        <v>2.4</v>
      </c>
      <c r="F2377" s="35" t="n">
        <v>1.6</v>
      </c>
      <c r="G2377" s="37" t="inlineStr">
        <is>
          <t>Y</t>
        </is>
      </c>
      <c r="H2377" s="37" t="inlineStr">
        <is>
          <t>N</t>
        </is>
      </c>
      <c r="I2377" s="37">
        <f>COUNTIF(G$5:G2377,"Y")/COUNTA(G$5:G2377)</f>
        <v/>
      </c>
      <c r="J2377" s="37">
        <f>COUNTIF(H$5:H2377,"Y")/COUNTA(H$5:H2377)</f>
        <v/>
      </c>
      <c r="K2377" s="37">
        <f>AVERAGE(F$5:F2377)</f>
        <v/>
      </c>
      <c r="L2377" s="37">
        <f>SUM(F$5:F2377)/SUM(E$5:E2377)</f>
        <v/>
      </c>
    </row>
    <row r="2378">
      <c r="A2378" s="29" t="n">
        <v>46017</v>
      </c>
      <c r="B2378" s="37" t="inlineStr">
        <is>
          <t>JOB-3374</t>
        </is>
      </c>
      <c r="C2378" s="34" t="n">
        <v>1</v>
      </c>
      <c r="D2378" s="37" t="inlineStr">
        <is>
          <t>Tech A</t>
        </is>
      </c>
      <c r="E2378" s="35" t="n">
        <v>3.2</v>
      </c>
      <c r="F2378" s="35" t="n">
        <v>2.2</v>
      </c>
      <c r="G2378" s="37" t="inlineStr">
        <is>
          <t>N</t>
        </is>
      </c>
      <c r="H2378" s="37" t="inlineStr">
        <is>
          <t>N</t>
        </is>
      </c>
      <c r="I2378" s="37">
        <f>COUNTIF(G$5:G2378,"Y")/COUNTA(G$5:G2378)</f>
        <v/>
      </c>
      <c r="J2378" s="37">
        <f>COUNTIF(H$5:H2378,"Y")/COUNTA(H$5:H2378)</f>
        <v/>
      </c>
      <c r="K2378" s="37">
        <f>AVERAGE(F$5:F2378)</f>
        <v/>
      </c>
      <c r="L2378" s="37">
        <f>SUM(F$5:F2378)/SUM(E$5:E2378)</f>
        <v/>
      </c>
    </row>
    <row r="2379">
      <c r="A2379" s="29" t="n">
        <v>46013</v>
      </c>
      <c r="B2379" s="37" t="inlineStr">
        <is>
          <t>JOB-3375</t>
        </is>
      </c>
      <c r="C2379" s="34" t="n">
        <v>1</v>
      </c>
      <c r="D2379" s="37" t="inlineStr">
        <is>
          <t>Tech B</t>
        </is>
      </c>
      <c r="E2379" s="35" t="n">
        <v>5.8</v>
      </c>
      <c r="F2379" s="35" t="n">
        <v>3.9</v>
      </c>
      <c r="G2379" s="37" t="inlineStr">
        <is>
          <t>Y</t>
        </is>
      </c>
      <c r="H2379" s="37" t="inlineStr">
        <is>
          <t>N</t>
        </is>
      </c>
      <c r="I2379" s="37">
        <f>COUNTIF(G$5:G2379,"Y")/COUNTA(G$5:G2379)</f>
        <v/>
      </c>
      <c r="J2379" s="37">
        <f>COUNTIF(H$5:H2379,"Y")/COUNTA(H$5:H2379)</f>
        <v/>
      </c>
      <c r="K2379" s="37">
        <f>AVERAGE(F$5:F2379)</f>
        <v/>
      </c>
      <c r="L2379" s="37">
        <f>SUM(F$5:F2379)/SUM(E$5:E2379)</f>
        <v/>
      </c>
    </row>
    <row r="2380">
      <c r="A2380" s="29" t="n">
        <v>46014</v>
      </c>
      <c r="B2380" s="37" t="inlineStr">
        <is>
          <t>JOB-3376</t>
        </is>
      </c>
      <c r="C2380" s="34" t="n">
        <v>1</v>
      </c>
      <c r="D2380" s="37" t="inlineStr">
        <is>
          <t>Tech H</t>
        </is>
      </c>
      <c r="E2380" s="35" t="n">
        <v>4.4</v>
      </c>
      <c r="F2380" s="35" t="n">
        <v>3.6</v>
      </c>
      <c r="G2380" s="37" t="inlineStr">
        <is>
          <t>Y</t>
        </is>
      </c>
      <c r="H2380" s="37" t="inlineStr">
        <is>
          <t>N</t>
        </is>
      </c>
      <c r="I2380" s="37">
        <f>COUNTIF(G$5:G2380,"Y")/COUNTA(G$5:G2380)</f>
        <v/>
      </c>
      <c r="J2380" s="37">
        <f>COUNTIF(H$5:H2380,"Y")/COUNTA(H$5:H2380)</f>
        <v/>
      </c>
      <c r="K2380" s="37">
        <f>AVERAGE(F$5:F2380)</f>
        <v/>
      </c>
      <c r="L2380" s="37">
        <f>SUM(F$5:F2380)/SUM(E$5:E2380)</f>
        <v/>
      </c>
    </row>
    <row r="2381">
      <c r="A2381" s="29" t="n">
        <v>46015</v>
      </c>
      <c r="B2381" s="37" t="inlineStr">
        <is>
          <t>JOB-3377</t>
        </is>
      </c>
      <c r="C2381" s="34" t="n">
        <v>1</v>
      </c>
      <c r="D2381" s="37" t="inlineStr">
        <is>
          <t>Tech G</t>
        </is>
      </c>
      <c r="E2381" s="35" t="n">
        <v>3.8</v>
      </c>
      <c r="F2381" s="35" t="n">
        <v>3.3</v>
      </c>
      <c r="G2381" s="37" t="inlineStr">
        <is>
          <t>Y</t>
        </is>
      </c>
      <c r="H2381" s="37" t="inlineStr">
        <is>
          <t>N</t>
        </is>
      </c>
      <c r="I2381" s="37">
        <f>COUNTIF(G$5:G2381,"Y")/COUNTA(G$5:G2381)</f>
        <v/>
      </c>
      <c r="J2381" s="37">
        <f>COUNTIF(H$5:H2381,"Y")/COUNTA(H$5:H2381)</f>
        <v/>
      </c>
      <c r="K2381" s="37">
        <f>AVERAGE(F$5:F2381)</f>
        <v/>
      </c>
      <c r="L2381" s="37">
        <f>SUM(F$5:F2381)/SUM(E$5:E2381)</f>
        <v/>
      </c>
    </row>
    <row r="2382">
      <c r="A2382" s="29" t="n">
        <v>46016</v>
      </c>
      <c r="B2382" s="37" t="inlineStr">
        <is>
          <t>JOB-3378</t>
        </is>
      </c>
      <c r="C2382" s="34" t="n">
        <v>1</v>
      </c>
      <c r="D2382" s="37" t="inlineStr">
        <is>
          <t>Tech H</t>
        </is>
      </c>
      <c r="E2382" s="35" t="n">
        <v>4.3</v>
      </c>
      <c r="F2382" s="35" t="n">
        <v>3.8</v>
      </c>
      <c r="G2382" s="37" t="inlineStr">
        <is>
          <t>Y</t>
        </is>
      </c>
      <c r="H2382" s="37" t="inlineStr">
        <is>
          <t>N</t>
        </is>
      </c>
      <c r="I2382" s="37">
        <f>COUNTIF(G$5:G2382,"Y")/COUNTA(G$5:G2382)</f>
        <v/>
      </c>
      <c r="J2382" s="37">
        <f>COUNTIF(H$5:H2382,"Y")/COUNTA(H$5:H2382)</f>
        <v/>
      </c>
      <c r="K2382" s="37">
        <f>AVERAGE(F$5:F2382)</f>
        <v/>
      </c>
      <c r="L2382" s="37">
        <f>SUM(F$5:F2382)/SUM(E$5:E2382)</f>
        <v/>
      </c>
    </row>
    <row r="2383">
      <c r="A2383" s="29" t="n">
        <v>46017</v>
      </c>
      <c r="B2383" s="37" t="inlineStr">
        <is>
          <t>JOB-3379</t>
        </is>
      </c>
      <c r="C2383" s="34" t="n">
        <v>1</v>
      </c>
      <c r="D2383" s="37" t="inlineStr">
        <is>
          <t>Tech C</t>
        </is>
      </c>
      <c r="E2383" s="35" t="n">
        <v>2.7</v>
      </c>
      <c r="F2383" s="35" t="n">
        <v>2</v>
      </c>
      <c r="G2383" s="37" t="inlineStr">
        <is>
          <t>Y</t>
        </is>
      </c>
      <c r="H2383" s="37" t="inlineStr">
        <is>
          <t>N</t>
        </is>
      </c>
      <c r="I2383" s="37">
        <f>COUNTIF(G$5:G2383,"Y")/COUNTA(G$5:G2383)</f>
        <v/>
      </c>
      <c r="J2383" s="37">
        <f>COUNTIF(H$5:H2383,"Y")/COUNTA(H$5:H2383)</f>
        <v/>
      </c>
      <c r="K2383" s="37">
        <f>AVERAGE(F$5:F2383)</f>
        <v/>
      </c>
      <c r="L2383" s="37">
        <f>SUM(F$5:F2383)/SUM(E$5:E2383)</f>
        <v/>
      </c>
    </row>
    <row r="2384">
      <c r="A2384" s="29" t="n">
        <v>46013</v>
      </c>
      <c r="B2384" s="37" t="inlineStr">
        <is>
          <t>JOB-3380</t>
        </is>
      </c>
      <c r="C2384" s="34" t="n">
        <v>1</v>
      </c>
      <c r="D2384" s="37" t="inlineStr">
        <is>
          <t>Tech D</t>
        </is>
      </c>
      <c r="E2384" s="35" t="n">
        <v>4.1</v>
      </c>
      <c r="F2384" s="35" t="n">
        <v>3.4</v>
      </c>
      <c r="G2384" s="37" t="inlineStr">
        <is>
          <t>Y</t>
        </is>
      </c>
      <c r="H2384" s="37" t="inlineStr">
        <is>
          <t>N</t>
        </is>
      </c>
      <c r="I2384" s="37">
        <f>COUNTIF(G$5:G2384,"Y")/COUNTA(G$5:G2384)</f>
        <v/>
      </c>
      <c r="J2384" s="37">
        <f>COUNTIF(H$5:H2384,"Y")/COUNTA(H$5:H2384)</f>
        <v/>
      </c>
      <c r="K2384" s="37">
        <f>AVERAGE(F$5:F2384)</f>
        <v/>
      </c>
      <c r="L2384" s="37">
        <f>SUM(F$5:F2384)/SUM(E$5:E2384)</f>
        <v/>
      </c>
    </row>
    <row r="2385">
      <c r="A2385" s="29" t="n">
        <v>46014</v>
      </c>
      <c r="B2385" s="37" t="inlineStr">
        <is>
          <t>JOB-3381</t>
        </is>
      </c>
      <c r="C2385" s="34" t="n">
        <v>1</v>
      </c>
      <c r="D2385" s="37" t="inlineStr">
        <is>
          <t>Tech B</t>
        </is>
      </c>
      <c r="E2385" s="35" t="n">
        <v>1.9</v>
      </c>
      <c r="F2385" s="35" t="n">
        <v>1.6</v>
      </c>
      <c r="G2385" s="37" t="inlineStr">
        <is>
          <t>N</t>
        </is>
      </c>
      <c r="H2385" s="37" t="inlineStr">
        <is>
          <t>N</t>
        </is>
      </c>
      <c r="I2385" s="37">
        <f>COUNTIF(G$5:G2385,"Y")/COUNTA(G$5:G2385)</f>
        <v/>
      </c>
      <c r="J2385" s="37">
        <f>COUNTIF(H$5:H2385,"Y")/COUNTA(H$5:H2385)</f>
        <v/>
      </c>
      <c r="K2385" s="37">
        <f>AVERAGE(F$5:F2385)</f>
        <v/>
      </c>
      <c r="L2385" s="37">
        <f>SUM(F$5:F2385)/SUM(E$5:E2385)</f>
        <v/>
      </c>
    </row>
    <row r="2386">
      <c r="A2386" s="29" t="n">
        <v>46015</v>
      </c>
      <c r="B2386" s="37" t="inlineStr">
        <is>
          <t>JOB-3382</t>
        </is>
      </c>
      <c r="C2386" s="34" t="n">
        <v>1</v>
      </c>
      <c r="D2386" s="37" t="inlineStr">
        <is>
          <t>Tech B</t>
        </is>
      </c>
      <c r="E2386" s="35" t="n">
        <v>2.8</v>
      </c>
      <c r="F2386" s="35" t="n">
        <v>2.4</v>
      </c>
      <c r="G2386" s="37" t="inlineStr">
        <is>
          <t>Y</t>
        </is>
      </c>
      <c r="H2386" s="37" t="inlineStr">
        <is>
          <t>N</t>
        </is>
      </c>
      <c r="I2386" s="37">
        <f>COUNTIF(G$5:G2386,"Y")/COUNTA(G$5:G2386)</f>
        <v/>
      </c>
      <c r="J2386" s="37">
        <f>COUNTIF(H$5:H2386,"Y")/COUNTA(H$5:H2386)</f>
        <v/>
      </c>
      <c r="K2386" s="37">
        <f>AVERAGE(F$5:F2386)</f>
        <v/>
      </c>
      <c r="L2386" s="37">
        <f>SUM(F$5:F2386)/SUM(E$5:E2386)</f>
        <v/>
      </c>
    </row>
    <row r="2387">
      <c r="A2387" s="29" t="n">
        <v>46016</v>
      </c>
      <c r="B2387" s="37" t="inlineStr">
        <is>
          <t>JOB-3383</t>
        </is>
      </c>
      <c r="C2387" s="34" t="n">
        <v>1</v>
      </c>
      <c r="D2387" s="37" t="inlineStr">
        <is>
          <t>Tech G</t>
        </is>
      </c>
      <c r="E2387" s="35" t="n">
        <v>5.1</v>
      </c>
      <c r="F2387" s="35" t="n">
        <v>3.6</v>
      </c>
      <c r="G2387" s="37" t="inlineStr">
        <is>
          <t>Y</t>
        </is>
      </c>
      <c r="H2387" s="37" t="inlineStr">
        <is>
          <t>N</t>
        </is>
      </c>
      <c r="I2387" s="37">
        <f>COUNTIF(G$5:G2387,"Y")/COUNTA(G$5:G2387)</f>
        <v/>
      </c>
      <c r="J2387" s="37">
        <f>COUNTIF(H$5:H2387,"Y")/COUNTA(H$5:H2387)</f>
        <v/>
      </c>
      <c r="K2387" s="37">
        <f>AVERAGE(F$5:F2387)</f>
        <v/>
      </c>
      <c r="L2387" s="37">
        <f>SUM(F$5:F2387)/SUM(E$5:E2387)</f>
        <v/>
      </c>
    </row>
    <row r="2388">
      <c r="A2388" s="29" t="n">
        <v>46017</v>
      </c>
      <c r="B2388" s="37" t="inlineStr">
        <is>
          <t>JOB-3384</t>
        </is>
      </c>
      <c r="C2388" s="34" t="n">
        <v>1</v>
      </c>
      <c r="D2388" s="37" t="inlineStr">
        <is>
          <t>Tech B</t>
        </is>
      </c>
      <c r="E2388" s="35" t="n">
        <v>5.4</v>
      </c>
      <c r="F2388" s="35" t="n">
        <v>3.6</v>
      </c>
      <c r="G2388" s="37" t="inlineStr">
        <is>
          <t>Y</t>
        </is>
      </c>
      <c r="H2388" s="37" t="inlineStr">
        <is>
          <t>N</t>
        </is>
      </c>
      <c r="I2388" s="37">
        <f>COUNTIF(G$5:G2388,"Y")/COUNTA(G$5:G2388)</f>
        <v/>
      </c>
      <c r="J2388" s="37">
        <f>COUNTIF(H$5:H2388,"Y")/COUNTA(H$5:H2388)</f>
        <v/>
      </c>
      <c r="K2388" s="37">
        <f>AVERAGE(F$5:F2388)</f>
        <v/>
      </c>
      <c r="L2388" s="37">
        <f>SUM(F$5:F2388)/SUM(E$5:E2388)</f>
        <v/>
      </c>
    </row>
    <row r="2389">
      <c r="A2389" s="29" t="n">
        <v>46013</v>
      </c>
      <c r="B2389" s="37" t="inlineStr">
        <is>
          <t>JOB-3385</t>
        </is>
      </c>
      <c r="C2389" s="34" t="n">
        <v>1</v>
      </c>
      <c r="D2389" s="37" t="inlineStr">
        <is>
          <t>Tech C</t>
        </is>
      </c>
      <c r="E2389" s="35" t="n">
        <v>3</v>
      </c>
      <c r="F2389" s="35" t="n">
        <v>2.3</v>
      </c>
      <c r="G2389" s="37" t="inlineStr">
        <is>
          <t>N</t>
        </is>
      </c>
      <c r="H2389" s="37" t="inlineStr">
        <is>
          <t>N</t>
        </is>
      </c>
      <c r="I2389" s="37">
        <f>COUNTIF(G$5:G2389,"Y")/COUNTA(G$5:G2389)</f>
        <v/>
      </c>
      <c r="J2389" s="37">
        <f>COUNTIF(H$5:H2389,"Y")/COUNTA(H$5:H2389)</f>
        <v/>
      </c>
      <c r="K2389" s="37">
        <f>AVERAGE(F$5:F2389)</f>
        <v/>
      </c>
      <c r="L2389" s="37">
        <f>SUM(F$5:F2389)/SUM(E$5:E2389)</f>
        <v/>
      </c>
    </row>
    <row r="2390">
      <c r="A2390" s="29" t="n">
        <v>46014</v>
      </c>
      <c r="B2390" s="37" t="inlineStr">
        <is>
          <t>JOB-3386</t>
        </is>
      </c>
      <c r="C2390" s="34" t="n">
        <v>1</v>
      </c>
      <c r="D2390" s="37" t="inlineStr">
        <is>
          <t>Tech H</t>
        </is>
      </c>
      <c r="E2390" s="35" t="n">
        <v>1.9</v>
      </c>
      <c r="F2390" s="35" t="n">
        <v>1.4</v>
      </c>
      <c r="G2390" s="37" t="inlineStr">
        <is>
          <t>Y</t>
        </is>
      </c>
      <c r="H2390" s="37" t="inlineStr">
        <is>
          <t>N</t>
        </is>
      </c>
      <c r="I2390" s="37">
        <f>COUNTIF(G$5:G2390,"Y")/COUNTA(G$5:G2390)</f>
        <v/>
      </c>
      <c r="J2390" s="37">
        <f>COUNTIF(H$5:H2390,"Y")/COUNTA(H$5:H2390)</f>
        <v/>
      </c>
      <c r="K2390" s="37">
        <f>AVERAGE(F$5:F2390)</f>
        <v/>
      </c>
      <c r="L2390" s="37">
        <f>SUM(F$5:F2390)/SUM(E$5:E2390)</f>
        <v/>
      </c>
    </row>
    <row r="2391">
      <c r="A2391" s="29" t="n">
        <v>46015</v>
      </c>
      <c r="B2391" s="37" t="inlineStr">
        <is>
          <t>JOB-3387</t>
        </is>
      </c>
      <c r="C2391" s="34" t="n">
        <v>1</v>
      </c>
      <c r="D2391" s="37" t="inlineStr">
        <is>
          <t>Tech C</t>
        </is>
      </c>
      <c r="E2391" s="35" t="n">
        <v>3.8</v>
      </c>
      <c r="F2391" s="35" t="n">
        <v>2.8</v>
      </c>
      <c r="G2391" s="37" t="inlineStr">
        <is>
          <t>Y</t>
        </is>
      </c>
      <c r="H2391" s="37" t="inlineStr">
        <is>
          <t>N</t>
        </is>
      </c>
      <c r="I2391" s="37">
        <f>COUNTIF(G$5:G2391,"Y")/COUNTA(G$5:G2391)</f>
        <v/>
      </c>
      <c r="J2391" s="37">
        <f>COUNTIF(H$5:H2391,"Y")/COUNTA(H$5:H2391)</f>
        <v/>
      </c>
      <c r="K2391" s="37">
        <f>AVERAGE(F$5:F2391)</f>
        <v/>
      </c>
      <c r="L2391" s="37">
        <f>SUM(F$5:F2391)/SUM(E$5:E2391)</f>
        <v/>
      </c>
    </row>
    <row r="2392">
      <c r="A2392" s="29" t="n">
        <v>46016</v>
      </c>
      <c r="B2392" s="37" t="inlineStr">
        <is>
          <t>JOB-3388</t>
        </is>
      </c>
      <c r="C2392" s="34" t="n">
        <v>1</v>
      </c>
      <c r="D2392" s="37" t="inlineStr">
        <is>
          <t>Tech H</t>
        </is>
      </c>
      <c r="E2392" s="35" t="n">
        <v>4</v>
      </c>
      <c r="F2392" s="35" t="n">
        <v>3.2</v>
      </c>
      <c r="G2392" s="37" t="inlineStr">
        <is>
          <t>Y</t>
        </is>
      </c>
      <c r="H2392" s="37" t="inlineStr">
        <is>
          <t>N</t>
        </is>
      </c>
      <c r="I2392" s="37">
        <f>COUNTIF(G$5:G2392,"Y")/COUNTA(G$5:G2392)</f>
        <v/>
      </c>
      <c r="J2392" s="37">
        <f>COUNTIF(H$5:H2392,"Y")/COUNTA(H$5:H2392)</f>
        <v/>
      </c>
      <c r="K2392" s="37">
        <f>AVERAGE(F$5:F2392)</f>
        <v/>
      </c>
      <c r="L2392" s="37">
        <f>SUM(F$5:F2392)/SUM(E$5:E2392)</f>
        <v/>
      </c>
    </row>
    <row r="2393">
      <c r="A2393" s="29" t="n">
        <v>46017</v>
      </c>
      <c r="B2393" s="37" t="inlineStr">
        <is>
          <t>JOB-3389</t>
        </is>
      </c>
      <c r="C2393" s="34" t="n">
        <v>1</v>
      </c>
      <c r="D2393" s="37" t="inlineStr">
        <is>
          <t>Tech F</t>
        </is>
      </c>
      <c r="E2393" s="35" t="n">
        <v>0.6</v>
      </c>
      <c r="F2393" s="35" t="n">
        <v>0.5</v>
      </c>
      <c r="G2393" s="37" t="inlineStr">
        <is>
          <t>N</t>
        </is>
      </c>
      <c r="H2393" s="37" t="inlineStr">
        <is>
          <t>N</t>
        </is>
      </c>
      <c r="I2393" s="37">
        <f>COUNTIF(G$5:G2393,"Y")/COUNTA(G$5:G2393)</f>
        <v/>
      </c>
      <c r="J2393" s="37">
        <f>COUNTIF(H$5:H2393,"Y")/COUNTA(H$5:H2393)</f>
        <v/>
      </c>
      <c r="K2393" s="37">
        <f>AVERAGE(F$5:F2393)</f>
        <v/>
      </c>
      <c r="L2393" s="37">
        <f>SUM(F$5:F2393)/SUM(E$5:E2393)</f>
        <v/>
      </c>
    </row>
    <row r="2394">
      <c r="A2394" s="29" t="n">
        <v>46013</v>
      </c>
      <c r="B2394" s="37" t="inlineStr">
        <is>
          <t>JOB-3390</t>
        </is>
      </c>
      <c r="C2394" s="34" t="n">
        <v>1</v>
      </c>
      <c r="D2394" s="37" t="inlineStr">
        <is>
          <t>Tech C</t>
        </is>
      </c>
      <c r="E2394" s="35" t="n">
        <v>0.6</v>
      </c>
      <c r="F2394" s="35" t="n">
        <v>0.5</v>
      </c>
      <c r="G2394" s="37" t="inlineStr">
        <is>
          <t>Y</t>
        </is>
      </c>
      <c r="H2394" s="37" t="inlineStr">
        <is>
          <t>N</t>
        </is>
      </c>
      <c r="I2394" s="37">
        <f>COUNTIF(G$5:G2394,"Y")/COUNTA(G$5:G2394)</f>
        <v/>
      </c>
      <c r="J2394" s="37">
        <f>COUNTIF(H$5:H2394,"Y")/COUNTA(H$5:H2394)</f>
        <v/>
      </c>
      <c r="K2394" s="37">
        <f>AVERAGE(F$5:F2394)</f>
        <v/>
      </c>
      <c r="L2394" s="37">
        <f>SUM(F$5:F2394)/SUM(E$5:E2394)</f>
        <v/>
      </c>
    </row>
    <row r="2395">
      <c r="A2395" s="29" t="n">
        <v>46014</v>
      </c>
      <c r="B2395" s="37" t="inlineStr">
        <is>
          <t>JOB-3391</t>
        </is>
      </c>
      <c r="C2395" s="34" t="n">
        <v>1</v>
      </c>
      <c r="D2395" s="37" t="inlineStr">
        <is>
          <t>Tech H</t>
        </is>
      </c>
      <c r="E2395" s="35" t="n">
        <v>0.5</v>
      </c>
      <c r="F2395" s="35" t="n">
        <v>0.5</v>
      </c>
      <c r="G2395" s="37" t="inlineStr">
        <is>
          <t>Y</t>
        </is>
      </c>
      <c r="H2395" s="37" t="inlineStr">
        <is>
          <t>N</t>
        </is>
      </c>
      <c r="I2395" s="37">
        <f>COUNTIF(G$5:G2395,"Y")/COUNTA(G$5:G2395)</f>
        <v/>
      </c>
      <c r="J2395" s="37">
        <f>COUNTIF(H$5:H2395,"Y")/COUNTA(H$5:H2395)</f>
        <v/>
      </c>
      <c r="K2395" s="37">
        <f>AVERAGE(F$5:F2395)</f>
        <v/>
      </c>
      <c r="L2395" s="37">
        <f>SUM(F$5:F2395)/SUM(E$5:E2395)</f>
        <v/>
      </c>
    </row>
    <row r="2396">
      <c r="A2396" s="29" t="n">
        <v>46015</v>
      </c>
      <c r="B2396" s="37" t="inlineStr">
        <is>
          <t>JOB-3392</t>
        </is>
      </c>
      <c r="C2396" s="34" t="n">
        <v>1</v>
      </c>
      <c r="D2396" s="37" t="inlineStr">
        <is>
          <t>Tech A</t>
        </is>
      </c>
      <c r="E2396" s="35" t="n">
        <v>0.5</v>
      </c>
      <c r="F2396" s="35" t="n">
        <v>0.5</v>
      </c>
      <c r="G2396" s="37" t="inlineStr">
        <is>
          <t>Y</t>
        </is>
      </c>
      <c r="H2396" s="37" t="inlineStr">
        <is>
          <t>N</t>
        </is>
      </c>
      <c r="I2396" s="37">
        <f>COUNTIF(G$5:G2396,"Y")/COUNTA(G$5:G2396)</f>
        <v/>
      </c>
      <c r="J2396" s="37">
        <f>COUNTIF(H$5:H2396,"Y")/COUNTA(H$5:H2396)</f>
        <v/>
      </c>
      <c r="K2396" s="37">
        <f>AVERAGE(F$5:F2396)</f>
        <v/>
      </c>
      <c r="L2396" s="37">
        <f>SUM(F$5:F2396)/SUM(E$5:E2396)</f>
        <v/>
      </c>
    </row>
    <row r="2397">
      <c r="A2397" s="29" t="n">
        <v>46016</v>
      </c>
      <c r="B2397" s="37" t="inlineStr">
        <is>
          <t>JOB-3393</t>
        </is>
      </c>
      <c r="C2397" s="34" t="n">
        <v>1</v>
      </c>
      <c r="D2397" s="37" t="inlineStr">
        <is>
          <t>Tech A</t>
        </is>
      </c>
      <c r="E2397" s="35" t="n">
        <v>0.5</v>
      </c>
      <c r="F2397" s="35" t="n">
        <v>0.5</v>
      </c>
      <c r="G2397" s="37" t="inlineStr">
        <is>
          <t>Y</t>
        </is>
      </c>
      <c r="H2397" s="37" t="inlineStr">
        <is>
          <t>N</t>
        </is>
      </c>
      <c r="I2397" s="37">
        <f>COUNTIF(G$5:G2397,"Y")/COUNTA(G$5:G2397)</f>
        <v/>
      </c>
      <c r="J2397" s="37">
        <f>COUNTIF(H$5:H2397,"Y")/COUNTA(H$5:H2397)</f>
        <v/>
      </c>
      <c r="K2397" s="37">
        <f>AVERAGE(F$5:F2397)</f>
        <v/>
      </c>
      <c r="L2397" s="37">
        <f>SUM(F$5:F2397)/SUM(E$5:E2397)</f>
        <v/>
      </c>
    </row>
    <row r="2398">
      <c r="A2398" s="29" t="n">
        <v>46017</v>
      </c>
      <c r="B2398" s="37" t="inlineStr">
        <is>
          <t>JOB-3394</t>
        </is>
      </c>
      <c r="C2398" s="34" t="n">
        <v>1</v>
      </c>
      <c r="D2398" s="37" t="inlineStr">
        <is>
          <t>Tech B</t>
        </is>
      </c>
      <c r="E2398" s="35" t="n">
        <v>0.5</v>
      </c>
      <c r="F2398" s="35" t="n">
        <v>0.5</v>
      </c>
      <c r="G2398" s="37" t="inlineStr">
        <is>
          <t>Y</t>
        </is>
      </c>
      <c r="H2398" s="37" t="inlineStr">
        <is>
          <t>Y</t>
        </is>
      </c>
      <c r="I2398" s="37">
        <f>COUNTIF(G$5:G2398,"Y")/COUNTA(G$5:G2398)</f>
        <v/>
      </c>
      <c r="J2398" s="37">
        <f>COUNTIF(H$5:H2398,"Y")/COUNTA(H$5:H2398)</f>
        <v/>
      </c>
      <c r="K2398" s="37">
        <f>AVERAGE(F$5:F2398)</f>
        <v/>
      </c>
      <c r="L2398" s="37">
        <f>SUM(F$5:F2398)/SUM(E$5:E2398)</f>
        <v/>
      </c>
    </row>
    <row r="2399">
      <c r="A2399" s="29" t="n">
        <v>46013</v>
      </c>
      <c r="B2399" s="37" t="inlineStr">
        <is>
          <t>JOB-3395</t>
        </is>
      </c>
      <c r="C2399" s="34" t="n">
        <v>1</v>
      </c>
      <c r="D2399" s="37" t="inlineStr">
        <is>
          <t>Tech F</t>
        </is>
      </c>
      <c r="E2399" s="35" t="n">
        <v>0.5</v>
      </c>
      <c r="F2399" s="35" t="n">
        <v>0.5</v>
      </c>
      <c r="G2399" s="37" t="inlineStr">
        <is>
          <t>Y</t>
        </is>
      </c>
      <c r="H2399" s="37" t="inlineStr">
        <is>
          <t>N</t>
        </is>
      </c>
      <c r="I2399" s="37">
        <f>COUNTIF(G$5:G2399,"Y")/COUNTA(G$5:G2399)</f>
        <v/>
      </c>
      <c r="J2399" s="37">
        <f>COUNTIF(H$5:H2399,"Y")/COUNTA(H$5:H2399)</f>
        <v/>
      </c>
      <c r="K2399" s="37">
        <f>AVERAGE(F$5:F2399)</f>
        <v/>
      </c>
      <c r="L2399" s="37">
        <f>SUM(F$5:F2399)/SUM(E$5:E2399)</f>
        <v/>
      </c>
    </row>
    <row r="2400">
      <c r="A2400" s="29" t="n">
        <v>46014</v>
      </c>
      <c r="B2400" s="37" t="inlineStr">
        <is>
          <t>JOB-3396</t>
        </is>
      </c>
      <c r="C2400" s="34" t="n">
        <v>1</v>
      </c>
      <c r="D2400" s="37" t="inlineStr">
        <is>
          <t>Tech H</t>
        </is>
      </c>
      <c r="E2400" s="35" t="n">
        <v>0.5</v>
      </c>
      <c r="F2400" s="35" t="n">
        <v>0.5</v>
      </c>
      <c r="G2400" s="37" t="inlineStr">
        <is>
          <t>Y</t>
        </is>
      </c>
      <c r="H2400" s="37" t="inlineStr">
        <is>
          <t>N</t>
        </is>
      </c>
      <c r="I2400" s="37">
        <f>COUNTIF(G$5:G2400,"Y")/COUNTA(G$5:G2400)</f>
        <v/>
      </c>
      <c r="J2400" s="37">
        <f>COUNTIF(H$5:H2400,"Y")/COUNTA(H$5:H2400)</f>
        <v/>
      </c>
      <c r="K2400" s="37">
        <f>AVERAGE(F$5:F2400)</f>
        <v/>
      </c>
      <c r="L2400" s="37">
        <f>SUM(F$5:F2400)/SUM(E$5:E2400)</f>
        <v/>
      </c>
      <c r="M2400" s="37" t="n">
        <v>7</v>
      </c>
    </row>
    <row r="2401">
      <c r="A2401" s="29" t="n">
        <v>46020</v>
      </c>
      <c r="B2401" s="37" t="inlineStr">
        <is>
          <t>JOB-3397</t>
        </is>
      </c>
      <c r="C2401" s="34" t="n">
        <v>1</v>
      </c>
      <c r="D2401" s="37" t="inlineStr">
        <is>
          <t>Tech A</t>
        </is>
      </c>
      <c r="E2401" s="35" t="n">
        <v>4.3</v>
      </c>
      <c r="F2401" s="35" t="n">
        <v>3.1</v>
      </c>
      <c r="G2401" s="37" t="inlineStr">
        <is>
          <t>Y</t>
        </is>
      </c>
      <c r="H2401" s="37" t="inlineStr">
        <is>
          <t>Y</t>
        </is>
      </c>
      <c r="I2401" s="37">
        <f>COUNTIF(G$5:G2401,"Y")/COUNTA(G$5:G2401)</f>
        <v/>
      </c>
      <c r="J2401" s="37">
        <f>COUNTIF(H$5:H2401,"Y")/COUNTA(H$5:H2401)</f>
        <v/>
      </c>
      <c r="K2401" s="37">
        <f>AVERAGE(F$5:F2401)</f>
        <v/>
      </c>
      <c r="L2401" s="37">
        <f>SUM(F$5:F2401)/SUM(E$5:E2401)</f>
        <v/>
      </c>
    </row>
    <row r="2402">
      <c r="A2402" s="29" t="n">
        <v>46021</v>
      </c>
      <c r="B2402" s="37" t="inlineStr">
        <is>
          <t>JOB-3398</t>
        </is>
      </c>
      <c r="C2402" s="34" t="n">
        <v>1</v>
      </c>
      <c r="D2402" s="37" t="inlineStr">
        <is>
          <t>Tech C</t>
        </is>
      </c>
      <c r="E2402" s="35" t="n">
        <v>5.3</v>
      </c>
      <c r="F2402" s="35" t="n">
        <v>3.9</v>
      </c>
      <c r="G2402" s="37" t="inlineStr">
        <is>
          <t>Y</t>
        </is>
      </c>
      <c r="H2402" s="37" t="inlineStr">
        <is>
          <t>N</t>
        </is>
      </c>
      <c r="I2402" s="37">
        <f>COUNTIF(G$5:G2402,"Y")/COUNTA(G$5:G2402)</f>
        <v/>
      </c>
      <c r="J2402" s="37">
        <f>COUNTIF(H$5:H2402,"Y")/COUNTA(H$5:H2402)</f>
        <v/>
      </c>
      <c r="K2402" s="37">
        <f>AVERAGE(F$5:F2402)</f>
        <v/>
      </c>
      <c r="L2402" s="37">
        <f>SUM(F$5:F2402)/SUM(E$5:E2402)</f>
        <v/>
      </c>
    </row>
    <row r="2403">
      <c r="A2403" s="29" t="n">
        <v>46022</v>
      </c>
      <c r="B2403" s="37" t="inlineStr">
        <is>
          <t>JOB-3399</t>
        </is>
      </c>
      <c r="C2403" s="34" t="n">
        <v>1</v>
      </c>
      <c r="D2403" s="37" t="inlineStr">
        <is>
          <t>Tech F</t>
        </is>
      </c>
      <c r="E2403" s="35" t="n">
        <v>2.3</v>
      </c>
      <c r="F2403" s="35" t="n">
        <v>1.7</v>
      </c>
      <c r="G2403" s="37" t="inlineStr">
        <is>
          <t>Y</t>
        </is>
      </c>
      <c r="H2403" s="37" t="inlineStr">
        <is>
          <t>N</t>
        </is>
      </c>
      <c r="I2403" s="37">
        <f>COUNTIF(G$5:G2403,"Y")/COUNTA(G$5:G2403)</f>
        <v/>
      </c>
      <c r="J2403" s="37">
        <f>COUNTIF(H$5:H2403,"Y")/COUNTA(H$5:H2403)</f>
        <v/>
      </c>
      <c r="K2403" s="37">
        <f>AVERAGE(F$5:F2403)</f>
        <v/>
      </c>
      <c r="L2403" s="37">
        <f>SUM(F$5:F2403)/SUM(E$5:E2403)</f>
        <v/>
      </c>
    </row>
    <row r="2404">
      <c r="A2404" s="29" t="n">
        <v>46023</v>
      </c>
      <c r="B2404" s="37" t="inlineStr">
        <is>
          <t>JOB-3400</t>
        </is>
      </c>
      <c r="C2404" s="34" t="n">
        <v>1</v>
      </c>
      <c r="D2404" s="37" t="inlineStr">
        <is>
          <t>Tech H</t>
        </is>
      </c>
      <c r="E2404" s="35" t="n">
        <v>2.1</v>
      </c>
      <c r="F2404" s="35" t="n">
        <v>1.7</v>
      </c>
      <c r="G2404" s="37" t="inlineStr">
        <is>
          <t>Y</t>
        </is>
      </c>
      <c r="H2404" s="37" t="inlineStr">
        <is>
          <t>N</t>
        </is>
      </c>
      <c r="I2404" s="37">
        <f>COUNTIF(G$5:G2404,"Y")/COUNTA(G$5:G2404)</f>
        <v/>
      </c>
      <c r="J2404" s="37">
        <f>COUNTIF(H$5:H2404,"Y")/COUNTA(H$5:H2404)</f>
        <v/>
      </c>
      <c r="K2404" s="37">
        <f>AVERAGE(F$5:F2404)</f>
        <v/>
      </c>
      <c r="L2404" s="37">
        <f>SUM(F$5:F2404)/SUM(E$5:E2404)</f>
        <v/>
      </c>
    </row>
    <row r="2405">
      <c r="A2405" s="29" t="n">
        <v>46024</v>
      </c>
      <c r="B2405" s="37" t="inlineStr">
        <is>
          <t>JOB-3401</t>
        </is>
      </c>
      <c r="C2405" s="34" t="n">
        <v>1</v>
      </c>
      <c r="D2405" s="37" t="inlineStr">
        <is>
          <t>Tech D</t>
        </is>
      </c>
      <c r="E2405" s="35" t="n">
        <v>3.8</v>
      </c>
      <c r="F2405" s="35" t="n">
        <v>2.6</v>
      </c>
      <c r="G2405" s="37" t="inlineStr">
        <is>
          <t>Y</t>
        </is>
      </c>
      <c r="H2405" s="37" t="inlineStr">
        <is>
          <t>N</t>
        </is>
      </c>
      <c r="I2405" s="37">
        <f>COUNTIF(G$5:G2405,"Y")/COUNTA(G$5:G2405)</f>
        <v/>
      </c>
      <c r="J2405" s="37">
        <f>COUNTIF(H$5:H2405,"Y")/COUNTA(H$5:H2405)</f>
        <v/>
      </c>
      <c r="K2405" s="37">
        <f>AVERAGE(F$5:F2405)</f>
        <v/>
      </c>
      <c r="L2405" s="37">
        <f>SUM(F$5:F2405)/SUM(E$5:E2405)</f>
        <v/>
      </c>
    </row>
    <row r="2406">
      <c r="A2406" s="29" t="n">
        <v>46020</v>
      </c>
      <c r="B2406" s="37" t="inlineStr">
        <is>
          <t>JOB-3402</t>
        </is>
      </c>
      <c r="C2406" s="34" t="n">
        <v>1</v>
      </c>
      <c r="D2406" s="37" t="inlineStr">
        <is>
          <t>Tech F</t>
        </is>
      </c>
      <c r="E2406" s="35" t="n">
        <v>4.2</v>
      </c>
      <c r="F2406" s="35" t="n">
        <v>3.3</v>
      </c>
      <c r="G2406" s="37" t="inlineStr">
        <is>
          <t>Y</t>
        </is>
      </c>
      <c r="H2406" s="37" t="inlineStr">
        <is>
          <t>N</t>
        </is>
      </c>
      <c r="I2406" s="37">
        <f>COUNTIF(G$5:G2406,"Y")/COUNTA(G$5:G2406)</f>
        <v/>
      </c>
      <c r="J2406" s="37">
        <f>COUNTIF(H$5:H2406,"Y")/COUNTA(H$5:H2406)</f>
        <v/>
      </c>
      <c r="K2406" s="37">
        <f>AVERAGE(F$5:F2406)</f>
        <v/>
      </c>
      <c r="L2406" s="37">
        <f>SUM(F$5:F2406)/SUM(E$5:E2406)</f>
        <v/>
      </c>
    </row>
    <row r="2407">
      <c r="A2407" s="29" t="n">
        <v>46021</v>
      </c>
      <c r="B2407" s="37" t="inlineStr">
        <is>
          <t>JOB-3403</t>
        </is>
      </c>
      <c r="C2407" s="34" t="n">
        <v>1</v>
      </c>
      <c r="D2407" s="37" t="inlineStr">
        <is>
          <t>Tech B</t>
        </is>
      </c>
      <c r="E2407" s="35" t="n">
        <v>1.9</v>
      </c>
      <c r="F2407" s="35" t="n">
        <v>1.3</v>
      </c>
      <c r="G2407" s="37" t="inlineStr">
        <is>
          <t>Y</t>
        </is>
      </c>
      <c r="H2407" s="37" t="inlineStr">
        <is>
          <t>N</t>
        </is>
      </c>
      <c r="I2407" s="37">
        <f>COUNTIF(G$5:G2407,"Y")/COUNTA(G$5:G2407)</f>
        <v/>
      </c>
      <c r="J2407" s="37">
        <f>COUNTIF(H$5:H2407,"Y")/COUNTA(H$5:H2407)</f>
        <v/>
      </c>
      <c r="K2407" s="37">
        <f>AVERAGE(F$5:F2407)</f>
        <v/>
      </c>
      <c r="L2407" s="37">
        <f>SUM(F$5:F2407)/SUM(E$5:E2407)</f>
        <v/>
      </c>
    </row>
    <row r="2408">
      <c r="A2408" s="29" t="n">
        <v>46022</v>
      </c>
      <c r="B2408" s="37" t="inlineStr">
        <is>
          <t>JOB-3404</t>
        </is>
      </c>
      <c r="C2408" s="34" t="n">
        <v>1</v>
      </c>
      <c r="D2408" s="37" t="inlineStr">
        <is>
          <t>Tech D</t>
        </is>
      </c>
      <c r="E2408" s="35" t="n">
        <v>4.5</v>
      </c>
      <c r="F2408" s="35" t="n">
        <v>3.9</v>
      </c>
      <c r="G2408" s="37" t="inlineStr">
        <is>
          <t>Y</t>
        </is>
      </c>
      <c r="H2408" s="37" t="inlineStr">
        <is>
          <t>N</t>
        </is>
      </c>
      <c r="I2408" s="37">
        <f>COUNTIF(G$5:G2408,"Y")/COUNTA(G$5:G2408)</f>
        <v/>
      </c>
      <c r="J2408" s="37">
        <f>COUNTIF(H$5:H2408,"Y")/COUNTA(H$5:H2408)</f>
        <v/>
      </c>
      <c r="K2408" s="37">
        <f>AVERAGE(F$5:F2408)</f>
        <v/>
      </c>
      <c r="L2408" s="37">
        <f>SUM(F$5:F2408)/SUM(E$5:E2408)</f>
        <v/>
      </c>
    </row>
    <row r="2409">
      <c r="A2409" s="29" t="n">
        <v>46023</v>
      </c>
      <c r="B2409" s="37" t="inlineStr">
        <is>
          <t>JOB-3405</t>
        </is>
      </c>
      <c r="C2409" s="34" t="n">
        <v>1</v>
      </c>
      <c r="D2409" s="37" t="inlineStr">
        <is>
          <t>Tech G</t>
        </is>
      </c>
      <c r="E2409" s="35" t="n">
        <v>4</v>
      </c>
      <c r="F2409" s="35" t="n">
        <v>3.6</v>
      </c>
      <c r="G2409" s="37" t="inlineStr">
        <is>
          <t>Y</t>
        </is>
      </c>
      <c r="H2409" s="37" t="inlineStr">
        <is>
          <t>N</t>
        </is>
      </c>
      <c r="I2409" s="37">
        <f>COUNTIF(G$5:G2409,"Y")/COUNTA(G$5:G2409)</f>
        <v/>
      </c>
      <c r="J2409" s="37">
        <f>COUNTIF(H$5:H2409,"Y")/COUNTA(H$5:H2409)</f>
        <v/>
      </c>
      <c r="K2409" s="37">
        <f>AVERAGE(F$5:F2409)</f>
        <v/>
      </c>
      <c r="L2409" s="37">
        <f>SUM(F$5:F2409)/SUM(E$5:E2409)</f>
        <v/>
      </c>
    </row>
    <row r="2410">
      <c r="A2410" s="29" t="n">
        <v>46024</v>
      </c>
      <c r="B2410" s="37" t="inlineStr">
        <is>
          <t>JOB-3406</t>
        </is>
      </c>
      <c r="C2410" s="34" t="n">
        <v>1</v>
      </c>
      <c r="D2410" s="37" t="inlineStr">
        <is>
          <t>Tech G</t>
        </is>
      </c>
      <c r="E2410" s="35" t="n">
        <v>3</v>
      </c>
      <c r="F2410" s="35" t="n">
        <v>2.3</v>
      </c>
      <c r="G2410" s="37" t="inlineStr">
        <is>
          <t>Y</t>
        </is>
      </c>
      <c r="H2410" s="37" t="inlineStr">
        <is>
          <t>N</t>
        </is>
      </c>
      <c r="I2410" s="37">
        <f>COUNTIF(G$5:G2410,"Y")/COUNTA(G$5:G2410)</f>
        <v/>
      </c>
      <c r="J2410" s="37">
        <f>COUNTIF(H$5:H2410,"Y")/COUNTA(H$5:H2410)</f>
        <v/>
      </c>
      <c r="K2410" s="37">
        <f>AVERAGE(F$5:F2410)</f>
        <v/>
      </c>
      <c r="L2410" s="37">
        <f>SUM(F$5:F2410)/SUM(E$5:E2410)</f>
        <v/>
      </c>
    </row>
    <row r="2411">
      <c r="A2411" s="29" t="n">
        <v>46020</v>
      </c>
      <c r="B2411" s="37" t="inlineStr">
        <is>
          <t>JOB-3407</t>
        </is>
      </c>
      <c r="C2411" s="34" t="n">
        <v>1</v>
      </c>
      <c r="D2411" s="37" t="inlineStr">
        <is>
          <t>Tech D</t>
        </is>
      </c>
      <c r="E2411" s="35" t="n">
        <v>1.7</v>
      </c>
      <c r="F2411" s="35" t="n">
        <v>1.2</v>
      </c>
      <c r="G2411" s="37" t="inlineStr">
        <is>
          <t>Y</t>
        </is>
      </c>
      <c r="H2411" s="37" t="inlineStr">
        <is>
          <t>N</t>
        </is>
      </c>
      <c r="I2411" s="37">
        <f>COUNTIF(G$5:G2411,"Y")/COUNTA(G$5:G2411)</f>
        <v/>
      </c>
      <c r="J2411" s="37">
        <f>COUNTIF(H$5:H2411,"Y")/COUNTA(H$5:H2411)</f>
        <v/>
      </c>
      <c r="K2411" s="37">
        <f>AVERAGE(F$5:F2411)</f>
        <v/>
      </c>
      <c r="L2411" s="37">
        <f>SUM(F$5:F2411)/SUM(E$5:E2411)</f>
        <v/>
      </c>
    </row>
    <row r="2412">
      <c r="A2412" s="29" t="n">
        <v>46021</v>
      </c>
      <c r="B2412" s="37" t="inlineStr">
        <is>
          <t>JOB-3408</t>
        </is>
      </c>
      <c r="C2412" s="34" t="n">
        <v>1</v>
      </c>
      <c r="D2412" s="37" t="inlineStr">
        <is>
          <t>Tech A</t>
        </is>
      </c>
      <c r="E2412" s="35" t="n">
        <v>3</v>
      </c>
      <c r="F2412" s="35" t="n">
        <v>2.7</v>
      </c>
      <c r="G2412" s="37" t="inlineStr">
        <is>
          <t>Y</t>
        </is>
      </c>
      <c r="H2412" s="37" t="inlineStr">
        <is>
          <t>N</t>
        </is>
      </c>
      <c r="I2412" s="37">
        <f>COUNTIF(G$5:G2412,"Y")/COUNTA(G$5:G2412)</f>
        <v/>
      </c>
      <c r="J2412" s="37">
        <f>COUNTIF(H$5:H2412,"Y")/COUNTA(H$5:H2412)</f>
        <v/>
      </c>
      <c r="K2412" s="37">
        <f>AVERAGE(F$5:F2412)</f>
        <v/>
      </c>
      <c r="L2412" s="37">
        <f>SUM(F$5:F2412)/SUM(E$5:E2412)</f>
        <v/>
      </c>
    </row>
    <row r="2413">
      <c r="A2413" s="29" t="n">
        <v>46022</v>
      </c>
      <c r="B2413" s="37" t="inlineStr">
        <is>
          <t>JOB-3409</t>
        </is>
      </c>
      <c r="C2413" s="34" t="n">
        <v>1</v>
      </c>
      <c r="D2413" s="37" t="inlineStr">
        <is>
          <t>Tech B</t>
        </is>
      </c>
      <c r="E2413" s="35" t="n">
        <v>1.8</v>
      </c>
      <c r="F2413" s="35" t="n">
        <v>1.3</v>
      </c>
      <c r="G2413" s="37" t="inlineStr">
        <is>
          <t>N</t>
        </is>
      </c>
      <c r="H2413" s="37" t="inlineStr">
        <is>
          <t>N</t>
        </is>
      </c>
      <c r="I2413" s="37">
        <f>COUNTIF(G$5:G2413,"Y")/COUNTA(G$5:G2413)</f>
        <v/>
      </c>
      <c r="J2413" s="37">
        <f>COUNTIF(H$5:H2413,"Y")/COUNTA(H$5:H2413)</f>
        <v/>
      </c>
      <c r="K2413" s="37">
        <f>AVERAGE(F$5:F2413)</f>
        <v/>
      </c>
      <c r="L2413" s="37">
        <f>SUM(F$5:F2413)/SUM(E$5:E2413)</f>
        <v/>
      </c>
    </row>
    <row r="2414">
      <c r="A2414" s="29" t="n">
        <v>46023</v>
      </c>
      <c r="B2414" s="37" t="inlineStr">
        <is>
          <t>JOB-3410</t>
        </is>
      </c>
      <c r="C2414" s="34" t="n">
        <v>1</v>
      </c>
      <c r="D2414" s="37" t="inlineStr">
        <is>
          <t>Tech F</t>
        </is>
      </c>
      <c r="E2414" s="35" t="n">
        <v>2.5</v>
      </c>
      <c r="F2414" s="35" t="n">
        <v>2.1</v>
      </c>
      <c r="G2414" s="37" t="inlineStr">
        <is>
          <t>Y</t>
        </is>
      </c>
      <c r="H2414" s="37" t="inlineStr">
        <is>
          <t>N</t>
        </is>
      </c>
      <c r="I2414" s="37">
        <f>COUNTIF(G$5:G2414,"Y")/COUNTA(G$5:G2414)</f>
        <v/>
      </c>
      <c r="J2414" s="37">
        <f>COUNTIF(H$5:H2414,"Y")/COUNTA(H$5:H2414)</f>
        <v/>
      </c>
      <c r="K2414" s="37">
        <f>AVERAGE(F$5:F2414)</f>
        <v/>
      </c>
      <c r="L2414" s="37">
        <f>SUM(F$5:F2414)/SUM(E$5:E2414)</f>
        <v/>
      </c>
    </row>
    <row r="2415">
      <c r="A2415" s="29" t="n">
        <v>46024</v>
      </c>
      <c r="B2415" s="37" t="inlineStr">
        <is>
          <t>JOB-3411</t>
        </is>
      </c>
      <c r="C2415" s="34" t="n">
        <v>1</v>
      </c>
      <c r="D2415" s="37" t="inlineStr">
        <is>
          <t>Tech D</t>
        </is>
      </c>
      <c r="E2415" s="35" t="n">
        <v>3.9</v>
      </c>
      <c r="F2415" s="35" t="n">
        <v>2.8</v>
      </c>
      <c r="G2415" s="37" t="inlineStr">
        <is>
          <t>Y</t>
        </is>
      </c>
      <c r="H2415" s="37" t="inlineStr">
        <is>
          <t>N</t>
        </is>
      </c>
      <c r="I2415" s="37">
        <f>COUNTIF(G$5:G2415,"Y")/COUNTA(G$5:G2415)</f>
        <v/>
      </c>
      <c r="J2415" s="37">
        <f>COUNTIF(H$5:H2415,"Y")/COUNTA(H$5:H2415)</f>
        <v/>
      </c>
      <c r="K2415" s="37">
        <f>AVERAGE(F$5:F2415)</f>
        <v/>
      </c>
      <c r="L2415" s="37">
        <f>SUM(F$5:F2415)/SUM(E$5:E2415)</f>
        <v/>
      </c>
    </row>
    <row r="2416">
      <c r="A2416" s="29" t="n">
        <v>46020</v>
      </c>
      <c r="B2416" s="37" t="inlineStr">
        <is>
          <t>JOB-3412</t>
        </is>
      </c>
      <c r="C2416" s="34" t="n">
        <v>1</v>
      </c>
      <c r="D2416" s="37" t="inlineStr">
        <is>
          <t>Tech H</t>
        </is>
      </c>
      <c r="E2416" s="35" t="n">
        <v>4.1</v>
      </c>
      <c r="F2416" s="35" t="n">
        <v>3.6</v>
      </c>
      <c r="G2416" s="37" t="inlineStr">
        <is>
          <t>Y</t>
        </is>
      </c>
      <c r="H2416" s="37" t="inlineStr">
        <is>
          <t>N</t>
        </is>
      </c>
      <c r="I2416" s="37">
        <f>COUNTIF(G$5:G2416,"Y")/COUNTA(G$5:G2416)</f>
        <v/>
      </c>
      <c r="J2416" s="37">
        <f>COUNTIF(H$5:H2416,"Y")/COUNTA(H$5:H2416)</f>
        <v/>
      </c>
      <c r="K2416" s="37">
        <f>AVERAGE(F$5:F2416)</f>
        <v/>
      </c>
      <c r="L2416" s="37">
        <f>SUM(F$5:F2416)/SUM(E$5:E2416)</f>
        <v/>
      </c>
    </row>
    <row r="2417">
      <c r="A2417" s="29" t="n">
        <v>46021</v>
      </c>
      <c r="B2417" s="37" t="inlineStr">
        <is>
          <t>JOB-3413</t>
        </is>
      </c>
      <c r="C2417" s="34" t="n">
        <v>1</v>
      </c>
      <c r="D2417" s="37" t="inlineStr">
        <is>
          <t>Tech C</t>
        </is>
      </c>
      <c r="E2417" s="35" t="n">
        <v>4.6</v>
      </c>
      <c r="F2417" s="35" t="n">
        <v>3.7</v>
      </c>
      <c r="G2417" s="37" t="inlineStr">
        <is>
          <t>Y</t>
        </is>
      </c>
      <c r="H2417" s="37" t="inlineStr">
        <is>
          <t>N</t>
        </is>
      </c>
      <c r="I2417" s="37">
        <f>COUNTIF(G$5:G2417,"Y")/COUNTA(G$5:G2417)</f>
        <v/>
      </c>
      <c r="J2417" s="37">
        <f>COUNTIF(H$5:H2417,"Y")/COUNTA(H$5:H2417)</f>
        <v/>
      </c>
      <c r="K2417" s="37">
        <f>AVERAGE(F$5:F2417)</f>
        <v/>
      </c>
      <c r="L2417" s="37">
        <f>SUM(F$5:F2417)/SUM(E$5:E2417)</f>
        <v/>
      </c>
    </row>
    <row r="2418">
      <c r="A2418" s="29" t="n">
        <v>46022</v>
      </c>
      <c r="B2418" s="37" t="inlineStr">
        <is>
          <t>JOB-3414</t>
        </is>
      </c>
      <c r="C2418" s="34" t="n">
        <v>1</v>
      </c>
      <c r="D2418" s="37" t="inlineStr">
        <is>
          <t>Tech F</t>
        </is>
      </c>
      <c r="E2418" s="35" t="n">
        <v>3.3</v>
      </c>
      <c r="F2418" s="35" t="n">
        <v>2.7</v>
      </c>
      <c r="G2418" s="37" t="inlineStr">
        <is>
          <t>Y</t>
        </is>
      </c>
      <c r="H2418" s="37" t="inlineStr">
        <is>
          <t>N</t>
        </is>
      </c>
      <c r="I2418" s="37">
        <f>COUNTIF(G$5:G2418,"Y")/COUNTA(G$5:G2418)</f>
        <v/>
      </c>
      <c r="J2418" s="37">
        <f>COUNTIF(H$5:H2418,"Y")/COUNTA(H$5:H2418)</f>
        <v/>
      </c>
      <c r="K2418" s="37">
        <f>AVERAGE(F$5:F2418)</f>
        <v/>
      </c>
      <c r="L2418" s="37">
        <f>SUM(F$5:F2418)/SUM(E$5:E2418)</f>
        <v/>
      </c>
    </row>
    <row r="2419">
      <c r="A2419" s="29" t="n">
        <v>46023</v>
      </c>
      <c r="B2419" s="37" t="inlineStr">
        <is>
          <t>JOB-3415</t>
        </is>
      </c>
      <c r="C2419" s="34" t="n">
        <v>1</v>
      </c>
      <c r="D2419" s="37" t="inlineStr">
        <is>
          <t>Tech H</t>
        </is>
      </c>
      <c r="E2419" s="35" t="n">
        <v>3.9</v>
      </c>
      <c r="F2419" s="35" t="n">
        <v>2.9</v>
      </c>
      <c r="G2419" s="37" t="inlineStr">
        <is>
          <t>Y</t>
        </is>
      </c>
      <c r="H2419" s="37" t="inlineStr">
        <is>
          <t>N</t>
        </is>
      </c>
      <c r="I2419" s="37">
        <f>COUNTIF(G$5:G2419,"Y")/COUNTA(G$5:G2419)</f>
        <v/>
      </c>
      <c r="J2419" s="37">
        <f>COUNTIF(H$5:H2419,"Y")/COUNTA(H$5:H2419)</f>
        <v/>
      </c>
      <c r="K2419" s="37">
        <f>AVERAGE(F$5:F2419)</f>
        <v/>
      </c>
      <c r="L2419" s="37">
        <f>SUM(F$5:F2419)/SUM(E$5:E2419)</f>
        <v/>
      </c>
    </row>
    <row r="2420">
      <c r="A2420" s="29" t="n">
        <v>46024</v>
      </c>
      <c r="B2420" s="37" t="inlineStr">
        <is>
          <t>JOB-3416</t>
        </is>
      </c>
      <c r="C2420" s="34" t="n">
        <v>1</v>
      </c>
      <c r="D2420" s="37" t="inlineStr">
        <is>
          <t>Tech H</t>
        </is>
      </c>
      <c r="E2420" s="35" t="n">
        <v>2.6</v>
      </c>
      <c r="F2420" s="35" t="n">
        <v>2</v>
      </c>
      <c r="G2420" s="37" t="inlineStr">
        <is>
          <t>Y</t>
        </is>
      </c>
      <c r="H2420" s="37" t="inlineStr">
        <is>
          <t>N</t>
        </is>
      </c>
      <c r="I2420" s="37">
        <f>COUNTIF(G$5:G2420,"Y")/COUNTA(G$5:G2420)</f>
        <v/>
      </c>
      <c r="J2420" s="37">
        <f>COUNTIF(H$5:H2420,"Y")/COUNTA(H$5:H2420)</f>
        <v/>
      </c>
      <c r="K2420" s="37">
        <f>AVERAGE(F$5:F2420)</f>
        <v/>
      </c>
      <c r="L2420" s="37">
        <f>SUM(F$5:F2420)/SUM(E$5:E2420)</f>
        <v/>
      </c>
    </row>
    <row r="2421">
      <c r="A2421" s="29" t="n">
        <v>46020</v>
      </c>
      <c r="B2421" s="37" t="inlineStr">
        <is>
          <t>JOB-3417</t>
        </is>
      </c>
      <c r="C2421" s="34" t="n">
        <v>1</v>
      </c>
      <c r="D2421" s="37" t="inlineStr">
        <is>
          <t>Tech C</t>
        </is>
      </c>
      <c r="E2421" s="35" t="n">
        <v>4.6</v>
      </c>
      <c r="F2421" s="35" t="n">
        <v>3.8</v>
      </c>
      <c r="G2421" s="37" t="inlineStr">
        <is>
          <t>N</t>
        </is>
      </c>
      <c r="H2421" s="37" t="inlineStr">
        <is>
          <t>N</t>
        </is>
      </c>
      <c r="I2421" s="37">
        <f>COUNTIF(G$5:G2421,"Y")/COUNTA(G$5:G2421)</f>
        <v/>
      </c>
      <c r="J2421" s="37">
        <f>COUNTIF(H$5:H2421,"Y")/COUNTA(H$5:H2421)</f>
        <v/>
      </c>
      <c r="K2421" s="37">
        <f>AVERAGE(F$5:F2421)</f>
        <v/>
      </c>
      <c r="L2421" s="37">
        <f>SUM(F$5:F2421)/SUM(E$5:E2421)</f>
        <v/>
      </c>
    </row>
    <row r="2422">
      <c r="A2422" s="29" t="n">
        <v>46021</v>
      </c>
      <c r="B2422" s="37" t="inlineStr">
        <is>
          <t>JOB-3418</t>
        </is>
      </c>
      <c r="C2422" s="34" t="n">
        <v>1</v>
      </c>
      <c r="D2422" s="37" t="inlineStr">
        <is>
          <t>Tech D</t>
        </is>
      </c>
      <c r="E2422" s="35" t="n">
        <v>2.9</v>
      </c>
      <c r="F2422" s="35" t="n">
        <v>2.2</v>
      </c>
      <c r="G2422" s="37" t="inlineStr">
        <is>
          <t>Y</t>
        </is>
      </c>
      <c r="H2422" s="37" t="inlineStr">
        <is>
          <t>N</t>
        </is>
      </c>
      <c r="I2422" s="37">
        <f>COUNTIF(G$5:G2422,"Y")/COUNTA(G$5:G2422)</f>
        <v/>
      </c>
      <c r="J2422" s="37">
        <f>COUNTIF(H$5:H2422,"Y")/COUNTA(H$5:H2422)</f>
        <v/>
      </c>
      <c r="K2422" s="37">
        <f>AVERAGE(F$5:F2422)</f>
        <v/>
      </c>
      <c r="L2422" s="37">
        <f>SUM(F$5:F2422)/SUM(E$5:E2422)</f>
        <v/>
      </c>
    </row>
    <row r="2423">
      <c r="A2423" s="29" t="n">
        <v>46022</v>
      </c>
      <c r="B2423" s="37" t="inlineStr">
        <is>
          <t>JOB-3419</t>
        </is>
      </c>
      <c r="C2423" s="34" t="n">
        <v>1</v>
      </c>
      <c r="D2423" s="37" t="inlineStr">
        <is>
          <t>Tech C</t>
        </is>
      </c>
      <c r="E2423" s="35" t="n">
        <v>4.7</v>
      </c>
      <c r="F2423" s="35" t="n">
        <v>3.3</v>
      </c>
      <c r="G2423" s="37" t="inlineStr">
        <is>
          <t>N</t>
        </is>
      </c>
      <c r="H2423" s="37" t="inlineStr">
        <is>
          <t>N</t>
        </is>
      </c>
      <c r="I2423" s="37">
        <f>COUNTIF(G$5:G2423,"Y")/COUNTA(G$5:G2423)</f>
        <v/>
      </c>
      <c r="J2423" s="37">
        <f>COUNTIF(H$5:H2423,"Y")/COUNTA(H$5:H2423)</f>
        <v/>
      </c>
      <c r="K2423" s="37">
        <f>AVERAGE(F$5:F2423)</f>
        <v/>
      </c>
      <c r="L2423" s="37">
        <f>SUM(F$5:F2423)/SUM(E$5:E2423)</f>
        <v/>
      </c>
    </row>
    <row r="2424">
      <c r="A2424" s="29" t="n">
        <v>46023</v>
      </c>
      <c r="B2424" s="37" t="inlineStr">
        <is>
          <t>JOB-3420</t>
        </is>
      </c>
      <c r="C2424" s="34" t="n">
        <v>1</v>
      </c>
      <c r="D2424" s="37" t="inlineStr">
        <is>
          <t>Tech D</t>
        </is>
      </c>
      <c r="E2424" s="35" t="n">
        <v>4.9</v>
      </c>
      <c r="F2424" s="35" t="n">
        <v>3.8</v>
      </c>
      <c r="G2424" s="37" t="inlineStr">
        <is>
          <t>Y</t>
        </is>
      </c>
      <c r="H2424" s="37" t="inlineStr">
        <is>
          <t>N</t>
        </is>
      </c>
      <c r="I2424" s="37">
        <f>COUNTIF(G$5:G2424,"Y")/COUNTA(G$5:G2424)</f>
        <v/>
      </c>
      <c r="J2424" s="37">
        <f>COUNTIF(H$5:H2424,"Y")/COUNTA(H$5:H2424)</f>
        <v/>
      </c>
      <c r="K2424" s="37">
        <f>AVERAGE(F$5:F2424)</f>
        <v/>
      </c>
      <c r="L2424" s="37">
        <f>SUM(F$5:F2424)/SUM(E$5:E2424)</f>
        <v/>
      </c>
    </row>
    <row r="2425">
      <c r="A2425" s="29" t="n">
        <v>46024</v>
      </c>
      <c r="B2425" s="37" t="inlineStr">
        <is>
          <t>JOB-3421</t>
        </is>
      </c>
      <c r="C2425" s="34" t="n">
        <v>1</v>
      </c>
      <c r="D2425" s="37" t="inlineStr">
        <is>
          <t>Tech D</t>
        </is>
      </c>
      <c r="E2425" s="35" t="n">
        <v>2.6</v>
      </c>
      <c r="F2425" s="35" t="n">
        <v>2</v>
      </c>
      <c r="G2425" s="37" t="inlineStr">
        <is>
          <t>Y</t>
        </is>
      </c>
      <c r="H2425" s="37" t="inlineStr">
        <is>
          <t>N</t>
        </is>
      </c>
      <c r="I2425" s="37">
        <f>COUNTIF(G$5:G2425,"Y")/COUNTA(G$5:G2425)</f>
        <v/>
      </c>
      <c r="J2425" s="37">
        <f>COUNTIF(H$5:H2425,"Y")/COUNTA(H$5:H2425)</f>
        <v/>
      </c>
      <c r="K2425" s="37">
        <f>AVERAGE(F$5:F2425)</f>
        <v/>
      </c>
      <c r="L2425" s="37">
        <f>SUM(F$5:F2425)/SUM(E$5:E2425)</f>
        <v/>
      </c>
    </row>
    <row r="2426">
      <c r="A2426" s="29" t="n">
        <v>46020</v>
      </c>
      <c r="B2426" s="37" t="inlineStr">
        <is>
          <t>JOB-3422</t>
        </is>
      </c>
      <c r="C2426" s="34" t="n">
        <v>1</v>
      </c>
      <c r="D2426" s="37" t="inlineStr">
        <is>
          <t>Tech D</t>
        </is>
      </c>
      <c r="E2426" s="35" t="n">
        <v>3.7</v>
      </c>
      <c r="F2426" s="35" t="n">
        <v>3.2</v>
      </c>
      <c r="G2426" s="37" t="inlineStr">
        <is>
          <t>Y</t>
        </is>
      </c>
      <c r="H2426" s="37" t="inlineStr">
        <is>
          <t>N</t>
        </is>
      </c>
      <c r="I2426" s="37">
        <f>COUNTIF(G$5:G2426,"Y")/COUNTA(G$5:G2426)</f>
        <v/>
      </c>
      <c r="J2426" s="37">
        <f>COUNTIF(H$5:H2426,"Y")/COUNTA(H$5:H2426)</f>
        <v/>
      </c>
      <c r="K2426" s="37">
        <f>AVERAGE(F$5:F2426)</f>
        <v/>
      </c>
      <c r="L2426" s="37">
        <f>SUM(F$5:F2426)/SUM(E$5:E2426)</f>
        <v/>
      </c>
    </row>
    <row r="2427">
      <c r="A2427" s="29" t="n">
        <v>46021</v>
      </c>
      <c r="B2427" s="37" t="inlineStr">
        <is>
          <t>JOB-3423</t>
        </is>
      </c>
      <c r="C2427" s="34" t="n">
        <v>1</v>
      </c>
      <c r="D2427" s="37" t="inlineStr">
        <is>
          <t>Tech D</t>
        </is>
      </c>
      <c r="E2427" s="35" t="n">
        <v>3</v>
      </c>
      <c r="F2427" s="35" t="n">
        <v>2.5</v>
      </c>
      <c r="G2427" s="37" t="inlineStr">
        <is>
          <t>Y</t>
        </is>
      </c>
      <c r="H2427" s="37" t="inlineStr">
        <is>
          <t>N</t>
        </is>
      </c>
      <c r="I2427" s="37">
        <f>COUNTIF(G$5:G2427,"Y")/COUNTA(G$5:G2427)</f>
        <v/>
      </c>
      <c r="J2427" s="37">
        <f>COUNTIF(H$5:H2427,"Y")/COUNTA(H$5:H2427)</f>
        <v/>
      </c>
      <c r="K2427" s="37">
        <f>AVERAGE(F$5:F2427)</f>
        <v/>
      </c>
      <c r="L2427" s="37">
        <f>SUM(F$5:F2427)/SUM(E$5:E2427)</f>
        <v/>
      </c>
    </row>
    <row r="2428">
      <c r="A2428" s="29" t="n">
        <v>46022</v>
      </c>
      <c r="B2428" s="37" t="inlineStr">
        <is>
          <t>JOB-3424</t>
        </is>
      </c>
      <c r="C2428" s="34" t="n">
        <v>1</v>
      </c>
      <c r="D2428" s="37" t="inlineStr">
        <is>
          <t>Tech D</t>
        </is>
      </c>
      <c r="E2428" s="35" t="n">
        <v>5.3</v>
      </c>
      <c r="F2428" s="35" t="n">
        <v>4.3</v>
      </c>
      <c r="G2428" s="37" t="inlineStr">
        <is>
          <t>Y</t>
        </is>
      </c>
      <c r="H2428" s="37" t="inlineStr">
        <is>
          <t>N</t>
        </is>
      </c>
      <c r="I2428" s="37">
        <f>COUNTIF(G$5:G2428,"Y")/COUNTA(G$5:G2428)</f>
        <v/>
      </c>
      <c r="J2428" s="37">
        <f>COUNTIF(H$5:H2428,"Y")/COUNTA(H$5:H2428)</f>
        <v/>
      </c>
      <c r="K2428" s="37">
        <f>AVERAGE(F$5:F2428)</f>
        <v/>
      </c>
      <c r="L2428" s="37">
        <f>SUM(F$5:F2428)/SUM(E$5:E2428)</f>
        <v/>
      </c>
    </row>
    <row r="2429">
      <c r="A2429" s="29" t="n">
        <v>46023</v>
      </c>
      <c r="B2429" s="37" t="inlineStr">
        <is>
          <t>JOB-3425</t>
        </is>
      </c>
      <c r="C2429" s="34" t="n">
        <v>1</v>
      </c>
      <c r="D2429" s="37" t="inlineStr">
        <is>
          <t>Tech A</t>
        </is>
      </c>
      <c r="E2429" s="35" t="n">
        <v>1.7</v>
      </c>
      <c r="F2429" s="35" t="n">
        <v>1.3</v>
      </c>
      <c r="G2429" s="37" t="inlineStr">
        <is>
          <t>Y</t>
        </is>
      </c>
      <c r="H2429" s="37" t="inlineStr">
        <is>
          <t>Y</t>
        </is>
      </c>
      <c r="I2429" s="37">
        <f>COUNTIF(G$5:G2429,"Y")/COUNTA(G$5:G2429)</f>
        <v/>
      </c>
      <c r="J2429" s="37">
        <f>COUNTIF(H$5:H2429,"Y")/COUNTA(H$5:H2429)</f>
        <v/>
      </c>
      <c r="K2429" s="37">
        <f>AVERAGE(F$5:F2429)</f>
        <v/>
      </c>
      <c r="L2429" s="37">
        <f>SUM(F$5:F2429)/SUM(E$5:E2429)</f>
        <v/>
      </c>
    </row>
    <row r="2430">
      <c r="A2430" s="29" t="n">
        <v>46024</v>
      </c>
      <c r="B2430" s="37" t="inlineStr">
        <is>
          <t>JOB-3426</t>
        </is>
      </c>
      <c r="C2430" s="34" t="n">
        <v>1</v>
      </c>
      <c r="D2430" s="37" t="inlineStr">
        <is>
          <t>Tech F</t>
        </is>
      </c>
      <c r="E2430" s="35" t="n">
        <v>4.3</v>
      </c>
      <c r="F2430" s="35" t="n">
        <v>3.4</v>
      </c>
      <c r="G2430" s="37" t="inlineStr">
        <is>
          <t>Y</t>
        </is>
      </c>
      <c r="H2430" s="37" t="inlineStr">
        <is>
          <t>N</t>
        </is>
      </c>
      <c r="I2430" s="37">
        <f>COUNTIF(G$5:G2430,"Y")/COUNTA(G$5:G2430)</f>
        <v/>
      </c>
      <c r="J2430" s="37">
        <f>COUNTIF(H$5:H2430,"Y")/COUNTA(H$5:H2430)</f>
        <v/>
      </c>
      <c r="K2430" s="37">
        <f>AVERAGE(F$5:F2430)</f>
        <v/>
      </c>
      <c r="L2430" s="37">
        <f>SUM(F$5:F2430)/SUM(E$5:E2430)</f>
        <v/>
      </c>
    </row>
    <row r="2431">
      <c r="A2431" s="29" t="n">
        <v>46020</v>
      </c>
      <c r="B2431" s="37" t="inlineStr">
        <is>
          <t>JOB-3427</t>
        </is>
      </c>
      <c r="C2431" s="34" t="n">
        <v>1</v>
      </c>
      <c r="D2431" s="37" t="inlineStr">
        <is>
          <t>Tech A</t>
        </is>
      </c>
      <c r="E2431" s="35" t="n">
        <v>2</v>
      </c>
      <c r="F2431" s="35" t="n">
        <v>1.8</v>
      </c>
      <c r="G2431" s="37" t="inlineStr">
        <is>
          <t>Y</t>
        </is>
      </c>
      <c r="H2431" s="37" t="inlineStr">
        <is>
          <t>N</t>
        </is>
      </c>
      <c r="I2431" s="37">
        <f>COUNTIF(G$5:G2431,"Y")/COUNTA(G$5:G2431)</f>
        <v/>
      </c>
      <c r="J2431" s="37">
        <f>COUNTIF(H$5:H2431,"Y")/COUNTA(H$5:H2431)</f>
        <v/>
      </c>
      <c r="K2431" s="37">
        <f>AVERAGE(F$5:F2431)</f>
        <v/>
      </c>
      <c r="L2431" s="37">
        <f>SUM(F$5:F2431)/SUM(E$5:E2431)</f>
        <v/>
      </c>
    </row>
    <row r="2432">
      <c r="A2432" s="29" t="n">
        <v>46021</v>
      </c>
      <c r="B2432" s="37" t="inlineStr">
        <is>
          <t>JOB-3428</t>
        </is>
      </c>
      <c r="C2432" s="34" t="n">
        <v>1</v>
      </c>
      <c r="D2432" s="37" t="inlineStr">
        <is>
          <t>Tech G</t>
        </is>
      </c>
      <c r="E2432" s="35" t="n">
        <v>5.1</v>
      </c>
      <c r="F2432" s="35" t="n">
        <v>4.1</v>
      </c>
      <c r="G2432" s="37" t="inlineStr">
        <is>
          <t>N</t>
        </is>
      </c>
      <c r="H2432" s="37" t="inlineStr">
        <is>
          <t>N</t>
        </is>
      </c>
      <c r="I2432" s="37">
        <f>COUNTIF(G$5:G2432,"Y")/COUNTA(G$5:G2432)</f>
        <v/>
      </c>
      <c r="J2432" s="37">
        <f>COUNTIF(H$5:H2432,"Y")/COUNTA(H$5:H2432)</f>
        <v/>
      </c>
      <c r="K2432" s="37">
        <f>AVERAGE(F$5:F2432)</f>
        <v/>
      </c>
      <c r="L2432" s="37">
        <f>SUM(F$5:F2432)/SUM(E$5:E2432)</f>
        <v/>
      </c>
    </row>
    <row r="2433">
      <c r="A2433" s="29" t="n">
        <v>46022</v>
      </c>
      <c r="B2433" s="37" t="inlineStr">
        <is>
          <t>JOB-3429</t>
        </is>
      </c>
      <c r="C2433" s="34" t="n">
        <v>1</v>
      </c>
      <c r="D2433" s="37" t="inlineStr">
        <is>
          <t>Tech D</t>
        </is>
      </c>
      <c r="E2433" s="35" t="n">
        <v>1.8</v>
      </c>
      <c r="F2433" s="35" t="n">
        <v>1.5</v>
      </c>
      <c r="G2433" s="37" t="inlineStr">
        <is>
          <t>Y</t>
        </is>
      </c>
      <c r="H2433" s="37" t="inlineStr">
        <is>
          <t>N</t>
        </is>
      </c>
      <c r="I2433" s="37">
        <f>COUNTIF(G$5:G2433,"Y")/COUNTA(G$5:G2433)</f>
        <v/>
      </c>
      <c r="J2433" s="37">
        <f>COUNTIF(H$5:H2433,"Y")/COUNTA(H$5:H2433)</f>
        <v/>
      </c>
      <c r="K2433" s="37">
        <f>AVERAGE(F$5:F2433)</f>
        <v/>
      </c>
      <c r="L2433" s="37">
        <f>SUM(F$5:F2433)/SUM(E$5:E2433)</f>
        <v/>
      </c>
    </row>
    <row r="2434">
      <c r="A2434" s="29" t="n">
        <v>46023</v>
      </c>
      <c r="B2434" s="37" t="inlineStr">
        <is>
          <t>JOB-3430</t>
        </is>
      </c>
      <c r="C2434" s="34" t="n">
        <v>1</v>
      </c>
      <c r="D2434" s="37" t="inlineStr">
        <is>
          <t>Tech A</t>
        </is>
      </c>
      <c r="E2434" s="35" t="n">
        <v>4.2</v>
      </c>
      <c r="F2434" s="35" t="n">
        <v>3.2</v>
      </c>
      <c r="G2434" s="37" t="inlineStr">
        <is>
          <t>Y</t>
        </is>
      </c>
      <c r="H2434" s="37" t="inlineStr">
        <is>
          <t>N</t>
        </is>
      </c>
      <c r="I2434" s="37">
        <f>COUNTIF(G$5:G2434,"Y")/COUNTA(G$5:G2434)</f>
        <v/>
      </c>
      <c r="J2434" s="37">
        <f>COUNTIF(H$5:H2434,"Y")/COUNTA(H$5:H2434)</f>
        <v/>
      </c>
      <c r="K2434" s="37">
        <f>AVERAGE(F$5:F2434)</f>
        <v/>
      </c>
      <c r="L2434" s="37">
        <f>SUM(F$5:F2434)/SUM(E$5:E2434)</f>
        <v/>
      </c>
    </row>
    <row r="2435">
      <c r="A2435" s="29" t="n">
        <v>46024</v>
      </c>
      <c r="B2435" s="37" t="inlineStr">
        <is>
          <t>JOB-3431</t>
        </is>
      </c>
      <c r="C2435" s="34" t="n">
        <v>1</v>
      </c>
      <c r="D2435" s="37" t="inlineStr">
        <is>
          <t>Tech G</t>
        </is>
      </c>
      <c r="E2435" s="35" t="n">
        <v>5.9</v>
      </c>
      <c r="F2435" s="35" t="n">
        <v>4</v>
      </c>
      <c r="G2435" s="37" t="inlineStr">
        <is>
          <t>Y</t>
        </is>
      </c>
      <c r="H2435" s="37" t="inlineStr">
        <is>
          <t>N</t>
        </is>
      </c>
      <c r="I2435" s="37">
        <f>COUNTIF(G$5:G2435,"Y")/COUNTA(G$5:G2435)</f>
        <v/>
      </c>
      <c r="J2435" s="37">
        <f>COUNTIF(H$5:H2435,"Y")/COUNTA(H$5:H2435)</f>
        <v/>
      </c>
      <c r="K2435" s="37">
        <f>AVERAGE(F$5:F2435)</f>
        <v/>
      </c>
      <c r="L2435" s="37">
        <f>SUM(F$5:F2435)/SUM(E$5:E2435)</f>
        <v/>
      </c>
    </row>
    <row r="2436">
      <c r="A2436" s="29" t="n">
        <v>46020</v>
      </c>
      <c r="B2436" s="37" t="inlineStr">
        <is>
          <t>JOB-3432</t>
        </is>
      </c>
      <c r="C2436" s="34" t="n">
        <v>1</v>
      </c>
      <c r="D2436" s="37" t="inlineStr">
        <is>
          <t>Tech B</t>
        </is>
      </c>
      <c r="E2436" s="35" t="n">
        <v>1.2</v>
      </c>
      <c r="F2436" s="35" t="n">
        <v>1</v>
      </c>
      <c r="G2436" s="37" t="inlineStr">
        <is>
          <t>N</t>
        </is>
      </c>
      <c r="H2436" s="37" t="inlineStr">
        <is>
          <t>N</t>
        </is>
      </c>
      <c r="I2436" s="37">
        <f>COUNTIF(G$5:G2436,"Y")/COUNTA(G$5:G2436)</f>
        <v/>
      </c>
      <c r="J2436" s="37">
        <f>COUNTIF(H$5:H2436,"Y")/COUNTA(H$5:H2436)</f>
        <v/>
      </c>
      <c r="K2436" s="37">
        <f>AVERAGE(F$5:F2436)</f>
        <v/>
      </c>
      <c r="L2436" s="37">
        <f>SUM(F$5:F2436)/SUM(E$5:E2436)</f>
        <v/>
      </c>
    </row>
    <row r="2437">
      <c r="A2437" s="29" t="n">
        <v>46021</v>
      </c>
      <c r="B2437" s="37" t="inlineStr">
        <is>
          <t>JOB-3433</t>
        </is>
      </c>
      <c r="C2437" s="34" t="n">
        <v>1</v>
      </c>
      <c r="D2437" s="37" t="inlineStr">
        <is>
          <t>Tech F</t>
        </is>
      </c>
      <c r="E2437" s="35" t="n">
        <v>0.6</v>
      </c>
      <c r="F2437" s="35" t="n">
        <v>0.5</v>
      </c>
      <c r="G2437" s="37" t="inlineStr">
        <is>
          <t>Y</t>
        </is>
      </c>
      <c r="H2437" s="37" t="inlineStr">
        <is>
          <t>N</t>
        </is>
      </c>
      <c r="I2437" s="37">
        <f>COUNTIF(G$5:G2437,"Y")/COUNTA(G$5:G2437)</f>
        <v/>
      </c>
      <c r="J2437" s="37">
        <f>COUNTIF(H$5:H2437,"Y")/COUNTA(H$5:H2437)</f>
        <v/>
      </c>
      <c r="K2437" s="37">
        <f>AVERAGE(F$5:F2437)</f>
        <v/>
      </c>
      <c r="L2437" s="37">
        <f>SUM(F$5:F2437)/SUM(E$5:E2437)</f>
        <v/>
      </c>
    </row>
    <row r="2438">
      <c r="A2438" s="29" t="n">
        <v>46022</v>
      </c>
      <c r="B2438" s="37" t="inlineStr">
        <is>
          <t>JOB-3434</t>
        </is>
      </c>
      <c r="C2438" s="34" t="n">
        <v>1</v>
      </c>
      <c r="D2438" s="37" t="inlineStr">
        <is>
          <t>Tech C</t>
        </is>
      </c>
      <c r="E2438" s="35" t="n">
        <v>0.7</v>
      </c>
      <c r="F2438" s="35" t="n">
        <v>0.5</v>
      </c>
      <c r="G2438" s="37" t="inlineStr">
        <is>
          <t>Y</t>
        </is>
      </c>
      <c r="H2438" s="37" t="inlineStr">
        <is>
          <t>N</t>
        </is>
      </c>
      <c r="I2438" s="37">
        <f>COUNTIF(G$5:G2438,"Y")/COUNTA(G$5:G2438)</f>
        <v/>
      </c>
      <c r="J2438" s="37">
        <f>COUNTIF(H$5:H2438,"Y")/COUNTA(H$5:H2438)</f>
        <v/>
      </c>
      <c r="K2438" s="37">
        <f>AVERAGE(F$5:F2438)</f>
        <v/>
      </c>
      <c r="L2438" s="37">
        <f>SUM(F$5:F2438)/SUM(E$5:E2438)</f>
        <v/>
      </c>
    </row>
    <row r="2439">
      <c r="A2439" s="29" t="n">
        <v>46023</v>
      </c>
      <c r="B2439" s="37" t="inlineStr">
        <is>
          <t>JOB-3435</t>
        </is>
      </c>
      <c r="C2439" s="34" t="n">
        <v>1</v>
      </c>
      <c r="D2439" s="37" t="inlineStr">
        <is>
          <t>Tech G</t>
        </is>
      </c>
      <c r="E2439" s="35" t="n">
        <v>0.6</v>
      </c>
      <c r="F2439" s="35" t="n">
        <v>0.5</v>
      </c>
      <c r="G2439" s="37" t="inlineStr">
        <is>
          <t>N</t>
        </is>
      </c>
      <c r="H2439" s="37" t="inlineStr">
        <is>
          <t>N</t>
        </is>
      </c>
      <c r="I2439" s="37">
        <f>COUNTIF(G$5:G2439,"Y")/COUNTA(G$5:G2439)</f>
        <v/>
      </c>
      <c r="J2439" s="37">
        <f>COUNTIF(H$5:H2439,"Y")/COUNTA(H$5:H2439)</f>
        <v/>
      </c>
      <c r="K2439" s="37">
        <f>AVERAGE(F$5:F2439)</f>
        <v/>
      </c>
      <c r="L2439" s="37">
        <f>SUM(F$5:F2439)/SUM(E$5:E2439)</f>
        <v/>
      </c>
    </row>
    <row r="2440">
      <c r="A2440" s="29" t="n">
        <v>46024</v>
      </c>
      <c r="B2440" s="37" t="inlineStr">
        <is>
          <t>JOB-3436</t>
        </is>
      </c>
      <c r="C2440" s="34" t="n">
        <v>1</v>
      </c>
      <c r="D2440" s="37" t="inlineStr">
        <is>
          <t>Tech B</t>
        </is>
      </c>
      <c r="E2440" s="35" t="n">
        <v>0.7</v>
      </c>
      <c r="F2440" s="35" t="n">
        <v>0.5</v>
      </c>
      <c r="G2440" s="37" t="inlineStr">
        <is>
          <t>Y</t>
        </is>
      </c>
      <c r="H2440" s="37" t="inlineStr">
        <is>
          <t>N</t>
        </is>
      </c>
      <c r="I2440" s="37">
        <f>COUNTIF(G$5:G2440,"Y")/COUNTA(G$5:G2440)</f>
        <v/>
      </c>
      <c r="J2440" s="37">
        <f>COUNTIF(H$5:H2440,"Y")/COUNTA(H$5:H2440)</f>
        <v/>
      </c>
      <c r="K2440" s="37">
        <f>AVERAGE(F$5:F2440)</f>
        <v/>
      </c>
      <c r="L2440" s="37">
        <f>SUM(F$5:F2440)/SUM(E$5:E2440)</f>
        <v/>
      </c>
    </row>
    <row r="2441">
      <c r="A2441" s="29" t="n">
        <v>46020</v>
      </c>
      <c r="B2441" s="37" t="inlineStr">
        <is>
          <t>JOB-3437</t>
        </is>
      </c>
      <c r="C2441" s="34" t="n">
        <v>1</v>
      </c>
      <c r="D2441" s="37" t="inlineStr">
        <is>
          <t>Tech F</t>
        </is>
      </c>
      <c r="E2441" s="35" t="n">
        <v>0.7</v>
      </c>
      <c r="F2441" s="35" t="n">
        <v>0.5</v>
      </c>
      <c r="G2441" s="37" t="inlineStr">
        <is>
          <t>Y</t>
        </is>
      </c>
      <c r="H2441" s="37" t="inlineStr">
        <is>
          <t>N</t>
        </is>
      </c>
      <c r="I2441" s="37">
        <f>COUNTIF(G$5:G2441,"Y")/COUNTA(G$5:G2441)</f>
        <v/>
      </c>
      <c r="J2441" s="37">
        <f>COUNTIF(H$5:H2441,"Y")/COUNTA(H$5:H2441)</f>
        <v/>
      </c>
      <c r="K2441" s="37">
        <f>AVERAGE(F$5:F2441)</f>
        <v/>
      </c>
      <c r="L2441" s="37">
        <f>SUM(F$5:F2441)/SUM(E$5:E2441)</f>
        <v/>
      </c>
    </row>
    <row r="2442">
      <c r="A2442" s="29" t="n">
        <v>46021</v>
      </c>
      <c r="B2442" s="37" t="inlineStr">
        <is>
          <t>JOB-3438</t>
        </is>
      </c>
      <c r="C2442" s="34" t="n">
        <v>1</v>
      </c>
      <c r="D2442" s="37" t="inlineStr">
        <is>
          <t>Tech F</t>
        </is>
      </c>
      <c r="E2442" s="35" t="n">
        <v>2.4</v>
      </c>
      <c r="F2442" s="35" t="n">
        <v>0.5</v>
      </c>
      <c r="G2442" s="37" t="inlineStr">
        <is>
          <t>Y</t>
        </is>
      </c>
      <c r="H2442" s="37" t="inlineStr">
        <is>
          <t>N</t>
        </is>
      </c>
      <c r="I2442" s="37">
        <f>COUNTIF(G$5:G2442,"Y")/COUNTA(G$5:G2442)</f>
        <v/>
      </c>
      <c r="J2442" s="37">
        <f>COUNTIF(H$5:H2442,"Y")/COUNTA(H$5:H2442)</f>
        <v/>
      </c>
      <c r="K2442" s="37">
        <f>AVERAGE(F$5:F2442)</f>
        <v/>
      </c>
      <c r="L2442" s="37">
        <f>SUM(F$5:F2442)/SUM(E$5:E2442)</f>
        <v/>
      </c>
      <c r="M2442" s="37" t="n">
        <v>14</v>
      </c>
    </row>
    <row r="2443">
      <c r="A2443" s="29" t="n">
        <v>46027</v>
      </c>
      <c r="B2443" s="37" t="inlineStr">
        <is>
          <t>JOB-3439</t>
        </is>
      </c>
      <c r="C2443" s="34" t="n">
        <v>1</v>
      </c>
      <c r="D2443" s="37" t="inlineStr">
        <is>
          <t>Tech A</t>
        </is>
      </c>
      <c r="E2443" s="35" t="n">
        <v>3</v>
      </c>
      <c r="F2443" s="35" t="n">
        <v>2.3</v>
      </c>
      <c r="G2443" s="37" t="inlineStr">
        <is>
          <t>Y</t>
        </is>
      </c>
      <c r="H2443" s="37" t="inlineStr">
        <is>
          <t>N</t>
        </is>
      </c>
      <c r="I2443" s="37">
        <f>COUNTIF(G$5:G2443,"Y")/COUNTA(G$5:G2443)</f>
        <v/>
      </c>
      <c r="J2443" s="37">
        <f>COUNTIF(H$5:H2443,"Y")/COUNTA(H$5:H2443)</f>
        <v/>
      </c>
      <c r="K2443" s="37">
        <f>AVERAGE(F$5:F2443)</f>
        <v/>
      </c>
      <c r="L2443" s="37">
        <f>SUM(F$5:F2443)/SUM(E$5:E2443)</f>
        <v/>
      </c>
    </row>
    <row r="2444">
      <c r="A2444" s="29" t="n">
        <v>46028</v>
      </c>
      <c r="B2444" s="37" t="inlineStr">
        <is>
          <t>JOB-3440</t>
        </is>
      </c>
      <c r="C2444" s="34" t="n">
        <v>1</v>
      </c>
      <c r="D2444" s="37" t="inlineStr">
        <is>
          <t>Tech B</t>
        </is>
      </c>
      <c r="E2444" s="35" t="n">
        <v>5.3</v>
      </c>
      <c r="F2444" s="35" t="n">
        <v>3.8</v>
      </c>
      <c r="G2444" s="37" t="inlineStr">
        <is>
          <t>Y</t>
        </is>
      </c>
      <c r="H2444" s="37" t="inlineStr">
        <is>
          <t>N</t>
        </is>
      </c>
      <c r="I2444" s="37">
        <f>COUNTIF(G$5:G2444,"Y")/COUNTA(G$5:G2444)</f>
        <v/>
      </c>
      <c r="J2444" s="37">
        <f>COUNTIF(H$5:H2444,"Y")/COUNTA(H$5:H2444)</f>
        <v/>
      </c>
      <c r="K2444" s="37">
        <f>AVERAGE(F$5:F2444)</f>
        <v/>
      </c>
      <c r="L2444" s="37">
        <f>SUM(F$5:F2444)/SUM(E$5:E2444)</f>
        <v/>
      </c>
    </row>
    <row r="2445">
      <c r="A2445" s="29" t="n">
        <v>46029</v>
      </c>
      <c r="B2445" s="37" t="inlineStr">
        <is>
          <t>JOB-3441</t>
        </is>
      </c>
      <c r="C2445" s="34" t="n">
        <v>1</v>
      </c>
      <c r="D2445" s="37" t="inlineStr">
        <is>
          <t>Tech H</t>
        </is>
      </c>
      <c r="E2445" s="35" t="n">
        <v>1.8</v>
      </c>
      <c r="F2445" s="35" t="n">
        <v>1.3</v>
      </c>
      <c r="G2445" s="37" t="inlineStr">
        <is>
          <t>Y</t>
        </is>
      </c>
      <c r="H2445" s="37" t="inlineStr">
        <is>
          <t>N</t>
        </is>
      </c>
      <c r="I2445" s="37">
        <f>COUNTIF(G$5:G2445,"Y")/COUNTA(G$5:G2445)</f>
        <v/>
      </c>
      <c r="J2445" s="37">
        <f>COUNTIF(H$5:H2445,"Y")/COUNTA(H$5:H2445)</f>
        <v/>
      </c>
      <c r="K2445" s="37">
        <f>AVERAGE(F$5:F2445)</f>
        <v/>
      </c>
      <c r="L2445" s="37">
        <f>SUM(F$5:F2445)/SUM(E$5:E2445)</f>
        <v/>
      </c>
    </row>
    <row r="2446">
      <c r="A2446" s="29" t="n">
        <v>46030</v>
      </c>
      <c r="B2446" s="37" t="inlineStr">
        <is>
          <t>JOB-3442</t>
        </is>
      </c>
      <c r="C2446" s="34" t="n">
        <v>1</v>
      </c>
      <c r="D2446" s="37" t="inlineStr">
        <is>
          <t>Tech D</t>
        </is>
      </c>
      <c r="E2446" s="35" t="n">
        <v>2</v>
      </c>
      <c r="F2446" s="35" t="n">
        <v>1.5</v>
      </c>
      <c r="G2446" s="37" t="inlineStr">
        <is>
          <t>Y</t>
        </is>
      </c>
      <c r="H2446" s="37" t="inlineStr">
        <is>
          <t>N</t>
        </is>
      </c>
      <c r="I2446" s="37">
        <f>COUNTIF(G$5:G2446,"Y")/COUNTA(G$5:G2446)</f>
        <v/>
      </c>
      <c r="J2446" s="37">
        <f>COUNTIF(H$5:H2446,"Y")/COUNTA(H$5:H2446)</f>
        <v/>
      </c>
      <c r="K2446" s="37">
        <f>AVERAGE(F$5:F2446)</f>
        <v/>
      </c>
      <c r="L2446" s="37">
        <f>SUM(F$5:F2446)/SUM(E$5:E2446)</f>
        <v/>
      </c>
    </row>
    <row r="2447">
      <c r="A2447" s="29" t="n">
        <v>46031</v>
      </c>
      <c r="B2447" s="37" t="inlineStr">
        <is>
          <t>JOB-3443</t>
        </is>
      </c>
      <c r="C2447" s="34" t="n">
        <v>1</v>
      </c>
      <c r="D2447" s="37" t="inlineStr">
        <is>
          <t>Tech G</t>
        </is>
      </c>
      <c r="E2447" s="35" t="n">
        <v>3.4</v>
      </c>
      <c r="F2447" s="35" t="n">
        <v>2.5</v>
      </c>
      <c r="G2447" s="37" t="inlineStr">
        <is>
          <t>Y</t>
        </is>
      </c>
      <c r="H2447" s="37" t="inlineStr">
        <is>
          <t>N</t>
        </is>
      </c>
      <c r="I2447" s="37">
        <f>COUNTIF(G$5:G2447,"Y")/COUNTA(G$5:G2447)</f>
        <v/>
      </c>
      <c r="J2447" s="37">
        <f>COUNTIF(H$5:H2447,"Y")/COUNTA(H$5:H2447)</f>
        <v/>
      </c>
      <c r="K2447" s="37">
        <f>AVERAGE(F$5:F2447)</f>
        <v/>
      </c>
      <c r="L2447" s="37">
        <f>SUM(F$5:F2447)/SUM(E$5:E2447)</f>
        <v/>
      </c>
    </row>
    <row r="2448">
      <c r="A2448" s="29" t="n">
        <v>46027</v>
      </c>
      <c r="B2448" s="37" t="inlineStr">
        <is>
          <t>JOB-3444</t>
        </is>
      </c>
      <c r="C2448" s="34" t="n">
        <v>1</v>
      </c>
      <c r="D2448" s="37" t="inlineStr">
        <is>
          <t>Tech D</t>
        </is>
      </c>
      <c r="E2448" s="35" t="n">
        <v>3.8</v>
      </c>
      <c r="F2448" s="35" t="n">
        <v>2.7</v>
      </c>
      <c r="G2448" s="37" t="inlineStr">
        <is>
          <t>Y</t>
        </is>
      </c>
      <c r="H2448" s="37" t="inlineStr">
        <is>
          <t>N</t>
        </is>
      </c>
      <c r="I2448" s="37">
        <f>COUNTIF(G$5:G2448,"Y")/COUNTA(G$5:G2448)</f>
        <v/>
      </c>
      <c r="J2448" s="37">
        <f>COUNTIF(H$5:H2448,"Y")/COUNTA(H$5:H2448)</f>
        <v/>
      </c>
      <c r="K2448" s="37">
        <f>AVERAGE(F$5:F2448)</f>
        <v/>
      </c>
      <c r="L2448" s="37">
        <f>SUM(F$5:F2448)/SUM(E$5:E2448)</f>
        <v/>
      </c>
    </row>
    <row r="2449">
      <c r="A2449" s="29" t="n">
        <v>46028</v>
      </c>
      <c r="B2449" s="37" t="inlineStr">
        <is>
          <t>JOB-3445</t>
        </is>
      </c>
      <c r="C2449" s="34" t="n">
        <v>1</v>
      </c>
      <c r="D2449" s="37" t="inlineStr">
        <is>
          <t>Tech A</t>
        </is>
      </c>
      <c r="E2449" s="35" t="n">
        <v>1.6</v>
      </c>
      <c r="F2449" s="35" t="n">
        <v>1.4</v>
      </c>
      <c r="G2449" s="37" t="inlineStr">
        <is>
          <t>Y</t>
        </is>
      </c>
      <c r="H2449" s="37" t="inlineStr">
        <is>
          <t>N</t>
        </is>
      </c>
      <c r="I2449" s="37">
        <f>COUNTIF(G$5:G2449,"Y")/COUNTA(G$5:G2449)</f>
        <v/>
      </c>
      <c r="J2449" s="37">
        <f>COUNTIF(H$5:H2449,"Y")/COUNTA(H$5:H2449)</f>
        <v/>
      </c>
      <c r="K2449" s="37">
        <f>AVERAGE(F$5:F2449)</f>
        <v/>
      </c>
      <c r="L2449" s="37">
        <f>SUM(F$5:F2449)/SUM(E$5:E2449)</f>
        <v/>
      </c>
    </row>
    <row r="2450">
      <c r="A2450" s="29" t="n">
        <v>46029</v>
      </c>
      <c r="B2450" s="37" t="inlineStr">
        <is>
          <t>JOB-3446</t>
        </is>
      </c>
      <c r="C2450" s="34" t="n">
        <v>1</v>
      </c>
      <c r="D2450" s="37" t="inlineStr">
        <is>
          <t>Tech A</t>
        </is>
      </c>
      <c r="E2450" s="35" t="n">
        <v>4.6</v>
      </c>
      <c r="F2450" s="35" t="n">
        <v>4.1</v>
      </c>
      <c r="G2450" s="37" t="inlineStr">
        <is>
          <t>Y</t>
        </is>
      </c>
      <c r="H2450" s="37" t="inlineStr">
        <is>
          <t>N</t>
        </is>
      </c>
      <c r="I2450" s="37">
        <f>COUNTIF(G$5:G2450,"Y")/COUNTA(G$5:G2450)</f>
        <v/>
      </c>
      <c r="J2450" s="37">
        <f>COUNTIF(H$5:H2450,"Y")/COUNTA(H$5:H2450)</f>
        <v/>
      </c>
      <c r="K2450" s="37">
        <f>AVERAGE(F$5:F2450)</f>
        <v/>
      </c>
      <c r="L2450" s="37">
        <f>SUM(F$5:F2450)/SUM(E$5:E2450)</f>
        <v/>
      </c>
    </row>
    <row r="2451">
      <c r="A2451" s="29" t="n">
        <v>46030</v>
      </c>
      <c r="B2451" s="37" t="inlineStr">
        <is>
          <t>JOB-3447</t>
        </is>
      </c>
      <c r="C2451" s="34" t="n">
        <v>1</v>
      </c>
      <c r="D2451" s="37" t="inlineStr">
        <is>
          <t>Tech F</t>
        </is>
      </c>
      <c r="E2451" s="35" t="n">
        <v>4</v>
      </c>
      <c r="F2451" s="35" t="n">
        <v>2.9</v>
      </c>
      <c r="G2451" s="37" t="inlineStr">
        <is>
          <t>Y</t>
        </is>
      </c>
      <c r="H2451" s="37" t="inlineStr">
        <is>
          <t>N</t>
        </is>
      </c>
      <c r="I2451" s="37">
        <f>COUNTIF(G$5:G2451,"Y")/COUNTA(G$5:G2451)</f>
        <v/>
      </c>
      <c r="J2451" s="37">
        <f>COUNTIF(H$5:H2451,"Y")/COUNTA(H$5:H2451)</f>
        <v/>
      </c>
      <c r="K2451" s="37">
        <f>AVERAGE(F$5:F2451)</f>
        <v/>
      </c>
      <c r="L2451" s="37">
        <f>SUM(F$5:F2451)/SUM(E$5:E2451)</f>
        <v/>
      </c>
    </row>
    <row r="2452">
      <c r="A2452" s="29" t="n">
        <v>46031</v>
      </c>
      <c r="B2452" s="37" t="inlineStr">
        <is>
          <t>JOB-3448</t>
        </is>
      </c>
      <c r="C2452" s="34" t="n">
        <v>1</v>
      </c>
      <c r="D2452" s="37" t="inlineStr">
        <is>
          <t>Tech C</t>
        </is>
      </c>
      <c r="E2452" s="35" t="n">
        <v>3.7</v>
      </c>
      <c r="F2452" s="35" t="n">
        <v>2.8</v>
      </c>
      <c r="G2452" s="37" t="inlineStr">
        <is>
          <t>Y</t>
        </is>
      </c>
      <c r="H2452" s="37" t="inlineStr">
        <is>
          <t>Y</t>
        </is>
      </c>
      <c r="I2452" s="37">
        <f>COUNTIF(G$5:G2452,"Y")/COUNTA(G$5:G2452)</f>
        <v/>
      </c>
      <c r="J2452" s="37">
        <f>COUNTIF(H$5:H2452,"Y")/COUNTA(H$5:H2452)</f>
        <v/>
      </c>
      <c r="K2452" s="37">
        <f>AVERAGE(F$5:F2452)</f>
        <v/>
      </c>
      <c r="L2452" s="37">
        <f>SUM(F$5:F2452)/SUM(E$5:E2452)</f>
        <v/>
      </c>
    </row>
    <row r="2453">
      <c r="A2453" s="29" t="n">
        <v>46027</v>
      </c>
      <c r="B2453" s="37" t="inlineStr">
        <is>
          <t>JOB-3449</t>
        </is>
      </c>
      <c r="C2453" s="34" t="n">
        <v>1</v>
      </c>
      <c r="D2453" s="37" t="inlineStr">
        <is>
          <t>Tech A</t>
        </is>
      </c>
      <c r="E2453" s="35" t="n">
        <v>4.1</v>
      </c>
      <c r="F2453" s="35" t="n">
        <v>3.7</v>
      </c>
      <c r="G2453" s="37" t="inlineStr">
        <is>
          <t>Y</t>
        </is>
      </c>
      <c r="H2453" s="37" t="inlineStr">
        <is>
          <t>N</t>
        </is>
      </c>
      <c r="I2453" s="37">
        <f>COUNTIF(G$5:G2453,"Y")/COUNTA(G$5:G2453)</f>
        <v/>
      </c>
      <c r="J2453" s="37">
        <f>COUNTIF(H$5:H2453,"Y")/COUNTA(H$5:H2453)</f>
        <v/>
      </c>
      <c r="K2453" s="37">
        <f>AVERAGE(F$5:F2453)</f>
        <v/>
      </c>
      <c r="L2453" s="37">
        <f>SUM(F$5:F2453)/SUM(E$5:E2453)</f>
        <v/>
      </c>
    </row>
    <row r="2454">
      <c r="A2454" s="29" t="n">
        <v>46028</v>
      </c>
      <c r="B2454" s="37" t="inlineStr">
        <is>
          <t>JOB-3450</t>
        </is>
      </c>
      <c r="C2454" s="34" t="n">
        <v>1</v>
      </c>
      <c r="D2454" s="37" t="inlineStr">
        <is>
          <t>Tech A</t>
        </is>
      </c>
      <c r="E2454" s="35" t="n">
        <v>3.7</v>
      </c>
      <c r="F2454" s="35" t="n">
        <v>2.9</v>
      </c>
      <c r="G2454" s="37" t="inlineStr">
        <is>
          <t>Y</t>
        </is>
      </c>
      <c r="H2454" s="37" t="inlineStr">
        <is>
          <t>N</t>
        </is>
      </c>
      <c r="I2454" s="37">
        <f>COUNTIF(G$5:G2454,"Y")/COUNTA(G$5:G2454)</f>
        <v/>
      </c>
      <c r="J2454" s="37">
        <f>COUNTIF(H$5:H2454,"Y")/COUNTA(H$5:H2454)</f>
        <v/>
      </c>
      <c r="K2454" s="37">
        <f>AVERAGE(F$5:F2454)</f>
        <v/>
      </c>
      <c r="L2454" s="37">
        <f>SUM(F$5:F2454)/SUM(E$5:E2454)</f>
        <v/>
      </c>
    </row>
    <row r="2455">
      <c r="A2455" s="29" t="n">
        <v>46029</v>
      </c>
      <c r="B2455" s="37" t="inlineStr">
        <is>
          <t>JOB-3451</t>
        </is>
      </c>
      <c r="C2455" s="34" t="n">
        <v>1</v>
      </c>
      <c r="D2455" s="37" t="inlineStr">
        <is>
          <t>Tech G</t>
        </is>
      </c>
      <c r="E2455" s="35" t="n">
        <v>4.4</v>
      </c>
      <c r="F2455" s="35" t="n">
        <v>3.3</v>
      </c>
      <c r="G2455" s="37" t="inlineStr">
        <is>
          <t>Y</t>
        </is>
      </c>
      <c r="H2455" s="37" t="inlineStr">
        <is>
          <t>N</t>
        </is>
      </c>
      <c r="I2455" s="37">
        <f>COUNTIF(G$5:G2455,"Y")/COUNTA(G$5:G2455)</f>
        <v/>
      </c>
      <c r="J2455" s="37">
        <f>COUNTIF(H$5:H2455,"Y")/COUNTA(H$5:H2455)</f>
        <v/>
      </c>
      <c r="K2455" s="37">
        <f>AVERAGE(F$5:F2455)</f>
        <v/>
      </c>
      <c r="L2455" s="37">
        <f>SUM(F$5:F2455)/SUM(E$5:E2455)</f>
        <v/>
      </c>
    </row>
    <row r="2456">
      <c r="A2456" s="29" t="n">
        <v>46030</v>
      </c>
      <c r="B2456" s="37" t="inlineStr">
        <is>
          <t>JOB-3452</t>
        </is>
      </c>
      <c r="C2456" s="34" t="n">
        <v>1</v>
      </c>
      <c r="D2456" s="37" t="inlineStr">
        <is>
          <t>Tech H</t>
        </is>
      </c>
      <c r="E2456" s="35" t="n">
        <v>3.5</v>
      </c>
      <c r="F2456" s="35" t="n">
        <v>2.7</v>
      </c>
      <c r="G2456" s="37" t="inlineStr">
        <is>
          <t>Y</t>
        </is>
      </c>
      <c r="H2456" s="37" t="inlineStr">
        <is>
          <t>N</t>
        </is>
      </c>
      <c r="I2456" s="37">
        <f>COUNTIF(G$5:G2456,"Y")/COUNTA(G$5:G2456)</f>
        <v/>
      </c>
      <c r="J2456" s="37">
        <f>COUNTIF(H$5:H2456,"Y")/COUNTA(H$5:H2456)</f>
        <v/>
      </c>
      <c r="K2456" s="37">
        <f>AVERAGE(F$5:F2456)</f>
        <v/>
      </c>
      <c r="L2456" s="37">
        <f>SUM(F$5:F2456)/SUM(E$5:E2456)</f>
        <v/>
      </c>
    </row>
    <row r="2457">
      <c r="A2457" s="29" t="n">
        <v>46031</v>
      </c>
      <c r="B2457" s="37" t="inlineStr">
        <is>
          <t>JOB-3453</t>
        </is>
      </c>
      <c r="C2457" s="34" t="n">
        <v>1</v>
      </c>
      <c r="D2457" s="37" t="inlineStr">
        <is>
          <t>Tech A</t>
        </is>
      </c>
      <c r="E2457" s="35" t="n">
        <v>4.5</v>
      </c>
      <c r="F2457" s="35" t="n">
        <v>4</v>
      </c>
      <c r="G2457" s="37" t="inlineStr">
        <is>
          <t>Y</t>
        </is>
      </c>
      <c r="H2457" s="37" t="inlineStr">
        <is>
          <t>Y</t>
        </is>
      </c>
      <c r="I2457" s="37">
        <f>COUNTIF(G$5:G2457,"Y")/COUNTA(G$5:G2457)</f>
        <v/>
      </c>
      <c r="J2457" s="37">
        <f>COUNTIF(H$5:H2457,"Y")/COUNTA(H$5:H2457)</f>
        <v/>
      </c>
      <c r="K2457" s="37">
        <f>AVERAGE(F$5:F2457)</f>
        <v/>
      </c>
      <c r="L2457" s="37">
        <f>SUM(F$5:F2457)/SUM(E$5:E2457)</f>
        <v/>
      </c>
    </row>
    <row r="2458">
      <c r="A2458" s="29" t="n">
        <v>46027</v>
      </c>
      <c r="B2458" s="37" t="inlineStr">
        <is>
          <t>JOB-3454</t>
        </is>
      </c>
      <c r="C2458" s="34" t="n">
        <v>1</v>
      </c>
      <c r="D2458" s="37" t="inlineStr">
        <is>
          <t>Tech D</t>
        </is>
      </c>
      <c r="E2458" s="35" t="n">
        <v>5</v>
      </c>
      <c r="F2458" s="35" t="n">
        <v>3.8</v>
      </c>
      <c r="G2458" s="37" t="inlineStr">
        <is>
          <t>Y</t>
        </is>
      </c>
      <c r="H2458" s="37" t="inlineStr">
        <is>
          <t>N</t>
        </is>
      </c>
      <c r="I2458" s="37">
        <f>COUNTIF(G$5:G2458,"Y")/COUNTA(G$5:G2458)</f>
        <v/>
      </c>
      <c r="J2458" s="37">
        <f>COUNTIF(H$5:H2458,"Y")/COUNTA(H$5:H2458)</f>
        <v/>
      </c>
      <c r="K2458" s="37">
        <f>AVERAGE(F$5:F2458)</f>
        <v/>
      </c>
      <c r="L2458" s="37">
        <f>SUM(F$5:F2458)/SUM(E$5:E2458)</f>
        <v/>
      </c>
    </row>
    <row r="2459">
      <c r="A2459" s="29" t="n">
        <v>46028</v>
      </c>
      <c r="B2459" s="37" t="inlineStr">
        <is>
          <t>JOB-3455</t>
        </is>
      </c>
      <c r="C2459" s="34" t="n">
        <v>1</v>
      </c>
      <c r="D2459" s="37" t="inlineStr">
        <is>
          <t>Tech G</t>
        </is>
      </c>
      <c r="E2459" s="35" t="n">
        <v>2.1</v>
      </c>
      <c r="F2459" s="35" t="n">
        <v>1.6</v>
      </c>
      <c r="G2459" s="37" t="inlineStr">
        <is>
          <t>Y</t>
        </is>
      </c>
      <c r="H2459" s="37" t="inlineStr">
        <is>
          <t>N</t>
        </is>
      </c>
      <c r="I2459" s="37">
        <f>COUNTIF(G$5:G2459,"Y")/COUNTA(G$5:G2459)</f>
        <v/>
      </c>
      <c r="J2459" s="37">
        <f>COUNTIF(H$5:H2459,"Y")/COUNTA(H$5:H2459)</f>
        <v/>
      </c>
      <c r="K2459" s="37">
        <f>AVERAGE(F$5:F2459)</f>
        <v/>
      </c>
      <c r="L2459" s="37">
        <f>SUM(F$5:F2459)/SUM(E$5:E2459)</f>
        <v/>
      </c>
    </row>
    <row r="2460">
      <c r="A2460" s="29" t="n">
        <v>46029</v>
      </c>
      <c r="B2460" s="37" t="inlineStr">
        <is>
          <t>JOB-3456</t>
        </is>
      </c>
      <c r="C2460" s="34" t="n">
        <v>1</v>
      </c>
      <c r="D2460" s="37" t="inlineStr">
        <is>
          <t>Tech C</t>
        </is>
      </c>
      <c r="E2460" s="35" t="n">
        <v>4.7</v>
      </c>
      <c r="F2460" s="35" t="n">
        <v>3.3</v>
      </c>
      <c r="G2460" s="37" t="inlineStr">
        <is>
          <t>Y</t>
        </is>
      </c>
      <c r="H2460" s="37" t="inlineStr">
        <is>
          <t>N</t>
        </is>
      </c>
      <c r="I2460" s="37">
        <f>COUNTIF(G$5:G2460,"Y")/COUNTA(G$5:G2460)</f>
        <v/>
      </c>
      <c r="J2460" s="37">
        <f>COUNTIF(H$5:H2460,"Y")/COUNTA(H$5:H2460)</f>
        <v/>
      </c>
      <c r="K2460" s="37">
        <f>AVERAGE(F$5:F2460)</f>
        <v/>
      </c>
      <c r="L2460" s="37">
        <f>SUM(F$5:F2460)/SUM(E$5:E2460)</f>
        <v/>
      </c>
    </row>
    <row r="2461">
      <c r="A2461" s="29" t="n">
        <v>46030</v>
      </c>
      <c r="B2461" s="37" t="inlineStr">
        <is>
          <t>JOB-3457</t>
        </is>
      </c>
      <c r="C2461" s="34" t="n">
        <v>1</v>
      </c>
      <c r="D2461" s="37" t="inlineStr">
        <is>
          <t>Tech F</t>
        </is>
      </c>
      <c r="E2461" s="35" t="n">
        <v>4.7</v>
      </c>
      <c r="F2461" s="35" t="n">
        <v>3.6</v>
      </c>
      <c r="G2461" s="37" t="inlineStr">
        <is>
          <t>Y</t>
        </is>
      </c>
      <c r="H2461" s="37" t="inlineStr">
        <is>
          <t>N</t>
        </is>
      </c>
      <c r="I2461" s="37">
        <f>COUNTIF(G$5:G2461,"Y")/COUNTA(G$5:G2461)</f>
        <v/>
      </c>
      <c r="J2461" s="37">
        <f>COUNTIF(H$5:H2461,"Y")/COUNTA(H$5:H2461)</f>
        <v/>
      </c>
      <c r="K2461" s="37">
        <f>AVERAGE(F$5:F2461)</f>
        <v/>
      </c>
      <c r="L2461" s="37">
        <f>SUM(F$5:F2461)/SUM(E$5:E2461)</f>
        <v/>
      </c>
    </row>
    <row r="2462">
      <c r="A2462" s="29" t="n">
        <v>46031</v>
      </c>
      <c r="B2462" s="37" t="inlineStr">
        <is>
          <t>JOB-3458</t>
        </is>
      </c>
      <c r="C2462" s="34" t="n">
        <v>1</v>
      </c>
      <c r="D2462" s="37" t="inlineStr">
        <is>
          <t>Tech H</t>
        </is>
      </c>
      <c r="E2462" s="35" t="n">
        <v>2</v>
      </c>
      <c r="F2462" s="35" t="n">
        <v>1.8</v>
      </c>
      <c r="G2462" s="37" t="inlineStr">
        <is>
          <t>Y</t>
        </is>
      </c>
      <c r="H2462" s="37" t="inlineStr">
        <is>
          <t>N</t>
        </is>
      </c>
      <c r="I2462" s="37">
        <f>COUNTIF(G$5:G2462,"Y")/COUNTA(G$5:G2462)</f>
        <v/>
      </c>
      <c r="J2462" s="37">
        <f>COUNTIF(H$5:H2462,"Y")/COUNTA(H$5:H2462)</f>
        <v/>
      </c>
      <c r="K2462" s="37">
        <f>AVERAGE(F$5:F2462)</f>
        <v/>
      </c>
      <c r="L2462" s="37">
        <f>SUM(F$5:F2462)/SUM(E$5:E2462)</f>
        <v/>
      </c>
    </row>
    <row r="2463">
      <c r="A2463" s="29" t="n">
        <v>46027</v>
      </c>
      <c r="B2463" s="37" t="inlineStr">
        <is>
          <t>JOB-3459</t>
        </is>
      </c>
      <c r="C2463" s="34" t="n">
        <v>1</v>
      </c>
      <c r="D2463" s="37" t="inlineStr">
        <is>
          <t>Tech G</t>
        </is>
      </c>
      <c r="E2463" s="35" t="n">
        <v>2.3</v>
      </c>
      <c r="F2463" s="35" t="n">
        <v>1.6</v>
      </c>
      <c r="G2463" s="37" t="inlineStr">
        <is>
          <t>Y</t>
        </is>
      </c>
      <c r="H2463" s="37" t="inlineStr">
        <is>
          <t>N</t>
        </is>
      </c>
      <c r="I2463" s="37">
        <f>COUNTIF(G$5:G2463,"Y")/COUNTA(G$5:G2463)</f>
        <v/>
      </c>
      <c r="J2463" s="37">
        <f>COUNTIF(H$5:H2463,"Y")/COUNTA(H$5:H2463)</f>
        <v/>
      </c>
      <c r="K2463" s="37">
        <f>AVERAGE(F$5:F2463)</f>
        <v/>
      </c>
      <c r="L2463" s="37">
        <f>SUM(F$5:F2463)/SUM(E$5:E2463)</f>
        <v/>
      </c>
    </row>
    <row r="2464">
      <c r="A2464" s="29" t="n">
        <v>46028</v>
      </c>
      <c r="B2464" s="37" t="inlineStr">
        <is>
          <t>JOB-3460</t>
        </is>
      </c>
      <c r="C2464" s="34" t="n">
        <v>1</v>
      </c>
      <c r="D2464" s="37" t="inlineStr">
        <is>
          <t>Tech A</t>
        </is>
      </c>
      <c r="E2464" s="35" t="n">
        <v>3.2</v>
      </c>
      <c r="F2464" s="35" t="n">
        <v>2.7</v>
      </c>
      <c r="G2464" s="37" t="inlineStr">
        <is>
          <t>Y</t>
        </is>
      </c>
      <c r="H2464" s="37" t="inlineStr">
        <is>
          <t>N</t>
        </is>
      </c>
      <c r="I2464" s="37">
        <f>COUNTIF(G$5:G2464,"Y")/COUNTA(G$5:G2464)</f>
        <v/>
      </c>
      <c r="J2464" s="37">
        <f>COUNTIF(H$5:H2464,"Y")/COUNTA(H$5:H2464)</f>
        <v/>
      </c>
      <c r="K2464" s="37">
        <f>AVERAGE(F$5:F2464)</f>
        <v/>
      </c>
      <c r="L2464" s="37">
        <f>SUM(F$5:F2464)/SUM(E$5:E2464)</f>
        <v/>
      </c>
    </row>
    <row r="2465">
      <c r="A2465" s="29" t="n">
        <v>46029</v>
      </c>
      <c r="B2465" s="37" t="inlineStr">
        <is>
          <t>JOB-3461</t>
        </is>
      </c>
      <c r="C2465" s="34" t="n">
        <v>1</v>
      </c>
      <c r="D2465" s="37" t="inlineStr">
        <is>
          <t>Tech B</t>
        </is>
      </c>
      <c r="E2465" s="35" t="n">
        <v>1.6</v>
      </c>
      <c r="F2465" s="35" t="n">
        <v>1.5</v>
      </c>
      <c r="G2465" s="37" t="inlineStr">
        <is>
          <t>Y</t>
        </is>
      </c>
      <c r="H2465" s="37" t="inlineStr">
        <is>
          <t>N</t>
        </is>
      </c>
      <c r="I2465" s="37">
        <f>COUNTIF(G$5:G2465,"Y")/COUNTA(G$5:G2465)</f>
        <v/>
      </c>
      <c r="J2465" s="37">
        <f>COUNTIF(H$5:H2465,"Y")/COUNTA(H$5:H2465)</f>
        <v/>
      </c>
      <c r="K2465" s="37">
        <f>AVERAGE(F$5:F2465)</f>
        <v/>
      </c>
      <c r="L2465" s="37">
        <f>SUM(F$5:F2465)/SUM(E$5:E2465)</f>
        <v/>
      </c>
    </row>
    <row r="2466">
      <c r="A2466" s="29" t="n">
        <v>46030</v>
      </c>
      <c r="B2466" s="37" t="inlineStr">
        <is>
          <t>JOB-3462</t>
        </is>
      </c>
      <c r="C2466" s="34" t="n">
        <v>1</v>
      </c>
      <c r="D2466" s="37" t="inlineStr">
        <is>
          <t>Tech C</t>
        </is>
      </c>
      <c r="E2466" s="35" t="n">
        <v>3.3</v>
      </c>
      <c r="F2466" s="35" t="n">
        <v>2.7</v>
      </c>
      <c r="G2466" s="37" t="inlineStr">
        <is>
          <t>Y</t>
        </is>
      </c>
      <c r="H2466" s="37" t="inlineStr">
        <is>
          <t>N</t>
        </is>
      </c>
      <c r="I2466" s="37">
        <f>COUNTIF(G$5:G2466,"Y")/COUNTA(G$5:G2466)</f>
        <v/>
      </c>
      <c r="J2466" s="37">
        <f>COUNTIF(H$5:H2466,"Y")/COUNTA(H$5:H2466)</f>
        <v/>
      </c>
      <c r="K2466" s="37">
        <f>AVERAGE(F$5:F2466)</f>
        <v/>
      </c>
      <c r="L2466" s="37">
        <f>SUM(F$5:F2466)/SUM(E$5:E2466)</f>
        <v/>
      </c>
    </row>
    <row r="2467">
      <c r="A2467" s="29" t="n">
        <v>46031</v>
      </c>
      <c r="B2467" s="37" t="inlineStr">
        <is>
          <t>JOB-3463</t>
        </is>
      </c>
      <c r="C2467" s="34" t="n">
        <v>1</v>
      </c>
      <c r="D2467" s="37" t="inlineStr">
        <is>
          <t>Tech A</t>
        </is>
      </c>
      <c r="E2467" s="35" t="n">
        <v>4.6</v>
      </c>
      <c r="F2467" s="35" t="n">
        <v>3.9</v>
      </c>
      <c r="G2467" s="37" t="inlineStr">
        <is>
          <t>Y</t>
        </is>
      </c>
      <c r="H2467" s="37" t="inlineStr">
        <is>
          <t>N</t>
        </is>
      </c>
      <c r="I2467" s="37">
        <f>COUNTIF(G$5:G2467,"Y")/COUNTA(G$5:G2467)</f>
        <v/>
      </c>
      <c r="J2467" s="37">
        <f>COUNTIF(H$5:H2467,"Y")/COUNTA(H$5:H2467)</f>
        <v/>
      </c>
      <c r="K2467" s="37">
        <f>AVERAGE(F$5:F2467)</f>
        <v/>
      </c>
      <c r="L2467" s="37">
        <f>SUM(F$5:F2467)/SUM(E$5:E2467)</f>
        <v/>
      </c>
    </row>
    <row r="2468">
      <c r="A2468" s="29" t="n">
        <v>46027</v>
      </c>
      <c r="B2468" s="37" t="inlineStr">
        <is>
          <t>JOB-3464</t>
        </is>
      </c>
      <c r="C2468" s="34" t="n">
        <v>1</v>
      </c>
      <c r="D2468" s="37" t="inlineStr">
        <is>
          <t>Tech H</t>
        </is>
      </c>
      <c r="E2468" s="35" t="n">
        <v>3</v>
      </c>
      <c r="F2468" s="35" t="n">
        <v>2.6</v>
      </c>
      <c r="G2468" s="37" t="inlineStr">
        <is>
          <t>Y</t>
        </is>
      </c>
      <c r="H2468" s="37" t="inlineStr">
        <is>
          <t>N</t>
        </is>
      </c>
      <c r="I2468" s="37">
        <f>COUNTIF(G$5:G2468,"Y")/COUNTA(G$5:G2468)</f>
        <v/>
      </c>
      <c r="J2468" s="37">
        <f>COUNTIF(H$5:H2468,"Y")/COUNTA(H$5:H2468)</f>
        <v/>
      </c>
      <c r="K2468" s="37">
        <f>AVERAGE(F$5:F2468)</f>
        <v/>
      </c>
      <c r="L2468" s="37">
        <f>SUM(F$5:F2468)/SUM(E$5:E2468)</f>
        <v/>
      </c>
    </row>
    <row r="2469">
      <c r="A2469" s="29" t="n">
        <v>46028</v>
      </c>
      <c r="B2469" s="37" t="inlineStr">
        <is>
          <t>JOB-3465</t>
        </is>
      </c>
      <c r="C2469" s="34" t="n">
        <v>1</v>
      </c>
      <c r="D2469" s="37" t="inlineStr">
        <is>
          <t>Tech D</t>
        </is>
      </c>
      <c r="E2469" s="35" t="n">
        <v>2.7</v>
      </c>
      <c r="F2469" s="35" t="n">
        <v>1.9</v>
      </c>
      <c r="G2469" s="37" t="inlineStr">
        <is>
          <t>N</t>
        </is>
      </c>
      <c r="H2469" s="37" t="inlineStr">
        <is>
          <t>N</t>
        </is>
      </c>
      <c r="I2469" s="37">
        <f>COUNTIF(G$5:G2469,"Y")/COUNTA(G$5:G2469)</f>
        <v/>
      </c>
      <c r="J2469" s="37">
        <f>COUNTIF(H$5:H2469,"Y")/COUNTA(H$5:H2469)</f>
        <v/>
      </c>
      <c r="K2469" s="37">
        <f>AVERAGE(F$5:F2469)</f>
        <v/>
      </c>
      <c r="L2469" s="37">
        <f>SUM(F$5:F2469)/SUM(E$5:E2469)</f>
        <v/>
      </c>
    </row>
    <row r="2470">
      <c r="A2470" s="29" t="n">
        <v>46029</v>
      </c>
      <c r="B2470" s="37" t="inlineStr">
        <is>
          <t>JOB-3466</t>
        </is>
      </c>
      <c r="C2470" s="34" t="n">
        <v>1</v>
      </c>
      <c r="D2470" s="37" t="inlineStr">
        <is>
          <t>Tech D</t>
        </is>
      </c>
      <c r="E2470" s="35" t="n">
        <v>2.5</v>
      </c>
      <c r="F2470" s="35" t="n">
        <v>1.9</v>
      </c>
      <c r="G2470" s="37" t="inlineStr">
        <is>
          <t>Y</t>
        </is>
      </c>
      <c r="H2470" s="37" t="inlineStr">
        <is>
          <t>N</t>
        </is>
      </c>
      <c r="I2470" s="37">
        <f>COUNTIF(G$5:G2470,"Y")/COUNTA(G$5:G2470)</f>
        <v/>
      </c>
      <c r="J2470" s="37">
        <f>COUNTIF(H$5:H2470,"Y")/COUNTA(H$5:H2470)</f>
        <v/>
      </c>
      <c r="K2470" s="37">
        <f>AVERAGE(F$5:F2470)</f>
        <v/>
      </c>
      <c r="L2470" s="37">
        <f>SUM(F$5:F2470)/SUM(E$5:E2470)</f>
        <v/>
      </c>
    </row>
    <row r="2471">
      <c r="A2471" s="29" t="n">
        <v>46030</v>
      </c>
      <c r="B2471" s="37" t="inlineStr">
        <is>
          <t>JOB-3467</t>
        </is>
      </c>
      <c r="C2471" s="34" t="n">
        <v>1</v>
      </c>
      <c r="D2471" s="37" t="inlineStr">
        <is>
          <t>Tech B</t>
        </is>
      </c>
      <c r="E2471" s="35" t="n">
        <v>3.3</v>
      </c>
      <c r="F2471" s="35" t="n">
        <v>2.5</v>
      </c>
      <c r="G2471" s="37" t="inlineStr">
        <is>
          <t>N</t>
        </is>
      </c>
      <c r="H2471" s="37" t="inlineStr">
        <is>
          <t>N</t>
        </is>
      </c>
      <c r="I2471" s="37">
        <f>COUNTIF(G$5:G2471,"Y")/COUNTA(G$5:G2471)</f>
        <v/>
      </c>
      <c r="J2471" s="37">
        <f>COUNTIF(H$5:H2471,"Y")/COUNTA(H$5:H2471)</f>
        <v/>
      </c>
      <c r="K2471" s="37">
        <f>AVERAGE(F$5:F2471)</f>
        <v/>
      </c>
      <c r="L2471" s="37">
        <f>SUM(F$5:F2471)/SUM(E$5:E2471)</f>
        <v/>
      </c>
    </row>
    <row r="2472">
      <c r="A2472" s="29" t="n">
        <v>46031</v>
      </c>
      <c r="B2472" s="37" t="inlineStr">
        <is>
          <t>JOB-3468</t>
        </is>
      </c>
      <c r="C2472" s="34" t="n">
        <v>1</v>
      </c>
      <c r="D2472" s="37" t="inlineStr">
        <is>
          <t>Tech H</t>
        </is>
      </c>
      <c r="E2472" s="35" t="n">
        <v>1.7</v>
      </c>
      <c r="F2472" s="35" t="n">
        <v>1.5</v>
      </c>
      <c r="G2472" s="37" t="inlineStr">
        <is>
          <t>N</t>
        </is>
      </c>
      <c r="H2472" s="37" t="inlineStr">
        <is>
          <t>N</t>
        </is>
      </c>
      <c r="I2472" s="37">
        <f>COUNTIF(G$5:G2472,"Y")/COUNTA(G$5:G2472)</f>
        <v/>
      </c>
      <c r="J2472" s="37">
        <f>COUNTIF(H$5:H2472,"Y")/COUNTA(H$5:H2472)</f>
        <v/>
      </c>
      <c r="K2472" s="37">
        <f>AVERAGE(F$5:F2472)</f>
        <v/>
      </c>
      <c r="L2472" s="37">
        <f>SUM(F$5:F2472)/SUM(E$5:E2472)</f>
        <v/>
      </c>
    </row>
    <row r="2473">
      <c r="A2473" s="29" t="n">
        <v>46027</v>
      </c>
      <c r="B2473" s="37" t="inlineStr">
        <is>
          <t>JOB-3469</t>
        </is>
      </c>
      <c r="C2473" s="34" t="n">
        <v>1</v>
      </c>
      <c r="D2473" s="37" t="inlineStr">
        <is>
          <t>Tech F</t>
        </is>
      </c>
      <c r="E2473" s="35" t="n">
        <v>1.4</v>
      </c>
      <c r="F2473" s="35" t="n">
        <v>1.2</v>
      </c>
      <c r="G2473" s="37" t="inlineStr">
        <is>
          <t>N</t>
        </is>
      </c>
      <c r="H2473" s="37" t="inlineStr">
        <is>
          <t>N</t>
        </is>
      </c>
      <c r="I2473" s="37">
        <f>COUNTIF(G$5:G2473,"Y")/COUNTA(G$5:G2473)</f>
        <v/>
      </c>
      <c r="J2473" s="37">
        <f>COUNTIF(H$5:H2473,"Y")/COUNTA(H$5:H2473)</f>
        <v/>
      </c>
      <c r="K2473" s="37">
        <f>AVERAGE(F$5:F2473)</f>
        <v/>
      </c>
      <c r="L2473" s="37">
        <f>SUM(F$5:F2473)/SUM(E$5:E2473)</f>
        <v/>
      </c>
    </row>
    <row r="2474">
      <c r="A2474" s="29" t="n">
        <v>46028</v>
      </c>
      <c r="B2474" s="37" t="inlineStr">
        <is>
          <t>JOB-3470</t>
        </is>
      </c>
      <c r="C2474" s="34" t="n">
        <v>1</v>
      </c>
      <c r="D2474" s="37" t="inlineStr">
        <is>
          <t>Tech F</t>
        </is>
      </c>
      <c r="E2474" s="35" t="n">
        <v>4</v>
      </c>
      <c r="F2474" s="35" t="n">
        <v>3.4</v>
      </c>
      <c r="G2474" s="37" t="inlineStr">
        <is>
          <t>Y</t>
        </is>
      </c>
      <c r="H2474" s="37" t="inlineStr">
        <is>
          <t>N</t>
        </is>
      </c>
      <c r="I2474" s="37">
        <f>COUNTIF(G$5:G2474,"Y")/COUNTA(G$5:G2474)</f>
        <v/>
      </c>
      <c r="J2474" s="37">
        <f>COUNTIF(H$5:H2474,"Y")/COUNTA(H$5:H2474)</f>
        <v/>
      </c>
      <c r="K2474" s="37">
        <f>AVERAGE(F$5:F2474)</f>
        <v/>
      </c>
      <c r="L2474" s="37">
        <f>SUM(F$5:F2474)/SUM(E$5:E2474)</f>
        <v/>
      </c>
    </row>
    <row r="2475">
      <c r="A2475" s="29" t="n">
        <v>46029</v>
      </c>
      <c r="B2475" s="37" t="inlineStr">
        <is>
          <t>JOB-3471</t>
        </is>
      </c>
      <c r="C2475" s="34" t="n">
        <v>1</v>
      </c>
      <c r="D2475" s="37" t="inlineStr">
        <is>
          <t>Tech B</t>
        </is>
      </c>
      <c r="E2475" s="35" t="n">
        <v>3.6</v>
      </c>
      <c r="F2475" s="35" t="n">
        <v>2.7</v>
      </c>
      <c r="G2475" s="37" t="inlineStr">
        <is>
          <t>Y</t>
        </is>
      </c>
      <c r="H2475" s="37" t="inlineStr">
        <is>
          <t>N</t>
        </is>
      </c>
      <c r="I2475" s="37">
        <f>COUNTIF(G$5:G2475,"Y")/COUNTA(G$5:G2475)</f>
        <v/>
      </c>
      <c r="J2475" s="37">
        <f>COUNTIF(H$5:H2475,"Y")/COUNTA(H$5:H2475)</f>
        <v/>
      </c>
      <c r="K2475" s="37">
        <f>AVERAGE(F$5:F2475)</f>
        <v/>
      </c>
      <c r="L2475" s="37">
        <f>SUM(F$5:F2475)/SUM(E$5:E2475)</f>
        <v/>
      </c>
    </row>
    <row r="2476">
      <c r="A2476" s="29" t="n">
        <v>46030</v>
      </c>
      <c r="B2476" s="37" t="inlineStr">
        <is>
          <t>JOB-3472</t>
        </is>
      </c>
      <c r="C2476" s="34" t="n">
        <v>1</v>
      </c>
      <c r="D2476" s="37" t="inlineStr">
        <is>
          <t>Tech B</t>
        </is>
      </c>
      <c r="E2476" s="35" t="n">
        <v>1.4</v>
      </c>
      <c r="F2476" s="35" t="n">
        <v>1.1</v>
      </c>
      <c r="G2476" s="37" t="inlineStr">
        <is>
          <t>Y</t>
        </is>
      </c>
      <c r="H2476" s="37" t="inlineStr">
        <is>
          <t>N</t>
        </is>
      </c>
      <c r="I2476" s="37">
        <f>COUNTIF(G$5:G2476,"Y")/COUNTA(G$5:G2476)</f>
        <v/>
      </c>
      <c r="J2476" s="37">
        <f>COUNTIF(H$5:H2476,"Y")/COUNTA(H$5:H2476)</f>
        <v/>
      </c>
      <c r="K2476" s="37">
        <f>AVERAGE(F$5:F2476)</f>
        <v/>
      </c>
      <c r="L2476" s="37">
        <f>SUM(F$5:F2476)/SUM(E$5:E2476)</f>
        <v/>
      </c>
    </row>
    <row r="2477">
      <c r="A2477" s="29" t="n">
        <v>46031</v>
      </c>
      <c r="B2477" s="37" t="inlineStr">
        <is>
          <t>JOB-3473</t>
        </is>
      </c>
      <c r="C2477" s="34" t="n">
        <v>1</v>
      </c>
      <c r="D2477" s="37" t="inlineStr">
        <is>
          <t>Tech C</t>
        </is>
      </c>
      <c r="E2477" s="35" t="n">
        <v>0.6</v>
      </c>
      <c r="F2477" s="35" t="n">
        <v>0.5</v>
      </c>
      <c r="G2477" s="37" t="inlineStr">
        <is>
          <t>Y</t>
        </is>
      </c>
      <c r="H2477" s="37" t="inlineStr">
        <is>
          <t>N</t>
        </is>
      </c>
      <c r="I2477" s="37">
        <f>COUNTIF(G$5:G2477,"Y")/COUNTA(G$5:G2477)</f>
        <v/>
      </c>
      <c r="J2477" s="37">
        <f>COUNTIF(H$5:H2477,"Y")/COUNTA(H$5:H2477)</f>
        <v/>
      </c>
      <c r="K2477" s="37">
        <f>AVERAGE(F$5:F2477)</f>
        <v/>
      </c>
      <c r="L2477" s="37">
        <f>SUM(F$5:F2477)/SUM(E$5:E2477)</f>
        <v/>
      </c>
    </row>
    <row r="2478">
      <c r="A2478" s="29" t="n">
        <v>46027</v>
      </c>
      <c r="B2478" s="37" t="inlineStr">
        <is>
          <t>JOB-3474</t>
        </is>
      </c>
      <c r="C2478" s="34" t="n">
        <v>1</v>
      </c>
      <c r="D2478" s="37" t="inlineStr">
        <is>
          <t>Tech D</t>
        </is>
      </c>
      <c r="E2478" s="35" t="n">
        <v>0.6</v>
      </c>
      <c r="F2478" s="35" t="n">
        <v>0.5</v>
      </c>
      <c r="G2478" s="37" t="inlineStr">
        <is>
          <t>Y</t>
        </is>
      </c>
      <c r="H2478" s="37" t="inlineStr">
        <is>
          <t>N</t>
        </is>
      </c>
      <c r="I2478" s="37">
        <f>COUNTIF(G$5:G2478,"Y")/COUNTA(G$5:G2478)</f>
        <v/>
      </c>
      <c r="J2478" s="37">
        <f>COUNTIF(H$5:H2478,"Y")/COUNTA(H$5:H2478)</f>
        <v/>
      </c>
      <c r="K2478" s="37">
        <f>AVERAGE(F$5:F2478)</f>
        <v/>
      </c>
      <c r="L2478" s="37">
        <f>SUM(F$5:F2478)/SUM(E$5:E2478)</f>
        <v/>
      </c>
    </row>
    <row r="2479">
      <c r="A2479" s="29" t="n">
        <v>46028</v>
      </c>
      <c r="B2479" s="37" t="inlineStr">
        <is>
          <t>JOB-3475</t>
        </is>
      </c>
      <c r="C2479" s="34" t="n">
        <v>1</v>
      </c>
      <c r="D2479" s="37" t="inlineStr">
        <is>
          <t>Tech D</t>
        </is>
      </c>
      <c r="E2479" s="35" t="n">
        <v>0.6</v>
      </c>
      <c r="F2479" s="35" t="n">
        <v>0.5</v>
      </c>
      <c r="G2479" s="37" t="inlineStr">
        <is>
          <t>Y</t>
        </is>
      </c>
      <c r="H2479" s="37" t="inlineStr">
        <is>
          <t>N</t>
        </is>
      </c>
      <c r="I2479" s="37">
        <f>COUNTIF(G$5:G2479,"Y")/COUNTA(G$5:G2479)</f>
        <v/>
      </c>
      <c r="J2479" s="37">
        <f>COUNTIF(H$5:H2479,"Y")/COUNTA(H$5:H2479)</f>
        <v/>
      </c>
      <c r="K2479" s="37">
        <f>AVERAGE(F$5:F2479)</f>
        <v/>
      </c>
      <c r="L2479" s="37">
        <f>SUM(F$5:F2479)/SUM(E$5:E2479)</f>
        <v/>
      </c>
    </row>
    <row r="2480">
      <c r="A2480" s="29" t="n">
        <v>46029</v>
      </c>
      <c r="B2480" s="37" t="inlineStr">
        <is>
          <t>JOB-3476</t>
        </is>
      </c>
      <c r="C2480" s="34" t="n">
        <v>1</v>
      </c>
      <c r="D2480" s="37" t="inlineStr">
        <is>
          <t>Tech H</t>
        </is>
      </c>
      <c r="E2480" s="35" t="n">
        <v>0.5</v>
      </c>
      <c r="F2480" s="35" t="n">
        <v>0.5</v>
      </c>
      <c r="G2480" s="37" t="inlineStr">
        <is>
          <t>Y</t>
        </is>
      </c>
      <c r="H2480" s="37" t="inlineStr">
        <is>
          <t>N</t>
        </is>
      </c>
      <c r="I2480" s="37">
        <f>COUNTIF(G$5:G2480,"Y")/COUNTA(G$5:G2480)</f>
        <v/>
      </c>
      <c r="J2480" s="37">
        <f>COUNTIF(H$5:H2480,"Y")/COUNTA(H$5:H2480)</f>
        <v/>
      </c>
      <c r="K2480" s="37">
        <f>AVERAGE(F$5:F2480)</f>
        <v/>
      </c>
      <c r="L2480" s="37">
        <f>SUM(F$5:F2480)/SUM(E$5:E2480)</f>
        <v/>
      </c>
    </row>
    <row r="2481">
      <c r="A2481" s="29" t="n">
        <v>46030</v>
      </c>
      <c r="B2481" s="37" t="inlineStr">
        <is>
          <t>JOB-3477</t>
        </is>
      </c>
      <c r="C2481" s="34" t="n">
        <v>1</v>
      </c>
      <c r="D2481" s="37" t="inlineStr">
        <is>
          <t>Tech C</t>
        </is>
      </c>
      <c r="E2481" s="35" t="n">
        <v>0.5</v>
      </c>
      <c r="F2481" s="35" t="n">
        <v>0.5</v>
      </c>
      <c r="G2481" s="37" t="inlineStr">
        <is>
          <t>Y</t>
        </is>
      </c>
      <c r="H2481" s="37" t="inlineStr">
        <is>
          <t>N</t>
        </is>
      </c>
      <c r="I2481" s="37">
        <f>COUNTIF(G$5:G2481,"Y")/COUNTA(G$5:G2481)</f>
        <v/>
      </c>
      <c r="J2481" s="37">
        <f>COUNTIF(H$5:H2481,"Y")/COUNTA(H$5:H2481)</f>
        <v/>
      </c>
      <c r="K2481" s="37">
        <f>AVERAGE(F$5:F2481)</f>
        <v/>
      </c>
      <c r="L2481" s="37">
        <f>SUM(F$5:F2481)/SUM(E$5:E2481)</f>
        <v/>
      </c>
      <c r="M2481" s="37" t="n">
        <v>8</v>
      </c>
    </row>
    <row r="2482">
      <c r="A2482" s="29" t="n">
        <v>46034</v>
      </c>
      <c r="B2482" s="37" t="inlineStr">
        <is>
          <t>JOB-3478</t>
        </is>
      </c>
      <c r="C2482" s="34" t="n">
        <v>1</v>
      </c>
      <c r="D2482" s="37" t="inlineStr">
        <is>
          <t>Tech B</t>
        </is>
      </c>
      <c r="E2482" s="35" t="n">
        <v>2.6</v>
      </c>
      <c r="F2482" s="35" t="n">
        <v>1.8</v>
      </c>
      <c r="G2482" s="37" t="inlineStr">
        <is>
          <t>N</t>
        </is>
      </c>
      <c r="H2482" s="37" t="inlineStr">
        <is>
          <t>N</t>
        </is>
      </c>
      <c r="I2482" s="37">
        <f>COUNTIF(G$5:G2482,"Y")/COUNTA(G$5:G2482)</f>
        <v/>
      </c>
      <c r="J2482" s="37">
        <f>COUNTIF(H$5:H2482,"Y")/COUNTA(H$5:H2482)</f>
        <v/>
      </c>
      <c r="K2482" s="37">
        <f>AVERAGE(F$5:F2482)</f>
        <v/>
      </c>
      <c r="L2482" s="37">
        <f>SUM(F$5:F2482)/SUM(E$5:E2482)</f>
        <v/>
      </c>
    </row>
    <row r="2483">
      <c r="A2483" s="29" t="n">
        <v>46035</v>
      </c>
      <c r="B2483" s="37" t="inlineStr">
        <is>
          <t>JOB-3479</t>
        </is>
      </c>
      <c r="C2483" s="34" t="n">
        <v>1</v>
      </c>
      <c r="D2483" s="37" t="inlineStr">
        <is>
          <t>Tech C</t>
        </is>
      </c>
      <c r="E2483" s="35" t="n">
        <v>3.2</v>
      </c>
      <c r="F2483" s="35" t="n">
        <v>2.4</v>
      </c>
      <c r="G2483" s="37" t="inlineStr">
        <is>
          <t>N</t>
        </is>
      </c>
      <c r="H2483" s="37" t="inlineStr">
        <is>
          <t>N</t>
        </is>
      </c>
      <c r="I2483" s="37">
        <f>COUNTIF(G$5:G2483,"Y")/COUNTA(G$5:G2483)</f>
        <v/>
      </c>
      <c r="J2483" s="37">
        <f>COUNTIF(H$5:H2483,"Y")/COUNTA(H$5:H2483)</f>
        <v/>
      </c>
      <c r="K2483" s="37">
        <f>AVERAGE(F$5:F2483)</f>
        <v/>
      </c>
      <c r="L2483" s="37">
        <f>SUM(F$5:F2483)/SUM(E$5:E2483)</f>
        <v/>
      </c>
    </row>
    <row r="2484">
      <c r="A2484" s="29" t="n">
        <v>46036</v>
      </c>
      <c r="B2484" s="37" t="inlineStr">
        <is>
          <t>JOB-3480</t>
        </is>
      </c>
      <c r="C2484" s="34" t="n">
        <v>1</v>
      </c>
      <c r="D2484" s="37" t="inlineStr">
        <is>
          <t>Tech A</t>
        </is>
      </c>
      <c r="E2484" s="35" t="n">
        <v>4.1</v>
      </c>
      <c r="F2484" s="35" t="n">
        <v>3.5</v>
      </c>
      <c r="G2484" s="37" t="inlineStr">
        <is>
          <t>Y</t>
        </is>
      </c>
      <c r="H2484" s="37" t="inlineStr">
        <is>
          <t>N</t>
        </is>
      </c>
      <c r="I2484" s="37">
        <f>COUNTIF(G$5:G2484,"Y")/COUNTA(G$5:G2484)</f>
        <v/>
      </c>
      <c r="J2484" s="37">
        <f>COUNTIF(H$5:H2484,"Y")/COUNTA(H$5:H2484)</f>
        <v/>
      </c>
      <c r="K2484" s="37">
        <f>AVERAGE(F$5:F2484)</f>
        <v/>
      </c>
      <c r="L2484" s="37">
        <f>SUM(F$5:F2484)/SUM(E$5:E2484)</f>
        <v/>
      </c>
    </row>
    <row r="2485">
      <c r="A2485" s="29" t="n">
        <v>46037</v>
      </c>
      <c r="B2485" s="37" t="inlineStr">
        <is>
          <t>JOB-3481</t>
        </is>
      </c>
      <c r="C2485" s="34" t="n">
        <v>1</v>
      </c>
      <c r="D2485" s="37" t="inlineStr">
        <is>
          <t>Tech C</t>
        </is>
      </c>
      <c r="E2485" s="35" t="n">
        <v>1.8</v>
      </c>
      <c r="F2485" s="35" t="n">
        <v>1.2</v>
      </c>
      <c r="G2485" s="37" t="inlineStr">
        <is>
          <t>Y</t>
        </is>
      </c>
      <c r="H2485" s="37" t="inlineStr">
        <is>
          <t>N</t>
        </is>
      </c>
      <c r="I2485" s="37">
        <f>COUNTIF(G$5:G2485,"Y")/COUNTA(G$5:G2485)</f>
        <v/>
      </c>
      <c r="J2485" s="37">
        <f>COUNTIF(H$5:H2485,"Y")/COUNTA(H$5:H2485)</f>
        <v/>
      </c>
      <c r="K2485" s="37">
        <f>AVERAGE(F$5:F2485)</f>
        <v/>
      </c>
      <c r="L2485" s="37">
        <f>SUM(F$5:F2485)/SUM(E$5:E2485)</f>
        <v/>
      </c>
    </row>
    <row r="2486">
      <c r="A2486" s="29" t="n">
        <v>46038</v>
      </c>
      <c r="B2486" s="37" t="inlineStr">
        <is>
          <t>JOB-3482</t>
        </is>
      </c>
      <c r="C2486" s="34" t="n">
        <v>1</v>
      </c>
      <c r="D2486" s="37" t="inlineStr">
        <is>
          <t>Tech C</t>
        </is>
      </c>
      <c r="E2486" s="35" t="n">
        <v>1.6</v>
      </c>
      <c r="F2486" s="35" t="n">
        <v>1.4</v>
      </c>
      <c r="G2486" s="37" t="inlineStr">
        <is>
          <t>Y</t>
        </is>
      </c>
      <c r="H2486" s="37" t="inlineStr">
        <is>
          <t>N</t>
        </is>
      </c>
      <c r="I2486" s="37">
        <f>COUNTIF(G$5:G2486,"Y")/COUNTA(G$5:G2486)</f>
        <v/>
      </c>
      <c r="J2486" s="37">
        <f>COUNTIF(H$5:H2486,"Y")/COUNTA(H$5:H2486)</f>
        <v/>
      </c>
      <c r="K2486" s="37">
        <f>AVERAGE(F$5:F2486)</f>
        <v/>
      </c>
      <c r="L2486" s="37">
        <f>SUM(F$5:F2486)/SUM(E$5:E2486)</f>
        <v/>
      </c>
    </row>
    <row r="2487">
      <c r="A2487" s="29" t="n">
        <v>46034</v>
      </c>
      <c r="B2487" s="37" t="inlineStr">
        <is>
          <t>JOB-3483</t>
        </is>
      </c>
      <c r="C2487" s="34" t="n">
        <v>1</v>
      </c>
      <c r="D2487" s="37" t="inlineStr">
        <is>
          <t>Tech F</t>
        </is>
      </c>
      <c r="E2487" s="35" t="n">
        <v>1.8</v>
      </c>
      <c r="F2487" s="35" t="n">
        <v>1.6</v>
      </c>
      <c r="G2487" s="37" t="inlineStr">
        <is>
          <t>Y</t>
        </is>
      </c>
      <c r="H2487" s="37" t="inlineStr">
        <is>
          <t>N</t>
        </is>
      </c>
      <c r="I2487" s="37">
        <f>COUNTIF(G$5:G2487,"Y")/COUNTA(G$5:G2487)</f>
        <v/>
      </c>
      <c r="J2487" s="37">
        <f>COUNTIF(H$5:H2487,"Y")/COUNTA(H$5:H2487)</f>
        <v/>
      </c>
      <c r="K2487" s="37">
        <f>AVERAGE(F$5:F2487)</f>
        <v/>
      </c>
      <c r="L2487" s="37">
        <f>SUM(F$5:F2487)/SUM(E$5:E2487)</f>
        <v/>
      </c>
    </row>
    <row r="2488">
      <c r="A2488" s="29" t="n">
        <v>46035</v>
      </c>
      <c r="B2488" s="37" t="inlineStr">
        <is>
          <t>JOB-3484</t>
        </is>
      </c>
      <c r="C2488" s="34" t="n">
        <v>1</v>
      </c>
      <c r="D2488" s="37" t="inlineStr">
        <is>
          <t>Tech H</t>
        </is>
      </c>
      <c r="E2488" s="35" t="n">
        <v>4.8</v>
      </c>
      <c r="F2488" s="35" t="n">
        <v>3.5</v>
      </c>
      <c r="G2488" s="37" t="inlineStr">
        <is>
          <t>Y</t>
        </is>
      </c>
      <c r="H2488" s="37" t="inlineStr">
        <is>
          <t>N</t>
        </is>
      </c>
      <c r="I2488" s="37">
        <f>COUNTIF(G$5:G2488,"Y")/COUNTA(G$5:G2488)</f>
        <v/>
      </c>
      <c r="J2488" s="37">
        <f>COUNTIF(H$5:H2488,"Y")/COUNTA(H$5:H2488)</f>
        <v/>
      </c>
      <c r="K2488" s="37">
        <f>AVERAGE(F$5:F2488)</f>
        <v/>
      </c>
      <c r="L2488" s="37">
        <f>SUM(F$5:F2488)/SUM(E$5:E2488)</f>
        <v/>
      </c>
    </row>
    <row r="2489">
      <c r="A2489" s="29" t="n">
        <v>46036</v>
      </c>
      <c r="B2489" s="37" t="inlineStr">
        <is>
          <t>JOB-3485</t>
        </is>
      </c>
      <c r="C2489" s="34" t="n">
        <v>1</v>
      </c>
      <c r="D2489" s="37" t="inlineStr">
        <is>
          <t>Tech B</t>
        </is>
      </c>
      <c r="E2489" s="35" t="n">
        <v>4.7</v>
      </c>
      <c r="F2489" s="35" t="n">
        <v>3.7</v>
      </c>
      <c r="G2489" s="37" t="inlineStr">
        <is>
          <t>Y</t>
        </is>
      </c>
      <c r="H2489" s="37" t="inlineStr">
        <is>
          <t>N</t>
        </is>
      </c>
      <c r="I2489" s="37">
        <f>COUNTIF(G$5:G2489,"Y")/COUNTA(G$5:G2489)</f>
        <v/>
      </c>
      <c r="J2489" s="37">
        <f>COUNTIF(H$5:H2489,"Y")/COUNTA(H$5:H2489)</f>
        <v/>
      </c>
      <c r="K2489" s="37">
        <f>AVERAGE(F$5:F2489)</f>
        <v/>
      </c>
      <c r="L2489" s="37">
        <f>SUM(F$5:F2489)/SUM(E$5:E2489)</f>
        <v/>
      </c>
    </row>
    <row r="2490">
      <c r="A2490" s="29" t="n">
        <v>46037</v>
      </c>
      <c r="B2490" s="37" t="inlineStr">
        <is>
          <t>JOB-3486</t>
        </is>
      </c>
      <c r="C2490" s="34" t="n">
        <v>1</v>
      </c>
      <c r="D2490" s="37" t="inlineStr">
        <is>
          <t>Tech C</t>
        </is>
      </c>
      <c r="E2490" s="35" t="n">
        <v>4.8</v>
      </c>
      <c r="F2490" s="35" t="n">
        <v>3.2</v>
      </c>
      <c r="G2490" s="37" t="inlineStr">
        <is>
          <t>Y</t>
        </is>
      </c>
      <c r="H2490" s="37" t="inlineStr">
        <is>
          <t>N</t>
        </is>
      </c>
      <c r="I2490" s="37">
        <f>COUNTIF(G$5:G2490,"Y")/COUNTA(G$5:G2490)</f>
        <v/>
      </c>
      <c r="J2490" s="37">
        <f>COUNTIF(H$5:H2490,"Y")/COUNTA(H$5:H2490)</f>
        <v/>
      </c>
      <c r="K2490" s="37">
        <f>AVERAGE(F$5:F2490)</f>
        <v/>
      </c>
      <c r="L2490" s="37">
        <f>SUM(F$5:F2490)/SUM(E$5:E2490)</f>
        <v/>
      </c>
    </row>
    <row r="2491">
      <c r="A2491" s="29" t="n">
        <v>46038</v>
      </c>
      <c r="B2491" s="37" t="inlineStr">
        <is>
          <t>JOB-3487</t>
        </is>
      </c>
      <c r="C2491" s="34" t="n">
        <v>1</v>
      </c>
      <c r="D2491" s="37" t="inlineStr">
        <is>
          <t>Tech B</t>
        </is>
      </c>
      <c r="E2491" s="35" t="n">
        <v>4.4</v>
      </c>
      <c r="F2491" s="35" t="n">
        <v>3.3</v>
      </c>
      <c r="G2491" s="37" t="inlineStr">
        <is>
          <t>Y</t>
        </is>
      </c>
      <c r="H2491" s="37" t="inlineStr">
        <is>
          <t>N</t>
        </is>
      </c>
      <c r="I2491" s="37">
        <f>COUNTIF(G$5:G2491,"Y")/COUNTA(G$5:G2491)</f>
        <v/>
      </c>
      <c r="J2491" s="37">
        <f>COUNTIF(H$5:H2491,"Y")/COUNTA(H$5:H2491)</f>
        <v/>
      </c>
      <c r="K2491" s="37">
        <f>AVERAGE(F$5:F2491)</f>
        <v/>
      </c>
      <c r="L2491" s="37">
        <f>SUM(F$5:F2491)/SUM(E$5:E2491)</f>
        <v/>
      </c>
    </row>
    <row r="2492">
      <c r="A2492" s="29" t="n">
        <v>46034</v>
      </c>
      <c r="B2492" s="37" t="inlineStr">
        <is>
          <t>JOB-3488</t>
        </is>
      </c>
      <c r="C2492" s="34" t="n">
        <v>1</v>
      </c>
      <c r="D2492" s="37" t="inlineStr">
        <is>
          <t>Tech F</t>
        </is>
      </c>
      <c r="E2492" s="35" t="n">
        <v>2.1</v>
      </c>
      <c r="F2492" s="35" t="n">
        <v>1.7</v>
      </c>
      <c r="G2492" s="37" t="inlineStr">
        <is>
          <t>Y</t>
        </is>
      </c>
      <c r="H2492" s="37" t="inlineStr">
        <is>
          <t>N</t>
        </is>
      </c>
      <c r="I2492" s="37">
        <f>COUNTIF(G$5:G2492,"Y")/COUNTA(G$5:G2492)</f>
        <v/>
      </c>
      <c r="J2492" s="37">
        <f>COUNTIF(H$5:H2492,"Y")/COUNTA(H$5:H2492)</f>
        <v/>
      </c>
      <c r="K2492" s="37">
        <f>AVERAGE(F$5:F2492)</f>
        <v/>
      </c>
      <c r="L2492" s="37">
        <f>SUM(F$5:F2492)/SUM(E$5:E2492)</f>
        <v/>
      </c>
    </row>
    <row r="2493">
      <c r="A2493" s="29" t="n">
        <v>46035</v>
      </c>
      <c r="B2493" s="37" t="inlineStr">
        <is>
          <t>JOB-3489</t>
        </is>
      </c>
      <c r="C2493" s="34" t="n">
        <v>1</v>
      </c>
      <c r="D2493" s="37" t="inlineStr">
        <is>
          <t>Tech D</t>
        </is>
      </c>
      <c r="E2493" s="35" t="n">
        <v>4.8</v>
      </c>
      <c r="F2493" s="35" t="n">
        <v>3.6</v>
      </c>
      <c r="G2493" s="37" t="inlineStr">
        <is>
          <t>Y</t>
        </is>
      </c>
      <c r="H2493" s="37" t="inlineStr">
        <is>
          <t>N</t>
        </is>
      </c>
      <c r="I2493" s="37">
        <f>COUNTIF(G$5:G2493,"Y")/COUNTA(G$5:G2493)</f>
        <v/>
      </c>
      <c r="J2493" s="37">
        <f>COUNTIF(H$5:H2493,"Y")/COUNTA(H$5:H2493)</f>
        <v/>
      </c>
      <c r="K2493" s="37">
        <f>AVERAGE(F$5:F2493)</f>
        <v/>
      </c>
      <c r="L2493" s="37">
        <f>SUM(F$5:F2493)/SUM(E$5:E2493)</f>
        <v/>
      </c>
    </row>
    <row r="2494">
      <c r="A2494" s="29" t="n">
        <v>46036</v>
      </c>
      <c r="B2494" s="37" t="inlineStr">
        <is>
          <t>JOB-3490</t>
        </is>
      </c>
      <c r="C2494" s="34" t="n">
        <v>1</v>
      </c>
      <c r="D2494" s="37" t="inlineStr">
        <is>
          <t>Tech D</t>
        </is>
      </c>
      <c r="E2494" s="35" t="n">
        <v>3.3</v>
      </c>
      <c r="F2494" s="35" t="n">
        <v>2.2</v>
      </c>
      <c r="G2494" s="37" t="inlineStr">
        <is>
          <t>Y</t>
        </is>
      </c>
      <c r="H2494" s="37" t="inlineStr">
        <is>
          <t>N</t>
        </is>
      </c>
      <c r="I2494" s="37">
        <f>COUNTIF(G$5:G2494,"Y")/COUNTA(G$5:G2494)</f>
        <v/>
      </c>
      <c r="J2494" s="37">
        <f>COUNTIF(H$5:H2494,"Y")/COUNTA(H$5:H2494)</f>
        <v/>
      </c>
      <c r="K2494" s="37">
        <f>AVERAGE(F$5:F2494)</f>
        <v/>
      </c>
      <c r="L2494" s="37">
        <f>SUM(F$5:F2494)/SUM(E$5:E2494)</f>
        <v/>
      </c>
    </row>
    <row r="2495">
      <c r="A2495" s="29" t="n">
        <v>46037</v>
      </c>
      <c r="B2495" s="37" t="inlineStr">
        <is>
          <t>JOB-3491</t>
        </is>
      </c>
      <c r="C2495" s="34" t="n">
        <v>1</v>
      </c>
      <c r="D2495" s="37" t="inlineStr">
        <is>
          <t>Tech H</t>
        </is>
      </c>
      <c r="E2495" s="35" t="n">
        <v>5.4</v>
      </c>
      <c r="F2495" s="35" t="n">
        <v>3.7</v>
      </c>
      <c r="G2495" s="37" t="inlineStr">
        <is>
          <t>Y</t>
        </is>
      </c>
      <c r="H2495" s="37" t="inlineStr">
        <is>
          <t>N</t>
        </is>
      </c>
      <c r="I2495" s="37">
        <f>COUNTIF(G$5:G2495,"Y")/COUNTA(G$5:G2495)</f>
        <v/>
      </c>
      <c r="J2495" s="37">
        <f>COUNTIF(H$5:H2495,"Y")/COUNTA(H$5:H2495)</f>
        <v/>
      </c>
      <c r="K2495" s="37">
        <f>AVERAGE(F$5:F2495)</f>
        <v/>
      </c>
      <c r="L2495" s="37">
        <f>SUM(F$5:F2495)/SUM(E$5:E2495)</f>
        <v/>
      </c>
    </row>
    <row r="2496">
      <c r="A2496" s="29" t="n">
        <v>46038</v>
      </c>
      <c r="B2496" s="37" t="inlineStr">
        <is>
          <t>JOB-3492</t>
        </is>
      </c>
      <c r="C2496" s="34" t="n">
        <v>1</v>
      </c>
      <c r="D2496" s="37" t="inlineStr">
        <is>
          <t>Tech A</t>
        </is>
      </c>
      <c r="E2496" s="35" t="n">
        <v>3.5</v>
      </c>
      <c r="F2496" s="35" t="n">
        <v>2.5</v>
      </c>
      <c r="G2496" s="37" t="inlineStr">
        <is>
          <t>Y</t>
        </is>
      </c>
      <c r="H2496" s="37" t="inlineStr">
        <is>
          <t>N</t>
        </is>
      </c>
      <c r="I2496" s="37">
        <f>COUNTIF(G$5:G2496,"Y")/COUNTA(G$5:G2496)</f>
        <v/>
      </c>
      <c r="J2496" s="37">
        <f>COUNTIF(H$5:H2496,"Y")/COUNTA(H$5:H2496)</f>
        <v/>
      </c>
      <c r="K2496" s="37">
        <f>AVERAGE(F$5:F2496)</f>
        <v/>
      </c>
      <c r="L2496" s="37">
        <f>SUM(F$5:F2496)/SUM(E$5:E2496)</f>
        <v/>
      </c>
    </row>
    <row r="2497">
      <c r="A2497" s="29" t="n">
        <v>46034</v>
      </c>
      <c r="B2497" s="37" t="inlineStr">
        <is>
          <t>JOB-3493</t>
        </is>
      </c>
      <c r="C2497" s="34" t="n">
        <v>1</v>
      </c>
      <c r="D2497" s="37" t="inlineStr">
        <is>
          <t>Tech H</t>
        </is>
      </c>
      <c r="E2497" s="35" t="n">
        <v>5.2</v>
      </c>
      <c r="F2497" s="35" t="n">
        <v>3.8</v>
      </c>
      <c r="G2497" s="37" t="inlineStr">
        <is>
          <t>Y</t>
        </is>
      </c>
      <c r="H2497" s="37" t="inlineStr">
        <is>
          <t>N</t>
        </is>
      </c>
      <c r="I2497" s="37">
        <f>COUNTIF(G$5:G2497,"Y")/COUNTA(G$5:G2497)</f>
        <v/>
      </c>
      <c r="J2497" s="37">
        <f>COUNTIF(H$5:H2497,"Y")/COUNTA(H$5:H2497)</f>
        <v/>
      </c>
      <c r="K2497" s="37">
        <f>AVERAGE(F$5:F2497)</f>
        <v/>
      </c>
      <c r="L2497" s="37">
        <f>SUM(F$5:F2497)/SUM(E$5:E2497)</f>
        <v/>
      </c>
    </row>
    <row r="2498">
      <c r="A2498" s="29" t="n">
        <v>46035</v>
      </c>
      <c r="B2498" s="37" t="inlineStr">
        <is>
          <t>JOB-3494</t>
        </is>
      </c>
      <c r="C2498" s="34" t="n">
        <v>1</v>
      </c>
      <c r="D2498" s="37" t="inlineStr">
        <is>
          <t>Tech A</t>
        </is>
      </c>
      <c r="E2498" s="35" t="n">
        <v>2</v>
      </c>
      <c r="F2498" s="35" t="n">
        <v>1.5</v>
      </c>
      <c r="G2498" s="37" t="inlineStr">
        <is>
          <t>Y</t>
        </is>
      </c>
      <c r="H2498" s="37" t="inlineStr">
        <is>
          <t>N</t>
        </is>
      </c>
      <c r="I2498" s="37">
        <f>COUNTIF(G$5:G2498,"Y")/COUNTA(G$5:G2498)</f>
        <v/>
      </c>
      <c r="J2498" s="37">
        <f>COUNTIF(H$5:H2498,"Y")/COUNTA(H$5:H2498)</f>
        <v/>
      </c>
      <c r="K2498" s="37">
        <f>AVERAGE(F$5:F2498)</f>
        <v/>
      </c>
      <c r="L2498" s="37">
        <f>SUM(F$5:F2498)/SUM(E$5:E2498)</f>
        <v/>
      </c>
    </row>
    <row r="2499">
      <c r="A2499" s="29" t="n">
        <v>46036</v>
      </c>
      <c r="B2499" s="37" t="inlineStr">
        <is>
          <t>JOB-3495</t>
        </is>
      </c>
      <c r="C2499" s="34" t="n">
        <v>1</v>
      </c>
      <c r="D2499" s="37" t="inlineStr">
        <is>
          <t>Tech A</t>
        </is>
      </c>
      <c r="E2499" s="35" t="n">
        <v>2</v>
      </c>
      <c r="F2499" s="35" t="n">
        <v>1.5</v>
      </c>
      <c r="G2499" s="37" t="inlineStr">
        <is>
          <t>Y</t>
        </is>
      </c>
      <c r="H2499" s="37" t="inlineStr">
        <is>
          <t>Y</t>
        </is>
      </c>
      <c r="I2499" s="37">
        <f>COUNTIF(G$5:G2499,"Y")/COUNTA(G$5:G2499)</f>
        <v/>
      </c>
      <c r="J2499" s="37">
        <f>COUNTIF(H$5:H2499,"Y")/COUNTA(H$5:H2499)</f>
        <v/>
      </c>
      <c r="K2499" s="37">
        <f>AVERAGE(F$5:F2499)</f>
        <v/>
      </c>
      <c r="L2499" s="37">
        <f>SUM(F$5:F2499)/SUM(E$5:E2499)</f>
        <v/>
      </c>
    </row>
    <row r="2500">
      <c r="A2500" s="29" t="n">
        <v>46037</v>
      </c>
      <c r="B2500" s="37" t="inlineStr">
        <is>
          <t>JOB-3496</t>
        </is>
      </c>
      <c r="C2500" s="34" t="n">
        <v>1</v>
      </c>
      <c r="D2500" s="37" t="inlineStr">
        <is>
          <t>Tech C</t>
        </is>
      </c>
      <c r="E2500" s="35" t="n">
        <v>1.8</v>
      </c>
      <c r="F2500" s="35" t="n">
        <v>1.3</v>
      </c>
      <c r="G2500" s="37" t="inlineStr">
        <is>
          <t>Y</t>
        </is>
      </c>
      <c r="H2500" s="37" t="inlineStr">
        <is>
          <t>N</t>
        </is>
      </c>
      <c r="I2500" s="37">
        <f>COUNTIF(G$5:G2500,"Y")/COUNTA(G$5:G2500)</f>
        <v/>
      </c>
      <c r="J2500" s="37">
        <f>COUNTIF(H$5:H2500,"Y")/COUNTA(H$5:H2500)</f>
        <v/>
      </c>
      <c r="K2500" s="37">
        <f>AVERAGE(F$5:F2500)</f>
        <v/>
      </c>
      <c r="L2500" s="37">
        <f>SUM(F$5:F2500)/SUM(E$5:E2500)</f>
        <v/>
      </c>
    </row>
    <row r="2501">
      <c r="A2501" s="29" t="n">
        <v>46038</v>
      </c>
      <c r="B2501" s="37" t="inlineStr">
        <is>
          <t>JOB-3497</t>
        </is>
      </c>
      <c r="C2501" s="34" t="n">
        <v>1</v>
      </c>
      <c r="D2501" s="37" t="inlineStr">
        <is>
          <t>Tech F</t>
        </is>
      </c>
      <c r="E2501" s="35" t="n">
        <v>1.8</v>
      </c>
      <c r="F2501" s="35" t="n">
        <v>1.2</v>
      </c>
      <c r="G2501" s="37" t="inlineStr">
        <is>
          <t>Y</t>
        </is>
      </c>
      <c r="H2501" s="37" t="inlineStr">
        <is>
          <t>N</t>
        </is>
      </c>
      <c r="I2501" s="37">
        <f>COUNTIF(G$5:G2501,"Y")/COUNTA(G$5:G2501)</f>
        <v/>
      </c>
      <c r="J2501" s="37">
        <f>COUNTIF(H$5:H2501,"Y")/COUNTA(H$5:H2501)</f>
        <v/>
      </c>
      <c r="K2501" s="37">
        <f>AVERAGE(F$5:F2501)</f>
        <v/>
      </c>
      <c r="L2501" s="37">
        <f>SUM(F$5:F2501)/SUM(E$5:E2501)</f>
        <v/>
      </c>
    </row>
    <row r="2502">
      <c r="A2502" s="29" t="n">
        <v>46034</v>
      </c>
      <c r="B2502" s="37" t="inlineStr">
        <is>
          <t>JOB-3498</t>
        </is>
      </c>
      <c r="C2502" s="34" t="n">
        <v>1</v>
      </c>
      <c r="D2502" s="37" t="inlineStr">
        <is>
          <t>Tech B</t>
        </is>
      </c>
      <c r="E2502" s="35" t="n">
        <v>2.9</v>
      </c>
      <c r="F2502" s="35" t="n">
        <v>2</v>
      </c>
      <c r="G2502" s="37" t="inlineStr">
        <is>
          <t>Y</t>
        </is>
      </c>
      <c r="H2502" s="37" t="inlineStr">
        <is>
          <t>N</t>
        </is>
      </c>
      <c r="I2502" s="37">
        <f>COUNTIF(G$5:G2502,"Y")/COUNTA(G$5:G2502)</f>
        <v/>
      </c>
      <c r="J2502" s="37">
        <f>COUNTIF(H$5:H2502,"Y")/COUNTA(H$5:H2502)</f>
        <v/>
      </c>
      <c r="K2502" s="37">
        <f>AVERAGE(F$5:F2502)</f>
        <v/>
      </c>
      <c r="L2502" s="37">
        <f>SUM(F$5:F2502)/SUM(E$5:E2502)</f>
        <v/>
      </c>
    </row>
    <row r="2503">
      <c r="A2503" s="29" t="n">
        <v>46035</v>
      </c>
      <c r="B2503" s="37" t="inlineStr">
        <is>
          <t>JOB-3499</t>
        </is>
      </c>
      <c r="C2503" s="34" t="n">
        <v>1</v>
      </c>
      <c r="D2503" s="37" t="inlineStr">
        <is>
          <t>Tech D</t>
        </is>
      </c>
      <c r="E2503" s="35" t="n">
        <v>2.9</v>
      </c>
      <c r="F2503" s="35" t="n">
        <v>2.3</v>
      </c>
      <c r="G2503" s="37" t="inlineStr">
        <is>
          <t>Y</t>
        </is>
      </c>
      <c r="H2503" s="37" t="inlineStr">
        <is>
          <t>Y</t>
        </is>
      </c>
      <c r="I2503" s="37">
        <f>COUNTIF(G$5:G2503,"Y")/COUNTA(G$5:G2503)</f>
        <v/>
      </c>
      <c r="J2503" s="37">
        <f>COUNTIF(H$5:H2503,"Y")/COUNTA(H$5:H2503)</f>
        <v/>
      </c>
      <c r="K2503" s="37">
        <f>AVERAGE(F$5:F2503)</f>
        <v/>
      </c>
      <c r="L2503" s="37">
        <f>SUM(F$5:F2503)/SUM(E$5:E2503)</f>
        <v/>
      </c>
    </row>
    <row r="2504">
      <c r="A2504" s="29" t="n">
        <v>46036</v>
      </c>
      <c r="B2504" s="37" t="inlineStr">
        <is>
          <t>JOB-3500</t>
        </is>
      </c>
      <c r="C2504" s="34" t="n">
        <v>1</v>
      </c>
      <c r="D2504" s="37" t="inlineStr">
        <is>
          <t>Tech H</t>
        </is>
      </c>
      <c r="E2504" s="35" t="n">
        <v>4.5</v>
      </c>
      <c r="F2504" s="35" t="n">
        <v>3.8</v>
      </c>
      <c r="G2504" s="37" t="inlineStr">
        <is>
          <t>Y</t>
        </is>
      </c>
      <c r="H2504" s="37" t="inlineStr">
        <is>
          <t>N</t>
        </is>
      </c>
      <c r="I2504" s="37">
        <f>COUNTIF(G$5:G2504,"Y")/COUNTA(G$5:G2504)</f>
        <v/>
      </c>
      <c r="J2504" s="37">
        <f>COUNTIF(H$5:H2504,"Y")/COUNTA(H$5:H2504)</f>
        <v/>
      </c>
      <c r="K2504" s="37">
        <f>AVERAGE(F$5:F2504)</f>
        <v/>
      </c>
      <c r="L2504" s="37">
        <f>SUM(F$5:F2504)/SUM(E$5:E2504)</f>
        <v/>
      </c>
    </row>
    <row r="2505">
      <c r="A2505" s="29" t="n">
        <v>46037</v>
      </c>
      <c r="B2505" s="37" t="inlineStr">
        <is>
          <t>JOB-3501</t>
        </is>
      </c>
      <c r="C2505" s="34" t="n">
        <v>1</v>
      </c>
      <c r="D2505" s="37" t="inlineStr">
        <is>
          <t>Tech H</t>
        </is>
      </c>
      <c r="E2505" s="35" t="n">
        <v>2.7</v>
      </c>
      <c r="F2505" s="35" t="n">
        <v>2</v>
      </c>
      <c r="G2505" s="37" t="inlineStr">
        <is>
          <t>Y</t>
        </is>
      </c>
      <c r="H2505" s="37" t="inlineStr">
        <is>
          <t>N</t>
        </is>
      </c>
      <c r="I2505" s="37">
        <f>COUNTIF(G$5:G2505,"Y")/COUNTA(G$5:G2505)</f>
        <v/>
      </c>
      <c r="J2505" s="37">
        <f>COUNTIF(H$5:H2505,"Y")/COUNTA(H$5:H2505)</f>
        <v/>
      </c>
      <c r="K2505" s="37">
        <f>AVERAGE(F$5:F2505)</f>
        <v/>
      </c>
      <c r="L2505" s="37">
        <f>SUM(F$5:F2505)/SUM(E$5:E2505)</f>
        <v/>
      </c>
    </row>
    <row r="2506">
      <c r="A2506" s="29" t="n">
        <v>46038</v>
      </c>
      <c r="B2506" s="37" t="inlineStr">
        <is>
          <t>JOB-3502</t>
        </is>
      </c>
      <c r="C2506" s="34" t="n">
        <v>1</v>
      </c>
      <c r="D2506" s="37" t="inlineStr">
        <is>
          <t>Tech G</t>
        </is>
      </c>
      <c r="E2506" s="35" t="n">
        <v>2.5</v>
      </c>
      <c r="F2506" s="35" t="n">
        <v>1.9</v>
      </c>
      <c r="G2506" s="37" t="inlineStr">
        <is>
          <t>Y</t>
        </is>
      </c>
      <c r="H2506" s="37" t="inlineStr">
        <is>
          <t>N</t>
        </is>
      </c>
      <c r="I2506" s="37">
        <f>COUNTIF(G$5:G2506,"Y")/COUNTA(G$5:G2506)</f>
        <v/>
      </c>
      <c r="J2506" s="37">
        <f>COUNTIF(H$5:H2506,"Y")/COUNTA(H$5:H2506)</f>
        <v/>
      </c>
      <c r="K2506" s="37">
        <f>AVERAGE(F$5:F2506)</f>
        <v/>
      </c>
      <c r="L2506" s="37">
        <f>SUM(F$5:F2506)/SUM(E$5:E2506)</f>
        <v/>
      </c>
    </row>
    <row r="2507">
      <c r="A2507" s="29" t="n">
        <v>46034</v>
      </c>
      <c r="B2507" s="37" t="inlineStr">
        <is>
          <t>JOB-3503</t>
        </is>
      </c>
      <c r="C2507" s="34" t="n">
        <v>1</v>
      </c>
      <c r="D2507" s="37" t="inlineStr">
        <is>
          <t>Tech C</t>
        </is>
      </c>
      <c r="E2507" s="35" t="n">
        <v>3.8</v>
      </c>
      <c r="F2507" s="35" t="n">
        <v>3</v>
      </c>
      <c r="G2507" s="37" t="inlineStr">
        <is>
          <t>Y</t>
        </is>
      </c>
      <c r="H2507" s="37" t="inlineStr">
        <is>
          <t>N</t>
        </is>
      </c>
      <c r="I2507" s="37">
        <f>COUNTIF(G$5:G2507,"Y")/COUNTA(G$5:G2507)</f>
        <v/>
      </c>
      <c r="J2507" s="37">
        <f>COUNTIF(H$5:H2507,"Y")/COUNTA(H$5:H2507)</f>
        <v/>
      </c>
      <c r="K2507" s="37">
        <f>AVERAGE(F$5:F2507)</f>
        <v/>
      </c>
      <c r="L2507" s="37">
        <f>SUM(F$5:F2507)/SUM(E$5:E2507)</f>
        <v/>
      </c>
    </row>
    <row r="2508">
      <c r="A2508" s="29" t="n">
        <v>46035</v>
      </c>
      <c r="B2508" s="37" t="inlineStr">
        <is>
          <t>JOB-3504</t>
        </is>
      </c>
      <c r="C2508" s="34" t="n">
        <v>1</v>
      </c>
      <c r="D2508" s="37" t="inlineStr">
        <is>
          <t>Tech G</t>
        </is>
      </c>
      <c r="E2508" s="35" t="n">
        <v>4</v>
      </c>
      <c r="F2508" s="35" t="n">
        <v>3</v>
      </c>
      <c r="G2508" s="37" t="inlineStr">
        <is>
          <t>Y</t>
        </is>
      </c>
      <c r="H2508" s="37" t="inlineStr">
        <is>
          <t>N</t>
        </is>
      </c>
      <c r="I2508" s="37">
        <f>COUNTIF(G$5:G2508,"Y")/COUNTA(G$5:G2508)</f>
        <v/>
      </c>
      <c r="J2508" s="37">
        <f>COUNTIF(H$5:H2508,"Y")/COUNTA(H$5:H2508)</f>
        <v/>
      </c>
      <c r="K2508" s="37">
        <f>AVERAGE(F$5:F2508)</f>
        <v/>
      </c>
      <c r="L2508" s="37">
        <f>SUM(F$5:F2508)/SUM(E$5:E2508)</f>
        <v/>
      </c>
    </row>
    <row r="2509">
      <c r="A2509" s="29" t="n">
        <v>46036</v>
      </c>
      <c r="B2509" s="37" t="inlineStr">
        <is>
          <t>JOB-3505</t>
        </is>
      </c>
      <c r="C2509" s="34" t="n">
        <v>1</v>
      </c>
      <c r="D2509" s="37" t="inlineStr">
        <is>
          <t>Tech B</t>
        </is>
      </c>
      <c r="E2509" s="35" t="n">
        <v>5.2</v>
      </c>
      <c r="F2509" s="35" t="n">
        <v>3.8</v>
      </c>
      <c r="G2509" s="37" t="inlineStr">
        <is>
          <t>N</t>
        </is>
      </c>
      <c r="H2509" s="37" t="inlineStr">
        <is>
          <t>N</t>
        </is>
      </c>
      <c r="I2509" s="37">
        <f>COUNTIF(G$5:G2509,"Y")/COUNTA(G$5:G2509)</f>
        <v/>
      </c>
      <c r="J2509" s="37">
        <f>COUNTIF(H$5:H2509,"Y")/COUNTA(H$5:H2509)</f>
        <v/>
      </c>
      <c r="K2509" s="37">
        <f>AVERAGE(F$5:F2509)</f>
        <v/>
      </c>
      <c r="L2509" s="37">
        <f>SUM(F$5:F2509)/SUM(E$5:E2509)</f>
        <v/>
      </c>
    </row>
    <row r="2510">
      <c r="A2510" s="29" t="n">
        <v>46037</v>
      </c>
      <c r="B2510" s="37" t="inlineStr">
        <is>
          <t>JOB-3506</t>
        </is>
      </c>
      <c r="C2510" s="34" t="n">
        <v>1</v>
      </c>
      <c r="D2510" s="37" t="inlineStr">
        <is>
          <t>Tech D</t>
        </is>
      </c>
      <c r="E2510" s="35" t="n">
        <v>6.1</v>
      </c>
      <c r="F2510" s="35" t="n">
        <v>4</v>
      </c>
      <c r="G2510" s="37" t="inlineStr">
        <is>
          <t>Y</t>
        </is>
      </c>
      <c r="H2510" s="37" t="inlineStr">
        <is>
          <t>N</t>
        </is>
      </c>
      <c r="I2510" s="37">
        <f>COUNTIF(G$5:G2510,"Y")/COUNTA(G$5:G2510)</f>
        <v/>
      </c>
      <c r="J2510" s="37">
        <f>COUNTIF(H$5:H2510,"Y")/COUNTA(H$5:H2510)</f>
        <v/>
      </c>
      <c r="K2510" s="37">
        <f>AVERAGE(F$5:F2510)</f>
        <v/>
      </c>
      <c r="L2510" s="37">
        <f>SUM(F$5:F2510)/SUM(E$5:E2510)</f>
        <v/>
      </c>
    </row>
    <row r="2511">
      <c r="A2511" s="29" t="n">
        <v>46038</v>
      </c>
      <c r="B2511" s="37" t="inlineStr">
        <is>
          <t>JOB-3507</t>
        </is>
      </c>
      <c r="C2511" s="34" t="n">
        <v>1</v>
      </c>
      <c r="D2511" s="37" t="inlineStr">
        <is>
          <t>Tech H</t>
        </is>
      </c>
      <c r="E2511" s="35" t="n">
        <v>3.5</v>
      </c>
      <c r="F2511" s="35" t="n">
        <v>3.1</v>
      </c>
      <c r="G2511" s="37" t="inlineStr">
        <is>
          <t>Y</t>
        </is>
      </c>
      <c r="H2511" s="37" t="inlineStr">
        <is>
          <t>N</t>
        </is>
      </c>
      <c r="I2511" s="37">
        <f>COUNTIF(G$5:G2511,"Y")/COUNTA(G$5:G2511)</f>
        <v/>
      </c>
      <c r="J2511" s="37">
        <f>COUNTIF(H$5:H2511,"Y")/COUNTA(H$5:H2511)</f>
        <v/>
      </c>
      <c r="K2511" s="37">
        <f>AVERAGE(F$5:F2511)</f>
        <v/>
      </c>
      <c r="L2511" s="37">
        <f>SUM(F$5:F2511)/SUM(E$5:E2511)</f>
        <v/>
      </c>
    </row>
    <row r="2512">
      <c r="A2512" s="29" t="n">
        <v>46034</v>
      </c>
      <c r="B2512" s="37" t="inlineStr">
        <is>
          <t>JOB-3508</t>
        </is>
      </c>
      <c r="C2512" s="34" t="n">
        <v>1</v>
      </c>
      <c r="D2512" s="37" t="inlineStr">
        <is>
          <t>Tech C</t>
        </is>
      </c>
      <c r="E2512" s="35" t="n">
        <v>2.9</v>
      </c>
      <c r="F2512" s="35" t="n">
        <v>2.4</v>
      </c>
      <c r="G2512" s="37" t="inlineStr">
        <is>
          <t>Y</t>
        </is>
      </c>
      <c r="H2512" s="37" t="inlineStr">
        <is>
          <t>N</t>
        </is>
      </c>
      <c r="I2512" s="37">
        <f>COUNTIF(G$5:G2512,"Y")/COUNTA(G$5:G2512)</f>
        <v/>
      </c>
      <c r="J2512" s="37">
        <f>COUNTIF(H$5:H2512,"Y")/COUNTA(H$5:H2512)</f>
        <v/>
      </c>
      <c r="K2512" s="37">
        <f>AVERAGE(F$5:F2512)</f>
        <v/>
      </c>
      <c r="L2512" s="37">
        <f>SUM(F$5:F2512)/SUM(E$5:E2512)</f>
        <v/>
      </c>
    </row>
    <row r="2513">
      <c r="A2513" s="29" t="n">
        <v>46035</v>
      </c>
      <c r="B2513" s="37" t="inlineStr">
        <is>
          <t>JOB-3509</t>
        </is>
      </c>
      <c r="C2513" s="34" t="n">
        <v>1</v>
      </c>
      <c r="D2513" s="37" t="inlineStr">
        <is>
          <t>Tech C</t>
        </is>
      </c>
      <c r="E2513" s="35" t="n">
        <v>3.1</v>
      </c>
      <c r="F2513" s="35" t="n">
        <v>2.7</v>
      </c>
      <c r="G2513" s="37" t="inlineStr">
        <is>
          <t>Y</t>
        </is>
      </c>
      <c r="H2513" s="37" t="inlineStr">
        <is>
          <t>N</t>
        </is>
      </c>
      <c r="I2513" s="37">
        <f>COUNTIF(G$5:G2513,"Y")/COUNTA(G$5:G2513)</f>
        <v/>
      </c>
      <c r="J2513" s="37">
        <f>COUNTIF(H$5:H2513,"Y")/COUNTA(H$5:H2513)</f>
        <v/>
      </c>
      <c r="K2513" s="37">
        <f>AVERAGE(F$5:F2513)</f>
        <v/>
      </c>
      <c r="L2513" s="37">
        <f>SUM(F$5:F2513)/SUM(E$5:E2513)</f>
        <v/>
      </c>
    </row>
    <row r="2514">
      <c r="A2514" s="29" t="n">
        <v>46036</v>
      </c>
      <c r="B2514" s="37" t="inlineStr">
        <is>
          <t>JOB-3510</t>
        </is>
      </c>
      <c r="C2514" s="34" t="n">
        <v>1</v>
      </c>
      <c r="D2514" s="37" t="inlineStr">
        <is>
          <t>Tech G</t>
        </is>
      </c>
      <c r="E2514" s="35" t="n">
        <v>0.7</v>
      </c>
      <c r="F2514" s="35" t="n">
        <v>0.5</v>
      </c>
      <c r="G2514" s="37" t="inlineStr">
        <is>
          <t>Y</t>
        </is>
      </c>
      <c r="H2514" s="37" t="inlineStr">
        <is>
          <t>N</t>
        </is>
      </c>
      <c r="I2514" s="37">
        <f>COUNTIF(G$5:G2514,"Y")/COUNTA(G$5:G2514)</f>
        <v/>
      </c>
      <c r="J2514" s="37">
        <f>COUNTIF(H$5:H2514,"Y")/COUNTA(H$5:H2514)</f>
        <v/>
      </c>
      <c r="K2514" s="37">
        <f>AVERAGE(F$5:F2514)</f>
        <v/>
      </c>
      <c r="L2514" s="37">
        <f>SUM(F$5:F2514)/SUM(E$5:E2514)</f>
        <v/>
      </c>
    </row>
    <row r="2515">
      <c r="A2515" s="29" t="n">
        <v>46037</v>
      </c>
      <c r="B2515" s="37" t="inlineStr">
        <is>
          <t>JOB-3511</t>
        </is>
      </c>
      <c r="C2515" s="34" t="n">
        <v>1</v>
      </c>
      <c r="D2515" s="37" t="inlineStr">
        <is>
          <t>Tech F</t>
        </is>
      </c>
      <c r="E2515" s="35" t="n">
        <v>0.7</v>
      </c>
      <c r="F2515" s="35" t="n">
        <v>0.5</v>
      </c>
      <c r="G2515" s="37" t="inlineStr">
        <is>
          <t>Y</t>
        </is>
      </c>
      <c r="H2515" s="37" t="inlineStr">
        <is>
          <t>N</t>
        </is>
      </c>
      <c r="I2515" s="37">
        <f>COUNTIF(G$5:G2515,"Y")/COUNTA(G$5:G2515)</f>
        <v/>
      </c>
      <c r="J2515" s="37">
        <f>COUNTIF(H$5:H2515,"Y")/COUNTA(H$5:H2515)</f>
        <v/>
      </c>
      <c r="K2515" s="37">
        <f>AVERAGE(F$5:F2515)</f>
        <v/>
      </c>
      <c r="L2515" s="37">
        <f>SUM(F$5:F2515)/SUM(E$5:E2515)</f>
        <v/>
      </c>
    </row>
    <row r="2516">
      <c r="A2516" s="29" t="n">
        <v>46038</v>
      </c>
      <c r="B2516" s="37" t="inlineStr">
        <is>
          <t>JOB-3512</t>
        </is>
      </c>
      <c r="C2516" s="34" t="n">
        <v>1</v>
      </c>
      <c r="D2516" s="37" t="inlineStr">
        <is>
          <t>Tech C</t>
        </is>
      </c>
      <c r="E2516" s="35" t="n">
        <v>0.6</v>
      </c>
      <c r="F2516" s="35" t="n">
        <v>0.5</v>
      </c>
      <c r="G2516" s="37" t="inlineStr">
        <is>
          <t>Y</t>
        </is>
      </c>
      <c r="H2516" s="37" t="inlineStr">
        <is>
          <t>N</t>
        </is>
      </c>
      <c r="I2516" s="37">
        <f>COUNTIF(G$5:G2516,"Y")/COUNTA(G$5:G2516)</f>
        <v/>
      </c>
      <c r="J2516" s="37">
        <f>COUNTIF(H$5:H2516,"Y")/COUNTA(H$5:H2516)</f>
        <v/>
      </c>
      <c r="K2516" s="37">
        <f>AVERAGE(F$5:F2516)</f>
        <v/>
      </c>
      <c r="L2516" s="37">
        <f>SUM(F$5:F2516)/SUM(E$5:E2516)</f>
        <v/>
      </c>
    </row>
    <row r="2517">
      <c r="A2517" s="29" t="n">
        <v>46034</v>
      </c>
      <c r="B2517" s="37" t="inlineStr">
        <is>
          <t>JOB-3513</t>
        </is>
      </c>
      <c r="C2517" s="34" t="n">
        <v>1</v>
      </c>
      <c r="D2517" s="37" t="inlineStr">
        <is>
          <t>Tech G</t>
        </is>
      </c>
      <c r="E2517" s="35" t="n">
        <v>0.7</v>
      </c>
      <c r="F2517" s="35" t="n">
        <v>0.5</v>
      </c>
      <c r="G2517" s="37" t="inlineStr">
        <is>
          <t>Y</t>
        </is>
      </c>
      <c r="H2517" s="37" t="inlineStr">
        <is>
          <t>N</t>
        </is>
      </c>
      <c r="I2517" s="37">
        <f>COUNTIF(G$5:G2517,"Y")/COUNTA(G$5:G2517)</f>
        <v/>
      </c>
      <c r="J2517" s="37">
        <f>COUNTIF(H$5:H2517,"Y")/COUNTA(H$5:H2517)</f>
        <v/>
      </c>
      <c r="K2517" s="37">
        <f>AVERAGE(F$5:F2517)</f>
        <v/>
      </c>
      <c r="L2517" s="37">
        <f>SUM(F$5:F2517)/SUM(E$5:E2517)</f>
        <v/>
      </c>
    </row>
    <row r="2518">
      <c r="A2518" s="29" t="n">
        <v>46035</v>
      </c>
      <c r="B2518" s="37" t="inlineStr">
        <is>
          <t>JOB-3514</t>
        </is>
      </c>
      <c r="C2518" s="34" t="n">
        <v>1</v>
      </c>
      <c r="D2518" s="37" t="inlineStr">
        <is>
          <t>Tech H</t>
        </is>
      </c>
      <c r="E2518" s="35" t="n">
        <v>0.8</v>
      </c>
      <c r="F2518" s="35" t="n">
        <v>0.5</v>
      </c>
      <c r="G2518" s="37" t="inlineStr">
        <is>
          <t>N</t>
        </is>
      </c>
      <c r="H2518" s="37" t="inlineStr">
        <is>
          <t>N</t>
        </is>
      </c>
      <c r="I2518" s="37">
        <f>COUNTIF(G$5:G2518,"Y")/COUNTA(G$5:G2518)</f>
        <v/>
      </c>
      <c r="J2518" s="37">
        <f>COUNTIF(H$5:H2518,"Y")/COUNTA(H$5:H2518)</f>
        <v/>
      </c>
      <c r="K2518" s="37">
        <f>AVERAGE(F$5:F2518)</f>
        <v/>
      </c>
      <c r="L2518" s="37">
        <f>SUM(F$5:F2518)/SUM(E$5:E2518)</f>
        <v/>
      </c>
      <c r="M2518" s="37" t="n">
        <v>10</v>
      </c>
    </row>
    <row r="2519">
      <c r="A2519" s="29" t="n">
        <v>46041</v>
      </c>
      <c r="B2519" s="37" t="inlineStr">
        <is>
          <t>JOB-3515</t>
        </is>
      </c>
      <c r="C2519" s="34" t="n">
        <v>1</v>
      </c>
      <c r="D2519" s="37" t="inlineStr">
        <is>
          <t>Tech C</t>
        </is>
      </c>
      <c r="E2519" s="35" t="n">
        <v>2.3</v>
      </c>
      <c r="F2519" s="35" t="n">
        <v>1.6</v>
      </c>
      <c r="G2519" s="37" t="inlineStr">
        <is>
          <t>Y</t>
        </is>
      </c>
      <c r="H2519" s="37" t="inlineStr">
        <is>
          <t>N</t>
        </is>
      </c>
      <c r="I2519" s="37">
        <f>COUNTIF(G$5:G2519,"Y")/COUNTA(G$5:G2519)</f>
        <v/>
      </c>
      <c r="J2519" s="37">
        <f>COUNTIF(H$5:H2519,"Y")/COUNTA(H$5:H2519)</f>
        <v/>
      </c>
      <c r="K2519" s="37">
        <f>AVERAGE(F$5:F2519)</f>
        <v/>
      </c>
      <c r="L2519" s="37">
        <f>SUM(F$5:F2519)/SUM(E$5:E2519)</f>
        <v/>
      </c>
    </row>
    <row r="2520">
      <c r="A2520" s="29" t="n">
        <v>46042</v>
      </c>
      <c r="B2520" s="37" t="inlineStr">
        <is>
          <t>JOB-3516</t>
        </is>
      </c>
      <c r="C2520" s="34" t="n">
        <v>1</v>
      </c>
      <c r="D2520" s="37" t="inlineStr">
        <is>
          <t>Tech B</t>
        </is>
      </c>
      <c r="E2520" s="35" t="n">
        <v>2.4</v>
      </c>
      <c r="F2520" s="35" t="n">
        <v>1.8</v>
      </c>
      <c r="G2520" s="37" t="inlineStr">
        <is>
          <t>N</t>
        </is>
      </c>
      <c r="H2520" s="37" t="inlineStr">
        <is>
          <t>N</t>
        </is>
      </c>
      <c r="I2520" s="37">
        <f>COUNTIF(G$5:G2520,"Y")/COUNTA(G$5:G2520)</f>
        <v/>
      </c>
      <c r="J2520" s="37">
        <f>COUNTIF(H$5:H2520,"Y")/COUNTA(H$5:H2520)</f>
        <v/>
      </c>
      <c r="K2520" s="37">
        <f>AVERAGE(F$5:F2520)</f>
        <v/>
      </c>
      <c r="L2520" s="37">
        <f>SUM(F$5:F2520)/SUM(E$5:E2520)</f>
        <v/>
      </c>
    </row>
    <row r="2521">
      <c r="A2521" s="29" t="n">
        <v>46043</v>
      </c>
      <c r="B2521" s="37" t="inlineStr">
        <is>
          <t>JOB-3517</t>
        </is>
      </c>
      <c r="C2521" s="34" t="n">
        <v>1</v>
      </c>
      <c r="D2521" s="37" t="inlineStr">
        <is>
          <t>Tech F</t>
        </is>
      </c>
      <c r="E2521" s="35" t="n">
        <v>1.6</v>
      </c>
      <c r="F2521" s="35" t="n">
        <v>1.3</v>
      </c>
      <c r="G2521" s="37" t="inlineStr">
        <is>
          <t>N</t>
        </is>
      </c>
      <c r="H2521" s="37" t="inlineStr">
        <is>
          <t>N</t>
        </is>
      </c>
      <c r="I2521" s="37">
        <f>COUNTIF(G$5:G2521,"Y")/COUNTA(G$5:G2521)</f>
        <v/>
      </c>
      <c r="J2521" s="37">
        <f>COUNTIF(H$5:H2521,"Y")/COUNTA(H$5:H2521)</f>
        <v/>
      </c>
      <c r="K2521" s="37">
        <f>AVERAGE(F$5:F2521)</f>
        <v/>
      </c>
      <c r="L2521" s="37">
        <f>SUM(F$5:F2521)/SUM(E$5:E2521)</f>
        <v/>
      </c>
    </row>
    <row r="2522">
      <c r="A2522" s="29" t="n">
        <v>46044</v>
      </c>
      <c r="B2522" s="37" t="inlineStr">
        <is>
          <t>JOB-3518</t>
        </is>
      </c>
      <c r="C2522" s="34" t="n">
        <v>1</v>
      </c>
      <c r="D2522" s="37" t="inlineStr">
        <is>
          <t>Tech A</t>
        </is>
      </c>
      <c r="E2522" s="35" t="n">
        <v>3.1</v>
      </c>
      <c r="F2522" s="35" t="n">
        <v>2.1</v>
      </c>
      <c r="G2522" s="37" t="inlineStr">
        <is>
          <t>Y</t>
        </is>
      </c>
      <c r="H2522" s="37" t="inlineStr">
        <is>
          <t>N</t>
        </is>
      </c>
      <c r="I2522" s="37">
        <f>COUNTIF(G$5:G2522,"Y")/COUNTA(G$5:G2522)</f>
        <v/>
      </c>
      <c r="J2522" s="37">
        <f>COUNTIF(H$5:H2522,"Y")/COUNTA(H$5:H2522)</f>
        <v/>
      </c>
      <c r="K2522" s="37">
        <f>AVERAGE(F$5:F2522)</f>
        <v/>
      </c>
      <c r="L2522" s="37">
        <f>SUM(F$5:F2522)/SUM(E$5:E2522)</f>
        <v/>
      </c>
    </row>
    <row r="2523">
      <c r="A2523" s="29" t="n">
        <v>46045</v>
      </c>
      <c r="B2523" s="37" t="inlineStr">
        <is>
          <t>JOB-3519</t>
        </is>
      </c>
      <c r="C2523" s="34" t="n">
        <v>1</v>
      </c>
      <c r="D2523" s="37" t="inlineStr">
        <is>
          <t>Tech A</t>
        </is>
      </c>
      <c r="E2523" s="35" t="n">
        <v>2.6</v>
      </c>
      <c r="F2523" s="35" t="n">
        <v>2.3</v>
      </c>
      <c r="G2523" s="37" t="inlineStr">
        <is>
          <t>Y</t>
        </is>
      </c>
      <c r="H2523" s="37" t="inlineStr">
        <is>
          <t>N</t>
        </is>
      </c>
      <c r="I2523" s="37">
        <f>COUNTIF(G$5:G2523,"Y")/COUNTA(G$5:G2523)</f>
        <v/>
      </c>
      <c r="J2523" s="37">
        <f>COUNTIF(H$5:H2523,"Y")/COUNTA(H$5:H2523)</f>
        <v/>
      </c>
      <c r="K2523" s="37">
        <f>AVERAGE(F$5:F2523)</f>
        <v/>
      </c>
      <c r="L2523" s="37">
        <f>SUM(F$5:F2523)/SUM(E$5:E2523)</f>
        <v/>
      </c>
    </row>
    <row r="2524">
      <c r="A2524" s="29" t="n">
        <v>46041</v>
      </c>
      <c r="B2524" s="37" t="inlineStr">
        <is>
          <t>JOB-3520</t>
        </is>
      </c>
      <c r="C2524" s="34" t="n">
        <v>1</v>
      </c>
      <c r="D2524" s="37" t="inlineStr">
        <is>
          <t>Tech F</t>
        </is>
      </c>
      <c r="E2524" s="35" t="n">
        <v>4.8</v>
      </c>
      <c r="F2524" s="35" t="n">
        <v>3.4</v>
      </c>
      <c r="G2524" s="37" t="inlineStr">
        <is>
          <t>Y</t>
        </is>
      </c>
      <c r="H2524" s="37" t="inlineStr">
        <is>
          <t>N</t>
        </is>
      </c>
      <c r="I2524" s="37">
        <f>COUNTIF(G$5:G2524,"Y")/COUNTA(G$5:G2524)</f>
        <v/>
      </c>
      <c r="J2524" s="37">
        <f>COUNTIF(H$5:H2524,"Y")/COUNTA(H$5:H2524)</f>
        <v/>
      </c>
      <c r="K2524" s="37">
        <f>AVERAGE(F$5:F2524)</f>
        <v/>
      </c>
      <c r="L2524" s="37">
        <f>SUM(F$5:F2524)/SUM(E$5:E2524)</f>
        <v/>
      </c>
    </row>
    <row r="2525">
      <c r="A2525" s="29" t="n">
        <v>46042</v>
      </c>
      <c r="B2525" s="37" t="inlineStr">
        <is>
          <t>JOB-3521</t>
        </is>
      </c>
      <c r="C2525" s="34" t="n">
        <v>1</v>
      </c>
      <c r="D2525" s="37" t="inlineStr">
        <is>
          <t>Tech B</t>
        </is>
      </c>
      <c r="E2525" s="35" t="n">
        <v>2.9</v>
      </c>
      <c r="F2525" s="35" t="n">
        <v>2.4</v>
      </c>
      <c r="G2525" s="37" t="inlineStr">
        <is>
          <t>N</t>
        </is>
      </c>
      <c r="H2525" s="37" t="inlineStr">
        <is>
          <t>N</t>
        </is>
      </c>
      <c r="I2525" s="37">
        <f>COUNTIF(G$5:G2525,"Y")/COUNTA(G$5:G2525)</f>
        <v/>
      </c>
      <c r="J2525" s="37">
        <f>COUNTIF(H$5:H2525,"Y")/COUNTA(H$5:H2525)</f>
        <v/>
      </c>
      <c r="K2525" s="37">
        <f>AVERAGE(F$5:F2525)</f>
        <v/>
      </c>
      <c r="L2525" s="37">
        <f>SUM(F$5:F2525)/SUM(E$5:E2525)</f>
        <v/>
      </c>
    </row>
    <row r="2526">
      <c r="A2526" s="29" t="n">
        <v>46043</v>
      </c>
      <c r="B2526" s="37" t="inlineStr">
        <is>
          <t>JOB-3522</t>
        </is>
      </c>
      <c r="C2526" s="34" t="n">
        <v>1</v>
      </c>
      <c r="D2526" s="37" t="inlineStr">
        <is>
          <t>Tech G</t>
        </is>
      </c>
      <c r="E2526" s="35" t="n">
        <v>2.8</v>
      </c>
      <c r="F2526" s="35" t="n">
        <v>2.4</v>
      </c>
      <c r="G2526" s="37" t="inlineStr">
        <is>
          <t>Y</t>
        </is>
      </c>
      <c r="H2526" s="37" t="inlineStr">
        <is>
          <t>N</t>
        </is>
      </c>
      <c r="I2526" s="37">
        <f>COUNTIF(G$5:G2526,"Y")/COUNTA(G$5:G2526)</f>
        <v/>
      </c>
      <c r="J2526" s="37">
        <f>COUNTIF(H$5:H2526,"Y")/COUNTA(H$5:H2526)</f>
        <v/>
      </c>
      <c r="K2526" s="37">
        <f>AVERAGE(F$5:F2526)</f>
        <v/>
      </c>
      <c r="L2526" s="37">
        <f>SUM(F$5:F2526)/SUM(E$5:E2526)</f>
        <v/>
      </c>
    </row>
    <row r="2527">
      <c r="A2527" s="29" t="n">
        <v>46044</v>
      </c>
      <c r="B2527" s="37" t="inlineStr">
        <is>
          <t>JOB-3523</t>
        </is>
      </c>
      <c r="C2527" s="34" t="n">
        <v>1</v>
      </c>
      <c r="D2527" s="37" t="inlineStr">
        <is>
          <t>Tech C</t>
        </is>
      </c>
      <c r="E2527" s="35" t="n">
        <v>4.1</v>
      </c>
      <c r="F2527" s="35" t="n">
        <v>2.9</v>
      </c>
      <c r="G2527" s="37" t="inlineStr">
        <is>
          <t>Y</t>
        </is>
      </c>
      <c r="H2527" s="37" t="inlineStr">
        <is>
          <t>N</t>
        </is>
      </c>
      <c r="I2527" s="37">
        <f>COUNTIF(G$5:G2527,"Y")/COUNTA(G$5:G2527)</f>
        <v/>
      </c>
      <c r="J2527" s="37">
        <f>COUNTIF(H$5:H2527,"Y")/COUNTA(H$5:H2527)</f>
        <v/>
      </c>
      <c r="K2527" s="37">
        <f>AVERAGE(F$5:F2527)</f>
        <v/>
      </c>
      <c r="L2527" s="37">
        <f>SUM(F$5:F2527)/SUM(E$5:E2527)</f>
        <v/>
      </c>
    </row>
    <row r="2528">
      <c r="A2528" s="29" t="n">
        <v>46045</v>
      </c>
      <c r="B2528" s="37" t="inlineStr">
        <is>
          <t>JOB-3524</t>
        </is>
      </c>
      <c r="C2528" s="34" t="n">
        <v>1</v>
      </c>
      <c r="D2528" s="37" t="inlineStr">
        <is>
          <t>Tech F</t>
        </is>
      </c>
      <c r="E2528" s="35" t="n">
        <v>1.3</v>
      </c>
      <c r="F2528" s="35" t="n">
        <v>1.1</v>
      </c>
      <c r="G2528" s="37" t="inlineStr">
        <is>
          <t>Y</t>
        </is>
      </c>
      <c r="H2528" s="37" t="inlineStr">
        <is>
          <t>N</t>
        </is>
      </c>
      <c r="I2528" s="37">
        <f>COUNTIF(G$5:G2528,"Y")/COUNTA(G$5:G2528)</f>
        <v/>
      </c>
      <c r="J2528" s="37">
        <f>COUNTIF(H$5:H2528,"Y")/COUNTA(H$5:H2528)</f>
        <v/>
      </c>
      <c r="K2528" s="37">
        <f>AVERAGE(F$5:F2528)</f>
        <v/>
      </c>
      <c r="L2528" s="37">
        <f>SUM(F$5:F2528)/SUM(E$5:E2528)</f>
        <v/>
      </c>
    </row>
    <row r="2529">
      <c r="A2529" s="29" t="n">
        <v>46041</v>
      </c>
      <c r="B2529" s="37" t="inlineStr">
        <is>
          <t>JOB-3525</t>
        </is>
      </c>
      <c r="C2529" s="34" t="n">
        <v>1</v>
      </c>
      <c r="D2529" s="37" t="inlineStr">
        <is>
          <t>Tech H</t>
        </is>
      </c>
      <c r="E2529" s="35" t="n">
        <v>2.9</v>
      </c>
      <c r="F2529" s="35" t="n">
        <v>2.1</v>
      </c>
      <c r="G2529" s="37" t="inlineStr">
        <is>
          <t>Y</t>
        </is>
      </c>
      <c r="H2529" s="37" t="inlineStr">
        <is>
          <t>N</t>
        </is>
      </c>
      <c r="I2529" s="37">
        <f>COUNTIF(G$5:G2529,"Y")/COUNTA(G$5:G2529)</f>
        <v/>
      </c>
      <c r="J2529" s="37">
        <f>COUNTIF(H$5:H2529,"Y")/COUNTA(H$5:H2529)</f>
        <v/>
      </c>
      <c r="K2529" s="37">
        <f>AVERAGE(F$5:F2529)</f>
        <v/>
      </c>
      <c r="L2529" s="37">
        <f>SUM(F$5:F2529)/SUM(E$5:E2529)</f>
        <v/>
      </c>
    </row>
    <row r="2530">
      <c r="A2530" s="29" t="n">
        <v>46042</v>
      </c>
      <c r="B2530" s="37" t="inlineStr">
        <is>
          <t>JOB-3526</t>
        </is>
      </c>
      <c r="C2530" s="34" t="n">
        <v>1</v>
      </c>
      <c r="D2530" s="37" t="inlineStr">
        <is>
          <t>Tech G</t>
        </is>
      </c>
      <c r="E2530" s="35" t="n">
        <v>3.9</v>
      </c>
      <c r="F2530" s="35" t="n">
        <v>3.5</v>
      </c>
      <c r="G2530" s="37" t="inlineStr">
        <is>
          <t>Y</t>
        </is>
      </c>
      <c r="H2530" s="37" t="inlineStr">
        <is>
          <t>N</t>
        </is>
      </c>
      <c r="I2530" s="37">
        <f>COUNTIF(G$5:G2530,"Y")/COUNTA(G$5:G2530)</f>
        <v/>
      </c>
      <c r="J2530" s="37">
        <f>COUNTIF(H$5:H2530,"Y")/COUNTA(H$5:H2530)</f>
        <v/>
      </c>
      <c r="K2530" s="37">
        <f>AVERAGE(F$5:F2530)</f>
        <v/>
      </c>
      <c r="L2530" s="37">
        <f>SUM(F$5:F2530)/SUM(E$5:E2530)</f>
        <v/>
      </c>
    </row>
    <row r="2531">
      <c r="A2531" s="29" t="n">
        <v>46043</v>
      </c>
      <c r="B2531" s="37" t="inlineStr">
        <is>
          <t>JOB-3527</t>
        </is>
      </c>
      <c r="C2531" s="34" t="n">
        <v>1</v>
      </c>
      <c r="D2531" s="37" t="inlineStr">
        <is>
          <t>Tech H</t>
        </is>
      </c>
      <c r="E2531" s="35" t="n">
        <v>3.9</v>
      </c>
      <c r="F2531" s="35" t="n">
        <v>3.2</v>
      </c>
      <c r="G2531" s="37" t="inlineStr">
        <is>
          <t>Y</t>
        </is>
      </c>
      <c r="H2531" s="37" t="inlineStr">
        <is>
          <t>N</t>
        </is>
      </c>
      <c r="I2531" s="37">
        <f>COUNTIF(G$5:G2531,"Y")/COUNTA(G$5:G2531)</f>
        <v/>
      </c>
      <c r="J2531" s="37">
        <f>COUNTIF(H$5:H2531,"Y")/COUNTA(H$5:H2531)</f>
        <v/>
      </c>
      <c r="K2531" s="37">
        <f>AVERAGE(F$5:F2531)</f>
        <v/>
      </c>
      <c r="L2531" s="37">
        <f>SUM(F$5:F2531)/SUM(E$5:E2531)</f>
        <v/>
      </c>
    </row>
    <row r="2532">
      <c r="A2532" s="29" t="n">
        <v>46044</v>
      </c>
      <c r="B2532" s="37" t="inlineStr">
        <is>
          <t>JOB-3528</t>
        </is>
      </c>
      <c r="C2532" s="34" t="n">
        <v>1</v>
      </c>
      <c r="D2532" s="37" t="inlineStr">
        <is>
          <t>Tech F</t>
        </is>
      </c>
      <c r="E2532" s="35" t="n">
        <v>3</v>
      </c>
      <c r="F2532" s="35" t="n">
        <v>2.5</v>
      </c>
      <c r="G2532" s="37" t="inlineStr">
        <is>
          <t>Y</t>
        </is>
      </c>
      <c r="H2532" s="37" t="inlineStr">
        <is>
          <t>N</t>
        </is>
      </c>
      <c r="I2532" s="37">
        <f>COUNTIF(G$5:G2532,"Y")/COUNTA(G$5:G2532)</f>
        <v/>
      </c>
      <c r="J2532" s="37">
        <f>COUNTIF(H$5:H2532,"Y")/COUNTA(H$5:H2532)</f>
        <v/>
      </c>
      <c r="K2532" s="37">
        <f>AVERAGE(F$5:F2532)</f>
        <v/>
      </c>
      <c r="L2532" s="37">
        <f>SUM(F$5:F2532)/SUM(E$5:E2532)</f>
        <v/>
      </c>
    </row>
    <row r="2533">
      <c r="A2533" s="29" t="n">
        <v>46045</v>
      </c>
      <c r="B2533" s="37" t="inlineStr">
        <is>
          <t>JOB-3529</t>
        </is>
      </c>
      <c r="C2533" s="34" t="n">
        <v>1</v>
      </c>
      <c r="D2533" s="37" t="inlineStr">
        <is>
          <t>Tech G</t>
        </is>
      </c>
      <c r="E2533" s="35" t="n">
        <v>3.9</v>
      </c>
      <c r="F2533" s="35" t="n">
        <v>3.5</v>
      </c>
      <c r="G2533" s="37" t="inlineStr">
        <is>
          <t>Y</t>
        </is>
      </c>
      <c r="H2533" s="37" t="inlineStr">
        <is>
          <t>N</t>
        </is>
      </c>
      <c r="I2533" s="37">
        <f>COUNTIF(G$5:G2533,"Y")/COUNTA(G$5:G2533)</f>
        <v/>
      </c>
      <c r="J2533" s="37">
        <f>COUNTIF(H$5:H2533,"Y")/COUNTA(H$5:H2533)</f>
        <v/>
      </c>
      <c r="K2533" s="37">
        <f>AVERAGE(F$5:F2533)</f>
        <v/>
      </c>
      <c r="L2533" s="37">
        <f>SUM(F$5:F2533)/SUM(E$5:E2533)</f>
        <v/>
      </c>
    </row>
    <row r="2534">
      <c r="A2534" s="29" t="n">
        <v>46041</v>
      </c>
      <c r="B2534" s="37" t="inlineStr">
        <is>
          <t>JOB-3530</t>
        </is>
      </c>
      <c r="C2534" s="34" t="n">
        <v>1</v>
      </c>
      <c r="D2534" s="37" t="inlineStr">
        <is>
          <t>Tech F</t>
        </is>
      </c>
      <c r="E2534" s="35" t="n">
        <v>4</v>
      </c>
      <c r="F2534" s="35" t="n">
        <v>3.2</v>
      </c>
      <c r="G2534" s="37" t="inlineStr">
        <is>
          <t>Y</t>
        </is>
      </c>
      <c r="H2534" s="37" t="inlineStr">
        <is>
          <t>Y</t>
        </is>
      </c>
      <c r="I2534" s="37">
        <f>COUNTIF(G$5:G2534,"Y")/COUNTA(G$5:G2534)</f>
        <v/>
      </c>
      <c r="J2534" s="37">
        <f>COUNTIF(H$5:H2534,"Y")/COUNTA(H$5:H2534)</f>
        <v/>
      </c>
      <c r="K2534" s="37">
        <f>AVERAGE(F$5:F2534)</f>
        <v/>
      </c>
      <c r="L2534" s="37">
        <f>SUM(F$5:F2534)/SUM(E$5:E2534)</f>
        <v/>
      </c>
    </row>
    <row r="2535">
      <c r="A2535" s="29" t="n">
        <v>46042</v>
      </c>
      <c r="B2535" s="37" t="inlineStr">
        <is>
          <t>JOB-3531</t>
        </is>
      </c>
      <c r="C2535" s="34" t="n">
        <v>1</v>
      </c>
      <c r="D2535" s="37" t="inlineStr">
        <is>
          <t>Tech H</t>
        </is>
      </c>
      <c r="E2535" s="35" t="n">
        <v>1.2</v>
      </c>
      <c r="F2535" s="35" t="n">
        <v>1</v>
      </c>
      <c r="G2535" s="37" t="inlineStr">
        <is>
          <t>Y</t>
        </is>
      </c>
      <c r="H2535" s="37" t="inlineStr">
        <is>
          <t>N</t>
        </is>
      </c>
      <c r="I2535" s="37">
        <f>COUNTIF(G$5:G2535,"Y")/COUNTA(G$5:G2535)</f>
        <v/>
      </c>
      <c r="J2535" s="37">
        <f>COUNTIF(H$5:H2535,"Y")/COUNTA(H$5:H2535)</f>
        <v/>
      </c>
      <c r="K2535" s="37">
        <f>AVERAGE(F$5:F2535)</f>
        <v/>
      </c>
      <c r="L2535" s="37">
        <f>SUM(F$5:F2535)/SUM(E$5:E2535)</f>
        <v/>
      </c>
    </row>
    <row r="2536">
      <c r="A2536" s="29" t="n">
        <v>46043</v>
      </c>
      <c r="B2536" s="37" t="inlineStr">
        <is>
          <t>JOB-3532</t>
        </is>
      </c>
      <c r="C2536" s="34" t="n">
        <v>1</v>
      </c>
      <c r="D2536" s="37" t="inlineStr">
        <is>
          <t>Tech C</t>
        </is>
      </c>
      <c r="E2536" s="35" t="n">
        <v>2.6</v>
      </c>
      <c r="F2536" s="35" t="n">
        <v>2.2</v>
      </c>
      <c r="G2536" s="37" t="inlineStr">
        <is>
          <t>Y</t>
        </is>
      </c>
      <c r="H2536" s="37" t="inlineStr">
        <is>
          <t>N</t>
        </is>
      </c>
      <c r="I2536" s="37">
        <f>COUNTIF(G$5:G2536,"Y")/COUNTA(G$5:G2536)</f>
        <v/>
      </c>
      <c r="J2536" s="37">
        <f>COUNTIF(H$5:H2536,"Y")/COUNTA(H$5:H2536)</f>
        <v/>
      </c>
      <c r="K2536" s="37">
        <f>AVERAGE(F$5:F2536)</f>
        <v/>
      </c>
      <c r="L2536" s="37">
        <f>SUM(F$5:F2536)/SUM(E$5:E2536)</f>
        <v/>
      </c>
    </row>
    <row r="2537">
      <c r="A2537" s="29" t="n">
        <v>46044</v>
      </c>
      <c r="B2537" s="37" t="inlineStr">
        <is>
          <t>JOB-3533</t>
        </is>
      </c>
      <c r="C2537" s="34" t="n">
        <v>1</v>
      </c>
      <c r="D2537" s="37" t="inlineStr">
        <is>
          <t>Tech B</t>
        </is>
      </c>
      <c r="E2537" s="35" t="n">
        <v>2.7</v>
      </c>
      <c r="F2537" s="35" t="n">
        <v>2</v>
      </c>
      <c r="G2537" s="37" t="inlineStr">
        <is>
          <t>Y</t>
        </is>
      </c>
      <c r="H2537" s="37" t="inlineStr">
        <is>
          <t>N</t>
        </is>
      </c>
      <c r="I2537" s="37">
        <f>COUNTIF(G$5:G2537,"Y")/COUNTA(G$5:G2537)</f>
        <v/>
      </c>
      <c r="J2537" s="37">
        <f>COUNTIF(H$5:H2537,"Y")/COUNTA(H$5:H2537)</f>
        <v/>
      </c>
      <c r="K2537" s="37">
        <f>AVERAGE(F$5:F2537)</f>
        <v/>
      </c>
      <c r="L2537" s="37">
        <f>SUM(F$5:F2537)/SUM(E$5:E2537)</f>
        <v/>
      </c>
    </row>
    <row r="2538">
      <c r="A2538" s="29" t="n">
        <v>46045</v>
      </c>
      <c r="B2538" s="37" t="inlineStr">
        <is>
          <t>JOB-3534</t>
        </is>
      </c>
      <c r="C2538" s="34" t="n">
        <v>1</v>
      </c>
      <c r="D2538" s="37" t="inlineStr">
        <is>
          <t>Tech D</t>
        </is>
      </c>
      <c r="E2538" s="35" t="n">
        <v>3.3</v>
      </c>
      <c r="F2538" s="35" t="n">
        <v>2.4</v>
      </c>
      <c r="G2538" s="37" t="inlineStr">
        <is>
          <t>Y</t>
        </is>
      </c>
      <c r="H2538" s="37" t="inlineStr">
        <is>
          <t>N</t>
        </is>
      </c>
      <c r="I2538" s="37">
        <f>COUNTIF(G$5:G2538,"Y")/COUNTA(G$5:G2538)</f>
        <v/>
      </c>
      <c r="J2538" s="37">
        <f>COUNTIF(H$5:H2538,"Y")/COUNTA(H$5:H2538)</f>
        <v/>
      </c>
      <c r="K2538" s="37">
        <f>AVERAGE(F$5:F2538)</f>
        <v/>
      </c>
      <c r="L2538" s="37">
        <f>SUM(F$5:F2538)/SUM(E$5:E2538)</f>
        <v/>
      </c>
    </row>
    <row r="2539">
      <c r="A2539" s="29" t="n">
        <v>46041</v>
      </c>
      <c r="B2539" s="37" t="inlineStr">
        <is>
          <t>JOB-3535</t>
        </is>
      </c>
      <c r="C2539" s="34" t="n">
        <v>1</v>
      </c>
      <c r="D2539" s="37" t="inlineStr">
        <is>
          <t>Tech G</t>
        </is>
      </c>
      <c r="E2539" s="35" t="n">
        <v>1.5</v>
      </c>
      <c r="F2539" s="35" t="n">
        <v>1.1</v>
      </c>
      <c r="G2539" s="37" t="inlineStr">
        <is>
          <t>Y</t>
        </is>
      </c>
      <c r="H2539" s="37" t="inlineStr">
        <is>
          <t>N</t>
        </is>
      </c>
      <c r="I2539" s="37">
        <f>COUNTIF(G$5:G2539,"Y")/COUNTA(G$5:G2539)</f>
        <v/>
      </c>
      <c r="J2539" s="37">
        <f>COUNTIF(H$5:H2539,"Y")/COUNTA(H$5:H2539)</f>
        <v/>
      </c>
      <c r="K2539" s="37">
        <f>AVERAGE(F$5:F2539)</f>
        <v/>
      </c>
      <c r="L2539" s="37">
        <f>SUM(F$5:F2539)/SUM(E$5:E2539)</f>
        <v/>
      </c>
    </row>
    <row r="2540">
      <c r="A2540" s="29" t="n">
        <v>46042</v>
      </c>
      <c r="B2540" s="37" t="inlineStr">
        <is>
          <t>JOB-3536</t>
        </is>
      </c>
      <c r="C2540" s="34" t="n">
        <v>1</v>
      </c>
      <c r="D2540" s="37" t="inlineStr">
        <is>
          <t>Tech F</t>
        </is>
      </c>
      <c r="E2540" s="35" t="n">
        <v>4.9</v>
      </c>
      <c r="F2540" s="35" t="n">
        <v>3.4</v>
      </c>
      <c r="G2540" s="37" t="inlineStr">
        <is>
          <t>Y</t>
        </is>
      </c>
      <c r="H2540" s="37" t="inlineStr">
        <is>
          <t>N</t>
        </is>
      </c>
      <c r="I2540" s="37">
        <f>COUNTIF(G$5:G2540,"Y")/COUNTA(G$5:G2540)</f>
        <v/>
      </c>
      <c r="J2540" s="37">
        <f>COUNTIF(H$5:H2540,"Y")/COUNTA(H$5:H2540)</f>
        <v/>
      </c>
      <c r="K2540" s="37">
        <f>AVERAGE(F$5:F2540)</f>
        <v/>
      </c>
      <c r="L2540" s="37">
        <f>SUM(F$5:F2540)/SUM(E$5:E2540)</f>
        <v/>
      </c>
    </row>
    <row r="2541">
      <c r="A2541" s="29" t="n">
        <v>46043</v>
      </c>
      <c r="B2541" s="37" t="inlineStr">
        <is>
          <t>JOB-3537</t>
        </is>
      </c>
      <c r="C2541" s="34" t="n">
        <v>1</v>
      </c>
      <c r="D2541" s="37" t="inlineStr">
        <is>
          <t>Tech A</t>
        </is>
      </c>
      <c r="E2541" s="35" t="n">
        <v>3.7</v>
      </c>
      <c r="F2541" s="35" t="n">
        <v>3</v>
      </c>
      <c r="G2541" s="37" t="inlineStr">
        <is>
          <t>Y</t>
        </is>
      </c>
      <c r="H2541" s="37" t="inlineStr">
        <is>
          <t>N</t>
        </is>
      </c>
      <c r="I2541" s="37">
        <f>COUNTIF(G$5:G2541,"Y")/COUNTA(G$5:G2541)</f>
        <v/>
      </c>
      <c r="J2541" s="37">
        <f>COUNTIF(H$5:H2541,"Y")/COUNTA(H$5:H2541)</f>
        <v/>
      </c>
      <c r="K2541" s="37">
        <f>AVERAGE(F$5:F2541)</f>
        <v/>
      </c>
      <c r="L2541" s="37">
        <f>SUM(F$5:F2541)/SUM(E$5:E2541)</f>
        <v/>
      </c>
    </row>
    <row r="2542">
      <c r="A2542" s="29" t="n">
        <v>46044</v>
      </c>
      <c r="B2542" s="37" t="inlineStr">
        <is>
          <t>JOB-3538</t>
        </is>
      </c>
      <c r="C2542" s="34" t="n">
        <v>1</v>
      </c>
      <c r="D2542" s="37" t="inlineStr">
        <is>
          <t>Tech H</t>
        </is>
      </c>
      <c r="E2542" s="35" t="n">
        <v>3.8</v>
      </c>
      <c r="F2542" s="35" t="n">
        <v>3.2</v>
      </c>
      <c r="G2542" s="37" t="inlineStr">
        <is>
          <t>Y</t>
        </is>
      </c>
      <c r="H2542" s="37" t="inlineStr">
        <is>
          <t>N</t>
        </is>
      </c>
      <c r="I2542" s="37">
        <f>COUNTIF(G$5:G2542,"Y")/COUNTA(G$5:G2542)</f>
        <v/>
      </c>
      <c r="J2542" s="37">
        <f>COUNTIF(H$5:H2542,"Y")/COUNTA(H$5:H2542)</f>
        <v/>
      </c>
      <c r="K2542" s="37">
        <f>AVERAGE(F$5:F2542)</f>
        <v/>
      </c>
      <c r="L2542" s="37">
        <f>SUM(F$5:F2542)/SUM(E$5:E2542)</f>
        <v/>
      </c>
    </row>
    <row r="2543">
      <c r="A2543" s="29" t="n">
        <v>46045</v>
      </c>
      <c r="B2543" s="37" t="inlineStr">
        <is>
          <t>JOB-3539</t>
        </is>
      </c>
      <c r="C2543" s="34" t="n">
        <v>1</v>
      </c>
      <c r="D2543" s="37" t="inlineStr">
        <is>
          <t>Tech H</t>
        </is>
      </c>
      <c r="E2543" s="35" t="n">
        <v>3.6</v>
      </c>
      <c r="F2543" s="35" t="n">
        <v>3</v>
      </c>
      <c r="G2543" s="37" t="inlineStr">
        <is>
          <t>Y</t>
        </is>
      </c>
      <c r="H2543" s="37" t="inlineStr">
        <is>
          <t>N</t>
        </is>
      </c>
      <c r="I2543" s="37">
        <f>COUNTIF(G$5:G2543,"Y")/COUNTA(G$5:G2543)</f>
        <v/>
      </c>
      <c r="J2543" s="37">
        <f>COUNTIF(H$5:H2543,"Y")/COUNTA(H$5:H2543)</f>
        <v/>
      </c>
      <c r="K2543" s="37">
        <f>AVERAGE(F$5:F2543)</f>
        <v/>
      </c>
      <c r="L2543" s="37">
        <f>SUM(F$5:F2543)/SUM(E$5:E2543)</f>
        <v/>
      </c>
    </row>
    <row r="2544">
      <c r="A2544" s="29" t="n">
        <v>46041</v>
      </c>
      <c r="B2544" s="37" t="inlineStr">
        <is>
          <t>JOB-3540</t>
        </is>
      </c>
      <c r="C2544" s="34" t="n">
        <v>1</v>
      </c>
      <c r="D2544" s="37" t="inlineStr">
        <is>
          <t>Tech B</t>
        </is>
      </c>
      <c r="E2544" s="35" t="n">
        <v>1.5</v>
      </c>
      <c r="F2544" s="35" t="n">
        <v>1.1</v>
      </c>
      <c r="G2544" s="37" t="inlineStr">
        <is>
          <t>Y</t>
        </is>
      </c>
      <c r="H2544" s="37" t="inlineStr">
        <is>
          <t>N</t>
        </is>
      </c>
      <c r="I2544" s="37">
        <f>COUNTIF(G$5:G2544,"Y")/COUNTA(G$5:G2544)</f>
        <v/>
      </c>
      <c r="J2544" s="37">
        <f>COUNTIF(H$5:H2544,"Y")/COUNTA(H$5:H2544)</f>
        <v/>
      </c>
      <c r="K2544" s="37">
        <f>AVERAGE(F$5:F2544)</f>
        <v/>
      </c>
      <c r="L2544" s="37">
        <f>SUM(F$5:F2544)/SUM(E$5:E2544)</f>
        <v/>
      </c>
    </row>
    <row r="2545">
      <c r="A2545" s="29" t="n">
        <v>46042</v>
      </c>
      <c r="B2545" s="37" t="inlineStr">
        <is>
          <t>JOB-3541</t>
        </is>
      </c>
      <c r="C2545" s="34" t="n">
        <v>1</v>
      </c>
      <c r="D2545" s="37" t="inlineStr">
        <is>
          <t>Tech D</t>
        </is>
      </c>
      <c r="E2545" s="35" t="n">
        <v>3.7</v>
      </c>
      <c r="F2545" s="35" t="n">
        <v>2.6</v>
      </c>
      <c r="G2545" s="37" t="inlineStr">
        <is>
          <t>Y</t>
        </is>
      </c>
      <c r="H2545" s="37" t="inlineStr">
        <is>
          <t>N</t>
        </is>
      </c>
      <c r="I2545" s="37">
        <f>COUNTIF(G$5:G2545,"Y")/COUNTA(G$5:G2545)</f>
        <v/>
      </c>
      <c r="J2545" s="37">
        <f>COUNTIF(H$5:H2545,"Y")/COUNTA(H$5:H2545)</f>
        <v/>
      </c>
      <c r="K2545" s="37">
        <f>AVERAGE(F$5:F2545)</f>
        <v/>
      </c>
      <c r="L2545" s="37">
        <f>SUM(F$5:F2545)/SUM(E$5:E2545)</f>
        <v/>
      </c>
    </row>
    <row r="2546">
      <c r="A2546" s="29" t="n">
        <v>46043</v>
      </c>
      <c r="B2546" s="37" t="inlineStr">
        <is>
          <t>JOB-3542</t>
        </is>
      </c>
      <c r="C2546" s="34" t="n">
        <v>1</v>
      </c>
      <c r="D2546" s="37" t="inlineStr">
        <is>
          <t>Tech G</t>
        </is>
      </c>
      <c r="E2546" s="35" t="n">
        <v>4.4</v>
      </c>
      <c r="F2546" s="35" t="n">
        <v>3</v>
      </c>
      <c r="G2546" s="37" t="inlineStr">
        <is>
          <t>Y</t>
        </is>
      </c>
      <c r="H2546" s="37" t="inlineStr">
        <is>
          <t>N</t>
        </is>
      </c>
      <c r="I2546" s="37">
        <f>COUNTIF(G$5:G2546,"Y")/COUNTA(G$5:G2546)</f>
        <v/>
      </c>
      <c r="J2546" s="37">
        <f>COUNTIF(H$5:H2546,"Y")/COUNTA(H$5:H2546)</f>
        <v/>
      </c>
      <c r="K2546" s="37">
        <f>AVERAGE(F$5:F2546)</f>
        <v/>
      </c>
      <c r="L2546" s="37">
        <f>SUM(F$5:F2546)/SUM(E$5:E2546)</f>
        <v/>
      </c>
    </row>
    <row r="2547">
      <c r="A2547" s="29" t="n">
        <v>46044</v>
      </c>
      <c r="B2547" s="37" t="inlineStr">
        <is>
          <t>JOB-3543</t>
        </is>
      </c>
      <c r="C2547" s="34" t="n">
        <v>1</v>
      </c>
      <c r="D2547" s="37" t="inlineStr">
        <is>
          <t>Tech H</t>
        </is>
      </c>
      <c r="E2547" s="35" t="n">
        <v>4.2</v>
      </c>
      <c r="F2547" s="35" t="n">
        <v>3</v>
      </c>
      <c r="G2547" s="37" t="inlineStr">
        <is>
          <t>Y</t>
        </is>
      </c>
      <c r="H2547" s="37" t="inlineStr">
        <is>
          <t>N</t>
        </is>
      </c>
      <c r="I2547" s="37">
        <f>COUNTIF(G$5:G2547,"Y")/COUNTA(G$5:G2547)</f>
        <v/>
      </c>
      <c r="J2547" s="37">
        <f>COUNTIF(H$5:H2547,"Y")/COUNTA(H$5:H2547)</f>
        <v/>
      </c>
      <c r="K2547" s="37">
        <f>AVERAGE(F$5:F2547)</f>
        <v/>
      </c>
      <c r="L2547" s="37">
        <f>SUM(F$5:F2547)/SUM(E$5:E2547)</f>
        <v/>
      </c>
    </row>
    <row r="2548">
      <c r="A2548" s="29" t="n">
        <v>46045</v>
      </c>
      <c r="B2548" s="37" t="inlineStr">
        <is>
          <t>JOB-3544</t>
        </is>
      </c>
      <c r="C2548" s="34" t="n">
        <v>1</v>
      </c>
      <c r="D2548" s="37" t="inlineStr">
        <is>
          <t>Tech A</t>
        </is>
      </c>
      <c r="E2548" s="35" t="n">
        <v>3.5</v>
      </c>
      <c r="F2548" s="35" t="n">
        <v>2.4</v>
      </c>
      <c r="G2548" s="37" t="inlineStr">
        <is>
          <t>Y</t>
        </is>
      </c>
      <c r="H2548" s="37" t="inlineStr">
        <is>
          <t>N</t>
        </is>
      </c>
      <c r="I2548" s="37">
        <f>COUNTIF(G$5:G2548,"Y")/COUNTA(G$5:G2548)</f>
        <v/>
      </c>
      <c r="J2548" s="37">
        <f>COUNTIF(H$5:H2548,"Y")/COUNTA(H$5:H2548)</f>
        <v/>
      </c>
      <c r="K2548" s="37">
        <f>AVERAGE(F$5:F2548)</f>
        <v/>
      </c>
      <c r="L2548" s="37">
        <f>SUM(F$5:F2548)/SUM(E$5:E2548)</f>
        <v/>
      </c>
    </row>
    <row r="2549">
      <c r="A2549" s="29" t="n">
        <v>46041</v>
      </c>
      <c r="B2549" s="37" t="inlineStr">
        <is>
          <t>JOB-3545</t>
        </is>
      </c>
      <c r="C2549" s="34" t="n">
        <v>1</v>
      </c>
      <c r="D2549" s="37" t="inlineStr">
        <is>
          <t>Tech A</t>
        </is>
      </c>
      <c r="E2549" s="35" t="n">
        <v>4.1</v>
      </c>
      <c r="F2549" s="35" t="n">
        <v>3.4</v>
      </c>
      <c r="G2549" s="37" t="inlineStr">
        <is>
          <t>Y</t>
        </is>
      </c>
      <c r="H2549" s="37" t="inlineStr">
        <is>
          <t>N</t>
        </is>
      </c>
      <c r="I2549" s="37">
        <f>COUNTIF(G$5:G2549,"Y")/COUNTA(G$5:G2549)</f>
        <v/>
      </c>
      <c r="J2549" s="37">
        <f>COUNTIF(H$5:H2549,"Y")/COUNTA(H$5:H2549)</f>
        <v/>
      </c>
      <c r="K2549" s="37">
        <f>AVERAGE(F$5:F2549)</f>
        <v/>
      </c>
      <c r="L2549" s="37">
        <f>SUM(F$5:F2549)/SUM(E$5:E2549)</f>
        <v/>
      </c>
    </row>
    <row r="2550">
      <c r="A2550" s="29" t="n">
        <v>46042</v>
      </c>
      <c r="B2550" s="37" t="inlineStr">
        <is>
          <t>JOB-3546</t>
        </is>
      </c>
      <c r="C2550" s="34" t="n">
        <v>1</v>
      </c>
      <c r="D2550" s="37" t="inlineStr">
        <is>
          <t>Tech B</t>
        </is>
      </c>
      <c r="E2550" s="35" t="n">
        <v>4.7</v>
      </c>
      <c r="F2550" s="35" t="n">
        <v>3.6</v>
      </c>
      <c r="G2550" s="37" t="inlineStr">
        <is>
          <t>Y</t>
        </is>
      </c>
      <c r="H2550" s="37" t="inlineStr">
        <is>
          <t>N</t>
        </is>
      </c>
      <c r="I2550" s="37">
        <f>COUNTIF(G$5:G2550,"Y")/COUNTA(G$5:G2550)</f>
        <v/>
      </c>
      <c r="J2550" s="37">
        <f>COUNTIF(H$5:H2550,"Y")/COUNTA(H$5:H2550)</f>
        <v/>
      </c>
      <c r="K2550" s="37">
        <f>AVERAGE(F$5:F2550)</f>
        <v/>
      </c>
      <c r="L2550" s="37">
        <f>SUM(F$5:F2550)/SUM(E$5:E2550)</f>
        <v/>
      </c>
    </row>
    <row r="2551">
      <c r="A2551" s="29" t="n">
        <v>46043</v>
      </c>
      <c r="B2551" s="37" t="inlineStr">
        <is>
          <t>JOB-3547</t>
        </is>
      </c>
      <c r="C2551" s="34" t="n">
        <v>1</v>
      </c>
      <c r="D2551" s="37" t="inlineStr">
        <is>
          <t>Tech F</t>
        </is>
      </c>
      <c r="E2551" s="35" t="n">
        <v>2.9</v>
      </c>
      <c r="F2551" s="35" t="n">
        <v>2.1</v>
      </c>
      <c r="G2551" s="37" t="inlineStr">
        <is>
          <t>Y</t>
        </is>
      </c>
      <c r="H2551" s="37" t="inlineStr">
        <is>
          <t>N</t>
        </is>
      </c>
      <c r="I2551" s="37">
        <f>COUNTIF(G$5:G2551,"Y")/COUNTA(G$5:G2551)</f>
        <v/>
      </c>
      <c r="J2551" s="37">
        <f>COUNTIF(H$5:H2551,"Y")/COUNTA(H$5:H2551)</f>
        <v/>
      </c>
      <c r="K2551" s="37">
        <f>AVERAGE(F$5:F2551)</f>
        <v/>
      </c>
      <c r="L2551" s="37">
        <f>SUM(F$5:F2551)/SUM(E$5:E2551)</f>
        <v/>
      </c>
    </row>
    <row r="2552">
      <c r="A2552" s="29" t="n">
        <v>46044</v>
      </c>
      <c r="B2552" s="37" t="inlineStr">
        <is>
          <t>JOB-3548</t>
        </is>
      </c>
      <c r="C2552" s="34" t="n">
        <v>1</v>
      </c>
      <c r="D2552" s="37" t="inlineStr">
        <is>
          <t>Tech F</t>
        </is>
      </c>
      <c r="E2552" s="35" t="n">
        <v>3.2</v>
      </c>
      <c r="F2552" s="35" t="n">
        <v>2.7</v>
      </c>
      <c r="G2552" s="37" t="inlineStr">
        <is>
          <t>Y</t>
        </is>
      </c>
      <c r="H2552" s="37" t="inlineStr">
        <is>
          <t>N</t>
        </is>
      </c>
      <c r="I2552" s="37">
        <f>COUNTIF(G$5:G2552,"Y")/COUNTA(G$5:G2552)</f>
        <v/>
      </c>
      <c r="J2552" s="37">
        <f>COUNTIF(H$5:H2552,"Y")/COUNTA(H$5:H2552)</f>
        <v/>
      </c>
      <c r="K2552" s="37">
        <f>AVERAGE(F$5:F2552)</f>
        <v/>
      </c>
      <c r="L2552" s="37">
        <f>SUM(F$5:F2552)/SUM(E$5:E2552)</f>
        <v/>
      </c>
    </row>
    <row r="2553">
      <c r="A2553" s="29" t="n">
        <v>46045</v>
      </c>
      <c r="B2553" s="37" t="inlineStr">
        <is>
          <t>JOB-3549</t>
        </is>
      </c>
      <c r="C2553" s="34" t="n">
        <v>1</v>
      </c>
      <c r="D2553" s="37" t="inlineStr">
        <is>
          <t>Tech F</t>
        </is>
      </c>
      <c r="E2553" s="35" t="n">
        <v>0.6</v>
      </c>
      <c r="F2553" s="35" t="n">
        <v>0.5</v>
      </c>
      <c r="G2553" s="37" t="inlineStr">
        <is>
          <t>Y</t>
        </is>
      </c>
      <c r="H2553" s="37" t="inlineStr">
        <is>
          <t>N</t>
        </is>
      </c>
      <c r="I2553" s="37">
        <f>COUNTIF(G$5:G2553,"Y")/COUNTA(G$5:G2553)</f>
        <v/>
      </c>
      <c r="J2553" s="37">
        <f>COUNTIF(H$5:H2553,"Y")/COUNTA(H$5:H2553)</f>
        <v/>
      </c>
      <c r="K2553" s="37">
        <f>AVERAGE(F$5:F2553)</f>
        <v/>
      </c>
      <c r="L2553" s="37">
        <f>SUM(F$5:F2553)/SUM(E$5:E2553)</f>
        <v/>
      </c>
    </row>
    <row r="2554">
      <c r="A2554" s="29" t="n">
        <v>46041</v>
      </c>
      <c r="B2554" s="37" t="inlineStr">
        <is>
          <t>JOB-3550</t>
        </is>
      </c>
      <c r="C2554" s="34" t="n">
        <v>1</v>
      </c>
      <c r="D2554" s="37" t="inlineStr">
        <is>
          <t>Tech H</t>
        </is>
      </c>
      <c r="E2554" s="35" t="n">
        <v>0.6</v>
      </c>
      <c r="F2554" s="35" t="n">
        <v>0.5</v>
      </c>
      <c r="G2554" s="37" t="inlineStr">
        <is>
          <t>Y</t>
        </is>
      </c>
      <c r="H2554" s="37" t="inlineStr">
        <is>
          <t>N</t>
        </is>
      </c>
      <c r="I2554" s="37">
        <f>COUNTIF(G$5:G2554,"Y")/COUNTA(G$5:G2554)</f>
        <v/>
      </c>
      <c r="J2554" s="37">
        <f>COUNTIF(H$5:H2554,"Y")/COUNTA(H$5:H2554)</f>
        <v/>
      </c>
      <c r="K2554" s="37">
        <f>AVERAGE(F$5:F2554)</f>
        <v/>
      </c>
      <c r="L2554" s="37">
        <f>SUM(F$5:F2554)/SUM(E$5:E2554)</f>
        <v/>
      </c>
    </row>
    <row r="2555">
      <c r="A2555" s="29" t="n">
        <v>46042</v>
      </c>
      <c r="B2555" s="37" t="inlineStr">
        <is>
          <t>JOB-3551</t>
        </is>
      </c>
      <c r="C2555" s="34" t="n">
        <v>1</v>
      </c>
      <c r="D2555" s="37" t="inlineStr">
        <is>
          <t>Tech F</t>
        </is>
      </c>
      <c r="E2555" s="35" t="n">
        <v>0.6</v>
      </c>
      <c r="F2555" s="35" t="n">
        <v>0.5</v>
      </c>
      <c r="G2555" s="37" t="inlineStr">
        <is>
          <t>Y</t>
        </is>
      </c>
      <c r="H2555" s="37" t="inlineStr">
        <is>
          <t>N</t>
        </is>
      </c>
      <c r="I2555" s="37">
        <f>COUNTIF(G$5:G2555,"Y")/COUNTA(G$5:G2555)</f>
        <v/>
      </c>
      <c r="J2555" s="37">
        <f>COUNTIF(H$5:H2555,"Y")/COUNTA(H$5:H2555)</f>
        <v/>
      </c>
      <c r="K2555" s="37">
        <f>AVERAGE(F$5:F2555)</f>
        <v/>
      </c>
      <c r="L2555" s="37">
        <f>SUM(F$5:F2555)/SUM(E$5:E2555)</f>
        <v/>
      </c>
    </row>
    <row r="2556">
      <c r="A2556" s="29" t="n">
        <v>46043</v>
      </c>
      <c r="B2556" s="37" t="inlineStr">
        <is>
          <t>JOB-3552</t>
        </is>
      </c>
      <c r="C2556" s="34" t="n">
        <v>1</v>
      </c>
      <c r="D2556" s="37" t="inlineStr">
        <is>
          <t>Tech H</t>
        </is>
      </c>
      <c r="E2556" s="35" t="n">
        <v>0.6</v>
      </c>
      <c r="F2556" s="35" t="n">
        <v>0.5</v>
      </c>
      <c r="G2556" s="37" t="inlineStr">
        <is>
          <t>Y</t>
        </is>
      </c>
      <c r="H2556" s="37" t="inlineStr">
        <is>
          <t>N</t>
        </is>
      </c>
      <c r="I2556" s="37">
        <f>COUNTIF(G$5:G2556,"Y")/COUNTA(G$5:G2556)</f>
        <v/>
      </c>
      <c r="J2556" s="37">
        <f>COUNTIF(H$5:H2556,"Y")/COUNTA(H$5:H2556)</f>
        <v/>
      </c>
      <c r="K2556" s="37">
        <f>AVERAGE(F$5:F2556)</f>
        <v/>
      </c>
      <c r="L2556" s="37">
        <f>SUM(F$5:F2556)/SUM(E$5:E2556)</f>
        <v/>
      </c>
    </row>
    <row r="2557">
      <c r="A2557" s="29" t="n">
        <v>46044</v>
      </c>
      <c r="B2557" s="37" t="inlineStr">
        <is>
          <t>JOB-3553</t>
        </is>
      </c>
      <c r="C2557" s="34" t="n">
        <v>1</v>
      </c>
      <c r="D2557" s="37" t="inlineStr">
        <is>
          <t>Tech D</t>
        </is>
      </c>
      <c r="E2557" s="35" t="n">
        <v>0.7</v>
      </c>
      <c r="F2557" s="35" t="n">
        <v>0.5</v>
      </c>
      <c r="G2557" s="37" t="inlineStr">
        <is>
          <t>Y</t>
        </is>
      </c>
      <c r="H2557" s="37" t="inlineStr">
        <is>
          <t>Y</t>
        </is>
      </c>
      <c r="I2557" s="37">
        <f>COUNTIF(G$5:G2557,"Y")/COUNTA(G$5:G2557)</f>
        <v/>
      </c>
      <c r="J2557" s="37">
        <f>COUNTIF(H$5:H2557,"Y")/COUNTA(H$5:H2557)</f>
        <v/>
      </c>
      <c r="K2557" s="37">
        <f>AVERAGE(F$5:F2557)</f>
        <v/>
      </c>
      <c r="L2557" s="37">
        <f>SUM(F$5:F2557)/SUM(E$5:E2557)</f>
        <v/>
      </c>
    </row>
    <row r="2558">
      <c r="A2558" s="29" t="n">
        <v>46045</v>
      </c>
      <c r="B2558" s="37" t="inlineStr">
        <is>
          <t>JOB-3554</t>
        </is>
      </c>
      <c r="C2558" s="34" t="n">
        <v>1</v>
      </c>
      <c r="D2558" s="37" t="inlineStr">
        <is>
          <t>Tech F</t>
        </is>
      </c>
      <c r="E2558" s="35" t="n">
        <v>0.7</v>
      </c>
      <c r="F2558" s="35" t="n">
        <v>0.5</v>
      </c>
      <c r="G2558" s="37" t="inlineStr">
        <is>
          <t>Y</t>
        </is>
      </c>
      <c r="H2558" s="37" t="inlineStr">
        <is>
          <t>N</t>
        </is>
      </c>
      <c r="I2558" s="37">
        <f>COUNTIF(G$5:G2558,"Y")/COUNTA(G$5:G2558)</f>
        <v/>
      </c>
      <c r="J2558" s="37">
        <f>COUNTIF(H$5:H2558,"Y")/COUNTA(H$5:H2558)</f>
        <v/>
      </c>
      <c r="K2558" s="37">
        <f>AVERAGE(F$5:F2558)</f>
        <v/>
      </c>
      <c r="L2558" s="37">
        <f>SUM(F$5:F2558)/SUM(E$5:E2558)</f>
        <v/>
      </c>
    </row>
    <row r="2559">
      <c r="A2559" s="29" t="n">
        <v>46041</v>
      </c>
      <c r="B2559" s="37" t="inlineStr">
        <is>
          <t>JOB-3555</t>
        </is>
      </c>
      <c r="C2559" s="34" t="n">
        <v>1</v>
      </c>
      <c r="D2559" s="37" t="inlineStr">
        <is>
          <t>Tech H</t>
        </is>
      </c>
      <c r="E2559" s="35" t="n">
        <v>0.6</v>
      </c>
      <c r="F2559" s="35" t="n">
        <v>0.5</v>
      </c>
      <c r="G2559" s="37" t="inlineStr">
        <is>
          <t>Y</t>
        </is>
      </c>
      <c r="H2559" s="37" t="inlineStr">
        <is>
          <t>N</t>
        </is>
      </c>
      <c r="I2559" s="37">
        <f>COUNTIF(G$5:G2559,"Y")/COUNTA(G$5:G2559)</f>
        <v/>
      </c>
      <c r="J2559" s="37">
        <f>COUNTIF(H$5:H2559,"Y")/COUNTA(H$5:H2559)</f>
        <v/>
      </c>
      <c r="K2559" s="37">
        <f>AVERAGE(F$5:F2559)</f>
        <v/>
      </c>
      <c r="L2559" s="37">
        <f>SUM(F$5:F2559)/SUM(E$5:E2559)</f>
        <v/>
      </c>
    </row>
    <row r="2560">
      <c r="A2560" s="29" t="n">
        <v>46042</v>
      </c>
      <c r="B2560" s="37" t="inlineStr">
        <is>
          <t>JOB-3556</t>
        </is>
      </c>
      <c r="C2560" s="34" t="n">
        <v>1</v>
      </c>
      <c r="D2560" s="37" t="inlineStr">
        <is>
          <t>Tech A</t>
        </is>
      </c>
      <c r="E2560" s="35" t="n">
        <v>0.6</v>
      </c>
      <c r="F2560" s="35" t="n">
        <v>0.5</v>
      </c>
      <c r="G2560" s="37" t="inlineStr">
        <is>
          <t>Y</t>
        </is>
      </c>
      <c r="H2560" s="37" t="inlineStr">
        <is>
          <t>N</t>
        </is>
      </c>
      <c r="I2560" s="37">
        <f>COUNTIF(G$5:G2560,"Y")/COUNTA(G$5:G2560)</f>
        <v/>
      </c>
      <c r="J2560" s="37">
        <f>COUNTIF(H$5:H2560,"Y")/COUNTA(H$5:H2560)</f>
        <v/>
      </c>
      <c r="K2560" s="37">
        <f>AVERAGE(F$5:F2560)</f>
        <v/>
      </c>
      <c r="L2560" s="37">
        <f>SUM(F$5:F2560)/SUM(E$5:E2560)</f>
        <v/>
      </c>
    </row>
    <row r="2561">
      <c r="A2561" s="29" t="n">
        <v>46043</v>
      </c>
      <c r="B2561" s="37" t="inlineStr">
        <is>
          <t>JOB-3557</t>
        </is>
      </c>
      <c r="C2561" s="34" t="n">
        <v>1</v>
      </c>
      <c r="D2561" s="37" t="inlineStr">
        <is>
          <t>Tech G</t>
        </is>
      </c>
      <c r="E2561" s="35" t="n">
        <v>0.7</v>
      </c>
      <c r="F2561" s="35" t="n">
        <v>0.5</v>
      </c>
      <c r="G2561" s="37" t="inlineStr">
        <is>
          <t>Y</t>
        </is>
      </c>
      <c r="H2561" s="37" t="inlineStr">
        <is>
          <t>N</t>
        </is>
      </c>
      <c r="I2561" s="37">
        <f>COUNTIF(G$5:G2561,"Y")/COUNTA(G$5:G2561)</f>
        <v/>
      </c>
      <c r="J2561" s="37">
        <f>COUNTIF(H$5:H2561,"Y")/COUNTA(H$5:H2561)</f>
        <v/>
      </c>
      <c r="K2561" s="37">
        <f>AVERAGE(F$5:F2561)</f>
        <v/>
      </c>
      <c r="L2561" s="37">
        <f>SUM(F$5:F2561)/SUM(E$5:E2561)</f>
        <v/>
      </c>
    </row>
    <row r="2562">
      <c r="A2562" s="29" t="n">
        <v>46044</v>
      </c>
      <c r="B2562" s="37" t="inlineStr">
        <is>
          <t>JOB-3558</t>
        </is>
      </c>
      <c r="C2562" s="34" t="n">
        <v>1</v>
      </c>
      <c r="D2562" s="37" t="inlineStr">
        <is>
          <t>Tech F</t>
        </is>
      </c>
      <c r="E2562" s="35" t="n">
        <v>0.6</v>
      </c>
      <c r="F2562" s="35" t="n">
        <v>0.5</v>
      </c>
      <c r="G2562" s="37" t="inlineStr">
        <is>
          <t>Y</t>
        </is>
      </c>
      <c r="H2562" s="37" t="inlineStr">
        <is>
          <t>N</t>
        </is>
      </c>
      <c r="I2562" s="37">
        <f>COUNTIF(G$5:G2562,"Y")/COUNTA(G$5:G2562)</f>
        <v/>
      </c>
      <c r="J2562" s="37">
        <f>COUNTIF(H$5:H2562,"Y")/COUNTA(H$5:H2562)</f>
        <v/>
      </c>
      <c r="K2562" s="37">
        <f>AVERAGE(F$5:F2562)</f>
        <v/>
      </c>
      <c r="L2562" s="37">
        <f>SUM(F$5:F2562)/SUM(E$5:E2562)</f>
        <v/>
      </c>
    </row>
    <row r="2563">
      <c r="A2563" s="29" t="n">
        <v>46045</v>
      </c>
      <c r="B2563" s="37" t="inlineStr">
        <is>
          <t>JOB-3559</t>
        </is>
      </c>
      <c r="C2563" s="34" t="n">
        <v>1</v>
      </c>
      <c r="D2563" s="37" t="inlineStr">
        <is>
          <t>Tech G</t>
        </is>
      </c>
      <c r="E2563" s="35" t="n">
        <v>1.1</v>
      </c>
      <c r="F2563" s="35" t="n">
        <v>0.5</v>
      </c>
      <c r="G2563" s="37" t="inlineStr">
        <is>
          <t>N</t>
        </is>
      </c>
      <c r="H2563" s="37" t="inlineStr">
        <is>
          <t>N</t>
        </is>
      </c>
      <c r="I2563" s="37">
        <f>COUNTIF(G$5:G2563,"Y")/COUNTA(G$5:G2563)</f>
        <v/>
      </c>
      <c r="J2563" s="37">
        <f>COUNTIF(H$5:H2563,"Y")/COUNTA(H$5:H2563)</f>
        <v/>
      </c>
      <c r="K2563" s="37">
        <f>AVERAGE(F$5:F2563)</f>
        <v/>
      </c>
      <c r="L2563" s="37">
        <f>SUM(F$5:F2563)/SUM(E$5:E2563)</f>
        <v/>
      </c>
      <c r="M2563" s="37" t="n">
        <v>7</v>
      </c>
    </row>
    <row r="2564">
      <c r="A2564" s="29" t="n">
        <v>46048</v>
      </c>
      <c r="B2564" s="37" t="inlineStr">
        <is>
          <t>JOB-3560</t>
        </is>
      </c>
      <c r="C2564" s="34" t="n">
        <v>1</v>
      </c>
      <c r="D2564" s="37" t="inlineStr">
        <is>
          <t>Tech C</t>
        </is>
      </c>
      <c r="E2564" s="35" t="n">
        <v>1.4</v>
      </c>
      <c r="F2564" s="35" t="n">
        <v>1.1</v>
      </c>
      <c r="G2564" s="37" t="inlineStr">
        <is>
          <t>Y</t>
        </is>
      </c>
      <c r="H2564" s="37" t="inlineStr">
        <is>
          <t>N</t>
        </is>
      </c>
      <c r="I2564" s="37">
        <f>COUNTIF(G$5:G2564,"Y")/COUNTA(G$5:G2564)</f>
        <v/>
      </c>
      <c r="J2564" s="37">
        <f>COUNTIF(H$5:H2564,"Y")/COUNTA(H$5:H2564)</f>
        <v/>
      </c>
      <c r="K2564" s="37">
        <f>AVERAGE(F$5:F2564)</f>
        <v/>
      </c>
      <c r="L2564" s="37">
        <f>SUM(F$5:F2564)/SUM(E$5:E2564)</f>
        <v/>
      </c>
    </row>
    <row r="2565">
      <c r="A2565" s="29" t="n">
        <v>46049</v>
      </c>
      <c r="B2565" s="37" t="inlineStr">
        <is>
          <t>JOB-3561</t>
        </is>
      </c>
      <c r="C2565" s="34" t="n">
        <v>1</v>
      </c>
      <c r="D2565" s="37" t="inlineStr">
        <is>
          <t>Tech G</t>
        </is>
      </c>
      <c r="E2565" s="35" t="n">
        <v>3</v>
      </c>
      <c r="F2565" s="35" t="n">
        <v>2.4</v>
      </c>
      <c r="G2565" s="37" t="inlineStr">
        <is>
          <t>Y</t>
        </is>
      </c>
      <c r="H2565" s="37" t="inlineStr">
        <is>
          <t>N</t>
        </is>
      </c>
      <c r="I2565" s="37">
        <f>COUNTIF(G$5:G2565,"Y")/COUNTA(G$5:G2565)</f>
        <v/>
      </c>
      <c r="J2565" s="37">
        <f>COUNTIF(H$5:H2565,"Y")/COUNTA(H$5:H2565)</f>
        <v/>
      </c>
      <c r="K2565" s="37">
        <f>AVERAGE(F$5:F2565)</f>
        <v/>
      </c>
      <c r="L2565" s="37">
        <f>SUM(F$5:F2565)/SUM(E$5:E2565)</f>
        <v/>
      </c>
    </row>
    <row r="2566">
      <c r="A2566" s="29" t="n">
        <v>46050</v>
      </c>
      <c r="B2566" s="37" t="inlineStr">
        <is>
          <t>JOB-3562</t>
        </is>
      </c>
      <c r="C2566" s="34" t="n">
        <v>1</v>
      </c>
      <c r="D2566" s="37" t="inlineStr">
        <is>
          <t>Tech A</t>
        </is>
      </c>
      <c r="E2566" s="35" t="n">
        <v>2.4</v>
      </c>
      <c r="F2566" s="35" t="n">
        <v>1.7</v>
      </c>
      <c r="G2566" s="37" t="inlineStr">
        <is>
          <t>Y</t>
        </is>
      </c>
      <c r="H2566" s="37" t="inlineStr">
        <is>
          <t>N</t>
        </is>
      </c>
      <c r="I2566" s="37">
        <f>COUNTIF(G$5:G2566,"Y")/COUNTA(G$5:G2566)</f>
        <v/>
      </c>
      <c r="J2566" s="37">
        <f>COUNTIF(H$5:H2566,"Y")/COUNTA(H$5:H2566)</f>
        <v/>
      </c>
      <c r="K2566" s="37">
        <f>AVERAGE(F$5:F2566)</f>
        <v/>
      </c>
      <c r="L2566" s="37">
        <f>SUM(F$5:F2566)/SUM(E$5:E2566)</f>
        <v/>
      </c>
    </row>
    <row r="2567">
      <c r="A2567" s="29" t="n">
        <v>46051</v>
      </c>
      <c r="B2567" s="37" t="inlineStr">
        <is>
          <t>JOB-3563</t>
        </is>
      </c>
      <c r="C2567" s="34" t="n">
        <v>1</v>
      </c>
      <c r="D2567" s="37" t="inlineStr">
        <is>
          <t>Tech H</t>
        </is>
      </c>
      <c r="E2567" s="35" t="n">
        <v>2.1</v>
      </c>
      <c r="F2567" s="35" t="n">
        <v>1.8</v>
      </c>
      <c r="G2567" s="37" t="inlineStr">
        <is>
          <t>Y</t>
        </is>
      </c>
      <c r="H2567" s="37" t="inlineStr">
        <is>
          <t>N</t>
        </is>
      </c>
      <c r="I2567" s="37">
        <f>COUNTIF(G$5:G2567,"Y")/COUNTA(G$5:G2567)</f>
        <v/>
      </c>
      <c r="J2567" s="37">
        <f>COUNTIF(H$5:H2567,"Y")/COUNTA(H$5:H2567)</f>
        <v/>
      </c>
      <c r="K2567" s="37">
        <f>AVERAGE(F$5:F2567)</f>
        <v/>
      </c>
      <c r="L2567" s="37">
        <f>SUM(F$5:F2567)/SUM(E$5:E2567)</f>
        <v/>
      </c>
    </row>
    <row r="2568">
      <c r="A2568" s="29" t="n">
        <v>46052</v>
      </c>
      <c r="B2568" s="37" t="inlineStr">
        <is>
          <t>JOB-3564</t>
        </is>
      </c>
      <c r="C2568" s="34" t="n">
        <v>1</v>
      </c>
      <c r="D2568" s="37" t="inlineStr">
        <is>
          <t>Tech G</t>
        </is>
      </c>
      <c r="E2568" s="35" t="n">
        <v>2.2</v>
      </c>
      <c r="F2568" s="35" t="n">
        <v>1.6</v>
      </c>
      <c r="G2568" s="37" t="inlineStr">
        <is>
          <t>Y</t>
        </is>
      </c>
      <c r="H2568" s="37" t="inlineStr">
        <is>
          <t>N</t>
        </is>
      </c>
      <c r="I2568" s="37">
        <f>COUNTIF(G$5:G2568,"Y")/COUNTA(G$5:G2568)</f>
        <v/>
      </c>
      <c r="J2568" s="37">
        <f>COUNTIF(H$5:H2568,"Y")/COUNTA(H$5:H2568)</f>
        <v/>
      </c>
      <c r="K2568" s="37">
        <f>AVERAGE(F$5:F2568)</f>
        <v/>
      </c>
      <c r="L2568" s="37">
        <f>SUM(F$5:F2568)/SUM(E$5:E2568)</f>
        <v/>
      </c>
    </row>
    <row r="2569">
      <c r="A2569" s="29" t="n">
        <v>46048</v>
      </c>
      <c r="B2569" s="37" t="inlineStr">
        <is>
          <t>JOB-3565</t>
        </is>
      </c>
      <c r="C2569" s="34" t="n">
        <v>1</v>
      </c>
      <c r="D2569" s="37" t="inlineStr">
        <is>
          <t>Tech B</t>
        </is>
      </c>
      <c r="E2569" s="35" t="n">
        <v>2.4</v>
      </c>
      <c r="F2569" s="35" t="n">
        <v>1.9</v>
      </c>
      <c r="G2569" s="37" t="inlineStr">
        <is>
          <t>N</t>
        </is>
      </c>
      <c r="H2569" s="37" t="inlineStr">
        <is>
          <t>N</t>
        </is>
      </c>
      <c r="I2569" s="37">
        <f>COUNTIF(G$5:G2569,"Y")/COUNTA(G$5:G2569)</f>
        <v/>
      </c>
      <c r="J2569" s="37">
        <f>COUNTIF(H$5:H2569,"Y")/COUNTA(H$5:H2569)</f>
        <v/>
      </c>
      <c r="K2569" s="37">
        <f>AVERAGE(F$5:F2569)</f>
        <v/>
      </c>
      <c r="L2569" s="37">
        <f>SUM(F$5:F2569)/SUM(E$5:E2569)</f>
        <v/>
      </c>
    </row>
    <row r="2570">
      <c r="A2570" s="29" t="n">
        <v>46049</v>
      </c>
      <c r="B2570" s="37" t="inlineStr">
        <is>
          <t>JOB-3566</t>
        </is>
      </c>
      <c r="C2570" s="34" t="n">
        <v>1</v>
      </c>
      <c r="D2570" s="37" t="inlineStr">
        <is>
          <t>Tech H</t>
        </is>
      </c>
      <c r="E2570" s="35" t="n">
        <v>3.3</v>
      </c>
      <c r="F2570" s="35" t="n">
        <v>2.9</v>
      </c>
      <c r="G2570" s="37" t="inlineStr">
        <is>
          <t>Y</t>
        </is>
      </c>
      <c r="H2570" s="37" t="inlineStr">
        <is>
          <t>N</t>
        </is>
      </c>
      <c r="I2570" s="37">
        <f>COUNTIF(G$5:G2570,"Y")/COUNTA(G$5:G2570)</f>
        <v/>
      </c>
      <c r="J2570" s="37">
        <f>COUNTIF(H$5:H2570,"Y")/COUNTA(H$5:H2570)</f>
        <v/>
      </c>
      <c r="K2570" s="37">
        <f>AVERAGE(F$5:F2570)</f>
        <v/>
      </c>
      <c r="L2570" s="37">
        <f>SUM(F$5:F2570)/SUM(E$5:E2570)</f>
        <v/>
      </c>
    </row>
    <row r="2571">
      <c r="A2571" s="29" t="n">
        <v>46050</v>
      </c>
      <c r="B2571" s="37" t="inlineStr">
        <is>
          <t>JOB-3567</t>
        </is>
      </c>
      <c r="C2571" s="34" t="n">
        <v>1</v>
      </c>
      <c r="D2571" s="37" t="inlineStr">
        <is>
          <t>Tech A</t>
        </is>
      </c>
      <c r="E2571" s="35" t="n">
        <v>2.2</v>
      </c>
      <c r="F2571" s="35" t="n">
        <v>1.6</v>
      </c>
      <c r="G2571" s="37" t="inlineStr">
        <is>
          <t>Y</t>
        </is>
      </c>
      <c r="H2571" s="37" t="inlineStr">
        <is>
          <t>N</t>
        </is>
      </c>
      <c r="I2571" s="37">
        <f>COUNTIF(G$5:G2571,"Y")/COUNTA(G$5:G2571)</f>
        <v/>
      </c>
      <c r="J2571" s="37">
        <f>COUNTIF(H$5:H2571,"Y")/COUNTA(H$5:H2571)</f>
        <v/>
      </c>
      <c r="K2571" s="37">
        <f>AVERAGE(F$5:F2571)</f>
        <v/>
      </c>
      <c r="L2571" s="37">
        <f>SUM(F$5:F2571)/SUM(E$5:E2571)</f>
        <v/>
      </c>
    </row>
    <row r="2572">
      <c r="A2572" s="29" t="n">
        <v>46051</v>
      </c>
      <c r="B2572" s="37" t="inlineStr">
        <is>
          <t>JOB-3568</t>
        </is>
      </c>
      <c r="C2572" s="34" t="n">
        <v>1</v>
      </c>
      <c r="D2572" s="37" t="inlineStr">
        <is>
          <t>Tech C</t>
        </is>
      </c>
      <c r="E2572" s="35" t="n">
        <v>4.1</v>
      </c>
      <c r="F2572" s="35" t="n">
        <v>3.3</v>
      </c>
      <c r="G2572" s="37" t="inlineStr">
        <is>
          <t>N</t>
        </is>
      </c>
      <c r="H2572" s="37" t="inlineStr">
        <is>
          <t>N</t>
        </is>
      </c>
      <c r="I2572" s="37">
        <f>COUNTIF(G$5:G2572,"Y")/COUNTA(G$5:G2572)</f>
        <v/>
      </c>
      <c r="J2572" s="37">
        <f>COUNTIF(H$5:H2572,"Y")/COUNTA(H$5:H2572)</f>
        <v/>
      </c>
      <c r="K2572" s="37">
        <f>AVERAGE(F$5:F2572)</f>
        <v/>
      </c>
      <c r="L2572" s="37">
        <f>SUM(F$5:F2572)/SUM(E$5:E2572)</f>
        <v/>
      </c>
    </row>
    <row r="2573">
      <c r="A2573" s="29" t="n">
        <v>46052</v>
      </c>
      <c r="B2573" s="37" t="inlineStr">
        <is>
          <t>JOB-3569</t>
        </is>
      </c>
      <c r="C2573" s="34" t="n">
        <v>1</v>
      </c>
      <c r="D2573" s="37" t="inlineStr">
        <is>
          <t>Tech B</t>
        </is>
      </c>
      <c r="E2573" s="35" t="n">
        <v>2.5</v>
      </c>
      <c r="F2573" s="35" t="n">
        <v>1.9</v>
      </c>
      <c r="G2573" s="37" t="inlineStr">
        <is>
          <t>Y</t>
        </is>
      </c>
      <c r="H2573" s="37" t="inlineStr">
        <is>
          <t>N</t>
        </is>
      </c>
      <c r="I2573" s="37">
        <f>COUNTIF(G$5:G2573,"Y")/COUNTA(G$5:G2573)</f>
        <v/>
      </c>
      <c r="J2573" s="37">
        <f>COUNTIF(H$5:H2573,"Y")/COUNTA(H$5:H2573)</f>
        <v/>
      </c>
      <c r="K2573" s="37">
        <f>AVERAGE(F$5:F2573)</f>
        <v/>
      </c>
      <c r="L2573" s="37">
        <f>SUM(F$5:F2573)/SUM(E$5:E2573)</f>
        <v/>
      </c>
    </row>
    <row r="2574">
      <c r="A2574" s="29" t="n">
        <v>46048</v>
      </c>
      <c r="B2574" s="37" t="inlineStr">
        <is>
          <t>JOB-3570</t>
        </is>
      </c>
      <c r="C2574" s="34" t="n">
        <v>1</v>
      </c>
      <c r="D2574" s="37" t="inlineStr">
        <is>
          <t>Tech F</t>
        </is>
      </c>
      <c r="E2574" s="35" t="n">
        <v>4.6</v>
      </c>
      <c r="F2574" s="35" t="n">
        <v>3.4</v>
      </c>
      <c r="G2574" s="37" t="inlineStr">
        <is>
          <t>Y</t>
        </is>
      </c>
      <c r="H2574" s="37" t="inlineStr">
        <is>
          <t>N</t>
        </is>
      </c>
      <c r="I2574" s="37">
        <f>COUNTIF(G$5:G2574,"Y")/COUNTA(G$5:G2574)</f>
        <v/>
      </c>
      <c r="J2574" s="37">
        <f>COUNTIF(H$5:H2574,"Y")/COUNTA(H$5:H2574)</f>
        <v/>
      </c>
      <c r="K2574" s="37">
        <f>AVERAGE(F$5:F2574)</f>
        <v/>
      </c>
      <c r="L2574" s="37">
        <f>SUM(F$5:F2574)/SUM(E$5:E2574)</f>
        <v/>
      </c>
    </row>
    <row r="2575">
      <c r="A2575" s="29" t="n">
        <v>46049</v>
      </c>
      <c r="B2575" s="37" t="inlineStr">
        <is>
          <t>JOB-3571</t>
        </is>
      </c>
      <c r="C2575" s="34" t="n">
        <v>1</v>
      </c>
      <c r="D2575" s="37" t="inlineStr">
        <is>
          <t>Tech C</t>
        </is>
      </c>
      <c r="E2575" s="35" t="n">
        <v>3.3</v>
      </c>
      <c r="F2575" s="35" t="n">
        <v>2.6</v>
      </c>
      <c r="G2575" s="37" t="inlineStr">
        <is>
          <t>Y</t>
        </is>
      </c>
      <c r="H2575" s="37" t="inlineStr">
        <is>
          <t>N</t>
        </is>
      </c>
      <c r="I2575" s="37">
        <f>COUNTIF(G$5:G2575,"Y")/COUNTA(G$5:G2575)</f>
        <v/>
      </c>
      <c r="J2575" s="37">
        <f>COUNTIF(H$5:H2575,"Y")/COUNTA(H$5:H2575)</f>
        <v/>
      </c>
      <c r="K2575" s="37">
        <f>AVERAGE(F$5:F2575)</f>
        <v/>
      </c>
      <c r="L2575" s="37">
        <f>SUM(F$5:F2575)/SUM(E$5:E2575)</f>
        <v/>
      </c>
    </row>
    <row r="2576">
      <c r="A2576" s="29" t="n">
        <v>46050</v>
      </c>
      <c r="B2576" s="37" t="inlineStr">
        <is>
          <t>JOB-3572</t>
        </is>
      </c>
      <c r="C2576" s="34" t="n">
        <v>1</v>
      </c>
      <c r="D2576" s="37" t="inlineStr">
        <is>
          <t>Tech C</t>
        </is>
      </c>
      <c r="E2576" s="35" t="n">
        <v>2.8</v>
      </c>
      <c r="F2576" s="35" t="n">
        <v>2.1</v>
      </c>
      <c r="G2576" s="37" t="inlineStr">
        <is>
          <t>Y</t>
        </is>
      </c>
      <c r="H2576" s="37" t="inlineStr">
        <is>
          <t>N</t>
        </is>
      </c>
      <c r="I2576" s="37">
        <f>COUNTIF(G$5:G2576,"Y")/COUNTA(G$5:G2576)</f>
        <v/>
      </c>
      <c r="J2576" s="37">
        <f>COUNTIF(H$5:H2576,"Y")/COUNTA(H$5:H2576)</f>
        <v/>
      </c>
      <c r="K2576" s="37">
        <f>AVERAGE(F$5:F2576)</f>
        <v/>
      </c>
      <c r="L2576" s="37">
        <f>SUM(F$5:F2576)/SUM(E$5:E2576)</f>
        <v/>
      </c>
    </row>
    <row r="2577">
      <c r="A2577" s="29" t="n">
        <v>46051</v>
      </c>
      <c r="B2577" s="37" t="inlineStr">
        <is>
          <t>JOB-3573</t>
        </is>
      </c>
      <c r="C2577" s="34" t="n">
        <v>1</v>
      </c>
      <c r="D2577" s="37" t="inlineStr">
        <is>
          <t>Tech D</t>
        </is>
      </c>
      <c r="E2577" s="35" t="n">
        <v>3.5</v>
      </c>
      <c r="F2577" s="35" t="n">
        <v>3.1</v>
      </c>
      <c r="G2577" s="37" t="inlineStr">
        <is>
          <t>Y</t>
        </is>
      </c>
      <c r="H2577" s="37" t="inlineStr">
        <is>
          <t>N</t>
        </is>
      </c>
      <c r="I2577" s="37">
        <f>COUNTIF(G$5:G2577,"Y")/COUNTA(G$5:G2577)</f>
        <v/>
      </c>
      <c r="J2577" s="37">
        <f>COUNTIF(H$5:H2577,"Y")/COUNTA(H$5:H2577)</f>
        <v/>
      </c>
      <c r="K2577" s="37">
        <f>AVERAGE(F$5:F2577)</f>
        <v/>
      </c>
      <c r="L2577" s="37">
        <f>SUM(F$5:F2577)/SUM(E$5:E2577)</f>
        <v/>
      </c>
    </row>
    <row r="2578">
      <c r="A2578" s="29" t="n">
        <v>46052</v>
      </c>
      <c r="B2578" s="37" t="inlineStr">
        <is>
          <t>JOB-3574</t>
        </is>
      </c>
      <c r="C2578" s="34" t="n">
        <v>1</v>
      </c>
      <c r="D2578" s="37" t="inlineStr">
        <is>
          <t>Tech H</t>
        </is>
      </c>
      <c r="E2578" s="35" t="n">
        <v>3.4</v>
      </c>
      <c r="F2578" s="35" t="n">
        <v>2.4</v>
      </c>
      <c r="G2578" s="37" t="inlineStr">
        <is>
          <t>Y</t>
        </is>
      </c>
      <c r="H2578" s="37" t="inlineStr">
        <is>
          <t>N</t>
        </is>
      </c>
      <c r="I2578" s="37">
        <f>COUNTIF(G$5:G2578,"Y")/COUNTA(G$5:G2578)</f>
        <v/>
      </c>
      <c r="J2578" s="37">
        <f>COUNTIF(H$5:H2578,"Y")/COUNTA(H$5:H2578)</f>
        <v/>
      </c>
      <c r="K2578" s="37">
        <f>AVERAGE(F$5:F2578)</f>
        <v/>
      </c>
      <c r="L2578" s="37">
        <f>SUM(F$5:F2578)/SUM(E$5:E2578)</f>
        <v/>
      </c>
    </row>
    <row r="2579">
      <c r="A2579" s="29" t="n">
        <v>46048</v>
      </c>
      <c r="B2579" s="37" t="inlineStr">
        <is>
          <t>JOB-3575</t>
        </is>
      </c>
      <c r="C2579" s="34" t="n">
        <v>1</v>
      </c>
      <c r="D2579" s="37" t="inlineStr">
        <is>
          <t>Tech H</t>
        </is>
      </c>
      <c r="E2579" s="35" t="n">
        <v>2.8</v>
      </c>
      <c r="F2579" s="35" t="n">
        <v>2.1</v>
      </c>
      <c r="G2579" s="37" t="inlineStr">
        <is>
          <t>Y</t>
        </is>
      </c>
      <c r="H2579" s="37" t="inlineStr">
        <is>
          <t>N</t>
        </is>
      </c>
      <c r="I2579" s="37">
        <f>COUNTIF(G$5:G2579,"Y")/COUNTA(G$5:G2579)</f>
        <v/>
      </c>
      <c r="J2579" s="37">
        <f>COUNTIF(H$5:H2579,"Y")/COUNTA(H$5:H2579)</f>
        <v/>
      </c>
      <c r="K2579" s="37">
        <f>AVERAGE(F$5:F2579)</f>
        <v/>
      </c>
      <c r="L2579" s="37">
        <f>SUM(F$5:F2579)/SUM(E$5:E2579)</f>
        <v/>
      </c>
    </row>
    <row r="2580">
      <c r="A2580" s="29" t="n">
        <v>46049</v>
      </c>
      <c r="B2580" s="37" t="inlineStr">
        <is>
          <t>JOB-3576</t>
        </is>
      </c>
      <c r="C2580" s="34" t="n">
        <v>1</v>
      </c>
      <c r="D2580" s="37" t="inlineStr">
        <is>
          <t>Tech F</t>
        </is>
      </c>
      <c r="E2580" s="35" t="n">
        <v>1.7</v>
      </c>
      <c r="F2580" s="35" t="n">
        <v>1.4</v>
      </c>
      <c r="G2580" s="37" t="inlineStr">
        <is>
          <t>N</t>
        </is>
      </c>
      <c r="H2580" s="37" t="inlineStr">
        <is>
          <t>N</t>
        </is>
      </c>
      <c r="I2580" s="37">
        <f>COUNTIF(G$5:G2580,"Y")/COUNTA(G$5:G2580)</f>
        <v/>
      </c>
      <c r="J2580" s="37">
        <f>COUNTIF(H$5:H2580,"Y")/COUNTA(H$5:H2580)</f>
        <v/>
      </c>
      <c r="K2580" s="37">
        <f>AVERAGE(F$5:F2580)</f>
        <v/>
      </c>
      <c r="L2580" s="37">
        <f>SUM(F$5:F2580)/SUM(E$5:E2580)</f>
        <v/>
      </c>
    </row>
    <row r="2581">
      <c r="A2581" s="29" t="n">
        <v>46050</v>
      </c>
      <c r="B2581" s="37" t="inlineStr">
        <is>
          <t>JOB-3577</t>
        </is>
      </c>
      <c r="C2581" s="34" t="n">
        <v>1</v>
      </c>
      <c r="D2581" s="37" t="inlineStr">
        <is>
          <t>Tech H</t>
        </is>
      </c>
      <c r="E2581" s="35" t="n">
        <v>2.1</v>
      </c>
      <c r="F2581" s="35" t="n">
        <v>1.7</v>
      </c>
      <c r="G2581" s="37" t="inlineStr">
        <is>
          <t>Y</t>
        </is>
      </c>
      <c r="H2581" s="37" t="inlineStr">
        <is>
          <t>N</t>
        </is>
      </c>
      <c r="I2581" s="37">
        <f>COUNTIF(G$5:G2581,"Y")/COUNTA(G$5:G2581)</f>
        <v/>
      </c>
      <c r="J2581" s="37">
        <f>COUNTIF(H$5:H2581,"Y")/COUNTA(H$5:H2581)</f>
        <v/>
      </c>
      <c r="K2581" s="37">
        <f>AVERAGE(F$5:F2581)</f>
        <v/>
      </c>
      <c r="L2581" s="37">
        <f>SUM(F$5:F2581)/SUM(E$5:E2581)</f>
        <v/>
      </c>
    </row>
    <row r="2582">
      <c r="A2582" s="29" t="n">
        <v>46051</v>
      </c>
      <c r="B2582" s="37" t="inlineStr">
        <is>
          <t>JOB-3578</t>
        </is>
      </c>
      <c r="C2582" s="34" t="n">
        <v>1</v>
      </c>
      <c r="D2582" s="37" t="inlineStr">
        <is>
          <t>Tech G</t>
        </is>
      </c>
      <c r="E2582" s="35" t="n">
        <v>1.5</v>
      </c>
      <c r="F2582" s="35" t="n">
        <v>1.2</v>
      </c>
      <c r="G2582" s="37" t="inlineStr">
        <is>
          <t>Y</t>
        </is>
      </c>
      <c r="H2582" s="37" t="inlineStr">
        <is>
          <t>N</t>
        </is>
      </c>
      <c r="I2582" s="37">
        <f>COUNTIF(G$5:G2582,"Y")/COUNTA(G$5:G2582)</f>
        <v/>
      </c>
      <c r="J2582" s="37">
        <f>COUNTIF(H$5:H2582,"Y")/COUNTA(H$5:H2582)</f>
        <v/>
      </c>
      <c r="K2582" s="37">
        <f>AVERAGE(F$5:F2582)</f>
        <v/>
      </c>
      <c r="L2582" s="37">
        <f>SUM(F$5:F2582)/SUM(E$5:E2582)</f>
        <v/>
      </c>
    </row>
    <row r="2583">
      <c r="A2583" s="29" t="n">
        <v>46052</v>
      </c>
      <c r="B2583" s="37" t="inlineStr">
        <is>
          <t>JOB-3579</t>
        </is>
      </c>
      <c r="C2583" s="34" t="n">
        <v>1</v>
      </c>
      <c r="D2583" s="37" t="inlineStr">
        <is>
          <t>Tech A</t>
        </is>
      </c>
      <c r="E2583" s="35" t="n">
        <v>4.7</v>
      </c>
      <c r="F2583" s="35" t="n">
        <v>3.6</v>
      </c>
      <c r="G2583" s="37" t="inlineStr">
        <is>
          <t>Y</t>
        </is>
      </c>
      <c r="H2583" s="37" t="inlineStr">
        <is>
          <t>N</t>
        </is>
      </c>
      <c r="I2583" s="37">
        <f>COUNTIF(G$5:G2583,"Y")/COUNTA(G$5:G2583)</f>
        <v/>
      </c>
      <c r="J2583" s="37">
        <f>COUNTIF(H$5:H2583,"Y")/COUNTA(H$5:H2583)</f>
        <v/>
      </c>
      <c r="K2583" s="37">
        <f>AVERAGE(F$5:F2583)</f>
        <v/>
      </c>
      <c r="L2583" s="37">
        <f>SUM(F$5:F2583)/SUM(E$5:E2583)</f>
        <v/>
      </c>
    </row>
    <row r="2584">
      <c r="A2584" s="29" t="n">
        <v>46048</v>
      </c>
      <c r="B2584" s="37" t="inlineStr">
        <is>
          <t>JOB-3580</t>
        </is>
      </c>
      <c r="C2584" s="34" t="n">
        <v>1</v>
      </c>
      <c r="D2584" s="37" t="inlineStr">
        <is>
          <t>Tech H</t>
        </is>
      </c>
      <c r="E2584" s="35" t="n">
        <v>3.6</v>
      </c>
      <c r="F2584" s="35" t="n">
        <v>2.6</v>
      </c>
      <c r="G2584" s="37" t="inlineStr">
        <is>
          <t>Y</t>
        </is>
      </c>
      <c r="H2584" s="37" t="inlineStr">
        <is>
          <t>N</t>
        </is>
      </c>
      <c r="I2584" s="37">
        <f>COUNTIF(G$5:G2584,"Y")/COUNTA(G$5:G2584)</f>
        <v/>
      </c>
      <c r="J2584" s="37">
        <f>COUNTIF(H$5:H2584,"Y")/COUNTA(H$5:H2584)</f>
        <v/>
      </c>
      <c r="K2584" s="37">
        <f>AVERAGE(F$5:F2584)</f>
        <v/>
      </c>
      <c r="L2584" s="37">
        <f>SUM(F$5:F2584)/SUM(E$5:E2584)</f>
        <v/>
      </c>
    </row>
    <row r="2585">
      <c r="A2585" s="29" t="n">
        <v>46049</v>
      </c>
      <c r="B2585" s="37" t="inlineStr">
        <is>
          <t>JOB-3581</t>
        </is>
      </c>
      <c r="C2585" s="34" t="n">
        <v>1</v>
      </c>
      <c r="D2585" s="37" t="inlineStr">
        <is>
          <t>Tech H</t>
        </is>
      </c>
      <c r="E2585" s="35" t="n">
        <v>4.7</v>
      </c>
      <c r="F2585" s="35" t="n">
        <v>3.3</v>
      </c>
      <c r="G2585" s="37" t="inlineStr">
        <is>
          <t>Y</t>
        </is>
      </c>
      <c r="H2585" s="37" t="inlineStr">
        <is>
          <t>N</t>
        </is>
      </c>
      <c r="I2585" s="37">
        <f>COUNTIF(G$5:G2585,"Y")/COUNTA(G$5:G2585)</f>
        <v/>
      </c>
      <c r="J2585" s="37">
        <f>COUNTIF(H$5:H2585,"Y")/COUNTA(H$5:H2585)</f>
        <v/>
      </c>
      <c r="K2585" s="37">
        <f>AVERAGE(F$5:F2585)</f>
        <v/>
      </c>
      <c r="L2585" s="37">
        <f>SUM(F$5:F2585)/SUM(E$5:E2585)</f>
        <v/>
      </c>
    </row>
    <row r="2586">
      <c r="A2586" s="29" t="n">
        <v>46050</v>
      </c>
      <c r="B2586" s="37" t="inlineStr">
        <is>
          <t>JOB-3582</t>
        </is>
      </c>
      <c r="C2586" s="34" t="n">
        <v>1</v>
      </c>
      <c r="D2586" s="37" t="inlineStr">
        <is>
          <t>Tech C</t>
        </is>
      </c>
      <c r="E2586" s="35" t="n">
        <v>1.1</v>
      </c>
      <c r="F2586" s="35" t="n">
        <v>1</v>
      </c>
      <c r="G2586" s="37" t="inlineStr">
        <is>
          <t>Y</t>
        </is>
      </c>
      <c r="H2586" s="37" t="inlineStr">
        <is>
          <t>N</t>
        </is>
      </c>
      <c r="I2586" s="37">
        <f>COUNTIF(G$5:G2586,"Y")/COUNTA(G$5:G2586)</f>
        <v/>
      </c>
      <c r="J2586" s="37">
        <f>COUNTIF(H$5:H2586,"Y")/COUNTA(H$5:H2586)</f>
        <v/>
      </c>
      <c r="K2586" s="37">
        <f>AVERAGE(F$5:F2586)</f>
        <v/>
      </c>
      <c r="L2586" s="37">
        <f>SUM(F$5:F2586)/SUM(E$5:E2586)</f>
        <v/>
      </c>
    </row>
    <row r="2587">
      <c r="A2587" s="29" t="n">
        <v>46051</v>
      </c>
      <c r="B2587" s="37" t="inlineStr">
        <is>
          <t>JOB-3583</t>
        </is>
      </c>
      <c r="C2587" s="34" t="n">
        <v>1</v>
      </c>
      <c r="D2587" s="37" t="inlineStr">
        <is>
          <t>Tech A</t>
        </is>
      </c>
      <c r="E2587" s="35" t="n">
        <v>2.2</v>
      </c>
      <c r="F2587" s="35" t="n">
        <v>1.7</v>
      </c>
      <c r="G2587" s="37" t="inlineStr">
        <is>
          <t>Y</t>
        </is>
      </c>
      <c r="H2587" s="37" t="inlineStr">
        <is>
          <t>N</t>
        </is>
      </c>
      <c r="I2587" s="37">
        <f>COUNTIF(G$5:G2587,"Y")/COUNTA(G$5:G2587)</f>
        <v/>
      </c>
      <c r="J2587" s="37">
        <f>COUNTIF(H$5:H2587,"Y")/COUNTA(H$5:H2587)</f>
        <v/>
      </c>
      <c r="K2587" s="37">
        <f>AVERAGE(F$5:F2587)</f>
        <v/>
      </c>
      <c r="L2587" s="37">
        <f>SUM(F$5:F2587)/SUM(E$5:E2587)</f>
        <v/>
      </c>
    </row>
    <row r="2588">
      <c r="A2588" s="29" t="n">
        <v>46052</v>
      </c>
      <c r="B2588" s="37" t="inlineStr">
        <is>
          <t>JOB-3584</t>
        </is>
      </c>
      <c r="C2588" s="34" t="n">
        <v>1</v>
      </c>
      <c r="D2588" s="37" t="inlineStr">
        <is>
          <t>Tech D</t>
        </is>
      </c>
      <c r="E2588" s="35" t="n">
        <v>4.7</v>
      </c>
      <c r="F2588" s="35" t="n">
        <v>3.4</v>
      </c>
      <c r="G2588" s="37" t="inlineStr">
        <is>
          <t>Y</t>
        </is>
      </c>
      <c r="H2588" s="37" t="inlineStr">
        <is>
          <t>N</t>
        </is>
      </c>
      <c r="I2588" s="37">
        <f>COUNTIF(G$5:G2588,"Y")/COUNTA(G$5:G2588)</f>
        <v/>
      </c>
      <c r="J2588" s="37">
        <f>COUNTIF(H$5:H2588,"Y")/COUNTA(H$5:H2588)</f>
        <v/>
      </c>
      <c r="K2588" s="37">
        <f>AVERAGE(F$5:F2588)</f>
        <v/>
      </c>
      <c r="L2588" s="37">
        <f>SUM(F$5:F2588)/SUM(E$5:E2588)</f>
        <v/>
      </c>
    </row>
    <row r="2589">
      <c r="A2589" s="29" t="n">
        <v>46048</v>
      </c>
      <c r="B2589" s="37" t="inlineStr">
        <is>
          <t>JOB-3585</t>
        </is>
      </c>
      <c r="C2589" s="34" t="n">
        <v>1</v>
      </c>
      <c r="D2589" s="37" t="inlineStr">
        <is>
          <t>Tech A</t>
        </is>
      </c>
      <c r="E2589" s="35" t="n">
        <v>1.4</v>
      </c>
      <c r="F2589" s="35" t="n">
        <v>1.3</v>
      </c>
      <c r="G2589" s="37" t="inlineStr">
        <is>
          <t>Y</t>
        </is>
      </c>
      <c r="H2589" s="37" t="inlineStr">
        <is>
          <t>N</t>
        </is>
      </c>
      <c r="I2589" s="37">
        <f>COUNTIF(G$5:G2589,"Y")/COUNTA(G$5:G2589)</f>
        <v/>
      </c>
      <c r="J2589" s="37">
        <f>COUNTIF(H$5:H2589,"Y")/COUNTA(H$5:H2589)</f>
        <v/>
      </c>
      <c r="K2589" s="37">
        <f>AVERAGE(F$5:F2589)</f>
        <v/>
      </c>
      <c r="L2589" s="37">
        <f>SUM(F$5:F2589)/SUM(E$5:E2589)</f>
        <v/>
      </c>
    </row>
    <row r="2590">
      <c r="A2590" s="29" t="n">
        <v>46049</v>
      </c>
      <c r="B2590" s="37" t="inlineStr">
        <is>
          <t>JOB-3586</t>
        </is>
      </c>
      <c r="C2590" s="34" t="n">
        <v>1</v>
      </c>
      <c r="D2590" s="37" t="inlineStr">
        <is>
          <t>Tech H</t>
        </is>
      </c>
      <c r="E2590" s="35" t="n">
        <v>2.9</v>
      </c>
      <c r="F2590" s="35" t="n">
        <v>2.1</v>
      </c>
      <c r="G2590" s="37" t="inlineStr">
        <is>
          <t>Y</t>
        </is>
      </c>
      <c r="H2590" s="37" t="inlineStr">
        <is>
          <t>N</t>
        </is>
      </c>
      <c r="I2590" s="37">
        <f>COUNTIF(G$5:G2590,"Y")/COUNTA(G$5:G2590)</f>
        <v/>
      </c>
      <c r="J2590" s="37">
        <f>COUNTIF(H$5:H2590,"Y")/COUNTA(H$5:H2590)</f>
        <v/>
      </c>
      <c r="K2590" s="37">
        <f>AVERAGE(F$5:F2590)</f>
        <v/>
      </c>
      <c r="L2590" s="37">
        <f>SUM(F$5:F2590)/SUM(E$5:E2590)</f>
        <v/>
      </c>
    </row>
    <row r="2591">
      <c r="A2591" s="29" t="n">
        <v>46050</v>
      </c>
      <c r="B2591" s="37" t="inlineStr">
        <is>
          <t>JOB-3587</t>
        </is>
      </c>
      <c r="C2591" s="34" t="n">
        <v>1</v>
      </c>
      <c r="D2591" s="37" t="inlineStr">
        <is>
          <t>Tech G</t>
        </is>
      </c>
      <c r="E2591" s="35" t="n">
        <v>4.1</v>
      </c>
      <c r="F2591" s="35" t="n">
        <v>3.6</v>
      </c>
      <c r="G2591" s="37" t="inlineStr">
        <is>
          <t>Y</t>
        </is>
      </c>
      <c r="H2591" s="37" t="inlineStr">
        <is>
          <t>Y</t>
        </is>
      </c>
      <c r="I2591" s="37">
        <f>COUNTIF(G$5:G2591,"Y")/COUNTA(G$5:G2591)</f>
        <v/>
      </c>
      <c r="J2591" s="37">
        <f>COUNTIF(H$5:H2591,"Y")/COUNTA(H$5:H2591)</f>
        <v/>
      </c>
      <c r="K2591" s="37">
        <f>AVERAGE(F$5:F2591)</f>
        <v/>
      </c>
      <c r="L2591" s="37">
        <f>SUM(F$5:F2591)/SUM(E$5:E2591)</f>
        <v/>
      </c>
    </row>
    <row r="2592">
      <c r="A2592" s="29" t="n">
        <v>46051</v>
      </c>
      <c r="B2592" s="37" t="inlineStr">
        <is>
          <t>JOB-3588</t>
        </is>
      </c>
      <c r="C2592" s="34" t="n">
        <v>1</v>
      </c>
      <c r="D2592" s="37" t="inlineStr">
        <is>
          <t>Tech F</t>
        </is>
      </c>
      <c r="E2592" s="35" t="n">
        <v>4.8</v>
      </c>
      <c r="F2592" s="35" t="n">
        <v>3.3</v>
      </c>
      <c r="G2592" s="37" t="inlineStr">
        <is>
          <t>Y</t>
        </is>
      </c>
      <c r="H2592" s="37" t="inlineStr">
        <is>
          <t>N</t>
        </is>
      </c>
      <c r="I2592" s="37">
        <f>COUNTIF(G$5:G2592,"Y")/COUNTA(G$5:G2592)</f>
        <v/>
      </c>
      <c r="J2592" s="37">
        <f>COUNTIF(H$5:H2592,"Y")/COUNTA(H$5:H2592)</f>
        <v/>
      </c>
      <c r="K2592" s="37">
        <f>AVERAGE(F$5:F2592)</f>
        <v/>
      </c>
      <c r="L2592" s="37">
        <f>SUM(F$5:F2592)/SUM(E$5:E2592)</f>
        <v/>
      </c>
    </row>
    <row r="2593">
      <c r="A2593" s="29" t="n">
        <v>46052</v>
      </c>
      <c r="B2593" s="37" t="inlineStr">
        <is>
          <t>JOB-3589</t>
        </is>
      </c>
      <c r="C2593" s="34" t="n">
        <v>1</v>
      </c>
      <c r="D2593" s="37" t="inlineStr">
        <is>
          <t>Tech C</t>
        </is>
      </c>
      <c r="E2593" s="35" t="n">
        <v>4.2</v>
      </c>
      <c r="F2593" s="35" t="n">
        <v>3.4</v>
      </c>
      <c r="G2593" s="37" t="inlineStr">
        <is>
          <t>Y</t>
        </is>
      </c>
      <c r="H2593" s="37" t="inlineStr">
        <is>
          <t>N</t>
        </is>
      </c>
      <c r="I2593" s="37">
        <f>COUNTIF(G$5:G2593,"Y")/COUNTA(G$5:G2593)</f>
        <v/>
      </c>
      <c r="J2593" s="37">
        <f>COUNTIF(H$5:H2593,"Y")/COUNTA(H$5:H2593)</f>
        <v/>
      </c>
      <c r="K2593" s="37">
        <f>AVERAGE(F$5:F2593)</f>
        <v/>
      </c>
      <c r="L2593" s="37">
        <f>SUM(F$5:F2593)/SUM(E$5:E2593)</f>
        <v/>
      </c>
    </row>
    <row r="2594">
      <c r="A2594" s="29" t="n">
        <v>46048</v>
      </c>
      <c r="B2594" s="37" t="inlineStr">
        <is>
          <t>JOB-3590</t>
        </is>
      </c>
      <c r="C2594" s="34" t="n">
        <v>1</v>
      </c>
      <c r="D2594" s="37" t="inlineStr">
        <is>
          <t>Tech B</t>
        </is>
      </c>
      <c r="E2594" s="35" t="n">
        <v>2.6</v>
      </c>
      <c r="F2594" s="35" t="n">
        <v>2</v>
      </c>
      <c r="G2594" s="37" t="inlineStr">
        <is>
          <t>Y</t>
        </is>
      </c>
      <c r="H2594" s="37" t="inlineStr">
        <is>
          <t>Y</t>
        </is>
      </c>
      <c r="I2594" s="37">
        <f>COUNTIF(G$5:G2594,"Y")/COUNTA(G$5:G2594)</f>
        <v/>
      </c>
      <c r="J2594" s="37">
        <f>COUNTIF(H$5:H2594,"Y")/COUNTA(H$5:H2594)</f>
        <v/>
      </c>
      <c r="K2594" s="37">
        <f>AVERAGE(F$5:F2594)</f>
        <v/>
      </c>
      <c r="L2594" s="37">
        <f>SUM(F$5:F2594)/SUM(E$5:E2594)</f>
        <v/>
      </c>
    </row>
    <row r="2595">
      <c r="A2595" s="29" t="n">
        <v>46049</v>
      </c>
      <c r="B2595" s="37" t="inlineStr">
        <is>
          <t>JOB-3591</t>
        </is>
      </c>
      <c r="C2595" s="34" t="n">
        <v>1</v>
      </c>
      <c r="D2595" s="37" t="inlineStr">
        <is>
          <t>Tech G</t>
        </is>
      </c>
      <c r="E2595" s="35" t="n">
        <v>3.3</v>
      </c>
      <c r="F2595" s="35" t="n">
        <v>2.9</v>
      </c>
      <c r="G2595" s="37" t="inlineStr">
        <is>
          <t>Y</t>
        </is>
      </c>
      <c r="H2595" s="37" t="inlineStr">
        <is>
          <t>N</t>
        </is>
      </c>
      <c r="I2595" s="37">
        <f>COUNTIF(G$5:G2595,"Y")/COUNTA(G$5:G2595)</f>
        <v/>
      </c>
      <c r="J2595" s="37">
        <f>COUNTIF(H$5:H2595,"Y")/COUNTA(H$5:H2595)</f>
        <v/>
      </c>
      <c r="K2595" s="37">
        <f>AVERAGE(F$5:F2595)</f>
        <v/>
      </c>
      <c r="L2595" s="37">
        <f>SUM(F$5:F2595)/SUM(E$5:E2595)</f>
        <v/>
      </c>
    </row>
    <row r="2596">
      <c r="A2596" s="29" t="n">
        <v>46050</v>
      </c>
      <c r="B2596" s="37" t="inlineStr">
        <is>
          <t>JOB-3592</t>
        </is>
      </c>
      <c r="C2596" s="34" t="n">
        <v>1</v>
      </c>
      <c r="D2596" s="37" t="inlineStr">
        <is>
          <t>Tech F</t>
        </is>
      </c>
      <c r="E2596" s="35" t="n">
        <v>4.8</v>
      </c>
      <c r="F2596" s="35" t="n">
        <v>3.3</v>
      </c>
      <c r="G2596" s="37" t="inlineStr">
        <is>
          <t>Y</t>
        </is>
      </c>
      <c r="H2596" s="37" t="inlineStr">
        <is>
          <t>N</t>
        </is>
      </c>
      <c r="I2596" s="37">
        <f>COUNTIF(G$5:G2596,"Y")/COUNTA(G$5:G2596)</f>
        <v/>
      </c>
      <c r="J2596" s="37">
        <f>COUNTIF(H$5:H2596,"Y")/COUNTA(H$5:H2596)</f>
        <v/>
      </c>
      <c r="K2596" s="37">
        <f>AVERAGE(F$5:F2596)</f>
        <v/>
      </c>
      <c r="L2596" s="37">
        <f>SUM(F$5:F2596)/SUM(E$5:E2596)</f>
        <v/>
      </c>
    </row>
    <row r="2597">
      <c r="A2597" s="29" t="n">
        <v>46051</v>
      </c>
      <c r="B2597" s="37" t="inlineStr">
        <is>
          <t>JOB-3593</t>
        </is>
      </c>
      <c r="C2597" s="34" t="n">
        <v>1</v>
      </c>
      <c r="D2597" s="37" t="inlineStr">
        <is>
          <t>Tech H</t>
        </is>
      </c>
      <c r="E2597" s="35" t="n">
        <v>3.3</v>
      </c>
      <c r="F2597" s="35" t="n">
        <v>2.5</v>
      </c>
      <c r="G2597" s="37" t="inlineStr">
        <is>
          <t>Y</t>
        </is>
      </c>
      <c r="H2597" s="37" t="inlineStr">
        <is>
          <t>N</t>
        </is>
      </c>
      <c r="I2597" s="37">
        <f>COUNTIF(G$5:G2597,"Y")/COUNTA(G$5:G2597)</f>
        <v/>
      </c>
      <c r="J2597" s="37">
        <f>COUNTIF(H$5:H2597,"Y")/COUNTA(H$5:H2597)</f>
        <v/>
      </c>
      <c r="K2597" s="37">
        <f>AVERAGE(F$5:F2597)</f>
        <v/>
      </c>
      <c r="L2597" s="37">
        <f>SUM(F$5:F2597)/SUM(E$5:E2597)</f>
        <v/>
      </c>
    </row>
    <row r="2598">
      <c r="A2598" s="29" t="n">
        <v>46052</v>
      </c>
      <c r="B2598" s="37" t="inlineStr">
        <is>
          <t>JOB-3594</t>
        </is>
      </c>
      <c r="C2598" s="34" t="n">
        <v>1</v>
      </c>
      <c r="D2598" s="37" t="inlineStr">
        <is>
          <t>Tech G</t>
        </is>
      </c>
      <c r="E2598" s="35" t="n">
        <v>3.7</v>
      </c>
      <c r="F2598" s="35" t="n">
        <v>3.3</v>
      </c>
      <c r="G2598" s="37" t="inlineStr">
        <is>
          <t>Y</t>
        </is>
      </c>
      <c r="H2598" s="37" t="inlineStr">
        <is>
          <t>N</t>
        </is>
      </c>
      <c r="I2598" s="37">
        <f>COUNTIF(G$5:G2598,"Y")/COUNTA(G$5:G2598)</f>
        <v/>
      </c>
      <c r="J2598" s="37">
        <f>COUNTIF(H$5:H2598,"Y")/COUNTA(H$5:H2598)</f>
        <v/>
      </c>
      <c r="K2598" s="37">
        <f>AVERAGE(F$5:F2598)</f>
        <v/>
      </c>
      <c r="L2598" s="37">
        <f>SUM(F$5:F2598)/SUM(E$5:E2598)</f>
        <v/>
      </c>
    </row>
    <row r="2599">
      <c r="A2599" s="29" t="n">
        <v>46048</v>
      </c>
      <c r="B2599" s="37" t="inlineStr">
        <is>
          <t>JOB-3595</t>
        </is>
      </c>
      <c r="C2599" s="34" t="n">
        <v>1</v>
      </c>
      <c r="D2599" s="37" t="inlineStr">
        <is>
          <t>Tech H</t>
        </is>
      </c>
      <c r="E2599" s="35" t="n">
        <v>0.6</v>
      </c>
      <c r="F2599" s="35" t="n">
        <v>0.5</v>
      </c>
      <c r="G2599" s="37" t="inlineStr">
        <is>
          <t>Y</t>
        </is>
      </c>
      <c r="H2599" s="37" t="inlineStr">
        <is>
          <t>N</t>
        </is>
      </c>
      <c r="I2599" s="37">
        <f>COUNTIF(G$5:G2599,"Y")/COUNTA(G$5:G2599)</f>
        <v/>
      </c>
      <c r="J2599" s="37">
        <f>COUNTIF(H$5:H2599,"Y")/COUNTA(H$5:H2599)</f>
        <v/>
      </c>
      <c r="K2599" s="37">
        <f>AVERAGE(F$5:F2599)</f>
        <v/>
      </c>
      <c r="L2599" s="37">
        <f>SUM(F$5:F2599)/SUM(E$5:E2599)</f>
        <v/>
      </c>
    </row>
    <row r="2600">
      <c r="A2600" s="29" t="n">
        <v>46049</v>
      </c>
      <c r="B2600" s="37" t="inlineStr">
        <is>
          <t>JOB-3596</t>
        </is>
      </c>
      <c r="C2600" s="34" t="n">
        <v>1</v>
      </c>
      <c r="D2600" s="37" t="inlineStr">
        <is>
          <t>Tech A</t>
        </is>
      </c>
      <c r="E2600" s="35" t="n">
        <v>0.6</v>
      </c>
      <c r="F2600" s="35" t="n">
        <v>0.5</v>
      </c>
      <c r="G2600" s="37" t="inlineStr">
        <is>
          <t>Y</t>
        </is>
      </c>
      <c r="H2600" s="37" t="inlineStr">
        <is>
          <t>N</t>
        </is>
      </c>
      <c r="I2600" s="37">
        <f>COUNTIF(G$5:G2600,"Y")/COUNTA(G$5:G2600)</f>
        <v/>
      </c>
      <c r="J2600" s="37">
        <f>COUNTIF(H$5:H2600,"Y")/COUNTA(H$5:H2600)</f>
        <v/>
      </c>
      <c r="K2600" s="37">
        <f>AVERAGE(F$5:F2600)</f>
        <v/>
      </c>
      <c r="L2600" s="37">
        <f>SUM(F$5:F2600)/SUM(E$5:E2600)</f>
        <v/>
      </c>
    </row>
    <row r="2601">
      <c r="A2601" s="29" t="n">
        <v>46050</v>
      </c>
      <c r="B2601" s="37" t="inlineStr">
        <is>
          <t>JOB-3597</t>
        </is>
      </c>
      <c r="C2601" s="34" t="n">
        <v>1</v>
      </c>
      <c r="D2601" s="37" t="inlineStr">
        <is>
          <t>Tech H</t>
        </is>
      </c>
      <c r="E2601" s="35" t="n">
        <v>0.7</v>
      </c>
      <c r="F2601" s="35" t="n">
        <v>0.5</v>
      </c>
      <c r="G2601" s="37" t="inlineStr">
        <is>
          <t>Y</t>
        </is>
      </c>
      <c r="H2601" s="37" t="inlineStr">
        <is>
          <t>N</t>
        </is>
      </c>
      <c r="I2601" s="37">
        <f>COUNTIF(G$5:G2601,"Y")/COUNTA(G$5:G2601)</f>
        <v/>
      </c>
      <c r="J2601" s="37">
        <f>COUNTIF(H$5:H2601,"Y")/COUNTA(H$5:H2601)</f>
        <v/>
      </c>
      <c r="K2601" s="37">
        <f>AVERAGE(F$5:F2601)</f>
        <v/>
      </c>
      <c r="L2601" s="37">
        <f>SUM(F$5:F2601)/SUM(E$5:E2601)</f>
        <v/>
      </c>
    </row>
    <row r="2602">
      <c r="A2602" s="29" t="n">
        <v>46051</v>
      </c>
      <c r="B2602" s="37" t="inlineStr">
        <is>
          <t>JOB-3598</t>
        </is>
      </c>
      <c r="C2602" s="34" t="n">
        <v>1</v>
      </c>
      <c r="D2602" s="37" t="inlineStr">
        <is>
          <t>Tech H</t>
        </is>
      </c>
      <c r="E2602" s="35" t="n">
        <v>0.6</v>
      </c>
      <c r="F2602" s="35" t="n">
        <v>0.5</v>
      </c>
      <c r="G2602" s="37" t="inlineStr">
        <is>
          <t>Y</t>
        </is>
      </c>
      <c r="H2602" s="37" t="inlineStr">
        <is>
          <t>N</t>
        </is>
      </c>
      <c r="I2602" s="37">
        <f>COUNTIF(G$5:G2602,"Y")/COUNTA(G$5:G2602)</f>
        <v/>
      </c>
      <c r="J2602" s="37">
        <f>COUNTIF(H$5:H2602,"Y")/COUNTA(H$5:H2602)</f>
        <v/>
      </c>
      <c r="K2602" s="37">
        <f>AVERAGE(F$5:F2602)</f>
        <v/>
      </c>
      <c r="L2602" s="37">
        <f>SUM(F$5:F2602)/SUM(E$5:E2602)</f>
        <v/>
      </c>
    </row>
    <row r="2603">
      <c r="A2603" s="29" t="n">
        <v>46052</v>
      </c>
      <c r="B2603" s="37" t="inlineStr">
        <is>
          <t>JOB-3599</t>
        </is>
      </c>
      <c r="C2603" s="34" t="n">
        <v>1</v>
      </c>
      <c r="D2603" s="37" t="inlineStr">
        <is>
          <t>Tech A</t>
        </is>
      </c>
      <c r="E2603" s="35" t="n">
        <v>0.6</v>
      </c>
      <c r="F2603" s="35" t="n">
        <v>0.5</v>
      </c>
      <c r="G2603" s="37" t="inlineStr">
        <is>
          <t>Y</t>
        </is>
      </c>
      <c r="H2603" s="37" t="inlineStr">
        <is>
          <t>N</t>
        </is>
      </c>
      <c r="I2603" s="37">
        <f>COUNTIF(G$5:G2603,"Y")/COUNTA(G$5:G2603)</f>
        <v/>
      </c>
      <c r="J2603" s="37">
        <f>COUNTIF(H$5:H2603,"Y")/COUNTA(H$5:H2603)</f>
        <v/>
      </c>
      <c r="K2603" s="37">
        <f>AVERAGE(F$5:F2603)</f>
        <v/>
      </c>
      <c r="L2603" s="37">
        <f>SUM(F$5:F2603)/SUM(E$5:E2603)</f>
        <v/>
      </c>
    </row>
    <row r="2604">
      <c r="A2604" s="29" t="n">
        <v>46048</v>
      </c>
      <c r="B2604" s="37" t="inlineStr">
        <is>
          <t>JOB-3600</t>
        </is>
      </c>
      <c r="C2604" s="34" t="n">
        <v>1</v>
      </c>
      <c r="D2604" s="37" t="inlineStr">
        <is>
          <t>Tech B</t>
        </is>
      </c>
      <c r="E2604" s="35" t="n">
        <v>0.7</v>
      </c>
      <c r="F2604" s="35" t="n">
        <v>0.5</v>
      </c>
      <c r="G2604" s="37" t="inlineStr">
        <is>
          <t>Y</t>
        </is>
      </c>
      <c r="H2604" s="37" t="inlineStr">
        <is>
          <t>N</t>
        </is>
      </c>
      <c r="I2604" s="37">
        <f>COUNTIF(G$5:G2604,"Y")/COUNTA(G$5:G2604)</f>
        <v/>
      </c>
      <c r="J2604" s="37">
        <f>COUNTIF(H$5:H2604,"Y")/COUNTA(H$5:H2604)</f>
        <v/>
      </c>
      <c r="K2604" s="37">
        <f>AVERAGE(F$5:F2604)</f>
        <v/>
      </c>
      <c r="L2604" s="37">
        <f>SUM(F$5:F2604)/SUM(E$5:E2604)</f>
        <v/>
      </c>
    </row>
    <row r="2605">
      <c r="A2605" s="29" t="n">
        <v>46049</v>
      </c>
      <c r="B2605" s="37" t="inlineStr">
        <is>
          <t>JOB-3601</t>
        </is>
      </c>
      <c r="C2605" s="34" t="n">
        <v>1</v>
      </c>
      <c r="D2605" s="37" t="inlineStr">
        <is>
          <t>Tech B</t>
        </is>
      </c>
      <c r="E2605" s="35" t="n">
        <v>0.6</v>
      </c>
      <c r="F2605" s="35" t="n">
        <v>0.5</v>
      </c>
      <c r="G2605" s="37" t="inlineStr">
        <is>
          <t>Y</t>
        </is>
      </c>
      <c r="H2605" s="37" t="inlineStr">
        <is>
          <t>N</t>
        </is>
      </c>
      <c r="I2605" s="37">
        <f>COUNTIF(G$5:G2605,"Y")/COUNTA(G$5:G2605)</f>
        <v/>
      </c>
      <c r="J2605" s="37">
        <f>COUNTIF(H$5:H2605,"Y")/COUNTA(H$5:H2605)</f>
        <v/>
      </c>
      <c r="K2605" s="37">
        <f>AVERAGE(F$5:F2605)</f>
        <v/>
      </c>
      <c r="L2605" s="37">
        <f>SUM(F$5:F2605)/SUM(E$5:E2605)</f>
        <v/>
      </c>
    </row>
    <row r="2606">
      <c r="A2606" s="29" t="n">
        <v>46050</v>
      </c>
      <c r="B2606" s="37" t="inlineStr">
        <is>
          <t>JOB-3602</t>
        </is>
      </c>
      <c r="C2606" s="34" t="n">
        <v>1</v>
      </c>
      <c r="D2606" s="37" t="inlineStr">
        <is>
          <t>Tech F</t>
        </is>
      </c>
      <c r="E2606" s="35" t="n">
        <v>0.7</v>
      </c>
      <c r="F2606" s="35" t="n">
        <v>0.5</v>
      </c>
      <c r="G2606" s="37" t="inlineStr">
        <is>
          <t>N</t>
        </is>
      </c>
      <c r="H2606" s="37" t="inlineStr">
        <is>
          <t>N</t>
        </is>
      </c>
      <c r="I2606" s="37">
        <f>COUNTIF(G$5:G2606,"Y")/COUNTA(G$5:G2606)</f>
        <v/>
      </c>
      <c r="J2606" s="37">
        <f>COUNTIF(H$5:H2606,"Y")/COUNTA(H$5:H2606)</f>
        <v/>
      </c>
      <c r="K2606" s="37">
        <f>AVERAGE(F$5:F2606)</f>
        <v/>
      </c>
      <c r="L2606" s="37">
        <f>SUM(F$5:F2606)/SUM(E$5:E2606)</f>
        <v/>
      </c>
    </row>
    <row r="2607">
      <c r="A2607" s="29" t="n">
        <v>46051</v>
      </c>
      <c r="B2607" s="37" t="inlineStr">
        <is>
          <t>JOB-3603</t>
        </is>
      </c>
      <c r="C2607" s="34" t="n">
        <v>1</v>
      </c>
      <c r="D2607" s="37" t="inlineStr">
        <is>
          <t>Tech D</t>
        </is>
      </c>
      <c r="E2607" s="35" t="n">
        <v>1</v>
      </c>
      <c r="F2607" s="35" t="n">
        <v>0.5</v>
      </c>
      <c r="G2607" s="37" t="inlineStr">
        <is>
          <t>Y</t>
        </is>
      </c>
      <c r="H2607" s="37" t="inlineStr">
        <is>
          <t>N</t>
        </is>
      </c>
      <c r="I2607" s="37">
        <f>COUNTIF(G$5:G2607,"Y")/COUNTA(G$5:G2607)</f>
        <v/>
      </c>
      <c r="J2607" s="37">
        <f>COUNTIF(H$5:H2607,"Y")/COUNTA(H$5:H2607)</f>
        <v/>
      </c>
      <c r="K2607" s="37">
        <f>AVERAGE(F$5:F2607)</f>
        <v/>
      </c>
      <c r="L2607" s="37">
        <f>SUM(F$5:F2607)/SUM(E$5:E2607)</f>
        <v/>
      </c>
      <c r="M2607" s="37" t="n">
        <v>13</v>
      </c>
    </row>
    <row r="2608">
      <c r="A2608" s="29" t="n">
        <v>46055</v>
      </c>
      <c r="B2608" s="37" t="inlineStr">
        <is>
          <t>JOB-3604</t>
        </is>
      </c>
      <c r="C2608" s="34" t="n">
        <v>1</v>
      </c>
      <c r="D2608" s="37" t="inlineStr">
        <is>
          <t>Tech B</t>
        </is>
      </c>
      <c r="E2608" s="35" t="n">
        <v>4.4</v>
      </c>
      <c r="F2608" s="35" t="n">
        <v>3.8</v>
      </c>
      <c r="G2608" s="37" t="inlineStr">
        <is>
          <t>Y</t>
        </is>
      </c>
      <c r="H2608" s="37" t="inlineStr">
        <is>
          <t>N</t>
        </is>
      </c>
      <c r="I2608" s="37">
        <f>COUNTIF(G$5:G2608,"Y")/COUNTA(G$5:G2608)</f>
        <v/>
      </c>
      <c r="J2608" s="37">
        <f>COUNTIF(H$5:H2608,"Y")/COUNTA(H$5:H2608)</f>
        <v/>
      </c>
      <c r="K2608" s="37">
        <f>AVERAGE(F$5:F2608)</f>
        <v/>
      </c>
      <c r="L2608" s="37">
        <f>SUM(F$5:F2608)/SUM(E$5:E2608)</f>
        <v/>
      </c>
    </row>
    <row r="2609">
      <c r="A2609" s="29" t="n">
        <v>46056</v>
      </c>
      <c r="B2609" s="37" t="inlineStr">
        <is>
          <t>JOB-3605</t>
        </is>
      </c>
      <c r="C2609" s="34" t="n">
        <v>1</v>
      </c>
      <c r="D2609" s="37" t="inlineStr">
        <is>
          <t>Tech G</t>
        </is>
      </c>
      <c r="E2609" s="35" t="n">
        <v>2.1</v>
      </c>
      <c r="F2609" s="35" t="n">
        <v>1.7</v>
      </c>
      <c r="G2609" s="37" t="inlineStr">
        <is>
          <t>Y</t>
        </is>
      </c>
      <c r="H2609" s="37" t="inlineStr">
        <is>
          <t>N</t>
        </is>
      </c>
      <c r="I2609" s="37">
        <f>COUNTIF(G$5:G2609,"Y")/COUNTA(G$5:G2609)</f>
        <v/>
      </c>
      <c r="J2609" s="37">
        <f>COUNTIF(H$5:H2609,"Y")/COUNTA(H$5:H2609)</f>
        <v/>
      </c>
      <c r="K2609" s="37">
        <f>AVERAGE(F$5:F2609)</f>
        <v/>
      </c>
      <c r="L2609" s="37">
        <f>SUM(F$5:F2609)/SUM(E$5:E2609)</f>
        <v/>
      </c>
    </row>
    <row r="2610">
      <c r="A2610" s="29" t="n">
        <v>46057</v>
      </c>
      <c r="B2610" s="37" t="inlineStr">
        <is>
          <t>JOB-3606</t>
        </is>
      </c>
      <c r="C2610" s="34" t="n">
        <v>1</v>
      </c>
      <c r="D2610" s="37" t="inlineStr">
        <is>
          <t>Tech D</t>
        </is>
      </c>
      <c r="E2610" s="35" t="n">
        <v>3</v>
      </c>
      <c r="F2610" s="35" t="n">
        <v>2.6</v>
      </c>
      <c r="G2610" s="37" t="inlineStr">
        <is>
          <t>Y</t>
        </is>
      </c>
      <c r="H2610" s="37" t="inlineStr">
        <is>
          <t>N</t>
        </is>
      </c>
      <c r="I2610" s="37">
        <f>COUNTIF(G$5:G2610,"Y")/COUNTA(G$5:G2610)</f>
        <v/>
      </c>
      <c r="J2610" s="37">
        <f>COUNTIF(H$5:H2610,"Y")/COUNTA(H$5:H2610)</f>
        <v/>
      </c>
      <c r="K2610" s="37">
        <f>AVERAGE(F$5:F2610)</f>
        <v/>
      </c>
      <c r="L2610" s="37">
        <f>SUM(F$5:F2610)/SUM(E$5:E2610)</f>
        <v/>
      </c>
    </row>
    <row r="2611">
      <c r="A2611" s="29" t="n">
        <v>46058</v>
      </c>
      <c r="B2611" s="37" t="inlineStr">
        <is>
          <t>JOB-3607</t>
        </is>
      </c>
      <c r="C2611" s="34" t="n">
        <v>1</v>
      </c>
      <c r="D2611" s="37" t="inlineStr">
        <is>
          <t>Tech F</t>
        </is>
      </c>
      <c r="E2611" s="35" t="n">
        <v>2.9</v>
      </c>
      <c r="F2611" s="35" t="n">
        <v>2.6</v>
      </c>
      <c r="G2611" s="37" t="inlineStr">
        <is>
          <t>Y</t>
        </is>
      </c>
      <c r="H2611" s="37" t="inlineStr">
        <is>
          <t>N</t>
        </is>
      </c>
      <c r="I2611" s="37">
        <f>COUNTIF(G$5:G2611,"Y")/COUNTA(G$5:G2611)</f>
        <v/>
      </c>
      <c r="J2611" s="37">
        <f>COUNTIF(H$5:H2611,"Y")/COUNTA(H$5:H2611)</f>
        <v/>
      </c>
      <c r="K2611" s="37">
        <f>AVERAGE(F$5:F2611)</f>
        <v/>
      </c>
      <c r="L2611" s="37">
        <f>SUM(F$5:F2611)/SUM(E$5:E2611)</f>
        <v/>
      </c>
    </row>
    <row r="2612">
      <c r="A2612" s="29" t="n">
        <v>46059</v>
      </c>
      <c r="B2612" s="37" t="inlineStr">
        <is>
          <t>JOB-3608</t>
        </is>
      </c>
      <c r="C2612" s="34" t="n">
        <v>1</v>
      </c>
      <c r="D2612" s="37" t="inlineStr">
        <is>
          <t>Tech B</t>
        </is>
      </c>
      <c r="E2612" s="35" t="n">
        <v>3.3</v>
      </c>
      <c r="F2612" s="35" t="n">
        <v>3</v>
      </c>
      <c r="G2612" s="37" t="inlineStr">
        <is>
          <t>Y</t>
        </is>
      </c>
      <c r="H2612" s="37" t="inlineStr">
        <is>
          <t>N</t>
        </is>
      </c>
      <c r="I2612" s="37">
        <f>COUNTIF(G$5:G2612,"Y")/COUNTA(G$5:G2612)</f>
        <v/>
      </c>
      <c r="J2612" s="37">
        <f>COUNTIF(H$5:H2612,"Y")/COUNTA(H$5:H2612)</f>
        <v/>
      </c>
      <c r="K2612" s="37">
        <f>AVERAGE(F$5:F2612)</f>
        <v/>
      </c>
      <c r="L2612" s="37">
        <f>SUM(F$5:F2612)/SUM(E$5:E2612)</f>
        <v/>
      </c>
    </row>
    <row r="2613">
      <c r="A2613" s="29" t="n">
        <v>46055</v>
      </c>
      <c r="B2613" s="37" t="inlineStr">
        <is>
          <t>JOB-3609</t>
        </is>
      </c>
      <c r="C2613" s="34" t="n">
        <v>1</v>
      </c>
      <c r="D2613" s="37" t="inlineStr">
        <is>
          <t>Tech A</t>
        </is>
      </c>
      <c r="E2613" s="35" t="n">
        <v>3.7</v>
      </c>
      <c r="F2613" s="35" t="n">
        <v>2.7</v>
      </c>
      <c r="G2613" s="37" t="inlineStr">
        <is>
          <t>Y</t>
        </is>
      </c>
      <c r="H2613" s="37" t="inlineStr">
        <is>
          <t>N</t>
        </is>
      </c>
      <c r="I2613" s="37">
        <f>COUNTIF(G$5:G2613,"Y")/COUNTA(G$5:G2613)</f>
        <v/>
      </c>
      <c r="J2613" s="37">
        <f>COUNTIF(H$5:H2613,"Y")/COUNTA(H$5:H2613)</f>
        <v/>
      </c>
      <c r="K2613" s="37">
        <f>AVERAGE(F$5:F2613)</f>
        <v/>
      </c>
      <c r="L2613" s="37">
        <f>SUM(F$5:F2613)/SUM(E$5:E2613)</f>
        <v/>
      </c>
    </row>
    <row r="2614">
      <c r="A2614" s="29" t="n">
        <v>46056</v>
      </c>
      <c r="B2614" s="37" t="inlineStr">
        <is>
          <t>JOB-3610</t>
        </is>
      </c>
      <c r="C2614" s="34" t="n">
        <v>1</v>
      </c>
      <c r="D2614" s="37" t="inlineStr">
        <is>
          <t>Tech B</t>
        </is>
      </c>
      <c r="E2614" s="35" t="n">
        <v>2.2</v>
      </c>
      <c r="F2614" s="35" t="n">
        <v>1.8</v>
      </c>
      <c r="G2614" s="37" t="inlineStr">
        <is>
          <t>Y</t>
        </is>
      </c>
      <c r="H2614" s="37" t="inlineStr">
        <is>
          <t>N</t>
        </is>
      </c>
      <c r="I2614" s="37">
        <f>COUNTIF(G$5:G2614,"Y")/COUNTA(G$5:G2614)</f>
        <v/>
      </c>
      <c r="J2614" s="37">
        <f>COUNTIF(H$5:H2614,"Y")/COUNTA(H$5:H2614)</f>
        <v/>
      </c>
      <c r="K2614" s="37">
        <f>AVERAGE(F$5:F2614)</f>
        <v/>
      </c>
      <c r="L2614" s="37">
        <f>SUM(F$5:F2614)/SUM(E$5:E2614)</f>
        <v/>
      </c>
    </row>
    <row r="2615">
      <c r="A2615" s="29" t="n">
        <v>46057</v>
      </c>
      <c r="B2615" s="37" t="inlineStr">
        <is>
          <t>JOB-3611</t>
        </is>
      </c>
      <c r="C2615" s="34" t="n">
        <v>1</v>
      </c>
      <c r="D2615" s="37" t="inlineStr">
        <is>
          <t>Tech D</t>
        </is>
      </c>
      <c r="E2615" s="35" t="n">
        <v>3.4</v>
      </c>
      <c r="F2615" s="35" t="n">
        <v>2.6</v>
      </c>
      <c r="G2615" s="37" t="inlineStr">
        <is>
          <t>Y</t>
        </is>
      </c>
      <c r="H2615" s="37" t="inlineStr">
        <is>
          <t>N</t>
        </is>
      </c>
      <c r="I2615" s="37">
        <f>COUNTIF(G$5:G2615,"Y")/COUNTA(G$5:G2615)</f>
        <v/>
      </c>
      <c r="J2615" s="37">
        <f>COUNTIF(H$5:H2615,"Y")/COUNTA(H$5:H2615)</f>
        <v/>
      </c>
      <c r="K2615" s="37">
        <f>AVERAGE(F$5:F2615)</f>
        <v/>
      </c>
      <c r="L2615" s="37">
        <f>SUM(F$5:F2615)/SUM(E$5:E2615)</f>
        <v/>
      </c>
    </row>
    <row r="2616">
      <c r="A2616" s="29" t="n">
        <v>46058</v>
      </c>
      <c r="B2616" s="37" t="inlineStr">
        <is>
          <t>JOB-3612</t>
        </is>
      </c>
      <c r="C2616" s="34" t="n">
        <v>1</v>
      </c>
      <c r="D2616" s="37" t="inlineStr">
        <is>
          <t>Tech F</t>
        </is>
      </c>
      <c r="E2616" s="35" t="n">
        <v>3.6</v>
      </c>
      <c r="F2616" s="35" t="n">
        <v>3.3</v>
      </c>
      <c r="G2616" s="37" t="inlineStr">
        <is>
          <t>Y</t>
        </is>
      </c>
      <c r="H2616" s="37" t="inlineStr">
        <is>
          <t>N</t>
        </is>
      </c>
      <c r="I2616" s="37">
        <f>COUNTIF(G$5:G2616,"Y")/COUNTA(G$5:G2616)</f>
        <v/>
      </c>
      <c r="J2616" s="37">
        <f>COUNTIF(H$5:H2616,"Y")/COUNTA(H$5:H2616)</f>
        <v/>
      </c>
      <c r="K2616" s="37">
        <f>AVERAGE(F$5:F2616)</f>
        <v/>
      </c>
      <c r="L2616" s="37">
        <f>SUM(F$5:F2616)/SUM(E$5:E2616)</f>
        <v/>
      </c>
    </row>
    <row r="2617">
      <c r="A2617" s="29" t="n">
        <v>46059</v>
      </c>
      <c r="B2617" s="37" t="inlineStr">
        <is>
          <t>JOB-3613</t>
        </is>
      </c>
      <c r="C2617" s="34" t="n">
        <v>1</v>
      </c>
      <c r="D2617" s="37" t="inlineStr">
        <is>
          <t>Tech G</t>
        </is>
      </c>
      <c r="E2617" s="35" t="n">
        <v>4.2</v>
      </c>
      <c r="F2617" s="35" t="n">
        <v>3.2</v>
      </c>
      <c r="G2617" s="37" t="inlineStr">
        <is>
          <t>Y</t>
        </is>
      </c>
      <c r="H2617" s="37" t="inlineStr">
        <is>
          <t>N</t>
        </is>
      </c>
      <c r="I2617" s="37">
        <f>COUNTIF(G$5:G2617,"Y")/COUNTA(G$5:G2617)</f>
        <v/>
      </c>
      <c r="J2617" s="37">
        <f>COUNTIF(H$5:H2617,"Y")/COUNTA(H$5:H2617)</f>
        <v/>
      </c>
      <c r="K2617" s="37">
        <f>AVERAGE(F$5:F2617)</f>
        <v/>
      </c>
      <c r="L2617" s="37">
        <f>SUM(F$5:F2617)/SUM(E$5:E2617)</f>
        <v/>
      </c>
    </row>
    <row r="2618">
      <c r="A2618" s="29" t="n">
        <v>46055</v>
      </c>
      <c r="B2618" s="37" t="inlineStr">
        <is>
          <t>JOB-3614</t>
        </is>
      </c>
      <c r="C2618" s="34" t="n">
        <v>1</v>
      </c>
      <c r="D2618" s="37" t="inlineStr">
        <is>
          <t>Tech D</t>
        </is>
      </c>
      <c r="E2618" s="35" t="n">
        <v>3.5</v>
      </c>
      <c r="F2618" s="35" t="n">
        <v>3</v>
      </c>
      <c r="G2618" s="37" t="inlineStr">
        <is>
          <t>Y</t>
        </is>
      </c>
      <c r="H2618" s="37" t="inlineStr">
        <is>
          <t>N</t>
        </is>
      </c>
      <c r="I2618" s="37">
        <f>COUNTIF(G$5:G2618,"Y")/COUNTA(G$5:G2618)</f>
        <v/>
      </c>
      <c r="J2618" s="37">
        <f>COUNTIF(H$5:H2618,"Y")/COUNTA(H$5:H2618)</f>
        <v/>
      </c>
      <c r="K2618" s="37">
        <f>AVERAGE(F$5:F2618)</f>
        <v/>
      </c>
      <c r="L2618" s="37">
        <f>SUM(F$5:F2618)/SUM(E$5:E2618)</f>
        <v/>
      </c>
    </row>
    <row r="2619">
      <c r="A2619" s="29" t="n">
        <v>46056</v>
      </c>
      <c r="B2619" s="37" t="inlineStr">
        <is>
          <t>JOB-3615</t>
        </is>
      </c>
      <c r="C2619" s="34" t="n">
        <v>1</v>
      </c>
      <c r="D2619" s="37" t="inlineStr">
        <is>
          <t>Tech F</t>
        </is>
      </c>
      <c r="E2619" s="35" t="n">
        <v>2.8</v>
      </c>
      <c r="F2619" s="35" t="n">
        <v>2.2</v>
      </c>
      <c r="G2619" s="37" t="inlineStr">
        <is>
          <t>Y</t>
        </is>
      </c>
      <c r="H2619" s="37" t="inlineStr">
        <is>
          <t>Y</t>
        </is>
      </c>
      <c r="I2619" s="37">
        <f>COUNTIF(G$5:G2619,"Y")/COUNTA(G$5:G2619)</f>
        <v/>
      </c>
      <c r="J2619" s="37">
        <f>COUNTIF(H$5:H2619,"Y")/COUNTA(H$5:H2619)</f>
        <v/>
      </c>
      <c r="K2619" s="37">
        <f>AVERAGE(F$5:F2619)</f>
        <v/>
      </c>
      <c r="L2619" s="37">
        <f>SUM(F$5:F2619)/SUM(E$5:E2619)</f>
        <v/>
      </c>
    </row>
    <row r="2620">
      <c r="A2620" s="29" t="n">
        <v>46057</v>
      </c>
      <c r="B2620" s="37" t="inlineStr">
        <is>
          <t>JOB-3616</t>
        </is>
      </c>
      <c r="C2620" s="34" t="n">
        <v>1</v>
      </c>
      <c r="D2620" s="37" t="inlineStr">
        <is>
          <t>Tech H</t>
        </is>
      </c>
      <c r="E2620" s="35" t="n">
        <v>5.6</v>
      </c>
      <c r="F2620" s="35" t="n">
        <v>4</v>
      </c>
      <c r="G2620" s="37" t="inlineStr">
        <is>
          <t>Y</t>
        </is>
      </c>
      <c r="H2620" s="37" t="inlineStr">
        <is>
          <t>N</t>
        </is>
      </c>
      <c r="I2620" s="37">
        <f>COUNTIF(G$5:G2620,"Y")/COUNTA(G$5:G2620)</f>
        <v/>
      </c>
      <c r="J2620" s="37">
        <f>COUNTIF(H$5:H2620,"Y")/COUNTA(H$5:H2620)</f>
        <v/>
      </c>
      <c r="K2620" s="37">
        <f>AVERAGE(F$5:F2620)</f>
        <v/>
      </c>
      <c r="L2620" s="37">
        <f>SUM(F$5:F2620)/SUM(E$5:E2620)</f>
        <v/>
      </c>
    </row>
    <row r="2621">
      <c r="A2621" s="29" t="n">
        <v>46058</v>
      </c>
      <c r="B2621" s="37" t="inlineStr">
        <is>
          <t>JOB-3617</t>
        </is>
      </c>
      <c r="C2621" s="34" t="n">
        <v>1</v>
      </c>
      <c r="D2621" s="37" t="inlineStr">
        <is>
          <t>Tech G</t>
        </is>
      </c>
      <c r="E2621" s="35" t="n">
        <v>5.2</v>
      </c>
      <c r="F2621" s="35" t="n">
        <v>3.7</v>
      </c>
      <c r="G2621" s="37" t="inlineStr">
        <is>
          <t>Y</t>
        </is>
      </c>
      <c r="H2621" s="37" t="inlineStr">
        <is>
          <t>N</t>
        </is>
      </c>
      <c r="I2621" s="37">
        <f>COUNTIF(G$5:G2621,"Y")/COUNTA(G$5:G2621)</f>
        <v/>
      </c>
      <c r="J2621" s="37">
        <f>COUNTIF(H$5:H2621,"Y")/COUNTA(H$5:H2621)</f>
        <v/>
      </c>
      <c r="K2621" s="37">
        <f>AVERAGE(F$5:F2621)</f>
        <v/>
      </c>
      <c r="L2621" s="37">
        <f>SUM(F$5:F2621)/SUM(E$5:E2621)</f>
        <v/>
      </c>
    </row>
    <row r="2622">
      <c r="A2622" s="29" t="n">
        <v>46059</v>
      </c>
      <c r="B2622" s="37" t="inlineStr">
        <is>
          <t>JOB-3618</t>
        </is>
      </c>
      <c r="C2622" s="34" t="n">
        <v>1</v>
      </c>
      <c r="D2622" s="37" t="inlineStr">
        <is>
          <t>Tech F</t>
        </is>
      </c>
      <c r="E2622" s="35" t="n">
        <v>3.9</v>
      </c>
      <c r="F2622" s="35" t="n">
        <v>3.1</v>
      </c>
      <c r="G2622" s="37" t="inlineStr">
        <is>
          <t>Y</t>
        </is>
      </c>
      <c r="H2622" s="37" t="inlineStr">
        <is>
          <t>N</t>
        </is>
      </c>
      <c r="I2622" s="37">
        <f>COUNTIF(G$5:G2622,"Y")/COUNTA(G$5:G2622)</f>
        <v/>
      </c>
      <c r="J2622" s="37">
        <f>COUNTIF(H$5:H2622,"Y")/COUNTA(H$5:H2622)</f>
        <v/>
      </c>
      <c r="K2622" s="37">
        <f>AVERAGE(F$5:F2622)</f>
        <v/>
      </c>
      <c r="L2622" s="37">
        <f>SUM(F$5:F2622)/SUM(E$5:E2622)</f>
        <v/>
      </c>
    </row>
    <row r="2623">
      <c r="A2623" s="29" t="n">
        <v>46055</v>
      </c>
      <c r="B2623" s="37" t="inlineStr">
        <is>
          <t>JOB-3619</t>
        </is>
      </c>
      <c r="C2623" s="34" t="n">
        <v>1</v>
      </c>
      <c r="D2623" s="37" t="inlineStr">
        <is>
          <t>Tech G</t>
        </is>
      </c>
      <c r="E2623" s="35" t="n">
        <v>3.9</v>
      </c>
      <c r="F2623" s="35" t="n">
        <v>3</v>
      </c>
      <c r="G2623" s="37" t="inlineStr">
        <is>
          <t>Y</t>
        </is>
      </c>
      <c r="H2623" s="37" t="inlineStr">
        <is>
          <t>N</t>
        </is>
      </c>
      <c r="I2623" s="37">
        <f>COUNTIF(G$5:G2623,"Y")/COUNTA(G$5:G2623)</f>
        <v/>
      </c>
      <c r="J2623" s="37">
        <f>COUNTIF(H$5:H2623,"Y")/COUNTA(H$5:H2623)</f>
        <v/>
      </c>
      <c r="K2623" s="37">
        <f>AVERAGE(F$5:F2623)</f>
        <v/>
      </c>
      <c r="L2623" s="37">
        <f>SUM(F$5:F2623)/SUM(E$5:E2623)</f>
        <v/>
      </c>
    </row>
    <row r="2624">
      <c r="A2624" s="29" t="n">
        <v>46056</v>
      </c>
      <c r="B2624" s="37" t="inlineStr">
        <is>
          <t>JOB-3620</t>
        </is>
      </c>
      <c r="C2624" s="34" t="n">
        <v>1</v>
      </c>
      <c r="D2624" s="37" t="inlineStr">
        <is>
          <t>Tech B</t>
        </is>
      </c>
      <c r="E2624" s="35" t="n">
        <v>3.3</v>
      </c>
      <c r="F2624" s="35" t="n">
        <v>2.8</v>
      </c>
      <c r="G2624" s="37" t="inlineStr">
        <is>
          <t>Y</t>
        </is>
      </c>
      <c r="H2624" s="37" t="inlineStr">
        <is>
          <t>N</t>
        </is>
      </c>
      <c r="I2624" s="37">
        <f>COUNTIF(G$5:G2624,"Y")/COUNTA(G$5:G2624)</f>
        <v/>
      </c>
      <c r="J2624" s="37">
        <f>COUNTIF(H$5:H2624,"Y")/COUNTA(H$5:H2624)</f>
        <v/>
      </c>
      <c r="K2624" s="37">
        <f>AVERAGE(F$5:F2624)</f>
        <v/>
      </c>
      <c r="L2624" s="37">
        <f>SUM(F$5:F2624)/SUM(E$5:E2624)</f>
        <v/>
      </c>
    </row>
    <row r="2625">
      <c r="A2625" s="29" t="n">
        <v>46057</v>
      </c>
      <c r="B2625" s="37" t="inlineStr">
        <is>
          <t>JOB-3621</t>
        </is>
      </c>
      <c r="C2625" s="34" t="n">
        <v>1</v>
      </c>
      <c r="D2625" s="37" t="inlineStr">
        <is>
          <t>Tech A</t>
        </is>
      </c>
      <c r="E2625" s="35" t="n">
        <v>2.6</v>
      </c>
      <c r="F2625" s="35" t="n">
        <v>1.8</v>
      </c>
      <c r="G2625" s="37" t="inlineStr">
        <is>
          <t>N</t>
        </is>
      </c>
      <c r="H2625" s="37" t="inlineStr">
        <is>
          <t>N</t>
        </is>
      </c>
      <c r="I2625" s="37">
        <f>COUNTIF(G$5:G2625,"Y")/COUNTA(G$5:G2625)</f>
        <v/>
      </c>
      <c r="J2625" s="37">
        <f>COUNTIF(H$5:H2625,"Y")/COUNTA(H$5:H2625)</f>
        <v/>
      </c>
      <c r="K2625" s="37">
        <f>AVERAGE(F$5:F2625)</f>
        <v/>
      </c>
      <c r="L2625" s="37">
        <f>SUM(F$5:F2625)/SUM(E$5:E2625)</f>
        <v/>
      </c>
    </row>
    <row r="2626">
      <c r="A2626" s="29" t="n">
        <v>46058</v>
      </c>
      <c r="B2626" s="37" t="inlineStr">
        <is>
          <t>JOB-3622</t>
        </is>
      </c>
      <c r="C2626" s="34" t="n">
        <v>1</v>
      </c>
      <c r="D2626" s="37" t="inlineStr">
        <is>
          <t>Tech G</t>
        </is>
      </c>
      <c r="E2626" s="35" t="n">
        <v>5.2</v>
      </c>
      <c r="F2626" s="35" t="n">
        <v>3.8</v>
      </c>
      <c r="G2626" s="37" t="inlineStr">
        <is>
          <t>Y</t>
        </is>
      </c>
      <c r="H2626" s="37" t="inlineStr">
        <is>
          <t>N</t>
        </is>
      </c>
      <c r="I2626" s="37">
        <f>COUNTIF(G$5:G2626,"Y")/COUNTA(G$5:G2626)</f>
        <v/>
      </c>
      <c r="J2626" s="37">
        <f>COUNTIF(H$5:H2626,"Y")/COUNTA(H$5:H2626)</f>
        <v/>
      </c>
      <c r="K2626" s="37">
        <f>AVERAGE(F$5:F2626)</f>
        <v/>
      </c>
      <c r="L2626" s="37">
        <f>SUM(F$5:F2626)/SUM(E$5:E2626)</f>
        <v/>
      </c>
    </row>
    <row r="2627">
      <c r="A2627" s="29" t="n">
        <v>46059</v>
      </c>
      <c r="B2627" s="37" t="inlineStr">
        <is>
          <t>JOB-3623</t>
        </is>
      </c>
      <c r="C2627" s="34" t="n">
        <v>1</v>
      </c>
      <c r="D2627" s="37" t="inlineStr">
        <is>
          <t>Tech D</t>
        </is>
      </c>
      <c r="E2627" s="35" t="n">
        <v>3</v>
      </c>
      <c r="F2627" s="35" t="n">
        <v>2.4</v>
      </c>
      <c r="G2627" s="37" t="inlineStr">
        <is>
          <t>N</t>
        </is>
      </c>
      <c r="H2627" s="37" t="inlineStr">
        <is>
          <t>N</t>
        </is>
      </c>
      <c r="I2627" s="37">
        <f>COUNTIF(G$5:G2627,"Y")/COUNTA(G$5:G2627)</f>
        <v/>
      </c>
      <c r="J2627" s="37">
        <f>COUNTIF(H$5:H2627,"Y")/COUNTA(H$5:H2627)</f>
        <v/>
      </c>
      <c r="K2627" s="37">
        <f>AVERAGE(F$5:F2627)</f>
        <v/>
      </c>
      <c r="L2627" s="37">
        <f>SUM(F$5:F2627)/SUM(E$5:E2627)</f>
        <v/>
      </c>
    </row>
    <row r="2628">
      <c r="A2628" s="29" t="n">
        <v>46055</v>
      </c>
      <c r="B2628" s="37" t="inlineStr">
        <is>
          <t>JOB-3624</t>
        </is>
      </c>
      <c r="C2628" s="34" t="n">
        <v>1</v>
      </c>
      <c r="D2628" s="37" t="inlineStr">
        <is>
          <t>Tech C</t>
        </is>
      </c>
      <c r="E2628" s="35" t="n">
        <v>2.4</v>
      </c>
      <c r="F2628" s="35" t="n">
        <v>1.9</v>
      </c>
      <c r="G2628" s="37" t="inlineStr">
        <is>
          <t>Y</t>
        </is>
      </c>
      <c r="H2628" s="37" t="inlineStr">
        <is>
          <t>N</t>
        </is>
      </c>
      <c r="I2628" s="37">
        <f>COUNTIF(G$5:G2628,"Y")/COUNTA(G$5:G2628)</f>
        <v/>
      </c>
      <c r="J2628" s="37">
        <f>COUNTIF(H$5:H2628,"Y")/COUNTA(H$5:H2628)</f>
        <v/>
      </c>
      <c r="K2628" s="37">
        <f>AVERAGE(F$5:F2628)</f>
        <v/>
      </c>
      <c r="L2628" s="37">
        <f>SUM(F$5:F2628)/SUM(E$5:E2628)</f>
        <v/>
      </c>
    </row>
    <row r="2629">
      <c r="A2629" s="29" t="n">
        <v>46056</v>
      </c>
      <c r="B2629" s="37" t="inlineStr">
        <is>
          <t>JOB-3625</t>
        </is>
      </c>
      <c r="C2629" s="34" t="n">
        <v>1</v>
      </c>
      <c r="D2629" s="37" t="inlineStr">
        <is>
          <t>Tech D</t>
        </is>
      </c>
      <c r="E2629" s="35" t="n">
        <v>2.5</v>
      </c>
      <c r="F2629" s="35" t="n">
        <v>1.7</v>
      </c>
      <c r="G2629" s="37" t="inlineStr">
        <is>
          <t>Y</t>
        </is>
      </c>
      <c r="H2629" s="37" t="inlineStr">
        <is>
          <t>N</t>
        </is>
      </c>
      <c r="I2629" s="37">
        <f>COUNTIF(G$5:G2629,"Y")/COUNTA(G$5:G2629)</f>
        <v/>
      </c>
      <c r="J2629" s="37">
        <f>COUNTIF(H$5:H2629,"Y")/COUNTA(H$5:H2629)</f>
        <v/>
      </c>
      <c r="K2629" s="37">
        <f>AVERAGE(F$5:F2629)</f>
        <v/>
      </c>
      <c r="L2629" s="37">
        <f>SUM(F$5:F2629)/SUM(E$5:E2629)</f>
        <v/>
      </c>
    </row>
    <row r="2630">
      <c r="A2630" s="29" t="n">
        <v>46057</v>
      </c>
      <c r="B2630" s="37" t="inlineStr">
        <is>
          <t>JOB-3626</t>
        </is>
      </c>
      <c r="C2630" s="34" t="n">
        <v>1</v>
      </c>
      <c r="D2630" s="37" t="inlineStr">
        <is>
          <t>Tech C</t>
        </is>
      </c>
      <c r="E2630" s="35" t="n">
        <v>3.8</v>
      </c>
      <c r="F2630" s="35" t="n">
        <v>3.1</v>
      </c>
      <c r="G2630" s="37" t="inlineStr">
        <is>
          <t>Y</t>
        </is>
      </c>
      <c r="H2630" s="37" t="inlineStr">
        <is>
          <t>N</t>
        </is>
      </c>
      <c r="I2630" s="37">
        <f>COUNTIF(G$5:G2630,"Y")/COUNTA(G$5:G2630)</f>
        <v/>
      </c>
      <c r="J2630" s="37">
        <f>COUNTIF(H$5:H2630,"Y")/COUNTA(H$5:H2630)</f>
        <v/>
      </c>
      <c r="K2630" s="37">
        <f>AVERAGE(F$5:F2630)</f>
        <v/>
      </c>
      <c r="L2630" s="37">
        <f>SUM(F$5:F2630)/SUM(E$5:E2630)</f>
        <v/>
      </c>
    </row>
    <row r="2631">
      <c r="A2631" s="29" t="n">
        <v>46058</v>
      </c>
      <c r="B2631" s="37" t="inlineStr">
        <is>
          <t>JOB-3627</t>
        </is>
      </c>
      <c r="C2631" s="34" t="n">
        <v>1</v>
      </c>
      <c r="D2631" s="37" t="inlineStr">
        <is>
          <t>Tech H</t>
        </is>
      </c>
      <c r="E2631" s="35" t="n">
        <v>2.6</v>
      </c>
      <c r="F2631" s="35" t="n">
        <v>2.3</v>
      </c>
      <c r="G2631" s="37" t="inlineStr">
        <is>
          <t>Y</t>
        </is>
      </c>
      <c r="H2631" s="37" t="inlineStr">
        <is>
          <t>N</t>
        </is>
      </c>
      <c r="I2631" s="37">
        <f>COUNTIF(G$5:G2631,"Y")/COUNTA(G$5:G2631)</f>
        <v/>
      </c>
      <c r="J2631" s="37">
        <f>COUNTIF(H$5:H2631,"Y")/COUNTA(H$5:H2631)</f>
        <v/>
      </c>
      <c r="K2631" s="37">
        <f>AVERAGE(F$5:F2631)</f>
        <v/>
      </c>
      <c r="L2631" s="37">
        <f>SUM(F$5:F2631)/SUM(E$5:E2631)</f>
        <v/>
      </c>
    </row>
    <row r="2632">
      <c r="A2632" s="29" t="n">
        <v>46059</v>
      </c>
      <c r="B2632" s="37" t="inlineStr">
        <is>
          <t>JOB-3628</t>
        </is>
      </c>
      <c r="C2632" s="34" t="n">
        <v>1</v>
      </c>
      <c r="D2632" s="37" t="inlineStr">
        <is>
          <t>Tech C</t>
        </is>
      </c>
      <c r="E2632" s="35" t="n">
        <v>5.3</v>
      </c>
      <c r="F2632" s="35" t="n">
        <v>3.8</v>
      </c>
      <c r="G2632" s="37" t="inlineStr">
        <is>
          <t>Y</t>
        </is>
      </c>
      <c r="H2632" s="37" t="inlineStr">
        <is>
          <t>N</t>
        </is>
      </c>
      <c r="I2632" s="37">
        <f>COUNTIF(G$5:G2632,"Y")/COUNTA(G$5:G2632)</f>
        <v/>
      </c>
      <c r="J2632" s="37">
        <f>COUNTIF(H$5:H2632,"Y")/COUNTA(H$5:H2632)</f>
        <v/>
      </c>
      <c r="K2632" s="37">
        <f>AVERAGE(F$5:F2632)</f>
        <v/>
      </c>
      <c r="L2632" s="37">
        <f>SUM(F$5:F2632)/SUM(E$5:E2632)</f>
        <v/>
      </c>
    </row>
    <row r="2633">
      <c r="A2633" s="29" t="n">
        <v>46055</v>
      </c>
      <c r="B2633" s="37" t="inlineStr">
        <is>
          <t>JOB-3629</t>
        </is>
      </c>
      <c r="C2633" s="34" t="n">
        <v>1</v>
      </c>
      <c r="D2633" s="37" t="inlineStr">
        <is>
          <t>Tech G</t>
        </is>
      </c>
      <c r="E2633" s="35" t="n">
        <v>4.8</v>
      </c>
      <c r="F2633" s="35" t="n">
        <v>3.7</v>
      </c>
      <c r="G2633" s="37" t="inlineStr">
        <is>
          <t>Y</t>
        </is>
      </c>
      <c r="H2633" s="37" t="inlineStr">
        <is>
          <t>N</t>
        </is>
      </c>
      <c r="I2633" s="37">
        <f>COUNTIF(G$5:G2633,"Y")/COUNTA(G$5:G2633)</f>
        <v/>
      </c>
      <c r="J2633" s="37">
        <f>COUNTIF(H$5:H2633,"Y")/COUNTA(H$5:H2633)</f>
        <v/>
      </c>
      <c r="K2633" s="37">
        <f>AVERAGE(F$5:F2633)</f>
        <v/>
      </c>
      <c r="L2633" s="37">
        <f>SUM(F$5:F2633)/SUM(E$5:E2633)</f>
        <v/>
      </c>
    </row>
    <row r="2634">
      <c r="A2634" s="29" t="n">
        <v>46056</v>
      </c>
      <c r="B2634" s="37" t="inlineStr">
        <is>
          <t>JOB-3630</t>
        </is>
      </c>
      <c r="C2634" s="34" t="n">
        <v>1</v>
      </c>
      <c r="D2634" s="37" t="inlineStr">
        <is>
          <t>Tech B</t>
        </is>
      </c>
      <c r="E2634" s="35" t="n">
        <v>3.5</v>
      </c>
      <c r="F2634" s="35" t="n">
        <v>3.2</v>
      </c>
      <c r="G2634" s="37" t="inlineStr">
        <is>
          <t>Y</t>
        </is>
      </c>
      <c r="H2634" s="37" t="inlineStr">
        <is>
          <t>N</t>
        </is>
      </c>
      <c r="I2634" s="37">
        <f>COUNTIF(G$5:G2634,"Y")/COUNTA(G$5:G2634)</f>
        <v/>
      </c>
      <c r="J2634" s="37">
        <f>COUNTIF(H$5:H2634,"Y")/COUNTA(H$5:H2634)</f>
        <v/>
      </c>
      <c r="K2634" s="37">
        <f>AVERAGE(F$5:F2634)</f>
        <v/>
      </c>
      <c r="L2634" s="37">
        <f>SUM(F$5:F2634)/SUM(E$5:E2634)</f>
        <v/>
      </c>
    </row>
    <row r="2635">
      <c r="A2635" s="29" t="n">
        <v>46057</v>
      </c>
      <c r="B2635" s="37" t="inlineStr">
        <is>
          <t>JOB-3631</t>
        </is>
      </c>
      <c r="C2635" s="34" t="n">
        <v>1</v>
      </c>
      <c r="D2635" s="37" t="inlineStr">
        <is>
          <t>Tech A</t>
        </is>
      </c>
      <c r="E2635" s="35" t="n">
        <v>2.3</v>
      </c>
      <c r="F2635" s="35" t="n">
        <v>2</v>
      </c>
      <c r="G2635" s="37" t="inlineStr">
        <is>
          <t>Y</t>
        </is>
      </c>
      <c r="H2635" s="37" t="inlineStr">
        <is>
          <t>N</t>
        </is>
      </c>
      <c r="I2635" s="37">
        <f>COUNTIF(G$5:G2635,"Y")/COUNTA(G$5:G2635)</f>
        <v/>
      </c>
      <c r="J2635" s="37">
        <f>COUNTIF(H$5:H2635,"Y")/COUNTA(H$5:H2635)</f>
        <v/>
      </c>
      <c r="K2635" s="37">
        <f>AVERAGE(F$5:F2635)</f>
        <v/>
      </c>
      <c r="L2635" s="37">
        <f>SUM(F$5:F2635)/SUM(E$5:E2635)</f>
        <v/>
      </c>
    </row>
    <row r="2636">
      <c r="A2636" s="29" t="n">
        <v>46058</v>
      </c>
      <c r="B2636" s="37" t="inlineStr">
        <is>
          <t>JOB-3632</t>
        </is>
      </c>
      <c r="C2636" s="34" t="n">
        <v>1</v>
      </c>
      <c r="D2636" s="37" t="inlineStr">
        <is>
          <t>Tech C</t>
        </is>
      </c>
      <c r="E2636" s="35" t="n">
        <v>4.6</v>
      </c>
      <c r="F2636" s="35" t="n">
        <v>3.7</v>
      </c>
      <c r="G2636" s="37" t="inlineStr">
        <is>
          <t>Y</t>
        </is>
      </c>
      <c r="H2636" s="37" t="inlineStr">
        <is>
          <t>N</t>
        </is>
      </c>
      <c r="I2636" s="37">
        <f>COUNTIF(G$5:G2636,"Y")/COUNTA(G$5:G2636)</f>
        <v/>
      </c>
      <c r="J2636" s="37">
        <f>COUNTIF(H$5:H2636,"Y")/COUNTA(H$5:H2636)</f>
        <v/>
      </c>
      <c r="K2636" s="37">
        <f>AVERAGE(F$5:F2636)</f>
        <v/>
      </c>
      <c r="L2636" s="37">
        <f>SUM(F$5:F2636)/SUM(E$5:E2636)</f>
        <v/>
      </c>
    </row>
    <row r="2637">
      <c r="A2637" s="29" t="n">
        <v>46059</v>
      </c>
      <c r="B2637" s="37" t="inlineStr">
        <is>
          <t>JOB-3633</t>
        </is>
      </c>
      <c r="C2637" s="34" t="n">
        <v>1</v>
      </c>
      <c r="D2637" s="37" t="inlineStr">
        <is>
          <t>Tech H</t>
        </is>
      </c>
      <c r="E2637" s="35" t="n">
        <v>3.4</v>
      </c>
      <c r="F2637" s="35" t="n">
        <v>2.8</v>
      </c>
      <c r="G2637" s="37" t="inlineStr">
        <is>
          <t>Y</t>
        </is>
      </c>
      <c r="H2637" s="37" t="inlineStr">
        <is>
          <t>N</t>
        </is>
      </c>
      <c r="I2637" s="37">
        <f>COUNTIF(G$5:G2637,"Y")/COUNTA(G$5:G2637)</f>
        <v/>
      </c>
      <c r="J2637" s="37">
        <f>COUNTIF(H$5:H2637,"Y")/COUNTA(H$5:H2637)</f>
        <v/>
      </c>
      <c r="K2637" s="37">
        <f>AVERAGE(F$5:F2637)</f>
        <v/>
      </c>
      <c r="L2637" s="37">
        <f>SUM(F$5:F2637)/SUM(E$5:E2637)</f>
        <v/>
      </c>
    </row>
    <row r="2638">
      <c r="A2638" s="29" t="n">
        <v>46055</v>
      </c>
      <c r="B2638" s="37" t="inlineStr">
        <is>
          <t>JOB-3634</t>
        </is>
      </c>
      <c r="C2638" s="34" t="n">
        <v>1</v>
      </c>
      <c r="D2638" s="37" t="inlineStr">
        <is>
          <t>Tech F</t>
        </is>
      </c>
      <c r="E2638" s="35" t="n">
        <v>3.9</v>
      </c>
      <c r="F2638" s="35" t="n">
        <v>3.2</v>
      </c>
      <c r="G2638" s="37" t="inlineStr">
        <is>
          <t>Y</t>
        </is>
      </c>
      <c r="H2638" s="37" t="inlineStr">
        <is>
          <t>Y</t>
        </is>
      </c>
      <c r="I2638" s="37">
        <f>COUNTIF(G$5:G2638,"Y")/COUNTA(G$5:G2638)</f>
        <v/>
      </c>
      <c r="J2638" s="37">
        <f>COUNTIF(H$5:H2638,"Y")/COUNTA(H$5:H2638)</f>
        <v/>
      </c>
      <c r="K2638" s="37">
        <f>AVERAGE(F$5:F2638)</f>
        <v/>
      </c>
      <c r="L2638" s="37">
        <f>SUM(F$5:F2638)/SUM(E$5:E2638)</f>
        <v/>
      </c>
    </row>
    <row r="2639">
      <c r="A2639" s="29" t="n">
        <v>46056</v>
      </c>
      <c r="B2639" s="37" t="inlineStr">
        <is>
          <t>JOB-3635</t>
        </is>
      </c>
      <c r="C2639" s="34" t="n">
        <v>1</v>
      </c>
      <c r="D2639" s="37" t="inlineStr">
        <is>
          <t>Tech F</t>
        </is>
      </c>
      <c r="E2639" s="35" t="n">
        <v>4.5</v>
      </c>
      <c r="F2639" s="35" t="n">
        <v>3.6</v>
      </c>
      <c r="G2639" s="37" t="inlineStr">
        <is>
          <t>Y</t>
        </is>
      </c>
      <c r="H2639" s="37" t="inlineStr">
        <is>
          <t>N</t>
        </is>
      </c>
      <c r="I2639" s="37">
        <f>COUNTIF(G$5:G2639,"Y")/COUNTA(G$5:G2639)</f>
        <v/>
      </c>
      <c r="J2639" s="37">
        <f>COUNTIF(H$5:H2639,"Y")/COUNTA(H$5:H2639)</f>
        <v/>
      </c>
      <c r="K2639" s="37">
        <f>AVERAGE(F$5:F2639)</f>
        <v/>
      </c>
      <c r="L2639" s="37">
        <f>SUM(F$5:F2639)/SUM(E$5:E2639)</f>
        <v/>
      </c>
    </row>
    <row r="2640">
      <c r="A2640" s="29" t="n">
        <v>46057</v>
      </c>
      <c r="B2640" s="37" t="inlineStr">
        <is>
          <t>JOB-3636</t>
        </is>
      </c>
      <c r="C2640" s="34" t="n">
        <v>1</v>
      </c>
      <c r="D2640" s="37" t="inlineStr">
        <is>
          <t>Tech D</t>
        </is>
      </c>
      <c r="E2640" s="35" t="n">
        <v>2.1</v>
      </c>
      <c r="F2640" s="35" t="n">
        <v>1.9</v>
      </c>
      <c r="G2640" s="37" t="inlineStr">
        <is>
          <t>Y</t>
        </is>
      </c>
      <c r="H2640" s="37" t="inlineStr">
        <is>
          <t>N</t>
        </is>
      </c>
      <c r="I2640" s="37">
        <f>COUNTIF(G$5:G2640,"Y")/COUNTA(G$5:G2640)</f>
        <v/>
      </c>
      <c r="J2640" s="37">
        <f>COUNTIF(H$5:H2640,"Y")/COUNTA(H$5:H2640)</f>
        <v/>
      </c>
      <c r="K2640" s="37">
        <f>AVERAGE(F$5:F2640)</f>
        <v/>
      </c>
      <c r="L2640" s="37">
        <f>SUM(F$5:F2640)/SUM(E$5:E2640)</f>
        <v/>
      </c>
    </row>
    <row r="2641">
      <c r="A2641" s="29" t="n">
        <v>46058</v>
      </c>
      <c r="B2641" s="37" t="inlineStr">
        <is>
          <t>JOB-3637</t>
        </is>
      </c>
      <c r="C2641" s="34" t="n">
        <v>1</v>
      </c>
      <c r="D2641" s="37" t="inlineStr">
        <is>
          <t>Tech G</t>
        </is>
      </c>
      <c r="E2641" s="35" t="n">
        <v>3</v>
      </c>
      <c r="F2641" s="35" t="n">
        <v>2.6</v>
      </c>
      <c r="G2641" s="37" t="inlineStr">
        <is>
          <t>Y</t>
        </is>
      </c>
      <c r="H2641" s="37" t="inlineStr">
        <is>
          <t>N</t>
        </is>
      </c>
      <c r="I2641" s="37">
        <f>COUNTIF(G$5:G2641,"Y")/COUNTA(G$5:G2641)</f>
        <v/>
      </c>
      <c r="J2641" s="37">
        <f>COUNTIF(H$5:H2641,"Y")/COUNTA(H$5:H2641)</f>
        <v/>
      </c>
      <c r="K2641" s="37">
        <f>AVERAGE(F$5:F2641)</f>
        <v/>
      </c>
      <c r="L2641" s="37">
        <f>SUM(F$5:F2641)/SUM(E$5:E2641)</f>
        <v/>
      </c>
    </row>
    <row r="2642">
      <c r="A2642" s="29" t="n">
        <v>46059</v>
      </c>
      <c r="B2642" s="37" t="inlineStr">
        <is>
          <t>JOB-3638</t>
        </is>
      </c>
      <c r="C2642" s="34" t="n">
        <v>1</v>
      </c>
      <c r="D2642" s="37" t="inlineStr">
        <is>
          <t>Tech A</t>
        </is>
      </c>
      <c r="E2642" s="35" t="n">
        <v>3.4</v>
      </c>
      <c r="F2642" s="35" t="n">
        <v>3.1</v>
      </c>
      <c r="G2642" s="37" t="inlineStr">
        <is>
          <t>Y</t>
        </is>
      </c>
      <c r="H2642" s="37" t="inlineStr">
        <is>
          <t>N</t>
        </is>
      </c>
      <c r="I2642" s="37">
        <f>COUNTIF(G$5:G2642,"Y")/COUNTA(G$5:G2642)</f>
        <v/>
      </c>
      <c r="J2642" s="37">
        <f>COUNTIF(H$5:H2642,"Y")/COUNTA(H$5:H2642)</f>
        <v/>
      </c>
      <c r="K2642" s="37">
        <f>AVERAGE(F$5:F2642)</f>
        <v/>
      </c>
      <c r="L2642" s="37">
        <f>SUM(F$5:F2642)/SUM(E$5:E2642)</f>
        <v/>
      </c>
    </row>
    <row r="2643">
      <c r="A2643" s="29" t="n">
        <v>46055</v>
      </c>
      <c r="B2643" s="37" t="inlineStr">
        <is>
          <t>JOB-3639</t>
        </is>
      </c>
      <c r="C2643" s="34" t="n">
        <v>1</v>
      </c>
      <c r="D2643" s="37" t="inlineStr">
        <is>
          <t>Tech C</t>
        </is>
      </c>
      <c r="E2643" s="35" t="n">
        <v>2.9</v>
      </c>
      <c r="F2643" s="35" t="n">
        <v>2.5</v>
      </c>
      <c r="G2643" s="37" t="inlineStr">
        <is>
          <t>N</t>
        </is>
      </c>
      <c r="H2643" s="37" t="inlineStr">
        <is>
          <t>N</t>
        </is>
      </c>
      <c r="I2643" s="37">
        <f>COUNTIF(G$5:G2643,"Y")/COUNTA(G$5:G2643)</f>
        <v/>
      </c>
      <c r="J2643" s="37">
        <f>COUNTIF(H$5:H2643,"Y")/COUNTA(H$5:H2643)</f>
        <v/>
      </c>
      <c r="K2643" s="37">
        <f>AVERAGE(F$5:F2643)</f>
        <v/>
      </c>
      <c r="L2643" s="37">
        <f>SUM(F$5:F2643)/SUM(E$5:E2643)</f>
        <v/>
      </c>
    </row>
    <row r="2644">
      <c r="A2644" s="29" t="n">
        <v>46056</v>
      </c>
      <c r="B2644" s="37" t="inlineStr">
        <is>
          <t>JOB-3640</t>
        </is>
      </c>
      <c r="C2644" s="34" t="n">
        <v>1</v>
      </c>
      <c r="D2644" s="37" t="inlineStr">
        <is>
          <t>Tech H</t>
        </is>
      </c>
      <c r="E2644" s="35" t="n">
        <v>4.9</v>
      </c>
      <c r="F2644" s="35" t="n">
        <v>3.8</v>
      </c>
      <c r="G2644" s="37" t="inlineStr">
        <is>
          <t>Y</t>
        </is>
      </c>
      <c r="H2644" s="37" t="inlineStr">
        <is>
          <t>N</t>
        </is>
      </c>
      <c r="I2644" s="37">
        <f>COUNTIF(G$5:G2644,"Y")/COUNTA(G$5:G2644)</f>
        <v/>
      </c>
      <c r="J2644" s="37">
        <f>COUNTIF(H$5:H2644,"Y")/COUNTA(H$5:H2644)</f>
        <v/>
      </c>
      <c r="K2644" s="37">
        <f>AVERAGE(F$5:F2644)</f>
        <v/>
      </c>
      <c r="L2644" s="37">
        <f>SUM(F$5:F2644)/SUM(E$5:E2644)</f>
        <v/>
      </c>
    </row>
    <row r="2645">
      <c r="A2645" s="29" t="n">
        <v>46057</v>
      </c>
      <c r="B2645" s="37" t="inlineStr">
        <is>
          <t>JOB-3641</t>
        </is>
      </c>
      <c r="C2645" s="34" t="n">
        <v>1</v>
      </c>
      <c r="D2645" s="37" t="inlineStr">
        <is>
          <t>Tech B</t>
        </is>
      </c>
      <c r="E2645" s="35" t="n">
        <v>3.9</v>
      </c>
      <c r="F2645" s="35" t="n">
        <v>3.5</v>
      </c>
      <c r="G2645" s="37" t="inlineStr">
        <is>
          <t>N</t>
        </is>
      </c>
      <c r="H2645" s="37" t="inlineStr">
        <is>
          <t>N</t>
        </is>
      </c>
      <c r="I2645" s="37">
        <f>COUNTIF(G$5:G2645,"Y")/COUNTA(G$5:G2645)</f>
        <v/>
      </c>
      <c r="J2645" s="37">
        <f>COUNTIF(H$5:H2645,"Y")/COUNTA(H$5:H2645)</f>
        <v/>
      </c>
      <c r="K2645" s="37">
        <f>AVERAGE(F$5:F2645)</f>
        <v/>
      </c>
      <c r="L2645" s="37">
        <f>SUM(F$5:F2645)/SUM(E$5:E2645)</f>
        <v/>
      </c>
    </row>
    <row r="2646">
      <c r="A2646" s="29" t="n">
        <v>46058</v>
      </c>
      <c r="B2646" s="37" t="inlineStr">
        <is>
          <t>JOB-3642</t>
        </is>
      </c>
      <c r="C2646" s="34" t="n">
        <v>1</v>
      </c>
      <c r="D2646" s="37" t="inlineStr">
        <is>
          <t>Tech G</t>
        </is>
      </c>
      <c r="E2646" s="35" t="n">
        <v>2.4</v>
      </c>
      <c r="F2646" s="35" t="n">
        <v>1.8</v>
      </c>
      <c r="G2646" s="37" t="inlineStr">
        <is>
          <t>Y</t>
        </is>
      </c>
      <c r="H2646" s="37" t="inlineStr">
        <is>
          <t>N</t>
        </is>
      </c>
      <c r="I2646" s="37">
        <f>COUNTIF(G$5:G2646,"Y")/COUNTA(G$5:G2646)</f>
        <v/>
      </c>
      <c r="J2646" s="37">
        <f>COUNTIF(H$5:H2646,"Y")/COUNTA(H$5:H2646)</f>
        <v/>
      </c>
      <c r="K2646" s="37">
        <f>AVERAGE(F$5:F2646)</f>
        <v/>
      </c>
      <c r="L2646" s="37">
        <f>SUM(F$5:F2646)/SUM(E$5:E2646)</f>
        <v/>
      </c>
    </row>
    <row r="2647">
      <c r="A2647" s="29" t="n">
        <v>46059</v>
      </c>
      <c r="B2647" s="37" t="inlineStr">
        <is>
          <t>JOB-3643</t>
        </is>
      </c>
      <c r="C2647" s="34" t="n">
        <v>1</v>
      </c>
      <c r="D2647" s="37" t="inlineStr">
        <is>
          <t>Tech F</t>
        </is>
      </c>
      <c r="E2647" s="35" t="n">
        <v>0.6</v>
      </c>
      <c r="F2647" s="35" t="n">
        <v>0.5</v>
      </c>
      <c r="G2647" s="37" t="inlineStr">
        <is>
          <t>Y</t>
        </is>
      </c>
      <c r="H2647" s="37" t="inlineStr">
        <is>
          <t>N</t>
        </is>
      </c>
      <c r="I2647" s="37">
        <f>COUNTIF(G$5:G2647,"Y")/COUNTA(G$5:G2647)</f>
        <v/>
      </c>
      <c r="J2647" s="37">
        <f>COUNTIF(H$5:H2647,"Y")/COUNTA(H$5:H2647)</f>
        <v/>
      </c>
      <c r="K2647" s="37">
        <f>AVERAGE(F$5:F2647)</f>
        <v/>
      </c>
      <c r="L2647" s="37">
        <f>SUM(F$5:F2647)/SUM(E$5:E2647)</f>
        <v/>
      </c>
    </row>
    <row r="2648">
      <c r="A2648" s="29" t="n">
        <v>46055</v>
      </c>
      <c r="B2648" s="37" t="inlineStr">
        <is>
          <t>JOB-3644</t>
        </is>
      </c>
      <c r="C2648" s="34" t="n">
        <v>1</v>
      </c>
      <c r="D2648" s="37" t="inlineStr">
        <is>
          <t>Tech G</t>
        </is>
      </c>
      <c r="E2648" s="35" t="n">
        <v>0.5</v>
      </c>
      <c r="F2648" s="35" t="n">
        <v>0.5</v>
      </c>
      <c r="G2648" s="37" t="inlineStr">
        <is>
          <t>Y</t>
        </is>
      </c>
      <c r="H2648" s="37" t="inlineStr">
        <is>
          <t>N</t>
        </is>
      </c>
      <c r="I2648" s="37">
        <f>COUNTIF(G$5:G2648,"Y")/COUNTA(G$5:G2648)</f>
        <v/>
      </c>
      <c r="J2648" s="37">
        <f>COUNTIF(H$5:H2648,"Y")/COUNTA(H$5:H2648)</f>
        <v/>
      </c>
      <c r="K2648" s="37">
        <f>AVERAGE(F$5:F2648)</f>
        <v/>
      </c>
      <c r="L2648" s="37">
        <f>SUM(F$5:F2648)/SUM(E$5:E2648)</f>
        <v/>
      </c>
    </row>
    <row r="2649">
      <c r="A2649" s="29" t="n">
        <v>46056</v>
      </c>
      <c r="B2649" s="37" t="inlineStr">
        <is>
          <t>JOB-3645</t>
        </is>
      </c>
      <c r="C2649" s="34" t="n">
        <v>1</v>
      </c>
      <c r="D2649" s="37" t="inlineStr">
        <is>
          <t>Tech D</t>
        </is>
      </c>
      <c r="E2649" s="35" t="n">
        <v>0.7</v>
      </c>
      <c r="F2649" s="35" t="n">
        <v>0.5</v>
      </c>
      <c r="G2649" s="37" t="inlineStr">
        <is>
          <t>N</t>
        </is>
      </c>
      <c r="H2649" s="37" t="inlineStr">
        <is>
          <t>N</t>
        </is>
      </c>
      <c r="I2649" s="37">
        <f>COUNTIF(G$5:G2649,"Y")/COUNTA(G$5:G2649)</f>
        <v/>
      </c>
      <c r="J2649" s="37">
        <f>COUNTIF(H$5:H2649,"Y")/COUNTA(H$5:H2649)</f>
        <v/>
      </c>
      <c r="K2649" s="37">
        <f>AVERAGE(F$5:F2649)</f>
        <v/>
      </c>
      <c r="L2649" s="37">
        <f>SUM(F$5:F2649)/SUM(E$5:E2649)</f>
        <v/>
      </c>
    </row>
    <row r="2650">
      <c r="A2650" s="29" t="n">
        <v>46057</v>
      </c>
      <c r="B2650" s="37" t="inlineStr">
        <is>
          <t>JOB-3646</t>
        </is>
      </c>
      <c r="C2650" s="34" t="n">
        <v>1</v>
      </c>
      <c r="D2650" s="37" t="inlineStr">
        <is>
          <t>Tech F</t>
        </is>
      </c>
      <c r="E2650" s="35" t="n">
        <v>0.6</v>
      </c>
      <c r="F2650" s="35" t="n">
        <v>0.5</v>
      </c>
      <c r="G2650" s="37" t="inlineStr">
        <is>
          <t>Y</t>
        </is>
      </c>
      <c r="H2650" s="37" t="inlineStr">
        <is>
          <t>N</t>
        </is>
      </c>
      <c r="I2650" s="37">
        <f>COUNTIF(G$5:G2650,"Y")/COUNTA(G$5:G2650)</f>
        <v/>
      </c>
      <c r="J2650" s="37">
        <f>COUNTIF(H$5:H2650,"Y")/COUNTA(H$5:H2650)</f>
        <v/>
      </c>
      <c r="K2650" s="37">
        <f>AVERAGE(F$5:F2650)</f>
        <v/>
      </c>
      <c r="L2650" s="37">
        <f>SUM(F$5:F2650)/SUM(E$5:E2650)</f>
        <v/>
      </c>
    </row>
    <row r="2651">
      <c r="A2651" s="29" t="n">
        <v>46058</v>
      </c>
      <c r="B2651" s="37" t="inlineStr">
        <is>
          <t>JOB-3647</t>
        </is>
      </c>
      <c r="C2651" s="34" t="n">
        <v>1</v>
      </c>
      <c r="D2651" s="37" t="inlineStr">
        <is>
          <t>Tech D</t>
        </is>
      </c>
      <c r="E2651" s="35" t="n">
        <v>0.6</v>
      </c>
      <c r="F2651" s="35" t="n">
        <v>0.5</v>
      </c>
      <c r="G2651" s="37" t="inlineStr">
        <is>
          <t>Y</t>
        </is>
      </c>
      <c r="H2651" s="37" t="inlineStr">
        <is>
          <t>N</t>
        </is>
      </c>
      <c r="I2651" s="37">
        <f>COUNTIF(G$5:G2651,"Y")/COUNTA(G$5:G2651)</f>
        <v/>
      </c>
      <c r="J2651" s="37">
        <f>COUNTIF(H$5:H2651,"Y")/COUNTA(H$5:H2651)</f>
        <v/>
      </c>
      <c r="K2651" s="37">
        <f>AVERAGE(F$5:F2651)</f>
        <v/>
      </c>
      <c r="L2651" s="37">
        <f>SUM(F$5:F2651)/SUM(E$5:E2651)</f>
        <v/>
      </c>
    </row>
    <row r="2652">
      <c r="A2652" s="29" t="n">
        <v>46059</v>
      </c>
      <c r="B2652" s="37" t="inlineStr">
        <is>
          <t>JOB-3648</t>
        </is>
      </c>
      <c r="C2652" s="34" t="n">
        <v>1</v>
      </c>
      <c r="D2652" s="37" t="inlineStr">
        <is>
          <t>Tech C</t>
        </is>
      </c>
      <c r="E2652" s="35" t="n">
        <v>0.6</v>
      </c>
      <c r="F2652" s="35" t="n">
        <v>0.5</v>
      </c>
      <c r="G2652" s="37" t="inlineStr">
        <is>
          <t>Y</t>
        </is>
      </c>
      <c r="H2652" s="37" t="inlineStr">
        <is>
          <t>N</t>
        </is>
      </c>
      <c r="I2652" s="37">
        <f>COUNTIF(G$5:G2652,"Y")/COUNTA(G$5:G2652)</f>
        <v/>
      </c>
      <c r="J2652" s="37">
        <f>COUNTIF(H$5:H2652,"Y")/COUNTA(H$5:H2652)</f>
        <v/>
      </c>
      <c r="K2652" s="37">
        <f>AVERAGE(F$5:F2652)</f>
        <v/>
      </c>
      <c r="L2652" s="37">
        <f>SUM(F$5:F2652)/SUM(E$5:E2652)</f>
        <v/>
      </c>
    </row>
    <row r="2653">
      <c r="A2653" s="29" t="n">
        <v>46055</v>
      </c>
      <c r="B2653" s="37" t="inlineStr">
        <is>
          <t>JOB-3649</t>
        </is>
      </c>
      <c r="C2653" s="34" t="n">
        <v>1</v>
      </c>
      <c r="D2653" s="37" t="inlineStr">
        <is>
          <t>Tech H</t>
        </is>
      </c>
      <c r="E2653" s="35" t="n">
        <v>0.7</v>
      </c>
      <c r="F2653" s="35" t="n">
        <v>0.5</v>
      </c>
      <c r="G2653" s="37" t="inlineStr">
        <is>
          <t>Y</t>
        </is>
      </c>
      <c r="H2653" s="37" t="inlineStr">
        <is>
          <t>N</t>
        </is>
      </c>
      <c r="I2653" s="37">
        <f>COUNTIF(G$5:G2653,"Y")/COUNTA(G$5:G2653)</f>
        <v/>
      </c>
      <c r="J2653" s="37">
        <f>COUNTIF(H$5:H2653,"Y")/COUNTA(H$5:H2653)</f>
        <v/>
      </c>
      <c r="K2653" s="37">
        <f>AVERAGE(F$5:F2653)</f>
        <v/>
      </c>
      <c r="L2653" s="37">
        <f>SUM(F$5:F2653)/SUM(E$5:E2653)</f>
        <v/>
      </c>
    </row>
    <row r="2654">
      <c r="A2654" s="29" t="n">
        <v>46056</v>
      </c>
      <c r="B2654" s="37" t="inlineStr">
        <is>
          <t>JOB-3650</t>
        </is>
      </c>
      <c r="C2654" s="34" t="n">
        <v>1</v>
      </c>
      <c r="D2654" s="37" t="inlineStr">
        <is>
          <t>Tech B</t>
        </is>
      </c>
      <c r="E2654" s="35" t="n">
        <v>0.6</v>
      </c>
      <c r="F2654" s="35" t="n">
        <v>0.5</v>
      </c>
      <c r="G2654" s="37" t="inlineStr">
        <is>
          <t>Y</t>
        </is>
      </c>
      <c r="H2654" s="37" t="inlineStr">
        <is>
          <t>N</t>
        </is>
      </c>
      <c r="I2654" s="37">
        <f>COUNTIF(G$5:G2654,"Y")/COUNTA(G$5:G2654)</f>
        <v/>
      </c>
      <c r="J2654" s="37">
        <f>COUNTIF(H$5:H2654,"Y")/COUNTA(H$5:H2654)</f>
        <v/>
      </c>
      <c r="K2654" s="37">
        <f>AVERAGE(F$5:F2654)</f>
        <v/>
      </c>
      <c r="L2654" s="37">
        <f>SUM(F$5:F2654)/SUM(E$5:E2654)</f>
        <v/>
      </c>
    </row>
    <row r="2655">
      <c r="A2655" s="29" t="n">
        <v>46057</v>
      </c>
      <c r="B2655" s="37" t="inlineStr">
        <is>
          <t>JOB-3651</t>
        </is>
      </c>
      <c r="C2655" s="34" t="n">
        <v>1</v>
      </c>
      <c r="D2655" s="37" t="inlineStr">
        <is>
          <t>Tech C</t>
        </is>
      </c>
      <c r="E2655" s="35" t="n">
        <v>0.6</v>
      </c>
      <c r="F2655" s="35" t="n">
        <v>0.5</v>
      </c>
      <c r="G2655" s="37" t="inlineStr">
        <is>
          <t>Y</t>
        </is>
      </c>
      <c r="H2655" s="37" t="inlineStr">
        <is>
          <t>N</t>
        </is>
      </c>
      <c r="I2655" s="37">
        <f>COUNTIF(G$5:G2655,"Y")/COUNTA(G$5:G2655)</f>
        <v/>
      </c>
      <c r="J2655" s="37">
        <f>COUNTIF(H$5:H2655,"Y")/COUNTA(H$5:H2655)</f>
        <v/>
      </c>
      <c r="K2655" s="37">
        <f>AVERAGE(F$5:F2655)</f>
        <v/>
      </c>
      <c r="L2655" s="37">
        <f>SUM(F$5:F2655)/SUM(E$5:E2655)</f>
        <v/>
      </c>
    </row>
    <row r="2656">
      <c r="A2656" s="29" t="n">
        <v>46058</v>
      </c>
      <c r="B2656" s="37" t="inlineStr">
        <is>
          <t>JOB-3652</t>
        </is>
      </c>
      <c r="C2656" s="34" t="n">
        <v>1</v>
      </c>
      <c r="D2656" s="37" t="inlineStr">
        <is>
          <t>Tech D</t>
        </is>
      </c>
      <c r="E2656" s="35" t="n">
        <v>0.6</v>
      </c>
      <c r="F2656" s="35" t="n">
        <v>0.5</v>
      </c>
      <c r="G2656" s="37" t="inlineStr">
        <is>
          <t>Y</t>
        </is>
      </c>
      <c r="H2656" s="37" t="inlineStr">
        <is>
          <t>N</t>
        </is>
      </c>
      <c r="I2656" s="37">
        <f>COUNTIF(G$5:G2656,"Y")/COUNTA(G$5:G2656)</f>
        <v/>
      </c>
      <c r="J2656" s="37">
        <f>COUNTIF(H$5:H2656,"Y")/COUNTA(H$5:H2656)</f>
        <v/>
      </c>
      <c r="K2656" s="37">
        <f>AVERAGE(F$5:F2656)</f>
        <v/>
      </c>
      <c r="L2656" s="37">
        <f>SUM(F$5:F2656)/SUM(E$5:E2656)</f>
        <v/>
      </c>
    </row>
    <row r="2657">
      <c r="A2657" s="29" t="n">
        <v>46059</v>
      </c>
      <c r="B2657" s="37" t="inlineStr">
        <is>
          <t>JOB-3653</t>
        </is>
      </c>
      <c r="C2657" s="34" t="n">
        <v>1</v>
      </c>
      <c r="D2657" s="37" t="inlineStr">
        <is>
          <t>Tech H</t>
        </is>
      </c>
      <c r="E2657" s="35" t="n">
        <v>0.6</v>
      </c>
      <c r="F2657" s="35" t="n">
        <v>0.5</v>
      </c>
      <c r="G2657" s="37" t="inlineStr">
        <is>
          <t>Y</t>
        </is>
      </c>
      <c r="H2657" s="37" t="inlineStr">
        <is>
          <t>N</t>
        </is>
      </c>
      <c r="I2657" s="37">
        <f>COUNTIF(G$5:G2657,"Y")/COUNTA(G$5:G2657)</f>
        <v/>
      </c>
      <c r="J2657" s="37">
        <f>COUNTIF(H$5:H2657,"Y")/COUNTA(H$5:H2657)</f>
        <v/>
      </c>
      <c r="K2657" s="37">
        <f>AVERAGE(F$5:F2657)</f>
        <v/>
      </c>
      <c r="L2657" s="37">
        <f>SUM(F$5:F2657)/SUM(E$5:E2657)</f>
        <v/>
      </c>
    </row>
    <row r="2658">
      <c r="A2658" s="29" t="n">
        <v>46055</v>
      </c>
      <c r="B2658" s="37" t="inlineStr">
        <is>
          <t>JOB-3654</t>
        </is>
      </c>
      <c r="C2658" s="34" t="n">
        <v>1</v>
      </c>
      <c r="D2658" s="37" t="inlineStr">
        <is>
          <t>Tech D</t>
        </is>
      </c>
      <c r="E2658" s="35" t="n">
        <v>4</v>
      </c>
      <c r="F2658" s="35" t="n">
        <v>0.5</v>
      </c>
      <c r="G2658" s="37" t="inlineStr">
        <is>
          <t>Y</t>
        </is>
      </c>
      <c r="H2658" s="37" t="inlineStr">
        <is>
          <t>N</t>
        </is>
      </c>
      <c r="I2658" s="37">
        <f>COUNTIF(G$5:G2658,"Y")/COUNTA(G$5:G2658)</f>
        <v/>
      </c>
      <c r="J2658" s="37">
        <f>COUNTIF(H$5:H2658,"Y")/COUNTA(H$5:H2658)</f>
        <v/>
      </c>
      <c r="K2658" s="37">
        <f>AVERAGE(F$5:F2658)</f>
        <v/>
      </c>
      <c r="L2658" s="37">
        <f>SUM(F$5:F2658)/SUM(E$5:E2658)</f>
        <v/>
      </c>
      <c r="M2658" s="37" t="n">
        <v>5</v>
      </c>
    </row>
    <row r="2659">
      <c r="A2659" s="29" t="n">
        <v>46062</v>
      </c>
      <c r="B2659" s="37" t="inlineStr">
        <is>
          <t>JOB-3655</t>
        </is>
      </c>
      <c r="C2659" s="34" t="n">
        <v>1</v>
      </c>
      <c r="D2659" s="37" t="inlineStr">
        <is>
          <t>Tech C</t>
        </is>
      </c>
      <c r="E2659" s="35" t="n">
        <v>3.8</v>
      </c>
      <c r="F2659" s="35" t="n">
        <v>2.6</v>
      </c>
      <c r="G2659" s="37" t="inlineStr">
        <is>
          <t>Y</t>
        </is>
      </c>
      <c r="H2659" s="37" t="inlineStr">
        <is>
          <t>N</t>
        </is>
      </c>
      <c r="I2659" s="37">
        <f>COUNTIF(G$5:G2659,"Y")/COUNTA(G$5:G2659)</f>
        <v/>
      </c>
      <c r="J2659" s="37">
        <f>COUNTIF(H$5:H2659,"Y")/COUNTA(H$5:H2659)</f>
        <v/>
      </c>
      <c r="K2659" s="37">
        <f>AVERAGE(F$5:F2659)</f>
        <v/>
      </c>
      <c r="L2659" s="37">
        <f>SUM(F$5:F2659)/SUM(E$5:E2659)</f>
        <v/>
      </c>
    </row>
    <row r="2660">
      <c r="A2660" s="29" t="n">
        <v>46063</v>
      </c>
      <c r="B2660" s="37" t="inlineStr">
        <is>
          <t>JOB-3656</t>
        </is>
      </c>
      <c r="C2660" s="34" t="n">
        <v>1</v>
      </c>
      <c r="D2660" s="37" t="inlineStr">
        <is>
          <t>Tech A</t>
        </is>
      </c>
      <c r="E2660" s="35" t="n">
        <v>4.4</v>
      </c>
      <c r="F2660" s="35" t="n">
        <v>3.9</v>
      </c>
      <c r="G2660" s="37" t="inlineStr">
        <is>
          <t>Y</t>
        </is>
      </c>
      <c r="H2660" s="37" t="inlineStr">
        <is>
          <t>N</t>
        </is>
      </c>
      <c r="I2660" s="37">
        <f>COUNTIF(G$5:G2660,"Y")/COUNTA(G$5:G2660)</f>
        <v/>
      </c>
      <c r="J2660" s="37">
        <f>COUNTIF(H$5:H2660,"Y")/COUNTA(H$5:H2660)</f>
        <v/>
      </c>
      <c r="K2660" s="37">
        <f>AVERAGE(F$5:F2660)</f>
        <v/>
      </c>
      <c r="L2660" s="37">
        <f>SUM(F$5:F2660)/SUM(E$5:E2660)</f>
        <v/>
      </c>
    </row>
    <row r="2661">
      <c r="A2661" s="29" t="n">
        <v>46064</v>
      </c>
      <c r="B2661" s="37" t="inlineStr">
        <is>
          <t>JOB-3657</t>
        </is>
      </c>
      <c r="C2661" s="34" t="n">
        <v>1</v>
      </c>
      <c r="D2661" s="37" t="inlineStr">
        <is>
          <t>Tech C</t>
        </is>
      </c>
      <c r="E2661" s="35" t="n">
        <v>1.9</v>
      </c>
      <c r="F2661" s="35" t="n">
        <v>1.4</v>
      </c>
      <c r="G2661" s="37" t="inlineStr">
        <is>
          <t>Y</t>
        </is>
      </c>
      <c r="H2661" s="37" t="inlineStr">
        <is>
          <t>N</t>
        </is>
      </c>
      <c r="I2661" s="37">
        <f>COUNTIF(G$5:G2661,"Y")/COUNTA(G$5:G2661)</f>
        <v/>
      </c>
      <c r="J2661" s="37">
        <f>COUNTIF(H$5:H2661,"Y")/COUNTA(H$5:H2661)</f>
        <v/>
      </c>
      <c r="K2661" s="37">
        <f>AVERAGE(F$5:F2661)</f>
        <v/>
      </c>
      <c r="L2661" s="37">
        <f>SUM(F$5:F2661)/SUM(E$5:E2661)</f>
        <v/>
      </c>
    </row>
    <row r="2662">
      <c r="A2662" s="29" t="n">
        <v>46065</v>
      </c>
      <c r="B2662" s="37" t="inlineStr">
        <is>
          <t>JOB-3658</t>
        </is>
      </c>
      <c r="C2662" s="34" t="n">
        <v>1</v>
      </c>
      <c r="D2662" s="37" t="inlineStr">
        <is>
          <t>Tech C</t>
        </is>
      </c>
      <c r="E2662" s="35" t="n">
        <v>3.1</v>
      </c>
      <c r="F2662" s="35" t="n">
        <v>2.2</v>
      </c>
      <c r="G2662" s="37" t="inlineStr">
        <is>
          <t>Y</t>
        </is>
      </c>
      <c r="H2662" s="37" t="inlineStr">
        <is>
          <t>Y</t>
        </is>
      </c>
      <c r="I2662" s="37">
        <f>COUNTIF(G$5:G2662,"Y")/COUNTA(G$5:G2662)</f>
        <v/>
      </c>
      <c r="J2662" s="37">
        <f>COUNTIF(H$5:H2662,"Y")/COUNTA(H$5:H2662)</f>
        <v/>
      </c>
      <c r="K2662" s="37">
        <f>AVERAGE(F$5:F2662)</f>
        <v/>
      </c>
      <c r="L2662" s="37">
        <f>SUM(F$5:F2662)/SUM(E$5:E2662)</f>
        <v/>
      </c>
    </row>
    <row r="2663">
      <c r="A2663" s="29" t="n">
        <v>46066</v>
      </c>
      <c r="B2663" s="37" t="inlineStr">
        <is>
          <t>JOB-3659</t>
        </is>
      </c>
      <c r="C2663" s="34" t="n">
        <v>1</v>
      </c>
      <c r="D2663" s="37" t="inlineStr">
        <is>
          <t>Tech F</t>
        </is>
      </c>
      <c r="E2663" s="35" t="n">
        <v>2.2</v>
      </c>
      <c r="F2663" s="35" t="n">
        <v>1.6</v>
      </c>
      <c r="G2663" s="37" t="inlineStr">
        <is>
          <t>Y</t>
        </is>
      </c>
      <c r="H2663" s="37" t="inlineStr">
        <is>
          <t>N</t>
        </is>
      </c>
      <c r="I2663" s="37">
        <f>COUNTIF(G$5:G2663,"Y")/COUNTA(G$5:G2663)</f>
        <v/>
      </c>
      <c r="J2663" s="37">
        <f>COUNTIF(H$5:H2663,"Y")/COUNTA(H$5:H2663)</f>
        <v/>
      </c>
      <c r="K2663" s="37">
        <f>AVERAGE(F$5:F2663)</f>
        <v/>
      </c>
      <c r="L2663" s="37">
        <f>SUM(F$5:F2663)/SUM(E$5:E2663)</f>
        <v/>
      </c>
    </row>
    <row r="2664">
      <c r="A2664" s="29" t="n">
        <v>46062</v>
      </c>
      <c r="B2664" s="37" t="inlineStr">
        <is>
          <t>JOB-3660</t>
        </is>
      </c>
      <c r="C2664" s="34" t="n">
        <v>1</v>
      </c>
      <c r="D2664" s="37" t="inlineStr">
        <is>
          <t>Tech A</t>
        </is>
      </c>
      <c r="E2664" s="35" t="n">
        <v>2</v>
      </c>
      <c r="F2664" s="35" t="n">
        <v>1.6</v>
      </c>
      <c r="G2664" s="37" t="inlineStr">
        <is>
          <t>Y</t>
        </is>
      </c>
      <c r="H2664" s="37" t="inlineStr">
        <is>
          <t>N</t>
        </is>
      </c>
      <c r="I2664" s="37">
        <f>COUNTIF(G$5:G2664,"Y")/COUNTA(G$5:G2664)</f>
        <v/>
      </c>
      <c r="J2664" s="37">
        <f>COUNTIF(H$5:H2664,"Y")/COUNTA(H$5:H2664)</f>
        <v/>
      </c>
      <c r="K2664" s="37">
        <f>AVERAGE(F$5:F2664)</f>
        <v/>
      </c>
      <c r="L2664" s="37">
        <f>SUM(F$5:F2664)/SUM(E$5:E2664)</f>
        <v/>
      </c>
    </row>
    <row r="2665">
      <c r="A2665" s="29" t="n">
        <v>46063</v>
      </c>
      <c r="B2665" s="37" t="inlineStr">
        <is>
          <t>JOB-3661</t>
        </is>
      </c>
      <c r="C2665" s="34" t="n">
        <v>1</v>
      </c>
      <c r="D2665" s="37" t="inlineStr">
        <is>
          <t>Tech F</t>
        </is>
      </c>
      <c r="E2665" s="35" t="n">
        <v>4.4</v>
      </c>
      <c r="F2665" s="35" t="n">
        <v>3.9</v>
      </c>
      <c r="G2665" s="37" t="inlineStr">
        <is>
          <t>N</t>
        </is>
      </c>
      <c r="H2665" s="37" t="inlineStr">
        <is>
          <t>N</t>
        </is>
      </c>
      <c r="I2665" s="37">
        <f>COUNTIF(G$5:G2665,"Y")/COUNTA(G$5:G2665)</f>
        <v/>
      </c>
      <c r="J2665" s="37">
        <f>COUNTIF(H$5:H2665,"Y")/COUNTA(H$5:H2665)</f>
        <v/>
      </c>
      <c r="K2665" s="37">
        <f>AVERAGE(F$5:F2665)</f>
        <v/>
      </c>
      <c r="L2665" s="37">
        <f>SUM(F$5:F2665)/SUM(E$5:E2665)</f>
        <v/>
      </c>
    </row>
    <row r="2666">
      <c r="A2666" s="29" t="n">
        <v>46064</v>
      </c>
      <c r="B2666" s="37" t="inlineStr">
        <is>
          <t>JOB-3662</t>
        </is>
      </c>
      <c r="C2666" s="34" t="n">
        <v>1</v>
      </c>
      <c r="D2666" s="37" t="inlineStr">
        <is>
          <t>Tech C</t>
        </is>
      </c>
      <c r="E2666" s="35" t="n">
        <v>2.7</v>
      </c>
      <c r="F2666" s="35" t="n">
        <v>2.3</v>
      </c>
      <c r="G2666" s="37" t="inlineStr">
        <is>
          <t>Y</t>
        </is>
      </c>
      <c r="H2666" s="37" t="inlineStr">
        <is>
          <t>N</t>
        </is>
      </c>
      <c r="I2666" s="37">
        <f>COUNTIF(G$5:G2666,"Y")/COUNTA(G$5:G2666)</f>
        <v/>
      </c>
      <c r="J2666" s="37">
        <f>COUNTIF(H$5:H2666,"Y")/COUNTA(H$5:H2666)</f>
        <v/>
      </c>
      <c r="K2666" s="37">
        <f>AVERAGE(F$5:F2666)</f>
        <v/>
      </c>
      <c r="L2666" s="37">
        <f>SUM(F$5:F2666)/SUM(E$5:E2666)</f>
        <v/>
      </c>
    </row>
    <row r="2667">
      <c r="A2667" s="29" t="n">
        <v>46065</v>
      </c>
      <c r="B2667" s="37" t="inlineStr">
        <is>
          <t>JOB-3663</t>
        </is>
      </c>
      <c r="C2667" s="34" t="n">
        <v>1</v>
      </c>
      <c r="D2667" s="37" t="inlineStr">
        <is>
          <t>Tech A</t>
        </is>
      </c>
      <c r="E2667" s="35" t="n">
        <v>4.4</v>
      </c>
      <c r="F2667" s="35" t="n">
        <v>3.4</v>
      </c>
      <c r="G2667" s="37" t="inlineStr">
        <is>
          <t>Y</t>
        </is>
      </c>
      <c r="H2667" s="37" t="inlineStr">
        <is>
          <t>N</t>
        </is>
      </c>
      <c r="I2667" s="37">
        <f>COUNTIF(G$5:G2667,"Y")/COUNTA(G$5:G2667)</f>
        <v/>
      </c>
      <c r="J2667" s="37">
        <f>COUNTIF(H$5:H2667,"Y")/COUNTA(H$5:H2667)</f>
        <v/>
      </c>
      <c r="K2667" s="37">
        <f>AVERAGE(F$5:F2667)</f>
        <v/>
      </c>
      <c r="L2667" s="37">
        <f>SUM(F$5:F2667)/SUM(E$5:E2667)</f>
        <v/>
      </c>
    </row>
    <row r="2668">
      <c r="A2668" s="29" t="n">
        <v>46066</v>
      </c>
      <c r="B2668" s="37" t="inlineStr">
        <is>
          <t>JOB-3664</t>
        </is>
      </c>
      <c r="C2668" s="34" t="n">
        <v>1</v>
      </c>
      <c r="D2668" s="37" t="inlineStr">
        <is>
          <t>Tech H</t>
        </is>
      </c>
      <c r="E2668" s="35" t="n">
        <v>4.2</v>
      </c>
      <c r="F2668" s="35" t="n">
        <v>3.2</v>
      </c>
      <c r="G2668" s="37" t="inlineStr">
        <is>
          <t>Y</t>
        </is>
      </c>
      <c r="H2668" s="37" t="inlineStr">
        <is>
          <t>N</t>
        </is>
      </c>
      <c r="I2668" s="37">
        <f>COUNTIF(G$5:G2668,"Y")/COUNTA(G$5:G2668)</f>
        <v/>
      </c>
      <c r="J2668" s="37">
        <f>COUNTIF(H$5:H2668,"Y")/COUNTA(H$5:H2668)</f>
        <v/>
      </c>
      <c r="K2668" s="37">
        <f>AVERAGE(F$5:F2668)</f>
        <v/>
      </c>
      <c r="L2668" s="37">
        <f>SUM(F$5:F2668)/SUM(E$5:E2668)</f>
        <v/>
      </c>
    </row>
    <row r="2669">
      <c r="A2669" s="29" t="n">
        <v>46062</v>
      </c>
      <c r="B2669" s="37" t="inlineStr">
        <is>
          <t>JOB-3665</t>
        </is>
      </c>
      <c r="C2669" s="34" t="n">
        <v>1</v>
      </c>
      <c r="D2669" s="37" t="inlineStr">
        <is>
          <t>Tech C</t>
        </is>
      </c>
      <c r="E2669" s="35" t="n">
        <v>2.7</v>
      </c>
      <c r="F2669" s="35" t="n">
        <v>2.2</v>
      </c>
      <c r="G2669" s="37" t="inlineStr">
        <is>
          <t>Y</t>
        </is>
      </c>
      <c r="H2669" s="37" t="inlineStr">
        <is>
          <t>N</t>
        </is>
      </c>
      <c r="I2669" s="37">
        <f>COUNTIF(G$5:G2669,"Y")/COUNTA(G$5:G2669)</f>
        <v/>
      </c>
      <c r="J2669" s="37">
        <f>COUNTIF(H$5:H2669,"Y")/COUNTA(H$5:H2669)</f>
        <v/>
      </c>
      <c r="K2669" s="37">
        <f>AVERAGE(F$5:F2669)</f>
        <v/>
      </c>
      <c r="L2669" s="37">
        <f>SUM(F$5:F2669)/SUM(E$5:E2669)</f>
        <v/>
      </c>
    </row>
    <row r="2670">
      <c r="A2670" s="29" t="n">
        <v>46063</v>
      </c>
      <c r="B2670" s="37" t="inlineStr">
        <is>
          <t>JOB-3666</t>
        </is>
      </c>
      <c r="C2670" s="34" t="n">
        <v>1</v>
      </c>
      <c r="D2670" s="37" t="inlineStr">
        <is>
          <t>Tech H</t>
        </is>
      </c>
      <c r="E2670" s="35" t="n">
        <v>2.8</v>
      </c>
      <c r="F2670" s="35" t="n">
        <v>2.3</v>
      </c>
      <c r="G2670" s="37" t="inlineStr">
        <is>
          <t>Y</t>
        </is>
      </c>
      <c r="H2670" s="37" t="inlineStr">
        <is>
          <t>N</t>
        </is>
      </c>
      <c r="I2670" s="37">
        <f>COUNTIF(G$5:G2670,"Y")/COUNTA(G$5:G2670)</f>
        <v/>
      </c>
      <c r="J2670" s="37">
        <f>COUNTIF(H$5:H2670,"Y")/COUNTA(H$5:H2670)</f>
        <v/>
      </c>
      <c r="K2670" s="37">
        <f>AVERAGE(F$5:F2670)</f>
        <v/>
      </c>
      <c r="L2670" s="37">
        <f>SUM(F$5:F2670)/SUM(E$5:E2670)</f>
        <v/>
      </c>
    </row>
    <row r="2671">
      <c r="A2671" s="29" t="n">
        <v>46064</v>
      </c>
      <c r="B2671" s="37" t="inlineStr">
        <is>
          <t>JOB-3667</t>
        </is>
      </c>
      <c r="C2671" s="34" t="n">
        <v>1</v>
      </c>
      <c r="D2671" s="37" t="inlineStr">
        <is>
          <t>Tech D</t>
        </is>
      </c>
      <c r="E2671" s="35" t="n">
        <v>5.1</v>
      </c>
      <c r="F2671" s="35" t="n">
        <v>3.7</v>
      </c>
      <c r="G2671" s="37" t="inlineStr">
        <is>
          <t>N</t>
        </is>
      </c>
      <c r="H2671" s="37" t="inlineStr">
        <is>
          <t>N</t>
        </is>
      </c>
      <c r="I2671" s="37">
        <f>COUNTIF(G$5:G2671,"Y")/COUNTA(G$5:G2671)</f>
        <v/>
      </c>
      <c r="J2671" s="37">
        <f>COUNTIF(H$5:H2671,"Y")/COUNTA(H$5:H2671)</f>
        <v/>
      </c>
      <c r="K2671" s="37">
        <f>AVERAGE(F$5:F2671)</f>
        <v/>
      </c>
      <c r="L2671" s="37">
        <f>SUM(F$5:F2671)/SUM(E$5:E2671)</f>
        <v/>
      </c>
    </row>
    <row r="2672">
      <c r="A2672" s="29" t="n">
        <v>46065</v>
      </c>
      <c r="B2672" s="37" t="inlineStr">
        <is>
          <t>JOB-3668</t>
        </is>
      </c>
      <c r="C2672" s="34" t="n">
        <v>1</v>
      </c>
      <c r="D2672" s="37" t="inlineStr">
        <is>
          <t>Tech D</t>
        </is>
      </c>
      <c r="E2672" s="35" t="n">
        <v>3.5</v>
      </c>
      <c r="F2672" s="35" t="n">
        <v>2.6</v>
      </c>
      <c r="G2672" s="37" t="inlineStr">
        <is>
          <t>Y</t>
        </is>
      </c>
      <c r="H2672" s="37" t="inlineStr">
        <is>
          <t>N</t>
        </is>
      </c>
      <c r="I2672" s="37">
        <f>COUNTIF(G$5:G2672,"Y")/COUNTA(G$5:G2672)</f>
        <v/>
      </c>
      <c r="J2672" s="37">
        <f>COUNTIF(H$5:H2672,"Y")/COUNTA(H$5:H2672)</f>
        <v/>
      </c>
      <c r="K2672" s="37">
        <f>AVERAGE(F$5:F2672)</f>
        <v/>
      </c>
      <c r="L2672" s="37">
        <f>SUM(F$5:F2672)/SUM(E$5:E2672)</f>
        <v/>
      </c>
    </row>
    <row r="2673">
      <c r="A2673" s="29" t="n">
        <v>46066</v>
      </c>
      <c r="B2673" s="37" t="inlineStr">
        <is>
          <t>JOB-3669</t>
        </is>
      </c>
      <c r="C2673" s="34" t="n">
        <v>1</v>
      </c>
      <c r="D2673" s="37" t="inlineStr">
        <is>
          <t>Tech A</t>
        </is>
      </c>
      <c r="E2673" s="35" t="n">
        <v>3</v>
      </c>
      <c r="F2673" s="35" t="n">
        <v>2.2</v>
      </c>
      <c r="G2673" s="37" t="inlineStr">
        <is>
          <t>N</t>
        </is>
      </c>
      <c r="H2673" s="37" t="inlineStr">
        <is>
          <t>N</t>
        </is>
      </c>
      <c r="I2673" s="37">
        <f>COUNTIF(G$5:G2673,"Y")/COUNTA(G$5:G2673)</f>
        <v/>
      </c>
      <c r="J2673" s="37">
        <f>COUNTIF(H$5:H2673,"Y")/COUNTA(H$5:H2673)</f>
        <v/>
      </c>
      <c r="K2673" s="37">
        <f>AVERAGE(F$5:F2673)</f>
        <v/>
      </c>
      <c r="L2673" s="37">
        <f>SUM(F$5:F2673)/SUM(E$5:E2673)</f>
        <v/>
      </c>
    </row>
    <row r="2674">
      <c r="A2674" s="29" t="n">
        <v>46062</v>
      </c>
      <c r="B2674" s="37" t="inlineStr">
        <is>
          <t>JOB-3670</t>
        </is>
      </c>
      <c r="C2674" s="34" t="n">
        <v>1</v>
      </c>
      <c r="D2674" s="37" t="inlineStr">
        <is>
          <t>Tech H</t>
        </is>
      </c>
      <c r="E2674" s="35" t="n">
        <v>2</v>
      </c>
      <c r="F2674" s="35" t="n">
        <v>1.5</v>
      </c>
      <c r="G2674" s="37" t="inlineStr">
        <is>
          <t>Y</t>
        </is>
      </c>
      <c r="H2674" s="37" t="inlineStr">
        <is>
          <t>N</t>
        </is>
      </c>
      <c r="I2674" s="37">
        <f>COUNTIF(G$5:G2674,"Y")/COUNTA(G$5:G2674)</f>
        <v/>
      </c>
      <c r="J2674" s="37">
        <f>COUNTIF(H$5:H2674,"Y")/COUNTA(H$5:H2674)</f>
        <v/>
      </c>
      <c r="K2674" s="37">
        <f>AVERAGE(F$5:F2674)</f>
        <v/>
      </c>
      <c r="L2674" s="37">
        <f>SUM(F$5:F2674)/SUM(E$5:E2674)</f>
        <v/>
      </c>
    </row>
    <row r="2675">
      <c r="A2675" s="29" t="n">
        <v>46063</v>
      </c>
      <c r="B2675" s="37" t="inlineStr">
        <is>
          <t>JOB-3671</t>
        </is>
      </c>
      <c r="C2675" s="34" t="n">
        <v>1</v>
      </c>
      <c r="D2675" s="37" t="inlineStr">
        <is>
          <t>Tech H</t>
        </is>
      </c>
      <c r="E2675" s="35" t="n">
        <v>2.3</v>
      </c>
      <c r="F2675" s="35" t="n">
        <v>1.7</v>
      </c>
      <c r="G2675" s="37" t="inlineStr">
        <is>
          <t>Y</t>
        </is>
      </c>
      <c r="H2675" s="37" t="inlineStr">
        <is>
          <t>N</t>
        </is>
      </c>
      <c r="I2675" s="37">
        <f>COUNTIF(G$5:G2675,"Y")/COUNTA(G$5:G2675)</f>
        <v/>
      </c>
      <c r="J2675" s="37">
        <f>COUNTIF(H$5:H2675,"Y")/COUNTA(H$5:H2675)</f>
        <v/>
      </c>
      <c r="K2675" s="37">
        <f>AVERAGE(F$5:F2675)</f>
        <v/>
      </c>
      <c r="L2675" s="37">
        <f>SUM(F$5:F2675)/SUM(E$5:E2675)</f>
        <v/>
      </c>
    </row>
    <row r="2676">
      <c r="A2676" s="29" t="n">
        <v>46064</v>
      </c>
      <c r="B2676" s="37" t="inlineStr">
        <is>
          <t>JOB-3672</t>
        </is>
      </c>
      <c r="C2676" s="34" t="n">
        <v>1</v>
      </c>
      <c r="D2676" s="37" t="inlineStr">
        <is>
          <t>Tech C</t>
        </is>
      </c>
      <c r="E2676" s="35" t="n">
        <v>4.1</v>
      </c>
      <c r="F2676" s="35" t="n">
        <v>3.1</v>
      </c>
      <c r="G2676" s="37" t="inlineStr">
        <is>
          <t>Y</t>
        </is>
      </c>
      <c r="H2676" s="37" t="inlineStr">
        <is>
          <t>N</t>
        </is>
      </c>
      <c r="I2676" s="37">
        <f>COUNTIF(G$5:G2676,"Y")/COUNTA(G$5:G2676)</f>
        <v/>
      </c>
      <c r="J2676" s="37">
        <f>COUNTIF(H$5:H2676,"Y")/COUNTA(H$5:H2676)</f>
        <v/>
      </c>
      <c r="K2676" s="37">
        <f>AVERAGE(F$5:F2676)</f>
        <v/>
      </c>
      <c r="L2676" s="37">
        <f>SUM(F$5:F2676)/SUM(E$5:E2676)</f>
        <v/>
      </c>
    </row>
    <row r="2677">
      <c r="A2677" s="29" t="n">
        <v>46065</v>
      </c>
      <c r="B2677" s="37" t="inlineStr">
        <is>
          <t>JOB-3673</t>
        </is>
      </c>
      <c r="C2677" s="34" t="n">
        <v>1</v>
      </c>
      <c r="D2677" s="37" t="inlineStr">
        <is>
          <t>Tech C</t>
        </is>
      </c>
      <c r="E2677" s="35" t="n">
        <v>2.3</v>
      </c>
      <c r="F2677" s="35" t="n">
        <v>1.8</v>
      </c>
      <c r="G2677" s="37" t="inlineStr">
        <is>
          <t>Y</t>
        </is>
      </c>
      <c r="H2677" s="37" t="inlineStr">
        <is>
          <t>N</t>
        </is>
      </c>
      <c r="I2677" s="37">
        <f>COUNTIF(G$5:G2677,"Y")/COUNTA(G$5:G2677)</f>
        <v/>
      </c>
      <c r="J2677" s="37">
        <f>COUNTIF(H$5:H2677,"Y")/COUNTA(H$5:H2677)</f>
        <v/>
      </c>
      <c r="K2677" s="37">
        <f>AVERAGE(F$5:F2677)</f>
        <v/>
      </c>
      <c r="L2677" s="37">
        <f>SUM(F$5:F2677)/SUM(E$5:E2677)</f>
        <v/>
      </c>
    </row>
    <row r="2678">
      <c r="A2678" s="29" t="n">
        <v>46066</v>
      </c>
      <c r="B2678" s="37" t="inlineStr">
        <is>
          <t>JOB-3674</t>
        </is>
      </c>
      <c r="C2678" s="34" t="n">
        <v>1</v>
      </c>
      <c r="D2678" s="37" t="inlineStr">
        <is>
          <t>Tech H</t>
        </is>
      </c>
      <c r="E2678" s="35" t="n">
        <v>5.6</v>
      </c>
      <c r="F2678" s="35" t="n">
        <v>3.8</v>
      </c>
      <c r="G2678" s="37" t="inlineStr">
        <is>
          <t>Y</t>
        </is>
      </c>
      <c r="H2678" s="37" t="inlineStr">
        <is>
          <t>N</t>
        </is>
      </c>
      <c r="I2678" s="37">
        <f>COUNTIF(G$5:G2678,"Y")/COUNTA(G$5:G2678)</f>
        <v/>
      </c>
      <c r="J2678" s="37">
        <f>COUNTIF(H$5:H2678,"Y")/COUNTA(H$5:H2678)</f>
        <v/>
      </c>
      <c r="K2678" s="37">
        <f>AVERAGE(F$5:F2678)</f>
        <v/>
      </c>
      <c r="L2678" s="37">
        <f>SUM(F$5:F2678)/SUM(E$5:E2678)</f>
        <v/>
      </c>
    </row>
    <row r="2679">
      <c r="A2679" s="29" t="n">
        <v>46062</v>
      </c>
      <c r="B2679" s="37" t="inlineStr">
        <is>
          <t>JOB-3675</t>
        </is>
      </c>
      <c r="C2679" s="34" t="n">
        <v>1</v>
      </c>
      <c r="D2679" s="37" t="inlineStr">
        <is>
          <t>Tech A</t>
        </is>
      </c>
      <c r="E2679" s="35" t="n">
        <v>4.6</v>
      </c>
      <c r="F2679" s="35" t="n">
        <v>3.2</v>
      </c>
      <c r="G2679" s="37" t="inlineStr">
        <is>
          <t>Y</t>
        </is>
      </c>
      <c r="H2679" s="37" t="inlineStr">
        <is>
          <t>Y</t>
        </is>
      </c>
      <c r="I2679" s="37">
        <f>COUNTIF(G$5:G2679,"Y")/COUNTA(G$5:G2679)</f>
        <v/>
      </c>
      <c r="J2679" s="37">
        <f>COUNTIF(H$5:H2679,"Y")/COUNTA(H$5:H2679)</f>
        <v/>
      </c>
      <c r="K2679" s="37">
        <f>AVERAGE(F$5:F2679)</f>
        <v/>
      </c>
      <c r="L2679" s="37">
        <f>SUM(F$5:F2679)/SUM(E$5:E2679)</f>
        <v/>
      </c>
    </row>
    <row r="2680">
      <c r="A2680" s="29" t="n">
        <v>46063</v>
      </c>
      <c r="B2680" s="37" t="inlineStr">
        <is>
          <t>JOB-3676</t>
        </is>
      </c>
      <c r="C2680" s="34" t="n">
        <v>1</v>
      </c>
      <c r="D2680" s="37" t="inlineStr">
        <is>
          <t>Tech F</t>
        </is>
      </c>
      <c r="E2680" s="35" t="n">
        <v>2</v>
      </c>
      <c r="F2680" s="35" t="n">
        <v>1.5</v>
      </c>
      <c r="G2680" s="37" t="inlineStr">
        <is>
          <t>Y</t>
        </is>
      </c>
      <c r="H2680" s="37" t="inlineStr">
        <is>
          <t>N</t>
        </is>
      </c>
      <c r="I2680" s="37">
        <f>COUNTIF(G$5:G2680,"Y")/COUNTA(G$5:G2680)</f>
        <v/>
      </c>
      <c r="J2680" s="37">
        <f>COUNTIF(H$5:H2680,"Y")/COUNTA(H$5:H2680)</f>
        <v/>
      </c>
      <c r="K2680" s="37">
        <f>AVERAGE(F$5:F2680)</f>
        <v/>
      </c>
      <c r="L2680" s="37">
        <f>SUM(F$5:F2680)/SUM(E$5:E2680)</f>
        <v/>
      </c>
    </row>
    <row r="2681">
      <c r="A2681" s="29" t="n">
        <v>46064</v>
      </c>
      <c r="B2681" s="37" t="inlineStr">
        <is>
          <t>JOB-3677</t>
        </is>
      </c>
      <c r="C2681" s="34" t="n">
        <v>1</v>
      </c>
      <c r="D2681" s="37" t="inlineStr">
        <is>
          <t>Tech G</t>
        </is>
      </c>
      <c r="E2681" s="35" t="n">
        <v>3.9</v>
      </c>
      <c r="F2681" s="35" t="n">
        <v>3.5</v>
      </c>
      <c r="G2681" s="37" t="inlineStr">
        <is>
          <t>Y</t>
        </is>
      </c>
      <c r="H2681" s="37" t="inlineStr">
        <is>
          <t>N</t>
        </is>
      </c>
      <c r="I2681" s="37">
        <f>COUNTIF(G$5:G2681,"Y")/COUNTA(G$5:G2681)</f>
        <v/>
      </c>
      <c r="J2681" s="37">
        <f>COUNTIF(H$5:H2681,"Y")/COUNTA(H$5:H2681)</f>
        <v/>
      </c>
      <c r="K2681" s="37">
        <f>AVERAGE(F$5:F2681)</f>
        <v/>
      </c>
      <c r="L2681" s="37">
        <f>SUM(F$5:F2681)/SUM(E$5:E2681)</f>
        <v/>
      </c>
    </row>
    <row r="2682">
      <c r="A2682" s="29" t="n">
        <v>46065</v>
      </c>
      <c r="B2682" s="37" t="inlineStr">
        <is>
          <t>JOB-3678</t>
        </is>
      </c>
      <c r="C2682" s="34" t="n">
        <v>1</v>
      </c>
      <c r="D2682" s="37" t="inlineStr">
        <is>
          <t>Tech A</t>
        </is>
      </c>
      <c r="E2682" s="35" t="n">
        <v>2.7</v>
      </c>
      <c r="F2682" s="35" t="n">
        <v>2.3</v>
      </c>
      <c r="G2682" s="37" t="inlineStr">
        <is>
          <t>Y</t>
        </is>
      </c>
      <c r="H2682" s="37" t="inlineStr">
        <is>
          <t>N</t>
        </is>
      </c>
      <c r="I2682" s="37">
        <f>COUNTIF(G$5:G2682,"Y")/COUNTA(G$5:G2682)</f>
        <v/>
      </c>
      <c r="J2682" s="37">
        <f>COUNTIF(H$5:H2682,"Y")/COUNTA(H$5:H2682)</f>
        <v/>
      </c>
      <c r="K2682" s="37">
        <f>AVERAGE(F$5:F2682)</f>
        <v/>
      </c>
      <c r="L2682" s="37">
        <f>SUM(F$5:F2682)/SUM(E$5:E2682)</f>
        <v/>
      </c>
    </row>
    <row r="2683">
      <c r="A2683" s="29" t="n">
        <v>46066</v>
      </c>
      <c r="B2683" s="37" t="inlineStr">
        <is>
          <t>JOB-3679</t>
        </is>
      </c>
      <c r="C2683" s="34" t="n">
        <v>1</v>
      </c>
      <c r="D2683" s="37" t="inlineStr">
        <is>
          <t>Tech G</t>
        </is>
      </c>
      <c r="E2683" s="35" t="n">
        <v>1.9</v>
      </c>
      <c r="F2683" s="35" t="n">
        <v>1.3</v>
      </c>
      <c r="G2683" s="37" t="inlineStr">
        <is>
          <t>Y</t>
        </is>
      </c>
      <c r="H2683" s="37" t="inlineStr">
        <is>
          <t>N</t>
        </is>
      </c>
      <c r="I2683" s="37">
        <f>COUNTIF(G$5:G2683,"Y")/COUNTA(G$5:G2683)</f>
        <v/>
      </c>
      <c r="J2683" s="37">
        <f>COUNTIF(H$5:H2683,"Y")/COUNTA(H$5:H2683)</f>
        <v/>
      </c>
      <c r="K2683" s="37">
        <f>AVERAGE(F$5:F2683)</f>
        <v/>
      </c>
      <c r="L2683" s="37">
        <f>SUM(F$5:F2683)/SUM(E$5:E2683)</f>
        <v/>
      </c>
    </row>
    <row r="2684">
      <c r="A2684" s="29" t="n">
        <v>46062</v>
      </c>
      <c r="B2684" s="37" t="inlineStr">
        <is>
          <t>JOB-3680</t>
        </is>
      </c>
      <c r="C2684" s="34" t="n">
        <v>1</v>
      </c>
      <c r="D2684" s="37" t="inlineStr">
        <is>
          <t>Tech H</t>
        </is>
      </c>
      <c r="E2684" s="35" t="n">
        <v>2.4</v>
      </c>
      <c r="F2684" s="35" t="n">
        <v>2</v>
      </c>
      <c r="G2684" s="37" t="inlineStr">
        <is>
          <t>Y</t>
        </is>
      </c>
      <c r="H2684" s="37" t="inlineStr">
        <is>
          <t>N</t>
        </is>
      </c>
      <c r="I2684" s="37">
        <f>COUNTIF(G$5:G2684,"Y")/COUNTA(G$5:G2684)</f>
        <v/>
      </c>
      <c r="J2684" s="37">
        <f>COUNTIF(H$5:H2684,"Y")/COUNTA(H$5:H2684)</f>
        <v/>
      </c>
      <c r="K2684" s="37">
        <f>AVERAGE(F$5:F2684)</f>
        <v/>
      </c>
      <c r="L2684" s="37">
        <f>SUM(F$5:F2684)/SUM(E$5:E2684)</f>
        <v/>
      </c>
    </row>
    <row r="2685">
      <c r="A2685" s="29" t="n">
        <v>46063</v>
      </c>
      <c r="B2685" s="37" t="inlineStr">
        <is>
          <t>JOB-3681</t>
        </is>
      </c>
      <c r="C2685" s="34" t="n">
        <v>1</v>
      </c>
      <c r="D2685" s="37" t="inlineStr">
        <is>
          <t>Tech D</t>
        </is>
      </c>
      <c r="E2685" s="35" t="n">
        <v>4.1</v>
      </c>
      <c r="F2685" s="35" t="n">
        <v>3.1</v>
      </c>
      <c r="G2685" s="37" t="inlineStr">
        <is>
          <t>Y</t>
        </is>
      </c>
      <c r="H2685" s="37" t="inlineStr">
        <is>
          <t>N</t>
        </is>
      </c>
      <c r="I2685" s="37">
        <f>COUNTIF(G$5:G2685,"Y")/COUNTA(G$5:G2685)</f>
        <v/>
      </c>
      <c r="J2685" s="37">
        <f>COUNTIF(H$5:H2685,"Y")/COUNTA(H$5:H2685)</f>
        <v/>
      </c>
      <c r="K2685" s="37">
        <f>AVERAGE(F$5:F2685)</f>
        <v/>
      </c>
      <c r="L2685" s="37">
        <f>SUM(F$5:F2685)/SUM(E$5:E2685)</f>
        <v/>
      </c>
    </row>
    <row r="2686">
      <c r="A2686" s="29" t="n">
        <v>46064</v>
      </c>
      <c r="B2686" s="37" t="inlineStr">
        <is>
          <t>JOB-3682</t>
        </is>
      </c>
      <c r="C2686" s="34" t="n">
        <v>1</v>
      </c>
      <c r="D2686" s="37" t="inlineStr">
        <is>
          <t>Tech F</t>
        </is>
      </c>
      <c r="E2686" s="35" t="n">
        <v>2.3</v>
      </c>
      <c r="F2686" s="35" t="n">
        <v>2</v>
      </c>
      <c r="G2686" s="37" t="inlineStr">
        <is>
          <t>Y</t>
        </is>
      </c>
      <c r="H2686" s="37" t="inlineStr">
        <is>
          <t>N</t>
        </is>
      </c>
      <c r="I2686" s="37">
        <f>COUNTIF(G$5:G2686,"Y")/COUNTA(G$5:G2686)</f>
        <v/>
      </c>
      <c r="J2686" s="37">
        <f>COUNTIF(H$5:H2686,"Y")/COUNTA(H$5:H2686)</f>
        <v/>
      </c>
      <c r="K2686" s="37">
        <f>AVERAGE(F$5:F2686)</f>
        <v/>
      </c>
      <c r="L2686" s="37">
        <f>SUM(F$5:F2686)/SUM(E$5:E2686)</f>
        <v/>
      </c>
    </row>
    <row r="2687">
      <c r="A2687" s="29" t="n">
        <v>46065</v>
      </c>
      <c r="B2687" s="37" t="inlineStr">
        <is>
          <t>JOB-3683</t>
        </is>
      </c>
      <c r="C2687" s="34" t="n">
        <v>1</v>
      </c>
      <c r="D2687" s="37" t="inlineStr">
        <is>
          <t>Tech H</t>
        </is>
      </c>
      <c r="E2687" s="35" t="n">
        <v>2.8</v>
      </c>
      <c r="F2687" s="35" t="n">
        <v>2.4</v>
      </c>
      <c r="G2687" s="37" t="inlineStr">
        <is>
          <t>Y</t>
        </is>
      </c>
      <c r="H2687" s="37" t="inlineStr">
        <is>
          <t>N</t>
        </is>
      </c>
      <c r="I2687" s="37">
        <f>COUNTIF(G$5:G2687,"Y")/COUNTA(G$5:G2687)</f>
        <v/>
      </c>
      <c r="J2687" s="37">
        <f>COUNTIF(H$5:H2687,"Y")/COUNTA(H$5:H2687)</f>
        <v/>
      </c>
      <c r="K2687" s="37">
        <f>AVERAGE(F$5:F2687)</f>
        <v/>
      </c>
      <c r="L2687" s="37">
        <f>SUM(F$5:F2687)/SUM(E$5:E2687)</f>
        <v/>
      </c>
    </row>
    <row r="2688">
      <c r="A2688" s="29" t="n">
        <v>46066</v>
      </c>
      <c r="B2688" s="37" t="inlineStr">
        <is>
          <t>JOB-3684</t>
        </is>
      </c>
      <c r="C2688" s="34" t="n">
        <v>1</v>
      </c>
      <c r="D2688" s="37" t="inlineStr">
        <is>
          <t>Tech D</t>
        </is>
      </c>
      <c r="E2688" s="35" t="n">
        <v>2.8</v>
      </c>
      <c r="F2688" s="35" t="n">
        <v>2.1</v>
      </c>
      <c r="G2688" s="37" t="inlineStr">
        <is>
          <t>Y</t>
        </is>
      </c>
      <c r="H2688" s="37" t="inlineStr">
        <is>
          <t>N</t>
        </is>
      </c>
      <c r="I2688" s="37">
        <f>COUNTIF(G$5:G2688,"Y")/COUNTA(G$5:G2688)</f>
        <v/>
      </c>
      <c r="J2688" s="37">
        <f>COUNTIF(H$5:H2688,"Y")/COUNTA(H$5:H2688)</f>
        <v/>
      </c>
      <c r="K2688" s="37">
        <f>AVERAGE(F$5:F2688)</f>
        <v/>
      </c>
      <c r="L2688" s="37">
        <f>SUM(F$5:F2688)/SUM(E$5:E2688)</f>
        <v/>
      </c>
    </row>
    <row r="2689">
      <c r="A2689" s="29" t="n">
        <v>46062</v>
      </c>
      <c r="B2689" s="37" t="inlineStr">
        <is>
          <t>JOB-3685</t>
        </is>
      </c>
      <c r="C2689" s="34" t="n">
        <v>1</v>
      </c>
      <c r="D2689" s="37" t="inlineStr">
        <is>
          <t>Tech D</t>
        </is>
      </c>
      <c r="E2689" s="35" t="n">
        <v>2.3</v>
      </c>
      <c r="F2689" s="35" t="n">
        <v>1.7</v>
      </c>
      <c r="G2689" s="37" t="inlineStr">
        <is>
          <t>Y</t>
        </is>
      </c>
      <c r="H2689" s="37" t="inlineStr">
        <is>
          <t>N</t>
        </is>
      </c>
      <c r="I2689" s="37">
        <f>COUNTIF(G$5:G2689,"Y")/COUNTA(G$5:G2689)</f>
        <v/>
      </c>
      <c r="J2689" s="37">
        <f>COUNTIF(H$5:H2689,"Y")/COUNTA(H$5:H2689)</f>
        <v/>
      </c>
      <c r="K2689" s="37">
        <f>AVERAGE(F$5:F2689)</f>
        <v/>
      </c>
      <c r="L2689" s="37">
        <f>SUM(F$5:F2689)/SUM(E$5:E2689)</f>
        <v/>
      </c>
    </row>
    <row r="2690">
      <c r="A2690" s="29" t="n">
        <v>46063</v>
      </c>
      <c r="B2690" s="37" t="inlineStr">
        <is>
          <t>JOB-3686</t>
        </is>
      </c>
      <c r="C2690" s="34" t="n">
        <v>1</v>
      </c>
      <c r="D2690" s="37" t="inlineStr">
        <is>
          <t>Tech B</t>
        </is>
      </c>
      <c r="E2690" s="35" t="n">
        <v>4.6</v>
      </c>
      <c r="F2690" s="35" t="n">
        <v>3.8</v>
      </c>
      <c r="G2690" s="37" t="inlineStr">
        <is>
          <t>Y</t>
        </is>
      </c>
      <c r="H2690" s="37" t="inlineStr">
        <is>
          <t>N</t>
        </is>
      </c>
      <c r="I2690" s="37">
        <f>COUNTIF(G$5:G2690,"Y")/COUNTA(G$5:G2690)</f>
        <v/>
      </c>
      <c r="J2690" s="37">
        <f>COUNTIF(H$5:H2690,"Y")/COUNTA(H$5:H2690)</f>
        <v/>
      </c>
      <c r="K2690" s="37">
        <f>AVERAGE(F$5:F2690)</f>
        <v/>
      </c>
      <c r="L2690" s="37">
        <f>SUM(F$5:F2690)/SUM(E$5:E2690)</f>
        <v/>
      </c>
    </row>
    <row r="2691">
      <c r="A2691" s="29" t="n">
        <v>46064</v>
      </c>
      <c r="B2691" s="37" t="inlineStr">
        <is>
          <t>JOB-3687</t>
        </is>
      </c>
      <c r="C2691" s="34" t="n">
        <v>1</v>
      </c>
      <c r="D2691" s="37" t="inlineStr">
        <is>
          <t>Tech D</t>
        </is>
      </c>
      <c r="E2691" s="35" t="n">
        <v>4.9</v>
      </c>
      <c r="F2691" s="35" t="n">
        <v>3.4</v>
      </c>
      <c r="G2691" s="37" t="inlineStr">
        <is>
          <t>Y</t>
        </is>
      </c>
      <c r="H2691" s="37" t="inlineStr">
        <is>
          <t>N</t>
        </is>
      </c>
      <c r="I2691" s="37">
        <f>COUNTIF(G$5:G2691,"Y")/COUNTA(G$5:G2691)</f>
        <v/>
      </c>
      <c r="J2691" s="37">
        <f>COUNTIF(H$5:H2691,"Y")/COUNTA(H$5:H2691)</f>
        <v/>
      </c>
      <c r="K2691" s="37">
        <f>AVERAGE(F$5:F2691)</f>
        <v/>
      </c>
      <c r="L2691" s="37">
        <f>SUM(F$5:F2691)/SUM(E$5:E2691)</f>
        <v/>
      </c>
    </row>
    <row r="2692">
      <c r="A2692" s="29" t="n">
        <v>46065</v>
      </c>
      <c r="B2692" s="37" t="inlineStr">
        <is>
          <t>JOB-3688</t>
        </is>
      </c>
      <c r="C2692" s="34" t="n">
        <v>1</v>
      </c>
      <c r="D2692" s="37" t="inlineStr">
        <is>
          <t>Tech H</t>
        </is>
      </c>
      <c r="E2692" s="35" t="n">
        <v>3.4</v>
      </c>
      <c r="F2692" s="35" t="n">
        <v>2.8</v>
      </c>
      <c r="G2692" s="37" t="inlineStr">
        <is>
          <t>Y</t>
        </is>
      </c>
      <c r="H2692" s="37" t="inlineStr">
        <is>
          <t>N</t>
        </is>
      </c>
      <c r="I2692" s="37">
        <f>COUNTIF(G$5:G2692,"Y")/COUNTA(G$5:G2692)</f>
        <v/>
      </c>
      <c r="J2692" s="37">
        <f>COUNTIF(H$5:H2692,"Y")/COUNTA(H$5:H2692)</f>
        <v/>
      </c>
      <c r="K2692" s="37">
        <f>AVERAGE(F$5:F2692)</f>
        <v/>
      </c>
      <c r="L2692" s="37">
        <f>SUM(F$5:F2692)/SUM(E$5:E2692)</f>
        <v/>
      </c>
    </row>
    <row r="2693">
      <c r="A2693" s="29" t="n">
        <v>46066</v>
      </c>
      <c r="B2693" s="37" t="inlineStr">
        <is>
          <t>JOB-3689</t>
        </is>
      </c>
      <c r="C2693" s="34" t="n">
        <v>1</v>
      </c>
      <c r="D2693" s="37" t="inlineStr">
        <is>
          <t>Tech G</t>
        </is>
      </c>
      <c r="E2693" s="35" t="n">
        <v>1.4</v>
      </c>
      <c r="F2693" s="35" t="n">
        <v>1.1</v>
      </c>
      <c r="G2693" s="37" t="inlineStr">
        <is>
          <t>Y</t>
        </is>
      </c>
      <c r="H2693" s="37" t="inlineStr">
        <is>
          <t>N</t>
        </is>
      </c>
      <c r="I2693" s="37">
        <f>COUNTIF(G$5:G2693,"Y")/COUNTA(G$5:G2693)</f>
        <v/>
      </c>
      <c r="J2693" s="37">
        <f>COUNTIF(H$5:H2693,"Y")/COUNTA(H$5:H2693)</f>
        <v/>
      </c>
      <c r="K2693" s="37">
        <f>AVERAGE(F$5:F2693)</f>
        <v/>
      </c>
      <c r="L2693" s="37">
        <f>SUM(F$5:F2693)/SUM(E$5:E2693)</f>
        <v/>
      </c>
    </row>
    <row r="2694">
      <c r="A2694" s="29" t="n">
        <v>46062</v>
      </c>
      <c r="B2694" s="37" t="inlineStr">
        <is>
          <t>JOB-3690</t>
        </is>
      </c>
      <c r="C2694" s="34" t="n">
        <v>1</v>
      </c>
      <c r="D2694" s="37" t="inlineStr">
        <is>
          <t>Tech H</t>
        </is>
      </c>
      <c r="E2694" s="35" t="n">
        <v>0.7</v>
      </c>
      <c r="F2694" s="35" t="n">
        <v>0.5</v>
      </c>
      <c r="G2694" s="37" t="inlineStr">
        <is>
          <t>Y</t>
        </is>
      </c>
      <c r="H2694" s="37" t="inlineStr">
        <is>
          <t>N</t>
        </is>
      </c>
      <c r="I2694" s="37">
        <f>COUNTIF(G$5:G2694,"Y")/COUNTA(G$5:G2694)</f>
        <v/>
      </c>
      <c r="J2694" s="37">
        <f>COUNTIF(H$5:H2694,"Y")/COUNTA(H$5:H2694)</f>
        <v/>
      </c>
      <c r="K2694" s="37">
        <f>AVERAGE(F$5:F2694)</f>
        <v/>
      </c>
      <c r="L2694" s="37">
        <f>SUM(F$5:F2694)/SUM(E$5:E2694)</f>
        <v/>
      </c>
    </row>
    <row r="2695">
      <c r="A2695" s="29" t="n">
        <v>46063</v>
      </c>
      <c r="B2695" s="37" t="inlineStr">
        <is>
          <t>JOB-3691</t>
        </is>
      </c>
      <c r="C2695" s="34" t="n">
        <v>1</v>
      </c>
      <c r="D2695" s="37" t="inlineStr">
        <is>
          <t>Tech G</t>
        </is>
      </c>
      <c r="E2695" s="35" t="n">
        <v>0.6</v>
      </c>
      <c r="F2695" s="35" t="n">
        <v>0.5</v>
      </c>
      <c r="G2695" s="37" t="inlineStr">
        <is>
          <t>Y</t>
        </is>
      </c>
      <c r="H2695" s="37" t="inlineStr">
        <is>
          <t>N</t>
        </is>
      </c>
      <c r="I2695" s="37">
        <f>COUNTIF(G$5:G2695,"Y")/COUNTA(G$5:G2695)</f>
        <v/>
      </c>
      <c r="J2695" s="37">
        <f>COUNTIF(H$5:H2695,"Y")/COUNTA(H$5:H2695)</f>
        <v/>
      </c>
      <c r="K2695" s="37">
        <f>AVERAGE(F$5:F2695)</f>
        <v/>
      </c>
      <c r="L2695" s="37">
        <f>SUM(F$5:F2695)/SUM(E$5:E2695)</f>
        <v/>
      </c>
    </row>
    <row r="2696">
      <c r="A2696" s="29" t="n">
        <v>46064</v>
      </c>
      <c r="B2696" s="37" t="inlineStr">
        <is>
          <t>JOB-3692</t>
        </is>
      </c>
      <c r="C2696" s="34" t="n">
        <v>1</v>
      </c>
      <c r="D2696" s="37" t="inlineStr">
        <is>
          <t>Tech F</t>
        </is>
      </c>
      <c r="E2696" s="35" t="n">
        <v>0.7</v>
      </c>
      <c r="F2696" s="35" t="n">
        <v>0.5</v>
      </c>
      <c r="G2696" s="37" t="inlineStr">
        <is>
          <t>Y</t>
        </is>
      </c>
      <c r="H2696" s="37" t="inlineStr">
        <is>
          <t>N</t>
        </is>
      </c>
      <c r="I2696" s="37">
        <f>COUNTIF(G$5:G2696,"Y")/COUNTA(G$5:G2696)</f>
        <v/>
      </c>
      <c r="J2696" s="37">
        <f>COUNTIF(H$5:H2696,"Y")/COUNTA(H$5:H2696)</f>
        <v/>
      </c>
      <c r="K2696" s="37">
        <f>AVERAGE(F$5:F2696)</f>
        <v/>
      </c>
      <c r="L2696" s="37">
        <f>SUM(F$5:F2696)/SUM(E$5:E2696)</f>
        <v/>
      </c>
    </row>
    <row r="2697">
      <c r="A2697" s="29" t="n">
        <v>46065</v>
      </c>
      <c r="B2697" s="37" t="inlineStr">
        <is>
          <t>JOB-3693</t>
        </is>
      </c>
      <c r="C2697" s="34" t="n">
        <v>1</v>
      </c>
      <c r="D2697" s="37" t="inlineStr">
        <is>
          <t>Tech G</t>
        </is>
      </c>
      <c r="E2697" s="35" t="n">
        <v>0.6</v>
      </c>
      <c r="F2697" s="35" t="n">
        <v>0.5</v>
      </c>
      <c r="G2697" s="37" t="inlineStr">
        <is>
          <t>Y</t>
        </is>
      </c>
      <c r="H2697" s="37" t="inlineStr">
        <is>
          <t>N</t>
        </is>
      </c>
      <c r="I2697" s="37">
        <f>COUNTIF(G$5:G2697,"Y")/COUNTA(G$5:G2697)</f>
        <v/>
      </c>
      <c r="J2697" s="37">
        <f>COUNTIF(H$5:H2697,"Y")/COUNTA(H$5:H2697)</f>
        <v/>
      </c>
      <c r="K2697" s="37">
        <f>AVERAGE(F$5:F2697)</f>
        <v/>
      </c>
      <c r="L2697" s="37">
        <f>SUM(F$5:F2697)/SUM(E$5:E2697)</f>
        <v/>
      </c>
    </row>
    <row r="2698">
      <c r="A2698" s="29" t="n">
        <v>46066</v>
      </c>
      <c r="B2698" s="37" t="inlineStr">
        <is>
          <t>JOB-3694</t>
        </is>
      </c>
      <c r="C2698" s="34" t="n">
        <v>1</v>
      </c>
      <c r="D2698" s="37" t="inlineStr">
        <is>
          <t>Tech A</t>
        </is>
      </c>
      <c r="E2698" s="35" t="n">
        <v>0.7</v>
      </c>
      <c r="F2698" s="35" t="n">
        <v>0.5</v>
      </c>
      <c r="G2698" s="37" t="inlineStr">
        <is>
          <t>Y</t>
        </is>
      </c>
      <c r="H2698" s="37" t="inlineStr">
        <is>
          <t>N</t>
        </is>
      </c>
      <c r="I2698" s="37">
        <f>COUNTIF(G$5:G2698,"Y")/COUNTA(G$5:G2698)</f>
        <v/>
      </c>
      <c r="J2698" s="37">
        <f>COUNTIF(H$5:H2698,"Y")/COUNTA(H$5:H2698)</f>
        <v/>
      </c>
      <c r="K2698" s="37">
        <f>AVERAGE(F$5:F2698)</f>
        <v/>
      </c>
      <c r="L2698" s="37">
        <f>SUM(F$5:F2698)/SUM(E$5:E2698)</f>
        <v/>
      </c>
    </row>
    <row r="2699">
      <c r="A2699" s="29" t="n">
        <v>46062</v>
      </c>
      <c r="B2699" s="37" t="inlineStr">
        <is>
          <t>JOB-3695</t>
        </is>
      </c>
      <c r="C2699" s="34" t="n">
        <v>1</v>
      </c>
      <c r="D2699" s="37" t="inlineStr">
        <is>
          <t>Tech A</t>
        </is>
      </c>
      <c r="E2699" s="35" t="n">
        <v>1.7</v>
      </c>
      <c r="F2699" s="35" t="n">
        <v>0.5</v>
      </c>
      <c r="G2699" s="37" t="inlineStr">
        <is>
          <t>N</t>
        </is>
      </c>
      <c r="H2699" s="37" t="inlineStr">
        <is>
          <t>N</t>
        </is>
      </c>
      <c r="I2699" s="37">
        <f>COUNTIF(G$5:G2699,"Y")/COUNTA(G$5:G2699)</f>
        <v/>
      </c>
      <c r="J2699" s="37">
        <f>COUNTIF(H$5:H2699,"Y")/COUNTA(H$5:H2699)</f>
        <v/>
      </c>
      <c r="K2699" s="37">
        <f>AVERAGE(F$5:F2699)</f>
        <v/>
      </c>
      <c r="L2699" s="37">
        <f>SUM(F$5:F2699)/SUM(E$5:E2699)</f>
        <v/>
      </c>
      <c r="M2699" s="37" t="n">
        <v>11</v>
      </c>
    </row>
    <row r="2700">
      <c r="A2700" s="29" t="n">
        <v>46069</v>
      </c>
      <c r="B2700" s="37" t="inlineStr">
        <is>
          <t>JOB-3696</t>
        </is>
      </c>
      <c r="C2700" s="34" t="n">
        <v>1</v>
      </c>
      <c r="D2700" s="37" t="inlineStr">
        <is>
          <t>Tech F</t>
        </is>
      </c>
      <c r="E2700" s="35" t="n">
        <v>2.7</v>
      </c>
      <c r="F2700" s="35" t="n">
        <v>2</v>
      </c>
      <c r="G2700" s="37" t="inlineStr">
        <is>
          <t>Y</t>
        </is>
      </c>
      <c r="H2700" s="37" t="inlineStr">
        <is>
          <t>N</t>
        </is>
      </c>
      <c r="I2700" s="37">
        <f>COUNTIF(G$5:G2700,"Y")/COUNTA(G$5:G2700)</f>
        <v/>
      </c>
      <c r="J2700" s="37">
        <f>COUNTIF(H$5:H2700,"Y")/COUNTA(H$5:H2700)</f>
        <v/>
      </c>
      <c r="K2700" s="37">
        <f>AVERAGE(F$5:F2700)</f>
        <v/>
      </c>
      <c r="L2700" s="37">
        <f>SUM(F$5:F2700)/SUM(E$5:E2700)</f>
        <v/>
      </c>
    </row>
    <row r="2701">
      <c r="A2701" s="29" t="n">
        <v>46070</v>
      </c>
      <c r="B2701" s="37" t="inlineStr">
        <is>
          <t>JOB-3697</t>
        </is>
      </c>
      <c r="C2701" s="34" t="n">
        <v>1</v>
      </c>
      <c r="D2701" s="37" t="inlineStr">
        <is>
          <t>Tech D</t>
        </is>
      </c>
      <c r="E2701" s="35" t="n">
        <v>4.1</v>
      </c>
      <c r="F2701" s="35" t="n">
        <v>2.9</v>
      </c>
      <c r="G2701" s="37" t="inlineStr">
        <is>
          <t>Y</t>
        </is>
      </c>
      <c r="H2701" s="37" t="inlineStr">
        <is>
          <t>N</t>
        </is>
      </c>
      <c r="I2701" s="37">
        <f>COUNTIF(G$5:G2701,"Y")/COUNTA(G$5:G2701)</f>
        <v/>
      </c>
      <c r="J2701" s="37">
        <f>COUNTIF(H$5:H2701,"Y")/COUNTA(H$5:H2701)</f>
        <v/>
      </c>
      <c r="K2701" s="37">
        <f>AVERAGE(F$5:F2701)</f>
        <v/>
      </c>
      <c r="L2701" s="37">
        <f>SUM(F$5:F2701)/SUM(E$5:E2701)</f>
        <v/>
      </c>
    </row>
    <row r="2702">
      <c r="A2702" s="29" t="n">
        <v>46071</v>
      </c>
      <c r="B2702" s="37" t="inlineStr">
        <is>
          <t>JOB-3698</t>
        </is>
      </c>
      <c r="C2702" s="34" t="n">
        <v>1</v>
      </c>
      <c r="D2702" s="37" t="inlineStr">
        <is>
          <t>Tech F</t>
        </is>
      </c>
      <c r="E2702" s="35" t="n">
        <v>2.2</v>
      </c>
      <c r="F2702" s="35" t="n">
        <v>1.5</v>
      </c>
      <c r="G2702" s="37" t="inlineStr">
        <is>
          <t>Y</t>
        </is>
      </c>
      <c r="H2702" s="37" t="inlineStr">
        <is>
          <t>Y</t>
        </is>
      </c>
      <c r="I2702" s="37">
        <f>COUNTIF(G$5:G2702,"Y")/COUNTA(G$5:G2702)</f>
        <v/>
      </c>
      <c r="J2702" s="37">
        <f>COUNTIF(H$5:H2702,"Y")/COUNTA(H$5:H2702)</f>
        <v/>
      </c>
      <c r="K2702" s="37">
        <f>AVERAGE(F$5:F2702)</f>
        <v/>
      </c>
      <c r="L2702" s="37">
        <f>SUM(F$5:F2702)/SUM(E$5:E2702)</f>
        <v/>
      </c>
    </row>
    <row r="2703">
      <c r="A2703" s="29" t="n">
        <v>46072</v>
      </c>
      <c r="B2703" s="37" t="inlineStr">
        <is>
          <t>JOB-3699</t>
        </is>
      </c>
      <c r="C2703" s="34" t="n">
        <v>1</v>
      </c>
      <c r="D2703" s="37" t="inlineStr">
        <is>
          <t>Tech A</t>
        </is>
      </c>
      <c r="E2703" s="35" t="n">
        <v>1.7</v>
      </c>
      <c r="F2703" s="35" t="n">
        <v>1.2</v>
      </c>
      <c r="G2703" s="37" t="inlineStr">
        <is>
          <t>Y</t>
        </is>
      </c>
      <c r="H2703" s="37" t="inlineStr">
        <is>
          <t>N</t>
        </is>
      </c>
      <c r="I2703" s="37">
        <f>COUNTIF(G$5:G2703,"Y")/COUNTA(G$5:G2703)</f>
        <v/>
      </c>
      <c r="J2703" s="37">
        <f>COUNTIF(H$5:H2703,"Y")/COUNTA(H$5:H2703)</f>
        <v/>
      </c>
      <c r="K2703" s="37">
        <f>AVERAGE(F$5:F2703)</f>
        <v/>
      </c>
      <c r="L2703" s="37">
        <f>SUM(F$5:F2703)/SUM(E$5:E2703)</f>
        <v/>
      </c>
    </row>
    <row r="2704">
      <c r="A2704" s="29" t="n">
        <v>46073</v>
      </c>
      <c r="B2704" s="37" t="inlineStr">
        <is>
          <t>JOB-3700</t>
        </is>
      </c>
      <c r="C2704" s="34" t="n">
        <v>1</v>
      </c>
      <c r="D2704" s="37" t="inlineStr">
        <is>
          <t>Tech B</t>
        </is>
      </c>
      <c r="E2704" s="35" t="n">
        <v>1.7</v>
      </c>
      <c r="F2704" s="35" t="n">
        <v>1.3</v>
      </c>
      <c r="G2704" s="37" t="inlineStr">
        <is>
          <t>Y</t>
        </is>
      </c>
      <c r="H2704" s="37" t="inlineStr">
        <is>
          <t>N</t>
        </is>
      </c>
      <c r="I2704" s="37">
        <f>COUNTIF(G$5:G2704,"Y")/COUNTA(G$5:G2704)</f>
        <v/>
      </c>
      <c r="J2704" s="37">
        <f>COUNTIF(H$5:H2704,"Y")/COUNTA(H$5:H2704)</f>
        <v/>
      </c>
      <c r="K2704" s="37">
        <f>AVERAGE(F$5:F2704)</f>
        <v/>
      </c>
      <c r="L2704" s="37">
        <f>SUM(F$5:F2704)/SUM(E$5:E2704)</f>
        <v/>
      </c>
    </row>
    <row r="2705">
      <c r="A2705" s="29" t="n">
        <v>46069</v>
      </c>
      <c r="B2705" s="37" t="inlineStr">
        <is>
          <t>JOB-3701</t>
        </is>
      </c>
      <c r="C2705" s="34" t="n">
        <v>1</v>
      </c>
      <c r="D2705" s="37" t="inlineStr">
        <is>
          <t>Tech F</t>
        </is>
      </c>
      <c r="E2705" s="35" t="n">
        <v>3.5</v>
      </c>
      <c r="F2705" s="35" t="n">
        <v>2.8</v>
      </c>
      <c r="G2705" s="37" t="inlineStr">
        <is>
          <t>Y</t>
        </is>
      </c>
      <c r="H2705" s="37" t="inlineStr">
        <is>
          <t>N</t>
        </is>
      </c>
      <c r="I2705" s="37">
        <f>COUNTIF(G$5:G2705,"Y")/COUNTA(G$5:G2705)</f>
        <v/>
      </c>
      <c r="J2705" s="37">
        <f>COUNTIF(H$5:H2705,"Y")/COUNTA(H$5:H2705)</f>
        <v/>
      </c>
      <c r="K2705" s="37">
        <f>AVERAGE(F$5:F2705)</f>
        <v/>
      </c>
      <c r="L2705" s="37">
        <f>SUM(F$5:F2705)/SUM(E$5:E2705)</f>
        <v/>
      </c>
    </row>
    <row r="2706">
      <c r="A2706" s="29" t="n">
        <v>46070</v>
      </c>
      <c r="B2706" s="37" t="inlineStr">
        <is>
          <t>JOB-3702</t>
        </is>
      </c>
      <c r="C2706" s="34" t="n">
        <v>1</v>
      </c>
      <c r="D2706" s="37" t="inlineStr">
        <is>
          <t>Tech B</t>
        </is>
      </c>
      <c r="E2706" s="35" t="n">
        <v>3.9</v>
      </c>
      <c r="F2706" s="35" t="n">
        <v>3.2</v>
      </c>
      <c r="G2706" s="37" t="inlineStr">
        <is>
          <t>Y</t>
        </is>
      </c>
      <c r="H2706" s="37" t="inlineStr">
        <is>
          <t>N</t>
        </is>
      </c>
      <c r="I2706" s="37">
        <f>COUNTIF(G$5:G2706,"Y")/COUNTA(G$5:G2706)</f>
        <v/>
      </c>
      <c r="J2706" s="37">
        <f>COUNTIF(H$5:H2706,"Y")/COUNTA(H$5:H2706)</f>
        <v/>
      </c>
      <c r="K2706" s="37">
        <f>AVERAGE(F$5:F2706)</f>
        <v/>
      </c>
      <c r="L2706" s="37">
        <f>SUM(F$5:F2706)/SUM(E$5:E2706)</f>
        <v/>
      </c>
    </row>
    <row r="2707">
      <c r="A2707" s="29" t="n">
        <v>46071</v>
      </c>
      <c r="B2707" s="37" t="inlineStr">
        <is>
          <t>JOB-3703</t>
        </is>
      </c>
      <c r="C2707" s="34" t="n">
        <v>1</v>
      </c>
      <c r="D2707" s="37" t="inlineStr">
        <is>
          <t>Tech C</t>
        </is>
      </c>
      <c r="E2707" s="35" t="n">
        <v>4.4</v>
      </c>
      <c r="F2707" s="35" t="n">
        <v>3.2</v>
      </c>
      <c r="G2707" s="37" t="inlineStr">
        <is>
          <t>Y</t>
        </is>
      </c>
      <c r="H2707" s="37" t="inlineStr">
        <is>
          <t>N</t>
        </is>
      </c>
      <c r="I2707" s="37">
        <f>COUNTIF(G$5:G2707,"Y")/COUNTA(G$5:G2707)</f>
        <v/>
      </c>
      <c r="J2707" s="37">
        <f>COUNTIF(H$5:H2707,"Y")/COUNTA(H$5:H2707)</f>
        <v/>
      </c>
      <c r="K2707" s="37">
        <f>AVERAGE(F$5:F2707)</f>
        <v/>
      </c>
      <c r="L2707" s="37">
        <f>SUM(F$5:F2707)/SUM(E$5:E2707)</f>
        <v/>
      </c>
    </row>
    <row r="2708">
      <c r="A2708" s="29" t="n">
        <v>46072</v>
      </c>
      <c r="B2708" s="37" t="inlineStr">
        <is>
          <t>JOB-3704</t>
        </is>
      </c>
      <c r="C2708" s="34" t="n">
        <v>1</v>
      </c>
      <c r="D2708" s="37" t="inlineStr">
        <is>
          <t>Tech F</t>
        </is>
      </c>
      <c r="E2708" s="35" t="n">
        <v>3.6</v>
      </c>
      <c r="F2708" s="35" t="n">
        <v>2.9</v>
      </c>
      <c r="G2708" s="37" t="inlineStr">
        <is>
          <t>Y</t>
        </is>
      </c>
      <c r="H2708" s="37" t="inlineStr">
        <is>
          <t>N</t>
        </is>
      </c>
      <c r="I2708" s="37">
        <f>COUNTIF(G$5:G2708,"Y")/COUNTA(G$5:G2708)</f>
        <v/>
      </c>
      <c r="J2708" s="37">
        <f>COUNTIF(H$5:H2708,"Y")/COUNTA(H$5:H2708)</f>
        <v/>
      </c>
      <c r="K2708" s="37">
        <f>AVERAGE(F$5:F2708)</f>
        <v/>
      </c>
      <c r="L2708" s="37">
        <f>SUM(F$5:F2708)/SUM(E$5:E2708)</f>
        <v/>
      </c>
    </row>
    <row r="2709">
      <c r="A2709" s="29" t="n">
        <v>46073</v>
      </c>
      <c r="B2709" s="37" t="inlineStr">
        <is>
          <t>JOB-3705</t>
        </is>
      </c>
      <c r="C2709" s="34" t="n">
        <v>1</v>
      </c>
      <c r="D2709" s="37" t="inlineStr">
        <is>
          <t>Tech H</t>
        </is>
      </c>
      <c r="E2709" s="35" t="n">
        <v>4</v>
      </c>
      <c r="F2709" s="35" t="n">
        <v>2.7</v>
      </c>
      <c r="G2709" s="37" t="inlineStr">
        <is>
          <t>Y</t>
        </is>
      </c>
      <c r="H2709" s="37" t="inlineStr">
        <is>
          <t>N</t>
        </is>
      </c>
      <c r="I2709" s="37">
        <f>COUNTIF(G$5:G2709,"Y")/COUNTA(G$5:G2709)</f>
        <v/>
      </c>
      <c r="J2709" s="37">
        <f>COUNTIF(H$5:H2709,"Y")/COUNTA(H$5:H2709)</f>
        <v/>
      </c>
      <c r="K2709" s="37">
        <f>AVERAGE(F$5:F2709)</f>
        <v/>
      </c>
      <c r="L2709" s="37">
        <f>SUM(F$5:F2709)/SUM(E$5:E2709)</f>
        <v/>
      </c>
    </row>
    <row r="2710">
      <c r="A2710" s="29" t="n">
        <v>46069</v>
      </c>
      <c r="B2710" s="37" t="inlineStr">
        <is>
          <t>JOB-3706</t>
        </is>
      </c>
      <c r="C2710" s="34" t="n">
        <v>1</v>
      </c>
      <c r="D2710" s="37" t="inlineStr">
        <is>
          <t>Tech F</t>
        </is>
      </c>
      <c r="E2710" s="35" t="n">
        <v>3.9</v>
      </c>
      <c r="F2710" s="35" t="n">
        <v>3.3</v>
      </c>
      <c r="G2710" s="37" t="inlineStr">
        <is>
          <t>Y</t>
        </is>
      </c>
      <c r="H2710" s="37" t="inlineStr">
        <is>
          <t>N</t>
        </is>
      </c>
      <c r="I2710" s="37">
        <f>COUNTIF(G$5:G2710,"Y")/COUNTA(G$5:G2710)</f>
        <v/>
      </c>
      <c r="J2710" s="37">
        <f>COUNTIF(H$5:H2710,"Y")/COUNTA(H$5:H2710)</f>
        <v/>
      </c>
      <c r="K2710" s="37">
        <f>AVERAGE(F$5:F2710)</f>
        <v/>
      </c>
      <c r="L2710" s="37">
        <f>SUM(F$5:F2710)/SUM(E$5:E2710)</f>
        <v/>
      </c>
    </row>
    <row r="2711">
      <c r="A2711" s="29" t="n">
        <v>46070</v>
      </c>
      <c r="B2711" s="37" t="inlineStr">
        <is>
          <t>JOB-3707</t>
        </is>
      </c>
      <c r="C2711" s="34" t="n">
        <v>1</v>
      </c>
      <c r="D2711" s="37" t="inlineStr">
        <is>
          <t>Tech B</t>
        </is>
      </c>
      <c r="E2711" s="35" t="n">
        <v>5.1</v>
      </c>
      <c r="F2711" s="35" t="n">
        <v>3.6</v>
      </c>
      <c r="G2711" s="37" t="inlineStr">
        <is>
          <t>Y</t>
        </is>
      </c>
      <c r="H2711" s="37" t="inlineStr">
        <is>
          <t>N</t>
        </is>
      </c>
      <c r="I2711" s="37">
        <f>COUNTIF(G$5:G2711,"Y")/COUNTA(G$5:G2711)</f>
        <v/>
      </c>
      <c r="J2711" s="37">
        <f>COUNTIF(H$5:H2711,"Y")/COUNTA(H$5:H2711)</f>
        <v/>
      </c>
      <c r="K2711" s="37">
        <f>AVERAGE(F$5:F2711)</f>
        <v/>
      </c>
      <c r="L2711" s="37">
        <f>SUM(F$5:F2711)/SUM(E$5:E2711)</f>
        <v/>
      </c>
    </row>
    <row r="2712">
      <c r="A2712" s="29" t="n">
        <v>46071</v>
      </c>
      <c r="B2712" s="37" t="inlineStr">
        <is>
          <t>JOB-3708</t>
        </is>
      </c>
      <c r="C2712" s="34" t="n">
        <v>1</v>
      </c>
      <c r="D2712" s="37" t="inlineStr">
        <is>
          <t>Tech F</t>
        </is>
      </c>
      <c r="E2712" s="35" t="n">
        <v>2.2</v>
      </c>
      <c r="F2712" s="35" t="n">
        <v>2</v>
      </c>
      <c r="G2712" s="37" t="inlineStr">
        <is>
          <t>Y</t>
        </is>
      </c>
      <c r="H2712" s="37" t="inlineStr">
        <is>
          <t>N</t>
        </is>
      </c>
      <c r="I2712" s="37">
        <f>COUNTIF(G$5:G2712,"Y")/COUNTA(G$5:G2712)</f>
        <v/>
      </c>
      <c r="J2712" s="37">
        <f>COUNTIF(H$5:H2712,"Y")/COUNTA(H$5:H2712)</f>
        <v/>
      </c>
      <c r="K2712" s="37">
        <f>AVERAGE(F$5:F2712)</f>
        <v/>
      </c>
      <c r="L2712" s="37">
        <f>SUM(F$5:F2712)/SUM(E$5:E2712)</f>
        <v/>
      </c>
    </row>
    <row r="2713">
      <c r="A2713" s="29" t="n">
        <v>46072</v>
      </c>
      <c r="B2713" s="37" t="inlineStr">
        <is>
          <t>JOB-3709</t>
        </is>
      </c>
      <c r="C2713" s="34" t="n">
        <v>1</v>
      </c>
      <c r="D2713" s="37" t="inlineStr">
        <is>
          <t>Tech G</t>
        </is>
      </c>
      <c r="E2713" s="35" t="n">
        <v>3.5</v>
      </c>
      <c r="F2713" s="35" t="n">
        <v>2.7</v>
      </c>
      <c r="G2713" s="37" t="inlineStr">
        <is>
          <t>Y</t>
        </is>
      </c>
      <c r="H2713" s="37" t="inlineStr">
        <is>
          <t>N</t>
        </is>
      </c>
      <c r="I2713" s="37">
        <f>COUNTIF(G$5:G2713,"Y")/COUNTA(G$5:G2713)</f>
        <v/>
      </c>
      <c r="J2713" s="37">
        <f>COUNTIF(H$5:H2713,"Y")/COUNTA(H$5:H2713)</f>
        <v/>
      </c>
      <c r="K2713" s="37">
        <f>AVERAGE(F$5:F2713)</f>
        <v/>
      </c>
      <c r="L2713" s="37">
        <f>SUM(F$5:F2713)/SUM(E$5:E2713)</f>
        <v/>
      </c>
    </row>
    <row r="2714">
      <c r="A2714" s="29" t="n">
        <v>46073</v>
      </c>
      <c r="B2714" s="37" t="inlineStr">
        <is>
          <t>JOB-3710</t>
        </is>
      </c>
      <c r="C2714" s="34" t="n">
        <v>1</v>
      </c>
      <c r="D2714" s="37" t="inlineStr">
        <is>
          <t>Tech B</t>
        </is>
      </c>
      <c r="E2714" s="35" t="n">
        <v>3.1</v>
      </c>
      <c r="F2714" s="35" t="n">
        <v>2.7</v>
      </c>
      <c r="G2714" s="37" t="inlineStr">
        <is>
          <t>N</t>
        </is>
      </c>
      <c r="H2714" s="37" t="inlineStr">
        <is>
          <t>N</t>
        </is>
      </c>
      <c r="I2714" s="37">
        <f>COUNTIF(G$5:G2714,"Y")/COUNTA(G$5:G2714)</f>
        <v/>
      </c>
      <c r="J2714" s="37">
        <f>COUNTIF(H$5:H2714,"Y")/COUNTA(H$5:H2714)</f>
        <v/>
      </c>
      <c r="K2714" s="37">
        <f>AVERAGE(F$5:F2714)</f>
        <v/>
      </c>
      <c r="L2714" s="37">
        <f>SUM(F$5:F2714)/SUM(E$5:E2714)</f>
        <v/>
      </c>
    </row>
    <row r="2715">
      <c r="A2715" s="29" t="n">
        <v>46069</v>
      </c>
      <c r="B2715" s="37" t="inlineStr">
        <is>
          <t>JOB-3711</t>
        </is>
      </c>
      <c r="C2715" s="34" t="n">
        <v>1</v>
      </c>
      <c r="D2715" s="37" t="inlineStr">
        <is>
          <t>Tech B</t>
        </is>
      </c>
      <c r="E2715" s="35" t="n">
        <v>2.1</v>
      </c>
      <c r="F2715" s="35" t="n">
        <v>1.5</v>
      </c>
      <c r="G2715" s="37" t="inlineStr">
        <is>
          <t>Y</t>
        </is>
      </c>
      <c r="H2715" s="37" t="inlineStr">
        <is>
          <t>N</t>
        </is>
      </c>
      <c r="I2715" s="37">
        <f>COUNTIF(G$5:G2715,"Y")/COUNTA(G$5:G2715)</f>
        <v/>
      </c>
      <c r="J2715" s="37">
        <f>COUNTIF(H$5:H2715,"Y")/COUNTA(H$5:H2715)</f>
        <v/>
      </c>
      <c r="K2715" s="37">
        <f>AVERAGE(F$5:F2715)</f>
        <v/>
      </c>
      <c r="L2715" s="37">
        <f>SUM(F$5:F2715)/SUM(E$5:E2715)</f>
        <v/>
      </c>
    </row>
    <row r="2716">
      <c r="A2716" s="29" t="n">
        <v>46070</v>
      </c>
      <c r="B2716" s="37" t="inlineStr">
        <is>
          <t>JOB-3712</t>
        </is>
      </c>
      <c r="C2716" s="34" t="n">
        <v>1</v>
      </c>
      <c r="D2716" s="37" t="inlineStr">
        <is>
          <t>Tech H</t>
        </is>
      </c>
      <c r="E2716" s="35" t="n">
        <v>1.7</v>
      </c>
      <c r="F2716" s="35" t="n">
        <v>1.4</v>
      </c>
      <c r="G2716" s="37" t="inlineStr">
        <is>
          <t>Y</t>
        </is>
      </c>
      <c r="H2716" s="37" t="inlineStr">
        <is>
          <t>N</t>
        </is>
      </c>
      <c r="I2716" s="37">
        <f>COUNTIF(G$5:G2716,"Y")/COUNTA(G$5:G2716)</f>
        <v/>
      </c>
      <c r="J2716" s="37">
        <f>COUNTIF(H$5:H2716,"Y")/COUNTA(H$5:H2716)</f>
        <v/>
      </c>
      <c r="K2716" s="37">
        <f>AVERAGE(F$5:F2716)</f>
        <v/>
      </c>
      <c r="L2716" s="37">
        <f>SUM(F$5:F2716)/SUM(E$5:E2716)</f>
        <v/>
      </c>
    </row>
    <row r="2717">
      <c r="A2717" s="29" t="n">
        <v>46071</v>
      </c>
      <c r="B2717" s="37" t="inlineStr">
        <is>
          <t>JOB-3713</t>
        </is>
      </c>
      <c r="C2717" s="34" t="n">
        <v>1</v>
      </c>
      <c r="D2717" s="37" t="inlineStr">
        <is>
          <t>Tech C</t>
        </is>
      </c>
      <c r="E2717" s="35" t="n">
        <v>1.6</v>
      </c>
      <c r="F2717" s="35" t="n">
        <v>1.4</v>
      </c>
      <c r="G2717" s="37" t="inlineStr">
        <is>
          <t>Y</t>
        </is>
      </c>
      <c r="H2717" s="37" t="inlineStr">
        <is>
          <t>N</t>
        </is>
      </c>
      <c r="I2717" s="37">
        <f>COUNTIF(G$5:G2717,"Y")/COUNTA(G$5:G2717)</f>
        <v/>
      </c>
      <c r="J2717" s="37">
        <f>COUNTIF(H$5:H2717,"Y")/COUNTA(H$5:H2717)</f>
        <v/>
      </c>
      <c r="K2717" s="37">
        <f>AVERAGE(F$5:F2717)</f>
        <v/>
      </c>
      <c r="L2717" s="37">
        <f>SUM(F$5:F2717)/SUM(E$5:E2717)</f>
        <v/>
      </c>
    </row>
    <row r="2718">
      <c r="A2718" s="29" t="n">
        <v>46072</v>
      </c>
      <c r="B2718" s="37" t="inlineStr">
        <is>
          <t>JOB-3714</t>
        </is>
      </c>
      <c r="C2718" s="34" t="n">
        <v>1</v>
      </c>
      <c r="D2718" s="37" t="inlineStr">
        <is>
          <t>Tech G</t>
        </is>
      </c>
      <c r="E2718" s="35" t="n">
        <v>3.6</v>
      </c>
      <c r="F2718" s="35" t="n">
        <v>2.6</v>
      </c>
      <c r="G2718" s="37" t="inlineStr">
        <is>
          <t>Y</t>
        </is>
      </c>
      <c r="H2718" s="37" t="inlineStr">
        <is>
          <t>N</t>
        </is>
      </c>
      <c r="I2718" s="37">
        <f>COUNTIF(G$5:G2718,"Y")/COUNTA(G$5:G2718)</f>
        <v/>
      </c>
      <c r="J2718" s="37">
        <f>COUNTIF(H$5:H2718,"Y")/COUNTA(H$5:H2718)</f>
        <v/>
      </c>
      <c r="K2718" s="37">
        <f>AVERAGE(F$5:F2718)</f>
        <v/>
      </c>
      <c r="L2718" s="37">
        <f>SUM(F$5:F2718)/SUM(E$5:E2718)</f>
        <v/>
      </c>
    </row>
    <row r="2719">
      <c r="A2719" s="29" t="n">
        <v>46073</v>
      </c>
      <c r="B2719" s="37" t="inlineStr">
        <is>
          <t>JOB-3715</t>
        </is>
      </c>
      <c r="C2719" s="34" t="n">
        <v>1</v>
      </c>
      <c r="D2719" s="37" t="inlineStr">
        <is>
          <t>Tech A</t>
        </is>
      </c>
      <c r="E2719" s="35" t="n">
        <v>2.9</v>
      </c>
      <c r="F2719" s="35" t="n">
        <v>2.1</v>
      </c>
      <c r="G2719" s="37" t="inlineStr">
        <is>
          <t>Y</t>
        </is>
      </c>
      <c r="H2719" s="37" t="inlineStr">
        <is>
          <t>N</t>
        </is>
      </c>
      <c r="I2719" s="37">
        <f>COUNTIF(G$5:G2719,"Y")/COUNTA(G$5:G2719)</f>
        <v/>
      </c>
      <c r="J2719" s="37">
        <f>COUNTIF(H$5:H2719,"Y")/COUNTA(H$5:H2719)</f>
        <v/>
      </c>
      <c r="K2719" s="37">
        <f>AVERAGE(F$5:F2719)</f>
        <v/>
      </c>
      <c r="L2719" s="37">
        <f>SUM(F$5:F2719)/SUM(E$5:E2719)</f>
        <v/>
      </c>
    </row>
    <row r="2720">
      <c r="A2720" s="29" t="n">
        <v>46069</v>
      </c>
      <c r="B2720" s="37" t="inlineStr">
        <is>
          <t>JOB-3716</t>
        </is>
      </c>
      <c r="C2720" s="34" t="n">
        <v>1</v>
      </c>
      <c r="D2720" s="37" t="inlineStr">
        <is>
          <t>Tech A</t>
        </is>
      </c>
      <c r="E2720" s="35" t="n">
        <v>4.8</v>
      </c>
      <c r="F2720" s="35" t="n">
        <v>3.2</v>
      </c>
      <c r="G2720" s="37" t="inlineStr">
        <is>
          <t>N</t>
        </is>
      </c>
      <c r="H2720" s="37" t="inlineStr">
        <is>
          <t>N</t>
        </is>
      </c>
      <c r="I2720" s="37">
        <f>COUNTIF(G$5:G2720,"Y")/COUNTA(G$5:G2720)</f>
        <v/>
      </c>
      <c r="J2720" s="37">
        <f>COUNTIF(H$5:H2720,"Y")/COUNTA(H$5:H2720)</f>
        <v/>
      </c>
      <c r="K2720" s="37">
        <f>AVERAGE(F$5:F2720)</f>
        <v/>
      </c>
      <c r="L2720" s="37">
        <f>SUM(F$5:F2720)/SUM(E$5:E2720)</f>
        <v/>
      </c>
    </row>
    <row r="2721">
      <c r="A2721" s="29" t="n">
        <v>46070</v>
      </c>
      <c r="B2721" s="37" t="inlineStr">
        <is>
          <t>JOB-3717</t>
        </is>
      </c>
      <c r="C2721" s="34" t="n">
        <v>1</v>
      </c>
      <c r="D2721" s="37" t="inlineStr">
        <is>
          <t>Tech C</t>
        </is>
      </c>
      <c r="E2721" s="35" t="n">
        <v>2.4</v>
      </c>
      <c r="F2721" s="35" t="n">
        <v>1.8</v>
      </c>
      <c r="G2721" s="37" t="inlineStr">
        <is>
          <t>Y</t>
        </is>
      </c>
      <c r="H2721" s="37" t="inlineStr">
        <is>
          <t>N</t>
        </is>
      </c>
      <c r="I2721" s="37">
        <f>COUNTIF(G$5:G2721,"Y")/COUNTA(G$5:G2721)</f>
        <v/>
      </c>
      <c r="J2721" s="37">
        <f>COUNTIF(H$5:H2721,"Y")/COUNTA(H$5:H2721)</f>
        <v/>
      </c>
      <c r="K2721" s="37">
        <f>AVERAGE(F$5:F2721)</f>
        <v/>
      </c>
      <c r="L2721" s="37">
        <f>SUM(F$5:F2721)/SUM(E$5:E2721)</f>
        <v/>
      </c>
    </row>
    <row r="2722">
      <c r="A2722" s="29" t="n">
        <v>46071</v>
      </c>
      <c r="B2722" s="37" t="inlineStr">
        <is>
          <t>JOB-3718</t>
        </is>
      </c>
      <c r="C2722" s="34" t="n">
        <v>1</v>
      </c>
      <c r="D2722" s="37" t="inlineStr">
        <is>
          <t>Tech G</t>
        </is>
      </c>
      <c r="E2722" s="35" t="n">
        <v>1.7</v>
      </c>
      <c r="F2722" s="35" t="n">
        <v>1.3</v>
      </c>
      <c r="G2722" s="37" t="inlineStr">
        <is>
          <t>Y</t>
        </is>
      </c>
      <c r="H2722" s="37" t="inlineStr">
        <is>
          <t>N</t>
        </is>
      </c>
      <c r="I2722" s="37">
        <f>COUNTIF(G$5:G2722,"Y")/COUNTA(G$5:G2722)</f>
        <v/>
      </c>
      <c r="J2722" s="37">
        <f>COUNTIF(H$5:H2722,"Y")/COUNTA(H$5:H2722)</f>
        <v/>
      </c>
      <c r="K2722" s="37">
        <f>AVERAGE(F$5:F2722)</f>
        <v/>
      </c>
      <c r="L2722" s="37">
        <f>SUM(F$5:F2722)/SUM(E$5:E2722)</f>
        <v/>
      </c>
    </row>
    <row r="2723">
      <c r="A2723" s="29" t="n">
        <v>46072</v>
      </c>
      <c r="B2723" s="37" t="inlineStr">
        <is>
          <t>JOB-3719</t>
        </is>
      </c>
      <c r="C2723" s="34" t="n">
        <v>1</v>
      </c>
      <c r="D2723" s="37" t="inlineStr">
        <is>
          <t>Tech G</t>
        </is>
      </c>
      <c r="E2723" s="35" t="n">
        <v>3.7</v>
      </c>
      <c r="F2723" s="35" t="n">
        <v>3.2</v>
      </c>
      <c r="G2723" s="37" t="inlineStr">
        <is>
          <t>N</t>
        </is>
      </c>
      <c r="H2723" s="37" t="inlineStr">
        <is>
          <t>N</t>
        </is>
      </c>
      <c r="I2723" s="37">
        <f>COUNTIF(G$5:G2723,"Y")/COUNTA(G$5:G2723)</f>
        <v/>
      </c>
      <c r="J2723" s="37">
        <f>COUNTIF(H$5:H2723,"Y")/COUNTA(H$5:H2723)</f>
        <v/>
      </c>
      <c r="K2723" s="37">
        <f>AVERAGE(F$5:F2723)</f>
        <v/>
      </c>
      <c r="L2723" s="37">
        <f>SUM(F$5:F2723)/SUM(E$5:E2723)</f>
        <v/>
      </c>
    </row>
    <row r="2724">
      <c r="A2724" s="29" t="n">
        <v>46073</v>
      </c>
      <c r="B2724" s="37" t="inlineStr">
        <is>
          <t>JOB-3720</t>
        </is>
      </c>
      <c r="C2724" s="34" t="n">
        <v>1</v>
      </c>
      <c r="D2724" s="37" t="inlineStr">
        <is>
          <t>Tech B</t>
        </is>
      </c>
      <c r="E2724" s="35" t="n">
        <v>3.9</v>
      </c>
      <c r="F2724" s="35" t="n">
        <v>3.4</v>
      </c>
      <c r="G2724" s="37" t="inlineStr">
        <is>
          <t>Y</t>
        </is>
      </c>
      <c r="H2724" s="37" t="inlineStr">
        <is>
          <t>N</t>
        </is>
      </c>
      <c r="I2724" s="37">
        <f>COUNTIF(G$5:G2724,"Y")/COUNTA(G$5:G2724)</f>
        <v/>
      </c>
      <c r="J2724" s="37">
        <f>COUNTIF(H$5:H2724,"Y")/COUNTA(H$5:H2724)</f>
        <v/>
      </c>
      <c r="K2724" s="37">
        <f>AVERAGE(F$5:F2724)</f>
        <v/>
      </c>
      <c r="L2724" s="37">
        <f>SUM(F$5:F2724)/SUM(E$5:E2724)</f>
        <v/>
      </c>
    </row>
    <row r="2725">
      <c r="A2725" s="29" t="n">
        <v>46069</v>
      </c>
      <c r="B2725" s="37" t="inlineStr">
        <is>
          <t>JOB-3721</t>
        </is>
      </c>
      <c r="C2725" s="34" t="n">
        <v>1</v>
      </c>
      <c r="D2725" s="37" t="inlineStr">
        <is>
          <t>Tech G</t>
        </is>
      </c>
      <c r="E2725" s="35" t="n">
        <v>4</v>
      </c>
      <c r="F2725" s="35" t="n">
        <v>3.4</v>
      </c>
      <c r="G2725" s="37" t="inlineStr">
        <is>
          <t>Y</t>
        </is>
      </c>
      <c r="H2725" s="37" t="inlineStr">
        <is>
          <t>N</t>
        </is>
      </c>
      <c r="I2725" s="37">
        <f>COUNTIF(G$5:G2725,"Y")/COUNTA(G$5:G2725)</f>
        <v/>
      </c>
      <c r="J2725" s="37">
        <f>COUNTIF(H$5:H2725,"Y")/COUNTA(H$5:H2725)</f>
        <v/>
      </c>
      <c r="K2725" s="37">
        <f>AVERAGE(F$5:F2725)</f>
        <v/>
      </c>
      <c r="L2725" s="37">
        <f>SUM(F$5:F2725)/SUM(E$5:E2725)</f>
        <v/>
      </c>
    </row>
    <row r="2726">
      <c r="A2726" s="29" t="n">
        <v>46070</v>
      </c>
      <c r="B2726" s="37" t="inlineStr">
        <is>
          <t>JOB-3722</t>
        </is>
      </c>
      <c r="C2726" s="34" t="n">
        <v>1</v>
      </c>
      <c r="D2726" s="37" t="inlineStr">
        <is>
          <t>Tech C</t>
        </is>
      </c>
      <c r="E2726" s="35" t="n">
        <v>1.5</v>
      </c>
      <c r="F2726" s="35" t="n">
        <v>1.2</v>
      </c>
      <c r="G2726" s="37" t="inlineStr">
        <is>
          <t>Y</t>
        </is>
      </c>
      <c r="H2726" s="37" t="inlineStr">
        <is>
          <t>N</t>
        </is>
      </c>
      <c r="I2726" s="37">
        <f>COUNTIF(G$5:G2726,"Y")/COUNTA(G$5:G2726)</f>
        <v/>
      </c>
      <c r="J2726" s="37">
        <f>COUNTIF(H$5:H2726,"Y")/COUNTA(H$5:H2726)</f>
        <v/>
      </c>
      <c r="K2726" s="37">
        <f>AVERAGE(F$5:F2726)</f>
        <v/>
      </c>
      <c r="L2726" s="37">
        <f>SUM(F$5:F2726)/SUM(E$5:E2726)</f>
        <v/>
      </c>
    </row>
    <row r="2727">
      <c r="A2727" s="29" t="n">
        <v>46071</v>
      </c>
      <c r="B2727" s="37" t="inlineStr">
        <is>
          <t>JOB-3723</t>
        </is>
      </c>
      <c r="C2727" s="34" t="n">
        <v>1</v>
      </c>
      <c r="D2727" s="37" t="inlineStr">
        <is>
          <t>Tech D</t>
        </is>
      </c>
      <c r="E2727" s="35" t="n">
        <v>2.9</v>
      </c>
      <c r="F2727" s="35" t="n">
        <v>2.6</v>
      </c>
      <c r="G2727" s="37" t="inlineStr">
        <is>
          <t>Y</t>
        </is>
      </c>
      <c r="H2727" s="37" t="inlineStr">
        <is>
          <t>N</t>
        </is>
      </c>
      <c r="I2727" s="37">
        <f>COUNTIF(G$5:G2727,"Y")/COUNTA(G$5:G2727)</f>
        <v/>
      </c>
      <c r="J2727" s="37">
        <f>COUNTIF(H$5:H2727,"Y")/COUNTA(H$5:H2727)</f>
        <v/>
      </c>
      <c r="K2727" s="37">
        <f>AVERAGE(F$5:F2727)</f>
        <v/>
      </c>
      <c r="L2727" s="37">
        <f>SUM(F$5:F2727)/SUM(E$5:E2727)</f>
        <v/>
      </c>
    </row>
    <row r="2728">
      <c r="A2728" s="29" t="n">
        <v>46072</v>
      </c>
      <c r="B2728" s="37" t="inlineStr">
        <is>
          <t>JOB-3724</t>
        </is>
      </c>
      <c r="C2728" s="34" t="n">
        <v>1</v>
      </c>
      <c r="D2728" s="37" t="inlineStr">
        <is>
          <t>Tech D</t>
        </is>
      </c>
      <c r="E2728" s="35" t="n">
        <v>1.6</v>
      </c>
      <c r="F2728" s="35" t="n">
        <v>1.4</v>
      </c>
      <c r="G2728" s="37" t="inlineStr">
        <is>
          <t>Y</t>
        </is>
      </c>
      <c r="H2728" s="37" t="inlineStr">
        <is>
          <t>N</t>
        </is>
      </c>
      <c r="I2728" s="37">
        <f>COUNTIF(G$5:G2728,"Y")/COUNTA(G$5:G2728)</f>
        <v/>
      </c>
      <c r="J2728" s="37">
        <f>COUNTIF(H$5:H2728,"Y")/COUNTA(H$5:H2728)</f>
        <v/>
      </c>
      <c r="K2728" s="37">
        <f>AVERAGE(F$5:F2728)</f>
        <v/>
      </c>
      <c r="L2728" s="37">
        <f>SUM(F$5:F2728)/SUM(E$5:E2728)</f>
        <v/>
      </c>
    </row>
    <row r="2729">
      <c r="A2729" s="29" t="n">
        <v>46073</v>
      </c>
      <c r="B2729" s="37" t="inlineStr">
        <is>
          <t>JOB-3725</t>
        </is>
      </c>
      <c r="C2729" s="34" t="n">
        <v>1</v>
      </c>
      <c r="D2729" s="37" t="inlineStr">
        <is>
          <t>Tech B</t>
        </is>
      </c>
      <c r="E2729" s="35" t="n">
        <v>3.5</v>
      </c>
      <c r="F2729" s="35" t="n">
        <v>2.7</v>
      </c>
      <c r="G2729" s="37" t="inlineStr">
        <is>
          <t>Y</t>
        </is>
      </c>
      <c r="H2729" s="37" t="inlineStr">
        <is>
          <t>N</t>
        </is>
      </c>
      <c r="I2729" s="37">
        <f>COUNTIF(G$5:G2729,"Y")/COUNTA(G$5:G2729)</f>
        <v/>
      </c>
      <c r="J2729" s="37">
        <f>COUNTIF(H$5:H2729,"Y")/COUNTA(H$5:H2729)</f>
        <v/>
      </c>
      <c r="K2729" s="37">
        <f>AVERAGE(F$5:F2729)</f>
        <v/>
      </c>
      <c r="L2729" s="37">
        <f>SUM(F$5:F2729)/SUM(E$5:E2729)</f>
        <v/>
      </c>
    </row>
    <row r="2730">
      <c r="A2730" s="29" t="n">
        <v>46069</v>
      </c>
      <c r="B2730" s="37" t="inlineStr">
        <is>
          <t>JOB-3726</t>
        </is>
      </c>
      <c r="C2730" s="34" t="n">
        <v>1</v>
      </c>
      <c r="D2730" s="37" t="inlineStr">
        <is>
          <t>Tech D</t>
        </is>
      </c>
      <c r="E2730" s="35" t="n">
        <v>4.9</v>
      </c>
      <c r="F2730" s="35" t="n">
        <v>3.3</v>
      </c>
      <c r="G2730" s="37" t="inlineStr">
        <is>
          <t>N</t>
        </is>
      </c>
      <c r="H2730" s="37" t="inlineStr">
        <is>
          <t>N</t>
        </is>
      </c>
      <c r="I2730" s="37">
        <f>COUNTIF(G$5:G2730,"Y")/COUNTA(G$5:G2730)</f>
        <v/>
      </c>
      <c r="J2730" s="37">
        <f>COUNTIF(H$5:H2730,"Y")/COUNTA(H$5:H2730)</f>
        <v/>
      </c>
      <c r="K2730" s="37">
        <f>AVERAGE(F$5:F2730)</f>
        <v/>
      </c>
      <c r="L2730" s="37">
        <f>SUM(F$5:F2730)/SUM(E$5:E2730)</f>
        <v/>
      </c>
    </row>
    <row r="2731">
      <c r="A2731" s="29" t="n">
        <v>46070</v>
      </c>
      <c r="B2731" s="37" t="inlineStr">
        <is>
          <t>JOB-3727</t>
        </is>
      </c>
      <c r="C2731" s="34" t="n">
        <v>1</v>
      </c>
      <c r="D2731" s="37" t="inlineStr">
        <is>
          <t>Tech A</t>
        </is>
      </c>
      <c r="E2731" s="35" t="n">
        <v>2.5</v>
      </c>
      <c r="F2731" s="35" t="n">
        <v>1.8</v>
      </c>
      <c r="G2731" s="37" t="inlineStr">
        <is>
          <t>Y</t>
        </is>
      </c>
      <c r="H2731" s="37" t="inlineStr">
        <is>
          <t>N</t>
        </is>
      </c>
      <c r="I2731" s="37">
        <f>COUNTIF(G$5:G2731,"Y")/COUNTA(G$5:G2731)</f>
        <v/>
      </c>
      <c r="J2731" s="37">
        <f>COUNTIF(H$5:H2731,"Y")/COUNTA(H$5:H2731)</f>
        <v/>
      </c>
      <c r="K2731" s="37">
        <f>AVERAGE(F$5:F2731)</f>
        <v/>
      </c>
      <c r="L2731" s="37">
        <f>SUM(F$5:F2731)/SUM(E$5:E2731)</f>
        <v/>
      </c>
    </row>
    <row r="2732">
      <c r="A2732" s="29" t="n">
        <v>46071</v>
      </c>
      <c r="B2732" s="37" t="inlineStr">
        <is>
          <t>JOB-3728</t>
        </is>
      </c>
      <c r="C2732" s="34" t="n">
        <v>1</v>
      </c>
      <c r="D2732" s="37" t="inlineStr">
        <is>
          <t>Tech H</t>
        </is>
      </c>
      <c r="E2732" s="35" t="n">
        <v>5.1</v>
      </c>
      <c r="F2732" s="35" t="n">
        <v>3.5</v>
      </c>
      <c r="G2732" s="37" t="inlineStr">
        <is>
          <t>Y</t>
        </is>
      </c>
      <c r="H2732" s="37" t="inlineStr">
        <is>
          <t>N</t>
        </is>
      </c>
      <c r="I2732" s="37">
        <f>COUNTIF(G$5:G2732,"Y")/COUNTA(G$5:G2732)</f>
        <v/>
      </c>
      <c r="J2732" s="37">
        <f>COUNTIF(H$5:H2732,"Y")/COUNTA(H$5:H2732)</f>
        <v/>
      </c>
      <c r="K2732" s="37">
        <f>AVERAGE(F$5:F2732)</f>
        <v/>
      </c>
      <c r="L2732" s="37">
        <f>SUM(F$5:F2732)/SUM(E$5:E2732)</f>
        <v/>
      </c>
    </row>
    <row r="2733">
      <c r="A2733" s="29" t="n">
        <v>46072</v>
      </c>
      <c r="B2733" s="37" t="inlineStr">
        <is>
          <t>JOB-3729</t>
        </is>
      </c>
      <c r="C2733" s="34" t="n">
        <v>1</v>
      </c>
      <c r="D2733" s="37" t="inlineStr">
        <is>
          <t>Tech B</t>
        </is>
      </c>
      <c r="E2733" s="35" t="n">
        <v>4.1</v>
      </c>
      <c r="F2733" s="35" t="n">
        <v>2.9</v>
      </c>
      <c r="G2733" s="37" t="inlineStr">
        <is>
          <t>Y</t>
        </is>
      </c>
      <c r="H2733" s="37" t="inlineStr">
        <is>
          <t>N</t>
        </is>
      </c>
      <c r="I2733" s="37">
        <f>COUNTIF(G$5:G2733,"Y")/COUNTA(G$5:G2733)</f>
        <v/>
      </c>
      <c r="J2733" s="37">
        <f>COUNTIF(H$5:H2733,"Y")/COUNTA(H$5:H2733)</f>
        <v/>
      </c>
      <c r="K2733" s="37">
        <f>AVERAGE(F$5:F2733)</f>
        <v/>
      </c>
      <c r="L2733" s="37">
        <f>SUM(F$5:F2733)/SUM(E$5:E2733)</f>
        <v/>
      </c>
    </row>
    <row r="2734">
      <c r="A2734" s="29" t="n">
        <v>46073</v>
      </c>
      <c r="B2734" s="37" t="inlineStr">
        <is>
          <t>JOB-3730</t>
        </is>
      </c>
      <c r="C2734" s="34" t="n">
        <v>1</v>
      </c>
      <c r="D2734" s="37" t="inlineStr">
        <is>
          <t>Tech B</t>
        </is>
      </c>
      <c r="E2734" s="35" t="n">
        <v>1</v>
      </c>
      <c r="F2734" s="35" t="n">
        <v>0.8</v>
      </c>
      <c r="G2734" s="37" t="inlineStr">
        <is>
          <t>Y</t>
        </is>
      </c>
      <c r="H2734" s="37" t="inlineStr">
        <is>
          <t>N</t>
        </is>
      </c>
      <c r="I2734" s="37">
        <f>COUNTIF(G$5:G2734,"Y")/COUNTA(G$5:G2734)</f>
        <v/>
      </c>
      <c r="J2734" s="37">
        <f>COUNTIF(H$5:H2734,"Y")/COUNTA(H$5:H2734)</f>
        <v/>
      </c>
      <c r="K2734" s="37">
        <f>AVERAGE(F$5:F2734)</f>
        <v/>
      </c>
      <c r="L2734" s="37">
        <f>SUM(F$5:F2734)/SUM(E$5:E2734)</f>
        <v/>
      </c>
    </row>
    <row r="2735">
      <c r="A2735" s="29" t="n">
        <v>46069</v>
      </c>
      <c r="B2735" s="37" t="inlineStr">
        <is>
          <t>JOB-3731</t>
        </is>
      </c>
      <c r="C2735" s="34" t="n">
        <v>1</v>
      </c>
      <c r="D2735" s="37" t="inlineStr">
        <is>
          <t>Tech B</t>
        </is>
      </c>
      <c r="E2735" s="35" t="n">
        <v>0.6</v>
      </c>
      <c r="F2735" s="35" t="n">
        <v>0.5</v>
      </c>
      <c r="G2735" s="37" t="inlineStr">
        <is>
          <t>Y</t>
        </is>
      </c>
      <c r="H2735" s="37" t="inlineStr">
        <is>
          <t>N</t>
        </is>
      </c>
      <c r="I2735" s="37">
        <f>COUNTIF(G$5:G2735,"Y")/COUNTA(G$5:G2735)</f>
        <v/>
      </c>
      <c r="J2735" s="37">
        <f>COUNTIF(H$5:H2735,"Y")/COUNTA(H$5:H2735)</f>
        <v/>
      </c>
      <c r="K2735" s="37">
        <f>AVERAGE(F$5:F2735)</f>
        <v/>
      </c>
      <c r="L2735" s="37">
        <f>SUM(F$5:F2735)/SUM(E$5:E2735)</f>
        <v/>
      </c>
    </row>
    <row r="2736">
      <c r="A2736" s="29" t="n">
        <v>46070</v>
      </c>
      <c r="B2736" s="37" t="inlineStr">
        <is>
          <t>JOB-3732</t>
        </is>
      </c>
      <c r="C2736" s="34" t="n">
        <v>1</v>
      </c>
      <c r="D2736" s="37" t="inlineStr">
        <is>
          <t>Tech C</t>
        </is>
      </c>
      <c r="E2736" s="35" t="n">
        <v>0.6</v>
      </c>
      <c r="F2736" s="35" t="n">
        <v>0.5</v>
      </c>
      <c r="G2736" s="37" t="inlineStr">
        <is>
          <t>Y</t>
        </is>
      </c>
      <c r="H2736" s="37" t="inlineStr">
        <is>
          <t>N</t>
        </is>
      </c>
      <c r="I2736" s="37">
        <f>COUNTIF(G$5:G2736,"Y")/COUNTA(G$5:G2736)</f>
        <v/>
      </c>
      <c r="J2736" s="37">
        <f>COUNTIF(H$5:H2736,"Y")/COUNTA(H$5:H2736)</f>
        <v/>
      </c>
      <c r="K2736" s="37">
        <f>AVERAGE(F$5:F2736)</f>
        <v/>
      </c>
      <c r="L2736" s="37">
        <f>SUM(F$5:F2736)/SUM(E$5:E2736)</f>
        <v/>
      </c>
    </row>
    <row r="2737">
      <c r="A2737" s="29" t="n">
        <v>46071</v>
      </c>
      <c r="B2737" s="37" t="inlineStr">
        <is>
          <t>JOB-3733</t>
        </is>
      </c>
      <c r="C2737" s="34" t="n">
        <v>1</v>
      </c>
      <c r="D2737" s="37" t="inlineStr">
        <is>
          <t>Tech C</t>
        </is>
      </c>
      <c r="E2737" s="35" t="n">
        <v>0.6</v>
      </c>
      <c r="F2737" s="35" t="n">
        <v>0.5</v>
      </c>
      <c r="G2737" s="37" t="inlineStr">
        <is>
          <t>Y</t>
        </is>
      </c>
      <c r="H2737" s="37" t="inlineStr">
        <is>
          <t>N</t>
        </is>
      </c>
      <c r="I2737" s="37">
        <f>COUNTIF(G$5:G2737,"Y")/COUNTA(G$5:G2737)</f>
        <v/>
      </c>
      <c r="J2737" s="37">
        <f>COUNTIF(H$5:H2737,"Y")/COUNTA(H$5:H2737)</f>
        <v/>
      </c>
      <c r="K2737" s="37">
        <f>AVERAGE(F$5:F2737)</f>
        <v/>
      </c>
      <c r="L2737" s="37">
        <f>SUM(F$5:F2737)/SUM(E$5:E2737)</f>
        <v/>
      </c>
    </row>
    <row r="2738">
      <c r="A2738" s="29" t="n">
        <v>46072</v>
      </c>
      <c r="B2738" s="37" t="inlineStr">
        <is>
          <t>JOB-3734</t>
        </is>
      </c>
      <c r="C2738" s="34" t="n">
        <v>1</v>
      </c>
      <c r="D2738" s="37" t="inlineStr">
        <is>
          <t>Tech A</t>
        </is>
      </c>
      <c r="E2738" s="35" t="n">
        <v>0.8</v>
      </c>
      <c r="F2738" s="35" t="n">
        <v>0.5</v>
      </c>
      <c r="G2738" s="37" t="inlineStr">
        <is>
          <t>Y</t>
        </is>
      </c>
      <c r="H2738" s="37" t="inlineStr">
        <is>
          <t>N</t>
        </is>
      </c>
      <c r="I2738" s="37">
        <f>COUNTIF(G$5:G2738,"Y")/COUNTA(G$5:G2738)</f>
        <v/>
      </c>
      <c r="J2738" s="37">
        <f>COUNTIF(H$5:H2738,"Y")/COUNTA(H$5:H2738)</f>
        <v/>
      </c>
      <c r="K2738" s="37">
        <f>AVERAGE(F$5:F2738)</f>
        <v/>
      </c>
      <c r="L2738" s="37">
        <f>SUM(F$5:F2738)/SUM(E$5:E2738)</f>
        <v/>
      </c>
    </row>
    <row r="2739">
      <c r="A2739" s="29" t="n">
        <v>46073</v>
      </c>
      <c r="B2739" s="37" t="inlineStr">
        <is>
          <t>JOB-3735</t>
        </is>
      </c>
      <c r="C2739" s="34" t="n">
        <v>1</v>
      </c>
      <c r="D2739" s="37" t="inlineStr">
        <is>
          <t>Tech B</t>
        </is>
      </c>
      <c r="E2739" s="35" t="n">
        <v>0.6</v>
      </c>
      <c r="F2739" s="35" t="n">
        <v>0.5</v>
      </c>
      <c r="G2739" s="37" t="inlineStr">
        <is>
          <t>Y</t>
        </is>
      </c>
      <c r="H2739" s="37" t="inlineStr">
        <is>
          <t>N</t>
        </is>
      </c>
      <c r="I2739" s="37">
        <f>COUNTIF(G$5:G2739,"Y")/COUNTA(G$5:G2739)</f>
        <v/>
      </c>
      <c r="J2739" s="37">
        <f>COUNTIF(H$5:H2739,"Y")/COUNTA(H$5:H2739)</f>
        <v/>
      </c>
      <c r="K2739" s="37">
        <f>AVERAGE(F$5:F2739)</f>
        <v/>
      </c>
      <c r="L2739" s="37">
        <f>SUM(F$5:F2739)/SUM(E$5:E2739)</f>
        <v/>
      </c>
    </row>
    <row r="2740">
      <c r="A2740" s="29" t="n">
        <v>46069</v>
      </c>
      <c r="B2740" s="37" t="inlineStr">
        <is>
          <t>JOB-3736</t>
        </is>
      </c>
      <c r="C2740" s="34" t="n">
        <v>1</v>
      </c>
      <c r="D2740" s="37" t="inlineStr">
        <is>
          <t>Tech B</t>
        </is>
      </c>
      <c r="E2740" s="35" t="n">
        <v>0.6</v>
      </c>
      <c r="F2740" s="35" t="n">
        <v>0.5</v>
      </c>
      <c r="G2740" s="37" t="inlineStr">
        <is>
          <t>Y</t>
        </is>
      </c>
      <c r="H2740" s="37" t="inlineStr">
        <is>
          <t>N</t>
        </is>
      </c>
      <c r="I2740" s="37">
        <f>COUNTIF(G$5:G2740,"Y")/COUNTA(G$5:G2740)</f>
        <v/>
      </c>
      <c r="J2740" s="37">
        <f>COUNTIF(H$5:H2740,"Y")/COUNTA(H$5:H2740)</f>
        <v/>
      </c>
      <c r="K2740" s="37">
        <f>AVERAGE(F$5:F2740)</f>
        <v/>
      </c>
      <c r="L2740" s="37">
        <f>SUM(F$5:F2740)/SUM(E$5:E2740)</f>
        <v/>
      </c>
    </row>
    <row r="2741">
      <c r="A2741" s="29" t="n">
        <v>46070</v>
      </c>
      <c r="B2741" s="37" t="inlineStr">
        <is>
          <t>JOB-3737</t>
        </is>
      </c>
      <c r="C2741" s="34" t="n">
        <v>1</v>
      </c>
      <c r="D2741" s="37" t="inlineStr">
        <is>
          <t>Tech G</t>
        </is>
      </c>
      <c r="E2741" s="35" t="n">
        <v>0.7</v>
      </c>
      <c r="F2741" s="35" t="n">
        <v>0.5</v>
      </c>
      <c r="G2741" s="37" t="inlineStr">
        <is>
          <t>Y</t>
        </is>
      </c>
      <c r="H2741" s="37" t="inlineStr">
        <is>
          <t>Y</t>
        </is>
      </c>
      <c r="I2741" s="37">
        <f>COUNTIF(G$5:G2741,"Y")/COUNTA(G$5:G2741)</f>
        <v/>
      </c>
      <c r="J2741" s="37">
        <f>COUNTIF(H$5:H2741,"Y")/COUNTA(H$5:H2741)</f>
        <v/>
      </c>
      <c r="K2741" s="37">
        <f>AVERAGE(F$5:F2741)</f>
        <v/>
      </c>
      <c r="L2741" s="37">
        <f>SUM(F$5:F2741)/SUM(E$5:E2741)</f>
        <v/>
      </c>
    </row>
    <row r="2742">
      <c r="A2742" s="29" t="n">
        <v>46071</v>
      </c>
      <c r="B2742" s="37" t="inlineStr">
        <is>
          <t>JOB-3738</t>
        </is>
      </c>
      <c r="C2742" s="34" t="n">
        <v>1</v>
      </c>
      <c r="D2742" s="37" t="inlineStr">
        <is>
          <t>Tech B</t>
        </is>
      </c>
      <c r="E2742" s="35" t="n">
        <v>0.7</v>
      </c>
      <c r="F2742" s="35" t="n">
        <v>0.5</v>
      </c>
      <c r="G2742" s="37" t="inlineStr">
        <is>
          <t>Y</t>
        </is>
      </c>
      <c r="H2742" s="37" t="inlineStr">
        <is>
          <t>N</t>
        </is>
      </c>
      <c r="I2742" s="37">
        <f>COUNTIF(G$5:G2742,"Y")/COUNTA(G$5:G2742)</f>
        <v/>
      </c>
      <c r="J2742" s="37">
        <f>COUNTIF(H$5:H2742,"Y")/COUNTA(H$5:H2742)</f>
        <v/>
      </c>
      <c r="K2742" s="37">
        <f>AVERAGE(F$5:F2742)</f>
        <v/>
      </c>
      <c r="L2742" s="37">
        <f>SUM(F$5:F2742)/SUM(E$5:E2742)</f>
        <v/>
      </c>
    </row>
    <row r="2743">
      <c r="A2743" s="29" t="n">
        <v>46072</v>
      </c>
      <c r="B2743" s="37" t="inlineStr">
        <is>
          <t>JOB-3739</t>
        </is>
      </c>
      <c r="C2743" s="34" t="n">
        <v>1</v>
      </c>
      <c r="D2743" s="37" t="inlineStr">
        <is>
          <t>Tech D</t>
        </is>
      </c>
      <c r="E2743" s="35" t="n">
        <v>1.5</v>
      </c>
      <c r="F2743" s="35" t="n">
        <v>0.5</v>
      </c>
      <c r="G2743" s="37" t="inlineStr">
        <is>
          <t>N</t>
        </is>
      </c>
      <c r="H2743" s="37" t="inlineStr">
        <is>
          <t>N</t>
        </is>
      </c>
      <c r="I2743" s="37">
        <f>COUNTIF(G$5:G2743,"Y")/COUNTA(G$5:G2743)</f>
        <v/>
      </c>
      <c r="J2743" s="37">
        <f>COUNTIF(H$5:H2743,"Y")/COUNTA(H$5:H2743)</f>
        <v/>
      </c>
      <c r="K2743" s="37">
        <f>AVERAGE(F$5:F2743)</f>
        <v/>
      </c>
      <c r="L2743" s="37">
        <f>SUM(F$5:F2743)/SUM(E$5:E2743)</f>
        <v/>
      </c>
      <c r="M2743" s="37" t="n">
        <v>10</v>
      </c>
    </row>
    <row r="2744">
      <c r="A2744" s="29" t="n">
        <v>46076</v>
      </c>
      <c r="B2744" s="37" t="inlineStr">
        <is>
          <t>JOB-3740</t>
        </is>
      </c>
      <c r="C2744" s="34" t="n">
        <v>1</v>
      </c>
      <c r="D2744" s="37" t="inlineStr">
        <is>
          <t>Tech B</t>
        </is>
      </c>
      <c r="E2744" s="35" t="n">
        <v>1.6</v>
      </c>
      <c r="F2744" s="35" t="n">
        <v>1.3</v>
      </c>
      <c r="G2744" s="37" t="inlineStr">
        <is>
          <t>Y</t>
        </is>
      </c>
      <c r="H2744" s="37" t="inlineStr">
        <is>
          <t>N</t>
        </is>
      </c>
      <c r="I2744" s="37">
        <f>COUNTIF(G$5:G2744,"Y")/COUNTA(G$5:G2744)</f>
        <v/>
      </c>
      <c r="J2744" s="37">
        <f>COUNTIF(H$5:H2744,"Y")/COUNTA(H$5:H2744)</f>
        <v/>
      </c>
      <c r="K2744" s="37">
        <f>AVERAGE(F$5:F2744)</f>
        <v/>
      </c>
      <c r="L2744" s="37">
        <f>SUM(F$5:F2744)/SUM(E$5:E2744)</f>
        <v/>
      </c>
    </row>
    <row r="2745">
      <c r="A2745" s="29" t="n">
        <v>46077</v>
      </c>
      <c r="B2745" s="37" t="inlineStr">
        <is>
          <t>JOB-3741</t>
        </is>
      </c>
      <c r="C2745" s="34" t="n">
        <v>1</v>
      </c>
      <c r="D2745" s="37" t="inlineStr">
        <is>
          <t>Tech H</t>
        </is>
      </c>
      <c r="E2745" s="35" t="n">
        <v>4.3</v>
      </c>
      <c r="F2745" s="35" t="n">
        <v>2.9</v>
      </c>
      <c r="G2745" s="37" t="inlineStr">
        <is>
          <t>Y</t>
        </is>
      </c>
      <c r="H2745" s="37" t="inlineStr">
        <is>
          <t>N</t>
        </is>
      </c>
      <c r="I2745" s="37">
        <f>COUNTIF(G$5:G2745,"Y")/COUNTA(G$5:G2745)</f>
        <v/>
      </c>
      <c r="J2745" s="37">
        <f>COUNTIF(H$5:H2745,"Y")/COUNTA(H$5:H2745)</f>
        <v/>
      </c>
      <c r="K2745" s="37">
        <f>AVERAGE(F$5:F2745)</f>
        <v/>
      </c>
      <c r="L2745" s="37">
        <f>SUM(F$5:F2745)/SUM(E$5:E2745)</f>
        <v/>
      </c>
    </row>
    <row r="2746">
      <c r="A2746" s="29" t="n">
        <v>46078</v>
      </c>
      <c r="B2746" s="37" t="inlineStr">
        <is>
          <t>JOB-3742</t>
        </is>
      </c>
      <c r="C2746" s="34" t="n">
        <v>1</v>
      </c>
      <c r="D2746" s="37" t="inlineStr">
        <is>
          <t>Tech C</t>
        </is>
      </c>
      <c r="E2746" s="35" t="n">
        <v>2.8</v>
      </c>
      <c r="F2746" s="35" t="n">
        <v>2.1</v>
      </c>
      <c r="G2746" s="37" t="inlineStr">
        <is>
          <t>Y</t>
        </is>
      </c>
      <c r="H2746" s="37" t="inlineStr">
        <is>
          <t>N</t>
        </is>
      </c>
      <c r="I2746" s="37">
        <f>COUNTIF(G$5:G2746,"Y")/COUNTA(G$5:G2746)</f>
        <v/>
      </c>
      <c r="J2746" s="37">
        <f>COUNTIF(H$5:H2746,"Y")/COUNTA(H$5:H2746)</f>
        <v/>
      </c>
      <c r="K2746" s="37">
        <f>AVERAGE(F$5:F2746)</f>
        <v/>
      </c>
      <c r="L2746" s="37">
        <f>SUM(F$5:F2746)/SUM(E$5:E2746)</f>
        <v/>
      </c>
    </row>
    <row r="2747">
      <c r="A2747" s="29" t="n">
        <v>46079</v>
      </c>
      <c r="B2747" s="37" t="inlineStr">
        <is>
          <t>JOB-3743</t>
        </is>
      </c>
      <c r="C2747" s="34" t="n">
        <v>1</v>
      </c>
      <c r="D2747" s="37" t="inlineStr">
        <is>
          <t>Tech H</t>
        </is>
      </c>
      <c r="E2747" s="35" t="n">
        <v>2.7</v>
      </c>
      <c r="F2747" s="35" t="n">
        <v>2</v>
      </c>
      <c r="G2747" s="37" t="inlineStr">
        <is>
          <t>N</t>
        </is>
      </c>
      <c r="H2747" s="37" t="inlineStr">
        <is>
          <t>N</t>
        </is>
      </c>
      <c r="I2747" s="37">
        <f>COUNTIF(G$5:G2747,"Y")/COUNTA(G$5:G2747)</f>
        <v/>
      </c>
      <c r="J2747" s="37">
        <f>COUNTIF(H$5:H2747,"Y")/COUNTA(H$5:H2747)</f>
        <v/>
      </c>
      <c r="K2747" s="37">
        <f>AVERAGE(F$5:F2747)</f>
        <v/>
      </c>
      <c r="L2747" s="37">
        <f>SUM(F$5:F2747)/SUM(E$5:E2747)</f>
        <v/>
      </c>
    </row>
    <row r="2748">
      <c r="A2748" s="29" t="n">
        <v>46080</v>
      </c>
      <c r="B2748" s="37" t="inlineStr">
        <is>
          <t>JOB-3744</t>
        </is>
      </c>
      <c r="C2748" s="34" t="n">
        <v>1</v>
      </c>
      <c r="D2748" s="37" t="inlineStr">
        <is>
          <t>Tech H</t>
        </is>
      </c>
      <c r="E2748" s="35" t="n">
        <v>4.1</v>
      </c>
      <c r="F2748" s="35" t="n">
        <v>2.9</v>
      </c>
      <c r="G2748" s="37" t="inlineStr">
        <is>
          <t>Y</t>
        </is>
      </c>
      <c r="H2748" s="37" t="inlineStr">
        <is>
          <t>N</t>
        </is>
      </c>
      <c r="I2748" s="37">
        <f>COUNTIF(G$5:G2748,"Y")/COUNTA(G$5:G2748)</f>
        <v/>
      </c>
      <c r="J2748" s="37">
        <f>COUNTIF(H$5:H2748,"Y")/COUNTA(H$5:H2748)</f>
        <v/>
      </c>
      <c r="K2748" s="37">
        <f>AVERAGE(F$5:F2748)</f>
        <v/>
      </c>
      <c r="L2748" s="37">
        <f>SUM(F$5:F2748)/SUM(E$5:E2748)</f>
        <v/>
      </c>
    </row>
    <row r="2749">
      <c r="A2749" s="29" t="n">
        <v>46076</v>
      </c>
      <c r="B2749" s="37" t="inlineStr">
        <is>
          <t>JOB-3745</t>
        </is>
      </c>
      <c r="C2749" s="34" t="n">
        <v>1</v>
      </c>
      <c r="D2749" s="37" t="inlineStr">
        <is>
          <t>Tech H</t>
        </is>
      </c>
      <c r="E2749" s="35" t="n">
        <v>4.9</v>
      </c>
      <c r="F2749" s="35" t="n">
        <v>3.5</v>
      </c>
      <c r="G2749" s="37" t="inlineStr">
        <is>
          <t>Y</t>
        </is>
      </c>
      <c r="H2749" s="37" t="inlineStr">
        <is>
          <t>N</t>
        </is>
      </c>
      <c r="I2749" s="37">
        <f>COUNTIF(G$5:G2749,"Y")/COUNTA(G$5:G2749)</f>
        <v/>
      </c>
      <c r="J2749" s="37">
        <f>COUNTIF(H$5:H2749,"Y")/COUNTA(H$5:H2749)</f>
        <v/>
      </c>
      <c r="K2749" s="37">
        <f>AVERAGE(F$5:F2749)</f>
        <v/>
      </c>
      <c r="L2749" s="37">
        <f>SUM(F$5:F2749)/SUM(E$5:E2749)</f>
        <v/>
      </c>
    </row>
    <row r="2750">
      <c r="A2750" s="29" t="n">
        <v>46077</v>
      </c>
      <c r="B2750" s="37" t="inlineStr">
        <is>
          <t>JOB-3746</t>
        </is>
      </c>
      <c r="C2750" s="34" t="n">
        <v>1</v>
      </c>
      <c r="D2750" s="37" t="inlineStr">
        <is>
          <t>Tech A</t>
        </is>
      </c>
      <c r="E2750" s="35" t="n">
        <v>4.7</v>
      </c>
      <c r="F2750" s="35" t="n">
        <v>3.3</v>
      </c>
      <c r="G2750" s="37" t="inlineStr">
        <is>
          <t>Y</t>
        </is>
      </c>
      <c r="H2750" s="37" t="inlineStr">
        <is>
          <t>N</t>
        </is>
      </c>
      <c r="I2750" s="37">
        <f>COUNTIF(G$5:G2750,"Y")/COUNTA(G$5:G2750)</f>
        <v/>
      </c>
      <c r="J2750" s="37">
        <f>COUNTIF(H$5:H2750,"Y")/COUNTA(H$5:H2750)</f>
        <v/>
      </c>
      <c r="K2750" s="37">
        <f>AVERAGE(F$5:F2750)</f>
        <v/>
      </c>
      <c r="L2750" s="37">
        <f>SUM(F$5:F2750)/SUM(E$5:E2750)</f>
        <v/>
      </c>
    </row>
    <row r="2751">
      <c r="A2751" s="29" t="n">
        <v>46078</v>
      </c>
      <c r="B2751" s="37" t="inlineStr">
        <is>
          <t>JOB-3747</t>
        </is>
      </c>
      <c r="C2751" s="34" t="n">
        <v>1</v>
      </c>
      <c r="D2751" s="37" t="inlineStr">
        <is>
          <t>Tech G</t>
        </is>
      </c>
      <c r="E2751" s="35" t="n">
        <v>3.7</v>
      </c>
      <c r="F2751" s="35" t="n">
        <v>3.1</v>
      </c>
      <c r="G2751" s="37" t="inlineStr">
        <is>
          <t>N</t>
        </is>
      </c>
      <c r="H2751" s="37" t="inlineStr">
        <is>
          <t>N</t>
        </is>
      </c>
      <c r="I2751" s="37">
        <f>COUNTIF(G$5:G2751,"Y")/COUNTA(G$5:G2751)</f>
        <v/>
      </c>
      <c r="J2751" s="37">
        <f>COUNTIF(H$5:H2751,"Y")/COUNTA(H$5:H2751)</f>
        <v/>
      </c>
      <c r="K2751" s="37">
        <f>AVERAGE(F$5:F2751)</f>
        <v/>
      </c>
      <c r="L2751" s="37">
        <f>SUM(F$5:F2751)/SUM(E$5:E2751)</f>
        <v/>
      </c>
    </row>
    <row r="2752">
      <c r="A2752" s="29" t="n">
        <v>46079</v>
      </c>
      <c r="B2752" s="37" t="inlineStr">
        <is>
          <t>JOB-3748</t>
        </is>
      </c>
      <c r="C2752" s="34" t="n">
        <v>1</v>
      </c>
      <c r="D2752" s="37" t="inlineStr">
        <is>
          <t>Tech D</t>
        </is>
      </c>
      <c r="E2752" s="35" t="n">
        <v>2</v>
      </c>
      <c r="F2752" s="35" t="n">
        <v>1.4</v>
      </c>
      <c r="G2752" s="37" t="inlineStr">
        <is>
          <t>N</t>
        </is>
      </c>
      <c r="H2752" s="37" t="inlineStr">
        <is>
          <t>N</t>
        </is>
      </c>
      <c r="I2752" s="37">
        <f>COUNTIF(G$5:G2752,"Y")/COUNTA(G$5:G2752)</f>
        <v/>
      </c>
      <c r="J2752" s="37">
        <f>COUNTIF(H$5:H2752,"Y")/COUNTA(H$5:H2752)</f>
        <v/>
      </c>
      <c r="K2752" s="37">
        <f>AVERAGE(F$5:F2752)</f>
        <v/>
      </c>
      <c r="L2752" s="37">
        <f>SUM(F$5:F2752)/SUM(E$5:E2752)</f>
        <v/>
      </c>
    </row>
    <row r="2753">
      <c r="A2753" s="29" t="n">
        <v>46080</v>
      </c>
      <c r="B2753" s="37" t="inlineStr">
        <is>
          <t>JOB-3749</t>
        </is>
      </c>
      <c r="C2753" s="34" t="n">
        <v>1</v>
      </c>
      <c r="D2753" s="37" t="inlineStr">
        <is>
          <t>Tech A</t>
        </is>
      </c>
      <c r="E2753" s="35" t="n">
        <v>2</v>
      </c>
      <c r="F2753" s="35" t="n">
        <v>1.4</v>
      </c>
      <c r="G2753" s="37" t="inlineStr">
        <is>
          <t>Y</t>
        </is>
      </c>
      <c r="H2753" s="37" t="inlineStr">
        <is>
          <t>N</t>
        </is>
      </c>
      <c r="I2753" s="37">
        <f>COUNTIF(G$5:G2753,"Y")/COUNTA(G$5:G2753)</f>
        <v/>
      </c>
      <c r="J2753" s="37">
        <f>COUNTIF(H$5:H2753,"Y")/COUNTA(H$5:H2753)</f>
        <v/>
      </c>
      <c r="K2753" s="37">
        <f>AVERAGE(F$5:F2753)</f>
        <v/>
      </c>
      <c r="L2753" s="37">
        <f>SUM(F$5:F2753)/SUM(E$5:E2753)</f>
        <v/>
      </c>
    </row>
    <row r="2754">
      <c r="A2754" s="29" t="n">
        <v>46076</v>
      </c>
      <c r="B2754" s="37" t="inlineStr">
        <is>
          <t>JOB-3750</t>
        </is>
      </c>
      <c r="C2754" s="34" t="n">
        <v>1</v>
      </c>
      <c r="D2754" s="37" t="inlineStr">
        <is>
          <t>Tech G</t>
        </is>
      </c>
      <c r="E2754" s="35" t="n">
        <v>5.2</v>
      </c>
      <c r="F2754" s="35" t="n">
        <v>3.5</v>
      </c>
      <c r="G2754" s="37" t="inlineStr">
        <is>
          <t>Y</t>
        </is>
      </c>
      <c r="H2754" s="37" t="inlineStr">
        <is>
          <t>N</t>
        </is>
      </c>
      <c r="I2754" s="37">
        <f>COUNTIF(G$5:G2754,"Y")/COUNTA(G$5:G2754)</f>
        <v/>
      </c>
      <c r="J2754" s="37">
        <f>COUNTIF(H$5:H2754,"Y")/COUNTA(H$5:H2754)</f>
        <v/>
      </c>
      <c r="K2754" s="37">
        <f>AVERAGE(F$5:F2754)</f>
        <v/>
      </c>
      <c r="L2754" s="37">
        <f>SUM(F$5:F2754)/SUM(E$5:E2754)</f>
        <v/>
      </c>
    </row>
    <row r="2755">
      <c r="A2755" s="29" t="n">
        <v>46077</v>
      </c>
      <c r="B2755" s="37" t="inlineStr">
        <is>
          <t>JOB-3751</t>
        </is>
      </c>
      <c r="C2755" s="34" t="n">
        <v>1</v>
      </c>
      <c r="D2755" s="37" t="inlineStr">
        <is>
          <t>Tech B</t>
        </is>
      </c>
      <c r="E2755" s="35" t="n">
        <v>3.9</v>
      </c>
      <c r="F2755" s="35" t="n">
        <v>3</v>
      </c>
      <c r="G2755" s="37" t="inlineStr">
        <is>
          <t>Y</t>
        </is>
      </c>
      <c r="H2755" s="37" t="inlineStr">
        <is>
          <t>N</t>
        </is>
      </c>
      <c r="I2755" s="37">
        <f>COUNTIF(G$5:G2755,"Y")/COUNTA(G$5:G2755)</f>
        <v/>
      </c>
      <c r="J2755" s="37">
        <f>COUNTIF(H$5:H2755,"Y")/COUNTA(H$5:H2755)</f>
        <v/>
      </c>
      <c r="K2755" s="37">
        <f>AVERAGE(F$5:F2755)</f>
        <v/>
      </c>
      <c r="L2755" s="37">
        <f>SUM(F$5:F2755)/SUM(E$5:E2755)</f>
        <v/>
      </c>
    </row>
    <row r="2756">
      <c r="A2756" s="29" t="n">
        <v>46078</v>
      </c>
      <c r="B2756" s="37" t="inlineStr">
        <is>
          <t>JOB-3752</t>
        </is>
      </c>
      <c r="C2756" s="34" t="n">
        <v>1</v>
      </c>
      <c r="D2756" s="37" t="inlineStr">
        <is>
          <t>Tech F</t>
        </is>
      </c>
      <c r="E2756" s="35" t="n">
        <v>2.5</v>
      </c>
      <c r="F2756" s="35" t="n">
        <v>2.1</v>
      </c>
      <c r="G2756" s="37" t="inlineStr">
        <is>
          <t>Y</t>
        </is>
      </c>
      <c r="H2756" s="37" t="inlineStr">
        <is>
          <t>Y</t>
        </is>
      </c>
      <c r="I2756" s="37">
        <f>COUNTIF(G$5:G2756,"Y")/COUNTA(G$5:G2756)</f>
        <v/>
      </c>
      <c r="J2756" s="37">
        <f>COUNTIF(H$5:H2756,"Y")/COUNTA(H$5:H2756)</f>
        <v/>
      </c>
      <c r="K2756" s="37">
        <f>AVERAGE(F$5:F2756)</f>
        <v/>
      </c>
      <c r="L2756" s="37">
        <f>SUM(F$5:F2756)/SUM(E$5:E2756)</f>
        <v/>
      </c>
    </row>
    <row r="2757">
      <c r="A2757" s="29" t="n">
        <v>46079</v>
      </c>
      <c r="B2757" s="37" t="inlineStr">
        <is>
          <t>JOB-3753</t>
        </is>
      </c>
      <c r="C2757" s="34" t="n">
        <v>1</v>
      </c>
      <c r="D2757" s="37" t="inlineStr">
        <is>
          <t>Tech C</t>
        </is>
      </c>
      <c r="E2757" s="35" t="n">
        <v>3.5</v>
      </c>
      <c r="F2757" s="35" t="n">
        <v>2.4</v>
      </c>
      <c r="G2757" s="37" t="inlineStr">
        <is>
          <t>Y</t>
        </is>
      </c>
      <c r="H2757" s="37" t="inlineStr">
        <is>
          <t>N</t>
        </is>
      </c>
      <c r="I2757" s="37">
        <f>COUNTIF(G$5:G2757,"Y")/COUNTA(G$5:G2757)</f>
        <v/>
      </c>
      <c r="J2757" s="37">
        <f>COUNTIF(H$5:H2757,"Y")/COUNTA(H$5:H2757)</f>
        <v/>
      </c>
      <c r="K2757" s="37">
        <f>AVERAGE(F$5:F2757)</f>
        <v/>
      </c>
      <c r="L2757" s="37">
        <f>SUM(F$5:F2757)/SUM(E$5:E2757)</f>
        <v/>
      </c>
    </row>
    <row r="2758">
      <c r="A2758" s="29" t="n">
        <v>46080</v>
      </c>
      <c r="B2758" s="37" t="inlineStr">
        <is>
          <t>JOB-3754</t>
        </is>
      </c>
      <c r="C2758" s="34" t="n">
        <v>1</v>
      </c>
      <c r="D2758" s="37" t="inlineStr">
        <is>
          <t>Tech C</t>
        </is>
      </c>
      <c r="E2758" s="35" t="n">
        <v>3.3</v>
      </c>
      <c r="F2758" s="35" t="n">
        <v>2.7</v>
      </c>
      <c r="G2758" s="37" t="inlineStr">
        <is>
          <t>Y</t>
        </is>
      </c>
      <c r="H2758" s="37" t="inlineStr">
        <is>
          <t>N</t>
        </is>
      </c>
      <c r="I2758" s="37">
        <f>COUNTIF(G$5:G2758,"Y")/COUNTA(G$5:G2758)</f>
        <v/>
      </c>
      <c r="J2758" s="37">
        <f>COUNTIF(H$5:H2758,"Y")/COUNTA(H$5:H2758)</f>
        <v/>
      </c>
      <c r="K2758" s="37">
        <f>AVERAGE(F$5:F2758)</f>
        <v/>
      </c>
      <c r="L2758" s="37">
        <f>SUM(F$5:F2758)/SUM(E$5:E2758)</f>
        <v/>
      </c>
    </row>
    <row r="2759">
      <c r="A2759" s="29" t="n">
        <v>46076</v>
      </c>
      <c r="B2759" s="37" t="inlineStr">
        <is>
          <t>JOB-3755</t>
        </is>
      </c>
      <c r="C2759" s="34" t="n">
        <v>1</v>
      </c>
      <c r="D2759" s="37" t="inlineStr">
        <is>
          <t>Tech F</t>
        </is>
      </c>
      <c r="E2759" s="35" t="n">
        <v>3.9</v>
      </c>
      <c r="F2759" s="35" t="n">
        <v>2.7</v>
      </c>
      <c r="G2759" s="37" t="inlineStr">
        <is>
          <t>N</t>
        </is>
      </c>
      <c r="H2759" s="37" t="inlineStr">
        <is>
          <t>N</t>
        </is>
      </c>
      <c r="I2759" s="37">
        <f>COUNTIF(G$5:G2759,"Y")/COUNTA(G$5:G2759)</f>
        <v/>
      </c>
      <c r="J2759" s="37">
        <f>COUNTIF(H$5:H2759,"Y")/COUNTA(H$5:H2759)</f>
        <v/>
      </c>
      <c r="K2759" s="37">
        <f>AVERAGE(F$5:F2759)</f>
        <v/>
      </c>
      <c r="L2759" s="37">
        <f>SUM(F$5:F2759)/SUM(E$5:E2759)</f>
        <v/>
      </c>
    </row>
    <row r="2760">
      <c r="A2760" s="29" t="n">
        <v>46077</v>
      </c>
      <c r="B2760" s="37" t="inlineStr">
        <is>
          <t>JOB-3756</t>
        </is>
      </c>
      <c r="C2760" s="34" t="n">
        <v>1</v>
      </c>
      <c r="D2760" s="37" t="inlineStr">
        <is>
          <t>Tech F</t>
        </is>
      </c>
      <c r="E2760" s="35" t="n">
        <v>2.7</v>
      </c>
      <c r="F2760" s="35" t="n">
        <v>2.1</v>
      </c>
      <c r="G2760" s="37" t="inlineStr">
        <is>
          <t>Y</t>
        </is>
      </c>
      <c r="H2760" s="37" t="inlineStr">
        <is>
          <t>Y</t>
        </is>
      </c>
      <c r="I2760" s="37">
        <f>COUNTIF(G$5:G2760,"Y")/COUNTA(G$5:G2760)</f>
        <v/>
      </c>
      <c r="J2760" s="37">
        <f>COUNTIF(H$5:H2760,"Y")/COUNTA(H$5:H2760)</f>
        <v/>
      </c>
      <c r="K2760" s="37">
        <f>AVERAGE(F$5:F2760)</f>
        <v/>
      </c>
      <c r="L2760" s="37">
        <f>SUM(F$5:F2760)/SUM(E$5:E2760)</f>
        <v/>
      </c>
    </row>
    <row r="2761">
      <c r="A2761" s="29" t="n">
        <v>46078</v>
      </c>
      <c r="B2761" s="37" t="inlineStr">
        <is>
          <t>JOB-3757</t>
        </is>
      </c>
      <c r="C2761" s="34" t="n">
        <v>1</v>
      </c>
      <c r="D2761" s="37" t="inlineStr">
        <is>
          <t>Tech F</t>
        </is>
      </c>
      <c r="E2761" s="35" t="n">
        <v>4.6</v>
      </c>
      <c r="F2761" s="35" t="n">
        <v>3.3</v>
      </c>
      <c r="G2761" s="37" t="inlineStr">
        <is>
          <t>Y</t>
        </is>
      </c>
      <c r="H2761" s="37" t="inlineStr">
        <is>
          <t>N</t>
        </is>
      </c>
      <c r="I2761" s="37">
        <f>COUNTIF(G$5:G2761,"Y")/COUNTA(G$5:G2761)</f>
        <v/>
      </c>
      <c r="J2761" s="37">
        <f>COUNTIF(H$5:H2761,"Y")/COUNTA(H$5:H2761)</f>
        <v/>
      </c>
      <c r="K2761" s="37">
        <f>AVERAGE(F$5:F2761)</f>
        <v/>
      </c>
      <c r="L2761" s="37">
        <f>SUM(F$5:F2761)/SUM(E$5:E2761)</f>
        <v/>
      </c>
    </row>
    <row r="2762">
      <c r="A2762" s="29" t="n">
        <v>46079</v>
      </c>
      <c r="B2762" s="37" t="inlineStr">
        <is>
          <t>JOB-3758</t>
        </is>
      </c>
      <c r="C2762" s="34" t="n">
        <v>1</v>
      </c>
      <c r="D2762" s="37" t="inlineStr">
        <is>
          <t>Tech G</t>
        </is>
      </c>
      <c r="E2762" s="35" t="n">
        <v>4.7</v>
      </c>
      <c r="F2762" s="35" t="n">
        <v>3.1</v>
      </c>
      <c r="G2762" s="37" t="inlineStr">
        <is>
          <t>Y</t>
        </is>
      </c>
      <c r="H2762" s="37" t="inlineStr">
        <is>
          <t>N</t>
        </is>
      </c>
      <c r="I2762" s="37">
        <f>COUNTIF(G$5:G2762,"Y")/COUNTA(G$5:G2762)</f>
        <v/>
      </c>
      <c r="J2762" s="37">
        <f>COUNTIF(H$5:H2762,"Y")/COUNTA(H$5:H2762)</f>
        <v/>
      </c>
      <c r="K2762" s="37">
        <f>AVERAGE(F$5:F2762)</f>
        <v/>
      </c>
      <c r="L2762" s="37">
        <f>SUM(F$5:F2762)/SUM(E$5:E2762)</f>
        <v/>
      </c>
    </row>
    <row r="2763">
      <c r="A2763" s="29" t="n">
        <v>46080</v>
      </c>
      <c r="B2763" s="37" t="inlineStr">
        <is>
          <t>JOB-3759</t>
        </is>
      </c>
      <c r="C2763" s="34" t="n">
        <v>1</v>
      </c>
      <c r="D2763" s="37" t="inlineStr">
        <is>
          <t>Tech G</t>
        </is>
      </c>
      <c r="E2763" s="35" t="n">
        <v>3.4</v>
      </c>
      <c r="F2763" s="35" t="n">
        <v>2.8</v>
      </c>
      <c r="G2763" s="37" t="inlineStr">
        <is>
          <t>Y</t>
        </is>
      </c>
      <c r="H2763" s="37" t="inlineStr">
        <is>
          <t>N</t>
        </is>
      </c>
      <c r="I2763" s="37">
        <f>COUNTIF(G$5:G2763,"Y")/COUNTA(G$5:G2763)</f>
        <v/>
      </c>
      <c r="J2763" s="37">
        <f>COUNTIF(H$5:H2763,"Y")/COUNTA(H$5:H2763)</f>
        <v/>
      </c>
      <c r="K2763" s="37">
        <f>AVERAGE(F$5:F2763)</f>
        <v/>
      </c>
      <c r="L2763" s="37">
        <f>SUM(F$5:F2763)/SUM(E$5:E2763)</f>
        <v/>
      </c>
    </row>
    <row r="2764">
      <c r="A2764" s="29" t="n">
        <v>46076</v>
      </c>
      <c r="B2764" s="37" t="inlineStr">
        <is>
          <t>JOB-3760</t>
        </is>
      </c>
      <c r="C2764" s="34" t="n">
        <v>1</v>
      </c>
      <c r="D2764" s="37" t="inlineStr">
        <is>
          <t>Tech B</t>
        </is>
      </c>
      <c r="E2764" s="35" t="n">
        <v>2</v>
      </c>
      <c r="F2764" s="35" t="n">
        <v>1.6</v>
      </c>
      <c r="G2764" s="37" t="inlineStr">
        <is>
          <t>Y</t>
        </is>
      </c>
      <c r="H2764" s="37" t="inlineStr">
        <is>
          <t>N</t>
        </is>
      </c>
      <c r="I2764" s="37">
        <f>COUNTIF(G$5:G2764,"Y")/COUNTA(G$5:G2764)</f>
        <v/>
      </c>
      <c r="J2764" s="37">
        <f>COUNTIF(H$5:H2764,"Y")/COUNTA(H$5:H2764)</f>
        <v/>
      </c>
      <c r="K2764" s="37">
        <f>AVERAGE(F$5:F2764)</f>
        <v/>
      </c>
      <c r="L2764" s="37">
        <f>SUM(F$5:F2764)/SUM(E$5:E2764)</f>
        <v/>
      </c>
    </row>
    <row r="2765">
      <c r="A2765" s="29" t="n">
        <v>46077</v>
      </c>
      <c r="B2765" s="37" t="inlineStr">
        <is>
          <t>JOB-3761</t>
        </is>
      </c>
      <c r="C2765" s="34" t="n">
        <v>1</v>
      </c>
      <c r="D2765" s="37" t="inlineStr">
        <is>
          <t>Tech H</t>
        </is>
      </c>
      <c r="E2765" s="35" t="n">
        <v>2.8</v>
      </c>
      <c r="F2765" s="35" t="n">
        <v>2.2</v>
      </c>
      <c r="G2765" s="37" t="inlineStr">
        <is>
          <t>Y</t>
        </is>
      </c>
      <c r="H2765" s="37" t="inlineStr">
        <is>
          <t>N</t>
        </is>
      </c>
      <c r="I2765" s="37">
        <f>COUNTIF(G$5:G2765,"Y")/COUNTA(G$5:G2765)</f>
        <v/>
      </c>
      <c r="J2765" s="37">
        <f>COUNTIF(H$5:H2765,"Y")/COUNTA(H$5:H2765)</f>
        <v/>
      </c>
      <c r="K2765" s="37">
        <f>AVERAGE(F$5:F2765)</f>
        <v/>
      </c>
      <c r="L2765" s="37">
        <f>SUM(F$5:F2765)/SUM(E$5:E2765)</f>
        <v/>
      </c>
    </row>
    <row r="2766">
      <c r="A2766" s="29" t="n">
        <v>46078</v>
      </c>
      <c r="B2766" s="37" t="inlineStr">
        <is>
          <t>JOB-3762</t>
        </is>
      </c>
      <c r="C2766" s="34" t="n">
        <v>1</v>
      </c>
      <c r="D2766" s="37" t="inlineStr">
        <is>
          <t>Tech G</t>
        </is>
      </c>
      <c r="E2766" s="35" t="n">
        <v>3.7</v>
      </c>
      <c r="F2766" s="35" t="n">
        <v>2.8</v>
      </c>
      <c r="G2766" s="37" t="inlineStr">
        <is>
          <t>Y</t>
        </is>
      </c>
      <c r="H2766" s="37" t="inlineStr">
        <is>
          <t>N</t>
        </is>
      </c>
      <c r="I2766" s="37">
        <f>COUNTIF(G$5:G2766,"Y")/COUNTA(G$5:G2766)</f>
        <v/>
      </c>
      <c r="J2766" s="37">
        <f>COUNTIF(H$5:H2766,"Y")/COUNTA(H$5:H2766)</f>
        <v/>
      </c>
      <c r="K2766" s="37">
        <f>AVERAGE(F$5:F2766)</f>
        <v/>
      </c>
      <c r="L2766" s="37">
        <f>SUM(F$5:F2766)/SUM(E$5:E2766)</f>
        <v/>
      </c>
    </row>
    <row r="2767">
      <c r="A2767" s="29" t="n">
        <v>46079</v>
      </c>
      <c r="B2767" s="37" t="inlineStr">
        <is>
          <t>JOB-3763</t>
        </is>
      </c>
      <c r="C2767" s="34" t="n">
        <v>1</v>
      </c>
      <c r="D2767" s="37" t="inlineStr">
        <is>
          <t>Tech A</t>
        </is>
      </c>
      <c r="E2767" s="35" t="n">
        <v>2.3</v>
      </c>
      <c r="F2767" s="35" t="n">
        <v>1.8</v>
      </c>
      <c r="G2767" s="37" t="inlineStr">
        <is>
          <t>Y</t>
        </is>
      </c>
      <c r="H2767" s="37" t="inlineStr">
        <is>
          <t>N</t>
        </is>
      </c>
      <c r="I2767" s="37">
        <f>COUNTIF(G$5:G2767,"Y")/COUNTA(G$5:G2767)</f>
        <v/>
      </c>
      <c r="J2767" s="37">
        <f>COUNTIF(H$5:H2767,"Y")/COUNTA(H$5:H2767)</f>
        <v/>
      </c>
      <c r="K2767" s="37">
        <f>AVERAGE(F$5:F2767)</f>
        <v/>
      </c>
      <c r="L2767" s="37">
        <f>SUM(F$5:F2767)/SUM(E$5:E2767)</f>
        <v/>
      </c>
    </row>
    <row r="2768">
      <c r="A2768" s="29" t="n">
        <v>46080</v>
      </c>
      <c r="B2768" s="37" t="inlineStr">
        <is>
          <t>JOB-3764</t>
        </is>
      </c>
      <c r="C2768" s="34" t="n">
        <v>1</v>
      </c>
      <c r="D2768" s="37" t="inlineStr">
        <is>
          <t>Tech C</t>
        </is>
      </c>
      <c r="E2768" s="35" t="n">
        <v>3.8</v>
      </c>
      <c r="F2768" s="35" t="n">
        <v>3.3</v>
      </c>
      <c r="G2768" s="37" t="inlineStr">
        <is>
          <t>Y</t>
        </is>
      </c>
      <c r="H2768" s="37" t="inlineStr">
        <is>
          <t>N</t>
        </is>
      </c>
      <c r="I2768" s="37">
        <f>COUNTIF(G$5:G2768,"Y")/COUNTA(G$5:G2768)</f>
        <v/>
      </c>
      <c r="J2768" s="37">
        <f>COUNTIF(H$5:H2768,"Y")/COUNTA(H$5:H2768)</f>
        <v/>
      </c>
      <c r="K2768" s="37">
        <f>AVERAGE(F$5:F2768)</f>
        <v/>
      </c>
      <c r="L2768" s="37">
        <f>SUM(F$5:F2768)/SUM(E$5:E2768)</f>
        <v/>
      </c>
    </row>
    <row r="2769">
      <c r="A2769" s="29" t="n">
        <v>46076</v>
      </c>
      <c r="B2769" s="37" t="inlineStr">
        <is>
          <t>JOB-3765</t>
        </is>
      </c>
      <c r="C2769" s="34" t="n">
        <v>1</v>
      </c>
      <c r="D2769" s="37" t="inlineStr">
        <is>
          <t>Tech F</t>
        </is>
      </c>
      <c r="E2769" s="35" t="n">
        <v>4.9</v>
      </c>
      <c r="F2769" s="35" t="n">
        <v>3.7</v>
      </c>
      <c r="G2769" s="37" t="inlineStr">
        <is>
          <t>Y</t>
        </is>
      </c>
      <c r="H2769" s="37" t="inlineStr">
        <is>
          <t>N</t>
        </is>
      </c>
      <c r="I2769" s="37">
        <f>COUNTIF(G$5:G2769,"Y")/COUNTA(G$5:G2769)</f>
        <v/>
      </c>
      <c r="J2769" s="37">
        <f>COUNTIF(H$5:H2769,"Y")/COUNTA(H$5:H2769)</f>
        <v/>
      </c>
      <c r="K2769" s="37">
        <f>AVERAGE(F$5:F2769)</f>
        <v/>
      </c>
      <c r="L2769" s="37">
        <f>SUM(F$5:F2769)/SUM(E$5:E2769)</f>
        <v/>
      </c>
    </row>
    <row r="2770">
      <c r="A2770" s="29" t="n">
        <v>46077</v>
      </c>
      <c r="B2770" s="37" t="inlineStr">
        <is>
          <t>JOB-3766</t>
        </is>
      </c>
      <c r="C2770" s="34" t="n">
        <v>1</v>
      </c>
      <c r="D2770" s="37" t="inlineStr">
        <is>
          <t>Tech D</t>
        </is>
      </c>
      <c r="E2770" s="35" t="n">
        <v>2.1</v>
      </c>
      <c r="F2770" s="35" t="n">
        <v>1.5</v>
      </c>
      <c r="G2770" s="37" t="inlineStr">
        <is>
          <t>Y</t>
        </is>
      </c>
      <c r="H2770" s="37" t="inlineStr">
        <is>
          <t>N</t>
        </is>
      </c>
      <c r="I2770" s="37">
        <f>COUNTIF(G$5:G2770,"Y")/COUNTA(G$5:G2770)</f>
        <v/>
      </c>
      <c r="J2770" s="37">
        <f>COUNTIF(H$5:H2770,"Y")/COUNTA(H$5:H2770)</f>
        <v/>
      </c>
      <c r="K2770" s="37">
        <f>AVERAGE(F$5:F2770)</f>
        <v/>
      </c>
      <c r="L2770" s="37">
        <f>SUM(F$5:F2770)/SUM(E$5:E2770)</f>
        <v/>
      </c>
    </row>
    <row r="2771">
      <c r="A2771" s="29" t="n">
        <v>46078</v>
      </c>
      <c r="B2771" s="37" t="inlineStr">
        <is>
          <t>JOB-3767</t>
        </is>
      </c>
      <c r="C2771" s="34" t="n">
        <v>1</v>
      </c>
      <c r="D2771" s="37" t="inlineStr">
        <is>
          <t>Tech B</t>
        </is>
      </c>
      <c r="E2771" s="35" t="n">
        <v>4.4</v>
      </c>
      <c r="F2771" s="35" t="n">
        <v>3.3</v>
      </c>
      <c r="G2771" s="37" t="inlineStr">
        <is>
          <t>N</t>
        </is>
      </c>
      <c r="H2771" s="37" t="inlineStr">
        <is>
          <t>N</t>
        </is>
      </c>
      <c r="I2771" s="37">
        <f>COUNTIF(G$5:G2771,"Y")/COUNTA(G$5:G2771)</f>
        <v/>
      </c>
      <c r="J2771" s="37">
        <f>COUNTIF(H$5:H2771,"Y")/COUNTA(H$5:H2771)</f>
        <v/>
      </c>
      <c r="K2771" s="37">
        <f>AVERAGE(F$5:F2771)</f>
        <v/>
      </c>
      <c r="L2771" s="37">
        <f>SUM(F$5:F2771)/SUM(E$5:E2771)</f>
        <v/>
      </c>
    </row>
    <row r="2772">
      <c r="A2772" s="29" t="n">
        <v>46079</v>
      </c>
      <c r="B2772" s="37" t="inlineStr">
        <is>
          <t>JOB-3768</t>
        </is>
      </c>
      <c r="C2772" s="34" t="n">
        <v>1</v>
      </c>
      <c r="D2772" s="37" t="inlineStr">
        <is>
          <t>Tech G</t>
        </is>
      </c>
      <c r="E2772" s="35" t="n">
        <v>1.8</v>
      </c>
      <c r="F2772" s="35" t="n">
        <v>1.3</v>
      </c>
      <c r="G2772" s="37" t="inlineStr">
        <is>
          <t>Y</t>
        </is>
      </c>
      <c r="H2772" s="37" t="inlineStr">
        <is>
          <t>N</t>
        </is>
      </c>
      <c r="I2772" s="37">
        <f>COUNTIF(G$5:G2772,"Y")/COUNTA(G$5:G2772)</f>
        <v/>
      </c>
      <c r="J2772" s="37">
        <f>COUNTIF(H$5:H2772,"Y")/COUNTA(H$5:H2772)</f>
        <v/>
      </c>
      <c r="K2772" s="37">
        <f>AVERAGE(F$5:F2772)</f>
        <v/>
      </c>
      <c r="L2772" s="37">
        <f>SUM(F$5:F2772)/SUM(E$5:E2772)</f>
        <v/>
      </c>
    </row>
    <row r="2773">
      <c r="A2773" s="29" t="n">
        <v>46080</v>
      </c>
      <c r="B2773" s="37" t="inlineStr">
        <is>
          <t>JOB-3769</t>
        </is>
      </c>
      <c r="C2773" s="34" t="n">
        <v>1</v>
      </c>
      <c r="D2773" s="37" t="inlineStr">
        <is>
          <t>Tech D</t>
        </is>
      </c>
      <c r="E2773" s="35" t="n">
        <v>1.9</v>
      </c>
      <c r="F2773" s="35" t="n">
        <v>1.3</v>
      </c>
      <c r="G2773" s="37" t="inlineStr">
        <is>
          <t>Y</t>
        </is>
      </c>
      <c r="H2773" s="37" t="inlineStr">
        <is>
          <t>N</t>
        </is>
      </c>
      <c r="I2773" s="37">
        <f>COUNTIF(G$5:G2773,"Y")/COUNTA(G$5:G2773)</f>
        <v/>
      </c>
      <c r="J2773" s="37">
        <f>COUNTIF(H$5:H2773,"Y")/COUNTA(H$5:H2773)</f>
        <v/>
      </c>
      <c r="K2773" s="37">
        <f>AVERAGE(F$5:F2773)</f>
        <v/>
      </c>
      <c r="L2773" s="37">
        <f>SUM(F$5:F2773)/SUM(E$5:E2773)</f>
        <v/>
      </c>
    </row>
    <row r="2774">
      <c r="A2774" s="29" t="n">
        <v>46076</v>
      </c>
      <c r="B2774" s="37" t="inlineStr">
        <is>
          <t>JOB-3770</t>
        </is>
      </c>
      <c r="C2774" s="34" t="n">
        <v>1</v>
      </c>
      <c r="D2774" s="37" t="inlineStr">
        <is>
          <t>Tech C</t>
        </is>
      </c>
      <c r="E2774" s="35" t="n">
        <v>3.7</v>
      </c>
      <c r="F2774" s="35" t="n">
        <v>3.2</v>
      </c>
      <c r="G2774" s="37" t="inlineStr">
        <is>
          <t>Y</t>
        </is>
      </c>
      <c r="H2774" s="37" t="inlineStr">
        <is>
          <t>N</t>
        </is>
      </c>
      <c r="I2774" s="37">
        <f>COUNTIF(G$5:G2774,"Y")/COUNTA(G$5:G2774)</f>
        <v/>
      </c>
      <c r="J2774" s="37">
        <f>COUNTIF(H$5:H2774,"Y")/COUNTA(H$5:H2774)</f>
        <v/>
      </c>
      <c r="K2774" s="37">
        <f>AVERAGE(F$5:F2774)</f>
        <v/>
      </c>
      <c r="L2774" s="37">
        <f>SUM(F$5:F2774)/SUM(E$5:E2774)</f>
        <v/>
      </c>
    </row>
    <row r="2775">
      <c r="A2775" s="29" t="n">
        <v>46077</v>
      </c>
      <c r="B2775" s="37" t="inlineStr">
        <is>
          <t>JOB-3771</t>
        </is>
      </c>
      <c r="C2775" s="34" t="n">
        <v>1</v>
      </c>
      <c r="D2775" s="37" t="inlineStr">
        <is>
          <t>Tech H</t>
        </is>
      </c>
      <c r="E2775" s="35" t="n">
        <v>2.6</v>
      </c>
      <c r="F2775" s="35" t="n">
        <v>1.9</v>
      </c>
      <c r="G2775" s="37" t="inlineStr">
        <is>
          <t>Y</t>
        </is>
      </c>
      <c r="H2775" s="37" t="inlineStr">
        <is>
          <t>N</t>
        </is>
      </c>
      <c r="I2775" s="37">
        <f>COUNTIF(G$5:G2775,"Y")/COUNTA(G$5:G2775)</f>
        <v/>
      </c>
      <c r="J2775" s="37">
        <f>COUNTIF(H$5:H2775,"Y")/COUNTA(H$5:H2775)</f>
        <v/>
      </c>
      <c r="K2775" s="37">
        <f>AVERAGE(F$5:F2775)</f>
        <v/>
      </c>
      <c r="L2775" s="37">
        <f>SUM(F$5:F2775)/SUM(E$5:E2775)</f>
        <v/>
      </c>
    </row>
    <row r="2776">
      <c r="A2776" s="29" t="n">
        <v>46078</v>
      </c>
      <c r="B2776" s="37" t="inlineStr">
        <is>
          <t>JOB-3772</t>
        </is>
      </c>
      <c r="C2776" s="34" t="n">
        <v>1</v>
      </c>
      <c r="D2776" s="37" t="inlineStr">
        <is>
          <t>Tech H</t>
        </is>
      </c>
      <c r="E2776" s="35" t="n">
        <v>2.8</v>
      </c>
      <c r="F2776" s="35" t="n">
        <v>2.1</v>
      </c>
      <c r="G2776" s="37" t="inlineStr">
        <is>
          <t>Y</t>
        </is>
      </c>
      <c r="H2776" s="37" t="inlineStr">
        <is>
          <t>N</t>
        </is>
      </c>
      <c r="I2776" s="37">
        <f>COUNTIF(G$5:G2776,"Y")/COUNTA(G$5:G2776)</f>
        <v/>
      </c>
      <c r="J2776" s="37">
        <f>COUNTIF(H$5:H2776,"Y")/COUNTA(H$5:H2776)</f>
        <v/>
      </c>
      <c r="K2776" s="37">
        <f>AVERAGE(F$5:F2776)</f>
        <v/>
      </c>
      <c r="L2776" s="37">
        <f>SUM(F$5:F2776)/SUM(E$5:E2776)</f>
        <v/>
      </c>
    </row>
    <row r="2777">
      <c r="A2777" s="29" t="n">
        <v>46079</v>
      </c>
      <c r="B2777" s="37" t="inlineStr">
        <is>
          <t>JOB-3773</t>
        </is>
      </c>
      <c r="C2777" s="34" t="n">
        <v>1</v>
      </c>
      <c r="D2777" s="37" t="inlineStr">
        <is>
          <t>Tech G</t>
        </is>
      </c>
      <c r="E2777" s="35" t="n">
        <v>3.7</v>
      </c>
      <c r="F2777" s="35" t="n">
        <v>2.4</v>
      </c>
      <c r="G2777" s="37" t="inlineStr">
        <is>
          <t>Y</t>
        </is>
      </c>
      <c r="H2777" s="37" t="inlineStr">
        <is>
          <t>N</t>
        </is>
      </c>
      <c r="I2777" s="37">
        <f>COUNTIF(G$5:G2777,"Y")/COUNTA(G$5:G2777)</f>
        <v/>
      </c>
      <c r="J2777" s="37">
        <f>COUNTIF(H$5:H2777,"Y")/COUNTA(H$5:H2777)</f>
        <v/>
      </c>
      <c r="K2777" s="37">
        <f>AVERAGE(F$5:F2777)</f>
        <v/>
      </c>
      <c r="L2777" s="37">
        <f>SUM(F$5:F2777)/SUM(E$5:E2777)</f>
        <v/>
      </c>
    </row>
    <row r="2778">
      <c r="A2778" s="29" t="n">
        <v>46080</v>
      </c>
      <c r="B2778" s="37" t="inlineStr">
        <is>
          <t>JOB-3774</t>
        </is>
      </c>
      <c r="C2778" s="34" t="n">
        <v>1</v>
      </c>
      <c r="D2778" s="37" t="inlineStr">
        <is>
          <t>Tech B</t>
        </is>
      </c>
      <c r="E2778" s="35" t="n">
        <v>1</v>
      </c>
      <c r="F2778" s="35" t="n">
        <v>0.7</v>
      </c>
      <c r="G2778" s="37" t="inlineStr">
        <is>
          <t>Y</t>
        </is>
      </c>
      <c r="H2778" s="37" t="inlineStr">
        <is>
          <t>N</t>
        </is>
      </c>
      <c r="I2778" s="37">
        <f>COUNTIF(G$5:G2778,"Y")/COUNTA(G$5:G2778)</f>
        <v/>
      </c>
      <c r="J2778" s="37">
        <f>COUNTIF(H$5:H2778,"Y")/COUNTA(H$5:H2778)</f>
        <v/>
      </c>
      <c r="K2778" s="37">
        <f>AVERAGE(F$5:F2778)</f>
        <v/>
      </c>
      <c r="L2778" s="37">
        <f>SUM(F$5:F2778)/SUM(E$5:E2778)</f>
        <v/>
      </c>
    </row>
    <row r="2779">
      <c r="A2779" s="29" t="n">
        <v>46076</v>
      </c>
      <c r="B2779" s="37" t="inlineStr">
        <is>
          <t>JOB-3775</t>
        </is>
      </c>
      <c r="C2779" s="34" t="n">
        <v>1</v>
      </c>
      <c r="D2779" s="37" t="inlineStr">
        <is>
          <t>Tech C</t>
        </is>
      </c>
      <c r="E2779" s="35" t="n">
        <v>0.6</v>
      </c>
      <c r="F2779" s="35" t="n">
        <v>0.5</v>
      </c>
      <c r="G2779" s="37" t="inlineStr">
        <is>
          <t>Y</t>
        </is>
      </c>
      <c r="H2779" s="37" t="inlineStr">
        <is>
          <t>N</t>
        </is>
      </c>
      <c r="I2779" s="37">
        <f>COUNTIF(G$5:G2779,"Y")/COUNTA(G$5:G2779)</f>
        <v/>
      </c>
      <c r="J2779" s="37">
        <f>COUNTIF(H$5:H2779,"Y")/COUNTA(H$5:H2779)</f>
        <v/>
      </c>
      <c r="K2779" s="37">
        <f>AVERAGE(F$5:F2779)</f>
        <v/>
      </c>
      <c r="L2779" s="37">
        <f>SUM(F$5:F2779)/SUM(E$5:E2779)</f>
        <v/>
      </c>
    </row>
    <row r="2780">
      <c r="A2780" s="29" t="n">
        <v>46077</v>
      </c>
      <c r="B2780" s="37" t="inlineStr">
        <is>
          <t>JOB-3776</t>
        </is>
      </c>
      <c r="C2780" s="34" t="n">
        <v>1</v>
      </c>
      <c r="D2780" s="37" t="inlineStr">
        <is>
          <t>Tech F</t>
        </is>
      </c>
      <c r="E2780" s="35" t="n">
        <v>0.7</v>
      </c>
      <c r="F2780" s="35" t="n">
        <v>0.5</v>
      </c>
      <c r="G2780" s="37" t="inlineStr">
        <is>
          <t>Y</t>
        </is>
      </c>
      <c r="H2780" s="37" t="inlineStr">
        <is>
          <t>N</t>
        </is>
      </c>
      <c r="I2780" s="37">
        <f>COUNTIF(G$5:G2780,"Y")/COUNTA(G$5:G2780)</f>
        <v/>
      </c>
      <c r="J2780" s="37">
        <f>COUNTIF(H$5:H2780,"Y")/COUNTA(H$5:H2780)</f>
        <v/>
      </c>
      <c r="K2780" s="37">
        <f>AVERAGE(F$5:F2780)</f>
        <v/>
      </c>
      <c r="L2780" s="37">
        <f>SUM(F$5:F2780)/SUM(E$5:E2780)</f>
        <v/>
      </c>
    </row>
    <row r="2781">
      <c r="A2781" s="29" t="n">
        <v>46078</v>
      </c>
      <c r="B2781" s="37" t="inlineStr">
        <is>
          <t>JOB-3777</t>
        </is>
      </c>
      <c r="C2781" s="34" t="n">
        <v>1</v>
      </c>
      <c r="D2781" s="37" t="inlineStr">
        <is>
          <t>Tech H</t>
        </is>
      </c>
      <c r="E2781" s="35" t="n">
        <v>0.7</v>
      </c>
      <c r="F2781" s="35" t="n">
        <v>0.5</v>
      </c>
      <c r="G2781" s="37" t="inlineStr">
        <is>
          <t>Y</t>
        </is>
      </c>
      <c r="H2781" s="37" t="inlineStr">
        <is>
          <t>N</t>
        </is>
      </c>
      <c r="I2781" s="37">
        <f>COUNTIF(G$5:G2781,"Y")/COUNTA(G$5:G2781)</f>
        <v/>
      </c>
      <c r="J2781" s="37">
        <f>COUNTIF(H$5:H2781,"Y")/COUNTA(H$5:H2781)</f>
        <v/>
      </c>
      <c r="K2781" s="37">
        <f>AVERAGE(F$5:F2781)</f>
        <v/>
      </c>
      <c r="L2781" s="37">
        <f>SUM(F$5:F2781)/SUM(E$5:E2781)</f>
        <v/>
      </c>
    </row>
    <row r="2782">
      <c r="A2782" s="29" t="n">
        <v>46079</v>
      </c>
      <c r="B2782" s="37" t="inlineStr">
        <is>
          <t>JOB-3778</t>
        </is>
      </c>
      <c r="C2782" s="34" t="n">
        <v>1</v>
      </c>
      <c r="D2782" s="37" t="inlineStr">
        <is>
          <t>Tech A</t>
        </is>
      </c>
      <c r="E2782" s="35" t="n">
        <v>0.7</v>
      </c>
      <c r="F2782" s="35" t="n">
        <v>0.5</v>
      </c>
      <c r="G2782" s="37" t="inlineStr">
        <is>
          <t>Y</t>
        </is>
      </c>
      <c r="H2782" s="37" t="inlineStr">
        <is>
          <t>N</t>
        </is>
      </c>
      <c r="I2782" s="37">
        <f>COUNTIF(G$5:G2782,"Y")/COUNTA(G$5:G2782)</f>
        <v/>
      </c>
      <c r="J2782" s="37">
        <f>COUNTIF(H$5:H2782,"Y")/COUNTA(H$5:H2782)</f>
        <v/>
      </c>
      <c r="K2782" s="37">
        <f>AVERAGE(F$5:F2782)</f>
        <v/>
      </c>
      <c r="L2782" s="37">
        <f>SUM(F$5:F2782)/SUM(E$5:E2782)</f>
        <v/>
      </c>
    </row>
    <row r="2783">
      <c r="A2783" s="29" t="n">
        <v>46080</v>
      </c>
      <c r="B2783" s="37" t="inlineStr">
        <is>
          <t>JOB-3779</t>
        </is>
      </c>
      <c r="C2783" s="34" t="n">
        <v>1</v>
      </c>
      <c r="D2783" s="37" t="inlineStr">
        <is>
          <t>Tech F</t>
        </is>
      </c>
      <c r="E2783" s="35" t="n">
        <v>0.7</v>
      </c>
      <c r="F2783" s="35" t="n">
        <v>0.5</v>
      </c>
      <c r="G2783" s="37" t="inlineStr">
        <is>
          <t>Y</t>
        </is>
      </c>
      <c r="H2783" s="37" t="inlineStr">
        <is>
          <t>N</t>
        </is>
      </c>
      <c r="I2783" s="37">
        <f>COUNTIF(G$5:G2783,"Y")/COUNTA(G$5:G2783)</f>
        <v/>
      </c>
      <c r="J2783" s="37">
        <f>COUNTIF(H$5:H2783,"Y")/COUNTA(H$5:H2783)</f>
        <v/>
      </c>
      <c r="K2783" s="37">
        <f>AVERAGE(F$5:F2783)</f>
        <v/>
      </c>
      <c r="L2783" s="37">
        <f>SUM(F$5:F2783)/SUM(E$5:E2783)</f>
        <v/>
      </c>
    </row>
    <row r="2784">
      <c r="A2784" s="29" t="n">
        <v>46076</v>
      </c>
      <c r="B2784" s="37" t="inlineStr">
        <is>
          <t>JOB-3780</t>
        </is>
      </c>
      <c r="C2784" s="34" t="n">
        <v>1</v>
      </c>
      <c r="D2784" s="37" t="inlineStr">
        <is>
          <t>Tech D</t>
        </is>
      </c>
      <c r="E2784" s="35" t="n">
        <v>0.6</v>
      </c>
      <c r="F2784" s="35" t="n">
        <v>0.5</v>
      </c>
      <c r="G2784" s="37" t="inlineStr">
        <is>
          <t>Y</t>
        </is>
      </c>
      <c r="H2784" s="37" t="inlineStr">
        <is>
          <t>N</t>
        </is>
      </c>
      <c r="I2784" s="37">
        <f>COUNTIF(G$5:G2784,"Y")/COUNTA(G$5:G2784)</f>
        <v/>
      </c>
      <c r="J2784" s="37">
        <f>COUNTIF(H$5:H2784,"Y")/COUNTA(H$5:H2784)</f>
        <v/>
      </c>
      <c r="K2784" s="37">
        <f>AVERAGE(F$5:F2784)</f>
        <v/>
      </c>
      <c r="L2784" s="37">
        <f>SUM(F$5:F2784)/SUM(E$5:E2784)</f>
        <v/>
      </c>
    </row>
    <row r="2785">
      <c r="A2785" s="29" t="n">
        <v>46077</v>
      </c>
      <c r="B2785" s="37" t="inlineStr">
        <is>
          <t>JOB-3781</t>
        </is>
      </c>
      <c r="C2785" s="34" t="n">
        <v>1</v>
      </c>
      <c r="D2785" s="37" t="inlineStr">
        <is>
          <t>Tech B</t>
        </is>
      </c>
      <c r="E2785" s="35" t="n">
        <v>0.5</v>
      </c>
      <c r="F2785" s="35" t="n">
        <v>0.5</v>
      </c>
      <c r="G2785" s="37" t="inlineStr">
        <is>
          <t>Y</t>
        </is>
      </c>
      <c r="H2785" s="37" t="inlineStr">
        <is>
          <t>N</t>
        </is>
      </c>
      <c r="I2785" s="37">
        <f>COUNTIF(G$5:G2785,"Y")/COUNTA(G$5:G2785)</f>
        <v/>
      </c>
      <c r="J2785" s="37">
        <f>COUNTIF(H$5:H2785,"Y")/COUNTA(H$5:H2785)</f>
        <v/>
      </c>
      <c r="K2785" s="37">
        <f>AVERAGE(F$5:F2785)</f>
        <v/>
      </c>
      <c r="L2785" s="37">
        <f>SUM(F$5:F2785)/SUM(E$5:E2785)</f>
        <v/>
      </c>
      <c r="M2785" s="37" t="n">
        <v>10</v>
      </c>
    </row>
    <row r="2786">
      <c r="A2786" s="29" t="n">
        <v>46083</v>
      </c>
      <c r="B2786" s="37" t="inlineStr">
        <is>
          <t>JOB-3782</t>
        </is>
      </c>
      <c r="C2786" s="34" t="n">
        <v>1</v>
      </c>
      <c r="D2786" s="37" t="inlineStr">
        <is>
          <t>Tech H</t>
        </is>
      </c>
      <c r="E2786" s="35" t="n">
        <v>3.6</v>
      </c>
      <c r="F2786" s="35" t="n">
        <v>2.9</v>
      </c>
      <c r="G2786" s="37" t="inlineStr">
        <is>
          <t>Y</t>
        </is>
      </c>
      <c r="H2786" s="37" t="inlineStr">
        <is>
          <t>N</t>
        </is>
      </c>
      <c r="I2786" s="37">
        <f>COUNTIF(G$5:G2786,"Y")/COUNTA(G$5:G2786)</f>
        <v/>
      </c>
      <c r="J2786" s="37">
        <f>COUNTIF(H$5:H2786,"Y")/COUNTA(H$5:H2786)</f>
        <v/>
      </c>
      <c r="K2786" s="37">
        <f>AVERAGE(F$5:F2786)</f>
        <v/>
      </c>
      <c r="L2786" s="37">
        <f>SUM(F$5:F2786)/SUM(E$5:E2786)</f>
        <v/>
      </c>
    </row>
    <row r="2787">
      <c r="A2787" s="29" t="n">
        <v>46084</v>
      </c>
      <c r="B2787" s="37" t="inlineStr">
        <is>
          <t>JOB-3783</t>
        </is>
      </c>
      <c r="C2787" s="34" t="n">
        <v>1</v>
      </c>
      <c r="D2787" s="37" t="inlineStr">
        <is>
          <t>Tech G</t>
        </is>
      </c>
      <c r="E2787" s="35" t="n">
        <v>2.5</v>
      </c>
      <c r="F2787" s="35" t="n">
        <v>2.2</v>
      </c>
      <c r="G2787" s="37" t="inlineStr">
        <is>
          <t>N</t>
        </is>
      </c>
      <c r="H2787" s="37" t="inlineStr">
        <is>
          <t>N</t>
        </is>
      </c>
      <c r="I2787" s="37">
        <f>COUNTIF(G$5:G2787,"Y")/COUNTA(G$5:G2787)</f>
        <v/>
      </c>
      <c r="J2787" s="37">
        <f>COUNTIF(H$5:H2787,"Y")/COUNTA(H$5:H2787)</f>
        <v/>
      </c>
      <c r="K2787" s="37">
        <f>AVERAGE(F$5:F2787)</f>
        <v/>
      </c>
      <c r="L2787" s="37">
        <f>SUM(F$5:F2787)/SUM(E$5:E2787)</f>
        <v/>
      </c>
    </row>
    <row r="2788">
      <c r="A2788" s="29" t="n">
        <v>46085</v>
      </c>
      <c r="B2788" s="37" t="inlineStr">
        <is>
          <t>JOB-3784</t>
        </is>
      </c>
      <c r="C2788" s="34" t="n">
        <v>1</v>
      </c>
      <c r="D2788" s="37" t="inlineStr">
        <is>
          <t>Tech F</t>
        </is>
      </c>
      <c r="E2788" s="35" t="n">
        <v>2.6</v>
      </c>
      <c r="F2788" s="35" t="n">
        <v>2.2</v>
      </c>
      <c r="G2788" s="37" t="inlineStr">
        <is>
          <t>Y</t>
        </is>
      </c>
      <c r="H2788" s="37" t="inlineStr">
        <is>
          <t>N</t>
        </is>
      </c>
      <c r="I2788" s="37">
        <f>COUNTIF(G$5:G2788,"Y")/COUNTA(G$5:G2788)</f>
        <v/>
      </c>
      <c r="J2788" s="37">
        <f>COUNTIF(H$5:H2788,"Y")/COUNTA(H$5:H2788)</f>
        <v/>
      </c>
      <c r="K2788" s="37">
        <f>AVERAGE(F$5:F2788)</f>
        <v/>
      </c>
      <c r="L2788" s="37">
        <f>SUM(F$5:F2788)/SUM(E$5:E2788)</f>
        <v/>
      </c>
    </row>
    <row r="2789">
      <c r="A2789" s="29" t="n">
        <v>46086</v>
      </c>
      <c r="B2789" s="37" t="inlineStr">
        <is>
          <t>JOB-3785</t>
        </is>
      </c>
      <c r="C2789" s="34" t="n">
        <v>1</v>
      </c>
      <c r="D2789" s="37" t="inlineStr">
        <is>
          <t>Tech H</t>
        </is>
      </c>
      <c r="E2789" s="35" t="n">
        <v>2.5</v>
      </c>
      <c r="F2789" s="35" t="n">
        <v>1.8</v>
      </c>
      <c r="G2789" s="37" t="inlineStr">
        <is>
          <t>Y</t>
        </is>
      </c>
      <c r="H2789" s="37" t="inlineStr">
        <is>
          <t>N</t>
        </is>
      </c>
      <c r="I2789" s="37">
        <f>COUNTIF(G$5:G2789,"Y")/COUNTA(G$5:G2789)</f>
        <v/>
      </c>
      <c r="J2789" s="37">
        <f>COUNTIF(H$5:H2789,"Y")/COUNTA(H$5:H2789)</f>
        <v/>
      </c>
      <c r="K2789" s="37">
        <f>AVERAGE(F$5:F2789)</f>
        <v/>
      </c>
      <c r="L2789" s="37">
        <f>SUM(F$5:F2789)/SUM(E$5:E2789)</f>
        <v/>
      </c>
    </row>
    <row r="2790">
      <c r="A2790" s="29" t="n">
        <v>46087</v>
      </c>
      <c r="B2790" s="37" t="inlineStr">
        <is>
          <t>JOB-3786</t>
        </is>
      </c>
      <c r="C2790" s="34" t="n">
        <v>1</v>
      </c>
      <c r="D2790" s="37" t="inlineStr">
        <is>
          <t>Tech F</t>
        </is>
      </c>
      <c r="E2790" s="35" t="n">
        <v>4.7</v>
      </c>
      <c r="F2790" s="35" t="n">
        <v>3.7</v>
      </c>
      <c r="G2790" s="37" t="inlineStr">
        <is>
          <t>Y</t>
        </is>
      </c>
      <c r="H2790" s="37" t="inlineStr">
        <is>
          <t>N</t>
        </is>
      </c>
      <c r="I2790" s="37">
        <f>COUNTIF(G$5:G2790,"Y")/COUNTA(G$5:G2790)</f>
        <v/>
      </c>
      <c r="J2790" s="37">
        <f>COUNTIF(H$5:H2790,"Y")/COUNTA(H$5:H2790)</f>
        <v/>
      </c>
      <c r="K2790" s="37">
        <f>AVERAGE(F$5:F2790)</f>
        <v/>
      </c>
      <c r="L2790" s="37">
        <f>SUM(F$5:F2790)/SUM(E$5:E2790)</f>
        <v/>
      </c>
    </row>
    <row r="2791">
      <c r="A2791" s="29" t="n">
        <v>46083</v>
      </c>
      <c r="B2791" s="37" t="inlineStr">
        <is>
          <t>JOB-3787</t>
        </is>
      </c>
      <c r="C2791" s="34" t="n">
        <v>1</v>
      </c>
      <c r="D2791" s="37" t="inlineStr">
        <is>
          <t>Tech H</t>
        </is>
      </c>
      <c r="E2791" s="35" t="n">
        <v>1.9</v>
      </c>
      <c r="F2791" s="35" t="n">
        <v>1.7</v>
      </c>
      <c r="G2791" s="37" t="inlineStr">
        <is>
          <t>N</t>
        </is>
      </c>
      <c r="H2791" s="37" t="inlineStr">
        <is>
          <t>N</t>
        </is>
      </c>
      <c r="I2791" s="37">
        <f>COUNTIF(G$5:G2791,"Y")/COUNTA(G$5:G2791)</f>
        <v/>
      </c>
      <c r="J2791" s="37">
        <f>COUNTIF(H$5:H2791,"Y")/COUNTA(H$5:H2791)</f>
        <v/>
      </c>
      <c r="K2791" s="37">
        <f>AVERAGE(F$5:F2791)</f>
        <v/>
      </c>
      <c r="L2791" s="37">
        <f>SUM(F$5:F2791)/SUM(E$5:E2791)</f>
        <v/>
      </c>
    </row>
    <row r="2792">
      <c r="A2792" s="29" t="n">
        <v>46084</v>
      </c>
      <c r="B2792" s="37" t="inlineStr">
        <is>
          <t>JOB-3788</t>
        </is>
      </c>
      <c r="C2792" s="34" t="n">
        <v>1</v>
      </c>
      <c r="D2792" s="37" t="inlineStr">
        <is>
          <t>Tech A</t>
        </is>
      </c>
      <c r="E2792" s="35" t="n">
        <v>2.2</v>
      </c>
      <c r="F2792" s="35" t="n">
        <v>1.9</v>
      </c>
      <c r="G2792" s="37" t="inlineStr">
        <is>
          <t>Y</t>
        </is>
      </c>
      <c r="H2792" s="37" t="inlineStr">
        <is>
          <t>N</t>
        </is>
      </c>
      <c r="I2792" s="37">
        <f>COUNTIF(G$5:G2792,"Y")/COUNTA(G$5:G2792)</f>
        <v/>
      </c>
      <c r="J2792" s="37">
        <f>COUNTIF(H$5:H2792,"Y")/COUNTA(H$5:H2792)</f>
        <v/>
      </c>
      <c r="K2792" s="37">
        <f>AVERAGE(F$5:F2792)</f>
        <v/>
      </c>
      <c r="L2792" s="37">
        <f>SUM(F$5:F2792)/SUM(E$5:E2792)</f>
        <v/>
      </c>
    </row>
    <row r="2793">
      <c r="A2793" s="29" t="n">
        <v>46085</v>
      </c>
      <c r="B2793" s="37" t="inlineStr">
        <is>
          <t>JOB-3789</t>
        </is>
      </c>
      <c r="C2793" s="34" t="n">
        <v>1</v>
      </c>
      <c r="D2793" s="37" t="inlineStr">
        <is>
          <t>Tech D</t>
        </is>
      </c>
      <c r="E2793" s="35" t="n">
        <v>2.5</v>
      </c>
      <c r="F2793" s="35" t="n">
        <v>1.8</v>
      </c>
      <c r="G2793" s="37" t="inlineStr">
        <is>
          <t>Y</t>
        </is>
      </c>
      <c r="H2793" s="37" t="inlineStr">
        <is>
          <t>N</t>
        </is>
      </c>
      <c r="I2793" s="37">
        <f>COUNTIF(G$5:G2793,"Y")/COUNTA(G$5:G2793)</f>
        <v/>
      </c>
      <c r="J2793" s="37">
        <f>COUNTIF(H$5:H2793,"Y")/COUNTA(H$5:H2793)</f>
        <v/>
      </c>
      <c r="K2793" s="37">
        <f>AVERAGE(F$5:F2793)</f>
        <v/>
      </c>
      <c r="L2793" s="37">
        <f>SUM(F$5:F2793)/SUM(E$5:E2793)</f>
        <v/>
      </c>
    </row>
    <row r="2794">
      <c r="A2794" s="29" t="n">
        <v>46086</v>
      </c>
      <c r="B2794" s="37" t="inlineStr">
        <is>
          <t>JOB-3790</t>
        </is>
      </c>
      <c r="C2794" s="34" t="n">
        <v>1</v>
      </c>
      <c r="D2794" s="37" t="inlineStr">
        <is>
          <t>Tech D</t>
        </is>
      </c>
      <c r="E2794" s="35" t="n">
        <v>4.5</v>
      </c>
      <c r="F2794" s="35" t="n">
        <v>3.3</v>
      </c>
      <c r="G2794" s="37" t="inlineStr">
        <is>
          <t>Y</t>
        </is>
      </c>
      <c r="H2794" s="37" t="inlineStr">
        <is>
          <t>N</t>
        </is>
      </c>
      <c r="I2794" s="37">
        <f>COUNTIF(G$5:G2794,"Y")/COUNTA(G$5:G2794)</f>
        <v/>
      </c>
      <c r="J2794" s="37">
        <f>COUNTIF(H$5:H2794,"Y")/COUNTA(H$5:H2794)</f>
        <v/>
      </c>
      <c r="K2794" s="37">
        <f>AVERAGE(F$5:F2794)</f>
        <v/>
      </c>
      <c r="L2794" s="37">
        <f>SUM(F$5:F2794)/SUM(E$5:E2794)</f>
        <v/>
      </c>
    </row>
    <row r="2795">
      <c r="A2795" s="29" t="n">
        <v>46087</v>
      </c>
      <c r="B2795" s="37" t="inlineStr">
        <is>
          <t>JOB-3791</t>
        </is>
      </c>
      <c r="C2795" s="34" t="n">
        <v>1</v>
      </c>
      <c r="D2795" s="37" t="inlineStr">
        <is>
          <t>Tech G</t>
        </is>
      </c>
      <c r="E2795" s="35" t="n">
        <v>3.5</v>
      </c>
      <c r="F2795" s="35" t="n">
        <v>2.8</v>
      </c>
      <c r="G2795" s="37" t="inlineStr">
        <is>
          <t>Y</t>
        </is>
      </c>
      <c r="H2795" s="37" t="inlineStr">
        <is>
          <t>N</t>
        </is>
      </c>
      <c r="I2795" s="37">
        <f>COUNTIF(G$5:G2795,"Y")/COUNTA(G$5:G2795)</f>
        <v/>
      </c>
      <c r="J2795" s="37">
        <f>COUNTIF(H$5:H2795,"Y")/COUNTA(H$5:H2795)</f>
        <v/>
      </c>
      <c r="K2795" s="37">
        <f>AVERAGE(F$5:F2795)</f>
        <v/>
      </c>
      <c r="L2795" s="37">
        <f>SUM(F$5:F2795)/SUM(E$5:E2795)</f>
        <v/>
      </c>
    </row>
    <row r="2796">
      <c r="A2796" s="29" t="n">
        <v>46083</v>
      </c>
      <c r="B2796" s="37" t="inlineStr">
        <is>
          <t>JOB-3792</t>
        </is>
      </c>
      <c r="C2796" s="34" t="n">
        <v>1</v>
      </c>
      <c r="D2796" s="37" t="inlineStr">
        <is>
          <t>Tech H</t>
        </is>
      </c>
      <c r="E2796" s="35" t="n">
        <v>3.2</v>
      </c>
      <c r="F2796" s="35" t="n">
        <v>2.1</v>
      </c>
      <c r="G2796" s="37" t="inlineStr">
        <is>
          <t>Y</t>
        </is>
      </c>
      <c r="H2796" s="37" t="inlineStr">
        <is>
          <t>N</t>
        </is>
      </c>
      <c r="I2796" s="37">
        <f>COUNTIF(G$5:G2796,"Y")/COUNTA(G$5:G2796)</f>
        <v/>
      </c>
      <c r="J2796" s="37">
        <f>COUNTIF(H$5:H2796,"Y")/COUNTA(H$5:H2796)</f>
        <v/>
      </c>
      <c r="K2796" s="37">
        <f>AVERAGE(F$5:F2796)</f>
        <v/>
      </c>
      <c r="L2796" s="37">
        <f>SUM(F$5:F2796)/SUM(E$5:E2796)</f>
        <v/>
      </c>
    </row>
    <row r="2797">
      <c r="A2797" s="29" t="n">
        <v>46084</v>
      </c>
      <c r="B2797" s="37" t="inlineStr">
        <is>
          <t>JOB-3793</t>
        </is>
      </c>
      <c r="C2797" s="34" t="n">
        <v>1</v>
      </c>
      <c r="D2797" s="37" t="inlineStr">
        <is>
          <t>Tech A</t>
        </is>
      </c>
      <c r="E2797" s="35" t="n">
        <v>1.4</v>
      </c>
      <c r="F2797" s="35" t="n">
        <v>1.1</v>
      </c>
      <c r="G2797" s="37" t="inlineStr">
        <is>
          <t>Y</t>
        </is>
      </c>
      <c r="H2797" s="37" t="inlineStr">
        <is>
          <t>Y</t>
        </is>
      </c>
      <c r="I2797" s="37">
        <f>COUNTIF(G$5:G2797,"Y")/COUNTA(G$5:G2797)</f>
        <v/>
      </c>
      <c r="J2797" s="37">
        <f>COUNTIF(H$5:H2797,"Y")/COUNTA(H$5:H2797)</f>
        <v/>
      </c>
      <c r="K2797" s="37">
        <f>AVERAGE(F$5:F2797)</f>
        <v/>
      </c>
      <c r="L2797" s="37">
        <f>SUM(F$5:F2797)/SUM(E$5:E2797)</f>
        <v/>
      </c>
    </row>
    <row r="2798">
      <c r="A2798" s="29" t="n">
        <v>46085</v>
      </c>
      <c r="B2798" s="37" t="inlineStr">
        <is>
          <t>JOB-3794</t>
        </is>
      </c>
      <c r="C2798" s="34" t="n">
        <v>1</v>
      </c>
      <c r="D2798" s="37" t="inlineStr">
        <is>
          <t>Tech C</t>
        </is>
      </c>
      <c r="E2798" s="35" t="n">
        <v>2.6</v>
      </c>
      <c r="F2798" s="35" t="n">
        <v>2</v>
      </c>
      <c r="G2798" s="37" t="inlineStr">
        <is>
          <t>Y</t>
        </is>
      </c>
      <c r="H2798" s="37" t="inlineStr">
        <is>
          <t>N</t>
        </is>
      </c>
      <c r="I2798" s="37">
        <f>COUNTIF(G$5:G2798,"Y")/COUNTA(G$5:G2798)</f>
        <v/>
      </c>
      <c r="J2798" s="37">
        <f>COUNTIF(H$5:H2798,"Y")/COUNTA(H$5:H2798)</f>
        <v/>
      </c>
      <c r="K2798" s="37">
        <f>AVERAGE(F$5:F2798)</f>
        <v/>
      </c>
      <c r="L2798" s="37">
        <f>SUM(F$5:F2798)/SUM(E$5:E2798)</f>
        <v/>
      </c>
    </row>
    <row r="2799">
      <c r="A2799" s="29" t="n">
        <v>46086</v>
      </c>
      <c r="B2799" s="37" t="inlineStr">
        <is>
          <t>JOB-3795</t>
        </is>
      </c>
      <c r="C2799" s="34" t="n">
        <v>1</v>
      </c>
      <c r="D2799" s="37" t="inlineStr">
        <is>
          <t>Tech G</t>
        </is>
      </c>
      <c r="E2799" s="35" t="n">
        <v>3.3</v>
      </c>
      <c r="F2799" s="35" t="n">
        <v>2.3</v>
      </c>
      <c r="G2799" s="37" t="inlineStr">
        <is>
          <t>Y</t>
        </is>
      </c>
      <c r="H2799" s="37" t="inlineStr">
        <is>
          <t>N</t>
        </is>
      </c>
      <c r="I2799" s="37">
        <f>COUNTIF(G$5:G2799,"Y")/COUNTA(G$5:G2799)</f>
        <v/>
      </c>
      <c r="J2799" s="37">
        <f>COUNTIF(H$5:H2799,"Y")/COUNTA(H$5:H2799)</f>
        <v/>
      </c>
      <c r="K2799" s="37">
        <f>AVERAGE(F$5:F2799)</f>
        <v/>
      </c>
      <c r="L2799" s="37">
        <f>SUM(F$5:F2799)/SUM(E$5:E2799)</f>
        <v/>
      </c>
    </row>
    <row r="2800">
      <c r="A2800" s="29" t="n">
        <v>46087</v>
      </c>
      <c r="B2800" s="37" t="inlineStr">
        <is>
          <t>JOB-3796</t>
        </is>
      </c>
      <c r="C2800" s="34" t="n">
        <v>1</v>
      </c>
      <c r="D2800" s="37" t="inlineStr">
        <is>
          <t>Tech D</t>
        </is>
      </c>
      <c r="E2800" s="35" t="n">
        <v>2.3</v>
      </c>
      <c r="F2800" s="35" t="n">
        <v>1.6</v>
      </c>
      <c r="G2800" s="37" t="inlineStr">
        <is>
          <t>Y</t>
        </is>
      </c>
      <c r="H2800" s="37" t="inlineStr">
        <is>
          <t>N</t>
        </is>
      </c>
      <c r="I2800" s="37">
        <f>COUNTIF(G$5:G2800,"Y")/COUNTA(G$5:G2800)</f>
        <v/>
      </c>
      <c r="J2800" s="37">
        <f>COUNTIF(H$5:H2800,"Y")/COUNTA(H$5:H2800)</f>
        <v/>
      </c>
      <c r="K2800" s="37">
        <f>AVERAGE(F$5:F2800)</f>
        <v/>
      </c>
      <c r="L2800" s="37">
        <f>SUM(F$5:F2800)/SUM(E$5:E2800)</f>
        <v/>
      </c>
    </row>
    <row r="2801">
      <c r="A2801" s="29" t="n">
        <v>46083</v>
      </c>
      <c r="B2801" s="37" t="inlineStr">
        <is>
          <t>JOB-3797</t>
        </is>
      </c>
      <c r="C2801" s="34" t="n">
        <v>1</v>
      </c>
      <c r="D2801" s="37" t="inlineStr">
        <is>
          <t>Tech G</t>
        </is>
      </c>
      <c r="E2801" s="35" t="n">
        <v>3.6</v>
      </c>
      <c r="F2801" s="35" t="n">
        <v>2.9</v>
      </c>
      <c r="G2801" s="37" t="inlineStr">
        <is>
          <t>Y</t>
        </is>
      </c>
      <c r="H2801" s="37" t="inlineStr">
        <is>
          <t>N</t>
        </is>
      </c>
      <c r="I2801" s="37">
        <f>COUNTIF(G$5:G2801,"Y")/COUNTA(G$5:G2801)</f>
        <v/>
      </c>
      <c r="J2801" s="37">
        <f>COUNTIF(H$5:H2801,"Y")/COUNTA(H$5:H2801)</f>
        <v/>
      </c>
      <c r="K2801" s="37">
        <f>AVERAGE(F$5:F2801)</f>
        <v/>
      </c>
      <c r="L2801" s="37">
        <f>SUM(F$5:F2801)/SUM(E$5:E2801)</f>
        <v/>
      </c>
    </row>
    <row r="2802">
      <c r="A2802" s="29" t="n">
        <v>46084</v>
      </c>
      <c r="B2802" s="37" t="inlineStr">
        <is>
          <t>JOB-3798</t>
        </is>
      </c>
      <c r="C2802" s="34" t="n">
        <v>1</v>
      </c>
      <c r="D2802" s="37" t="inlineStr">
        <is>
          <t>Tech G</t>
        </is>
      </c>
      <c r="E2802" s="35" t="n">
        <v>1.6</v>
      </c>
      <c r="F2802" s="35" t="n">
        <v>1.1</v>
      </c>
      <c r="G2802" s="37" t="inlineStr">
        <is>
          <t>Y</t>
        </is>
      </c>
      <c r="H2802" s="37" t="inlineStr">
        <is>
          <t>N</t>
        </is>
      </c>
      <c r="I2802" s="37">
        <f>COUNTIF(G$5:G2802,"Y")/COUNTA(G$5:G2802)</f>
        <v/>
      </c>
      <c r="J2802" s="37">
        <f>COUNTIF(H$5:H2802,"Y")/COUNTA(H$5:H2802)</f>
        <v/>
      </c>
      <c r="K2802" s="37">
        <f>AVERAGE(F$5:F2802)</f>
        <v/>
      </c>
      <c r="L2802" s="37">
        <f>SUM(F$5:F2802)/SUM(E$5:E2802)</f>
        <v/>
      </c>
    </row>
    <row r="2803">
      <c r="A2803" s="29" t="n">
        <v>46085</v>
      </c>
      <c r="B2803" s="37" t="inlineStr">
        <is>
          <t>JOB-3799</t>
        </is>
      </c>
      <c r="C2803" s="34" t="n">
        <v>1</v>
      </c>
      <c r="D2803" s="37" t="inlineStr">
        <is>
          <t>Tech H</t>
        </is>
      </c>
      <c r="E2803" s="35" t="n">
        <v>5.1</v>
      </c>
      <c r="F2803" s="35" t="n">
        <v>3.7</v>
      </c>
      <c r="G2803" s="37" t="inlineStr">
        <is>
          <t>Y</t>
        </is>
      </c>
      <c r="H2803" s="37" t="inlineStr">
        <is>
          <t>N</t>
        </is>
      </c>
      <c r="I2803" s="37">
        <f>COUNTIF(G$5:G2803,"Y")/COUNTA(G$5:G2803)</f>
        <v/>
      </c>
      <c r="J2803" s="37">
        <f>COUNTIF(H$5:H2803,"Y")/COUNTA(H$5:H2803)</f>
        <v/>
      </c>
      <c r="K2803" s="37">
        <f>AVERAGE(F$5:F2803)</f>
        <v/>
      </c>
      <c r="L2803" s="37">
        <f>SUM(F$5:F2803)/SUM(E$5:E2803)</f>
        <v/>
      </c>
    </row>
    <row r="2804">
      <c r="A2804" s="29" t="n">
        <v>46086</v>
      </c>
      <c r="B2804" s="37" t="inlineStr">
        <is>
          <t>JOB-3800</t>
        </is>
      </c>
      <c r="C2804" s="34" t="n">
        <v>1</v>
      </c>
      <c r="D2804" s="37" t="inlineStr">
        <is>
          <t>Tech G</t>
        </is>
      </c>
      <c r="E2804" s="35" t="n">
        <v>3.3</v>
      </c>
      <c r="F2804" s="35" t="n">
        <v>2.6</v>
      </c>
      <c r="G2804" s="37" t="inlineStr">
        <is>
          <t>Y</t>
        </is>
      </c>
      <c r="H2804" s="37" t="inlineStr">
        <is>
          <t>N</t>
        </is>
      </c>
      <c r="I2804" s="37">
        <f>COUNTIF(G$5:G2804,"Y")/COUNTA(G$5:G2804)</f>
        <v/>
      </c>
      <c r="J2804" s="37">
        <f>COUNTIF(H$5:H2804,"Y")/COUNTA(H$5:H2804)</f>
        <v/>
      </c>
      <c r="K2804" s="37">
        <f>AVERAGE(F$5:F2804)</f>
        <v/>
      </c>
      <c r="L2804" s="37">
        <f>SUM(F$5:F2804)/SUM(E$5:E2804)</f>
        <v/>
      </c>
    </row>
    <row r="2805">
      <c r="A2805" s="29" t="n">
        <v>46087</v>
      </c>
      <c r="B2805" s="37" t="inlineStr">
        <is>
          <t>JOB-3801</t>
        </is>
      </c>
      <c r="C2805" s="34" t="n">
        <v>1</v>
      </c>
      <c r="D2805" s="37" t="inlineStr">
        <is>
          <t>Tech A</t>
        </is>
      </c>
      <c r="E2805" s="35" t="n">
        <v>2.4</v>
      </c>
      <c r="F2805" s="35" t="n">
        <v>1.6</v>
      </c>
      <c r="G2805" s="37" t="inlineStr">
        <is>
          <t>Y</t>
        </is>
      </c>
      <c r="H2805" s="37" t="inlineStr">
        <is>
          <t>N</t>
        </is>
      </c>
      <c r="I2805" s="37">
        <f>COUNTIF(G$5:G2805,"Y")/COUNTA(G$5:G2805)</f>
        <v/>
      </c>
      <c r="J2805" s="37">
        <f>COUNTIF(H$5:H2805,"Y")/COUNTA(H$5:H2805)</f>
        <v/>
      </c>
      <c r="K2805" s="37">
        <f>AVERAGE(F$5:F2805)</f>
        <v/>
      </c>
      <c r="L2805" s="37">
        <f>SUM(F$5:F2805)/SUM(E$5:E2805)</f>
        <v/>
      </c>
    </row>
    <row r="2806">
      <c r="A2806" s="29" t="n">
        <v>46083</v>
      </c>
      <c r="B2806" s="37" t="inlineStr">
        <is>
          <t>JOB-3802</t>
        </is>
      </c>
      <c r="C2806" s="34" t="n">
        <v>1</v>
      </c>
      <c r="D2806" s="37" t="inlineStr">
        <is>
          <t>Tech C</t>
        </is>
      </c>
      <c r="E2806" s="35" t="n">
        <v>2.6</v>
      </c>
      <c r="F2806" s="35" t="n">
        <v>2.1</v>
      </c>
      <c r="G2806" s="37" t="inlineStr">
        <is>
          <t>Y</t>
        </is>
      </c>
      <c r="H2806" s="37" t="inlineStr">
        <is>
          <t>N</t>
        </is>
      </c>
      <c r="I2806" s="37">
        <f>COUNTIF(G$5:G2806,"Y")/COUNTA(G$5:G2806)</f>
        <v/>
      </c>
      <c r="J2806" s="37">
        <f>COUNTIF(H$5:H2806,"Y")/COUNTA(H$5:H2806)</f>
        <v/>
      </c>
      <c r="K2806" s="37">
        <f>AVERAGE(F$5:F2806)</f>
        <v/>
      </c>
      <c r="L2806" s="37">
        <f>SUM(F$5:F2806)/SUM(E$5:E2806)</f>
        <v/>
      </c>
    </row>
    <row r="2807">
      <c r="A2807" s="29" t="n">
        <v>46084</v>
      </c>
      <c r="B2807" s="37" t="inlineStr">
        <is>
          <t>JOB-3803</t>
        </is>
      </c>
      <c r="C2807" s="34" t="n">
        <v>1</v>
      </c>
      <c r="D2807" s="37" t="inlineStr">
        <is>
          <t>Tech D</t>
        </is>
      </c>
      <c r="E2807" s="35" t="n">
        <v>2.7</v>
      </c>
      <c r="F2807" s="35" t="n">
        <v>1.9</v>
      </c>
      <c r="G2807" s="37" t="inlineStr">
        <is>
          <t>Y</t>
        </is>
      </c>
      <c r="H2807" s="37" t="inlineStr">
        <is>
          <t>N</t>
        </is>
      </c>
      <c r="I2807" s="37">
        <f>COUNTIF(G$5:G2807,"Y")/COUNTA(G$5:G2807)</f>
        <v/>
      </c>
      <c r="J2807" s="37">
        <f>COUNTIF(H$5:H2807,"Y")/COUNTA(H$5:H2807)</f>
        <v/>
      </c>
      <c r="K2807" s="37">
        <f>AVERAGE(F$5:F2807)</f>
        <v/>
      </c>
      <c r="L2807" s="37">
        <f>SUM(F$5:F2807)/SUM(E$5:E2807)</f>
        <v/>
      </c>
    </row>
    <row r="2808">
      <c r="A2808" s="29" t="n">
        <v>46085</v>
      </c>
      <c r="B2808" s="37" t="inlineStr">
        <is>
          <t>JOB-3804</t>
        </is>
      </c>
      <c r="C2808" s="34" t="n">
        <v>1</v>
      </c>
      <c r="D2808" s="37" t="inlineStr">
        <is>
          <t>Tech H</t>
        </is>
      </c>
      <c r="E2808" s="35" t="n">
        <v>1.5</v>
      </c>
      <c r="F2808" s="35" t="n">
        <v>1.1</v>
      </c>
      <c r="G2808" s="37" t="inlineStr">
        <is>
          <t>Y</t>
        </is>
      </c>
      <c r="H2808" s="37" t="inlineStr">
        <is>
          <t>N</t>
        </is>
      </c>
      <c r="I2808" s="37">
        <f>COUNTIF(G$5:G2808,"Y")/COUNTA(G$5:G2808)</f>
        <v/>
      </c>
      <c r="J2808" s="37">
        <f>COUNTIF(H$5:H2808,"Y")/COUNTA(H$5:H2808)</f>
        <v/>
      </c>
      <c r="K2808" s="37">
        <f>AVERAGE(F$5:F2808)</f>
        <v/>
      </c>
      <c r="L2808" s="37">
        <f>SUM(F$5:F2808)/SUM(E$5:E2808)</f>
        <v/>
      </c>
    </row>
    <row r="2809">
      <c r="A2809" s="29" t="n">
        <v>46086</v>
      </c>
      <c r="B2809" s="37" t="inlineStr">
        <is>
          <t>JOB-3805</t>
        </is>
      </c>
      <c r="C2809" s="34" t="n">
        <v>1</v>
      </c>
      <c r="D2809" s="37" t="inlineStr">
        <is>
          <t>Tech F</t>
        </is>
      </c>
      <c r="E2809" s="35" t="n">
        <v>1.9</v>
      </c>
      <c r="F2809" s="35" t="n">
        <v>1.5</v>
      </c>
      <c r="G2809" s="37" t="inlineStr">
        <is>
          <t>Y</t>
        </is>
      </c>
      <c r="H2809" s="37" t="inlineStr">
        <is>
          <t>N</t>
        </is>
      </c>
      <c r="I2809" s="37">
        <f>COUNTIF(G$5:G2809,"Y")/COUNTA(G$5:G2809)</f>
        <v/>
      </c>
      <c r="J2809" s="37">
        <f>COUNTIF(H$5:H2809,"Y")/COUNTA(H$5:H2809)</f>
        <v/>
      </c>
      <c r="K2809" s="37">
        <f>AVERAGE(F$5:F2809)</f>
        <v/>
      </c>
      <c r="L2809" s="37">
        <f>SUM(F$5:F2809)/SUM(E$5:E2809)</f>
        <v/>
      </c>
    </row>
    <row r="2810">
      <c r="A2810" s="29" t="n">
        <v>46087</v>
      </c>
      <c r="B2810" s="37" t="inlineStr">
        <is>
          <t>JOB-3806</t>
        </is>
      </c>
      <c r="C2810" s="34" t="n">
        <v>1</v>
      </c>
      <c r="D2810" s="37" t="inlineStr">
        <is>
          <t>Tech H</t>
        </is>
      </c>
      <c r="E2810" s="35" t="n">
        <v>3.4</v>
      </c>
      <c r="F2810" s="35" t="n">
        <v>2.2</v>
      </c>
      <c r="G2810" s="37" t="inlineStr">
        <is>
          <t>Y</t>
        </is>
      </c>
      <c r="H2810" s="37" t="inlineStr">
        <is>
          <t>N</t>
        </is>
      </c>
      <c r="I2810" s="37">
        <f>COUNTIF(G$5:G2810,"Y")/COUNTA(G$5:G2810)</f>
        <v/>
      </c>
      <c r="J2810" s="37">
        <f>COUNTIF(H$5:H2810,"Y")/COUNTA(H$5:H2810)</f>
        <v/>
      </c>
      <c r="K2810" s="37">
        <f>AVERAGE(F$5:F2810)</f>
        <v/>
      </c>
      <c r="L2810" s="37">
        <f>SUM(F$5:F2810)/SUM(E$5:E2810)</f>
        <v/>
      </c>
    </row>
    <row r="2811">
      <c r="A2811" s="29" t="n">
        <v>46083</v>
      </c>
      <c r="B2811" s="37" t="inlineStr">
        <is>
          <t>JOB-3807</t>
        </is>
      </c>
      <c r="C2811" s="34" t="n">
        <v>1</v>
      </c>
      <c r="D2811" s="37" t="inlineStr">
        <is>
          <t>Tech H</t>
        </is>
      </c>
      <c r="E2811" s="35" t="n">
        <v>1.7</v>
      </c>
      <c r="F2811" s="35" t="n">
        <v>1.1</v>
      </c>
      <c r="G2811" s="37" t="inlineStr">
        <is>
          <t>Y</t>
        </is>
      </c>
      <c r="H2811" s="37" t="inlineStr">
        <is>
          <t>N</t>
        </is>
      </c>
      <c r="I2811" s="37">
        <f>COUNTIF(G$5:G2811,"Y")/COUNTA(G$5:G2811)</f>
        <v/>
      </c>
      <c r="J2811" s="37">
        <f>COUNTIF(H$5:H2811,"Y")/COUNTA(H$5:H2811)</f>
        <v/>
      </c>
      <c r="K2811" s="37">
        <f>AVERAGE(F$5:F2811)</f>
        <v/>
      </c>
      <c r="L2811" s="37">
        <f>SUM(F$5:F2811)/SUM(E$5:E2811)</f>
        <v/>
      </c>
    </row>
    <row r="2812">
      <c r="A2812" s="29" t="n">
        <v>46084</v>
      </c>
      <c r="B2812" s="37" t="inlineStr">
        <is>
          <t>JOB-3808</t>
        </is>
      </c>
      <c r="C2812" s="34" t="n">
        <v>1</v>
      </c>
      <c r="D2812" s="37" t="inlineStr">
        <is>
          <t>Tech D</t>
        </is>
      </c>
      <c r="E2812" s="35" t="n">
        <v>3.4</v>
      </c>
      <c r="F2812" s="35" t="n">
        <v>2.6</v>
      </c>
      <c r="G2812" s="37" t="inlineStr">
        <is>
          <t>Y</t>
        </is>
      </c>
      <c r="H2812" s="37" t="inlineStr">
        <is>
          <t>N</t>
        </is>
      </c>
      <c r="I2812" s="37">
        <f>COUNTIF(G$5:G2812,"Y")/COUNTA(G$5:G2812)</f>
        <v/>
      </c>
      <c r="J2812" s="37">
        <f>COUNTIF(H$5:H2812,"Y")/COUNTA(H$5:H2812)</f>
        <v/>
      </c>
      <c r="K2812" s="37">
        <f>AVERAGE(F$5:F2812)</f>
        <v/>
      </c>
      <c r="L2812" s="37">
        <f>SUM(F$5:F2812)/SUM(E$5:E2812)</f>
        <v/>
      </c>
    </row>
    <row r="2813">
      <c r="A2813" s="29" t="n">
        <v>46085</v>
      </c>
      <c r="B2813" s="37" t="inlineStr">
        <is>
          <t>JOB-3809</t>
        </is>
      </c>
      <c r="C2813" s="34" t="n">
        <v>1</v>
      </c>
      <c r="D2813" s="37" t="inlineStr">
        <is>
          <t>Tech D</t>
        </is>
      </c>
      <c r="E2813" s="35" t="n">
        <v>2.5</v>
      </c>
      <c r="F2813" s="35" t="n">
        <v>1.7</v>
      </c>
      <c r="G2813" s="37" t="inlineStr">
        <is>
          <t>N</t>
        </is>
      </c>
      <c r="H2813" s="37" t="inlineStr">
        <is>
          <t>N</t>
        </is>
      </c>
      <c r="I2813" s="37">
        <f>COUNTIF(G$5:G2813,"Y")/COUNTA(G$5:G2813)</f>
        <v/>
      </c>
      <c r="J2813" s="37">
        <f>COUNTIF(H$5:H2813,"Y")/COUNTA(H$5:H2813)</f>
        <v/>
      </c>
      <c r="K2813" s="37">
        <f>AVERAGE(F$5:F2813)</f>
        <v/>
      </c>
      <c r="L2813" s="37">
        <f>SUM(F$5:F2813)/SUM(E$5:E2813)</f>
        <v/>
      </c>
    </row>
    <row r="2814">
      <c r="A2814" s="29" t="n">
        <v>46086</v>
      </c>
      <c r="B2814" s="37" t="inlineStr">
        <is>
          <t>JOB-3810</t>
        </is>
      </c>
      <c r="C2814" s="34" t="n">
        <v>1</v>
      </c>
      <c r="D2814" s="37" t="inlineStr">
        <is>
          <t>Tech G</t>
        </is>
      </c>
      <c r="E2814" s="35" t="n">
        <v>1.9</v>
      </c>
      <c r="F2814" s="35" t="n">
        <v>1.4</v>
      </c>
      <c r="G2814" s="37" t="inlineStr">
        <is>
          <t>Y</t>
        </is>
      </c>
      <c r="H2814" s="37" t="inlineStr">
        <is>
          <t>N</t>
        </is>
      </c>
      <c r="I2814" s="37">
        <f>COUNTIF(G$5:G2814,"Y")/COUNTA(G$5:G2814)</f>
        <v/>
      </c>
      <c r="J2814" s="37">
        <f>COUNTIF(H$5:H2814,"Y")/COUNTA(H$5:H2814)</f>
        <v/>
      </c>
      <c r="K2814" s="37">
        <f>AVERAGE(F$5:F2814)</f>
        <v/>
      </c>
      <c r="L2814" s="37">
        <f>SUM(F$5:F2814)/SUM(E$5:E2814)</f>
        <v/>
      </c>
    </row>
    <row r="2815">
      <c r="A2815" s="29" t="n">
        <v>46087</v>
      </c>
      <c r="B2815" s="37" t="inlineStr">
        <is>
          <t>JOB-3811</t>
        </is>
      </c>
      <c r="C2815" s="34" t="n">
        <v>1</v>
      </c>
      <c r="D2815" s="37" t="inlineStr">
        <is>
          <t>Tech A</t>
        </is>
      </c>
      <c r="E2815" s="35" t="n">
        <v>4</v>
      </c>
      <c r="F2815" s="35" t="n">
        <v>3.4</v>
      </c>
      <c r="G2815" s="37" t="inlineStr">
        <is>
          <t>Y</t>
        </is>
      </c>
      <c r="H2815" s="37" t="inlineStr">
        <is>
          <t>N</t>
        </is>
      </c>
      <c r="I2815" s="37">
        <f>COUNTIF(G$5:G2815,"Y")/COUNTA(G$5:G2815)</f>
        <v/>
      </c>
      <c r="J2815" s="37">
        <f>COUNTIF(H$5:H2815,"Y")/COUNTA(H$5:H2815)</f>
        <v/>
      </c>
      <c r="K2815" s="37">
        <f>AVERAGE(F$5:F2815)</f>
        <v/>
      </c>
      <c r="L2815" s="37">
        <f>SUM(F$5:F2815)/SUM(E$5:E2815)</f>
        <v/>
      </c>
    </row>
    <row r="2816">
      <c r="A2816" s="29" t="n">
        <v>46083</v>
      </c>
      <c r="B2816" s="37" t="inlineStr">
        <is>
          <t>JOB-3812</t>
        </is>
      </c>
      <c r="C2816" s="34" t="n">
        <v>1</v>
      </c>
      <c r="D2816" s="37" t="inlineStr">
        <is>
          <t>Tech A</t>
        </is>
      </c>
      <c r="E2816" s="35" t="n">
        <v>2.4</v>
      </c>
      <c r="F2816" s="35" t="n">
        <v>1.6</v>
      </c>
      <c r="G2816" s="37" t="inlineStr">
        <is>
          <t>N</t>
        </is>
      </c>
      <c r="H2816" s="37" t="inlineStr">
        <is>
          <t>N</t>
        </is>
      </c>
      <c r="I2816" s="37">
        <f>COUNTIF(G$5:G2816,"Y")/COUNTA(G$5:G2816)</f>
        <v/>
      </c>
      <c r="J2816" s="37">
        <f>COUNTIF(H$5:H2816,"Y")/COUNTA(H$5:H2816)</f>
        <v/>
      </c>
      <c r="K2816" s="37">
        <f>AVERAGE(F$5:F2816)</f>
        <v/>
      </c>
      <c r="L2816" s="37">
        <f>SUM(F$5:F2816)/SUM(E$5:E2816)</f>
        <v/>
      </c>
    </row>
    <row r="2817">
      <c r="A2817" s="29" t="n">
        <v>46084</v>
      </c>
      <c r="B2817" s="37" t="inlineStr">
        <is>
          <t>JOB-3813</t>
        </is>
      </c>
      <c r="C2817" s="34" t="n">
        <v>1</v>
      </c>
      <c r="D2817" s="37" t="inlineStr">
        <is>
          <t>Tech B</t>
        </is>
      </c>
      <c r="E2817" s="35" t="n">
        <v>3.1</v>
      </c>
      <c r="F2817" s="35" t="n">
        <v>2.6</v>
      </c>
      <c r="G2817" s="37" t="inlineStr">
        <is>
          <t>Y</t>
        </is>
      </c>
      <c r="H2817" s="37" t="inlineStr">
        <is>
          <t>Y</t>
        </is>
      </c>
      <c r="I2817" s="37">
        <f>COUNTIF(G$5:G2817,"Y")/COUNTA(G$5:G2817)</f>
        <v/>
      </c>
      <c r="J2817" s="37">
        <f>COUNTIF(H$5:H2817,"Y")/COUNTA(H$5:H2817)</f>
        <v/>
      </c>
      <c r="K2817" s="37">
        <f>AVERAGE(F$5:F2817)</f>
        <v/>
      </c>
      <c r="L2817" s="37">
        <f>SUM(F$5:F2817)/SUM(E$5:E2817)</f>
        <v/>
      </c>
    </row>
    <row r="2818">
      <c r="A2818" s="29" t="n">
        <v>46085</v>
      </c>
      <c r="B2818" s="37" t="inlineStr">
        <is>
          <t>JOB-3814</t>
        </is>
      </c>
      <c r="C2818" s="34" t="n">
        <v>1</v>
      </c>
      <c r="D2818" s="37" t="inlineStr">
        <is>
          <t>Tech G</t>
        </is>
      </c>
      <c r="E2818" s="35" t="n">
        <v>2.2</v>
      </c>
      <c r="F2818" s="35" t="n">
        <v>1.5</v>
      </c>
      <c r="G2818" s="37" t="inlineStr">
        <is>
          <t>Y</t>
        </is>
      </c>
      <c r="H2818" s="37" t="inlineStr">
        <is>
          <t>N</t>
        </is>
      </c>
      <c r="I2818" s="37">
        <f>COUNTIF(G$5:G2818,"Y")/COUNTA(G$5:G2818)</f>
        <v/>
      </c>
      <c r="J2818" s="37">
        <f>COUNTIF(H$5:H2818,"Y")/COUNTA(H$5:H2818)</f>
        <v/>
      </c>
      <c r="K2818" s="37">
        <f>AVERAGE(F$5:F2818)</f>
        <v/>
      </c>
      <c r="L2818" s="37">
        <f>SUM(F$5:F2818)/SUM(E$5:E2818)</f>
        <v/>
      </c>
    </row>
    <row r="2819">
      <c r="A2819" s="29" t="n">
        <v>46086</v>
      </c>
      <c r="B2819" s="37" t="inlineStr">
        <is>
          <t>JOB-3815</t>
        </is>
      </c>
      <c r="C2819" s="34" t="n">
        <v>1</v>
      </c>
      <c r="D2819" s="37" t="inlineStr">
        <is>
          <t>Tech C</t>
        </is>
      </c>
      <c r="E2819" s="35" t="n">
        <v>4</v>
      </c>
      <c r="F2819" s="35" t="n">
        <v>3.1</v>
      </c>
      <c r="G2819" s="37" t="inlineStr">
        <is>
          <t>N</t>
        </is>
      </c>
      <c r="H2819" s="37" t="inlineStr">
        <is>
          <t>N</t>
        </is>
      </c>
      <c r="I2819" s="37">
        <f>COUNTIF(G$5:G2819,"Y")/COUNTA(G$5:G2819)</f>
        <v/>
      </c>
      <c r="J2819" s="37">
        <f>COUNTIF(H$5:H2819,"Y")/COUNTA(H$5:H2819)</f>
        <v/>
      </c>
      <c r="K2819" s="37">
        <f>AVERAGE(F$5:F2819)</f>
        <v/>
      </c>
      <c r="L2819" s="37">
        <f>SUM(F$5:F2819)/SUM(E$5:E2819)</f>
        <v/>
      </c>
    </row>
    <row r="2820">
      <c r="A2820" s="29" t="n">
        <v>46087</v>
      </c>
      <c r="B2820" s="37" t="inlineStr">
        <is>
          <t>JOB-3816</t>
        </is>
      </c>
      <c r="C2820" s="34" t="n">
        <v>1</v>
      </c>
      <c r="D2820" s="37" t="inlineStr">
        <is>
          <t>Tech G</t>
        </is>
      </c>
      <c r="E2820" s="35" t="n">
        <v>3.1</v>
      </c>
      <c r="F2820" s="35" t="n">
        <v>2.2</v>
      </c>
      <c r="G2820" s="37" t="inlineStr">
        <is>
          <t>Y</t>
        </is>
      </c>
      <c r="H2820" s="37" t="inlineStr">
        <is>
          <t>N</t>
        </is>
      </c>
      <c r="I2820" s="37">
        <f>COUNTIF(G$5:G2820,"Y")/COUNTA(G$5:G2820)</f>
        <v/>
      </c>
      <c r="J2820" s="37">
        <f>COUNTIF(H$5:H2820,"Y")/COUNTA(H$5:H2820)</f>
        <v/>
      </c>
      <c r="K2820" s="37">
        <f>AVERAGE(F$5:F2820)</f>
        <v/>
      </c>
      <c r="L2820" s="37">
        <f>SUM(F$5:F2820)/SUM(E$5:E2820)</f>
        <v/>
      </c>
    </row>
    <row r="2821">
      <c r="A2821" s="29" t="n">
        <v>46083</v>
      </c>
      <c r="B2821" s="37" t="inlineStr">
        <is>
          <t>JOB-3817</t>
        </is>
      </c>
      <c r="C2821" s="34" t="n">
        <v>1</v>
      </c>
      <c r="D2821" s="37" t="inlineStr">
        <is>
          <t>Tech G</t>
        </is>
      </c>
      <c r="E2821" s="35" t="n">
        <v>3</v>
      </c>
      <c r="F2821" s="35" t="n">
        <v>2.2</v>
      </c>
      <c r="G2821" s="37" t="inlineStr">
        <is>
          <t>Y</t>
        </is>
      </c>
      <c r="H2821" s="37" t="inlineStr">
        <is>
          <t>N</t>
        </is>
      </c>
      <c r="I2821" s="37">
        <f>COUNTIF(G$5:G2821,"Y")/COUNTA(G$5:G2821)</f>
        <v/>
      </c>
      <c r="J2821" s="37">
        <f>COUNTIF(H$5:H2821,"Y")/COUNTA(H$5:H2821)</f>
        <v/>
      </c>
      <c r="K2821" s="37">
        <f>AVERAGE(F$5:F2821)</f>
        <v/>
      </c>
      <c r="L2821" s="37">
        <f>SUM(F$5:F2821)/SUM(E$5:E2821)</f>
        <v/>
      </c>
    </row>
    <row r="2822">
      <c r="A2822" s="29" t="n">
        <v>46084</v>
      </c>
      <c r="B2822" s="37" t="inlineStr">
        <is>
          <t>JOB-3818</t>
        </is>
      </c>
      <c r="C2822" s="34" t="n">
        <v>1</v>
      </c>
      <c r="D2822" s="37" t="inlineStr">
        <is>
          <t>Tech F</t>
        </is>
      </c>
      <c r="E2822" s="35" t="n">
        <v>2.4</v>
      </c>
      <c r="F2822" s="35" t="n">
        <v>1.9</v>
      </c>
      <c r="G2822" s="37" t="inlineStr">
        <is>
          <t>Y</t>
        </is>
      </c>
      <c r="H2822" s="37" t="inlineStr">
        <is>
          <t>N</t>
        </is>
      </c>
      <c r="I2822" s="37">
        <f>COUNTIF(G$5:G2822,"Y")/COUNTA(G$5:G2822)</f>
        <v/>
      </c>
      <c r="J2822" s="37">
        <f>COUNTIF(H$5:H2822,"Y")/COUNTA(H$5:H2822)</f>
        <v/>
      </c>
      <c r="K2822" s="37">
        <f>AVERAGE(F$5:F2822)</f>
        <v/>
      </c>
      <c r="L2822" s="37">
        <f>SUM(F$5:F2822)/SUM(E$5:E2822)</f>
        <v/>
      </c>
    </row>
    <row r="2823">
      <c r="A2823" s="29" t="n">
        <v>46085</v>
      </c>
      <c r="B2823" s="37" t="inlineStr">
        <is>
          <t>JOB-3819</t>
        </is>
      </c>
      <c r="C2823" s="34" t="n">
        <v>1</v>
      </c>
      <c r="D2823" s="37" t="inlineStr">
        <is>
          <t>Tech G</t>
        </is>
      </c>
      <c r="E2823" s="35" t="n">
        <v>1.9</v>
      </c>
      <c r="F2823" s="35" t="n">
        <v>1.3</v>
      </c>
      <c r="G2823" s="37" t="inlineStr">
        <is>
          <t>Y</t>
        </is>
      </c>
      <c r="H2823" s="37" t="inlineStr">
        <is>
          <t>N</t>
        </is>
      </c>
      <c r="I2823" s="37">
        <f>COUNTIF(G$5:G2823,"Y")/COUNTA(G$5:G2823)</f>
        <v/>
      </c>
      <c r="J2823" s="37">
        <f>COUNTIF(H$5:H2823,"Y")/COUNTA(H$5:H2823)</f>
        <v/>
      </c>
      <c r="K2823" s="37">
        <f>AVERAGE(F$5:F2823)</f>
        <v/>
      </c>
      <c r="L2823" s="37">
        <f>SUM(F$5:F2823)/SUM(E$5:E2823)</f>
        <v/>
      </c>
    </row>
    <row r="2824">
      <c r="A2824" s="29" t="n">
        <v>46086</v>
      </c>
      <c r="B2824" s="37" t="inlineStr">
        <is>
          <t>JOB-3820</t>
        </is>
      </c>
      <c r="C2824" s="34" t="n">
        <v>1</v>
      </c>
      <c r="D2824" s="37" t="inlineStr">
        <is>
          <t>Tech G</t>
        </is>
      </c>
      <c r="E2824" s="35" t="n">
        <v>5.3</v>
      </c>
      <c r="F2824" s="35" t="n">
        <v>3.7</v>
      </c>
      <c r="G2824" s="37" t="inlineStr">
        <is>
          <t>Y</t>
        </is>
      </c>
      <c r="H2824" s="37" t="inlineStr">
        <is>
          <t>N</t>
        </is>
      </c>
      <c r="I2824" s="37">
        <f>COUNTIF(G$5:G2824,"Y")/COUNTA(G$5:G2824)</f>
        <v/>
      </c>
      <c r="J2824" s="37">
        <f>COUNTIF(H$5:H2824,"Y")/COUNTA(H$5:H2824)</f>
        <v/>
      </c>
      <c r="K2824" s="37">
        <f>AVERAGE(F$5:F2824)</f>
        <v/>
      </c>
      <c r="L2824" s="37">
        <f>SUM(F$5:F2824)/SUM(E$5:E2824)</f>
        <v/>
      </c>
    </row>
    <row r="2825">
      <c r="A2825" s="29" t="n">
        <v>46087</v>
      </c>
      <c r="B2825" s="37" t="inlineStr">
        <is>
          <t>JOB-3821</t>
        </is>
      </c>
      <c r="C2825" s="34" t="n">
        <v>1</v>
      </c>
      <c r="D2825" s="37" t="inlineStr">
        <is>
          <t>Tech A</t>
        </is>
      </c>
      <c r="E2825" s="35" t="n">
        <v>2.6</v>
      </c>
      <c r="F2825" s="35" t="n">
        <v>1.9</v>
      </c>
      <c r="G2825" s="37" t="inlineStr">
        <is>
          <t>Y</t>
        </is>
      </c>
      <c r="H2825" s="37" t="inlineStr">
        <is>
          <t>N</t>
        </is>
      </c>
      <c r="I2825" s="37">
        <f>COUNTIF(G$5:G2825,"Y")/COUNTA(G$5:G2825)</f>
        <v/>
      </c>
      <c r="J2825" s="37">
        <f>COUNTIF(H$5:H2825,"Y")/COUNTA(H$5:H2825)</f>
        <v/>
      </c>
      <c r="K2825" s="37">
        <f>AVERAGE(F$5:F2825)</f>
        <v/>
      </c>
      <c r="L2825" s="37">
        <f>SUM(F$5:F2825)/SUM(E$5:E2825)</f>
        <v/>
      </c>
    </row>
    <row r="2826">
      <c r="A2826" s="29" t="n">
        <v>46083</v>
      </c>
      <c r="B2826" s="37" t="inlineStr">
        <is>
          <t>JOB-3822</t>
        </is>
      </c>
      <c r="C2826" s="34" t="n">
        <v>1</v>
      </c>
      <c r="D2826" s="37" t="inlineStr">
        <is>
          <t>Tech H</t>
        </is>
      </c>
      <c r="E2826" s="35" t="n">
        <v>3.1</v>
      </c>
      <c r="F2826" s="35" t="n">
        <v>2.1</v>
      </c>
      <c r="G2826" s="37" t="inlineStr">
        <is>
          <t>Y</t>
        </is>
      </c>
      <c r="H2826" s="37" t="inlineStr">
        <is>
          <t>N</t>
        </is>
      </c>
      <c r="I2826" s="37">
        <f>COUNTIF(G$5:G2826,"Y")/COUNTA(G$5:G2826)</f>
        <v/>
      </c>
      <c r="J2826" s="37">
        <f>COUNTIF(H$5:H2826,"Y")/COUNTA(H$5:H2826)</f>
        <v/>
      </c>
      <c r="K2826" s="37">
        <f>AVERAGE(F$5:F2826)</f>
        <v/>
      </c>
      <c r="L2826" s="37">
        <f>SUM(F$5:F2826)/SUM(E$5:E2826)</f>
        <v/>
      </c>
    </row>
    <row r="2827">
      <c r="A2827" s="29" t="n">
        <v>46084</v>
      </c>
      <c r="B2827" s="37" t="inlineStr">
        <is>
          <t>JOB-3823</t>
        </is>
      </c>
      <c r="C2827" s="34" t="n">
        <v>1</v>
      </c>
      <c r="D2827" s="37" t="inlineStr">
        <is>
          <t>Tech B</t>
        </is>
      </c>
      <c r="E2827" s="35" t="n">
        <v>1.6</v>
      </c>
      <c r="F2827" s="35" t="n">
        <v>1.4</v>
      </c>
      <c r="G2827" s="37" t="inlineStr">
        <is>
          <t>Y</t>
        </is>
      </c>
      <c r="H2827" s="37" t="inlineStr">
        <is>
          <t>N</t>
        </is>
      </c>
      <c r="I2827" s="37">
        <f>COUNTIF(G$5:G2827,"Y")/COUNTA(G$5:G2827)</f>
        <v/>
      </c>
      <c r="J2827" s="37">
        <f>COUNTIF(H$5:H2827,"Y")/COUNTA(H$5:H2827)</f>
        <v/>
      </c>
      <c r="K2827" s="37">
        <f>AVERAGE(F$5:F2827)</f>
        <v/>
      </c>
      <c r="L2827" s="37">
        <f>SUM(F$5:F2827)/SUM(E$5:E2827)</f>
        <v/>
      </c>
    </row>
    <row r="2828">
      <c r="A2828" s="29" t="n">
        <v>46085</v>
      </c>
      <c r="B2828" s="37" t="inlineStr">
        <is>
          <t>JOB-3824</t>
        </is>
      </c>
      <c r="C2828" s="34" t="n">
        <v>1</v>
      </c>
      <c r="D2828" s="37" t="inlineStr">
        <is>
          <t>Tech C</t>
        </is>
      </c>
      <c r="E2828" s="35" t="n">
        <v>0.5</v>
      </c>
      <c r="F2828" s="35" t="n">
        <v>0.5</v>
      </c>
      <c r="G2828" s="37" t="inlineStr">
        <is>
          <t>Y</t>
        </is>
      </c>
      <c r="H2828" s="37" t="inlineStr">
        <is>
          <t>N</t>
        </is>
      </c>
      <c r="I2828" s="37">
        <f>COUNTIF(G$5:G2828,"Y")/COUNTA(G$5:G2828)</f>
        <v/>
      </c>
      <c r="J2828" s="37">
        <f>COUNTIF(H$5:H2828,"Y")/COUNTA(H$5:H2828)</f>
        <v/>
      </c>
      <c r="K2828" s="37">
        <f>AVERAGE(F$5:F2828)</f>
        <v/>
      </c>
      <c r="L2828" s="37">
        <f>SUM(F$5:F2828)/SUM(E$5:E2828)</f>
        <v/>
      </c>
      <c r="M2828" s="37" t="n">
        <v>4</v>
      </c>
    </row>
    <row r="2829">
      <c r="A2829" s="29" t="n">
        <v>46090</v>
      </c>
      <c r="B2829" s="37" t="inlineStr">
        <is>
          <t>JOB-3825</t>
        </is>
      </c>
      <c r="C2829" s="34" t="n">
        <v>1</v>
      </c>
      <c r="D2829" s="37" t="inlineStr">
        <is>
          <t>Tech C</t>
        </is>
      </c>
      <c r="E2829" s="35" t="n">
        <v>3</v>
      </c>
      <c r="F2829" s="35" t="n">
        <v>2.4</v>
      </c>
      <c r="G2829" s="37" t="inlineStr">
        <is>
          <t>Y</t>
        </is>
      </c>
      <c r="H2829" s="37" t="inlineStr">
        <is>
          <t>N</t>
        </is>
      </c>
      <c r="I2829" s="37">
        <f>COUNTIF(G$5:G2829,"Y")/COUNTA(G$5:G2829)</f>
        <v/>
      </c>
      <c r="J2829" s="37">
        <f>COUNTIF(H$5:H2829,"Y")/COUNTA(H$5:H2829)</f>
        <v/>
      </c>
      <c r="K2829" s="37">
        <f>AVERAGE(F$5:F2829)</f>
        <v/>
      </c>
      <c r="L2829" s="37">
        <f>SUM(F$5:F2829)/SUM(E$5:E2829)</f>
        <v/>
      </c>
    </row>
    <row r="2830">
      <c r="A2830" s="29" t="n">
        <v>46091</v>
      </c>
      <c r="B2830" s="37" t="inlineStr">
        <is>
          <t>JOB-3826</t>
        </is>
      </c>
      <c r="C2830" s="34" t="n">
        <v>1</v>
      </c>
      <c r="D2830" s="37" t="inlineStr">
        <is>
          <t>Tech G</t>
        </is>
      </c>
      <c r="E2830" s="35" t="n">
        <v>5.6</v>
      </c>
      <c r="F2830" s="35" t="n">
        <v>3.9</v>
      </c>
      <c r="G2830" s="37" t="inlineStr">
        <is>
          <t>N</t>
        </is>
      </c>
      <c r="H2830" s="37" t="inlineStr">
        <is>
          <t>Y</t>
        </is>
      </c>
      <c r="I2830" s="37">
        <f>COUNTIF(G$5:G2830,"Y")/COUNTA(G$5:G2830)</f>
        <v/>
      </c>
      <c r="J2830" s="37">
        <f>COUNTIF(H$5:H2830,"Y")/COUNTA(H$5:H2830)</f>
        <v/>
      </c>
      <c r="K2830" s="37">
        <f>AVERAGE(F$5:F2830)</f>
        <v/>
      </c>
      <c r="L2830" s="37">
        <f>SUM(F$5:F2830)/SUM(E$5:E2830)</f>
        <v/>
      </c>
    </row>
    <row r="2831">
      <c r="A2831" s="29" t="n">
        <v>46092</v>
      </c>
      <c r="B2831" s="37" t="inlineStr">
        <is>
          <t>JOB-3827</t>
        </is>
      </c>
      <c r="C2831" s="34" t="n">
        <v>1</v>
      </c>
      <c r="D2831" s="37" t="inlineStr">
        <is>
          <t>Tech F</t>
        </is>
      </c>
      <c r="E2831" s="35" t="n">
        <v>2.1</v>
      </c>
      <c r="F2831" s="35" t="n">
        <v>1.8</v>
      </c>
      <c r="G2831" s="37" t="inlineStr">
        <is>
          <t>Y</t>
        </is>
      </c>
      <c r="H2831" s="37" t="inlineStr">
        <is>
          <t>N</t>
        </is>
      </c>
      <c r="I2831" s="37">
        <f>COUNTIF(G$5:G2831,"Y")/COUNTA(G$5:G2831)</f>
        <v/>
      </c>
      <c r="J2831" s="37">
        <f>COUNTIF(H$5:H2831,"Y")/COUNTA(H$5:H2831)</f>
        <v/>
      </c>
      <c r="K2831" s="37">
        <f>AVERAGE(F$5:F2831)</f>
        <v/>
      </c>
      <c r="L2831" s="37">
        <f>SUM(F$5:F2831)/SUM(E$5:E2831)</f>
        <v/>
      </c>
    </row>
    <row r="2832">
      <c r="A2832" s="29" t="n">
        <v>46093</v>
      </c>
      <c r="B2832" s="37" t="inlineStr">
        <is>
          <t>JOB-3828</t>
        </is>
      </c>
      <c r="C2832" s="34" t="n">
        <v>1</v>
      </c>
      <c r="D2832" s="37" t="inlineStr">
        <is>
          <t>Tech B</t>
        </is>
      </c>
      <c r="E2832" s="35" t="n">
        <v>3.6</v>
      </c>
      <c r="F2832" s="35" t="n">
        <v>3.1</v>
      </c>
      <c r="G2832" s="37" t="inlineStr">
        <is>
          <t>Y</t>
        </is>
      </c>
      <c r="H2832" s="37" t="inlineStr">
        <is>
          <t>N</t>
        </is>
      </c>
      <c r="I2832" s="37">
        <f>COUNTIF(G$5:G2832,"Y")/COUNTA(G$5:G2832)</f>
        <v/>
      </c>
      <c r="J2832" s="37">
        <f>COUNTIF(H$5:H2832,"Y")/COUNTA(H$5:H2832)</f>
        <v/>
      </c>
      <c r="K2832" s="37">
        <f>AVERAGE(F$5:F2832)</f>
        <v/>
      </c>
      <c r="L2832" s="37">
        <f>SUM(F$5:F2832)/SUM(E$5:E2832)</f>
        <v/>
      </c>
    </row>
    <row r="2833">
      <c r="A2833" s="29" t="n">
        <v>46094</v>
      </c>
      <c r="B2833" s="37" t="inlineStr">
        <is>
          <t>JOB-3829</t>
        </is>
      </c>
      <c r="C2833" s="34" t="n">
        <v>1</v>
      </c>
      <c r="D2833" s="37" t="inlineStr">
        <is>
          <t>Tech C</t>
        </is>
      </c>
      <c r="E2833" s="35" t="n">
        <v>5</v>
      </c>
      <c r="F2833" s="35" t="n">
        <v>3.8</v>
      </c>
      <c r="G2833" s="37" t="inlineStr">
        <is>
          <t>Y</t>
        </is>
      </c>
      <c r="H2833" s="37" t="inlineStr">
        <is>
          <t>N</t>
        </is>
      </c>
      <c r="I2833" s="37">
        <f>COUNTIF(G$5:G2833,"Y")/COUNTA(G$5:G2833)</f>
        <v/>
      </c>
      <c r="J2833" s="37">
        <f>COUNTIF(H$5:H2833,"Y")/COUNTA(H$5:H2833)</f>
        <v/>
      </c>
      <c r="K2833" s="37">
        <f>AVERAGE(F$5:F2833)</f>
        <v/>
      </c>
      <c r="L2833" s="37">
        <f>SUM(F$5:F2833)/SUM(E$5:E2833)</f>
        <v/>
      </c>
    </row>
    <row r="2834">
      <c r="A2834" s="29" t="n">
        <v>46090</v>
      </c>
      <c r="B2834" s="37" t="inlineStr">
        <is>
          <t>JOB-3830</t>
        </is>
      </c>
      <c r="C2834" s="34" t="n">
        <v>1</v>
      </c>
      <c r="D2834" s="37" t="inlineStr">
        <is>
          <t>Tech C</t>
        </is>
      </c>
      <c r="E2834" s="35" t="n">
        <v>2.3</v>
      </c>
      <c r="F2834" s="35" t="n">
        <v>1.9</v>
      </c>
      <c r="G2834" s="37" t="inlineStr">
        <is>
          <t>Y</t>
        </is>
      </c>
      <c r="H2834" s="37" t="inlineStr">
        <is>
          <t>N</t>
        </is>
      </c>
      <c r="I2834" s="37">
        <f>COUNTIF(G$5:G2834,"Y")/COUNTA(G$5:G2834)</f>
        <v/>
      </c>
      <c r="J2834" s="37">
        <f>COUNTIF(H$5:H2834,"Y")/COUNTA(H$5:H2834)</f>
        <v/>
      </c>
      <c r="K2834" s="37">
        <f>AVERAGE(F$5:F2834)</f>
        <v/>
      </c>
      <c r="L2834" s="37">
        <f>SUM(F$5:F2834)/SUM(E$5:E2834)</f>
        <v/>
      </c>
    </row>
    <row r="2835">
      <c r="A2835" s="29" t="n">
        <v>46091</v>
      </c>
      <c r="B2835" s="37" t="inlineStr">
        <is>
          <t>JOB-3831</t>
        </is>
      </c>
      <c r="C2835" s="34" t="n">
        <v>1</v>
      </c>
      <c r="D2835" s="37" t="inlineStr">
        <is>
          <t>Tech H</t>
        </is>
      </c>
      <c r="E2835" s="35" t="n">
        <v>2.6</v>
      </c>
      <c r="F2835" s="35" t="n">
        <v>2</v>
      </c>
      <c r="G2835" s="37" t="inlineStr">
        <is>
          <t>Y</t>
        </is>
      </c>
      <c r="H2835" s="37" t="inlineStr">
        <is>
          <t>N</t>
        </is>
      </c>
      <c r="I2835" s="37">
        <f>COUNTIF(G$5:G2835,"Y")/COUNTA(G$5:G2835)</f>
        <v/>
      </c>
      <c r="J2835" s="37">
        <f>COUNTIF(H$5:H2835,"Y")/COUNTA(H$5:H2835)</f>
        <v/>
      </c>
      <c r="K2835" s="37">
        <f>AVERAGE(F$5:F2835)</f>
        <v/>
      </c>
      <c r="L2835" s="37">
        <f>SUM(F$5:F2835)/SUM(E$5:E2835)</f>
        <v/>
      </c>
    </row>
    <row r="2836">
      <c r="A2836" s="29" t="n">
        <v>46092</v>
      </c>
      <c r="B2836" s="37" t="inlineStr">
        <is>
          <t>JOB-3832</t>
        </is>
      </c>
      <c r="C2836" s="34" t="n">
        <v>1</v>
      </c>
      <c r="D2836" s="37" t="inlineStr">
        <is>
          <t>Tech F</t>
        </is>
      </c>
      <c r="E2836" s="35" t="n">
        <v>4.9</v>
      </c>
      <c r="F2836" s="35" t="n">
        <v>3.5</v>
      </c>
      <c r="G2836" s="37" t="inlineStr">
        <is>
          <t>Y</t>
        </is>
      </c>
      <c r="H2836" s="37" t="inlineStr">
        <is>
          <t>N</t>
        </is>
      </c>
      <c r="I2836" s="37">
        <f>COUNTIF(G$5:G2836,"Y")/COUNTA(G$5:G2836)</f>
        <v/>
      </c>
      <c r="J2836" s="37">
        <f>COUNTIF(H$5:H2836,"Y")/COUNTA(H$5:H2836)</f>
        <v/>
      </c>
      <c r="K2836" s="37">
        <f>AVERAGE(F$5:F2836)</f>
        <v/>
      </c>
      <c r="L2836" s="37">
        <f>SUM(F$5:F2836)/SUM(E$5:E2836)</f>
        <v/>
      </c>
    </row>
    <row r="2837">
      <c r="A2837" s="29" t="n">
        <v>46093</v>
      </c>
      <c r="B2837" s="37" t="inlineStr">
        <is>
          <t>JOB-3833</t>
        </is>
      </c>
      <c r="C2837" s="34" t="n">
        <v>1</v>
      </c>
      <c r="D2837" s="37" t="inlineStr">
        <is>
          <t>Tech F</t>
        </is>
      </c>
      <c r="E2837" s="35" t="n">
        <v>3.8</v>
      </c>
      <c r="F2837" s="35" t="n">
        <v>2.8</v>
      </c>
      <c r="G2837" s="37" t="inlineStr">
        <is>
          <t>N</t>
        </is>
      </c>
      <c r="H2837" s="37" t="inlineStr">
        <is>
          <t>N</t>
        </is>
      </c>
      <c r="I2837" s="37">
        <f>COUNTIF(G$5:G2837,"Y")/COUNTA(G$5:G2837)</f>
        <v/>
      </c>
      <c r="J2837" s="37">
        <f>COUNTIF(H$5:H2837,"Y")/COUNTA(H$5:H2837)</f>
        <v/>
      </c>
      <c r="K2837" s="37">
        <f>AVERAGE(F$5:F2837)</f>
        <v/>
      </c>
      <c r="L2837" s="37">
        <f>SUM(F$5:F2837)/SUM(E$5:E2837)</f>
        <v/>
      </c>
    </row>
    <row r="2838">
      <c r="A2838" s="29" t="n">
        <v>46094</v>
      </c>
      <c r="B2838" s="37" t="inlineStr">
        <is>
          <t>JOB-3834</t>
        </is>
      </c>
      <c r="C2838" s="34" t="n">
        <v>1</v>
      </c>
      <c r="D2838" s="37" t="inlineStr">
        <is>
          <t>Tech C</t>
        </is>
      </c>
      <c r="E2838" s="35" t="n">
        <v>4</v>
      </c>
      <c r="F2838" s="35" t="n">
        <v>3.4</v>
      </c>
      <c r="G2838" s="37" t="inlineStr">
        <is>
          <t>Y</t>
        </is>
      </c>
      <c r="H2838" s="37" t="inlineStr">
        <is>
          <t>N</t>
        </is>
      </c>
      <c r="I2838" s="37">
        <f>COUNTIF(G$5:G2838,"Y")/COUNTA(G$5:G2838)</f>
        <v/>
      </c>
      <c r="J2838" s="37">
        <f>COUNTIF(H$5:H2838,"Y")/COUNTA(H$5:H2838)</f>
        <v/>
      </c>
      <c r="K2838" s="37">
        <f>AVERAGE(F$5:F2838)</f>
        <v/>
      </c>
      <c r="L2838" s="37">
        <f>SUM(F$5:F2838)/SUM(E$5:E2838)</f>
        <v/>
      </c>
    </row>
    <row r="2839">
      <c r="A2839" s="29" t="n">
        <v>46090</v>
      </c>
      <c r="B2839" s="37" t="inlineStr">
        <is>
          <t>JOB-3835</t>
        </is>
      </c>
      <c r="C2839" s="34" t="n">
        <v>1</v>
      </c>
      <c r="D2839" s="37" t="inlineStr">
        <is>
          <t>Tech H</t>
        </is>
      </c>
      <c r="E2839" s="35" t="n">
        <v>2.4</v>
      </c>
      <c r="F2839" s="35" t="n">
        <v>2</v>
      </c>
      <c r="G2839" s="37" t="inlineStr">
        <is>
          <t>Y</t>
        </is>
      </c>
      <c r="H2839" s="37" t="inlineStr">
        <is>
          <t>N</t>
        </is>
      </c>
      <c r="I2839" s="37">
        <f>COUNTIF(G$5:G2839,"Y")/COUNTA(G$5:G2839)</f>
        <v/>
      </c>
      <c r="J2839" s="37">
        <f>COUNTIF(H$5:H2839,"Y")/COUNTA(H$5:H2839)</f>
        <v/>
      </c>
      <c r="K2839" s="37">
        <f>AVERAGE(F$5:F2839)</f>
        <v/>
      </c>
      <c r="L2839" s="37">
        <f>SUM(F$5:F2839)/SUM(E$5:E2839)</f>
        <v/>
      </c>
    </row>
    <row r="2840">
      <c r="A2840" s="29" t="n">
        <v>46091</v>
      </c>
      <c r="B2840" s="37" t="inlineStr">
        <is>
          <t>JOB-3836</t>
        </is>
      </c>
      <c r="C2840" s="34" t="n">
        <v>1</v>
      </c>
      <c r="D2840" s="37" t="inlineStr">
        <is>
          <t>Tech D</t>
        </is>
      </c>
      <c r="E2840" s="35" t="n">
        <v>2.9</v>
      </c>
      <c r="F2840" s="35" t="n">
        <v>2.3</v>
      </c>
      <c r="G2840" s="37" t="inlineStr">
        <is>
          <t>Y</t>
        </is>
      </c>
      <c r="H2840" s="37" t="inlineStr">
        <is>
          <t>N</t>
        </is>
      </c>
      <c r="I2840" s="37">
        <f>COUNTIF(G$5:G2840,"Y")/COUNTA(G$5:G2840)</f>
        <v/>
      </c>
      <c r="J2840" s="37">
        <f>COUNTIF(H$5:H2840,"Y")/COUNTA(H$5:H2840)</f>
        <v/>
      </c>
      <c r="K2840" s="37">
        <f>AVERAGE(F$5:F2840)</f>
        <v/>
      </c>
      <c r="L2840" s="37">
        <f>SUM(F$5:F2840)/SUM(E$5:E2840)</f>
        <v/>
      </c>
    </row>
    <row r="2841">
      <c r="A2841" s="29" t="n">
        <v>46092</v>
      </c>
      <c r="B2841" s="37" t="inlineStr">
        <is>
          <t>JOB-3837</t>
        </is>
      </c>
      <c r="C2841" s="34" t="n">
        <v>1</v>
      </c>
      <c r="D2841" s="37" t="inlineStr">
        <is>
          <t>Tech A</t>
        </is>
      </c>
      <c r="E2841" s="35" t="n">
        <v>3</v>
      </c>
      <c r="F2841" s="35" t="n">
        <v>2</v>
      </c>
      <c r="G2841" s="37" t="inlineStr">
        <is>
          <t>Y</t>
        </is>
      </c>
      <c r="H2841" s="37" t="inlineStr">
        <is>
          <t>N</t>
        </is>
      </c>
      <c r="I2841" s="37">
        <f>COUNTIF(G$5:G2841,"Y")/COUNTA(G$5:G2841)</f>
        <v/>
      </c>
      <c r="J2841" s="37">
        <f>COUNTIF(H$5:H2841,"Y")/COUNTA(H$5:H2841)</f>
        <v/>
      </c>
      <c r="K2841" s="37">
        <f>AVERAGE(F$5:F2841)</f>
        <v/>
      </c>
      <c r="L2841" s="37">
        <f>SUM(F$5:F2841)/SUM(E$5:E2841)</f>
        <v/>
      </c>
    </row>
    <row r="2842">
      <c r="A2842" s="29" t="n">
        <v>46093</v>
      </c>
      <c r="B2842" s="37" t="inlineStr">
        <is>
          <t>JOB-3838</t>
        </is>
      </c>
      <c r="C2842" s="34" t="n">
        <v>1</v>
      </c>
      <c r="D2842" s="37" t="inlineStr">
        <is>
          <t>Tech G</t>
        </is>
      </c>
      <c r="E2842" s="35" t="n">
        <v>2.2</v>
      </c>
      <c r="F2842" s="35" t="n">
        <v>1.6</v>
      </c>
      <c r="G2842" s="37" t="inlineStr">
        <is>
          <t>N</t>
        </is>
      </c>
      <c r="H2842" s="37" t="inlineStr">
        <is>
          <t>N</t>
        </is>
      </c>
      <c r="I2842" s="37">
        <f>COUNTIF(G$5:G2842,"Y")/COUNTA(G$5:G2842)</f>
        <v/>
      </c>
      <c r="J2842" s="37">
        <f>COUNTIF(H$5:H2842,"Y")/COUNTA(H$5:H2842)</f>
        <v/>
      </c>
      <c r="K2842" s="37">
        <f>AVERAGE(F$5:F2842)</f>
        <v/>
      </c>
      <c r="L2842" s="37">
        <f>SUM(F$5:F2842)/SUM(E$5:E2842)</f>
        <v/>
      </c>
    </row>
    <row r="2843">
      <c r="A2843" s="29" t="n">
        <v>46094</v>
      </c>
      <c r="B2843" s="37" t="inlineStr">
        <is>
          <t>JOB-3839</t>
        </is>
      </c>
      <c r="C2843" s="34" t="n">
        <v>1</v>
      </c>
      <c r="D2843" s="37" t="inlineStr">
        <is>
          <t>Tech B</t>
        </is>
      </c>
      <c r="E2843" s="35" t="n">
        <v>3.4</v>
      </c>
      <c r="F2843" s="35" t="n">
        <v>2.6</v>
      </c>
      <c r="G2843" s="37" t="inlineStr">
        <is>
          <t>Y</t>
        </is>
      </c>
      <c r="H2843" s="37" t="inlineStr">
        <is>
          <t>N</t>
        </is>
      </c>
      <c r="I2843" s="37">
        <f>COUNTIF(G$5:G2843,"Y")/COUNTA(G$5:G2843)</f>
        <v/>
      </c>
      <c r="J2843" s="37">
        <f>COUNTIF(H$5:H2843,"Y")/COUNTA(H$5:H2843)</f>
        <v/>
      </c>
      <c r="K2843" s="37">
        <f>AVERAGE(F$5:F2843)</f>
        <v/>
      </c>
      <c r="L2843" s="37">
        <f>SUM(F$5:F2843)/SUM(E$5:E2843)</f>
        <v/>
      </c>
    </row>
    <row r="2844">
      <c r="A2844" s="29" t="n">
        <v>46090</v>
      </c>
      <c r="B2844" s="37" t="inlineStr">
        <is>
          <t>JOB-3840</t>
        </is>
      </c>
      <c r="C2844" s="34" t="n">
        <v>1</v>
      </c>
      <c r="D2844" s="37" t="inlineStr">
        <is>
          <t>Tech D</t>
        </is>
      </c>
      <c r="E2844" s="35" t="n">
        <v>2.8</v>
      </c>
      <c r="F2844" s="35" t="n">
        <v>2</v>
      </c>
      <c r="G2844" s="37" t="inlineStr">
        <is>
          <t>Y</t>
        </is>
      </c>
      <c r="H2844" s="37" t="inlineStr">
        <is>
          <t>N</t>
        </is>
      </c>
      <c r="I2844" s="37">
        <f>COUNTIF(G$5:G2844,"Y")/COUNTA(G$5:G2844)</f>
        <v/>
      </c>
      <c r="J2844" s="37">
        <f>COUNTIF(H$5:H2844,"Y")/COUNTA(H$5:H2844)</f>
        <v/>
      </c>
      <c r="K2844" s="37">
        <f>AVERAGE(F$5:F2844)</f>
        <v/>
      </c>
      <c r="L2844" s="37">
        <f>SUM(F$5:F2844)/SUM(E$5:E2844)</f>
        <v/>
      </c>
    </row>
    <row r="2845">
      <c r="A2845" s="29" t="n">
        <v>46091</v>
      </c>
      <c r="B2845" s="37" t="inlineStr">
        <is>
          <t>JOB-3841</t>
        </is>
      </c>
      <c r="C2845" s="34" t="n">
        <v>1</v>
      </c>
      <c r="D2845" s="37" t="inlineStr">
        <is>
          <t>Tech A</t>
        </is>
      </c>
      <c r="E2845" s="35" t="n">
        <v>3.8</v>
      </c>
      <c r="F2845" s="35" t="n">
        <v>3.2</v>
      </c>
      <c r="G2845" s="37" t="inlineStr">
        <is>
          <t>Y</t>
        </is>
      </c>
      <c r="H2845" s="37" t="inlineStr">
        <is>
          <t>N</t>
        </is>
      </c>
      <c r="I2845" s="37">
        <f>COUNTIF(G$5:G2845,"Y")/COUNTA(G$5:G2845)</f>
        <v/>
      </c>
      <c r="J2845" s="37">
        <f>COUNTIF(H$5:H2845,"Y")/COUNTA(H$5:H2845)</f>
        <v/>
      </c>
      <c r="K2845" s="37">
        <f>AVERAGE(F$5:F2845)</f>
        <v/>
      </c>
      <c r="L2845" s="37">
        <f>SUM(F$5:F2845)/SUM(E$5:E2845)</f>
        <v/>
      </c>
    </row>
    <row r="2846">
      <c r="A2846" s="29" t="n">
        <v>46092</v>
      </c>
      <c r="B2846" s="37" t="inlineStr">
        <is>
          <t>JOB-3842</t>
        </is>
      </c>
      <c r="C2846" s="34" t="n">
        <v>1</v>
      </c>
      <c r="D2846" s="37" t="inlineStr">
        <is>
          <t>Tech C</t>
        </is>
      </c>
      <c r="E2846" s="35" t="n">
        <v>2.5</v>
      </c>
      <c r="F2846" s="35" t="n">
        <v>2</v>
      </c>
      <c r="G2846" s="37" t="inlineStr">
        <is>
          <t>N</t>
        </is>
      </c>
      <c r="H2846" s="37" t="inlineStr">
        <is>
          <t>N</t>
        </is>
      </c>
      <c r="I2846" s="37">
        <f>COUNTIF(G$5:G2846,"Y")/COUNTA(G$5:G2846)</f>
        <v/>
      </c>
      <c r="J2846" s="37">
        <f>COUNTIF(H$5:H2846,"Y")/COUNTA(H$5:H2846)</f>
        <v/>
      </c>
      <c r="K2846" s="37">
        <f>AVERAGE(F$5:F2846)</f>
        <v/>
      </c>
      <c r="L2846" s="37">
        <f>SUM(F$5:F2846)/SUM(E$5:E2846)</f>
        <v/>
      </c>
    </row>
    <row r="2847">
      <c r="A2847" s="29" t="n">
        <v>46093</v>
      </c>
      <c r="B2847" s="37" t="inlineStr">
        <is>
          <t>JOB-3843</t>
        </is>
      </c>
      <c r="C2847" s="34" t="n">
        <v>1</v>
      </c>
      <c r="D2847" s="37" t="inlineStr">
        <is>
          <t>Tech F</t>
        </is>
      </c>
      <c r="E2847" s="35" t="n">
        <v>3.5</v>
      </c>
      <c r="F2847" s="35" t="n">
        <v>3.1</v>
      </c>
      <c r="G2847" s="37" t="inlineStr">
        <is>
          <t>Y</t>
        </is>
      </c>
      <c r="H2847" s="37" t="inlineStr">
        <is>
          <t>N</t>
        </is>
      </c>
      <c r="I2847" s="37">
        <f>COUNTIF(G$5:G2847,"Y")/COUNTA(G$5:G2847)</f>
        <v/>
      </c>
      <c r="J2847" s="37">
        <f>COUNTIF(H$5:H2847,"Y")/COUNTA(H$5:H2847)</f>
        <v/>
      </c>
      <c r="K2847" s="37">
        <f>AVERAGE(F$5:F2847)</f>
        <v/>
      </c>
      <c r="L2847" s="37">
        <f>SUM(F$5:F2847)/SUM(E$5:E2847)</f>
        <v/>
      </c>
    </row>
    <row r="2848">
      <c r="A2848" s="29" t="n">
        <v>46094</v>
      </c>
      <c r="B2848" s="37" t="inlineStr">
        <is>
          <t>JOB-3844</t>
        </is>
      </c>
      <c r="C2848" s="34" t="n">
        <v>1</v>
      </c>
      <c r="D2848" s="37" t="inlineStr">
        <is>
          <t>Tech D</t>
        </is>
      </c>
      <c r="E2848" s="35" t="n">
        <v>2.2</v>
      </c>
      <c r="F2848" s="35" t="n">
        <v>1.8</v>
      </c>
      <c r="G2848" s="37" t="inlineStr">
        <is>
          <t>Y</t>
        </is>
      </c>
      <c r="H2848" s="37" t="inlineStr">
        <is>
          <t>N</t>
        </is>
      </c>
      <c r="I2848" s="37">
        <f>COUNTIF(G$5:G2848,"Y")/COUNTA(G$5:G2848)</f>
        <v/>
      </c>
      <c r="J2848" s="37">
        <f>COUNTIF(H$5:H2848,"Y")/COUNTA(H$5:H2848)</f>
        <v/>
      </c>
      <c r="K2848" s="37">
        <f>AVERAGE(F$5:F2848)</f>
        <v/>
      </c>
      <c r="L2848" s="37">
        <f>SUM(F$5:F2848)/SUM(E$5:E2848)</f>
        <v/>
      </c>
    </row>
    <row r="2849">
      <c r="A2849" s="29" t="n">
        <v>46090</v>
      </c>
      <c r="B2849" s="37" t="inlineStr">
        <is>
          <t>JOB-3845</t>
        </is>
      </c>
      <c r="C2849" s="34" t="n">
        <v>1</v>
      </c>
      <c r="D2849" s="37" t="inlineStr">
        <is>
          <t>Tech D</t>
        </is>
      </c>
      <c r="E2849" s="35" t="n">
        <v>3.5</v>
      </c>
      <c r="F2849" s="35" t="n">
        <v>2.9</v>
      </c>
      <c r="G2849" s="37" t="inlineStr">
        <is>
          <t>Y</t>
        </is>
      </c>
      <c r="H2849" s="37" t="inlineStr">
        <is>
          <t>N</t>
        </is>
      </c>
      <c r="I2849" s="37">
        <f>COUNTIF(G$5:G2849,"Y")/COUNTA(G$5:G2849)</f>
        <v/>
      </c>
      <c r="J2849" s="37">
        <f>COUNTIF(H$5:H2849,"Y")/COUNTA(H$5:H2849)</f>
        <v/>
      </c>
      <c r="K2849" s="37">
        <f>AVERAGE(F$5:F2849)</f>
        <v/>
      </c>
      <c r="L2849" s="37">
        <f>SUM(F$5:F2849)/SUM(E$5:E2849)</f>
        <v/>
      </c>
    </row>
    <row r="2850">
      <c r="A2850" s="29" t="n">
        <v>46091</v>
      </c>
      <c r="B2850" s="37" t="inlineStr">
        <is>
          <t>JOB-3846</t>
        </is>
      </c>
      <c r="C2850" s="34" t="n">
        <v>1</v>
      </c>
      <c r="D2850" s="37" t="inlineStr">
        <is>
          <t>Tech B</t>
        </is>
      </c>
      <c r="E2850" s="35" t="n">
        <v>4.7</v>
      </c>
      <c r="F2850" s="35" t="n">
        <v>3.3</v>
      </c>
      <c r="G2850" s="37" t="inlineStr">
        <is>
          <t>Y</t>
        </is>
      </c>
      <c r="H2850" s="37" t="inlineStr">
        <is>
          <t>N</t>
        </is>
      </c>
      <c r="I2850" s="37">
        <f>COUNTIF(G$5:G2850,"Y")/COUNTA(G$5:G2850)</f>
        <v/>
      </c>
      <c r="J2850" s="37">
        <f>COUNTIF(H$5:H2850,"Y")/COUNTA(H$5:H2850)</f>
        <v/>
      </c>
      <c r="K2850" s="37">
        <f>AVERAGE(F$5:F2850)</f>
        <v/>
      </c>
      <c r="L2850" s="37">
        <f>SUM(F$5:F2850)/SUM(E$5:E2850)</f>
        <v/>
      </c>
    </row>
    <row r="2851">
      <c r="A2851" s="29" t="n">
        <v>46092</v>
      </c>
      <c r="B2851" s="37" t="inlineStr">
        <is>
          <t>JOB-3847</t>
        </is>
      </c>
      <c r="C2851" s="34" t="n">
        <v>1</v>
      </c>
      <c r="D2851" s="37" t="inlineStr">
        <is>
          <t>Tech B</t>
        </is>
      </c>
      <c r="E2851" s="35" t="n">
        <v>5.3</v>
      </c>
      <c r="F2851" s="35" t="n">
        <v>4.1</v>
      </c>
      <c r="G2851" s="37" t="inlineStr">
        <is>
          <t>Y</t>
        </is>
      </c>
      <c r="H2851" s="37" t="inlineStr">
        <is>
          <t>Y</t>
        </is>
      </c>
      <c r="I2851" s="37">
        <f>COUNTIF(G$5:G2851,"Y")/COUNTA(G$5:G2851)</f>
        <v/>
      </c>
      <c r="J2851" s="37">
        <f>COUNTIF(H$5:H2851,"Y")/COUNTA(H$5:H2851)</f>
        <v/>
      </c>
      <c r="K2851" s="37">
        <f>AVERAGE(F$5:F2851)</f>
        <v/>
      </c>
      <c r="L2851" s="37">
        <f>SUM(F$5:F2851)/SUM(E$5:E2851)</f>
        <v/>
      </c>
    </row>
    <row r="2852">
      <c r="A2852" s="29" t="n">
        <v>46093</v>
      </c>
      <c r="B2852" s="37" t="inlineStr">
        <is>
          <t>JOB-3848</t>
        </is>
      </c>
      <c r="C2852" s="34" t="n">
        <v>1</v>
      </c>
      <c r="D2852" s="37" t="inlineStr">
        <is>
          <t>Tech A</t>
        </is>
      </c>
      <c r="E2852" s="35" t="n">
        <v>3.6</v>
      </c>
      <c r="F2852" s="35" t="n">
        <v>3</v>
      </c>
      <c r="G2852" s="37" t="inlineStr">
        <is>
          <t>Y</t>
        </is>
      </c>
      <c r="H2852" s="37" t="inlineStr">
        <is>
          <t>N</t>
        </is>
      </c>
      <c r="I2852" s="37">
        <f>COUNTIF(G$5:G2852,"Y")/COUNTA(G$5:G2852)</f>
        <v/>
      </c>
      <c r="J2852" s="37">
        <f>COUNTIF(H$5:H2852,"Y")/COUNTA(H$5:H2852)</f>
        <v/>
      </c>
      <c r="K2852" s="37">
        <f>AVERAGE(F$5:F2852)</f>
        <v/>
      </c>
      <c r="L2852" s="37">
        <f>SUM(F$5:F2852)/SUM(E$5:E2852)</f>
        <v/>
      </c>
    </row>
    <row r="2853">
      <c r="A2853" s="29" t="n">
        <v>46094</v>
      </c>
      <c r="B2853" s="37" t="inlineStr">
        <is>
          <t>JOB-3849</t>
        </is>
      </c>
      <c r="C2853" s="34" t="n">
        <v>1</v>
      </c>
      <c r="D2853" s="37" t="inlineStr">
        <is>
          <t>Tech G</t>
        </is>
      </c>
      <c r="E2853" s="35" t="n">
        <v>2.6</v>
      </c>
      <c r="F2853" s="35" t="n">
        <v>2.2</v>
      </c>
      <c r="G2853" s="37" t="inlineStr">
        <is>
          <t>Y</t>
        </is>
      </c>
      <c r="H2853" s="37" t="inlineStr">
        <is>
          <t>N</t>
        </is>
      </c>
      <c r="I2853" s="37">
        <f>COUNTIF(G$5:G2853,"Y")/COUNTA(G$5:G2853)</f>
        <v/>
      </c>
      <c r="J2853" s="37">
        <f>COUNTIF(H$5:H2853,"Y")/COUNTA(H$5:H2853)</f>
        <v/>
      </c>
      <c r="K2853" s="37">
        <f>AVERAGE(F$5:F2853)</f>
        <v/>
      </c>
      <c r="L2853" s="37">
        <f>SUM(F$5:F2853)/SUM(E$5:E2853)</f>
        <v/>
      </c>
    </row>
    <row r="2854">
      <c r="A2854" s="29" t="n">
        <v>46090</v>
      </c>
      <c r="B2854" s="37" t="inlineStr">
        <is>
          <t>JOB-3850</t>
        </is>
      </c>
      <c r="C2854" s="34" t="n">
        <v>1</v>
      </c>
      <c r="D2854" s="37" t="inlineStr">
        <is>
          <t>Tech D</t>
        </is>
      </c>
      <c r="E2854" s="35" t="n">
        <v>4.6</v>
      </c>
      <c r="F2854" s="35" t="n">
        <v>3.7</v>
      </c>
      <c r="G2854" s="37" t="inlineStr">
        <is>
          <t>Y</t>
        </is>
      </c>
      <c r="H2854" s="37" t="inlineStr">
        <is>
          <t>N</t>
        </is>
      </c>
      <c r="I2854" s="37">
        <f>COUNTIF(G$5:G2854,"Y")/COUNTA(G$5:G2854)</f>
        <v/>
      </c>
      <c r="J2854" s="37">
        <f>COUNTIF(H$5:H2854,"Y")/COUNTA(H$5:H2854)</f>
        <v/>
      </c>
      <c r="K2854" s="37">
        <f>AVERAGE(F$5:F2854)</f>
        <v/>
      </c>
      <c r="L2854" s="37">
        <f>SUM(F$5:F2854)/SUM(E$5:E2854)</f>
        <v/>
      </c>
    </row>
    <row r="2855">
      <c r="A2855" s="29" t="n">
        <v>46091</v>
      </c>
      <c r="B2855" s="37" t="inlineStr">
        <is>
          <t>JOB-3851</t>
        </is>
      </c>
      <c r="C2855" s="34" t="n">
        <v>1</v>
      </c>
      <c r="D2855" s="37" t="inlineStr">
        <is>
          <t>Tech H</t>
        </is>
      </c>
      <c r="E2855" s="35" t="n">
        <v>3.4</v>
      </c>
      <c r="F2855" s="35" t="n">
        <v>2.3</v>
      </c>
      <c r="G2855" s="37" t="inlineStr">
        <is>
          <t>Y</t>
        </is>
      </c>
      <c r="H2855" s="37" t="inlineStr">
        <is>
          <t>N</t>
        </is>
      </c>
      <c r="I2855" s="37">
        <f>COUNTIF(G$5:G2855,"Y")/COUNTA(G$5:G2855)</f>
        <v/>
      </c>
      <c r="J2855" s="37">
        <f>COUNTIF(H$5:H2855,"Y")/COUNTA(H$5:H2855)</f>
        <v/>
      </c>
      <c r="K2855" s="37">
        <f>AVERAGE(F$5:F2855)</f>
        <v/>
      </c>
      <c r="L2855" s="37">
        <f>SUM(F$5:F2855)/SUM(E$5:E2855)</f>
        <v/>
      </c>
    </row>
    <row r="2856">
      <c r="A2856" s="29" t="n">
        <v>46092</v>
      </c>
      <c r="B2856" s="37" t="inlineStr">
        <is>
          <t>JOB-3852</t>
        </is>
      </c>
      <c r="C2856" s="34" t="n">
        <v>1</v>
      </c>
      <c r="D2856" s="37" t="inlineStr">
        <is>
          <t>Tech C</t>
        </is>
      </c>
      <c r="E2856" s="35" t="n">
        <v>3.1</v>
      </c>
      <c r="F2856" s="35" t="n">
        <v>2.6</v>
      </c>
      <c r="G2856" s="37" t="inlineStr">
        <is>
          <t>Y</t>
        </is>
      </c>
      <c r="H2856" s="37" t="inlineStr">
        <is>
          <t>N</t>
        </is>
      </c>
      <c r="I2856" s="37">
        <f>COUNTIF(G$5:G2856,"Y")/COUNTA(G$5:G2856)</f>
        <v/>
      </c>
      <c r="J2856" s="37">
        <f>COUNTIF(H$5:H2856,"Y")/COUNTA(H$5:H2856)</f>
        <v/>
      </c>
      <c r="K2856" s="37">
        <f>AVERAGE(F$5:F2856)</f>
        <v/>
      </c>
      <c r="L2856" s="37">
        <f>SUM(F$5:F2856)/SUM(E$5:E2856)</f>
        <v/>
      </c>
    </row>
    <row r="2857">
      <c r="A2857" s="29" t="n">
        <v>46093</v>
      </c>
      <c r="B2857" s="37" t="inlineStr">
        <is>
          <t>JOB-3853</t>
        </is>
      </c>
      <c r="C2857" s="34" t="n">
        <v>1</v>
      </c>
      <c r="D2857" s="37" t="inlineStr">
        <is>
          <t>Tech A</t>
        </is>
      </c>
      <c r="E2857" s="35" t="n">
        <v>3.2</v>
      </c>
      <c r="F2857" s="35" t="n">
        <v>2.7</v>
      </c>
      <c r="G2857" s="37" t="inlineStr">
        <is>
          <t>Y</t>
        </is>
      </c>
      <c r="H2857" s="37" t="inlineStr">
        <is>
          <t>N</t>
        </is>
      </c>
      <c r="I2857" s="37">
        <f>COUNTIF(G$5:G2857,"Y")/COUNTA(G$5:G2857)</f>
        <v/>
      </c>
      <c r="J2857" s="37">
        <f>COUNTIF(H$5:H2857,"Y")/COUNTA(H$5:H2857)</f>
        <v/>
      </c>
      <c r="K2857" s="37">
        <f>AVERAGE(F$5:F2857)</f>
        <v/>
      </c>
      <c r="L2857" s="37">
        <f>SUM(F$5:F2857)/SUM(E$5:E2857)</f>
        <v/>
      </c>
    </row>
    <row r="2858">
      <c r="A2858" s="29" t="n">
        <v>46094</v>
      </c>
      <c r="B2858" s="37" t="inlineStr">
        <is>
          <t>JOB-3854</t>
        </is>
      </c>
      <c r="C2858" s="34" t="n">
        <v>1</v>
      </c>
      <c r="D2858" s="37" t="inlineStr">
        <is>
          <t>Tech G</t>
        </is>
      </c>
      <c r="E2858" s="35" t="n">
        <v>4.3</v>
      </c>
      <c r="F2858" s="35" t="n">
        <v>3.8</v>
      </c>
      <c r="G2858" s="37" t="inlineStr">
        <is>
          <t>Y</t>
        </is>
      </c>
      <c r="H2858" s="37" t="inlineStr">
        <is>
          <t>N</t>
        </is>
      </c>
      <c r="I2858" s="37">
        <f>COUNTIF(G$5:G2858,"Y")/COUNTA(G$5:G2858)</f>
        <v/>
      </c>
      <c r="J2858" s="37">
        <f>COUNTIF(H$5:H2858,"Y")/COUNTA(H$5:H2858)</f>
        <v/>
      </c>
      <c r="K2858" s="37">
        <f>AVERAGE(F$5:F2858)</f>
        <v/>
      </c>
      <c r="L2858" s="37">
        <f>SUM(F$5:F2858)/SUM(E$5:E2858)</f>
        <v/>
      </c>
    </row>
    <row r="2859">
      <c r="A2859" s="29" t="n">
        <v>46090</v>
      </c>
      <c r="B2859" s="37" t="inlineStr">
        <is>
          <t>JOB-3855</t>
        </is>
      </c>
      <c r="C2859" s="34" t="n">
        <v>1</v>
      </c>
      <c r="D2859" s="37" t="inlineStr">
        <is>
          <t>Tech D</t>
        </is>
      </c>
      <c r="E2859" s="35" t="n">
        <v>5</v>
      </c>
      <c r="F2859" s="35" t="n">
        <v>4</v>
      </c>
      <c r="G2859" s="37" t="inlineStr">
        <is>
          <t>Y</t>
        </is>
      </c>
      <c r="H2859" s="37" t="inlineStr">
        <is>
          <t>N</t>
        </is>
      </c>
      <c r="I2859" s="37">
        <f>COUNTIF(G$5:G2859,"Y")/COUNTA(G$5:G2859)</f>
        <v/>
      </c>
      <c r="J2859" s="37">
        <f>COUNTIF(H$5:H2859,"Y")/COUNTA(H$5:H2859)</f>
        <v/>
      </c>
      <c r="K2859" s="37">
        <f>AVERAGE(F$5:F2859)</f>
        <v/>
      </c>
      <c r="L2859" s="37">
        <f>SUM(F$5:F2859)/SUM(E$5:E2859)</f>
        <v/>
      </c>
    </row>
    <row r="2860">
      <c r="A2860" s="29" t="n">
        <v>46091</v>
      </c>
      <c r="B2860" s="37" t="inlineStr">
        <is>
          <t>JOB-3856</t>
        </is>
      </c>
      <c r="C2860" s="34" t="n">
        <v>1</v>
      </c>
      <c r="D2860" s="37" t="inlineStr">
        <is>
          <t>Tech C</t>
        </is>
      </c>
      <c r="E2860" s="35" t="n">
        <v>2.5</v>
      </c>
      <c r="F2860" s="35" t="n">
        <v>2.1</v>
      </c>
      <c r="G2860" s="37" t="inlineStr">
        <is>
          <t>Y</t>
        </is>
      </c>
      <c r="H2860" s="37" t="inlineStr">
        <is>
          <t>N</t>
        </is>
      </c>
      <c r="I2860" s="37">
        <f>COUNTIF(G$5:G2860,"Y")/COUNTA(G$5:G2860)</f>
        <v/>
      </c>
      <c r="J2860" s="37">
        <f>COUNTIF(H$5:H2860,"Y")/COUNTA(H$5:H2860)</f>
        <v/>
      </c>
      <c r="K2860" s="37">
        <f>AVERAGE(F$5:F2860)</f>
        <v/>
      </c>
      <c r="L2860" s="37">
        <f>SUM(F$5:F2860)/SUM(E$5:E2860)</f>
        <v/>
      </c>
    </row>
    <row r="2861">
      <c r="A2861" s="29" t="n">
        <v>46092</v>
      </c>
      <c r="B2861" s="37" t="inlineStr">
        <is>
          <t>JOB-3857</t>
        </is>
      </c>
      <c r="C2861" s="34" t="n">
        <v>1</v>
      </c>
      <c r="D2861" s="37" t="inlineStr">
        <is>
          <t>Tech H</t>
        </is>
      </c>
      <c r="E2861" s="35" t="n">
        <v>2.9</v>
      </c>
      <c r="F2861" s="35" t="n">
        <v>2</v>
      </c>
      <c r="G2861" s="37" t="inlineStr">
        <is>
          <t>Y</t>
        </is>
      </c>
      <c r="H2861" s="37" t="inlineStr">
        <is>
          <t>N</t>
        </is>
      </c>
      <c r="I2861" s="37">
        <f>COUNTIF(G$5:G2861,"Y")/COUNTA(G$5:G2861)</f>
        <v/>
      </c>
      <c r="J2861" s="37">
        <f>COUNTIF(H$5:H2861,"Y")/COUNTA(H$5:H2861)</f>
        <v/>
      </c>
      <c r="K2861" s="37">
        <f>AVERAGE(F$5:F2861)</f>
        <v/>
      </c>
      <c r="L2861" s="37">
        <f>SUM(F$5:F2861)/SUM(E$5:E2861)</f>
        <v/>
      </c>
    </row>
    <row r="2862">
      <c r="A2862" s="29" t="n">
        <v>46093</v>
      </c>
      <c r="B2862" s="37" t="inlineStr">
        <is>
          <t>JOB-3858</t>
        </is>
      </c>
      <c r="C2862" s="34" t="n">
        <v>1</v>
      </c>
      <c r="D2862" s="37" t="inlineStr">
        <is>
          <t>Tech H</t>
        </is>
      </c>
      <c r="E2862" s="35" t="n">
        <v>3.7</v>
      </c>
      <c r="F2862" s="35" t="n">
        <v>2.7</v>
      </c>
      <c r="G2862" s="37" t="inlineStr">
        <is>
          <t>Y</t>
        </is>
      </c>
      <c r="H2862" s="37" t="inlineStr">
        <is>
          <t>N</t>
        </is>
      </c>
      <c r="I2862" s="37">
        <f>COUNTIF(G$5:G2862,"Y")/COUNTA(G$5:G2862)</f>
        <v/>
      </c>
      <c r="J2862" s="37">
        <f>COUNTIF(H$5:H2862,"Y")/COUNTA(H$5:H2862)</f>
        <v/>
      </c>
      <c r="K2862" s="37">
        <f>AVERAGE(F$5:F2862)</f>
        <v/>
      </c>
      <c r="L2862" s="37">
        <f>SUM(F$5:F2862)/SUM(E$5:E2862)</f>
        <v/>
      </c>
    </row>
    <row r="2863">
      <c r="A2863" s="29" t="n">
        <v>46094</v>
      </c>
      <c r="B2863" s="37" t="inlineStr">
        <is>
          <t>JOB-3859</t>
        </is>
      </c>
      <c r="C2863" s="34" t="n">
        <v>1</v>
      </c>
      <c r="D2863" s="37" t="inlineStr">
        <is>
          <t>Tech F</t>
        </is>
      </c>
      <c r="E2863" s="35" t="n">
        <v>0.7</v>
      </c>
      <c r="F2863" s="35" t="n">
        <v>0.5</v>
      </c>
      <c r="G2863" s="37" t="inlineStr">
        <is>
          <t>Y</t>
        </is>
      </c>
      <c r="H2863" s="37" t="inlineStr">
        <is>
          <t>N</t>
        </is>
      </c>
      <c r="I2863" s="37">
        <f>COUNTIF(G$5:G2863,"Y")/COUNTA(G$5:G2863)</f>
        <v/>
      </c>
      <c r="J2863" s="37">
        <f>COUNTIF(H$5:H2863,"Y")/COUNTA(H$5:H2863)</f>
        <v/>
      </c>
      <c r="K2863" s="37">
        <f>AVERAGE(F$5:F2863)</f>
        <v/>
      </c>
      <c r="L2863" s="37">
        <f>SUM(F$5:F2863)/SUM(E$5:E2863)</f>
        <v/>
      </c>
    </row>
    <row r="2864">
      <c r="A2864" s="29" t="n">
        <v>46090</v>
      </c>
      <c r="B2864" s="37" t="inlineStr">
        <is>
          <t>JOB-3860</t>
        </is>
      </c>
      <c r="C2864" s="34" t="n">
        <v>1</v>
      </c>
      <c r="D2864" s="37" t="inlineStr">
        <is>
          <t>Tech G</t>
        </is>
      </c>
      <c r="E2864" s="35" t="n">
        <v>0.7</v>
      </c>
      <c r="F2864" s="35" t="n">
        <v>0.5</v>
      </c>
      <c r="G2864" s="37" t="inlineStr">
        <is>
          <t>Y</t>
        </is>
      </c>
      <c r="H2864" s="37" t="inlineStr">
        <is>
          <t>N</t>
        </is>
      </c>
      <c r="I2864" s="37">
        <f>COUNTIF(G$5:G2864,"Y")/COUNTA(G$5:G2864)</f>
        <v/>
      </c>
      <c r="J2864" s="37">
        <f>COUNTIF(H$5:H2864,"Y")/COUNTA(H$5:H2864)</f>
        <v/>
      </c>
      <c r="K2864" s="37">
        <f>AVERAGE(F$5:F2864)</f>
        <v/>
      </c>
      <c r="L2864" s="37">
        <f>SUM(F$5:F2864)/SUM(E$5:E2864)</f>
        <v/>
      </c>
    </row>
    <row r="2865">
      <c r="A2865" s="29" t="n">
        <v>46091</v>
      </c>
      <c r="B2865" s="37" t="inlineStr">
        <is>
          <t>JOB-3861</t>
        </is>
      </c>
      <c r="C2865" s="34" t="n">
        <v>1</v>
      </c>
      <c r="D2865" s="37" t="inlineStr">
        <is>
          <t>Tech B</t>
        </is>
      </c>
      <c r="E2865" s="35" t="n">
        <v>0.7</v>
      </c>
      <c r="F2865" s="35" t="n">
        <v>0.5</v>
      </c>
      <c r="G2865" s="37" t="inlineStr">
        <is>
          <t>Y</t>
        </is>
      </c>
      <c r="H2865" s="37" t="inlineStr">
        <is>
          <t>N</t>
        </is>
      </c>
      <c r="I2865" s="37">
        <f>COUNTIF(G$5:G2865,"Y")/COUNTA(G$5:G2865)</f>
        <v/>
      </c>
      <c r="J2865" s="37">
        <f>COUNTIF(H$5:H2865,"Y")/COUNTA(H$5:H2865)</f>
        <v/>
      </c>
      <c r="K2865" s="37">
        <f>AVERAGE(F$5:F2865)</f>
        <v/>
      </c>
      <c r="L2865" s="37">
        <f>SUM(F$5:F2865)/SUM(E$5:E2865)</f>
        <v/>
      </c>
    </row>
    <row r="2866">
      <c r="A2866" s="29" t="n">
        <v>46092</v>
      </c>
      <c r="B2866" s="37" t="inlineStr">
        <is>
          <t>JOB-3862</t>
        </is>
      </c>
      <c r="C2866" s="34" t="n">
        <v>1</v>
      </c>
      <c r="D2866" s="37" t="inlineStr">
        <is>
          <t>Tech B</t>
        </is>
      </c>
      <c r="E2866" s="35" t="n">
        <v>0.7</v>
      </c>
      <c r="F2866" s="35" t="n">
        <v>0.5</v>
      </c>
      <c r="G2866" s="37" t="inlineStr">
        <is>
          <t>N</t>
        </is>
      </c>
      <c r="H2866" s="37" t="inlineStr">
        <is>
          <t>N</t>
        </is>
      </c>
      <c r="I2866" s="37">
        <f>COUNTIF(G$5:G2866,"Y")/COUNTA(G$5:G2866)</f>
        <v/>
      </c>
      <c r="J2866" s="37">
        <f>COUNTIF(H$5:H2866,"Y")/COUNTA(H$5:H2866)</f>
        <v/>
      </c>
      <c r="K2866" s="37">
        <f>AVERAGE(F$5:F2866)</f>
        <v/>
      </c>
      <c r="L2866" s="37">
        <f>SUM(F$5:F2866)/SUM(E$5:E2866)</f>
        <v/>
      </c>
    </row>
    <row r="2867">
      <c r="A2867" s="29" t="n">
        <v>46093</v>
      </c>
      <c r="B2867" s="37" t="inlineStr">
        <is>
          <t>JOB-3863</t>
        </is>
      </c>
      <c r="C2867" s="34" t="n">
        <v>1</v>
      </c>
      <c r="D2867" s="37" t="inlineStr">
        <is>
          <t>Tech G</t>
        </is>
      </c>
      <c r="E2867" s="35" t="n">
        <v>0.6</v>
      </c>
      <c r="F2867" s="35" t="n">
        <v>0.5</v>
      </c>
      <c r="G2867" s="37" t="inlineStr">
        <is>
          <t>Y</t>
        </is>
      </c>
      <c r="H2867" s="37" t="inlineStr">
        <is>
          <t>N</t>
        </is>
      </c>
      <c r="I2867" s="37">
        <f>COUNTIF(G$5:G2867,"Y")/COUNTA(G$5:G2867)</f>
        <v/>
      </c>
      <c r="J2867" s="37">
        <f>COUNTIF(H$5:H2867,"Y")/COUNTA(H$5:H2867)</f>
        <v/>
      </c>
      <c r="K2867" s="37">
        <f>AVERAGE(F$5:F2867)</f>
        <v/>
      </c>
      <c r="L2867" s="37">
        <f>SUM(F$5:F2867)/SUM(E$5:E2867)</f>
        <v/>
      </c>
    </row>
    <row r="2868">
      <c r="A2868" s="29" t="n">
        <v>46094</v>
      </c>
      <c r="B2868" s="37" t="inlineStr">
        <is>
          <t>JOB-3864</t>
        </is>
      </c>
      <c r="C2868" s="34" t="n">
        <v>1</v>
      </c>
      <c r="D2868" s="37" t="inlineStr">
        <is>
          <t>Tech A</t>
        </is>
      </c>
      <c r="E2868" s="35" t="n">
        <v>0.6</v>
      </c>
      <c r="F2868" s="35" t="n">
        <v>0.5</v>
      </c>
      <c r="G2868" s="37" t="inlineStr">
        <is>
          <t>Y</t>
        </is>
      </c>
      <c r="H2868" s="37" t="inlineStr">
        <is>
          <t>N</t>
        </is>
      </c>
      <c r="I2868" s="37">
        <f>COUNTIF(G$5:G2868,"Y")/COUNTA(G$5:G2868)</f>
        <v/>
      </c>
      <c r="J2868" s="37">
        <f>COUNTIF(H$5:H2868,"Y")/COUNTA(H$5:H2868)</f>
        <v/>
      </c>
      <c r="K2868" s="37">
        <f>AVERAGE(F$5:F2868)</f>
        <v/>
      </c>
      <c r="L2868" s="37">
        <f>SUM(F$5:F2868)/SUM(E$5:E2868)</f>
        <v/>
      </c>
    </row>
    <row r="2869">
      <c r="A2869" s="29" t="n">
        <v>46090</v>
      </c>
      <c r="B2869" s="37" t="inlineStr">
        <is>
          <t>JOB-3865</t>
        </is>
      </c>
      <c r="C2869" s="34" t="n">
        <v>1</v>
      </c>
      <c r="D2869" s="37" t="inlineStr">
        <is>
          <t>Tech G</t>
        </is>
      </c>
      <c r="E2869" s="35" t="n">
        <v>0.6</v>
      </c>
      <c r="F2869" s="35" t="n">
        <v>0.5</v>
      </c>
      <c r="G2869" s="37" t="inlineStr">
        <is>
          <t>Y</t>
        </is>
      </c>
      <c r="H2869" s="37" t="inlineStr">
        <is>
          <t>N</t>
        </is>
      </c>
      <c r="I2869" s="37">
        <f>COUNTIF(G$5:G2869,"Y")/COUNTA(G$5:G2869)</f>
        <v/>
      </c>
      <c r="J2869" s="37">
        <f>COUNTIF(H$5:H2869,"Y")/COUNTA(H$5:H2869)</f>
        <v/>
      </c>
      <c r="K2869" s="37">
        <f>AVERAGE(F$5:F2869)</f>
        <v/>
      </c>
      <c r="L2869" s="37">
        <f>SUM(F$5:F2869)/SUM(E$5:E2869)</f>
        <v/>
      </c>
    </row>
    <row r="2870">
      <c r="A2870" s="29" t="n">
        <v>46091</v>
      </c>
      <c r="B2870" s="37" t="inlineStr">
        <is>
          <t>JOB-3866</t>
        </is>
      </c>
      <c r="C2870" s="34" t="n">
        <v>1</v>
      </c>
      <c r="D2870" s="37" t="inlineStr">
        <is>
          <t>Tech B</t>
        </is>
      </c>
      <c r="E2870" s="35" t="n">
        <v>4.7</v>
      </c>
      <c r="F2870" s="35" t="n">
        <v>0.5</v>
      </c>
      <c r="G2870" s="37" t="inlineStr">
        <is>
          <t>Y</t>
        </is>
      </c>
      <c r="H2870" s="37" t="inlineStr">
        <is>
          <t>N</t>
        </is>
      </c>
      <c r="I2870" s="37">
        <f>COUNTIF(G$5:G2870,"Y")/COUNTA(G$5:G2870)</f>
        <v/>
      </c>
      <c r="J2870" s="37">
        <f>COUNTIF(H$5:H2870,"Y")/COUNTA(H$5:H2870)</f>
        <v/>
      </c>
      <c r="K2870" s="37">
        <f>AVERAGE(F$5:F2870)</f>
        <v/>
      </c>
      <c r="L2870" s="37">
        <f>SUM(F$5:F2870)/SUM(E$5:E2870)</f>
        <v/>
      </c>
      <c r="M2870" s="37" t="n">
        <v>10</v>
      </c>
    </row>
    <row r="2871">
      <c r="A2871" s="29" t="n">
        <v>46097</v>
      </c>
      <c r="B2871" s="37" t="inlineStr">
        <is>
          <t>JOB-3867</t>
        </is>
      </c>
      <c r="C2871" s="34" t="n">
        <v>1</v>
      </c>
      <c r="D2871" s="37" t="inlineStr">
        <is>
          <t>Tech H</t>
        </is>
      </c>
      <c r="E2871" s="35" t="n">
        <v>2.1</v>
      </c>
      <c r="F2871" s="35" t="n">
        <v>1.6</v>
      </c>
      <c r="G2871" s="37" t="inlineStr">
        <is>
          <t>Y</t>
        </is>
      </c>
      <c r="H2871" s="37" t="inlineStr">
        <is>
          <t>N</t>
        </is>
      </c>
      <c r="I2871" s="37">
        <f>COUNTIF(G$5:G2871,"Y")/COUNTA(G$5:G2871)</f>
        <v/>
      </c>
      <c r="J2871" s="37">
        <f>COUNTIF(H$5:H2871,"Y")/COUNTA(H$5:H2871)</f>
        <v/>
      </c>
      <c r="K2871" s="37">
        <f>AVERAGE(F$5:F2871)</f>
        <v/>
      </c>
      <c r="L2871" s="37">
        <f>SUM(F$5:F2871)/SUM(E$5:E2871)</f>
        <v/>
      </c>
    </row>
    <row r="2872">
      <c r="A2872" s="29" t="n">
        <v>46098</v>
      </c>
      <c r="B2872" s="37" t="inlineStr">
        <is>
          <t>JOB-3868</t>
        </is>
      </c>
      <c r="C2872" s="34" t="n">
        <v>1</v>
      </c>
      <c r="D2872" s="37" t="inlineStr">
        <is>
          <t>Tech F</t>
        </is>
      </c>
      <c r="E2872" s="35" t="n">
        <v>2.5</v>
      </c>
      <c r="F2872" s="35" t="n">
        <v>1.9</v>
      </c>
      <c r="G2872" s="37" t="inlineStr">
        <is>
          <t>N</t>
        </is>
      </c>
      <c r="H2872" s="37" t="inlineStr">
        <is>
          <t>N</t>
        </is>
      </c>
      <c r="I2872" s="37">
        <f>COUNTIF(G$5:G2872,"Y")/COUNTA(G$5:G2872)</f>
        <v/>
      </c>
      <c r="J2872" s="37">
        <f>COUNTIF(H$5:H2872,"Y")/COUNTA(H$5:H2872)</f>
        <v/>
      </c>
      <c r="K2872" s="37">
        <f>AVERAGE(F$5:F2872)</f>
        <v/>
      </c>
      <c r="L2872" s="37">
        <f>SUM(F$5:F2872)/SUM(E$5:E2872)</f>
        <v/>
      </c>
    </row>
    <row r="2873">
      <c r="A2873" s="29" t="n">
        <v>46099</v>
      </c>
      <c r="B2873" s="37" t="inlineStr">
        <is>
          <t>JOB-3869</t>
        </is>
      </c>
      <c r="C2873" s="34" t="n">
        <v>1</v>
      </c>
      <c r="D2873" s="37" t="inlineStr">
        <is>
          <t>Tech C</t>
        </is>
      </c>
      <c r="E2873" s="35" t="n">
        <v>1.6</v>
      </c>
      <c r="F2873" s="35" t="n">
        <v>1.3</v>
      </c>
      <c r="G2873" s="37" t="inlineStr">
        <is>
          <t>Y</t>
        </is>
      </c>
      <c r="H2873" s="37" t="inlineStr">
        <is>
          <t>Y</t>
        </is>
      </c>
      <c r="I2873" s="37">
        <f>COUNTIF(G$5:G2873,"Y")/COUNTA(G$5:G2873)</f>
        <v/>
      </c>
      <c r="J2873" s="37">
        <f>COUNTIF(H$5:H2873,"Y")/COUNTA(H$5:H2873)</f>
        <v/>
      </c>
      <c r="K2873" s="37">
        <f>AVERAGE(F$5:F2873)</f>
        <v/>
      </c>
      <c r="L2873" s="37">
        <f>SUM(F$5:F2873)/SUM(E$5:E2873)</f>
        <v/>
      </c>
    </row>
    <row r="2874">
      <c r="A2874" s="29" t="n">
        <v>46100</v>
      </c>
      <c r="B2874" s="37" t="inlineStr">
        <is>
          <t>JOB-3870</t>
        </is>
      </c>
      <c r="C2874" s="34" t="n">
        <v>1</v>
      </c>
      <c r="D2874" s="37" t="inlineStr">
        <is>
          <t>Tech D</t>
        </is>
      </c>
      <c r="E2874" s="35" t="n">
        <v>3.6</v>
      </c>
      <c r="F2874" s="35" t="n">
        <v>2.7</v>
      </c>
      <c r="G2874" s="37" t="inlineStr">
        <is>
          <t>Y</t>
        </is>
      </c>
      <c r="H2874" s="37" t="inlineStr">
        <is>
          <t>N</t>
        </is>
      </c>
      <c r="I2874" s="37">
        <f>COUNTIF(G$5:G2874,"Y")/COUNTA(G$5:G2874)</f>
        <v/>
      </c>
      <c r="J2874" s="37">
        <f>COUNTIF(H$5:H2874,"Y")/COUNTA(H$5:H2874)</f>
        <v/>
      </c>
      <c r="K2874" s="37">
        <f>AVERAGE(F$5:F2874)</f>
        <v/>
      </c>
      <c r="L2874" s="37">
        <f>SUM(F$5:F2874)/SUM(E$5:E2874)</f>
        <v/>
      </c>
    </row>
    <row r="2875">
      <c r="A2875" s="29" t="n">
        <v>46101</v>
      </c>
      <c r="B2875" s="37" t="inlineStr">
        <is>
          <t>JOB-3871</t>
        </is>
      </c>
      <c r="C2875" s="34" t="n">
        <v>1</v>
      </c>
      <c r="D2875" s="37" t="inlineStr">
        <is>
          <t>Tech F</t>
        </is>
      </c>
      <c r="E2875" s="35" t="n">
        <v>1.7</v>
      </c>
      <c r="F2875" s="35" t="n">
        <v>1.5</v>
      </c>
      <c r="G2875" s="37" t="inlineStr">
        <is>
          <t>Y</t>
        </is>
      </c>
      <c r="H2875" s="37" t="inlineStr">
        <is>
          <t>N</t>
        </is>
      </c>
      <c r="I2875" s="37">
        <f>COUNTIF(G$5:G2875,"Y")/COUNTA(G$5:G2875)</f>
        <v/>
      </c>
      <c r="J2875" s="37">
        <f>COUNTIF(H$5:H2875,"Y")/COUNTA(H$5:H2875)</f>
        <v/>
      </c>
      <c r="K2875" s="37">
        <f>AVERAGE(F$5:F2875)</f>
        <v/>
      </c>
      <c r="L2875" s="37">
        <f>SUM(F$5:F2875)/SUM(E$5:E2875)</f>
        <v/>
      </c>
    </row>
    <row r="2876">
      <c r="A2876" s="29" t="n">
        <v>46097</v>
      </c>
      <c r="B2876" s="37" t="inlineStr">
        <is>
          <t>JOB-3872</t>
        </is>
      </c>
      <c r="C2876" s="34" t="n">
        <v>1</v>
      </c>
      <c r="D2876" s="37" t="inlineStr">
        <is>
          <t>Tech G</t>
        </is>
      </c>
      <c r="E2876" s="35" t="n">
        <v>4.4</v>
      </c>
      <c r="F2876" s="35" t="n">
        <v>3.1</v>
      </c>
      <c r="G2876" s="37" t="inlineStr">
        <is>
          <t>N</t>
        </is>
      </c>
      <c r="H2876" s="37" t="inlineStr">
        <is>
          <t>N</t>
        </is>
      </c>
      <c r="I2876" s="37">
        <f>COUNTIF(G$5:G2876,"Y")/COUNTA(G$5:G2876)</f>
        <v/>
      </c>
      <c r="J2876" s="37">
        <f>COUNTIF(H$5:H2876,"Y")/COUNTA(H$5:H2876)</f>
        <v/>
      </c>
      <c r="K2876" s="37">
        <f>AVERAGE(F$5:F2876)</f>
        <v/>
      </c>
      <c r="L2876" s="37">
        <f>SUM(F$5:F2876)/SUM(E$5:E2876)</f>
        <v/>
      </c>
    </row>
    <row r="2877">
      <c r="A2877" s="29" t="n">
        <v>46098</v>
      </c>
      <c r="B2877" s="37" t="inlineStr">
        <is>
          <t>JOB-3873</t>
        </is>
      </c>
      <c r="C2877" s="34" t="n">
        <v>1</v>
      </c>
      <c r="D2877" s="37" t="inlineStr">
        <is>
          <t>Tech H</t>
        </is>
      </c>
      <c r="E2877" s="35" t="n">
        <v>4.6</v>
      </c>
      <c r="F2877" s="35" t="n">
        <v>3.4</v>
      </c>
      <c r="G2877" s="37" t="inlineStr">
        <is>
          <t>Y</t>
        </is>
      </c>
      <c r="H2877" s="37" t="inlineStr">
        <is>
          <t>N</t>
        </is>
      </c>
      <c r="I2877" s="37">
        <f>COUNTIF(G$5:G2877,"Y")/COUNTA(G$5:G2877)</f>
        <v/>
      </c>
      <c r="J2877" s="37">
        <f>COUNTIF(H$5:H2877,"Y")/COUNTA(H$5:H2877)</f>
        <v/>
      </c>
      <c r="K2877" s="37">
        <f>AVERAGE(F$5:F2877)</f>
        <v/>
      </c>
      <c r="L2877" s="37">
        <f>SUM(F$5:F2877)/SUM(E$5:E2877)</f>
        <v/>
      </c>
    </row>
    <row r="2878">
      <c r="A2878" s="29" t="n">
        <v>46099</v>
      </c>
      <c r="B2878" s="37" t="inlineStr">
        <is>
          <t>JOB-3874</t>
        </is>
      </c>
      <c r="C2878" s="34" t="n">
        <v>1</v>
      </c>
      <c r="D2878" s="37" t="inlineStr">
        <is>
          <t>Tech H</t>
        </is>
      </c>
      <c r="E2878" s="35" t="n">
        <v>2.2</v>
      </c>
      <c r="F2878" s="35" t="n">
        <v>1.5</v>
      </c>
      <c r="G2878" s="37" t="inlineStr">
        <is>
          <t>Y</t>
        </is>
      </c>
      <c r="H2878" s="37" t="inlineStr">
        <is>
          <t>N</t>
        </is>
      </c>
      <c r="I2878" s="37">
        <f>COUNTIF(G$5:G2878,"Y")/COUNTA(G$5:G2878)</f>
        <v/>
      </c>
      <c r="J2878" s="37">
        <f>COUNTIF(H$5:H2878,"Y")/COUNTA(H$5:H2878)</f>
        <v/>
      </c>
      <c r="K2878" s="37">
        <f>AVERAGE(F$5:F2878)</f>
        <v/>
      </c>
      <c r="L2878" s="37">
        <f>SUM(F$5:F2878)/SUM(E$5:E2878)</f>
        <v/>
      </c>
    </row>
    <row r="2879">
      <c r="A2879" s="29" t="n">
        <v>46100</v>
      </c>
      <c r="B2879" s="37" t="inlineStr">
        <is>
          <t>JOB-3875</t>
        </is>
      </c>
      <c r="C2879" s="34" t="n">
        <v>1</v>
      </c>
      <c r="D2879" s="37" t="inlineStr">
        <is>
          <t>Tech G</t>
        </is>
      </c>
      <c r="E2879" s="35" t="n">
        <v>5</v>
      </c>
      <c r="F2879" s="35" t="n">
        <v>3.7</v>
      </c>
      <c r="G2879" s="37" t="inlineStr">
        <is>
          <t>Y</t>
        </is>
      </c>
      <c r="H2879" s="37" t="inlineStr">
        <is>
          <t>N</t>
        </is>
      </c>
      <c r="I2879" s="37">
        <f>COUNTIF(G$5:G2879,"Y")/COUNTA(G$5:G2879)</f>
        <v/>
      </c>
      <c r="J2879" s="37">
        <f>COUNTIF(H$5:H2879,"Y")/COUNTA(H$5:H2879)</f>
        <v/>
      </c>
      <c r="K2879" s="37">
        <f>AVERAGE(F$5:F2879)</f>
        <v/>
      </c>
      <c r="L2879" s="37">
        <f>SUM(F$5:F2879)/SUM(E$5:E2879)</f>
        <v/>
      </c>
    </row>
    <row r="2880">
      <c r="A2880" s="29" t="n">
        <v>46101</v>
      </c>
      <c r="B2880" s="37" t="inlineStr">
        <is>
          <t>JOB-3876</t>
        </is>
      </c>
      <c r="C2880" s="34" t="n">
        <v>1</v>
      </c>
      <c r="D2880" s="37" t="inlineStr">
        <is>
          <t>Tech D</t>
        </is>
      </c>
      <c r="E2880" s="35" t="n">
        <v>4.5</v>
      </c>
      <c r="F2880" s="35" t="n">
        <v>3.2</v>
      </c>
      <c r="G2880" s="37" t="inlineStr">
        <is>
          <t>Y</t>
        </is>
      </c>
      <c r="H2880" s="37" t="inlineStr">
        <is>
          <t>N</t>
        </is>
      </c>
      <c r="I2880" s="37">
        <f>COUNTIF(G$5:G2880,"Y")/COUNTA(G$5:G2880)</f>
        <v/>
      </c>
      <c r="J2880" s="37">
        <f>COUNTIF(H$5:H2880,"Y")/COUNTA(H$5:H2880)</f>
        <v/>
      </c>
      <c r="K2880" s="37">
        <f>AVERAGE(F$5:F2880)</f>
        <v/>
      </c>
      <c r="L2880" s="37">
        <f>SUM(F$5:F2880)/SUM(E$5:E2880)</f>
        <v/>
      </c>
    </row>
    <row r="2881">
      <c r="A2881" s="29" t="n">
        <v>46097</v>
      </c>
      <c r="B2881" s="37" t="inlineStr">
        <is>
          <t>JOB-3877</t>
        </is>
      </c>
      <c r="C2881" s="34" t="n">
        <v>1</v>
      </c>
      <c r="D2881" s="37" t="inlineStr">
        <is>
          <t>Tech A</t>
        </is>
      </c>
      <c r="E2881" s="35" t="n">
        <v>2.6</v>
      </c>
      <c r="F2881" s="35" t="n">
        <v>1.8</v>
      </c>
      <c r="G2881" s="37" t="inlineStr">
        <is>
          <t>Y</t>
        </is>
      </c>
      <c r="H2881" s="37" t="inlineStr">
        <is>
          <t>N</t>
        </is>
      </c>
      <c r="I2881" s="37">
        <f>COUNTIF(G$5:G2881,"Y")/COUNTA(G$5:G2881)</f>
        <v/>
      </c>
      <c r="J2881" s="37">
        <f>COUNTIF(H$5:H2881,"Y")/COUNTA(H$5:H2881)</f>
        <v/>
      </c>
      <c r="K2881" s="37">
        <f>AVERAGE(F$5:F2881)</f>
        <v/>
      </c>
      <c r="L2881" s="37">
        <f>SUM(F$5:F2881)/SUM(E$5:E2881)</f>
        <v/>
      </c>
    </row>
    <row r="2882">
      <c r="A2882" s="29" t="n">
        <v>46098</v>
      </c>
      <c r="B2882" s="37" t="inlineStr">
        <is>
          <t>JOB-3878</t>
        </is>
      </c>
      <c r="C2882" s="34" t="n">
        <v>1</v>
      </c>
      <c r="D2882" s="37" t="inlineStr">
        <is>
          <t>Tech D</t>
        </is>
      </c>
      <c r="E2882" s="35" t="n">
        <v>3.3</v>
      </c>
      <c r="F2882" s="35" t="n">
        <v>2.3</v>
      </c>
      <c r="G2882" s="37" t="inlineStr">
        <is>
          <t>Y</t>
        </is>
      </c>
      <c r="H2882" s="37" t="inlineStr">
        <is>
          <t>N</t>
        </is>
      </c>
      <c r="I2882" s="37">
        <f>COUNTIF(G$5:G2882,"Y")/COUNTA(G$5:G2882)</f>
        <v/>
      </c>
      <c r="J2882" s="37">
        <f>COUNTIF(H$5:H2882,"Y")/COUNTA(H$5:H2882)</f>
        <v/>
      </c>
      <c r="K2882" s="37">
        <f>AVERAGE(F$5:F2882)</f>
        <v/>
      </c>
      <c r="L2882" s="37">
        <f>SUM(F$5:F2882)/SUM(E$5:E2882)</f>
        <v/>
      </c>
    </row>
    <row r="2883">
      <c r="A2883" s="29" t="n">
        <v>46099</v>
      </c>
      <c r="B2883" s="37" t="inlineStr">
        <is>
          <t>JOB-3879</t>
        </is>
      </c>
      <c r="C2883" s="34" t="n">
        <v>1</v>
      </c>
      <c r="D2883" s="37" t="inlineStr">
        <is>
          <t>Tech F</t>
        </is>
      </c>
      <c r="E2883" s="35" t="n">
        <v>2.2</v>
      </c>
      <c r="F2883" s="35" t="n">
        <v>1.9</v>
      </c>
      <c r="G2883" s="37" t="inlineStr">
        <is>
          <t>Y</t>
        </is>
      </c>
      <c r="H2883" s="37" t="inlineStr">
        <is>
          <t>N</t>
        </is>
      </c>
      <c r="I2883" s="37">
        <f>COUNTIF(G$5:G2883,"Y")/COUNTA(G$5:G2883)</f>
        <v/>
      </c>
      <c r="J2883" s="37">
        <f>COUNTIF(H$5:H2883,"Y")/COUNTA(H$5:H2883)</f>
        <v/>
      </c>
      <c r="K2883" s="37">
        <f>AVERAGE(F$5:F2883)</f>
        <v/>
      </c>
      <c r="L2883" s="37">
        <f>SUM(F$5:F2883)/SUM(E$5:E2883)</f>
        <v/>
      </c>
    </row>
    <row r="2884">
      <c r="A2884" s="29" t="n">
        <v>46100</v>
      </c>
      <c r="B2884" s="37" t="inlineStr">
        <is>
          <t>JOB-3880</t>
        </is>
      </c>
      <c r="C2884" s="34" t="n">
        <v>1</v>
      </c>
      <c r="D2884" s="37" t="inlineStr">
        <is>
          <t>Tech C</t>
        </is>
      </c>
      <c r="E2884" s="35" t="n">
        <v>2.5</v>
      </c>
      <c r="F2884" s="35" t="n">
        <v>2</v>
      </c>
      <c r="G2884" s="37" t="inlineStr">
        <is>
          <t>N</t>
        </is>
      </c>
      <c r="H2884" s="37" t="inlineStr">
        <is>
          <t>N</t>
        </is>
      </c>
      <c r="I2884" s="37">
        <f>COUNTIF(G$5:G2884,"Y")/COUNTA(G$5:G2884)</f>
        <v/>
      </c>
      <c r="J2884" s="37">
        <f>COUNTIF(H$5:H2884,"Y")/COUNTA(H$5:H2884)</f>
        <v/>
      </c>
      <c r="K2884" s="37">
        <f>AVERAGE(F$5:F2884)</f>
        <v/>
      </c>
      <c r="L2884" s="37">
        <f>SUM(F$5:F2884)/SUM(E$5:E2884)</f>
        <v/>
      </c>
    </row>
    <row r="2885">
      <c r="A2885" s="29" t="n">
        <v>46101</v>
      </c>
      <c r="B2885" s="37" t="inlineStr">
        <is>
          <t>JOB-3881</t>
        </is>
      </c>
      <c r="C2885" s="34" t="n">
        <v>1</v>
      </c>
      <c r="D2885" s="37" t="inlineStr">
        <is>
          <t>Tech A</t>
        </is>
      </c>
      <c r="E2885" s="35" t="n">
        <v>4</v>
      </c>
      <c r="F2885" s="35" t="n">
        <v>3.1</v>
      </c>
      <c r="G2885" s="37" t="inlineStr">
        <is>
          <t>N</t>
        </is>
      </c>
      <c r="H2885" s="37" t="inlineStr">
        <is>
          <t>N</t>
        </is>
      </c>
      <c r="I2885" s="37">
        <f>COUNTIF(G$5:G2885,"Y")/COUNTA(G$5:G2885)</f>
        <v/>
      </c>
      <c r="J2885" s="37">
        <f>COUNTIF(H$5:H2885,"Y")/COUNTA(H$5:H2885)</f>
        <v/>
      </c>
      <c r="K2885" s="37">
        <f>AVERAGE(F$5:F2885)</f>
        <v/>
      </c>
      <c r="L2885" s="37">
        <f>SUM(F$5:F2885)/SUM(E$5:E2885)</f>
        <v/>
      </c>
    </row>
    <row r="2886">
      <c r="A2886" s="29" t="n">
        <v>46097</v>
      </c>
      <c r="B2886" s="37" t="inlineStr">
        <is>
          <t>JOB-3882</t>
        </is>
      </c>
      <c r="C2886" s="34" t="n">
        <v>1</v>
      </c>
      <c r="D2886" s="37" t="inlineStr">
        <is>
          <t>Tech F</t>
        </is>
      </c>
      <c r="E2886" s="35" t="n">
        <v>2.8</v>
      </c>
      <c r="F2886" s="35" t="n">
        <v>2.2</v>
      </c>
      <c r="G2886" s="37" t="inlineStr">
        <is>
          <t>Y</t>
        </is>
      </c>
      <c r="H2886" s="37" t="inlineStr">
        <is>
          <t>N</t>
        </is>
      </c>
      <c r="I2886" s="37">
        <f>COUNTIF(G$5:G2886,"Y")/COUNTA(G$5:G2886)</f>
        <v/>
      </c>
      <c r="J2886" s="37">
        <f>COUNTIF(H$5:H2886,"Y")/COUNTA(H$5:H2886)</f>
        <v/>
      </c>
      <c r="K2886" s="37">
        <f>AVERAGE(F$5:F2886)</f>
        <v/>
      </c>
      <c r="L2886" s="37">
        <f>SUM(F$5:F2886)/SUM(E$5:E2886)</f>
        <v/>
      </c>
    </row>
    <row r="2887">
      <c r="A2887" s="29" t="n">
        <v>46098</v>
      </c>
      <c r="B2887" s="37" t="inlineStr">
        <is>
          <t>JOB-3883</t>
        </is>
      </c>
      <c r="C2887" s="34" t="n">
        <v>1</v>
      </c>
      <c r="D2887" s="37" t="inlineStr">
        <is>
          <t>Tech G</t>
        </is>
      </c>
      <c r="E2887" s="35" t="n">
        <v>3.1</v>
      </c>
      <c r="F2887" s="35" t="n">
        <v>2.2</v>
      </c>
      <c r="G2887" s="37" t="inlineStr">
        <is>
          <t>N</t>
        </is>
      </c>
      <c r="H2887" s="37" t="inlineStr">
        <is>
          <t>N</t>
        </is>
      </c>
      <c r="I2887" s="37">
        <f>COUNTIF(G$5:G2887,"Y")/COUNTA(G$5:G2887)</f>
        <v/>
      </c>
      <c r="J2887" s="37">
        <f>COUNTIF(H$5:H2887,"Y")/COUNTA(H$5:H2887)</f>
        <v/>
      </c>
      <c r="K2887" s="37">
        <f>AVERAGE(F$5:F2887)</f>
        <v/>
      </c>
      <c r="L2887" s="37">
        <f>SUM(F$5:F2887)/SUM(E$5:E2887)</f>
        <v/>
      </c>
    </row>
    <row r="2888">
      <c r="A2888" s="29" t="n">
        <v>46099</v>
      </c>
      <c r="B2888" s="37" t="inlineStr">
        <is>
          <t>JOB-3884</t>
        </is>
      </c>
      <c r="C2888" s="34" t="n">
        <v>1</v>
      </c>
      <c r="D2888" s="37" t="inlineStr">
        <is>
          <t>Tech D</t>
        </is>
      </c>
      <c r="E2888" s="35" t="n">
        <v>3.3</v>
      </c>
      <c r="F2888" s="35" t="n">
        <v>2.2</v>
      </c>
      <c r="G2888" s="37" t="inlineStr">
        <is>
          <t>Y</t>
        </is>
      </c>
      <c r="H2888" s="37" t="inlineStr">
        <is>
          <t>N</t>
        </is>
      </c>
      <c r="I2888" s="37">
        <f>COUNTIF(G$5:G2888,"Y")/COUNTA(G$5:G2888)</f>
        <v/>
      </c>
      <c r="J2888" s="37">
        <f>COUNTIF(H$5:H2888,"Y")/COUNTA(H$5:H2888)</f>
        <v/>
      </c>
      <c r="K2888" s="37">
        <f>AVERAGE(F$5:F2888)</f>
        <v/>
      </c>
      <c r="L2888" s="37">
        <f>SUM(F$5:F2888)/SUM(E$5:E2888)</f>
        <v/>
      </c>
    </row>
    <row r="2889">
      <c r="A2889" s="29" t="n">
        <v>46100</v>
      </c>
      <c r="B2889" s="37" t="inlineStr">
        <is>
          <t>JOB-3885</t>
        </is>
      </c>
      <c r="C2889" s="34" t="n">
        <v>1</v>
      </c>
      <c r="D2889" s="37" t="inlineStr">
        <is>
          <t>Tech A</t>
        </is>
      </c>
      <c r="E2889" s="35" t="n">
        <v>2.8</v>
      </c>
      <c r="F2889" s="35" t="n">
        <v>2</v>
      </c>
      <c r="G2889" s="37" t="inlineStr">
        <is>
          <t>N</t>
        </is>
      </c>
      <c r="H2889" s="37" t="inlineStr">
        <is>
          <t>N</t>
        </is>
      </c>
      <c r="I2889" s="37">
        <f>COUNTIF(G$5:G2889,"Y")/COUNTA(G$5:G2889)</f>
        <v/>
      </c>
      <c r="J2889" s="37">
        <f>COUNTIF(H$5:H2889,"Y")/COUNTA(H$5:H2889)</f>
        <v/>
      </c>
      <c r="K2889" s="37">
        <f>AVERAGE(F$5:F2889)</f>
        <v/>
      </c>
      <c r="L2889" s="37">
        <f>SUM(F$5:F2889)/SUM(E$5:E2889)</f>
        <v/>
      </c>
    </row>
    <row r="2890">
      <c r="A2890" s="29" t="n">
        <v>46101</v>
      </c>
      <c r="B2890" s="37" t="inlineStr">
        <is>
          <t>JOB-3886</t>
        </is>
      </c>
      <c r="C2890" s="34" t="n">
        <v>1</v>
      </c>
      <c r="D2890" s="37" t="inlineStr">
        <is>
          <t>Tech A</t>
        </is>
      </c>
      <c r="E2890" s="35" t="n">
        <v>5.2</v>
      </c>
      <c r="F2890" s="35" t="n">
        <v>3.7</v>
      </c>
      <c r="G2890" s="37" t="inlineStr">
        <is>
          <t>Y</t>
        </is>
      </c>
      <c r="H2890" s="37" t="inlineStr">
        <is>
          <t>N</t>
        </is>
      </c>
      <c r="I2890" s="37">
        <f>COUNTIF(G$5:G2890,"Y")/COUNTA(G$5:G2890)</f>
        <v/>
      </c>
      <c r="J2890" s="37">
        <f>COUNTIF(H$5:H2890,"Y")/COUNTA(H$5:H2890)</f>
        <v/>
      </c>
      <c r="K2890" s="37">
        <f>AVERAGE(F$5:F2890)</f>
        <v/>
      </c>
      <c r="L2890" s="37">
        <f>SUM(F$5:F2890)/SUM(E$5:E2890)</f>
        <v/>
      </c>
    </row>
    <row r="2891">
      <c r="A2891" s="29" t="n">
        <v>46097</v>
      </c>
      <c r="B2891" s="37" t="inlineStr">
        <is>
          <t>JOB-3887</t>
        </is>
      </c>
      <c r="C2891" s="34" t="n">
        <v>1</v>
      </c>
      <c r="D2891" s="37" t="inlineStr">
        <is>
          <t>Tech B</t>
        </is>
      </c>
      <c r="E2891" s="35" t="n">
        <v>1.5</v>
      </c>
      <c r="F2891" s="35" t="n">
        <v>1.1</v>
      </c>
      <c r="G2891" s="37" t="inlineStr">
        <is>
          <t>Y</t>
        </is>
      </c>
      <c r="H2891" s="37" t="inlineStr">
        <is>
          <t>N</t>
        </is>
      </c>
      <c r="I2891" s="37">
        <f>COUNTIF(G$5:G2891,"Y")/COUNTA(G$5:G2891)</f>
        <v/>
      </c>
      <c r="J2891" s="37">
        <f>COUNTIF(H$5:H2891,"Y")/COUNTA(H$5:H2891)</f>
        <v/>
      </c>
      <c r="K2891" s="37">
        <f>AVERAGE(F$5:F2891)</f>
        <v/>
      </c>
      <c r="L2891" s="37">
        <f>SUM(F$5:F2891)/SUM(E$5:E2891)</f>
        <v/>
      </c>
    </row>
    <row r="2892">
      <c r="A2892" s="29" t="n">
        <v>46098</v>
      </c>
      <c r="B2892" s="37" t="inlineStr">
        <is>
          <t>JOB-3888</t>
        </is>
      </c>
      <c r="C2892" s="34" t="n">
        <v>1</v>
      </c>
      <c r="D2892" s="37" t="inlineStr">
        <is>
          <t>Tech C</t>
        </is>
      </c>
      <c r="E2892" s="35" t="n">
        <v>2.2</v>
      </c>
      <c r="F2892" s="35" t="n">
        <v>1.6</v>
      </c>
      <c r="G2892" s="37" t="inlineStr">
        <is>
          <t>Y</t>
        </is>
      </c>
      <c r="H2892" s="37" t="inlineStr">
        <is>
          <t>N</t>
        </is>
      </c>
      <c r="I2892" s="37">
        <f>COUNTIF(G$5:G2892,"Y")/COUNTA(G$5:G2892)</f>
        <v/>
      </c>
      <c r="J2892" s="37">
        <f>COUNTIF(H$5:H2892,"Y")/COUNTA(H$5:H2892)</f>
        <v/>
      </c>
      <c r="K2892" s="37">
        <f>AVERAGE(F$5:F2892)</f>
        <v/>
      </c>
      <c r="L2892" s="37">
        <f>SUM(F$5:F2892)/SUM(E$5:E2892)</f>
        <v/>
      </c>
    </row>
    <row r="2893">
      <c r="A2893" s="29" t="n">
        <v>46099</v>
      </c>
      <c r="B2893" s="37" t="inlineStr">
        <is>
          <t>JOB-3889</t>
        </is>
      </c>
      <c r="C2893" s="34" t="n">
        <v>1</v>
      </c>
      <c r="D2893" s="37" t="inlineStr">
        <is>
          <t>Tech D</t>
        </is>
      </c>
      <c r="E2893" s="35" t="n">
        <v>2.4</v>
      </c>
      <c r="F2893" s="35" t="n">
        <v>1.9</v>
      </c>
      <c r="G2893" s="37" t="inlineStr">
        <is>
          <t>Y</t>
        </is>
      </c>
      <c r="H2893" s="37" t="inlineStr">
        <is>
          <t>N</t>
        </is>
      </c>
      <c r="I2893" s="37">
        <f>COUNTIF(G$5:G2893,"Y")/COUNTA(G$5:G2893)</f>
        <v/>
      </c>
      <c r="J2893" s="37">
        <f>COUNTIF(H$5:H2893,"Y")/COUNTA(H$5:H2893)</f>
        <v/>
      </c>
      <c r="K2893" s="37">
        <f>AVERAGE(F$5:F2893)</f>
        <v/>
      </c>
      <c r="L2893" s="37">
        <f>SUM(F$5:F2893)/SUM(E$5:E2893)</f>
        <v/>
      </c>
    </row>
    <row r="2894">
      <c r="A2894" s="29" t="n">
        <v>46100</v>
      </c>
      <c r="B2894" s="37" t="inlineStr">
        <is>
          <t>JOB-3890</t>
        </is>
      </c>
      <c r="C2894" s="34" t="n">
        <v>1</v>
      </c>
      <c r="D2894" s="37" t="inlineStr">
        <is>
          <t>Tech B</t>
        </is>
      </c>
      <c r="E2894" s="35" t="n">
        <v>2.7</v>
      </c>
      <c r="F2894" s="35" t="n">
        <v>1.9</v>
      </c>
      <c r="G2894" s="37" t="inlineStr">
        <is>
          <t>Y</t>
        </is>
      </c>
      <c r="H2894" s="37" t="inlineStr">
        <is>
          <t>N</t>
        </is>
      </c>
      <c r="I2894" s="37">
        <f>COUNTIF(G$5:G2894,"Y")/COUNTA(G$5:G2894)</f>
        <v/>
      </c>
      <c r="J2894" s="37">
        <f>COUNTIF(H$5:H2894,"Y")/COUNTA(H$5:H2894)</f>
        <v/>
      </c>
      <c r="K2894" s="37">
        <f>AVERAGE(F$5:F2894)</f>
        <v/>
      </c>
      <c r="L2894" s="37">
        <f>SUM(F$5:F2894)/SUM(E$5:E2894)</f>
        <v/>
      </c>
    </row>
    <row r="2895">
      <c r="A2895" s="29" t="n">
        <v>46101</v>
      </c>
      <c r="B2895" s="37" t="inlineStr">
        <is>
          <t>JOB-3891</t>
        </is>
      </c>
      <c r="C2895" s="34" t="n">
        <v>1</v>
      </c>
      <c r="D2895" s="37" t="inlineStr">
        <is>
          <t>Tech C</t>
        </is>
      </c>
      <c r="E2895" s="35" t="n">
        <v>2.5</v>
      </c>
      <c r="F2895" s="35" t="n">
        <v>1.9</v>
      </c>
      <c r="G2895" s="37" t="inlineStr">
        <is>
          <t>Y</t>
        </is>
      </c>
      <c r="H2895" s="37" t="inlineStr">
        <is>
          <t>N</t>
        </is>
      </c>
      <c r="I2895" s="37">
        <f>COUNTIF(G$5:G2895,"Y")/COUNTA(G$5:G2895)</f>
        <v/>
      </c>
      <c r="J2895" s="37">
        <f>COUNTIF(H$5:H2895,"Y")/COUNTA(H$5:H2895)</f>
        <v/>
      </c>
      <c r="K2895" s="37">
        <f>AVERAGE(F$5:F2895)</f>
        <v/>
      </c>
      <c r="L2895" s="37">
        <f>SUM(F$5:F2895)/SUM(E$5:E2895)</f>
        <v/>
      </c>
    </row>
    <row r="2896">
      <c r="A2896" s="29" t="n">
        <v>46097</v>
      </c>
      <c r="B2896" s="37" t="inlineStr">
        <is>
          <t>JOB-3892</t>
        </is>
      </c>
      <c r="C2896" s="34" t="n">
        <v>1</v>
      </c>
      <c r="D2896" s="37" t="inlineStr">
        <is>
          <t>Tech G</t>
        </is>
      </c>
      <c r="E2896" s="35" t="n">
        <v>1.9</v>
      </c>
      <c r="F2896" s="35" t="n">
        <v>1.6</v>
      </c>
      <c r="G2896" s="37" t="inlineStr">
        <is>
          <t>Y</t>
        </is>
      </c>
      <c r="H2896" s="37" t="inlineStr">
        <is>
          <t>N</t>
        </is>
      </c>
      <c r="I2896" s="37">
        <f>COUNTIF(G$5:G2896,"Y")/COUNTA(G$5:G2896)</f>
        <v/>
      </c>
      <c r="J2896" s="37">
        <f>COUNTIF(H$5:H2896,"Y")/COUNTA(H$5:H2896)</f>
        <v/>
      </c>
      <c r="K2896" s="37">
        <f>AVERAGE(F$5:F2896)</f>
        <v/>
      </c>
      <c r="L2896" s="37">
        <f>SUM(F$5:F2896)/SUM(E$5:E2896)</f>
        <v/>
      </c>
    </row>
    <row r="2897">
      <c r="A2897" s="29" t="n">
        <v>46098</v>
      </c>
      <c r="B2897" s="37" t="inlineStr">
        <is>
          <t>JOB-3893</t>
        </is>
      </c>
      <c r="C2897" s="34" t="n">
        <v>1</v>
      </c>
      <c r="D2897" s="37" t="inlineStr">
        <is>
          <t>Tech B</t>
        </is>
      </c>
      <c r="E2897" s="35" t="n">
        <v>3.5</v>
      </c>
      <c r="F2897" s="35" t="n">
        <v>2.4</v>
      </c>
      <c r="G2897" s="37" t="inlineStr">
        <is>
          <t>Y</t>
        </is>
      </c>
      <c r="H2897" s="37" t="inlineStr">
        <is>
          <t>N</t>
        </is>
      </c>
      <c r="I2897" s="37">
        <f>COUNTIF(G$5:G2897,"Y")/COUNTA(G$5:G2897)</f>
        <v/>
      </c>
      <c r="J2897" s="37">
        <f>COUNTIF(H$5:H2897,"Y")/COUNTA(H$5:H2897)</f>
        <v/>
      </c>
      <c r="K2897" s="37">
        <f>AVERAGE(F$5:F2897)</f>
        <v/>
      </c>
      <c r="L2897" s="37">
        <f>SUM(F$5:F2897)/SUM(E$5:E2897)</f>
        <v/>
      </c>
    </row>
    <row r="2898">
      <c r="A2898" s="29" t="n">
        <v>46099</v>
      </c>
      <c r="B2898" s="37" t="inlineStr">
        <is>
          <t>JOB-3894</t>
        </is>
      </c>
      <c r="C2898" s="34" t="n">
        <v>1</v>
      </c>
      <c r="D2898" s="37" t="inlineStr">
        <is>
          <t>Tech F</t>
        </is>
      </c>
      <c r="E2898" s="35" t="n">
        <v>1.6</v>
      </c>
      <c r="F2898" s="35" t="n">
        <v>1.3</v>
      </c>
      <c r="G2898" s="37" t="inlineStr">
        <is>
          <t>Y</t>
        </is>
      </c>
      <c r="H2898" s="37" t="inlineStr">
        <is>
          <t>N</t>
        </is>
      </c>
      <c r="I2898" s="37">
        <f>COUNTIF(G$5:G2898,"Y")/COUNTA(G$5:G2898)</f>
        <v/>
      </c>
      <c r="J2898" s="37">
        <f>COUNTIF(H$5:H2898,"Y")/COUNTA(H$5:H2898)</f>
        <v/>
      </c>
      <c r="K2898" s="37">
        <f>AVERAGE(F$5:F2898)</f>
        <v/>
      </c>
      <c r="L2898" s="37">
        <f>SUM(F$5:F2898)/SUM(E$5:E2898)</f>
        <v/>
      </c>
    </row>
    <row r="2899">
      <c r="A2899" s="29" t="n">
        <v>46100</v>
      </c>
      <c r="B2899" s="37" t="inlineStr">
        <is>
          <t>JOB-3895</t>
        </is>
      </c>
      <c r="C2899" s="34" t="n">
        <v>1</v>
      </c>
      <c r="D2899" s="37" t="inlineStr">
        <is>
          <t>Tech H</t>
        </is>
      </c>
      <c r="E2899" s="35" t="n">
        <v>2.5</v>
      </c>
      <c r="F2899" s="35" t="n">
        <v>1.9</v>
      </c>
      <c r="G2899" s="37" t="inlineStr">
        <is>
          <t>Y</t>
        </is>
      </c>
      <c r="H2899" s="37" t="inlineStr">
        <is>
          <t>N</t>
        </is>
      </c>
      <c r="I2899" s="37">
        <f>COUNTIF(G$5:G2899,"Y")/COUNTA(G$5:G2899)</f>
        <v/>
      </c>
      <c r="J2899" s="37">
        <f>COUNTIF(H$5:H2899,"Y")/COUNTA(H$5:H2899)</f>
        <v/>
      </c>
      <c r="K2899" s="37">
        <f>AVERAGE(F$5:F2899)</f>
        <v/>
      </c>
      <c r="L2899" s="37">
        <f>SUM(F$5:F2899)/SUM(E$5:E2899)</f>
        <v/>
      </c>
    </row>
    <row r="2900">
      <c r="A2900" s="29" t="n">
        <v>46101</v>
      </c>
      <c r="B2900" s="37" t="inlineStr">
        <is>
          <t>JOB-3896</t>
        </is>
      </c>
      <c r="C2900" s="34" t="n">
        <v>1</v>
      </c>
      <c r="D2900" s="37" t="inlineStr">
        <is>
          <t>Tech G</t>
        </is>
      </c>
      <c r="E2900" s="35" t="n">
        <v>3.9</v>
      </c>
      <c r="F2900" s="35" t="n">
        <v>3</v>
      </c>
      <c r="G2900" s="37" t="inlineStr">
        <is>
          <t>Y</t>
        </is>
      </c>
      <c r="H2900" s="37" t="inlineStr">
        <is>
          <t>N</t>
        </is>
      </c>
      <c r="I2900" s="37">
        <f>COUNTIF(G$5:G2900,"Y")/COUNTA(G$5:G2900)</f>
        <v/>
      </c>
      <c r="J2900" s="37">
        <f>COUNTIF(H$5:H2900,"Y")/COUNTA(H$5:H2900)</f>
        <v/>
      </c>
      <c r="K2900" s="37">
        <f>AVERAGE(F$5:F2900)</f>
        <v/>
      </c>
      <c r="L2900" s="37">
        <f>SUM(F$5:F2900)/SUM(E$5:E2900)</f>
        <v/>
      </c>
    </row>
    <row r="2901">
      <c r="A2901" s="29" t="n">
        <v>46097</v>
      </c>
      <c r="B2901" s="37" t="inlineStr">
        <is>
          <t>JOB-3897</t>
        </is>
      </c>
      <c r="C2901" s="34" t="n">
        <v>1</v>
      </c>
      <c r="D2901" s="37" t="inlineStr">
        <is>
          <t>Tech C</t>
        </is>
      </c>
      <c r="E2901" s="35" t="n">
        <v>4.2</v>
      </c>
      <c r="F2901" s="35" t="n">
        <v>3.7</v>
      </c>
      <c r="G2901" s="37" t="inlineStr">
        <is>
          <t>Y</t>
        </is>
      </c>
      <c r="H2901" s="37" t="inlineStr">
        <is>
          <t>N</t>
        </is>
      </c>
      <c r="I2901" s="37">
        <f>COUNTIF(G$5:G2901,"Y")/COUNTA(G$5:G2901)</f>
        <v/>
      </c>
      <c r="J2901" s="37">
        <f>COUNTIF(H$5:H2901,"Y")/COUNTA(H$5:H2901)</f>
        <v/>
      </c>
      <c r="K2901" s="37">
        <f>AVERAGE(F$5:F2901)</f>
        <v/>
      </c>
      <c r="L2901" s="37">
        <f>SUM(F$5:F2901)/SUM(E$5:E2901)</f>
        <v/>
      </c>
    </row>
    <row r="2902">
      <c r="A2902" s="29" t="n">
        <v>46098</v>
      </c>
      <c r="B2902" s="37" t="inlineStr">
        <is>
          <t>JOB-3898</t>
        </is>
      </c>
      <c r="C2902" s="34" t="n">
        <v>1</v>
      </c>
      <c r="D2902" s="37" t="inlineStr">
        <is>
          <t>Tech F</t>
        </is>
      </c>
      <c r="E2902" s="35" t="n">
        <v>4</v>
      </c>
      <c r="F2902" s="35" t="n">
        <v>2.9</v>
      </c>
      <c r="G2902" s="37" t="inlineStr">
        <is>
          <t>Y</t>
        </is>
      </c>
      <c r="H2902" s="37" t="inlineStr">
        <is>
          <t>N</t>
        </is>
      </c>
      <c r="I2902" s="37">
        <f>COUNTIF(G$5:G2902,"Y")/COUNTA(G$5:G2902)</f>
        <v/>
      </c>
      <c r="J2902" s="37">
        <f>COUNTIF(H$5:H2902,"Y")/COUNTA(H$5:H2902)</f>
        <v/>
      </c>
      <c r="K2902" s="37">
        <f>AVERAGE(F$5:F2902)</f>
        <v/>
      </c>
      <c r="L2902" s="37">
        <f>SUM(F$5:F2902)/SUM(E$5:E2902)</f>
        <v/>
      </c>
    </row>
    <row r="2903">
      <c r="A2903" s="29" t="n">
        <v>46099</v>
      </c>
      <c r="B2903" s="37" t="inlineStr">
        <is>
          <t>JOB-3899</t>
        </is>
      </c>
      <c r="C2903" s="34" t="n">
        <v>1</v>
      </c>
      <c r="D2903" s="37" t="inlineStr">
        <is>
          <t>Tech D</t>
        </is>
      </c>
      <c r="E2903" s="35" t="n">
        <v>4.5</v>
      </c>
      <c r="F2903" s="35" t="n">
        <v>3.5</v>
      </c>
      <c r="G2903" s="37" t="inlineStr">
        <is>
          <t>Y</t>
        </is>
      </c>
      <c r="H2903" s="37" t="inlineStr">
        <is>
          <t>N</t>
        </is>
      </c>
      <c r="I2903" s="37">
        <f>COUNTIF(G$5:G2903,"Y")/COUNTA(G$5:G2903)</f>
        <v/>
      </c>
      <c r="J2903" s="37">
        <f>COUNTIF(H$5:H2903,"Y")/COUNTA(H$5:H2903)</f>
        <v/>
      </c>
      <c r="K2903" s="37">
        <f>AVERAGE(F$5:F2903)</f>
        <v/>
      </c>
      <c r="L2903" s="37">
        <f>SUM(F$5:F2903)/SUM(E$5:E2903)</f>
        <v/>
      </c>
    </row>
    <row r="2904">
      <c r="A2904" s="29" t="n">
        <v>46100</v>
      </c>
      <c r="B2904" s="37" t="inlineStr">
        <is>
          <t>JOB-3900</t>
        </is>
      </c>
      <c r="C2904" s="34" t="n">
        <v>1</v>
      </c>
      <c r="D2904" s="37" t="inlineStr">
        <is>
          <t>Tech H</t>
        </is>
      </c>
      <c r="E2904" s="35" t="n">
        <v>2.4</v>
      </c>
      <c r="F2904" s="35" t="n">
        <v>1.8</v>
      </c>
      <c r="G2904" s="37" t="inlineStr">
        <is>
          <t>Y</t>
        </is>
      </c>
      <c r="H2904" s="37" t="inlineStr">
        <is>
          <t>N</t>
        </is>
      </c>
      <c r="I2904" s="37">
        <f>COUNTIF(G$5:G2904,"Y")/COUNTA(G$5:G2904)</f>
        <v/>
      </c>
      <c r="J2904" s="37">
        <f>COUNTIF(H$5:H2904,"Y")/COUNTA(H$5:H2904)</f>
        <v/>
      </c>
      <c r="K2904" s="37">
        <f>AVERAGE(F$5:F2904)</f>
        <v/>
      </c>
      <c r="L2904" s="37">
        <f>SUM(F$5:F2904)/SUM(E$5:E2904)</f>
        <v/>
      </c>
    </row>
    <row r="2905">
      <c r="A2905" s="29" t="n">
        <v>46101</v>
      </c>
      <c r="B2905" s="37" t="inlineStr">
        <is>
          <t>JOB-3901</t>
        </is>
      </c>
      <c r="C2905" s="34" t="n">
        <v>1</v>
      </c>
      <c r="D2905" s="37" t="inlineStr">
        <is>
          <t>Tech H</t>
        </is>
      </c>
      <c r="E2905" s="35" t="n">
        <v>2.4</v>
      </c>
      <c r="F2905" s="35" t="n">
        <v>2.1</v>
      </c>
      <c r="G2905" s="37" t="inlineStr">
        <is>
          <t>Y</t>
        </is>
      </c>
      <c r="H2905" s="37" t="inlineStr">
        <is>
          <t>N</t>
        </is>
      </c>
      <c r="I2905" s="37">
        <f>COUNTIF(G$5:G2905,"Y")/COUNTA(G$5:G2905)</f>
        <v/>
      </c>
      <c r="J2905" s="37">
        <f>COUNTIF(H$5:H2905,"Y")/COUNTA(H$5:H2905)</f>
        <v/>
      </c>
      <c r="K2905" s="37">
        <f>AVERAGE(F$5:F2905)</f>
        <v/>
      </c>
      <c r="L2905" s="37">
        <f>SUM(F$5:F2905)/SUM(E$5:E2905)</f>
        <v/>
      </c>
    </row>
    <row r="2906">
      <c r="A2906" s="29" t="n">
        <v>46097</v>
      </c>
      <c r="B2906" s="37" t="inlineStr">
        <is>
          <t>JOB-3902</t>
        </is>
      </c>
      <c r="C2906" s="34" t="n">
        <v>1</v>
      </c>
      <c r="D2906" s="37" t="inlineStr">
        <is>
          <t>Tech B</t>
        </is>
      </c>
      <c r="E2906" s="35" t="n">
        <v>3.4</v>
      </c>
      <c r="F2906" s="35" t="n">
        <v>2.8</v>
      </c>
      <c r="G2906" s="37" t="inlineStr">
        <is>
          <t>Y</t>
        </is>
      </c>
      <c r="H2906" s="37" t="inlineStr">
        <is>
          <t>N</t>
        </is>
      </c>
      <c r="I2906" s="37">
        <f>COUNTIF(G$5:G2906,"Y")/COUNTA(G$5:G2906)</f>
        <v/>
      </c>
      <c r="J2906" s="37">
        <f>COUNTIF(H$5:H2906,"Y")/COUNTA(H$5:H2906)</f>
        <v/>
      </c>
      <c r="K2906" s="37">
        <f>AVERAGE(F$5:F2906)</f>
        <v/>
      </c>
      <c r="L2906" s="37">
        <f>SUM(F$5:F2906)/SUM(E$5:E2906)</f>
        <v/>
      </c>
    </row>
    <row r="2907">
      <c r="A2907" s="29" t="n">
        <v>46098</v>
      </c>
      <c r="B2907" s="37" t="inlineStr">
        <is>
          <t>JOB-3903</t>
        </is>
      </c>
      <c r="C2907" s="34" t="n">
        <v>1</v>
      </c>
      <c r="D2907" s="37" t="inlineStr">
        <is>
          <t>Tech G</t>
        </is>
      </c>
      <c r="E2907" s="35" t="n">
        <v>3.1</v>
      </c>
      <c r="F2907" s="35" t="n">
        <v>2.1</v>
      </c>
      <c r="G2907" s="37" t="inlineStr">
        <is>
          <t>Y</t>
        </is>
      </c>
      <c r="H2907" s="37" t="inlineStr">
        <is>
          <t>N</t>
        </is>
      </c>
      <c r="I2907" s="37">
        <f>COUNTIF(G$5:G2907,"Y")/COUNTA(G$5:G2907)</f>
        <v/>
      </c>
      <c r="J2907" s="37">
        <f>COUNTIF(H$5:H2907,"Y")/COUNTA(H$5:H2907)</f>
        <v/>
      </c>
      <c r="K2907" s="37">
        <f>AVERAGE(F$5:F2907)</f>
        <v/>
      </c>
      <c r="L2907" s="37">
        <f>SUM(F$5:F2907)/SUM(E$5:E2907)</f>
        <v/>
      </c>
    </row>
    <row r="2908">
      <c r="A2908" s="29" t="n">
        <v>46099</v>
      </c>
      <c r="B2908" s="37" t="inlineStr">
        <is>
          <t>JOB-3904</t>
        </is>
      </c>
      <c r="C2908" s="34" t="n">
        <v>1</v>
      </c>
      <c r="D2908" s="37" t="inlineStr">
        <is>
          <t>Tech G</t>
        </is>
      </c>
      <c r="E2908" s="35" t="n">
        <v>1.6</v>
      </c>
      <c r="F2908" s="35" t="n">
        <v>1.4</v>
      </c>
      <c r="G2908" s="37" t="inlineStr">
        <is>
          <t>Y</t>
        </is>
      </c>
      <c r="H2908" s="37" t="inlineStr">
        <is>
          <t>Y</t>
        </is>
      </c>
      <c r="I2908" s="37">
        <f>COUNTIF(G$5:G2908,"Y")/COUNTA(G$5:G2908)</f>
        <v/>
      </c>
      <c r="J2908" s="37">
        <f>COUNTIF(H$5:H2908,"Y")/COUNTA(H$5:H2908)</f>
        <v/>
      </c>
      <c r="K2908" s="37">
        <f>AVERAGE(F$5:F2908)</f>
        <v/>
      </c>
      <c r="L2908" s="37">
        <f>SUM(F$5:F2908)/SUM(E$5:E2908)</f>
        <v/>
      </c>
    </row>
    <row r="2909">
      <c r="A2909" s="29" t="n">
        <v>46100</v>
      </c>
      <c r="B2909" s="37" t="inlineStr">
        <is>
          <t>JOB-3905</t>
        </is>
      </c>
      <c r="C2909" s="34" t="n">
        <v>1</v>
      </c>
      <c r="D2909" s="37" t="inlineStr">
        <is>
          <t>Tech F</t>
        </is>
      </c>
      <c r="E2909" s="35" t="n">
        <v>1.1</v>
      </c>
      <c r="F2909" s="35" t="n">
        <v>2.1</v>
      </c>
      <c r="G2909" s="37" t="inlineStr">
        <is>
          <t>Y</t>
        </is>
      </c>
      <c r="H2909" s="37" t="inlineStr">
        <is>
          <t>N</t>
        </is>
      </c>
      <c r="I2909" s="37">
        <f>COUNTIF(G$5:G2909,"Y")/COUNTA(G$5:G2909)</f>
        <v/>
      </c>
      <c r="J2909" s="37">
        <f>COUNTIF(H$5:H2909,"Y")/COUNTA(H$5:H2909)</f>
        <v/>
      </c>
      <c r="K2909" s="37">
        <f>AVERAGE(F$5:F2909)</f>
        <v/>
      </c>
      <c r="L2909" s="37">
        <f>SUM(F$5:F2909)/SUM(E$5:E2909)</f>
        <v/>
      </c>
    </row>
    <row r="2910">
      <c r="A2910" s="29" t="n">
        <v>46101</v>
      </c>
      <c r="B2910" s="37" t="inlineStr">
        <is>
          <t>JOB-3906</t>
        </is>
      </c>
      <c r="C2910" s="34" t="n">
        <v>1</v>
      </c>
      <c r="D2910" s="37" t="inlineStr">
        <is>
          <t>Tech C</t>
        </is>
      </c>
      <c r="E2910" s="35" t="n">
        <v>0.5</v>
      </c>
      <c r="F2910" s="35" t="n">
        <v>0.5</v>
      </c>
      <c r="G2910" s="37" t="inlineStr">
        <is>
          <t>Y</t>
        </is>
      </c>
      <c r="H2910" s="37" t="inlineStr">
        <is>
          <t>N</t>
        </is>
      </c>
      <c r="I2910" s="37">
        <f>COUNTIF(G$5:G2910,"Y")/COUNTA(G$5:G2910)</f>
        <v/>
      </c>
      <c r="J2910" s="37">
        <f>COUNTIF(H$5:H2910,"Y")/COUNTA(H$5:H2910)</f>
        <v/>
      </c>
      <c r="K2910" s="37">
        <f>AVERAGE(F$5:F2910)</f>
        <v/>
      </c>
      <c r="L2910" s="37">
        <f>SUM(F$5:F2910)/SUM(E$5:E2910)</f>
        <v/>
      </c>
    </row>
    <row r="2911">
      <c r="A2911" s="29" t="n">
        <v>46097</v>
      </c>
      <c r="B2911" s="37" t="inlineStr">
        <is>
          <t>JOB-3907</t>
        </is>
      </c>
      <c r="C2911" s="34" t="n">
        <v>1</v>
      </c>
      <c r="D2911" s="37" t="inlineStr">
        <is>
          <t>Tech H</t>
        </is>
      </c>
      <c r="E2911" s="35" t="n">
        <v>0.5</v>
      </c>
      <c r="F2911" s="35" t="n">
        <v>0.5</v>
      </c>
      <c r="G2911" s="37" t="inlineStr">
        <is>
          <t>Y</t>
        </is>
      </c>
      <c r="H2911" s="37" t="inlineStr">
        <is>
          <t>N</t>
        </is>
      </c>
      <c r="I2911" s="37">
        <f>COUNTIF(G$5:G2911,"Y")/COUNTA(G$5:G2911)</f>
        <v/>
      </c>
      <c r="J2911" s="37">
        <f>COUNTIF(H$5:H2911,"Y")/COUNTA(H$5:H2911)</f>
        <v/>
      </c>
      <c r="K2911" s="37">
        <f>AVERAGE(F$5:F2911)</f>
        <v/>
      </c>
      <c r="L2911" s="37">
        <f>SUM(F$5:F2911)/SUM(E$5:E2911)</f>
        <v/>
      </c>
    </row>
    <row r="2912">
      <c r="A2912" s="29" t="n">
        <v>46098</v>
      </c>
      <c r="B2912" s="37" t="inlineStr">
        <is>
          <t>JOB-3908</t>
        </is>
      </c>
      <c r="C2912" s="34" t="n">
        <v>1</v>
      </c>
      <c r="D2912" s="37" t="inlineStr">
        <is>
          <t>Tech G</t>
        </is>
      </c>
      <c r="E2912" s="35" t="n">
        <v>0.5</v>
      </c>
      <c r="F2912" s="35" t="n">
        <v>0.5</v>
      </c>
      <c r="G2912" s="37" t="inlineStr">
        <is>
          <t>Y</t>
        </is>
      </c>
      <c r="H2912" s="37" t="inlineStr">
        <is>
          <t>N</t>
        </is>
      </c>
      <c r="I2912" s="37">
        <f>COUNTIF(G$5:G2912,"Y")/COUNTA(G$5:G2912)</f>
        <v/>
      </c>
      <c r="J2912" s="37">
        <f>COUNTIF(H$5:H2912,"Y")/COUNTA(H$5:H2912)</f>
        <v/>
      </c>
      <c r="K2912" s="37">
        <f>AVERAGE(F$5:F2912)</f>
        <v/>
      </c>
      <c r="L2912" s="37">
        <f>SUM(F$5:F2912)/SUM(E$5:E2912)</f>
        <v/>
      </c>
    </row>
    <row r="2913">
      <c r="A2913" s="29" t="n">
        <v>46099</v>
      </c>
      <c r="B2913" s="37" t="inlineStr">
        <is>
          <t>JOB-3909</t>
        </is>
      </c>
      <c r="C2913" s="34" t="n">
        <v>1</v>
      </c>
      <c r="D2913" s="37" t="inlineStr">
        <is>
          <t>Tech F</t>
        </is>
      </c>
      <c r="E2913" s="35" t="n">
        <v>0.5</v>
      </c>
      <c r="F2913" s="35" t="n">
        <v>0.5</v>
      </c>
      <c r="G2913" s="37" t="inlineStr">
        <is>
          <t>Y</t>
        </is>
      </c>
      <c r="H2913" s="37" t="inlineStr">
        <is>
          <t>N</t>
        </is>
      </c>
      <c r="I2913" s="37">
        <f>COUNTIF(G$5:G2913,"Y")/COUNTA(G$5:G2913)</f>
        <v/>
      </c>
      <c r="J2913" s="37">
        <f>COUNTIF(H$5:H2913,"Y")/COUNTA(H$5:H2913)</f>
        <v/>
      </c>
      <c r="K2913" s="37">
        <f>AVERAGE(F$5:F2913)</f>
        <v/>
      </c>
      <c r="L2913" s="37">
        <f>SUM(F$5:F2913)/SUM(E$5:E2913)</f>
        <v/>
      </c>
      <c r="M2913" s="37" t="n">
        <v>10</v>
      </c>
    </row>
    <row r="2914">
      <c r="A2914" s="29" t="n">
        <v>46104</v>
      </c>
      <c r="B2914" s="37" t="inlineStr">
        <is>
          <t>JOB-3910</t>
        </is>
      </c>
      <c r="C2914" s="34" t="n">
        <v>1</v>
      </c>
      <c r="D2914" s="37" t="inlineStr">
        <is>
          <t>Tech F</t>
        </is>
      </c>
      <c r="E2914" s="35" t="n">
        <v>2.3</v>
      </c>
      <c r="F2914" s="35" t="n">
        <v>1.6</v>
      </c>
      <c r="G2914" s="37" t="inlineStr">
        <is>
          <t>Y</t>
        </is>
      </c>
      <c r="H2914" s="37" t="inlineStr">
        <is>
          <t>N</t>
        </is>
      </c>
      <c r="I2914" s="37">
        <f>COUNTIF(G$5:G2914,"Y")/COUNTA(G$5:G2914)</f>
        <v/>
      </c>
      <c r="J2914" s="37">
        <f>COUNTIF(H$5:H2914,"Y")/COUNTA(H$5:H2914)</f>
        <v/>
      </c>
      <c r="K2914" s="37">
        <f>AVERAGE(F$5:F2914)</f>
        <v/>
      </c>
      <c r="L2914" s="37">
        <f>SUM(F$5:F2914)/SUM(E$5:E2914)</f>
        <v/>
      </c>
    </row>
    <row r="2915">
      <c r="A2915" s="29" t="n">
        <v>46105</v>
      </c>
      <c r="B2915" s="37" t="inlineStr">
        <is>
          <t>JOB-3911</t>
        </is>
      </c>
      <c r="C2915" s="34" t="n">
        <v>1</v>
      </c>
      <c r="D2915" s="37" t="inlineStr">
        <is>
          <t>Tech H</t>
        </is>
      </c>
      <c r="E2915" s="35" t="n">
        <v>2.1</v>
      </c>
      <c r="F2915" s="35" t="n">
        <v>1.8</v>
      </c>
      <c r="G2915" s="37" t="inlineStr">
        <is>
          <t>Y</t>
        </is>
      </c>
      <c r="H2915" s="37" t="inlineStr">
        <is>
          <t>Y</t>
        </is>
      </c>
      <c r="I2915" s="37">
        <f>COUNTIF(G$5:G2915,"Y")/COUNTA(G$5:G2915)</f>
        <v/>
      </c>
      <c r="J2915" s="37">
        <f>COUNTIF(H$5:H2915,"Y")/COUNTA(H$5:H2915)</f>
        <v/>
      </c>
      <c r="K2915" s="37">
        <f>AVERAGE(F$5:F2915)</f>
        <v/>
      </c>
      <c r="L2915" s="37">
        <f>SUM(F$5:F2915)/SUM(E$5:E2915)</f>
        <v/>
      </c>
    </row>
    <row r="2916">
      <c r="A2916" s="29" t="n">
        <v>46106</v>
      </c>
      <c r="B2916" s="37" t="inlineStr">
        <is>
          <t>JOB-3912</t>
        </is>
      </c>
      <c r="C2916" s="34" t="n">
        <v>1</v>
      </c>
      <c r="D2916" s="37" t="inlineStr">
        <is>
          <t>Tech G</t>
        </is>
      </c>
      <c r="E2916" s="35" t="n">
        <v>1.6</v>
      </c>
      <c r="F2916" s="35" t="n">
        <v>1.2</v>
      </c>
      <c r="G2916" s="37" t="inlineStr">
        <is>
          <t>Y</t>
        </is>
      </c>
      <c r="H2916" s="37" t="inlineStr">
        <is>
          <t>N</t>
        </is>
      </c>
      <c r="I2916" s="37">
        <f>COUNTIF(G$5:G2916,"Y")/COUNTA(G$5:G2916)</f>
        <v/>
      </c>
      <c r="J2916" s="37">
        <f>COUNTIF(H$5:H2916,"Y")/COUNTA(H$5:H2916)</f>
        <v/>
      </c>
      <c r="K2916" s="37">
        <f>AVERAGE(F$5:F2916)</f>
        <v/>
      </c>
      <c r="L2916" s="37">
        <f>SUM(F$5:F2916)/SUM(E$5:E2916)</f>
        <v/>
      </c>
    </row>
    <row r="2917">
      <c r="A2917" s="29" t="n">
        <v>46107</v>
      </c>
      <c r="B2917" s="37" t="inlineStr">
        <is>
          <t>JOB-3913</t>
        </is>
      </c>
      <c r="C2917" s="34" t="n">
        <v>1</v>
      </c>
      <c r="D2917" s="37" t="inlineStr">
        <is>
          <t>Tech A</t>
        </is>
      </c>
      <c r="E2917" s="35" t="n">
        <v>5.3</v>
      </c>
      <c r="F2917" s="35" t="n">
        <v>3.7</v>
      </c>
      <c r="G2917" s="37" t="inlineStr">
        <is>
          <t>Y</t>
        </is>
      </c>
      <c r="H2917" s="37" t="inlineStr">
        <is>
          <t>N</t>
        </is>
      </c>
      <c r="I2917" s="37">
        <f>COUNTIF(G$5:G2917,"Y")/COUNTA(G$5:G2917)</f>
        <v/>
      </c>
      <c r="J2917" s="37">
        <f>COUNTIF(H$5:H2917,"Y")/COUNTA(H$5:H2917)</f>
        <v/>
      </c>
      <c r="K2917" s="37">
        <f>AVERAGE(F$5:F2917)</f>
        <v/>
      </c>
      <c r="L2917" s="37">
        <f>SUM(F$5:F2917)/SUM(E$5:E2917)</f>
        <v/>
      </c>
    </row>
    <row r="2918">
      <c r="A2918" s="29" t="n">
        <v>46108</v>
      </c>
      <c r="B2918" s="37" t="inlineStr">
        <is>
          <t>JOB-3914</t>
        </is>
      </c>
      <c r="C2918" s="34" t="n">
        <v>1</v>
      </c>
      <c r="D2918" s="37" t="inlineStr">
        <is>
          <t>Tech H</t>
        </is>
      </c>
      <c r="E2918" s="35" t="n">
        <v>4.2</v>
      </c>
      <c r="F2918" s="35" t="n">
        <v>2.8</v>
      </c>
      <c r="G2918" s="37" t="inlineStr">
        <is>
          <t>Y</t>
        </is>
      </c>
      <c r="H2918" s="37" t="inlineStr">
        <is>
          <t>N</t>
        </is>
      </c>
      <c r="I2918" s="37">
        <f>COUNTIF(G$5:G2918,"Y")/COUNTA(G$5:G2918)</f>
        <v/>
      </c>
      <c r="J2918" s="37">
        <f>COUNTIF(H$5:H2918,"Y")/COUNTA(H$5:H2918)</f>
        <v/>
      </c>
      <c r="K2918" s="37">
        <f>AVERAGE(F$5:F2918)</f>
        <v/>
      </c>
      <c r="L2918" s="37">
        <f>SUM(F$5:F2918)/SUM(E$5:E2918)</f>
        <v/>
      </c>
    </row>
    <row r="2919">
      <c r="A2919" s="29" t="n">
        <v>46104</v>
      </c>
      <c r="B2919" s="37" t="inlineStr">
        <is>
          <t>JOB-3915</t>
        </is>
      </c>
      <c r="C2919" s="34" t="n">
        <v>1</v>
      </c>
      <c r="D2919" s="37" t="inlineStr">
        <is>
          <t>Tech G</t>
        </is>
      </c>
      <c r="E2919" s="35" t="n">
        <v>2.6</v>
      </c>
      <c r="F2919" s="35" t="n">
        <v>2.1</v>
      </c>
      <c r="G2919" s="37" t="inlineStr">
        <is>
          <t>Y</t>
        </is>
      </c>
      <c r="H2919" s="37" t="inlineStr">
        <is>
          <t>Y</t>
        </is>
      </c>
      <c r="I2919" s="37">
        <f>COUNTIF(G$5:G2919,"Y")/COUNTA(G$5:G2919)</f>
        <v/>
      </c>
      <c r="J2919" s="37">
        <f>COUNTIF(H$5:H2919,"Y")/COUNTA(H$5:H2919)</f>
        <v/>
      </c>
      <c r="K2919" s="37">
        <f>AVERAGE(F$5:F2919)</f>
        <v/>
      </c>
      <c r="L2919" s="37">
        <f>SUM(F$5:F2919)/SUM(E$5:E2919)</f>
        <v/>
      </c>
    </row>
    <row r="2920">
      <c r="A2920" s="29" t="n">
        <v>46105</v>
      </c>
      <c r="B2920" s="37" t="inlineStr">
        <is>
          <t>JOB-3916</t>
        </is>
      </c>
      <c r="C2920" s="34" t="n">
        <v>1</v>
      </c>
      <c r="D2920" s="37" t="inlineStr">
        <is>
          <t>Tech D</t>
        </is>
      </c>
      <c r="E2920" s="35" t="n">
        <v>2.2</v>
      </c>
      <c r="F2920" s="35" t="n">
        <v>1.8</v>
      </c>
      <c r="G2920" s="37" t="inlineStr">
        <is>
          <t>Y</t>
        </is>
      </c>
      <c r="H2920" s="37" t="inlineStr">
        <is>
          <t>N</t>
        </is>
      </c>
      <c r="I2920" s="37">
        <f>COUNTIF(G$5:G2920,"Y")/COUNTA(G$5:G2920)</f>
        <v/>
      </c>
      <c r="J2920" s="37">
        <f>COUNTIF(H$5:H2920,"Y")/COUNTA(H$5:H2920)</f>
        <v/>
      </c>
      <c r="K2920" s="37">
        <f>AVERAGE(F$5:F2920)</f>
        <v/>
      </c>
      <c r="L2920" s="37">
        <f>SUM(F$5:F2920)/SUM(E$5:E2920)</f>
        <v/>
      </c>
    </row>
    <row r="2921">
      <c r="A2921" s="29" t="n">
        <v>46106</v>
      </c>
      <c r="B2921" s="37" t="inlineStr">
        <is>
          <t>JOB-3917</t>
        </is>
      </c>
      <c r="C2921" s="34" t="n">
        <v>1</v>
      </c>
      <c r="D2921" s="37" t="inlineStr">
        <is>
          <t>Tech H</t>
        </is>
      </c>
      <c r="E2921" s="35" t="n">
        <v>2.7</v>
      </c>
      <c r="F2921" s="35" t="n">
        <v>2.1</v>
      </c>
      <c r="G2921" s="37" t="inlineStr">
        <is>
          <t>N</t>
        </is>
      </c>
      <c r="H2921" s="37" t="inlineStr">
        <is>
          <t>N</t>
        </is>
      </c>
      <c r="I2921" s="37">
        <f>COUNTIF(G$5:G2921,"Y")/COUNTA(G$5:G2921)</f>
        <v/>
      </c>
      <c r="J2921" s="37">
        <f>COUNTIF(H$5:H2921,"Y")/COUNTA(H$5:H2921)</f>
        <v/>
      </c>
      <c r="K2921" s="37">
        <f>AVERAGE(F$5:F2921)</f>
        <v/>
      </c>
      <c r="L2921" s="37">
        <f>SUM(F$5:F2921)/SUM(E$5:E2921)</f>
        <v/>
      </c>
    </row>
    <row r="2922">
      <c r="A2922" s="29" t="n">
        <v>46107</v>
      </c>
      <c r="B2922" s="37" t="inlineStr">
        <is>
          <t>JOB-3918</t>
        </is>
      </c>
      <c r="C2922" s="34" t="n">
        <v>1</v>
      </c>
      <c r="D2922" s="37" t="inlineStr">
        <is>
          <t>Tech A</t>
        </is>
      </c>
      <c r="E2922" s="35" t="n">
        <v>3</v>
      </c>
      <c r="F2922" s="35" t="n">
        <v>2</v>
      </c>
      <c r="G2922" s="37" t="inlineStr">
        <is>
          <t>Y</t>
        </is>
      </c>
      <c r="H2922" s="37" t="inlineStr">
        <is>
          <t>N</t>
        </is>
      </c>
      <c r="I2922" s="37">
        <f>COUNTIF(G$5:G2922,"Y")/COUNTA(G$5:G2922)</f>
        <v/>
      </c>
      <c r="J2922" s="37">
        <f>COUNTIF(H$5:H2922,"Y")/COUNTA(H$5:H2922)</f>
        <v/>
      </c>
      <c r="K2922" s="37">
        <f>AVERAGE(F$5:F2922)</f>
        <v/>
      </c>
      <c r="L2922" s="37">
        <f>SUM(F$5:F2922)/SUM(E$5:E2922)</f>
        <v/>
      </c>
    </row>
    <row r="2923">
      <c r="A2923" s="29" t="n">
        <v>46108</v>
      </c>
      <c r="B2923" s="37" t="inlineStr">
        <is>
          <t>JOB-3919</t>
        </is>
      </c>
      <c r="C2923" s="34" t="n">
        <v>1</v>
      </c>
      <c r="D2923" s="37" t="inlineStr">
        <is>
          <t>Tech G</t>
        </is>
      </c>
      <c r="E2923" s="35" t="n">
        <v>2.3</v>
      </c>
      <c r="F2923" s="35" t="n">
        <v>1.8</v>
      </c>
      <c r="G2923" s="37" t="inlineStr">
        <is>
          <t>N</t>
        </is>
      </c>
      <c r="H2923" s="37" t="inlineStr">
        <is>
          <t>N</t>
        </is>
      </c>
      <c r="I2923" s="37">
        <f>COUNTIF(G$5:G2923,"Y")/COUNTA(G$5:G2923)</f>
        <v/>
      </c>
      <c r="J2923" s="37">
        <f>COUNTIF(H$5:H2923,"Y")/COUNTA(H$5:H2923)</f>
        <v/>
      </c>
      <c r="K2923" s="37">
        <f>AVERAGE(F$5:F2923)</f>
        <v/>
      </c>
      <c r="L2923" s="37">
        <f>SUM(F$5:F2923)/SUM(E$5:E2923)</f>
        <v/>
      </c>
    </row>
    <row r="2924">
      <c r="A2924" s="29" t="n">
        <v>46104</v>
      </c>
      <c r="B2924" s="37" t="inlineStr">
        <is>
          <t>JOB-3920</t>
        </is>
      </c>
      <c r="C2924" s="34" t="n">
        <v>1</v>
      </c>
      <c r="D2924" s="37" t="inlineStr">
        <is>
          <t>Tech B</t>
        </is>
      </c>
      <c r="E2924" s="35" t="n">
        <v>2.3</v>
      </c>
      <c r="F2924" s="35" t="n">
        <v>1.6</v>
      </c>
      <c r="G2924" s="37" t="inlineStr">
        <is>
          <t>Y</t>
        </is>
      </c>
      <c r="H2924" s="37" t="inlineStr">
        <is>
          <t>N</t>
        </is>
      </c>
      <c r="I2924" s="37">
        <f>COUNTIF(G$5:G2924,"Y")/COUNTA(G$5:G2924)</f>
        <v/>
      </c>
      <c r="J2924" s="37">
        <f>COUNTIF(H$5:H2924,"Y")/COUNTA(H$5:H2924)</f>
        <v/>
      </c>
      <c r="K2924" s="37">
        <f>AVERAGE(F$5:F2924)</f>
        <v/>
      </c>
      <c r="L2924" s="37">
        <f>SUM(F$5:F2924)/SUM(E$5:E2924)</f>
        <v/>
      </c>
    </row>
    <row r="2925">
      <c r="A2925" s="29" t="n">
        <v>46105</v>
      </c>
      <c r="B2925" s="37" t="inlineStr">
        <is>
          <t>JOB-3921</t>
        </is>
      </c>
      <c r="C2925" s="34" t="n">
        <v>1</v>
      </c>
      <c r="D2925" s="37" t="inlineStr">
        <is>
          <t>Tech B</t>
        </is>
      </c>
      <c r="E2925" s="35" t="n">
        <v>3.6</v>
      </c>
      <c r="F2925" s="35" t="n">
        <v>2.5</v>
      </c>
      <c r="G2925" s="37" t="inlineStr">
        <is>
          <t>Y</t>
        </is>
      </c>
      <c r="H2925" s="37" t="inlineStr">
        <is>
          <t>N</t>
        </is>
      </c>
      <c r="I2925" s="37">
        <f>COUNTIF(G$5:G2925,"Y")/COUNTA(G$5:G2925)</f>
        <v/>
      </c>
      <c r="J2925" s="37">
        <f>COUNTIF(H$5:H2925,"Y")/COUNTA(H$5:H2925)</f>
        <v/>
      </c>
      <c r="K2925" s="37">
        <f>AVERAGE(F$5:F2925)</f>
        <v/>
      </c>
      <c r="L2925" s="37">
        <f>SUM(F$5:F2925)/SUM(E$5:E2925)</f>
        <v/>
      </c>
    </row>
    <row r="2926">
      <c r="A2926" s="29" t="n">
        <v>46106</v>
      </c>
      <c r="B2926" s="37" t="inlineStr">
        <is>
          <t>JOB-3922</t>
        </is>
      </c>
      <c r="C2926" s="34" t="n">
        <v>1</v>
      </c>
      <c r="D2926" s="37" t="inlineStr">
        <is>
          <t>Tech A</t>
        </is>
      </c>
      <c r="E2926" s="35" t="n">
        <v>3</v>
      </c>
      <c r="F2926" s="35" t="n">
        <v>2.3</v>
      </c>
      <c r="G2926" s="37" t="inlineStr">
        <is>
          <t>Y</t>
        </is>
      </c>
      <c r="H2926" s="37" t="inlineStr">
        <is>
          <t>N</t>
        </is>
      </c>
      <c r="I2926" s="37">
        <f>COUNTIF(G$5:G2926,"Y")/COUNTA(G$5:G2926)</f>
        <v/>
      </c>
      <c r="J2926" s="37">
        <f>COUNTIF(H$5:H2926,"Y")/COUNTA(H$5:H2926)</f>
        <v/>
      </c>
      <c r="K2926" s="37">
        <f>AVERAGE(F$5:F2926)</f>
        <v/>
      </c>
      <c r="L2926" s="37">
        <f>SUM(F$5:F2926)/SUM(E$5:E2926)</f>
        <v/>
      </c>
    </row>
    <row r="2927">
      <c r="A2927" s="29" t="n">
        <v>46107</v>
      </c>
      <c r="B2927" s="37" t="inlineStr">
        <is>
          <t>JOB-3923</t>
        </is>
      </c>
      <c r="C2927" s="34" t="n">
        <v>1</v>
      </c>
      <c r="D2927" s="37" t="inlineStr">
        <is>
          <t>Tech B</t>
        </is>
      </c>
      <c r="E2927" s="35" t="n">
        <v>4.8</v>
      </c>
      <c r="F2927" s="35" t="n">
        <v>3.4</v>
      </c>
      <c r="G2927" s="37" t="inlineStr">
        <is>
          <t>Y</t>
        </is>
      </c>
      <c r="H2927" s="37" t="inlineStr">
        <is>
          <t>N</t>
        </is>
      </c>
      <c r="I2927" s="37">
        <f>COUNTIF(G$5:G2927,"Y")/COUNTA(G$5:G2927)</f>
        <v/>
      </c>
      <c r="J2927" s="37">
        <f>COUNTIF(H$5:H2927,"Y")/COUNTA(H$5:H2927)</f>
        <v/>
      </c>
      <c r="K2927" s="37">
        <f>AVERAGE(F$5:F2927)</f>
        <v/>
      </c>
      <c r="L2927" s="37">
        <f>SUM(F$5:F2927)/SUM(E$5:E2927)</f>
        <v/>
      </c>
    </row>
    <row r="2928">
      <c r="A2928" s="29" t="n">
        <v>46108</v>
      </c>
      <c r="B2928" s="37" t="inlineStr">
        <is>
          <t>JOB-3924</t>
        </is>
      </c>
      <c r="C2928" s="34" t="n">
        <v>1</v>
      </c>
      <c r="D2928" s="37" t="inlineStr">
        <is>
          <t>Tech H</t>
        </is>
      </c>
      <c r="E2928" s="35" t="n">
        <v>3</v>
      </c>
      <c r="F2928" s="35" t="n">
        <v>2.3</v>
      </c>
      <c r="G2928" s="37" t="inlineStr">
        <is>
          <t>Y</t>
        </is>
      </c>
      <c r="H2928" s="37" t="inlineStr">
        <is>
          <t>N</t>
        </is>
      </c>
      <c r="I2928" s="37">
        <f>COUNTIF(G$5:G2928,"Y")/COUNTA(G$5:G2928)</f>
        <v/>
      </c>
      <c r="J2928" s="37">
        <f>COUNTIF(H$5:H2928,"Y")/COUNTA(H$5:H2928)</f>
        <v/>
      </c>
      <c r="K2928" s="37">
        <f>AVERAGE(F$5:F2928)</f>
        <v/>
      </c>
      <c r="L2928" s="37">
        <f>SUM(F$5:F2928)/SUM(E$5:E2928)</f>
        <v/>
      </c>
    </row>
    <row r="2929">
      <c r="A2929" s="29" t="n">
        <v>46104</v>
      </c>
      <c r="B2929" s="37" t="inlineStr">
        <is>
          <t>JOB-3925</t>
        </is>
      </c>
      <c r="C2929" s="34" t="n">
        <v>1</v>
      </c>
      <c r="D2929" s="37" t="inlineStr">
        <is>
          <t>Tech A</t>
        </is>
      </c>
      <c r="E2929" s="35" t="n">
        <v>2.7</v>
      </c>
      <c r="F2929" s="35" t="n">
        <v>2.3</v>
      </c>
      <c r="G2929" s="37" t="inlineStr">
        <is>
          <t>Y</t>
        </is>
      </c>
      <c r="H2929" s="37" t="inlineStr">
        <is>
          <t>N</t>
        </is>
      </c>
      <c r="I2929" s="37">
        <f>COUNTIF(G$5:G2929,"Y")/COUNTA(G$5:G2929)</f>
        <v/>
      </c>
      <c r="J2929" s="37">
        <f>COUNTIF(H$5:H2929,"Y")/COUNTA(H$5:H2929)</f>
        <v/>
      </c>
      <c r="K2929" s="37">
        <f>AVERAGE(F$5:F2929)</f>
        <v/>
      </c>
      <c r="L2929" s="37">
        <f>SUM(F$5:F2929)/SUM(E$5:E2929)</f>
        <v/>
      </c>
    </row>
    <row r="2930">
      <c r="A2930" s="29" t="n">
        <v>46105</v>
      </c>
      <c r="B2930" s="37" t="inlineStr">
        <is>
          <t>JOB-3926</t>
        </is>
      </c>
      <c r="C2930" s="34" t="n">
        <v>1</v>
      </c>
      <c r="D2930" s="37" t="inlineStr">
        <is>
          <t>Tech G</t>
        </is>
      </c>
      <c r="E2930" s="35" t="n">
        <v>3.3</v>
      </c>
      <c r="F2930" s="35" t="n">
        <v>2.3</v>
      </c>
      <c r="G2930" s="37" t="inlineStr">
        <is>
          <t>Y</t>
        </is>
      </c>
      <c r="H2930" s="37" t="inlineStr">
        <is>
          <t>N</t>
        </is>
      </c>
      <c r="I2930" s="37">
        <f>COUNTIF(G$5:G2930,"Y")/COUNTA(G$5:G2930)</f>
        <v/>
      </c>
      <c r="J2930" s="37">
        <f>COUNTIF(H$5:H2930,"Y")/COUNTA(H$5:H2930)</f>
        <v/>
      </c>
      <c r="K2930" s="37">
        <f>AVERAGE(F$5:F2930)</f>
        <v/>
      </c>
      <c r="L2930" s="37">
        <f>SUM(F$5:F2930)/SUM(E$5:E2930)</f>
        <v/>
      </c>
    </row>
    <row r="2931">
      <c r="A2931" s="29" t="n">
        <v>46106</v>
      </c>
      <c r="B2931" s="37" t="inlineStr">
        <is>
          <t>JOB-3927</t>
        </is>
      </c>
      <c r="C2931" s="34" t="n">
        <v>1</v>
      </c>
      <c r="D2931" s="37" t="inlineStr">
        <is>
          <t>Tech G</t>
        </is>
      </c>
      <c r="E2931" s="35" t="n">
        <v>1.7</v>
      </c>
      <c r="F2931" s="35" t="n">
        <v>1.4</v>
      </c>
      <c r="G2931" s="37" t="inlineStr">
        <is>
          <t>Y</t>
        </is>
      </c>
      <c r="H2931" s="37" t="inlineStr">
        <is>
          <t>N</t>
        </is>
      </c>
      <c r="I2931" s="37">
        <f>COUNTIF(G$5:G2931,"Y")/COUNTA(G$5:G2931)</f>
        <v/>
      </c>
      <c r="J2931" s="37">
        <f>COUNTIF(H$5:H2931,"Y")/COUNTA(H$5:H2931)</f>
        <v/>
      </c>
      <c r="K2931" s="37">
        <f>AVERAGE(F$5:F2931)</f>
        <v/>
      </c>
      <c r="L2931" s="37">
        <f>SUM(F$5:F2931)/SUM(E$5:E2931)</f>
        <v/>
      </c>
    </row>
    <row r="2932">
      <c r="A2932" s="29" t="n">
        <v>46107</v>
      </c>
      <c r="B2932" s="37" t="inlineStr">
        <is>
          <t>JOB-3928</t>
        </is>
      </c>
      <c r="C2932" s="34" t="n">
        <v>1</v>
      </c>
      <c r="D2932" s="37" t="inlineStr">
        <is>
          <t>Tech B</t>
        </is>
      </c>
      <c r="E2932" s="35" t="n">
        <v>5.4</v>
      </c>
      <c r="F2932" s="35" t="n">
        <v>3.9</v>
      </c>
      <c r="G2932" s="37" t="inlineStr">
        <is>
          <t>Y</t>
        </is>
      </c>
      <c r="H2932" s="37" t="inlineStr">
        <is>
          <t>N</t>
        </is>
      </c>
      <c r="I2932" s="37">
        <f>COUNTIF(G$5:G2932,"Y")/COUNTA(G$5:G2932)</f>
        <v/>
      </c>
      <c r="J2932" s="37">
        <f>COUNTIF(H$5:H2932,"Y")/COUNTA(H$5:H2932)</f>
        <v/>
      </c>
      <c r="K2932" s="37">
        <f>AVERAGE(F$5:F2932)</f>
        <v/>
      </c>
      <c r="L2932" s="37">
        <f>SUM(F$5:F2932)/SUM(E$5:E2932)</f>
        <v/>
      </c>
    </row>
    <row r="2933">
      <c r="A2933" s="29" t="n">
        <v>46108</v>
      </c>
      <c r="B2933" s="37" t="inlineStr">
        <is>
          <t>JOB-3929</t>
        </is>
      </c>
      <c r="C2933" s="34" t="n">
        <v>1</v>
      </c>
      <c r="D2933" s="37" t="inlineStr">
        <is>
          <t>Tech B</t>
        </is>
      </c>
      <c r="E2933" s="35" t="n">
        <v>2.1</v>
      </c>
      <c r="F2933" s="35" t="n">
        <v>1.5</v>
      </c>
      <c r="G2933" s="37" t="inlineStr">
        <is>
          <t>Y</t>
        </is>
      </c>
      <c r="H2933" s="37" t="inlineStr">
        <is>
          <t>N</t>
        </is>
      </c>
      <c r="I2933" s="37">
        <f>COUNTIF(G$5:G2933,"Y")/COUNTA(G$5:G2933)</f>
        <v/>
      </c>
      <c r="J2933" s="37">
        <f>COUNTIF(H$5:H2933,"Y")/COUNTA(H$5:H2933)</f>
        <v/>
      </c>
      <c r="K2933" s="37">
        <f>AVERAGE(F$5:F2933)</f>
        <v/>
      </c>
      <c r="L2933" s="37">
        <f>SUM(F$5:F2933)/SUM(E$5:E2933)</f>
        <v/>
      </c>
    </row>
    <row r="2934">
      <c r="A2934" s="29" t="n">
        <v>46104</v>
      </c>
      <c r="B2934" s="37" t="inlineStr">
        <is>
          <t>JOB-3930</t>
        </is>
      </c>
      <c r="C2934" s="34" t="n">
        <v>1</v>
      </c>
      <c r="D2934" s="37" t="inlineStr">
        <is>
          <t>Tech D</t>
        </is>
      </c>
      <c r="E2934" s="35" t="n">
        <v>2</v>
      </c>
      <c r="F2934" s="35" t="n">
        <v>1.5</v>
      </c>
      <c r="G2934" s="37" t="inlineStr">
        <is>
          <t>Y</t>
        </is>
      </c>
      <c r="H2934" s="37" t="inlineStr">
        <is>
          <t>N</t>
        </is>
      </c>
      <c r="I2934" s="37">
        <f>COUNTIF(G$5:G2934,"Y")/COUNTA(G$5:G2934)</f>
        <v/>
      </c>
      <c r="J2934" s="37">
        <f>COUNTIF(H$5:H2934,"Y")/COUNTA(H$5:H2934)</f>
        <v/>
      </c>
      <c r="K2934" s="37">
        <f>AVERAGE(F$5:F2934)</f>
        <v/>
      </c>
      <c r="L2934" s="37">
        <f>SUM(F$5:F2934)/SUM(E$5:E2934)</f>
        <v/>
      </c>
    </row>
    <row r="2935">
      <c r="A2935" s="29" t="n">
        <v>46105</v>
      </c>
      <c r="B2935" s="37" t="inlineStr">
        <is>
          <t>JOB-3931</t>
        </is>
      </c>
      <c r="C2935" s="34" t="n">
        <v>1</v>
      </c>
      <c r="D2935" s="37" t="inlineStr">
        <is>
          <t>Tech C</t>
        </is>
      </c>
      <c r="E2935" s="35" t="n">
        <v>4.2</v>
      </c>
      <c r="F2935" s="35" t="n">
        <v>3</v>
      </c>
      <c r="G2935" s="37" t="inlineStr">
        <is>
          <t>Y</t>
        </is>
      </c>
      <c r="H2935" s="37" t="inlineStr">
        <is>
          <t>N</t>
        </is>
      </c>
      <c r="I2935" s="37">
        <f>COUNTIF(G$5:G2935,"Y")/COUNTA(G$5:G2935)</f>
        <v/>
      </c>
      <c r="J2935" s="37">
        <f>COUNTIF(H$5:H2935,"Y")/COUNTA(H$5:H2935)</f>
        <v/>
      </c>
      <c r="K2935" s="37">
        <f>AVERAGE(F$5:F2935)</f>
        <v/>
      </c>
      <c r="L2935" s="37">
        <f>SUM(F$5:F2935)/SUM(E$5:E2935)</f>
        <v/>
      </c>
    </row>
    <row r="2936">
      <c r="A2936" s="29" t="n">
        <v>46106</v>
      </c>
      <c r="B2936" s="37" t="inlineStr">
        <is>
          <t>JOB-3932</t>
        </is>
      </c>
      <c r="C2936" s="34" t="n">
        <v>1</v>
      </c>
      <c r="D2936" s="37" t="inlineStr">
        <is>
          <t>Tech A</t>
        </is>
      </c>
      <c r="E2936" s="35" t="n">
        <v>2.5</v>
      </c>
      <c r="F2936" s="35" t="n">
        <v>2.1</v>
      </c>
      <c r="G2936" s="37" t="inlineStr">
        <is>
          <t>Y</t>
        </is>
      </c>
      <c r="H2936" s="37" t="inlineStr">
        <is>
          <t>N</t>
        </is>
      </c>
      <c r="I2936" s="37">
        <f>COUNTIF(G$5:G2936,"Y")/COUNTA(G$5:G2936)</f>
        <v/>
      </c>
      <c r="J2936" s="37">
        <f>COUNTIF(H$5:H2936,"Y")/COUNTA(H$5:H2936)</f>
        <v/>
      </c>
      <c r="K2936" s="37">
        <f>AVERAGE(F$5:F2936)</f>
        <v/>
      </c>
      <c r="L2936" s="37">
        <f>SUM(F$5:F2936)/SUM(E$5:E2936)</f>
        <v/>
      </c>
    </row>
    <row r="2937">
      <c r="A2937" s="29" t="n">
        <v>46107</v>
      </c>
      <c r="B2937" s="37" t="inlineStr">
        <is>
          <t>JOB-3933</t>
        </is>
      </c>
      <c r="C2937" s="34" t="n">
        <v>1</v>
      </c>
      <c r="D2937" s="37" t="inlineStr">
        <is>
          <t>Tech F</t>
        </is>
      </c>
      <c r="E2937" s="35" t="n">
        <v>5.9</v>
      </c>
      <c r="F2937" s="35" t="n">
        <v>4.1</v>
      </c>
      <c r="G2937" s="37" t="inlineStr">
        <is>
          <t>Y</t>
        </is>
      </c>
      <c r="H2937" s="37" t="inlineStr">
        <is>
          <t>N</t>
        </is>
      </c>
      <c r="I2937" s="37">
        <f>COUNTIF(G$5:G2937,"Y")/COUNTA(G$5:G2937)</f>
        <v/>
      </c>
      <c r="J2937" s="37">
        <f>COUNTIF(H$5:H2937,"Y")/COUNTA(H$5:H2937)</f>
        <v/>
      </c>
      <c r="K2937" s="37">
        <f>AVERAGE(F$5:F2937)</f>
        <v/>
      </c>
      <c r="L2937" s="37">
        <f>SUM(F$5:F2937)/SUM(E$5:E2937)</f>
        <v/>
      </c>
    </row>
    <row r="2938">
      <c r="A2938" s="29" t="n">
        <v>46108</v>
      </c>
      <c r="B2938" s="37" t="inlineStr">
        <is>
          <t>JOB-3934</t>
        </is>
      </c>
      <c r="C2938" s="34" t="n">
        <v>1</v>
      </c>
      <c r="D2938" s="37" t="inlineStr">
        <is>
          <t>Tech D</t>
        </is>
      </c>
      <c r="E2938" s="35" t="n">
        <v>2.7</v>
      </c>
      <c r="F2938" s="35" t="n">
        <v>2.2</v>
      </c>
      <c r="G2938" s="37" t="inlineStr">
        <is>
          <t>Y</t>
        </is>
      </c>
      <c r="H2938" s="37" t="inlineStr">
        <is>
          <t>N</t>
        </is>
      </c>
      <c r="I2938" s="37">
        <f>COUNTIF(G$5:G2938,"Y")/COUNTA(G$5:G2938)</f>
        <v/>
      </c>
      <c r="J2938" s="37">
        <f>COUNTIF(H$5:H2938,"Y")/COUNTA(H$5:H2938)</f>
        <v/>
      </c>
      <c r="K2938" s="37">
        <f>AVERAGE(F$5:F2938)</f>
        <v/>
      </c>
      <c r="L2938" s="37">
        <f>SUM(F$5:F2938)/SUM(E$5:E2938)</f>
        <v/>
      </c>
    </row>
    <row r="2939">
      <c r="A2939" s="29" t="n">
        <v>46104</v>
      </c>
      <c r="B2939" s="37" t="inlineStr">
        <is>
          <t>JOB-3935</t>
        </is>
      </c>
      <c r="C2939" s="34" t="n">
        <v>1</v>
      </c>
      <c r="D2939" s="37" t="inlineStr">
        <is>
          <t>Tech D</t>
        </is>
      </c>
      <c r="E2939" s="35" t="n">
        <v>1.9</v>
      </c>
      <c r="F2939" s="35" t="n">
        <v>1.5</v>
      </c>
      <c r="G2939" s="37" t="inlineStr">
        <is>
          <t>Y</t>
        </is>
      </c>
      <c r="H2939" s="37" t="inlineStr">
        <is>
          <t>N</t>
        </is>
      </c>
      <c r="I2939" s="37">
        <f>COUNTIF(G$5:G2939,"Y")/COUNTA(G$5:G2939)</f>
        <v/>
      </c>
      <c r="J2939" s="37">
        <f>COUNTIF(H$5:H2939,"Y")/COUNTA(H$5:H2939)</f>
        <v/>
      </c>
      <c r="K2939" s="37">
        <f>AVERAGE(F$5:F2939)</f>
        <v/>
      </c>
      <c r="L2939" s="37">
        <f>SUM(F$5:F2939)/SUM(E$5:E2939)</f>
        <v/>
      </c>
    </row>
    <row r="2940">
      <c r="A2940" s="29" t="n">
        <v>46105</v>
      </c>
      <c r="B2940" s="37" t="inlineStr">
        <is>
          <t>JOB-3936</t>
        </is>
      </c>
      <c r="C2940" s="34" t="n">
        <v>1</v>
      </c>
      <c r="D2940" s="37" t="inlineStr">
        <is>
          <t>Tech G</t>
        </is>
      </c>
      <c r="E2940" s="35" t="n">
        <v>1.7</v>
      </c>
      <c r="F2940" s="35" t="n">
        <v>1.2</v>
      </c>
      <c r="G2940" s="37" t="inlineStr">
        <is>
          <t>Y</t>
        </is>
      </c>
      <c r="H2940" s="37" t="inlineStr">
        <is>
          <t>N</t>
        </is>
      </c>
      <c r="I2940" s="37">
        <f>COUNTIF(G$5:G2940,"Y")/COUNTA(G$5:G2940)</f>
        <v/>
      </c>
      <c r="J2940" s="37">
        <f>COUNTIF(H$5:H2940,"Y")/COUNTA(H$5:H2940)</f>
        <v/>
      </c>
      <c r="K2940" s="37">
        <f>AVERAGE(F$5:F2940)</f>
        <v/>
      </c>
      <c r="L2940" s="37">
        <f>SUM(F$5:F2940)/SUM(E$5:E2940)</f>
        <v/>
      </c>
    </row>
    <row r="2941">
      <c r="A2941" s="29" t="n">
        <v>46106</v>
      </c>
      <c r="B2941" s="37" t="inlineStr">
        <is>
          <t>JOB-3937</t>
        </is>
      </c>
      <c r="C2941" s="34" t="n">
        <v>1</v>
      </c>
      <c r="D2941" s="37" t="inlineStr">
        <is>
          <t>Tech C</t>
        </is>
      </c>
      <c r="E2941" s="35" t="n">
        <v>3.3</v>
      </c>
      <c r="F2941" s="35" t="n">
        <v>2.3</v>
      </c>
      <c r="G2941" s="37" t="inlineStr">
        <is>
          <t>Y</t>
        </is>
      </c>
      <c r="H2941" s="37" t="inlineStr">
        <is>
          <t>N</t>
        </is>
      </c>
      <c r="I2941" s="37">
        <f>COUNTIF(G$5:G2941,"Y")/COUNTA(G$5:G2941)</f>
        <v/>
      </c>
      <c r="J2941" s="37">
        <f>COUNTIF(H$5:H2941,"Y")/COUNTA(H$5:H2941)</f>
        <v/>
      </c>
      <c r="K2941" s="37">
        <f>AVERAGE(F$5:F2941)</f>
        <v/>
      </c>
      <c r="L2941" s="37">
        <f>SUM(F$5:F2941)/SUM(E$5:E2941)</f>
        <v/>
      </c>
    </row>
    <row r="2942">
      <c r="A2942" s="29" t="n">
        <v>46107</v>
      </c>
      <c r="B2942" s="37" t="inlineStr">
        <is>
          <t>JOB-3938</t>
        </is>
      </c>
      <c r="C2942" s="34" t="n">
        <v>1</v>
      </c>
      <c r="D2942" s="37" t="inlineStr">
        <is>
          <t>Tech B</t>
        </is>
      </c>
      <c r="E2942" s="35" t="n">
        <v>3.3</v>
      </c>
      <c r="F2942" s="35" t="n">
        <v>2.2</v>
      </c>
      <c r="G2942" s="37" t="inlineStr">
        <is>
          <t>N</t>
        </is>
      </c>
      <c r="H2942" s="37" t="inlineStr">
        <is>
          <t>N</t>
        </is>
      </c>
      <c r="I2942" s="37">
        <f>COUNTIF(G$5:G2942,"Y")/COUNTA(G$5:G2942)</f>
        <v/>
      </c>
      <c r="J2942" s="37">
        <f>COUNTIF(H$5:H2942,"Y")/COUNTA(H$5:H2942)</f>
        <v/>
      </c>
      <c r="K2942" s="37">
        <f>AVERAGE(F$5:F2942)</f>
        <v/>
      </c>
      <c r="L2942" s="37">
        <f>SUM(F$5:F2942)/SUM(E$5:E2942)</f>
        <v/>
      </c>
    </row>
    <row r="2943">
      <c r="A2943" s="29" t="n">
        <v>46108</v>
      </c>
      <c r="B2943" s="37" t="inlineStr">
        <is>
          <t>JOB-3939</t>
        </is>
      </c>
      <c r="C2943" s="34" t="n">
        <v>1</v>
      </c>
      <c r="D2943" s="37" t="inlineStr">
        <is>
          <t>Tech H</t>
        </is>
      </c>
      <c r="E2943" s="35" t="n">
        <v>4.7</v>
      </c>
      <c r="F2943" s="35" t="n">
        <v>3.7</v>
      </c>
      <c r="G2943" s="37" t="inlineStr">
        <is>
          <t>Y</t>
        </is>
      </c>
      <c r="H2943" s="37" t="inlineStr">
        <is>
          <t>N</t>
        </is>
      </c>
      <c r="I2943" s="37">
        <f>COUNTIF(G$5:G2943,"Y")/COUNTA(G$5:G2943)</f>
        <v/>
      </c>
      <c r="J2943" s="37">
        <f>COUNTIF(H$5:H2943,"Y")/COUNTA(H$5:H2943)</f>
        <v/>
      </c>
      <c r="K2943" s="37">
        <f>AVERAGE(F$5:F2943)</f>
        <v/>
      </c>
      <c r="L2943" s="37">
        <f>SUM(F$5:F2943)/SUM(E$5:E2943)</f>
        <v/>
      </c>
    </row>
    <row r="2944">
      <c r="A2944" s="29" t="n">
        <v>46104</v>
      </c>
      <c r="B2944" s="37" t="inlineStr">
        <is>
          <t>JOB-3940</t>
        </is>
      </c>
      <c r="C2944" s="34" t="n">
        <v>1</v>
      </c>
      <c r="D2944" s="37" t="inlineStr">
        <is>
          <t>Tech G</t>
        </is>
      </c>
      <c r="E2944" s="35" t="n">
        <v>4.6</v>
      </c>
      <c r="F2944" s="35" t="n">
        <v>3.7</v>
      </c>
      <c r="G2944" s="37" t="inlineStr">
        <is>
          <t>Y</t>
        </is>
      </c>
      <c r="H2944" s="37" t="inlineStr">
        <is>
          <t>N</t>
        </is>
      </c>
      <c r="I2944" s="37">
        <f>COUNTIF(G$5:G2944,"Y")/COUNTA(G$5:G2944)</f>
        <v/>
      </c>
      <c r="J2944" s="37">
        <f>COUNTIF(H$5:H2944,"Y")/COUNTA(H$5:H2944)</f>
        <v/>
      </c>
      <c r="K2944" s="37">
        <f>AVERAGE(F$5:F2944)</f>
        <v/>
      </c>
      <c r="L2944" s="37">
        <f>SUM(F$5:F2944)/SUM(E$5:E2944)</f>
        <v/>
      </c>
    </row>
    <row r="2945">
      <c r="A2945" s="29" t="n">
        <v>46105</v>
      </c>
      <c r="B2945" s="37" t="inlineStr">
        <is>
          <t>JOB-3941</t>
        </is>
      </c>
      <c r="C2945" s="34" t="n">
        <v>1</v>
      </c>
      <c r="D2945" s="37" t="inlineStr">
        <is>
          <t>Tech G</t>
        </is>
      </c>
      <c r="E2945" s="35" t="n">
        <v>4.7</v>
      </c>
      <c r="F2945" s="35" t="n">
        <v>4.1</v>
      </c>
      <c r="G2945" s="37" t="inlineStr">
        <is>
          <t>N</t>
        </is>
      </c>
      <c r="H2945" s="37" t="inlineStr">
        <is>
          <t>N</t>
        </is>
      </c>
      <c r="I2945" s="37">
        <f>COUNTIF(G$5:G2945,"Y")/COUNTA(G$5:G2945)</f>
        <v/>
      </c>
      <c r="J2945" s="37">
        <f>COUNTIF(H$5:H2945,"Y")/COUNTA(H$5:H2945)</f>
        <v/>
      </c>
      <c r="K2945" s="37">
        <f>AVERAGE(F$5:F2945)</f>
        <v/>
      </c>
      <c r="L2945" s="37">
        <f>SUM(F$5:F2945)/SUM(E$5:E2945)</f>
        <v/>
      </c>
    </row>
    <row r="2946">
      <c r="A2946" s="29" t="n">
        <v>46106</v>
      </c>
      <c r="B2946" s="37" t="inlineStr">
        <is>
          <t>JOB-3942</t>
        </is>
      </c>
      <c r="C2946" s="34" t="n">
        <v>1</v>
      </c>
      <c r="D2946" s="37" t="inlineStr">
        <is>
          <t>Tech F</t>
        </is>
      </c>
      <c r="E2946" s="35" t="n">
        <v>3.9</v>
      </c>
      <c r="F2946" s="35" t="n">
        <v>3.1</v>
      </c>
      <c r="G2946" s="37" t="inlineStr">
        <is>
          <t>Y</t>
        </is>
      </c>
      <c r="H2946" s="37" t="inlineStr">
        <is>
          <t>N</t>
        </is>
      </c>
      <c r="I2946" s="37">
        <f>COUNTIF(G$5:G2946,"Y")/COUNTA(G$5:G2946)</f>
        <v/>
      </c>
      <c r="J2946" s="37">
        <f>COUNTIF(H$5:H2946,"Y")/COUNTA(H$5:H2946)</f>
        <v/>
      </c>
      <c r="K2946" s="37">
        <f>AVERAGE(F$5:F2946)</f>
        <v/>
      </c>
      <c r="L2946" s="37">
        <f>SUM(F$5:F2946)/SUM(E$5:E2946)</f>
        <v/>
      </c>
    </row>
    <row r="2947">
      <c r="A2947" s="29" t="n">
        <v>46107</v>
      </c>
      <c r="B2947" s="37" t="inlineStr">
        <is>
          <t>JOB-3943</t>
        </is>
      </c>
      <c r="C2947" s="34" t="n">
        <v>1</v>
      </c>
      <c r="D2947" s="37" t="inlineStr">
        <is>
          <t>Tech D</t>
        </is>
      </c>
      <c r="E2947" s="35" t="n">
        <v>3.9</v>
      </c>
      <c r="F2947" s="35" t="n">
        <v>2.6</v>
      </c>
      <c r="G2947" s="37" t="inlineStr">
        <is>
          <t>Y</t>
        </is>
      </c>
      <c r="H2947" s="37" t="inlineStr">
        <is>
          <t>N</t>
        </is>
      </c>
      <c r="I2947" s="37">
        <f>COUNTIF(G$5:G2947,"Y")/COUNTA(G$5:G2947)</f>
        <v/>
      </c>
      <c r="J2947" s="37">
        <f>COUNTIF(H$5:H2947,"Y")/COUNTA(H$5:H2947)</f>
        <v/>
      </c>
      <c r="K2947" s="37">
        <f>AVERAGE(F$5:F2947)</f>
        <v/>
      </c>
      <c r="L2947" s="37">
        <f>SUM(F$5:F2947)/SUM(E$5:E2947)</f>
        <v/>
      </c>
    </row>
    <row r="2948">
      <c r="A2948" s="29" t="n">
        <v>46108</v>
      </c>
      <c r="B2948" s="37" t="inlineStr">
        <is>
          <t>JOB-3944</t>
        </is>
      </c>
      <c r="C2948" s="34" t="n">
        <v>1</v>
      </c>
      <c r="D2948" s="37" t="inlineStr">
        <is>
          <t>Tech D</t>
        </is>
      </c>
      <c r="E2948" s="35" t="n">
        <v>2.7</v>
      </c>
      <c r="F2948" s="35" t="n">
        <v>2</v>
      </c>
      <c r="G2948" s="37" t="inlineStr">
        <is>
          <t>N</t>
        </is>
      </c>
      <c r="H2948" s="37" t="inlineStr">
        <is>
          <t>N</t>
        </is>
      </c>
      <c r="I2948" s="37">
        <f>COUNTIF(G$5:G2948,"Y")/COUNTA(G$5:G2948)</f>
        <v/>
      </c>
      <c r="J2948" s="37">
        <f>COUNTIF(H$5:H2948,"Y")/COUNTA(H$5:H2948)</f>
        <v/>
      </c>
      <c r="K2948" s="37">
        <f>AVERAGE(F$5:F2948)</f>
        <v/>
      </c>
      <c r="L2948" s="37">
        <f>SUM(F$5:F2948)/SUM(E$5:E2948)</f>
        <v/>
      </c>
    </row>
    <row r="2949">
      <c r="A2949" s="29" t="n">
        <v>46104</v>
      </c>
      <c r="B2949" s="37" t="inlineStr">
        <is>
          <t>JOB-3945</t>
        </is>
      </c>
      <c r="C2949" s="34" t="n">
        <v>1</v>
      </c>
      <c r="D2949" s="37" t="inlineStr">
        <is>
          <t>Tech B</t>
        </is>
      </c>
      <c r="E2949" s="35" t="n">
        <v>2.5</v>
      </c>
      <c r="F2949" s="35" t="n">
        <v>2.1</v>
      </c>
      <c r="G2949" s="37" t="inlineStr">
        <is>
          <t>Y</t>
        </is>
      </c>
      <c r="H2949" s="37" t="inlineStr">
        <is>
          <t>N</t>
        </is>
      </c>
      <c r="I2949" s="37">
        <f>COUNTIF(G$5:G2949,"Y")/COUNTA(G$5:G2949)</f>
        <v/>
      </c>
      <c r="J2949" s="37">
        <f>COUNTIF(H$5:H2949,"Y")/COUNTA(H$5:H2949)</f>
        <v/>
      </c>
      <c r="K2949" s="37">
        <f>AVERAGE(F$5:F2949)</f>
        <v/>
      </c>
      <c r="L2949" s="37">
        <f>SUM(F$5:F2949)/SUM(E$5:E2949)</f>
        <v/>
      </c>
    </row>
    <row r="2950">
      <c r="A2950" s="29" t="n">
        <v>46105</v>
      </c>
      <c r="B2950" s="37" t="inlineStr">
        <is>
          <t>JOB-3946</t>
        </is>
      </c>
      <c r="C2950" s="34" t="n">
        <v>1</v>
      </c>
      <c r="D2950" s="37" t="inlineStr">
        <is>
          <t>Tech D</t>
        </is>
      </c>
      <c r="E2950" s="35" t="n">
        <v>2.5</v>
      </c>
      <c r="F2950" s="35" t="n">
        <v>1.9</v>
      </c>
      <c r="G2950" s="37" t="inlineStr">
        <is>
          <t>Y</t>
        </is>
      </c>
      <c r="H2950" s="37" t="inlineStr">
        <is>
          <t>N</t>
        </is>
      </c>
      <c r="I2950" s="37">
        <f>COUNTIF(G$5:G2950,"Y")/COUNTA(G$5:G2950)</f>
        <v/>
      </c>
      <c r="J2950" s="37">
        <f>COUNTIF(H$5:H2950,"Y")/COUNTA(H$5:H2950)</f>
        <v/>
      </c>
      <c r="K2950" s="37">
        <f>AVERAGE(F$5:F2950)</f>
        <v/>
      </c>
      <c r="L2950" s="37">
        <f>SUM(F$5:F2950)/SUM(E$5:E2950)</f>
        <v/>
      </c>
    </row>
    <row r="2951">
      <c r="A2951" s="29" t="n">
        <v>46106</v>
      </c>
      <c r="B2951" s="37" t="inlineStr">
        <is>
          <t>JOB-3947</t>
        </is>
      </c>
      <c r="C2951" s="34" t="n">
        <v>1</v>
      </c>
      <c r="D2951" s="37" t="inlineStr">
        <is>
          <t>Tech F</t>
        </is>
      </c>
      <c r="E2951" s="35" t="n">
        <v>1.8</v>
      </c>
      <c r="F2951" s="35" t="n">
        <v>1.5</v>
      </c>
      <c r="G2951" s="37" t="inlineStr">
        <is>
          <t>Y</t>
        </is>
      </c>
      <c r="H2951" s="37" t="inlineStr">
        <is>
          <t>N</t>
        </is>
      </c>
      <c r="I2951" s="37">
        <f>COUNTIF(G$5:G2951,"Y")/COUNTA(G$5:G2951)</f>
        <v/>
      </c>
      <c r="J2951" s="37">
        <f>COUNTIF(H$5:H2951,"Y")/COUNTA(H$5:H2951)</f>
        <v/>
      </c>
      <c r="K2951" s="37">
        <f>AVERAGE(F$5:F2951)</f>
        <v/>
      </c>
      <c r="L2951" s="37">
        <f>SUM(F$5:F2951)/SUM(E$5:E2951)</f>
        <v/>
      </c>
    </row>
    <row r="2952">
      <c r="A2952" s="29" t="n">
        <v>46107</v>
      </c>
      <c r="B2952" s="37" t="inlineStr">
        <is>
          <t>JOB-3948</t>
        </is>
      </c>
      <c r="C2952" s="34" t="n">
        <v>1</v>
      </c>
      <c r="D2952" s="37" t="inlineStr">
        <is>
          <t>Tech C</t>
        </is>
      </c>
      <c r="E2952" s="35" t="n">
        <v>4.5</v>
      </c>
      <c r="F2952" s="35" t="n">
        <v>3.2</v>
      </c>
      <c r="G2952" s="37" t="inlineStr">
        <is>
          <t>Y</t>
        </is>
      </c>
      <c r="H2952" s="37" t="inlineStr">
        <is>
          <t>N</t>
        </is>
      </c>
      <c r="I2952" s="37">
        <f>COUNTIF(G$5:G2952,"Y")/COUNTA(G$5:G2952)</f>
        <v/>
      </c>
      <c r="J2952" s="37">
        <f>COUNTIF(H$5:H2952,"Y")/COUNTA(H$5:H2952)</f>
        <v/>
      </c>
      <c r="K2952" s="37">
        <f>AVERAGE(F$5:F2952)</f>
        <v/>
      </c>
      <c r="L2952" s="37">
        <f>SUM(F$5:F2952)/SUM(E$5:E2952)</f>
        <v/>
      </c>
    </row>
    <row r="2953">
      <c r="A2953" s="29" t="n">
        <v>46108</v>
      </c>
      <c r="B2953" s="37" t="inlineStr">
        <is>
          <t>JOB-3949</t>
        </is>
      </c>
      <c r="C2953" s="34" t="n">
        <v>1</v>
      </c>
      <c r="D2953" s="37" t="inlineStr">
        <is>
          <t>Tech F</t>
        </is>
      </c>
      <c r="E2953" s="35" t="n">
        <v>1.9</v>
      </c>
      <c r="F2953" s="35" t="n">
        <v>1.3</v>
      </c>
      <c r="G2953" s="37" t="inlineStr">
        <is>
          <t>Y</t>
        </is>
      </c>
      <c r="H2953" s="37" t="inlineStr">
        <is>
          <t>N</t>
        </is>
      </c>
      <c r="I2953" s="37">
        <f>COUNTIF(G$5:G2953,"Y")/COUNTA(G$5:G2953)</f>
        <v/>
      </c>
      <c r="J2953" s="37">
        <f>COUNTIF(H$5:H2953,"Y")/COUNTA(H$5:H2953)</f>
        <v/>
      </c>
      <c r="K2953" s="37">
        <f>AVERAGE(F$5:F2953)</f>
        <v/>
      </c>
      <c r="L2953" s="37">
        <f>SUM(F$5:F2953)/SUM(E$5:E2953)</f>
        <v/>
      </c>
    </row>
    <row r="2954">
      <c r="A2954" s="29" t="n">
        <v>46104</v>
      </c>
      <c r="B2954" s="37" t="inlineStr">
        <is>
          <t>JOB-3950</t>
        </is>
      </c>
      <c r="C2954" s="34" t="n">
        <v>1</v>
      </c>
      <c r="D2954" s="37" t="inlineStr">
        <is>
          <t>Tech D</t>
        </is>
      </c>
      <c r="E2954" s="35" t="n">
        <v>5.1</v>
      </c>
      <c r="F2954" s="35" t="n">
        <v>3.7</v>
      </c>
      <c r="G2954" s="37" t="inlineStr">
        <is>
          <t>Y</t>
        </is>
      </c>
      <c r="H2954" s="37" t="inlineStr">
        <is>
          <t>N</t>
        </is>
      </c>
      <c r="I2954" s="37">
        <f>COUNTIF(G$5:G2954,"Y")/COUNTA(G$5:G2954)</f>
        <v/>
      </c>
      <c r="J2954" s="37">
        <f>COUNTIF(H$5:H2954,"Y")/COUNTA(H$5:H2954)</f>
        <v/>
      </c>
      <c r="K2954" s="37">
        <f>AVERAGE(F$5:F2954)</f>
        <v/>
      </c>
      <c r="L2954" s="37">
        <f>SUM(F$5:F2954)/SUM(E$5:E2954)</f>
        <v/>
      </c>
    </row>
    <row r="2955">
      <c r="A2955" s="29" t="n">
        <v>46105</v>
      </c>
      <c r="B2955" s="37" t="inlineStr">
        <is>
          <t>JOB-3951</t>
        </is>
      </c>
      <c r="C2955" s="34" t="n">
        <v>1</v>
      </c>
      <c r="D2955" s="37" t="inlineStr">
        <is>
          <t>Tech A</t>
        </is>
      </c>
      <c r="E2955" s="35" t="n">
        <v>2.9</v>
      </c>
      <c r="F2955" s="35" t="n">
        <v>2.3</v>
      </c>
      <c r="G2955" s="37" t="inlineStr">
        <is>
          <t>Y</t>
        </is>
      </c>
      <c r="H2955" s="37" t="inlineStr">
        <is>
          <t>N</t>
        </is>
      </c>
      <c r="I2955" s="37">
        <f>COUNTIF(G$5:G2955,"Y")/COUNTA(G$5:G2955)</f>
        <v/>
      </c>
      <c r="J2955" s="37">
        <f>COUNTIF(H$5:H2955,"Y")/COUNTA(H$5:H2955)</f>
        <v/>
      </c>
      <c r="K2955" s="37">
        <f>AVERAGE(F$5:F2955)</f>
        <v/>
      </c>
      <c r="L2955" s="37">
        <f>SUM(F$5:F2955)/SUM(E$5:E2955)</f>
        <v/>
      </c>
    </row>
    <row r="2956">
      <c r="A2956" s="29" t="n">
        <v>46106</v>
      </c>
      <c r="B2956" s="37" t="inlineStr">
        <is>
          <t>JOB-3952</t>
        </is>
      </c>
      <c r="C2956" s="34" t="n">
        <v>1</v>
      </c>
      <c r="D2956" s="37" t="inlineStr">
        <is>
          <t>Tech H</t>
        </is>
      </c>
      <c r="E2956" s="35" t="n">
        <v>1.1</v>
      </c>
      <c r="F2956" s="35" t="n">
        <v>1.6</v>
      </c>
      <c r="G2956" s="37" t="inlineStr">
        <is>
          <t>Y</t>
        </is>
      </c>
      <c r="H2956" s="37" t="inlineStr">
        <is>
          <t>N</t>
        </is>
      </c>
      <c r="I2956" s="37">
        <f>COUNTIF(G$5:G2956,"Y")/COUNTA(G$5:G2956)</f>
        <v/>
      </c>
      <c r="J2956" s="37">
        <f>COUNTIF(H$5:H2956,"Y")/COUNTA(H$5:H2956)</f>
        <v/>
      </c>
      <c r="K2956" s="37">
        <f>AVERAGE(F$5:F2956)</f>
        <v/>
      </c>
      <c r="L2956" s="37">
        <f>SUM(F$5:F2956)/SUM(E$5:E2956)</f>
        <v/>
      </c>
    </row>
    <row r="2957">
      <c r="A2957" s="29" t="n">
        <v>46107</v>
      </c>
      <c r="B2957" s="37" t="inlineStr">
        <is>
          <t>JOB-3953</t>
        </is>
      </c>
      <c r="C2957" s="34" t="n">
        <v>1</v>
      </c>
      <c r="D2957" s="37" t="inlineStr">
        <is>
          <t>Tech C</t>
        </is>
      </c>
      <c r="E2957" s="35" t="n">
        <v>0.5</v>
      </c>
      <c r="F2957" s="35" t="n">
        <v>1.7</v>
      </c>
      <c r="G2957" s="37" t="inlineStr">
        <is>
          <t>Y</t>
        </is>
      </c>
      <c r="H2957" s="37" t="inlineStr">
        <is>
          <t>N</t>
        </is>
      </c>
      <c r="I2957" s="37">
        <f>COUNTIF(G$5:G2957,"Y")/COUNTA(G$5:G2957)</f>
        <v/>
      </c>
      <c r="J2957" s="37">
        <f>COUNTIF(H$5:H2957,"Y")/COUNTA(H$5:H2957)</f>
        <v/>
      </c>
      <c r="K2957" s="37">
        <f>AVERAGE(F$5:F2957)</f>
        <v/>
      </c>
      <c r="L2957" s="37">
        <f>SUM(F$5:F2957)/SUM(E$5:E2957)</f>
        <v/>
      </c>
    </row>
    <row r="2958">
      <c r="A2958" s="29" t="n">
        <v>46108</v>
      </c>
      <c r="B2958" s="37" t="inlineStr">
        <is>
          <t>JOB-3954</t>
        </is>
      </c>
      <c r="C2958" s="34" t="n">
        <v>1</v>
      </c>
      <c r="D2958" s="37" t="inlineStr">
        <is>
          <t>Tech H</t>
        </is>
      </c>
      <c r="E2958" s="35" t="n">
        <v>0.5</v>
      </c>
      <c r="F2958" s="35" t="n">
        <v>0.5</v>
      </c>
      <c r="G2958" s="37" t="inlineStr">
        <is>
          <t>N</t>
        </is>
      </c>
      <c r="H2958" s="37" t="inlineStr">
        <is>
          <t>N</t>
        </is>
      </c>
      <c r="I2958" s="37">
        <f>COUNTIF(G$5:G2958,"Y")/COUNTA(G$5:G2958)</f>
        <v/>
      </c>
      <c r="J2958" s="37">
        <f>COUNTIF(H$5:H2958,"Y")/COUNTA(H$5:H2958)</f>
        <v/>
      </c>
      <c r="K2958" s="37">
        <f>AVERAGE(F$5:F2958)</f>
        <v/>
      </c>
      <c r="L2958" s="37">
        <f>SUM(F$5:F2958)/SUM(E$5:E2958)</f>
        <v/>
      </c>
      <c r="M2958" s="37" t="n">
        <v>14</v>
      </c>
    </row>
    <row r="2959">
      <c r="A2959" s="29" t="n">
        <v>46111</v>
      </c>
      <c r="B2959" s="37" t="inlineStr">
        <is>
          <t>JOB-3955</t>
        </is>
      </c>
      <c r="C2959" s="34" t="n">
        <v>1</v>
      </c>
      <c r="D2959" s="37" t="inlineStr">
        <is>
          <t>Tech F</t>
        </is>
      </c>
      <c r="E2959" s="35" t="n">
        <v>5.2</v>
      </c>
      <c r="F2959" s="35" t="n">
        <v>3.6</v>
      </c>
      <c r="G2959" s="37" t="inlineStr">
        <is>
          <t>Y</t>
        </is>
      </c>
      <c r="H2959" s="37" t="inlineStr">
        <is>
          <t>N</t>
        </is>
      </c>
      <c r="I2959" s="37">
        <f>COUNTIF(G$5:G2959,"Y")/COUNTA(G$5:G2959)</f>
        <v/>
      </c>
      <c r="J2959" s="37">
        <f>COUNTIF(H$5:H2959,"Y")/COUNTA(H$5:H2959)</f>
        <v/>
      </c>
      <c r="K2959" s="37">
        <f>AVERAGE(F$5:F2959)</f>
        <v/>
      </c>
      <c r="L2959" s="37">
        <f>SUM(F$5:F2959)/SUM(E$5:E2959)</f>
        <v/>
      </c>
    </row>
    <row r="2960">
      <c r="A2960" s="29" t="n">
        <v>46112</v>
      </c>
      <c r="B2960" s="37" t="inlineStr">
        <is>
          <t>JOB-3956</t>
        </is>
      </c>
      <c r="C2960" s="34" t="n">
        <v>1</v>
      </c>
      <c r="D2960" s="37" t="inlineStr">
        <is>
          <t>Tech F</t>
        </is>
      </c>
      <c r="E2960" s="35" t="n">
        <v>3.3</v>
      </c>
      <c r="F2960" s="35" t="n">
        <v>2.3</v>
      </c>
      <c r="G2960" s="37" t="inlineStr">
        <is>
          <t>N</t>
        </is>
      </c>
      <c r="H2960" s="37" t="inlineStr">
        <is>
          <t>N</t>
        </is>
      </c>
      <c r="I2960" s="37">
        <f>COUNTIF(G$5:G2960,"Y")/COUNTA(G$5:G2960)</f>
        <v/>
      </c>
      <c r="J2960" s="37">
        <f>COUNTIF(H$5:H2960,"Y")/COUNTA(H$5:H2960)</f>
        <v/>
      </c>
      <c r="K2960" s="37">
        <f>AVERAGE(F$5:F2960)</f>
        <v/>
      </c>
      <c r="L2960" s="37">
        <f>SUM(F$5:F2960)/SUM(E$5:E2960)</f>
        <v/>
      </c>
    </row>
    <row r="2961">
      <c r="A2961" s="29" t="n">
        <v>46113</v>
      </c>
      <c r="B2961" s="37" t="inlineStr">
        <is>
          <t>JOB-3957</t>
        </is>
      </c>
      <c r="C2961" s="34" t="n">
        <v>1</v>
      </c>
      <c r="D2961" s="37" t="inlineStr">
        <is>
          <t>Tech G</t>
        </is>
      </c>
      <c r="E2961" s="35" t="n">
        <v>2.8</v>
      </c>
      <c r="F2961" s="35" t="n">
        <v>2</v>
      </c>
      <c r="G2961" s="37" t="inlineStr">
        <is>
          <t>Y</t>
        </is>
      </c>
      <c r="H2961" s="37" t="inlineStr">
        <is>
          <t>N</t>
        </is>
      </c>
      <c r="I2961" s="37">
        <f>COUNTIF(G$5:G2961,"Y")/COUNTA(G$5:G2961)</f>
        <v/>
      </c>
      <c r="J2961" s="37">
        <f>COUNTIF(H$5:H2961,"Y")/COUNTA(H$5:H2961)</f>
        <v/>
      </c>
      <c r="K2961" s="37">
        <f>AVERAGE(F$5:F2961)</f>
        <v/>
      </c>
      <c r="L2961" s="37">
        <f>SUM(F$5:F2961)/SUM(E$5:E2961)</f>
        <v/>
      </c>
    </row>
    <row r="2962">
      <c r="A2962" s="29" t="n">
        <v>46114</v>
      </c>
      <c r="B2962" s="37" t="inlineStr">
        <is>
          <t>JOB-3958</t>
        </is>
      </c>
      <c r="C2962" s="34" t="n">
        <v>1</v>
      </c>
      <c r="D2962" s="37" t="inlineStr">
        <is>
          <t>Tech F</t>
        </is>
      </c>
      <c r="E2962" s="35" t="n">
        <v>3.5</v>
      </c>
      <c r="F2962" s="35" t="n">
        <v>2.7</v>
      </c>
      <c r="G2962" s="37" t="inlineStr">
        <is>
          <t>Y</t>
        </is>
      </c>
      <c r="H2962" s="37" t="inlineStr">
        <is>
          <t>N</t>
        </is>
      </c>
      <c r="I2962" s="37">
        <f>COUNTIF(G$5:G2962,"Y")/COUNTA(G$5:G2962)</f>
        <v/>
      </c>
      <c r="J2962" s="37">
        <f>COUNTIF(H$5:H2962,"Y")/COUNTA(H$5:H2962)</f>
        <v/>
      </c>
      <c r="K2962" s="37">
        <f>AVERAGE(F$5:F2962)</f>
        <v/>
      </c>
      <c r="L2962" s="37">
        <f>SUM(F$5:F2962)/SUM(E$5:E2962)</f>
        <v/>
      </c>
    </row>
    <row r="2963">
      <c r="A2963" s="29" t="n">
        <v>46115</v>
      </c>
      <c r="B2963" s="37" t="inlineStr">
        <is>
          <t>JOB-3959</t>
        </is>
      </c>
      <c r="C2963" s="34" t="n">
        <v>1</v>
      </c>
      <c r="D2963" s="37" t="inlineStr">
        <is>
          <t>Tech D</t>
        </is>
      </c>
      <c r="E2963" s="35" t="n">
        <v>4.4</v>
      </c>
      <c r="F2963" s="35" t="n">
        <v>3.3</v>
      </c>
      <c r="G2963" s="37" t="inlineStr">
        <is>
          <t>Y</t>
        </is>
      </c>
      <c r="H2963" s="37" t="inlineStr">
        <is>
          <t>N</t>
        </is>
      </c>
      <c r="I2963" s="37">
        <f>COUNTIF(G$5:G2963,"Y")/COUNTA(G$5:G2963)</f>
        <v/>
      </c>
      <c r="J2963" s="37">
        <f>COUNTIF(H$5:H2963,"Y")/COUNTA(H$5:H2963)</f>
        <v/>
      </c>
      <c r="K2963" s="37">
        <f>AVERAGE(F$5:F2963)</f>
        <v/>
      </c>
      <c r="L2963" s="37">
        <f>SUM(F$5:F2963)/SUM(E$5:E2963)</f>
        <v/>
      </c>
    </row>
    <row r="2964">
      <c r="A2964" s="29" t="n">
        <v>46111</v>
      </c>
      <c r="B2964" s="37" t="inlineStr">
        <is>
          <t>JOB-3960</t>
        </is>
      </c>
      <c r="C2964" s="34" t="n">
        <v>1</v>
      </c>
      <c r="D2964" s="37" t="inlineStr">
        <is>
          <t>Tech F</t>
        </is>
      </c>
      <c r="E2964" s="35" t="n">
        <v>3</v>
      </c>
      <c r="F2964" s="35" t="n">
        <v>2.3</v>
      </c>
      <c r="G2964" s="37" t="inlineStr">
        <is>
          <t>Y</t>
        </is>
      </c>
      <c r="H2964" s="37" t="inlineStr">
        <is>
          <t>N</t>
        </is>
      </c>
      <c r="I2964" s="37">
        <f>COUNTIF(G$5:G2964,"Y")/COUNTA(G$5:G2964)</f>
        <v/>
      </c>
      <c r="J2964" s="37">
        <f>COUNTIF(H$5:H2964,"Y")/COUNTA(H$5:H2964)</f>
        <v/>
      </c>
      <c r="K2964" s="37">
        <f>AVERAGE(F$5:F2964)</f>
        <v/>
      </c>
      <c r="L2964" s="37">
        <f>SUM(F$5:F2964)/SUM(E$5:E2964)</f>
        <v/>
      </c>
    </row>
    <row r="2965">
      <c r="A2965" s="29" t="n">
        <v>46112</v>
      </c>
      <c r="B2965" s="37" t="inlineStr">
        <is>
          <t>JOB-3961</t>
        </is>
      </c>
      <c r="C2965" s="34" t="n">
        <v>1</v>
      </c>
      <c r="D2965" s="37" t="inlineStr">
        <is>
          <t>Tech F</t>
        </is>
      </c>
      <c r="E2965" s="35" t="n">
        <v>1.7</v>
      </c>
      <c r="F2965" s="35" t="n">
        <v>1.4</v>
      </c>
      <c r="G2965" s="37" t="inlineStr">
        <is>
          <t>Y</t>
        </is>
      </c>
      <c r="H2965" s="37" t="inlineStr">
        <is>
          <t>N</t>
        </is>
      </c>
      <c r="I2965" s="37">
        <f>COUNTIF(G$5:G2965,"Y")/COUNTA(G$5:G2965)</f>
        <v/>
      </c>
      <c r="J2965" s="37">
        <f>COUNTIF(H$5:H2965,"Y")/COUNTA(H$5:H2965)</f>
        <v/>
      </c>
      <c r="K2965" s="37">
        <f>AVERAGE(F$5:F2965)</f>
        <v/>
      </c>
      <c r="L2965" s="37">
        <f>SUM(F$5:F2965)/SUM(E$5:E2965)</f>
        <v/>
      </c>
    </row>
    <row r="2966">
      <c r="A2966" s="29" t="n">
        <v>46113</v>
      </c>
      <c r="B2966" s="37" t="inlineStr">
        <is>
          <t>JOB-3962</t>
        </is>
      </c>
      <c r="C2966" s="34" t="n">
        <v>1</v>
      </c>
      <c r="D2966" s="37" t="inlineStr">
        <is>
          <t>Tech G</t>
        </is>
      </c>
      <c r="E2966" s="35" t="n">
        <v>4.7</v>
      </c>
      <c r="F2966" s="35" t="n">
        <v>3.2</v>
      </c>
      <c r="G2966" s="37" t="inlineStr">
        <is>
          <t>Y</t>
        </is>
      </c>
      <c r="H2966" s="37" t="inlineStr">
        <is>
          <t>N</t>
        </is>
      </c>
      <c r="I2966" s="37">
        <f>COUNTIF(G$5:G2966,"Y")/COUNTA(G$5:G2966)</f>
        <v/>
      </c>
      <c r="J2966" s="37">
        <f>COUNTIF(H$5:H2966,"Y")/COUNTA(H$5:H2966)</f>
        <v/>
      </c>
      <c r="K2966" s="37">
        <f>AVERAGE(F$5:F2966)</f>
        <v/>
      </c>
      <c r="L2966" s="37">
        <f>SUM(F$5:F2966)/SUM(E$5:E2966)</f>
        <v/>
      </c>
    </row>
    <row r="2967">
      <c r="A2967" s="29" t="n">
        <v>46114</v>
      </c>
      <c r="B2967" s="37" t="inlineStr">
        <is>
          <t>JOB-3963</t>
        </is>
      </c>
      <c r="C2967" s="34" t="n">
        <v>1</v>
      </c>
      <c r="D2967" s="37" t="inlineStr">
        <is>
          <t>Tech H</t>
        </is>
      </c>
      <c r="E2967" s="35" t="n">
        <v>1.9</v>
      </c>
      <c r="F2967" s="35" t="n">
        <v>1.6</v>
      </c>
      <c r="G2967" s="37" t="inlineStr">
        <is>
          <t>Y</t>
        </is>
      </c>
      <c r="H2967" s="37" t="inlineStr">
        <is>
          <t>N</t>
        </is>
      </c>
      <c r="I2967" s="37">
        <f>COUNTIF(G$5:G2967,"Y")/COUNTA(G$5:G2967)</f>
        <v/>
      </c>
      <c r="J2967" s="37">
        <f>COUNTIF(H$5:H2967,"Y")/COUNTA(H$5:H2967)</f>
        <v/>
      </c>
      <c r="K2967" s="37">
        <f>AVERAGE(F$5:F2967)</f>
        <v/>
      </c>
      <c r="L2967" s="37">
        <f>SUM(F$5:F2967)/SUM(E$5:E2967)</f>
        <v/>
      </c>
    </row>
    <row r="2968">
      <c r="A2968" s="29" t="n">
        <v>46115</v>
      </c>
      <c r="B2968" s="37" t="inlineStr">
        <is>
          <t>JOB-3964</t>
        </is>
      </c>
      <c r="C2968" s="34" t="n">
        <v>1</v>
      </c>
      <c r="D2968" s="37" t="inlineStr">
        <is>
          <t>Tech D</t>
        </is>
      </c>
      <c r="E2968" s="35" t="n">
        <v>2.9</v>
      </c>
      <c r="F2968" s="35" t="n">
        <v>2.6</v>
      </c>
      <c r="G2968" s="37" t="inlineStr">
        <is>
          <t>Y</t>
        </is>
      </c>
      <c r="H2968" s="37" t="inlineStr">
        <is>
          <t>N</t>
        </is>
      </c>
      <c r="I2968" s="37">
        <f>COUNTIF(G$5:G2968,"Y")/COUNTA(G$5:G2968)</f>
        <v/>
      </c>
      <c r="J2968" s="37">
        <f>COUNTIF(H$5:H2968,"Y")/COUNTA(H$5:H2968)</f>
        <v/>
      </c>
      <c r="K2968" s="37">
        <f>AVERAGE(F$5:F2968)</f>
        <v/>
      </c>
      <c r="L2968" s="37">
        <f>SUM(F$5:F2968)/SUM(E$5:E2968)</f>
        <v/>
      </c>
    </row>
    <row r="2969">
      <c r="A2969" s="29" t="n">
        <v>46111</v>
      </c>
      <c r="B2969" s="37" t="inlineStr">
        <is>
          <t>JOB-3965</t>
        </is>
      </c>
      <c r="C2969" s="34" t="n">
        <v>1</v>
      </c>
      <c r="D2969" s="37" t="inlineStr">
        <is>
          <t>Tech A</t>
        </is>
      </c>
      <c r="E2969" s="35" t="n">
        <v>3.5</v>
      </c>
      <c r="F2969" s="35" t="n">
        <v>2.9</v>
      </c>
      <c r="G2969" s="37" t="inlineStr">
        <is>
          <t>Y</t>
        </is>
      </c>
      <c r="H2969" s="37" t="inlineStr">
        <is>
          <t>N</t>
        </is>
      </c>
      <c r="I2969" s="37">
        <f>COUNTIF(G$5:G2969,"Y")/COUNTA(G$5:G2969)</f>
        <v/>
      </c>
      <c r="J2969" s="37">
        <f>COUNTIF(H$5:H2969,"Y")/COUNTA(H$5:H2969)</f>
        <v/>
      </c>
      <c r="K2969" s="37">
        <f>AVERAGE(F$5:F2969)</f>
        <v/>
      </c>
      <c r="L2969" s="37">
        <f>SUM(F$5:F2969)/SUM(E$5:E2969)</f>
        <v/>
      </c>
    </row>
    <row r="2970">
      <c r="A2970" s="29" t="n">
        <v>46112</v>
      </c>
      <c r="B2970" s="37" t="inlineStr">
        <is>
          <t>JOB-3966</t>
        </is>
      </c>
      <c r="C2970" s="34" t="n">
        <v>1</v>
      </c>
      <c r="D2970" s="37" t="inlineStr">
        <is>
          <t>Tech F</t>
        </is>
      </c>
      <c r="E2970" s="35" t="n">
        <v>4.7</v>
      </c>
      <c r="F2970" s="35" t="n">
        <v>3.9</v>
      </c>
      <c r="G2970" s="37" t="inlineStr">
        <is>
          <t>Y</t>
        </is>
      </c>
      <c r="H2970" s="37" t="inlineStr">
        <is>
          <t>N</t>
        </is>
      </c>
      <c r="I2970" s="37">
        <f>COUNTIF(G$5:G2970,"Y")/COUNTA(G$5:G2970)</f>
        <v/>
      </c>
      <c r="J2970" s="37">
        <f>COUNTIF(H$5:H2970,"Y")/COUNTA(H$5:H2970)</f>
        <v/>
      </c>
      <c r="K2970" s="37">
        <f>AVERAGE(F$5:F2970)</f>
        <v/>
      </c>
      <c r="L2970" s="37">
        <f>SUM(F$5:F2970)/SUM(E$5:E2970)</f>
        <v/>
      </c>
    </row>
    <row r="2971">
      <c r="A2971" s="29" t="n">
        <v>46113</v>
      </c>
      <c r="B2971" s="37" t="inlineStr">
        <is>
          <t>JOB-3967</t>
        </is>
      </c>
      <c r="C2971" s="34" t="n">
        <v>1</v>
      </c>
      <c r="D2971" s="37" t="inlineStr">
        <is>
          <t>Tech A</t>
        </is>
      </c>
      <c r="E2971" s="35" t="n">
        <v>3.8</v>
      </c>
      <c r="F2971" s="35" t="n">
        <v>2.6</v>
      </c>
      <c r="G2971" s="37" t="inlineStr">
        <is>
          <t>Y</t>
        </is>
      </c>
      <c r="H2971" s="37" t="inlineStr">
        <is>
          <t>N</t>
        </is>
      </c>
      <c r="I2971" s="37">
        <f>COUNTIF(G$5:G2971,"Y")/COUNTA(G$5:G2971)</f>
        <v/>
      </c>
      <c r="J2971" s="37">
        <f>COUNTIF(H$5:H2971,"Y")/COUNTA(H$5:H2971)</f>
        <v/>
      </c>
      <c r="K2971" s="37">
        <f>AVERAGE(F$5:F2971)</f>
        <v/>
      </c>
      <c r="L2971" s="37">
        <f>SUM(F$5:F2971)/SUM(E$5:E2971)</f>
        <v/>
      </c>
    </row>
    <row r="2972">
      <c r="A2972" s="29" t="n">
        <v>46114</v>
      </c>
      <c r="B2972" s="37" t="inlineStr">
        <is>
          <t>JOB-3968</t>
        </is>
      </c>
      <c r="C2972" s="34" t="n">
        <v>1</v>
      </c>
      <c r="D2972" s="37" t="inlineStr">
        <is>
          <t>Tech F</t>
        </is>
      </c>
      <c r="E2972" s="35" t="n">
        <v>2.1</v>
      </c>
      <c r="F2972" s="35" t="n">
        <v>1.5</v>
      </c>
      <c r="G2972" s="37" t="inlineStr">
        <is>
          <t>Y</t>
        </is>
      </c>
      <c r="H2972" s="37" t="inlineStr">
        <is>
          <t>N</t>
        </is>
      </c>
      <c r="I2972" s="37">
        <f>COUNTIF(G$5:G2972,"Y")/COUNTA(G$5:G2972)</f>
        <v/>
      </c>
      <c r="J2972" s="37">
        <f>COUNTIF(H$5:H2972,"Y")/COUNTA(H$5:H2972)</f>
        <v/>
      </c>
      <c r="K2972" s="37">
        <f>AVERAGE(F$5:F2972)</f>
        <v/>
      </c>
      <c r="L2972" s="37">
        <f>SUM(F$5:F2972)/SUM(E$5:E2972)</f>
        <v/>
      </c>
    </row>
    <row r="2973">
      <c r="A2973" s="29" t="n">
        <v>46115</v>
      </c>
      <c r="B2973" s="37" t="inlineStr">
        <is>
          <t>JOB-3969</t>
        </is>
      </c>
      <c r="C2973" s="34" t="n">
        <v>1</v>
      </c>
      <c r="D2973" s="37" t="inlineStr">
        <is>
          <t>Tech G</t>
        </is>
      </c>
      <c r="E2973" s="35" t="n">
        <v>3.5</v>
      </c>
      <c r="F2973" s="35" t="n">
        <v>2.8</v>
      </c>
      <c r="G2973" s="37" t="inlineStr">
        <is>
          <t>Y</t>
        </is>
      </c>
      <c r="H2973" s="37" t="inlineStr">
        <is>
          <t>Y</t>
        </is>
      </c>
      <c r="I2973" s="37">
        <f>COUNTIF(G$5:G2973,"Y")/COUNTA(G$5:G2973)</f>
        <v/>
      </c>
      <c r="J2973" s="37">
        <f>COUNTIF(H$5:H2973,"Y")/COUNTA(H$5:H2973)</f>
        <v/>
      </c>
      <c r="K2973" s="37">
        <f>AVERAGE(F$5:F2973)</f>
        <v/>
      </c>
      <c r="L2973" s="37">
        <f>SUM(F$5:F2973)/SUM(E$5:E2973)</f>
        <v/>
      </c>
    </row>
    <row r="2974">
      <c r="A2974" s="29" t="n">
        <v>46111</v>
      </c>
      <c r="B2974" s="37" t="inlineStr">
        <is>
          <t>JOB-3970</t>
        </is>
      </c>
      <c r="C2974" s="34" t="n">
        <v>1</v>
      </c>
      <c r="D2974" s="37" t="inlineStr">
        <is>
          <t>Tech G</t>
        </is>
      </c>
      <c r="E2974" s="35" t="n">
        <v>6</v>
      </c>
      <c r="F2974" s="35" t="n">
        <v>4.1</v>
      </c>
      <c r="G2974" s="37" t="inlineStr">
        <is>
          <t>N</t>
        </is>
      </c>
      <c r="H2974" s="37" t="inlineStr">
        <is>
          <t>Y</t>
        </is>
      </c>
      <c r="I2974" s="37">
        <f>COUNTIF(G$5:G2974,"Y")/COUNTA(G$5:G2974)</f>
        <v/>
      </c>
      <c r="J2974" s="37">
        <f>COUNTIF(H$5:H2974,"Y")/COUNTA(H$5:H2974)</f>
        <v/>
      </c>
      <c r="K2974" s="37">
        <f>AVERAGE(F$5:F2974)</f>
        <v/>
      </c>
      <c r="L2974" s="37">
        <f>SUM(F$5:F2974)/SUM(E$5:E2974)</f>
        <v/>
      </c>
    </row>
    <row r="2975">
      <c r="A2975" s="29" t="n">
        <v>46112</v>
      </c>
      <c r="B2975" s="37" t="inlineStr">
        <is>
          <t>JOB-3971</t>
        </is>
      </c>
      <c r="C2975" s="34" t="n">
        <v>1</v>
      </c>
      <c r="D2975" s="37" t="inlineStr">
        <is>
          <t>Tech H</t>
        </is>
      </c>
      <c r="E2975" s="35" t="n">
        <v>2.5</v>
      </c>
      <c r="F2975" s="35" t="n">
        <v>1.8</v>
      </c>
      <c r="G2975" s="37" t="inlineStr">
        <is>
          <t>Y</t>
        </is>
      </c>
      <c r="H2975" s="37" t="inlineStr">
        <is>
          <t>N</t>
        </is>
      </c>
      <c r="I2975" s="37">
        <f>COUNTIF(G$5:G2975,"Y")/COUNTA(G$5:G2975)</f>
        <v/>
      </c>
      <c r="J2975" s="37">
        <f>COUNTIF(H$5:H2975,"Y")/COUNTA(H$5:H2975)</f>
        <v/>
      </c>
      <c r="K2975" s="37">
        <f>AVERAGE(F$5:F2975)</f>
        <v/>
      </c>
      <c r="L2975" s="37">
        <f>SUM(F$5:F2975)/SUM(E$5:E2975)</f>
        <v/>
      </c>
    </row>
    <row r="2976">
      <c r="A2976" s="29" t="n">
        <v>46113</v>
      </c>
      <c r="B2976" s="37" t="inlineStr">
        <is>
          <t>JOB-3972</t>
        </is>
      </c>
      <c r="C2976" s="34" t="n">
        <v>1</v>
      </c>
      <c r="D2976" s="37" t="inlineStr">
        <is>
          <t>Tech A</t>
        </is>
      </c>
      <c r="E2976" s="35" t="n">
        <v>2.1</v>
      </c>
      <c r="F2976" s="35" t="n">
        <v>1.9</v>
      </c>
      <c r="G2976" s="37" t="inlineStr">
        <is>
          <t>Y</t>
        </is>
      </c>
      <c r="H2976" s="37" t="inlineStr">
        <is>
          <t>N</t>
        </is>
      </c>
      <c r="I2976" s="37">
        <f>COUNTIF(G$5:G2976,"Y")/COUNTA(G$5:G2976)</f>
        <v/>
      </c>
      <c r="J2976" s="37">
        <f>COUNTIF(H$5:H2976,"Y")/COUNTA(H$5:H2976)</f>
        <v/>
      </c>
      <c r="K2976" s="37">
        <f>AVERAGE(F$5:F2976)</f>
        <v/>
      </c>
      <c r="L2976" s="37">
        <f>SUM(F$5:F2976)/SUM(E$5:E2976)</f>
        <v/>
      </c>
    </row>
    <row r="2977">
      <c r="A2977" s="29" t="n">
        <v>46114</v>
      </c>
      <c r="B2977" s="37" t="inlineStr">
        <is>
          <t>JOB-3973</t>
        </is>
      </c>
      <c r="C2977" s="34" t="n">
        <v>1</v>
      </c>
      <c r="D2977" s="37" t="inlineStr">
        <is>
          <t>Tech F</t>
        </is>
      </c>
      <c r="E2977" s="35" t="n">
        <v>4.3</v>
      </c>
      <c r="F2977" s="35" t="n">
        <v>3.5</v>
      </c>
      <c r="G2977" s="37" t="inlineStr">
        <is>
          <t>Y</t>
        </is>
      </c>
      <c r="H2977" s="37" t="inlineStr">
        <is>
          <t>N</t>
        </is>
      </c>
      <c r="I2977" s="37">
        <f>COUNTIF(G$5:G2977,"Y")/COUNTA(G$5:G2977)</f>
        <v/>
      </c>
      <c r="J2977" s="37">
        <f>COUNTIF(H$5:H2977,"Y")/COUNTA(H$5:H2977)</f>
        <v/>
      </c>
      <c r="K2977" s="37">
        <f>AVERAGE(F$5:F2977)</f>
        <v/>
      </c>
      <c r="L2977" s="37">
        <f>SUM(F$5:F2977)/SUM(E$5:E2977)</f>
        <v/>
      </c>
    </row>
    <row r="2978">
      <c r="A2978" s="29" t="n">
        <v>46115</v>
      </c>
      <c r="B2978" s="37" t="inlineStr">
        <is>
          <t>JOB-3974</t>
        </is>
      </c>
      <c r="C2978" s="34" t="n">
        <v>1</v>
      </c>
      <c r="D2978" s="37" t="inlineStr">
        <is>
          <t>Tech A</t>
        </is>
      </c>
      <c r="E2978" s="35" t="n">
        <v>3.6</v>
      </c>
      <c r="F2978" s="35" t="n">
        <v>3.1</v>
      </c>
      <c r="G2978" s="37" t="inlineStr">
        <is>
          <t>N</t>
        </is>
      </c>
      <c r="H2978" s="37" t="inlineStr">
        <is>
          <t>N</t>
        </is>
      </c>
      <c r="I2978" s="37">
        <f>COUNTIF(G$5:G2978,"Y")/COUNTA(G$5:G2978)</f>
        <v/>
      </c>
      <c r="J2978" s="37">
        <f>COUNTIF(H$5:H2978,"Y")/COUNTA(H$5:H2978)</f>
        <v/>
      </c>
      <c r="K2978" s="37">
        <f>AVERAGE(F$5:F2978)</f>
        <v/>
      </c>
      <c r="L2978" s="37">
        <f>SUM(F$5:F2978)/SUM(E$5:E2978)</f>
        <v/>
      </c>
    </row>
    <row r="2979">
      <c r="A2979" s="29" t="n">
        <v>46111</v>
      </c>
      <c r="B2979" s="37" t="inlineStr">
        <is>
          <t>JOB-3975</t>
        </is>
      </c>
      <c r="C2979" s="34" t="n">
        <v>1</v>
      </c>
      <c r="D2979" s="37" t="inlineStr">
        <is>
          <t>Tech A</t>
        </is>
      </c>
      <c r="E2979" s="35" t="n">
        <v>5</v>
      </c>
      <c r="F2979" s="35" t="n">
        <v>3.9</v>
      </c>
      <c r="G2979" s="37" t="inlineStr">
        <is>
          <t>Y</t>
        </is>
      </c>
      <c r="H2979" s="37" t="inlineStr">
        <is>
          <t>N</t>
        </is>
      </c>
      <c r="I2979" s="37">
        <f>COUNTIF(G$5:G2979,"Y")/COUNTA(G$5:G2979)</f>
        <v/>
      </c>
      <c r="J2979" s="37">
        <f>COUNTIF(H$5:H2979,"Y")/COUNTA(H$5:H2979)</f>
        <v/>
      </c>
      <c r="K2979" s="37">
        <f>AVERAGE(F$5:F2979)</f>
        <v/>
      </c>
      <c r="L2979" s="37">
        <f>SUM(F$5:F2979)/SUM(E$5:E2979)</f>
        <v/>
      </c>
    </row>
    <row r="2980">
      <c r="A2980" s="29" t="n">
        <v>46112</v>
      </c>
      <c r="B2980" s="37" t="inlineStr">
        <is>
          <t>JOB-3976</t>
        </is>
      </c>
      <c r="C2980" s="34" t="n">
        <v>1</v>
      </c>
      <c r="D2980" s="37" t="inlineStr">
        <is>
          <t>Tech G</t>
        </is>
      </c>
      <c r="E2980" s="35" t="n">
        <v>4.5</v>
      </c>
      <c r="F2980" s="35" t="n">
        <v>3.7</v>
      </c>
      <c r="G2980" s="37" t="inlineStr">
        <is>
          <t>Y</t>
        </is>
      </c>
      <c r="H2980" s="37" t="inlineStr">
        <is>
          <t>N</t>
        </is>
      </c>
      <c r="I2980" s="37">
        <f>COUNTIF(G$5:G2980,"Y")/COUNTA(G$5:G2980)</f>
        <v/>
      </c>
      <c r="J2980" s="37">
        <f>COUNTIF(H$5:H2980,"Y")/COUNTA(H$5:H2980)</f>
        <v/>
      </c>
      <c r="K2980" s="37">
        <f>AVERAGE(F$5:F2980)</f>
        <v/>
      </c>
      <c r="L2980" s="37">
        <f>SUM(F$5:F2980)/SUM(E$5:E2980)</f>
        <v/>
      </c>
    </row>
    <row r="2981">
      <c r="A2981" s="29" t="n">
        <v>46113</v>
      </c>
      <c r="B2981" s="37" t="inlineStr">
        <is>
          <t>JOB-3977</t>
        </is>
      </c>
      <c r="C2981" s="34" t="n">
        <v>1</v>
      </c>
      <c r="D2981" s="37" t="inlineStr">
        <is>
          <t>Tech B</t>
        </is>
      </c>
      <c r="E2981" s="35" t="n">
        <v>2.8</v>
      </c>
      <c r="F2981" s="35" t="n">
        <v>1.9</v>
      </c>
      <c r="G2981" s="37" t="inlineStr">
        <is>
          <t>Y</t>
        </is>
      </c>
      <c r="H2981" s="37" t="inlineStr">
        <is>
          <t>N</t>
        </is>
      </c>
      <c r="I2981" s="37">
        <f>COUNTIF(G$5:G2981,"Y")/COUNTA(G$5:G2981)</f>
        <v/>
      </c>
      <c r="J2981" s="37">
        <f>COUNTIF(H$5:H2981,"Y")/COUNTA(H$5:H2981)</f>
        <v/>
      </c>
      <c r="K2981" s="37">
        <f>AVERAGE(F$5:F2981)</f>
        <v/>
      </c>
      <c r="L2981" s="37">
        <f>SUM(F$5:F2981)/SUM(E$5:E2981)</f>
        <v/>
      </c>
    </row>
    <row r="2982">
      <c r="A2982" s="29" t="n">
        <v>46114</v>
      </c>
      <c r="B2982" s="37" t="inlineStr">
        <is>
          <t>JOB-3978</t>
        </is>
      </c>
      <c r="C2982" s="34" t="n">
        <v>1</v>
      </c>
      <c r="D2982" s="37" t="inlineStr">
        <is>
          <t>Tech C</t>
        </is>
      </c>
      <c r="E2982" s="35" t="n">
        <v>3.6</v>
      </c>
      <c r="F2982" s="35" t="n">
        <v>2.9</v>
      </c>
      <c r="G2982" s="37" t="inlineStr">
        <is>
          <t>Y</t>
        </is>
      </c>
      <c r="H2982" s="37" t="inlineStr">
        <is>
          <t>N</t>
        </is>
      </c>
      <c r="I2982" s="37">
        <f>COUNTIF(G$5:G2982,"Y")/COUNTA(G$5:G2982)</f>
        <v/>
      </c>
      <c r="J2982" s="37">
        <f>COUNTIF(H$5:H2982,"Y")/COUNTA(H$5:H2982)</f>
        <v/>
      </c>
      <c r="K2982" s="37">
        <f>AVERAGE(F$5:F2982)</f>
        <v/>
      </c>
      <c r="L2982" s="37">
        <f>SUM(F$5:F2982)/SUM(E$5:E2982)</f>
        <v/>
      </c>
    </row>
    <row r="2983">
      <c r="A2983" s="29" t="n">
        <v>46115</v>
      </c>
      <c r="B2983" s="37" t="inlineStr">
        <is>
          <t>JOB-3979</t>
        </is>
      </c>
      <c r="C2983" s="34" t="n">
        <v>1</v>
      </c>
      <c r="D2983" s="37" t="inlineStr">
        <is>
          <t>Tech F</t>
        </is>
      </c>
      <c r="E2983" s="35" t="n">
        <v>1.7</v>
      </c>
      <c r="F2983" s="35" t="n">
        <v>1.5</v>
      </c>
      <c r="G2983" s="37" t="inlineStr">
        <is>
          <t>Y</t>
        </is>
      </c>
      <c r="H2983" s="37" t="inlineStr">
        <is>
          <t>N</t>
        </is>
      </c>
      <c r="I2983" s="37">
        <f>COUNTIF(G$5:G2983,"Y")/COUNTA(G$5:G2983)</f>
        <v/>
      </c>
      <c r="J2983" s="37">
        <f>COUNTIF(H$5:H2983,"Y")/COUNTA(H$5:H2983)</f>
        <v/>
      </c>
      <c r="K2983" s="37">
        <f>AVERAGE(F$5:F2983)</f>
        <v/>
      </c>
      <c r="L2983" s="37">
        <f>SUM(F$5:F2983)/SUM(E$5:E2983)</f>
        <v/>
      </c>
    </row>
    <row r="2984">
      <c r="A2984" s="29" t="n">
        <v>46111</v>
      </c>
      <c r="B2984" s="37" t="inlineStr">
        <is>
          <t>JOB-3980</t>
        </is>
      </c>
      <c r="C2984" s="34" t="n">
        <v>1</v>
      </c>
      <c r="D2984" s="37" t="inlineStr">
        <is>
          <t>Tech H</t>
        </is>
      </c>
      <c r="E2984" s="35" t="n">
        <v>4.2</v>
      </c>
      <c r="F2984" s="35" t="n">
        <v>3.2</v>
      </c>
      <c r="G2984" s="37" t="inlineStr">
        <is>
          <t>Y</t>
        </is>
      </c>
      <c r="H2984" s="37" t="inlineStr">
        <is>
          <t>N</t>
        </is>
      </c>
      <c r="I2984" s="37">
        <f>COUNTIF(G$5:G2984,"Y")/COUNTA(G$5:G2984)</f>
        <v/>
      </c>
      <c r="J2984" s="37">
        <f>COUNTIF(H$5:H2984,"Y")/COUNTA(H$5:H2984)</f>
        <v/>
      </c>
      <c r="K2984" s="37">
        <f>AVERAGE(F$5:F2984)</f>
        <v/>
      </c>
      <c r="L2984" s="37">
        <f>SUM(F$5:F2984)/SUM(E$5:E2984)</f>
        <v/>
      </c>
    </row>
    <row r="2985">
      <c r="A2985" s="29" t="n">
        <v>46112</v>
      </c>
      <c r="B2985" s="37" t="inlineStr">
        <is>
          <t>JOB-3981</t>
        </is>
      </c>
      <c r="C2985" s="34" t="n">
        <v>1</v>
      </c>
      <c r="D2985" s="37" t="inlineStr">
        <is>
          <t>Tech H</t>
        </is>
      </c>
      <c r="E2985" s="35" t="n">
        <v>5.2</v>
      </c>
      <c r="F2985" s="35" t="n">
        <v>3.8</v>
      </c>
      <c r="G2985" s="37" t="inlineStr">
        <is>
          <t>Y</t>
        </is>
      </c>
      <c r="H2985" s="37" t="inlineStr">
        <is>
          <t>N</t>
        </is>
      </c>
      <c r="I2985" s="37">
        <f>COUNTIF(G$5:G2985,"Y")/COUNTA(G$5:G2985)</f>
        <v/>
      </c>
      <c r="J2985" s="37">
        <f>COUNTIF(H$5:H2985,"Y")/COUNTA(H$5:H2985)</f>
        <v/>
      </c>
      <c r="K2985" s="37">
        <f>AVERAGE(F$5:F2985)</f>
        <v/>
      </c>
      <c r="L2985" s="37">
        <f>SUM(F$5:F2985)/SUM(E$5:E2985)</f>
        <v/>
      </c>
    </row>
    <row r="2986">
      <c r="A2986" s="29" t="n">
        <v>46113</v>
      </c>
      <c r="B2986" s="37" t="inlineStr">
        <is>
          <t>JOB-3982</t>
        </is>
      </c>
      <c r="C2986" s="34" t="n">
        <v>1</v>
      </c>
      <c r="D2986" s="37" t="inlineStr">
        <is>
          <t>Tech F</t>
        </is>
      </c>
      <c r="E2986" s="35" t="n">
        <v>2.5</v>
      </c>
      <c r="F2986" s="35" t="n">
        <v>1.7</v>
      </c>
      <c r="G2986" s="37" t="inlineStr">
        <is>
          <t>Y</t>
        </is>
      </c>
      <c r="H2986" s="37" t="inlineStr">
        <is>
          <t>N</t>
        </is>
      </c>
      <c r="I2986" s="37">
        <f>COUNTIF(G$5:G2986,"Y")/COUNTA(G$5:G2986)</f>
        <v/>
      </c>
      <c r="J2986" s="37">
        <f>COUNTIF(H$5:H2986,"Y")/COUNTA(H$5:H2986)</f>
        <v/>
      </c>
      <c r="K2986" s="37">
        <f>AVERAGE(F$5:F2986)</f>
        <v/>
      </c>
      <c r="L2986" s="37">
        <f>SUM(F$5:F2986)/SUM(E$5:E2986)</f>
        <v/>
      </c>
    </row>
    <row r="2987">
      <c r="A2987" s="29" t="n">
        <v>46114</v>
      </c>
      <c r="B2987" s="37" t="inlineStr">
        <is>
          <t>JOB-3983</t>
        </is>
      </c>
      <c r="C2987" s="34" t="n">
        <v>1</v>
      </c>
      <c r="D2987" s="37" t="inlineStr">
        <is>
          <t>Tech D</t>
        </is>
      </c>
      <c r="E2987" s="35" t="n">
        <v>4.4</v>
      </c>
      <c r="F2987" s="35" t="n">
        <v>3.1</v>
      </c>
      <c r="G2987" s="37" t="inlineStr">
        <is>
          <t>Y</t>
        </is>
      </c>
      <c r="H2987" s="37" t="inlineStr">
        <is>
          <t>N</t>
        </is>
      </c>
      <c r="I2987" s="37">
        <f>COUNTIF(G$5:G2987,"Y")/COUNTA(G$5:G2987)</f>
        <v/>
      </c>
      <c r="J2987" s="37">
        <f>COUNTIF(H$5:H2987,"Y")/COUNTA(H$5:H2987)</f>
        <v/>
      </c>
      <c r="K2987" s="37">
        <f>AVERAGE(F$5:F2987)</f>
        <v/>
      </c>
      <c r="L2987" s="37">
        <f>SUM(F$5:F2987)/SUM(E$5:E2987)</f>
        <v/>
      </c>
    </row>
    <row r="2988">
      <c r="A2988" s="29" t="n">
        <v>46115</v>
      </c>
      <c r="B2988" s="37" t="inlineStr">
        <is>
          <t>JOB-3984</t>
        </is>
      </c>
      <c r="C2988" s="34" t="n">
        <v>1</v>
      </c>
      <c r="D2988" s="37" t="inlineStr">
        <is>
          <t>Tech G</t>
        </is>
      </c>
      <c r="E2988" s="35" t="n">
        <v>3.1</v>
      </c>
      <c r="F2988" s="35" t="n">
        <v>2.1</v>
      </c>
      <c r="G2988" s="37" t="inlineStr">
        <is>
          <t>Y</t>
        </is>
      </c>
      <c r="H2988" s="37" t="inlineStr">
        <is>
          <t>N</t>
        </is>
      </c>
      <c r="I2988" s="37">
        <f>COUNTIF(G$5:G2988,"Y")/COUNTA(G$5:G2988)</f>
        <v/>
      </c>
      <c r="J2988" s="37">
        <f>COUNTIF(H$5:H2988,"Y")/COUNTA(H$5:H2988)</f>
        <v/>
      </c>
      <c r="K2988" s="37">
        <f>AVERAGE(F$5:F2988)</f>
        <v/>
      </c>
      <c r="L2988" s="37">
        <f>SUM(F$5:F2988)/SUM(E$5:E2988)</f>
        <v/>
      </c>
    </row>
    <row r="2989">
      <c r="A2989" s="29" t="n">
        <v>46111</v>
      </c>
      <c r="B2989" s="37" t="inlineStr">
        <is>
          <t>JOB-3985</t>
        </is>
      </c>
      <c r="C2989" s="34" t="n">
        <v>1</v>
      </c>
      <c r="D2989" s="37" t="inlineStr">
        <is>
          <t>Tech D</t>
        </is>
      </c>
      <c r="E2989" s="35" t="n">
        <v>5</v>
      </c>
      <c r="F2989" s="35" t="n">
        <v>4.2</v>
      </c>
      <c r="G2989" s="37" t="inlineStr">
        <is>
          <t>Y</t>
        </is>
      </c>
      <c r="H2989" s="37" t="inlineStr">
        <is>
          <t>N</t>
        </is>
      </c>
      <c r="I2989" s="37">
        <f>COUNTIF(G$5:G2989,"Y")/COUNTA(G$5:G2989)</f>
        <v/>
      </c>
      <c r="J2989" s="37">
        <f>COUNTIF(H$5:H2989,"Y")/COUNTA(H$5:H2989)</f>
        <v/>
      </c>
      <c r="K2989" s="37">
        <f>AVERAGE(F$5:F2989)</f>
        <v/>
      </c>
      <c r="L2989" s="37">
        <f>SUM(F$5:F2989)/SUM(E$5:E2989)</f>
        <v/>
      </c>
    </row>
    <row r="2990">
      <c r="A2990" s="29" t="n">
        <v>46112</v>
      </c>
      <c r="B2990" s="37" t="inlineStr">
        <is>
          <t>JOB-3986</t>
        </is>
      </c>
      <c r="C2990" s="34" t="n">
        <v>1</v>
      </c>
      <c r="D2990" s="37" t="inlineStr">
        <is>
          <t>Tech H</t>
        </is>
      </c>
      <c r="E2990" s="35" t="n">
        <v>5.8</v>
      </c>
      <c r="F2990" s="35" t="n">
        <v>4</v>
      </c>
      <c r="G2990" s="37" t="inlineStr">
        <is>
          <t>Y</t>
        </is>
      </c>
      <c r="H2990" s="37" t="inlineStr">
        <is>
          <t>N</t>
        </is>
      </c>
      <c r="I2990" s="37">
        <f>COUNTIF(G$5:G2990,"Y")/COUNTA(G$5:G2990)</f>
        <v/>
      </c>
      <c r="J2990" s="37">
        <f>COUNTIF(H$5:H2990,"Y")/COUNTA(H$5:H2990)</f>
        <v/>
      </c>
      <c r="K2990" s="37">
        <f>AVERAGE(F$5:F2990)</f>
        <v/>
      </c>
      <c r="L2990" s="37">
        <f>SUM(F$5:F2990)/SUM(E$5:E2990)</f>
        <v/>
      </c>
    </row>
    <row r="2991">
      <c r="A2991" s="29" t="n">
        <v>46113</v>
      </c>
      <c r="B2991" s="37" t="inlineStr">
        <is>
          <t>JOB-3987</t>
        </is>
      </c>
      <c r="C2991" s="34" t="n">
        <v>1</v>
      </c>
      <c r="D2991" s="37" t="inlineStr">
        <is>
          <t>Tech H</t>
        </is>
      </c>
      <c r="E2991" s="35" t="n">
        <v>5.1</v>
      </c>
      <c r="F2991" s="35" t="n">
        <v>4</v>
      </c>
      <c r="G2991" s="37" t="inlineStr">
        <is>
          <t>Y</t>
        </is>
      </c>
      <c r="H2991" s="37" t="inlineStr">
        <is>
          <t>N</t>
        </is>
      </c>
      <c r="I2991" s="37">
        <f>COUNTIF(G$5:G2991,"Y")/COUNTA(G$5:G2991)</f>
        <v/>
      </c>
      <c r="J2991" s="37">
        <f>COUNTIF(H$5:H2991,"Y")/COUNTA(H$5:H2991)</f>
        <v/>
      </c>
      <c r="K2991" s="37">
        <f>AVERAGE(F$5:F2991)</f>
        <v/>
      </c>
      <c r="L2991" s="37">
        <f>SUM(F$5:F2991)/SUM(E$5:E2991)</f>
        <v/>
      </c>
    </row>
    <row r="2992">
      <c r="A2992" s="29" t="n">
        <v>46114</v>
      </c>
      <c r="B2992" s="37" t="inlineStr">
        <is>
          <t>JOB-3988</t>
        </is>
      </c>
      <c r="C2992" s="34" t="n">
        <v>1</v>
      </c>
      <c r="D2992" s="37" t="inlineStr">
        <is>
          <t>Tech A</t>
        </is>
      </c>
      <c r="E2992" s="35" t="n">
        <v>2.3</v>
      </c>
      <c r="F2992" s="35" t="n">
        <v>1.6</v>
      </c>
      <c r="G2992" s="37" t="inlineStr">
        <is>
          <t>N</t>
        </is>
      </c>
      <c r="H2992" s="37" t="inlineStr">
        <is>
          <t>N</t>
        </is>
      </c>
      <c r="I2992" s="37">
        <f>COUNTIF(G$5:G2992,"Y")/COUNTA(G$5:G2992)</f>
        <v/>
      </c>
      <c r="J2992" s="37">
        <f>COUNTIF(H$5:H2992,"Y")/COUNTA(H$5:H2992)</f>
        <v/>
      </c>
      <c r="K2992" s="37">
        <f>AVERAGE(F$5:F2992)</f>
        <v/>
      </c>
      <c r="L2992" s="37">
        <f>SUM(F$5:F2992)/SUM(E$5:E2992)</f>
        <v/>
      </c>
    </row>
    <row r="2993">
      <c r="A2993" s="29" t="n">
        <v>46115</v>
      </c>
      <c r="B2993" s="37" t="inlineStr">
        <is>
          <t>JOB-3989</t>
        </is>
      </c>
      <c r="C2993" s="34" t="n">
        <v>1</v>
      </c>
      <c r="D2993" s="37" t="inlineStr">
        <is>
          <t>Tech C</t>
        </is>
      </c>
      <c r="E2993" s="35" t="n">
        <v>1.4</v>
      </c>
      <c r="F2993" s="35" t="n">
        <v>1.2</v>
      </c>
      <c r="G2993" s="37" t="inlineStr">
        <is>
          <t>Y</t>
        </is>
      </c>
      <c r="H2993" s="37" t="inlineStr">
        <is>
          <t>N</t>
        </is>
      </c>
      <c r="I2993" s="37">
        <f>COUNTIF(G$5:G2993,"Y")/COUNTA(G$5:G2993)</f>
        <v/>
      </c>
      <c r="J2993" s="37">
        <f>COUNTIF(H$5:H2993,"Y")/COUNTA(H$5:H2993)</f>
        <v/>
      </c>
      <c r="K2993" s="37">
        <f>AVERAGE(F$5:F2993)</f>
        <v/>
      </c>
      <c r="L2993" s="37">
        <f>SUM(F$5:F2993)/SUM(E$5:E2993)</f>
        <v/>
      </c>
    </row>
    <row r="2994">
      <c r="A2994" s="29" t="n">
        <v>46111</v>
      </c>
      <c r="B2994" s="37" t="inlineStr">
        <is>
          <t>JOB-3990</t>
        </is>
      </c>
      <c r="C2994" s="34" t="n">
        <v>1</v>
      </c>
      <c r="D2994" s="37" t="inlineStr">
        <is>
          <t>Tech H</t>
        </is>
      </c>
      <c r="E2994" s="35" t="n">
        <v>3.5</v>
      </c>
      <c r="F2994" s="35" t="n">
        <v>2.9</v>
      </c>
      <c r="G2994" s="37" t="inlineStr">
        <is>
          <t>Y</t>
        </is>
      </c>
      <c r="H2994" s="37" t="inlineStr">
        <is>
          <t>N</t>
        </is>
      </c>
      <c r="I2994" s="37">
        <f>COUNTIF(G$5:G2994,"Y")/COUNTA(G$5:G2994)</f>
        <v/>
      </c>
      <c r="J2994" s="37">
        <f>COUNTIF(H$5:H2994,"Y")/COUNTA(H$5:H2994)</f>
        <v/>
      </c>
      <c r="K2994" s="37">
        <f>AVERAGE(F$5:F2994)</f>
        <v/>
      </c>
      <c r="L2994" s="37">
        <f>SUM(F$5:F2994)/SUM(E$5:E2994)</f>
        <v/>
      </c>
    </row>
    <row r="2995">
      <c r="A2995" s="29" t="n">
        <v>46112</v>
      </c>
      <c r="B2995" s="37" t="inlineStr">
        <is>
          <t>JOB-3991</t>
        </is>
      </c>
      <c r="C2995" s="34" t="n">
        <v>1</v>
      </c>
      <c r="D2995" s="37" t="inlineStr">
        <is>
          <t>Tech G</t>
        </is>
      </c>
      <c r="E2995" s="35" t="n">
        <v>4.7</v>
      </c>
      <c r="F2995" s="35" t="n">
        <v>4.1</v>
      </c>
      <c r="G2995" s="37" t="inlineStr">
        <is>
          <t>Y</t>
        </is>
      </c>
      <c r="H2995" s="37" t="inlineStr">
        <is>
          <t>N</t>
        </is>
      </c>
      <c r="I2995" s="37">
        <f>COUNTIF(G$5:G2995,"Y")/COUNTA(G$5:G2995)</f>
        <v/>
      </c>
      <c r="J2995" s="37">
        <f>COUNTIF(H$5:H2995,"Y")/COUNTA(H$5:H2995)</f>
        <v/>
      </c>
      <c r="K2995" s="37">
        <f>AVERAGE(F$5:F2995)</f>
        <v/>
      </c>
      <c r="L2995" s="37">
        <f>SUM(F$5:F2995)/SUM(E$5:E2995)</f>
        <v/>
      </c>
    </row>
    <row r="2996">
      <c r="A2996" s="29" t="n">
        <v>46113</v>
      </c>
      <c r="B2996" s="37" t="inlineStr">
        <is>
          <t>JOB-3992</t>
        </is>
      </c>
      <c r="C2996" s="34" t="n">
        <v>1</v>
      </c>
      <c r="D2996" s="37" t="inlineStr">
        <is>
          <t>Tech D</t>
        </is>
      </c>
      <c r="E2996" s="35" t="n">
        <v>0.5</v>
      </c>
      <c r="F2996" s="35" t="n">
        <v>1.6</v>
      </c>
      <c r="G2996" s="37" t="inlineStr">
        <is>
          <t>Y</t>
        </is>
      </c>
      <c r="H2996" s="37" t="inlineStr">
        <is>
          <t>N</t>
        </is>
      </c>
      <c r="I2996" s="37">
        <f>COUNTIF(G$5:G2996,"Y")/COUNTA(G$5:G2996)</f>
        <v/>
      </c>
      <c r="J2996" s="37">
        <f>COUNTIF(H$5:H2996,"Y")/COUNTA(H$5:H2996)</f>
        <v/>
      </c>
      <c r="K2996" s="37">
        <f>AVERAGE(F$5:F2996)</f>
        <v/>
      </c>
      <c r="L2996" s="37">
        <f>SUM(F$5:F2996)/SUM(E$5:E2996)</f>
        <v/>
      </c>
    </row>
    <row r="2997">
      <c r="A2997" s="29" t="n">
        <v>46114</v>
      </c>
      <c r="B2997" s="37" t="inlineStr">
        <is>
          <t>JOB-3993</t>
        </is>
      </c>
      <c r="C2997" s="34" t="n">
        <v>1</v>
      </c>
      <c r="D2997" s="37" t="inlineStr">
        <is>
          <t>Tech G</t>
        </is>
      </c>
      <c r="E2997" s="35" t="n">
        <v>0.5</v>
      </c>
      <c r="F2997" s="35" t="n">
        <v>0.5</v>
      </c>
      <c r="G2997" s="37" t="inlineStr">
        <is>
          <t>Y</t>
        </is>
      </c>
      <c r="H2997" s="37" t="inlineStr">
        <is>
          <t>N</t>
        </is>
      </c>
      <c r="I2997" s="37">
        <f>COUNTIF(G$5:G2997,"Y")/COUNTA(G$5:G2997)</f>
        <v/>
      </c>
      <c r="J2997" s="37">
        <f>COUNTIF(H$5:H2997,"Y")/COUNTA(H$5:H2997)</f>
        <v/>
      </c>
      <c r="K2997" s="37">
        <f>AVERAGE(F$5:F2997)</f>
        <v/>
      </c>
      <c r="L2997" s="37">
        <f>SUM(F$5:F2997)/SUM(E$5:E2997)</f>
        <v/>
      </c>
    </row>
    <row r="2998">
      <c r="A2998" s="29" t="n">
        <v>46115</v>
      </c>
      <c r="B2998" s="37" t="inlineStr">
        <is>
          <t>JOB-3994</t>
        </is>
      </c>
      <c r="C2998" s="34" t="n">
        <v>1</v>
      </c>
      <c r="D2998" s="37" t="inlineStr">
        <is>
          <t>Tech D</t>
        </is>
      </c>
      <c r="E2998" s="35" t="n">
        <v>0.5</v>
      </c>
      <c r="F2998" s="35" t="n">
        <v>0.5</v>
      </c>
      <c r="G2998" s="37" t="inlineStr">
        <is>
          <t>Y</t>
        </is>
      </c>
      <c r="H2998" s="37" t="inlineStr">
        <is>
          <t>N</t>
        </is>
      </c>
      <c r="I2998" s="37">
        <f>COUNTIF(G$5:G2998,"Y")/COUNTA(G$5:G2998)</f>
        <v/>
      </c>
      <c r="J2998" s="37">
        <f>COUNTIF(H$5:H2998,"Y")/COUNTA(H$5:H2998)</f>
        <v/>
      </c>
      <c r="K2998" s="37">
        <f>AVERAGE(F$5:F2998)</f>
        <v/>
      </c>
      <c r="L2998" s="37">
        <f>SUM(F$5:F2998)/SUM(E$5:E2998)</f>
        <v/>
      </c>
    </row>
    <row r="2999">
      <c r="A2999" s="29" t="n">
        <v>46111</v>
      </c>
      <c r="B2999" s="37" t="inlineStr">
        <is>
          <t>JOB-3995</t>
        </is>
      </c>
      <c r="C2999" s="34" t="n">
        <v>1</v>
      </c>
      <c r="D2999" s="37" t="inlineStr">
        <is>
          <t>Tech F</t>
        </is>
      </c>
      <c r="E2999" s="35" t="n">
        <v>0.5</v>
      </c>
      <c r="F2999" s="35" t="n">
        <v>0.5</v>
      </c>
      <c r="G2999" s="37" t="inlineStr">
        <is>
          <t>Y</t>
        </is>
      </c>
      <c r="H2999" s="37" t="inlineStr">
        <is>
          <t>N</t>
        </is>
      </c>
      <c r="I2999" s="37">
        <f>COUNTIF(G$5:G2999,"Y")/COUNTA(G$5:G2999)</f>
        <v/>
      </c>
      <c r="J2999" s="37">
        <f>COUNTIF(H$5:H2999,"Y")/COUNTA(H$5:H2999)</f>
        <v/>
      </c>
      <c r="K2999" s="37">
        <f>AVERAGE(F$5:F2999)</f>
        <v/>
      </c>
      <c r="L2999" s="37">
        <f>SUM(F$5:F2999)/SUM(E$5:E2999)</f>
        <v/>
      </c>
    </row>
    <row r="3000">
      <c r="A3000" s="29" t="n">
        <v>46112</v>
      </c>
      <c r="B3000" s="37" t="inlineStr">
        <is>
          <t>JOB-3996</t>
        </is>
      </c>
      <c r="C3000" s="34" t="n">
        <v>1</v>
      </c>
      <c r="D3000" s="37" t="inlineStr">
        <is>
          <t>Tech G</t>
        </is>
      </c>
      <c r="E3000" s="35" t="n">
        <v>0.5</v>
      </c>
      <c r="F3000" s="35" t="n">
        <v>0.5</v>
      </c>
      <c r="G3000" s="37" t="inlineStr">
        <is>
          <t>Y</t>
        </is>
      </c>
      <c r="H3000" s="37" t="inlineStr">
        <is>
          <t>N</t>
        </is>
      </c>
      <c r="I3000" s="37">
        <f>COUNTIF(G$5:G3000,"Y")/COUNTA(G$5:G3000)</f>
        <v/>
      </c>
      <c r="J3000" s="37">
        <f>COUNTIF(H$5:H3000,"Y")/COUNTA(H$5:H3000)</f>
        <v/>
      </c>
      <c r="K3000" s="37">
        <f>AVERAGE(F$5:F3000)</f>
        <v/>
      </c>
      <c r="L3000" s="37">
        <f>SUM(F$5:F3000)/SUM(E$5:E3000)</f>
        <v/>
      </c>
    </row>
    <row r="3001">
      <c r="A3001" s="29" t="n">
        <v>46113</v>
      </c>
      <c r="B3001" s="37" t="inlineStr">
        <is>
          <t>JOB-3997</t>
        </is>
      </c>
      <c r="C3001" s="34" t="n">
        <v>1</v>
      </c>
      <c r="D3001" s="37" t="inlineStr">
        <is>
          <t>Tech F</t>
        </is>
      </c>
      <c r="E3001" s="35" t="n">
        <v>0.5</v>
      </c>
      <c r="F3001" s="35" t="n">
        <v>0.5</v>
      </c>
      <c r="G3001" s="37" t="inlineStr">
        <is>
          <t>Y</t>
        </is>
      </c>
      <c r="H3001" s="37" t="inlineStr">
        <is>
          <t>N</t>
        </is>
      </c>
      <c r="I3001" s="37">
        <f>COUNTIF(G$5:G3001,"Y")/COUNTA(G$5:G3001)</f>
        <v/>
      </c>
      <c r="J3001" s="37">
        <f>COUNTIF(H$5:H3001,"Y")/COUNTA(H$5:H3001)</f>
        <v/>
      </c>
      <c r="K3001" s="37">
        <f>AVERAGE(F$5:F3001)</f>
        <v/>
      </c>
      <c r="L3001" s="37">
        <f>SUM(F$5:F3001)/SUM(E$5:E3001)</f>
        <v/>
      </c>
    </row>
    <row r="3002">
      <c r="A3002" s="29" t="n">
        <v>46114</v>
      </c>
      <c r="B3002" s="37" t="inlineStr">
        <is>
          <t>JOB-3998</t>
        </is>
      </c>
      <c r="C3002" s="34" t="n">
        <v>1</v>
      </c>
      <c r="D3002" s="37" t="inlineStr">
        <is>
          <t>Tech A</t>
        </is>
      </c>
      <c r="E3002" s="35" t="n">
        <v>0.5</v>
      </c>
      <c r="F3002" s="35" t="n">
        <v>0.5</v>
      </c>
      <c r="G3002" s="37" t="inlineStr">
        <is>
          <t>Y</t>
        </is>
      </c>
      <c r="H3002" s="37" t="inlineStr">
        <is>
          <t>N</t>
        </is>
      </c>
      <c r="I3002" s="37">
        <f>COUNTIF(G$5:G3002,"Y")/COUNTA(G$5:G3002)</f>
        <v/>
      </c>
      <c r="J3002" s="37">
        <f>COUNTIF(H$5:H3002,"Y")/COUNTA(H$5:H3002)</f>
        <v/>
      </c>
      <c r="K3002" s="37">
        <f>AVERAGE(F$5:F3002)</f>
        <v/>
      </c>
      <c r="L3002" s="37">
        <f>SUM(F$5:F3002)/SUM(E$5:E3002)</f>
        <v/>
      </c>
    </row>
    <row r="3003">
      <c r="A3003" s="29" t="n">
        <v>46115</v>
      </c>
      <c r="B3003" s="37" t="inlineStr">
        <is>
          <t>JOB-3999</t>
        </is>
      </c>
      <c r="C3003" s="34" t="n">
        <v>1</v>
      </c>
      <c r="D3003" s="37" t="inlineStr">
        <is>
          <t>Tech D</t>
        </is>
      </c>
      <c r="E3003" s="35" t="n">
        <v>0.5</v>
      </c>
      <c r="F3003" s="35" t="n">
        <v>0.5</v>
      </c>
      <c r="G3003" s="37" t="inlineStr">
        <is>
          <t>Y</t>
        </is>
      </c>
      <c r="H3003" s="37" t="inlineStr">
        <is>
          <t>N</t>
        </is>
      </c>
      <c r="I3003" s="37">
        <f>COUNTIF(G$5:G3003,"Y")/COUNTA(G$5:G3003)</f>
        <v/>
      </c>
      <c r="J3003" s="37">
        <f>COUNTIF(H$5:H3003,"Y")/COUNTA(H$5:H3003)</f>
        <v/>
      </c>
      <c r="K3003" s="37">
        <f>AVERAGE(F$5:F3003)</f>
        <v/>
      </c>
      <c r="L3003" s="37">
        <f>SUM(F$5:F3003)/SUM(E$5:E3003)</f>
        <v/>
      </c>
      <c r="M3003" s="37" t="n">
        <v>11</v>
      </c>
    </row>
    <row r="3004">
      <c r="A3004" s="29" t="n">
        <v>46118</v>
      </c>
      <c r="B3004" s="37" t="inlineStr">
        <is>
          <t>JOB-4000</t>
        </is>
      </c>
      <c r="C3004" s="34" t="n">
        <v>1</v>
      </c>
      <c r="D3004" s="37" t="inlineStr">
        <is>
          <t>Tech D</t>
        </is>
      </c>
      <c r="E3004" s="35" t="n">
        <v>5.2</v>
      </c>
      <c r="F3004" s="35" t="n">
        <v>3.9</v>
      </c>
      <c r="G3004" s="37" t="inlineStr">
        <is>
          <t>Y</t>
        </is>
      </c>
      <c r="H3004" s="37" t="inlineStr">
        <is>
          <t>N</t>
        </is>
      </c>
      <c r="I3004" s="37">
        <f>COUNTIF(G$5:G3004,"Y")/COUNTA(G$5:G3004)</f>
        <v/>
      </c>
      <c r="J3004" s="37">
        <f>COUNTIF(H$5:H3004,"Y")/COUNTA(H$5:H3004)</f>
        <v/>
      </c>
      <c r="K3004" s="37">
        <f>AVERAGE(F$5:F3004)</f>
        <v/>
      </c>
      <c r="L3004" s="37">
        <f>SUM(F$5:F3004)/SUM(E$5:E3004)</f>
        <v/>
      </c>
    </row>
    <row r="3005">
      <c r="A3005" s="29" t="n">
        <v>46119</v>
      </c>
      <c r="B3005" s="37" t="inlineStr">
        <is>
          <t>JOB-4001</t>
        </is>
      </c>
      <c r="C3005" s="34" t="n">
        <v>1</v>
      </c>
      <c r="D3005" s="37" t="inlineStr">
        <is>
          <t>Tech F</t>
        </is>
      </c>
      <c r="E3005" s="35" t="n">
        <v>5.2</v>
      </c>
      <c r="F3005" s="35" t="n">
        <v>3.8</v>
      </c>
      <c r="G3005" s="37" t="inlineStr">
        <is>
          <t>N</t>
        </is>
      </c>
      <c r="H3005" s="37" t="inlineStr">
        <is>
          <t>Y</t>
        </is>
      </c>
      <c r="I3005" s="37">
        <f>COUNTIF(G$5:G3005,"Y")/COUNTA(G$5:G3005)</f>
        <v/>
      </c>
      <c r="J3005" s="37">
        <f>COUNTIF(H$5:H3005,"Y")/COUNTA(H$5:H3005)</f>
        <v/>
      </c>
      <c r="K3005" s="37">
        <f>AVERAGE(F$5:F3005)</f>
        <v/>
      </c>
      <c r="L3005" s="37">
        <f>SUM(F$5:F3005)/SUM(E$5:E3005)</f>
        <v/>
      </c>
    </row>
    <row r="3006">
      <c r="A3006" s="29" t="n">
        <v>46120</v>
      </c>
      <c r="B3006" s="37" t="inlineStr">
        <is>
          <t>JOB-4002</t>
        </is>
      </c>
      <c r="C3006" s="34" t="n">
        <v>1</v>
      </c>
      <c r="D3006" s="37" t="inlineStr">
        <is>
          <t>Tech D</t>
        </is>
      </c>
      <c r="E3006" s="35" t="n">
        <v>1.7</v>
      </c>
      <c r="F3006" s="35" t="n">
        <v>1.3</v>
      </c>
      <c r="G3006" s="37" t="inlineStr">
        <is>
          <t>Y</t>
        </is>
      </c>
      <c r="H3006" s="37" t="inlineStr">
        <is>
          <t>N</t>
        </is>
      </c>
      <c r="I3006" s="37">
        <f>COUNTIF(G$5:G3006,"Y")/COUNTA(G$5:G3006)</f>
        <v/>
      </c>
      <c r="J3006" s="37">
        <f>COUNTIF(H$5:H3006,"Y")/COUNTA(H$5:H3006)</f>
        <v/>
      </c>
      <c r="K3006" s="37">
        <f>AVERAGE(F$5:F3006)</f>
        <v/>
      </c>
      <c r="L3006" s="37">
        <f>SUM(F$5:F3006)/SUM(E$5:E3006)</f>
        <v/>
      </c>
    </row>
    <row r="3007">
      <c r="A3007" s="29" t="n">
        <v>46121</v>
      </c>
      <c r="B3007" s="37" t="inlineStr">
        <is>
          <t>JOB-4003</t>
        </is>
      </c>
      <c r="C3007" s="34" t="n">
        <v>1</v>
      </c>
      <c r="D3007" s="37" t="inlineStr">
        <is>
          <t>Tech A</t>
        </is>
      </c>
      <c r="E3007" s="35" t="n">
        <v>1.9</v>
      </c>
      <c r="F3007" s="35" t="n">
        <v>1.3</v>
      </c>
      <c r="G3007" s="37" t="inlineStr">
        <is>
          <t>Y</t>
        </is>
      </c>
      <c r="H3007" s="37" t="inlineStr">
        <is>
          <t>N</t>
        </is>
      </c>
      <c r="I3007" s="37">
        <f>COUNTIF(G$5:G3007,"Y")/COUNTA(G$5:G3007)</f>
        <v/>
      </c>
      <c r="J3007" s="37">
        <f>COUNTIF(H$5:H3007,"Y")/COUNTA(H$5:H3007)</f>
        <v/>
      </c>
      <c r="K3007" s="37">
        <f>AVERAGE(F$5:F3007)</f>
        <v/>
      </c>
      <c r="L3007" s="37">
        <f>SUM(F$5:F3007)/SUM(E$5:E3007)</f>
        <v/>
      </c>
    </row>
    <row r="3008">
      <c r="A3008" s="29" t="n">
        <v>46122</v>
      </c>
      <c r="B3008" s="37" t="inlineStr">
        <is>
          <t>JOB-4004</t>
        </is>
      </c>
      <c r="C3008" s="34" t="n">
        <v>1</v>
      </c>
      <c r="D3008" s="37" t="inlineStr">
        <is>
          <t>Tech B</t>
        </is>
      </c>
      <c r="E3008" s="35" t="n">
        <v>2.3</v>
      </c>
      <c r="F3008" s="35" t="n">
        <v>1.6</v>
      </c>
      <c r="G3008" s="37" t="inlineStr">
        <is>
          <t>Y</t>
        </is>
      </c>
      <c r="H3008" s="37" t="inlineStr">
        <is>
          <t>Y</t>
        </is>
      </c>
      <c r="I3008" s="37">
        <f>COUNTIF(G$5:G3008,"Y")/COUNTA(G$5:G3008)</f>
        <v/>
      </c>
      <c r="J3008" s="37">
        <f>COUNTIF(H$5:H3008,"Y")/COUNTA(H$5:H3008)</f>
        <v/>
      </c>
      <c r="K3008" s="37">
        <f>AVERAGE(F$5:F3008)</f>
        <v/>
      </c>
      <c r="L3008" s="37">
        <f>SUM(F$5:F3008)/SUM(E$5:E3008)</f>
        <v/>
      </c>
    </row>
    <row r="3009">
      <c r="A3009" s="29" t="n">
        <v>46118</v>
      </c>
      <c r="B3009" s="37" t="inlineStr">
        <is>
          <t>JOB-4005</t>
        </is>
      </c>
      <c r="C3009" s="34" t="n">
        <v>1</v>
      </c>
      <c r="D3009" s="37" t="inlineStr">
        <is>
          <t>Tech A</t>
        </is>
      </c>
      <c r="E3009" s="35" t="n">
        <v>5.4</v>
      </c>
      <c r="F3009" s="35" t="n">
        <v>3.9</v>
      </c>
      <c r="G3009" s="37" t="inlineStr">
        <is>
          <t>Y</t>
        </is>
      </c>
      <c r="H3009" s="37" t="inlineStr">
        <is>
          <t>N</t>
        </is>
      </c>
      <c r="I3009" s="37">
        <f>COUNTIF(G$5:G3009,"Y")/COUNTA(G$5:G3009)</f>
        <v/>
      </c>
      <c r="J3009" s="37">
        <f>COUNTIF(H$5:H3009,"Y")/COUNTA(H$5:H3009)</f>
        <v/>
      </c>
      <c r="K3009" s="37">
        <f>AVERAGE(F$5:F3009)</f>
        <v/>
      </c>
      <c r="L3009" s="37">
        <f>SUM(F$5:F3009)/SUM(E$5:E3009)</f>
        <v/>
      </c>
    </row>
    <row r="3010">
      <c r="A3010" s="29" t="n">
        <v>46119</v>
      </c>
      <c r="B3010" s="37" t="inlineStr">
        <is>
          <t>JOB-4006</t>
        </is>
      </c>
      <c r="C3010" s="34" t="n">
        <v>1</v>
      </c>
      <c r="D3010" s="37" t="inlineStr">
        <is>
          <t>Tech F</t>
        </is>
      </c>
      <c r="E3010" s="35" t="n">
        <v>4.8</v>
      </c>
      <c r="F3010" s="35" t="n">
        <v>4</v>
      </c>
      <c r="G3010" s="37" t="inlineStr">
        <is>
          <t>Y</t>
        </is>
      </c>
      <c r="H3010" s="37" t="inlineStr">
        <is>
          <t>N</t>
        </is>
      </c>
      <c r="I3010" s="37">
        <f>COUNTIF(G$5:G3010,"Y")/COUNTA(G$5:G3010)</f>
        <v/>
      </c>
      <c r="J3010" s="37">
        <f>COUNTIF(H$5:H3010,"Y")/COUNTA(H$5:H3010)</f>
        <v/>
      </c>
      <c r="K3010" s="37">
        <f>AVERAGE(F$5:F3010)</f>
        <v/>
      </c>
      <c r="L3010" s="37">
        <f>SUM(F$5:F3010)/SUM(E$5:E3010)</f>
        <v/>
      </c>
    </row>
    <row r="3011">
      <c r="A3011" s="29" t="n">
        <v>46120</v>
      </c>
      <c r="B3011" s="37" t="inlineStr">
        <is>
          <t>JOB-4007</t>
        </is>
      </c>
      <c r="C3011" s="34" t="n">
        <v>1</v>
      </c>
      <c r="D3011" s="37" t="inlineStr">
        <is>
          <t>Tech D</t>
        </is>
      </c>
      <c r="E3011" s="35" t="n">
        <v>4.8</v>
      </c>
      <c r="F3011" s="35" t="n">
        <v>3.9</v>
      </c>
      <c r="G3011" s="37" t="inlineStr">
        <is>
          <t>Y</t>
        </is>
      </c>
      <c r="H3011" s="37" t="inlineStr">
        <is>
          <t>N</t>
        </is>
      </c>
      <c r="I3011" s="37">
        <f>COUNTIF(G$5:G3011,"Y")/COUNTA(G$5:G3011)</f>
        <v/>
      </c>
      <c r="J3011" s="37">
        <f>COUNTIF(H$5:H3011,"Y")/COUNTA(H$5:H3011)</f>
        <v/>
      </c>
      <c r="K3011" s="37">
        <f>AVERAGE(F$5:F3011)</f>
        <v/>
      </c>
      <c r="L3011" s="37">
        <f>SUM(F$5:F3011)/SUM(E$5:E3011)</f>
        <v/>
      </c>
    </row>
    <row r="3012">
      <c r="A3012" s="29" t="n">
        <v>46121</v>
      </c>
      <c r="B3012" s="37" t="inlineStr">
        <is>
          <t>JOB-4008</t>
        </is>
      </c>
      <c r="C3012" s="34" t="n">
        <v>1</v>
      </c>
      <c r="D3012" s="37" t="inlineStr">
        <is>
          <t>Tech F</t>
        </is>
      </c>
      <c r="E3012" s="35" t="n">
        <v>5.3</v>
      </c>
      <c r="F3012" s="35" t="n">
        <v>4.4</v>
      </c>
      <c r="G3012" s="37" t="inlineStr">
        <is>
          <t>Y</t>
        </is>
      </c>
      <c r="H3012" s="37" t="inlineStr">
        <is>
          <t>N</t>
        </is>
      </c>
      <c r="I3012" s="37">
        <f>COUNTIF(G$5:G3012,"Y")/COUNTA(G$5:G3012)</f>
        <v/>
      </c>
      <c r="J3012" s="37">
        <f>COUNTIF(H$5:H3012,"Y")/COUNTA(H$5:H3012)</f>
        <v/>
      </c>
      <c r="K3012" s="37">
        <f>AVERAGE(F$5:F3012)</f>
        <v/>
      </c>
      <c r="L3012" s="37">
        <f>SUM(F$5:F3012)/SUM(E$5:E3012)</f>
        <v/>
      </c>
    </row>
    <row r="3013">
      <c r="A3013" s="29" t="n">
        <v>46122</v>
      </c>
      <c r="B3013" s="37" t="inlineStr">
        <is>
          <t>JOB-4009</t>
        </is>
      </c>
      <c r="C3013" s="34" t="n">
        <v>1</v>
      </c>
      <c r="D3013" s="37" t="inlineStr">
        <is>
          <t>Tech H</t>
        </is>
      </c>
      <c r="E3013" s="35" t="n">
        <v>3</v>
      </c>
      <c r="F3013" s="35" t="n">
        <v>2.7</v>
      </c>
      <c r="G3013" s="37" t="inlineStr">
        <is>
          <t>N</t>
        </is>
      </c>
      <c r="H3013" s="37" t="inlineStr">
        <is>
          <t>N</t>
        </is>
      </c>
      <c r="I3013" s="37">
        <f>COUNTIF(G$5:G3013,"Y")/COUNTA(G$5:G3013)</f>
        <v/>
      </c>
      <c r="J3013" s="37">
        <f>COUNTIF(H$5:H3013,"Y")/COUNTA(H$5:H3013)</f>
        <v/>
      </c>
      <c r="K3013" s="37">
        <f>AVERAGE(F$5:F3013)</f>
        <v/>
      </c>
      <c r="L3013" s="37">
        <f>SUM(F$5:F3013)/SUM(E$5:E3013)</f>
        <v/>
      </c>
    </row>
    <row r="3014">
      <c r="A3014" s="29" t="n">
        <v>46118</v>
      </c>
      <c r="B3014" s="37" t="inlineStr">
        <is>
          <t>JOB-4010</t>
        </is>
      </c>
      <c r="C3014" s="34" t="n">
        <v>1</v>
      </c>
      <c r="D3014" s="37" t="inlineStr">
        <is>
          <t>Tech A</t>
        </is>
      </c>
      <c r="E3014" s="35" t="n">
        <v>4</v>
      </c>
      <c r="F3014" s="35" t="n">
        <v>2.7</v>
      </c>
      <c r="G3014" s="37" t="inlineStr">
        <is>
          <t>Y</t>
        </is>
      </c>
      <c r="H3014" s="37" t="inlineStr">
        <is>
          <t>N</t>
        </is>
      </c>
      <c r="I3014" s="37">
        <f>COUNTIF(G$5:G3014,"Y")/COUNTA(G$5:G3014)</f>
        <v/>
      </c>
      <c r="J3014" s="37">
        <f>COUNTIF(H$5:H3014,"Y")/COUNTA(H$5:H3014)</f>
        <v/>
      </c>
      <c r="K3014" s="37">
        <f>AVERAGE(F$5:F3014)</f>
        <v/>
      </c>
      <c r="L3014" s="37">
        <f>SUM(F$5:F3014)/SUM(E$5:E3014)</f>
        <v/>
      </c>
    </row>
    <row r="3015">
      <c r="A3015" s="29" t="n">
        <v>46119</v>
      </c>
      <c r="B3015" s="37" t="inlineStr">
        <is>
          <t>JOB-4011</t>
        </is>
      </c>
      <c r="C3015" s="34" t="n">
        <v>1</v>
      </c>
      <c r="D3015" s="37" t="inlineStr">
        <is>
          <t>Tech C</t>
        </is>
      </c>
      <c r="E3015" s="35" t="n">
        <v>3</v>
      </c>
      <c r="F3015" s="35" t="n">
        <v>2.1</v>
      </c>
      <c r="G3015" s="37" t="inlineStr">
        <is>
          <t>N</t>
        </is>
      </c>
      <c r="H3015" s="37" t="inlineStr">
        <is>
          <t>N</t>
        </is>
      </c>
      <c r="I3015" s="37">
        <f>COUNTIF(G$5:G3015,"Y")/COUNTA(G$5:G3015)</f>
        <v/>
      </c>
      <c r="J3015" s="37">
        <f>COUNTIF(H$5:H3015,"Y")/COUNTA(H$5:H3015)</f>
        <v/>
      </c>
      <c r="K3015" s="37">
        <f>AVERAGE(F$5:F3015)</f>
        <v/>
      </c>
      <c r="L3015" s="37">
        <f>SUM(F$5:F3015)/SUM(E$5:E3015)</f>
        <v/>
      </c>
    </row>
    <row r="3016">
      <c r="A3016" s="29" t="n">
        <v>46120</v>
      </c>
      <c r="B3016" s="37" t="inlineStr">
        <is>
          <t>JOB-4012</t>
        </is>
      </c>
      <c r="C3016" s="34" t="n">
        <v>1</v>
      </c>
      <c r="D3016" s="37" t="inlineStr">
        <is>
          <t>Tech D</t>
        </is>
      </c>
      <c r="E3016" s="35" t="n">
        <v>2.7</v>
      </c>
      <c r="F3016" s="35" t="n">
        <v>1.9</v>
      </c>
      <c r="G3016" s="37" t="inlineStr">
        <is>
          <t>Y</t>
        </is>
      </c>
      <c r="H3016" s="37" t="inlineStr">
        <is>
          <t>N</t>
        </is>
      </c>
      <c r="I3016" s="37">
        <f>COUNTIF(G$5:G3016,"Y")/COUNTA(G$5:G3016)</f>
        <v/>
      </c>
      <c r="J3016" s="37">
        <f>COUNTIF(H$5:H3016,"Y")/COUNTA(H$5:H3016)</f>
        <v/>
      </c>
      <c r="K3016" s="37">
        <f>AVERAGE(F$5:F3016)</f>
        <v/>
      </c>
      <c r="L3016" s="37">
        <f>SUM(F$5:F3016)/SUM(E$5:E3016)</f>
        <v/>
      </c>
    </row>
    <row r="3017">
      <c r="A3017" s="29" t="n">
        <v>46121</v>
      </c>
      <c r="B3017" s="37" t="inlineStr">
        <is>
          <t>JOB-4013</t>
        </is>
      </c>
      <c r="C3017" s="34" t="n">
        <v>1</v>
      </c>
      <c r="D3017" s="37" t="inlineStr">
        <is>
          <t>Tech G</t>
        </is>
      </c>
      <c r="E3017" s="35" t="n">
        <v>3.7</v>
      </c>
      <c r="F3017" s="35" t="n">
        <v>3</v>
      </c>
      <c r="G3017" s="37" t="inlineStr">
        <is>
          <t>Y</t>
        </is>
      </c>
      <c r="H3017" s="37" t="inlineStr">
        <is>
          <t>N</t>
        </is>
      </c>
      <c r="I3017" s="37">
        <f>COUNTIF(G$5:G3017,"Y")/COUNTA(G$5:G3017)</f>
        <v/>
      </c>
      <c r="J3017" s="37">
        <f>COUNTIF(H$5:H3017,"Y")/COUNTA(H$5:H3017)</f>
        <v/>
      </c>
      <c r="K3017" s="37">
        <f>AVERAGE(F$5:F3017)</f>
        <v/>
      </c>
      <c r="L3017" s="37">
        <f>SUM(F$5:F3017)/SUM(E$5:E3017)</f>
        <v/>
      </c>
    </row>
    <row r="3018">
      <c r="A3018" s="29" t="n">
        <v>46122</v>
      </c>
      <c r="B3018" s="37" t="inlineStr">
        <is>
          <t>JOB-4014</t>
        </is>
      </c>
      <c r="C3018" s="34" t="n">
        <v>1</v>
      </c>
      <c r="D3018" s="37" t="inlineStr">
        <is>
          <t>Tech H</t>
        </is>
      </c>
      <c r="E3018" s="35" t="n">
        <v>3.2</v>
      </c>
      <c r="F3018" s="35" t="n">
        <v>2.6</v>
      </c>
      <c r="G3018" s="37" t="inlineStr">
        <is>
          <t>Y</t>
        </is>
      </c>
      <c r="H3018" s="37" t="inlineStr">
        <is>
          <t>N</t>
        </is>
      </c>
      <c r="I3018" s="37">
        <f>COUNTIF(G$5:G3018,"Y")/COUNTA(G$5:G3018)</f>
        <v/>
      </c>
      <c r="J3018" s="37">
        <f>COUNTIF(H$5:H3018,"Y")/COUNTA(H$5:H3018)</f>
        <v/>
      </c>
      <c r="K3018" s="37">
        <f>AVERAGE(F$5:F3018)</f>
        <v/>
      </c>
      <c r="L3018" s="37">
        <f>SUM(F$5:F3018)/SUM(E$5:E3018)</f>
        <v/>
      </c>
    </row>
    <row r="3019">
      <c r="A3019" s="29" t="n">
        <v>46118</v>
      </c>
      <c r="B3019" s="37" t="inlineStr">
        <is>
          <t>JOB-4015</t>
        </is>
      </c>
      <c r="C3019" s="34" t="n">
        <v>1</v>
      </c>
      <c r="D3019" s="37" t="inlineStr">
        <is>
          <t>Tech B</t>
        </is>
      </c>
      <c r="E3019" s="35" t="n">
        <v>5.6</v>
      </c>
      <c r="F3019" s="35" t="n">
        <v>3.9</v>
      </c>
      <c r="G3019" s="37" t="inlineStr">
        <is>
          <t>Y</t>
        </is>
      </c>
      <c r="H3019" s="37" t="inlineStr">
        <is>
          <t>N</t>
        </is>
      </c>
      <c r="I3019" s="37">
        <f>COUNTIF(G$5:G3019,"Y")/COUNTA(G$5:G3019)</f>
        <v/>
      </c>
      <c r="J3019" s="37">
        <f>COUNTIF(H$5:H3019,"Y")/COUNTA(H$5:H3019)</f>
        <v/>
      </c>
      <c r="K3019" s="37">
        <f>AVERAGE(F$5:F3019)</f>
        <v/>
      </c>
      <c r="L3019" s="37">
        <f>SUM(F$5:F3019)/SUM(E$5:E3019)</f>
        <v/>
      </c>
    </row>
    <row r="3020">
      <c r="A3020" s="29" t="n">
        <v>46119</v>
      </c>
      <c r="B3020" s="37" t="inlineStr">
        <is>
          <t>JOB-4016</t>
        </is>
      </c>
      <c r="C3020" s="34" t="n">
        <v>1</v>
      </c>
      <c r="D3020" s="37" t="inlineStr">
        <is>
          <t>Tech A</t>
        </is>
      </c>
      <c r="E3020" s="35" t="n">
        <v>4.9</v>
      </c>
      <c r="F3020" s="35" t="n">
        <v>4</v>
      </c>
      <c r="G3020" s="37" t="inlineStr">
        <is>
          <t>Y</t>
        </is>
      </c>
      <c r="H3020" s="37" t="inlineStr">
        <is>
          <t>N</t>
        </is>
      </c>
      <c r="I3020" s="37">
        <f>COUNTIF(G$5:G3020,"Y")/COUNTA(G$5:G3020)</f>
        <v/>
      </c>
      <c r="J3020" s="37">
        <f>COUNTIF(H$5:H3020,"Y")/COUNTA(H$5:H3020)</f>
        <v/>
      </c>
      <c r="K3020" s="37">
        <f>AVERAGE(F$5:F3020)</f>
        <v/>
      </c>
      <c r="L3020" s="37">
        <f>SUM(F$5:F3020)/SUM(E$5:E3020)</f>
        <v/>
      </c>
    </row>
    <row r="3021">
      <c r="A3021" s="29" t="n">
        <v>46120</v>
      </c>
      <c r="B3021" s="37" t="inlineStr">
        <is>
          <t>JOB-4017</t>
        </is>
      </c>
      <c r="C3021" s="34" t="n">
        <v>1</v>
      </c>
      <c r="D3021" s="37" t="inlineStr">
        <is>
          <t>Tech H</t>
        </is>
      </c>
      <c r="E3021" s="35" t="n">
        <v>4.6</v>
      </c>
      <c r="F3021" s="35" t="n">
        <v>3.3</v>
      </c>
      <c r="G3021" s="37" t="inlineStr">
        <is>
          <t>Y</t>
        </is>
      </c>
      <c r="H3021" s="37" t="inlineStr">
        <is>
          <t>N</t>
        </is>
      </c>
      <c r="I3021" s="37">
        <f>COUNTIF(G$5:G3021,"Y")/COUNTA(G$5:G3021)</f>
        <v/>
      </c>
      <c r="J3021" s="37">
        <f>COUNTIF(H$5:H3021,"Y")/COUNTA(H$5:H3021)</f>
        <v/>
      </c>
      <c r="K3021" s="37">
        <f>AVERAGE(F$5:F3021)</f>
        <v/>
      </c>
      <c r="L3021" s="37">
        <f>SUM(F$5:F3021)/SUM(E$5:E3021)</f>
        <v/>
      </c>
    </row>
    <row r="3022">
      <c r="A3022" s="29" t="n">
        <v>46121</v>
      </c>
      <c r="B3022" s="37" t="inlineStr">
        <is>
          <t>JOB-4018</t>
        </is>
      </c>
      <c r="C3022" s="34" t="n">
        <v>1</v>
      </c>
      <c r="D3022" s="37" t="inlineStr">
        <is>
          <t>Tech C</t>
        </is>
      </c>
      <c r="E3022" s="35" t="n">
        <v>4.7</v>
      </c>
      <c r="F3022" s="35" t="n">
        <v>4</v>
      </c>
      <c r="G3022" s="37" t="inlineStr">
        <is>
          <t>Y</t>
        </is>
      </c>
      <c r="H3022" s="37" t="inlineStr">
        <is>
          <t>N</t>
        </is>
      </c>
      <c r="I3022" s="37">
        <f>COUNTIF(G$5:G3022,"Y")/COUNTA(G$5:G3022)</f>
        <v/>
      </c>
      <c r="J3022" s="37">
        <f>COUNTIF(H$5:H3022,"Y")/COUNTA(H$5:H3022)</f>
        <v/>
      </c>
      <c r="K3022" s="37">
        <f>AVERAGE(F$5:F3022)</f>
        <v/>
      </c>
      <c r="L3022" s="37">
        <f>SUM(F$5:F3022)/SUM(E$5:E3022)</f>
        <v/>
      </c>
    </row>
    <row r="3023">
      <c r="A3023" s="29" t="n">
        <v>46122</v>
      </c>
      <c r="B3023" s="37" t="inlineStr">
        <is>
          <t>JOB-4019</t>
        </is>
      </c>
      <c r="C3023" s="34" t="n">
        <v>1</v>
      </c>
      <c r="D3023" s="37" t="inlineStr">
        <is>
          <t>Tech A</t>
        </is>
      </c>
      <c r="E3023" s="35" t="n">
        <v>4.4</v>
      </c>
      <c r="F3023" s="35" t="n">
        <v>3.9</v>
      </c>
      <c r="G3023" s="37" t="inlineStr">
        <is>
          <t>N</t>
        </is>
      </c>
      <c r="H3023" s="37" t="inlineStr">
        <is>
          <t>N</t>
        </is>
      </c>
      <c r="I3023" s="37">
        <f>COUNTIF(G$5:G3023,"Y")/COUNTA(G$5:G3023)</f>
        <v/>
      </c>
      <c r="J3023" s="37">
        <f>COUNTIF(H$5:H3023,"Y")/COUNTA(H$5:H3023)</f>
        <v/>
      </c>
      <c r="K3023" s="37">
        <f>AVERAGE(F$5:F3023)</f>
        <v/>
      </c>
      <c r="L3023" s="37">
        <f>SUM(F$5:F3023)/SUM(E$5:E3023)</f>
        <v/>
      </c>
    </row>
    <row r="3024">
      <c r="A3024" s="29" t="n">
        <v>46118</v>
      </c>
      <c r="B3024" s="37" t="inlineStr">
        <is>
          <t>JOB-4020</t>
        </is>
      </c>
      <c r="C3024" s="34" t="n">
        <v>1</v>
      </c>
      <c r="D3024" s="37" t="inlineStr">
        <is>
          <t>Tech H</t>
        </is>
      </c>
      <c r="E3024" s="35" t="n">
        <v>4.8</v>
      </c>
      <c r="F3024" s="35" t="n">
        <v>3.6</v>
      </c>
      <c r="G3024" s="37" t="inlineStr">
        <is>
          <t>Y</t>
        </is>
      </c>
      <c r="H3024" s="37" t="inlineStr">
        <is>
          <t>N</t>
        </is>
      </c>
      <c r="I3024" s="37">
        <f>COUNTIF(G$5:G3024,"Y")/COUNTA(G$5:G3024)</f>
        <v/>
      </c>
      <c r="J3024" s="37">
        <f>COUNTIF(H$5:H3024,"Y")/COUNTA(H$5:H3024)</f>
        <v/>
      </c>
      <c r="K3024" s="37">
        <f>AVERAGE(F$5:F3024)</f>
        <v/>
      </c>
      <c r="L3024" s="37">
        <f>SUM(F$5:F3024)/SUM(E$5:E3024)</f>
        <v/>
      </c>
    </row>
    <row r="3025">
      <c r="A3025" s="29" t="n">
        <v>46119</v>
      </c>
      <c r="B3025" s="37" t="inlineStr">
        <is>
          <t>JOB-4021</t>
        </is>
      </c>
      <c r="C3025" s="34" t="n">
        <v>1</v>
      </c>
      <c r="D3025" s="37" t="inlineStr">
        <is>
          <t>Tech C</t>
        </is>
      </c>
      <c r="E3025" s="35" t="n">
        <v>3</v>
      </c>
      <c r="F3025" s="35" t="n">
        <v>2.3</v>
      </c>
      <c r="G3025" s="37" t="inlineStr">
        <is>
          <t>Y</t>
        </is>
      </c>
      <c r="H3025" s="37" t="inlineStr">
        <is>
          <t>N</t>
        </is>
      </c>
      <c r="I3025" s="37">
        <f>COUNTIF(G$5:G3025,"Y")/COUNTA(G$5:G3025)</f>
        <v/>
      </c>
      <c r="J3025" s="37">
        <f>COUNTIF(H$5:H3025,"Y")/COUNTA(H$5:H3025)</f>
        <v/>
      </c>
      <c r="K3025" s="37">
        <f>AVERAGE(F$5:F3025)</f>
        <v/>
      </c>
      <c r="L3025" s="37">
        <f>SUM(F$5:F3025)/SUM(E$5:E3025)</f>
        <v/>
      </c>
    </row>
    <row r="3026">
      <c r="A3026" s="29" t="n">
        <v>46120</v>
      </c>
      <c r="B3026" s="37" t="inlineStr">
        <is>
          <t>JOB-4022</t>
        </is>
      </c>
      <c r="C3026" s="34" t="n">
        <v>1</v>
      </c>
      <c r="D3026" s="37" t="inlineStr">
        <is>
          <t>Tech F</t>
        </is>
      </c>
      <c r="E3026" s="35" t="n">
        <v>2.4</v>
      </c>
      <c r="F3026" s="35" t="n">
        <v>1.9</v>
      </c>
      <c r="G3026" s="37" t="inlineStr">
        <is>
          <t>Y</t>
        </is>
      </c>
      <c r="H3026" s="37" t="inlineStr">
        <is>
          <t>N</t>
        </is>
      </c>
      <c r="I3026" s="37">
        <f>COUNTIF(G$5:G3026,"Y")/COUNTA(G$5:G3026)</f>
        <v/>
      </c>
      <c r="J3026" s="37">
        <f>COUNTIF(H$5:H3026,"Y")/COUNTA(H$5:H3026)</f>
        <v/>
      </c>
      <c r="K3026" s="37">
        <f>AVERAGE(F$5:F3026)</f>
        <v/>
      </c>
      <c r="L3026" s="37">
        <f>SUM(F$5:F3026)/SUM(E$5:E3026)</f>
        <v/>
      </c>
    </row>
    <row r="3027">
      <c r="A3027" s="29" t="n">
        <v>46121</v>
      </c>
      <c r="B3027" s="37" t="inlineStr">
        <is>
          <t>JOB-4023</t>
        </is>
      </c>
      <c r="C3027" s="34" t="n">
        <v>1</v>
      </c>
      <c r="D3027" s="37" t="inlineStr">
        <is>
          <t>Tech C</t>
        </is>
      </c>
      <c r="E3027" s="35" t="n">
        <v>2.9</v>
      </c>
      <c r="F3027" s="35" t="n">
        <v>2.1</v>
      </c>
      <c r="G3027" s="37" t="inlineStr">
        <is>
          <t>Y</t>
        </is>
      </c>
      <c r="H3027" s="37" t="inlineStr">
        <is>
          <t>N</t>
        </is>
      </c>
      <c r="I3027" s="37">
        <f>COUNTIF(G$5:G3027,"Y")/COUNTA(G$5:G3027)</f>
        <v/>
      </c>
      <c r="J3027" s="37">
        <f>COUNTIF(H$5:H3027,"Y")/COUNTA(H$5:H3027)</f>
        <v/>
      </c>
      <c r="K3027" s="37">
        <f>AVERAGE(F$5:F3027)</f>
        <v/>
      </c>
      <c r="L3027" s="37">
        <f>SUM(F$5:F3027)/SUM(E$5:E3027)</f>
        <v/>
      </c>
    </row>
    <row r="3028">
      <c r="A3028" s="29" t="n">
        <v>46122</v>
      </c>
      <c r="B3028" s="37" t="inlineStr">
        <is>
          <t>JOB-4024</t>
        </is>
      </c>
      <c r="C3028" s="34" t="n">
        <v>1</v>
      </c>
      <c r="D3028" s="37" t="inlineStr">
        <is>
          <t>Tech H</t>
        </is>
      </c>
      <c r="E3028" s="35" t="n">
        <v>3.4</v>
      </c>
      <c r="F3028" s="35" t="n">
        <v>2.4</v>
      </c>
      <c r="G3028" s="37" t="inlineStr">
        <is>
          <t>Y</t>
        </is>
      </c>
      <c r="H3028" s="37" t="inlineStr">
        <is>
          <t>N</t>
        </is>
      </c>
      <c r="I3028" s="37">
        <f>COUNTIF(G$5:G3028,"Y")/COUNTA(G$5:G3028)</f>
        <v/>
      </c>
      <c r="J3028" s="37">
        <f>COUNTIF(H$5:H3028,"Y")/COUNTA(H$5:H3028)</f>
        <v/>
      </c>
      <c r="K3028" s="37">
        <f>AVERAGE(F$5:F3028)</f>
        <v/>
      </c>
      <c r="L3028" s="37">
        <f>SUM(F$5:F3028)/SUM(E$5:E3028)</f>
        <v/>
      </c>
    </row>
    <row r="3029">
      <c r="A3029" s="29" t="n">
        <v>46118</v>
      </c>
      <c r="B3029" s="37" t="inlineStr">
        <is>
          <t>JOB-4025</t>
        </is>
      </c>
      <c r="C3029" s="34" t="n">
        <v>1</v>
      </c>
      <c r="D3029" s="37" t="inlineStr">
        <is>
          <t>Tech A</t>
        </is>
      </c>
      <c r="E3029" s="35" t="n">
        <v>5.8</v>
      </c>
      <c r="F3029" s="35" t="n">
        <v>4.2</v>
      </c>
      <c r="G3029" s="37" t="inlineStr">
        <is>
          <t>Y</t>
        </is>
      </c>
      <c r="H3029" s="37" t="inlineStr">
        <is>
          <t>N</t>
        </is>
      </c>
      <c r="I3029" s="37">
        <f>COUNTIF(G$5:G3029,"Y")/COUNTA(G$5:G3029)</f>
        <v/>
      </c>
      <c r="J3029" s="37">
        <f>COUNTIF(H$5:H3029,"Y")/COUNTA(H$5:H3029)</f>
        <v/>
      </c>
      <c r="K3029" s="37">
        <f>AVERAGE(F$5:F3029)</f>
        <v/>
      </c>
      <c r="L3029" s="37">
        <f>SUM(F$5:F3029)/SUM(E$5:E3029)</f>
        <v/>
      </c>
    </row>
    <row r="3030">
      <c r="A3030" s="29" t="n">
        <v>46119</v>
      </c>
      <c r="B3030" s="37" t="inlineStr">
        <is>
          <t>JOB-4026</t>
        </is>
      </c>
      <c r="C3030" s="34" t="n">
        <v>1</v>
      </c>
      <c r="D3030" s="37" t="inlineStr">
        <is>
          <t>Tech H</t>
        </is>
      </c>
      <c r="E3030" s="35" t="n">
        <v>5.4</v>
      </c>
      <c r="F3030" s="35" t="n">
        <v>4.4</v>
      </c>
      <c r="G3030" s="37" t="inlineStr">
        <is>
          <t>Y</t>
        </is>
      </c>
      <c r="H3030" s="37" t="inlineStr">
        <is>
          <t>N</t>
        </is>
      </c>
      <c r="I3030" s="37">
        <f>COUNTIF(G$5:G3030,"Y")/COUNTA(G$5:G3030)</f>
        <v/>
      </c>
      <c r="J3030" s="37">
        <f>COUNTIF(H$5:H3030,"Y")/COUNTA(H$5:H3030)</f>
        <v/>
      </c>
      <c r="K3030" s="37">
        <f>AVERAGE(F$5:F3030)</f>
        <v/>
      </c>
      <c r="L3030" s="37">
        <f>SUM(F$5:F3030)/SUM(E$5:E3030)</f>
        <v/>
      </c>
    </row>
    <row r="3031">
      <c r="A3031" s="29" t="n">
        <v>46120</v>
      </c>
      <c r="B3031" s="37" t="inlineStr">
        <is>
          <t>JOB-4027</t>
        </is>
      </c>
      <c r="C3031" s="34" t="n">
        <v>1</v>
      </c>
      <c r="D3031" s="37" t="inlineStr">
        <is>
          <t>Tech F</t>
        </is>
      </c>
      <c r="E3031" s="35" t="n">
        <v>2.1</v>
      </c>
      <c r="F3031" s="35" t="n">
        <v>1.6</v>
      </c>
      <c r="G3031" s="37" t="inlineStr">
        <is>
          <t>Y</t>
        </is>
      </c>
      <c r="H3031" s="37" t="inlineStr">
        <is>
          <t>N</t>
        </is>
      </c>
      <c r="I3031" s="37">
        <f>COUNTIF(G$5:G3031,"Y")/COUNTA(G$5:G3031)</f>
        <v/>
      </c>
      <c r="J3031" s="37">
        <f>COUNTIF(H$5:H3031,"Y")/COUNTA(H$5:H3031)</f>
        <v/>
      </c>
      <c r="K3031" s="37">
        <f>AVERAGE(F$5:F3031)</f>
        <v/>
      </c>
      <c r="L3031" s="37">
        <f>SUM(F$5:F3031)/SUM(E$5:E3031)</f>
        <v/>
      </c>
    </row>
    <row r="3032">
      <c r="A3032" s="29" t="n">
        <v>46121</v>
      </c>
      <c r="B3032" s="37" t="inlineStr">
        <is>
          <t>JOB-4028</t>
        </is>
      </c>
      <c r="C3032" s="34" t="n">
        <v>1</v>
      </c>
      <c r="D3032" s="37" t="inlineStr">
        <is>
          <t>Tech D</t>
        </is>
      </c>
      <c r="E3032" s="35" t="n">
        <v>5.8</v>
      </c>
      <c r="F3032" s="35" t="n">
        <v>4.2</v>
      </c>
      <c r="G3032" s="37" t="inlineStr">
        <is>
          <t>Y</t>
        </is>
      </c>
      <c r="H3032" s="37" t="inlineStr">
        <is>
          <t>N</t>
        </is>
      </c>
      <c r="I3032" s="37">
        <f>COUNTIF(G$5:G3032,"Y")/COUNTA(G$5:G3032)</f>
        <v/>
      </c>
      <c r="J3032" s="37">
        <f>COUNTIF(H$5:H3032,"Y")/COUNTA(H$5:H3032)</f>
        <v/>
      </c>
      <c r="K3032" s="37">
        <f>AVERAGE(F$5:F3032)</f>
        <v/>
      </c>
      <c r="L3032" s="37">
        <f>SUM(F$5:F3032)/SUM(E$5:E3032)</f>
        <v/>
      </c>
    </row>
    <row r="3033">
      <c r="A3033" s="29" t="n">
        <v>46122</v>
      </c>
      <c r="B3033" s="37" t="inlineStr">
        <is>
          <t>JOB-4029</t>
        </is>
      </c>
      <c r="C3033" s="34" t="n">
        <v>1</v>
      </c>
      <c r="D3033" s="37" t="inlineStr">
        <is>
          <t>Tech D</t>
        </is>
      </c>
      <c r="E3033" s="35" t="n">
        <v>4.3</v>
      </c>
      <c r="F3033" s="35" t="n">
        <v>3.1</v>
      </c>
      <c r="G3033" s="37" t="inlineStr">
        <is>
          <t>Y</t>
        </is>
      </c>
      <c r="H3033" s="37" t="inlineStr">
        <is>
          <t>N</t>
        </is>
      </c>
      <c r="I3033" s="37">
        <f>COUNTIF(G$5:G3033,"Y")/COUNTA(G$5:G3033)</f>
        <v/>
      </c>
      <c r="J3033" s="37">
        <f>COUNTIF(H$5:H3033,"Y")/COUNTA(H$5:H3033)</f>
        <v/>
      </c>
      <c r="K3033" s="37">
        <f>AVERAGE(F$5:F3033)</f>
        <v/>
      </c>
      <c r="L3033" s="37">
        <f>SUM(F$5:F3033)/SUM(E$5:E3033)</f>
        <v/>
      </c>
    </row>
    <row r="3034">
      <c r="A3034" s="29" t="n">
        <v>46118</v>
      </c>
      <c r="B3034" s="37" t="inlineStr">
        <is>
          <t>JOB-4030</t>
        </is>
      </c>
      <c r="C3034" s="34" t="n">
        <v>1</v>
      </c>
      <c r="D3034" s="37" t="inlineStr">
        <is>
          <t>Tech H</t>
        </is>
      </c>
      <c r="E3034" s="35" t="n">
        <v>1.7</v>
      </c>
      <c r="F3034" s="35" t="n">
        <v>1.5</v>
      </c>
      <c r="G3034" s="37" t="inlineStr">
        <is>
          <t>Y</t>
        </is>
      </c>
      <c r="H3034" s="37" t="inlineStr">
        <is>
          <t>N</t>
        </is>
      </c>
      <c r="I3034" s="37">
        <f>COUNTIF(G$5:G3034,"Y")/COUNTA(G$5:G3034)</f>
        <v/>
      </c>
      <c r="J3034" s="37">
        <f>COUNTIF(H$5:H3034,"Y")/COUNTA(H$5:H3034)</f>
        <v/>
      </c>
      <c r="K3034" s="37">
        <f>AVERAGE(F$5:F3034)</f>
        <v/>
      </c>
      <c r="L3034" s="37">
        <f>SUM(F$5:F3034)/SUM(E$5:E3034)</f>
        <v/>
      </c>
    </row>
    <row r="3035">
      <c r="A3035" s="29" t="n">
        <v>46119</v>
      </c>
      <c r="B3035" s="37" t="inlineStr">
        <is>
          <t>JOB-4031</t>
        </is>
      </c>
      <c r="C3035" s="34" t="n">
        <v>1</v>
      </c>
      <c r="D3035" s="37" t="inlineStr">
        <is>
          <t>Tech G</t>
        </is>
      </c>
      <c r="E3035" s="35" t="n">
        <v>0.5</v>
      </c>
      <c r="F3035" s="35" t="n">
        <v>0.5</v>
      </c>
      <c r="G3035" s="37" t="inlineStr">
        <is>
          <t>Y</t>
        </is>
      </c>
      <c r="H3035" s="37" t="inlineStr">
        <is>
          <t>N</t>
        </is>
      </c>
      <c r="I3035" s="37">
        <f>COUNTIF(G$5:G3035,"Y")/COUNTA(G$5:G3035)</f>
        <v/>
      </c>
      <c r="J3035" s="37">
        <f>COUNTIF(H$5:H3035,"Y")/COUNTA(H$5:H3035)</f>
        <v/>
      </c>
      <c r="K3035" s="37">
        <f>AVERAGE(F$5:F3035)</f>
        <v/>
      </c>
      <c r="L3035" s="37">
        <f>SUM(F$5:F3035)/SUM(E$5:E3035)</f>
        <v/>
      </c>
    </row>
    <row r="3036">
      <c r="A3036" s="29" t="n">
        <v>46120</v>
      </c>
      <c r="B3036" s="37" t="inlineStr">
        <is>
          <t>JOB-4032</t>
        </is>
      </c>
      <c r="C3036" s="34" t="n">
        <v>1</v>
      </c>
      <c r="D3036" s="37" t="inlineStr">
        <is>
          <t>Tech B</t>
        </is>
      </c>
      <c r="E3036" s="35" t="n">
        <v>0.5</v>
      </c>
      <c r="F3036" s="35" t="n">
        <v>0.5</v>
      </c>
      <c r="G3036" s="37" t="inlineStr">
        <is>
          <t>Y</t>
        </is>
      </c>
      <c r="H3036" s="37" t="inlineStr">
        <is>
          <t>N</t>
        </is>
      </c>
      <c r="I3036" s="37">
        <f>COUNTIF(G$5:G3036,"Y")/COUNTA(G$5:G3036)</f>
        <v/>
      </c>
      <c r="J3036" s="37">
        <f>COUNTIF(H$5:H3036,"Y")/COUNTA(H$5:H3036)</f>
        <v/>
      </c>
      <c r="K3036" s="37">
        <f>AVERAGE(F$5:F3036)</f>
        <v/>
      </c>
      <c r="L3036" s="37">
        <f>SUM(F$5:F3036)/SUM(E$5:E3036)</f>
        <v/>
      </c>
    </row>
    <row r="3037">
      <c r="A3037" s="29" t="n">
        <v>46121</v>
      </c>
      <c r="B3037" s="37" t="inlineStr">
        <is>
          <t>JOB-4033</t>
        </is>
      </c>
      <c r="C3037" s="34" t="n">
        <v>1</v>
      </c>
      <c r="D3037" s="37" t="inlineStr">
        <is>
          <t>Tech D</t>
        </is>
      </c>
      <c r="E3037" s="35" t="n">
        <v>0.5</v>
      </c>
      <c r="F3037" s="35" t="n">
        <v>0.5</v>
      </c>
      <c r="G3037" s="37" t="inlineStr">
        <is>
          <t>Y</t>
        </is>
      </c>
      <c r="H3037" s="37" t="inlineStr">
        <is>
          <t>N</t>
        </is>
      </c>
      <c r="I3037" s="37">
        <f>COUNTIF(G$5:G3037,"Y")/COUNTA(G$5:G3037)</f>
        <v/>
      </c>
      <c r="J3037" s="37">
        <f>COUNTIF(H$5:H3037,"Y")/COUNTA(H$5:H3037)</f>
        <v/>
      </c>
      <c r="K3037" s="37">
        <f>AVERAGE(F$5:F3037)</f>
        <v/>
      </c>
      <c r="L3037" s="37">
        <f>SUM(F$5:F3037)/SUM(E$5:E3037)</f>
        <v/>
      </c>
    </row>
    <row r="3038">
      <c r="A3038" s="29" t="n">
        <v>46122</v>
      </c>
      <c r="B3038" s="37" t="inlineStr">
        <is>
          <t>JOB-4034</t>
        </is>
      </c>
      <c r="C3038" s="34" t="n">
        <v>1</v>
      </c>
      <c r="D3038" s="37" t="inlineStr">
        <is>
          <t>Tech B</t>
        </is>
      </c>
      <c r="E3038" s="35" t="n">
        <v>0.5</v>
      </c>
      <c r="F3038" s="35" t="n">
        <v>0.5</v>
      </c>
      <c r="G3038" s="37" t="inlineStr">
        <is>
          <t>Y</t>
        </is>
      </c>
      <c r="H3038" s="37" t="inlineStr">
        <is>
          <t>N</t>
        </is>
      </c>
      <c r="I3038" s="37">
        <f>COUNTIF(G$5:G3038,"Y")/COUNTA(G$5:G3038)</f>
        <v/>
      </c>
      <c r="J3038" s="37">
        <f>COUNTIF(H$5:H3038,"Y")/COUNTA(H$5:H3038)</f>
        <v/>
      </c>
      <c r="K3038" s="37">
        <f>AVERAGE(F$5:F3038)</f>
        <v/>
      </c>
      <c r="L3038" s="37">
        <f>SUM(F$5:F3038)/SUM(E$5:E3038)</f>
        <v/>
      </c>
    </row>
    <row r="3039">
      <c r="A3039" s="29" t="n">
        <v>46118</v>
      </c>
      <c r="B3039" s="37" t="inlineStr">
        <is>
          <t>JOB-4035</t>
        </is>
      </c>
      <c r="C3039" s="34" t="n">
        <v>1</v>
      </c>
      <c r="D3039" s="37" t="inlineStr">
        <is>
          <t>Tech H</t>
        </is>
      </c>
      <c r="E3039" s="35" t="n">
        <v>0.5</v>
      </c>
      <c r="F3039" s="35" t="n">
        <v>0.5</v>
      </c>
      <c r="G3039" s="37" t="inlineStr">
        <is>
          <t>Y</t>
        </is>
      </c>
      <c r="H3039" s="37" t="inlineStr">
        <is>
          <t>N</t>
        </is>
      </c>
      <c r="I3039" s="37">
        <f>COUNTIF(G$5:G3039,"Y")/COUNTA(G$5:G3039)</f>
        <v/>
      </c>
      <c r="J3039" s="37">
        <f>COUNTIF(H$5:H3039,"Y")/COUNTA(H$5:H3039)</f>
        <v/>
      </c>
      <c r="K3039" s="37">
        <f>AVERAGE(F$5:F3039)</f>
        <v/>
      </c>
      <c r="L3039" s="37">
        <f>SUM(F$5:F3039)/SUM(E$5:E3039)</f>
        <v/>
      </c>
    </row>
    <row r="3040">
      <c r="A3040" s="29" t="n">
        <v>46119</v>
      </c>
      <c r="B3040" s="37" t="inlineStr">
        <is>
          <t>JOB-4036</t>
        </is>
      </c>
      <c r="C3040" s="34" t="n">
        <v>1</v>
      </c>
      <c r="D3040" s="37" t="inlineStr">
        <is>
          <t>Tech D</t>
        </is>
      </c>
      <c r="E3040" s="35" t="n">
        <v>0.5</v>
      </c>
      <c r="F3040" s="35" t="n">
        <v>0.5</v>
      </c>
      <c r="G3040" s="37" t="inlineStr">
        <is>
          <t>Y</t>
        </is>
      </c>
      <c r="H3040" s="37" t="inlineStr">
        <is>
          <t>N</t>
        </is>
      </c>
      <c r="I3040" s="37">
        <f>COUNTIF(G$5:G3040,"Y")/COUNTA(G$5:G3040)</f>
        <v/>
      </c>
      <c r="J3040" s="37">
        <f>COUNTIF(H$5:H3040,"Y")/COUNTA(H$5:H3040)</f>
        <v/>
      </c>
      <c r="K3040" s="37">
        <f>AVERAGE(F$5:F3040)</f>
        <v/>
      </c>
      <c r="L3040" s="37">
        <f>SUM(F$5:F3040)/SUM(E$5:E3040)</f>
        <v/>
      </c>
    </row>
    <row r="3041">
      <c r="A3041" s="29" t="n">
        <v>46120</v>
      </c>
      <c r="B3041" s="37" t="inlineStr">
        <is>
          <t>JOB-4037</t>
        </is>
      </c>
      <c r="C3041" s="34" t="n">
        <v>1</v>
      </c>
      <c r="D3041" s="37" t="inlineStr">
        <is>
          <t>Tech C</t>
        </is>
      </c>
      <c r="E3041" s="35" t="n">
        <v>0.5</v>
      </c>
      <c r="F3041" s="35" t="n">
        <v>0.5</v>
      </c>
      <c r="G3041" s="37" t="inlineStr">
        <is>
          <t>N</t>
        </is>
      </c>
      <c r="H3041" s="37" t="inlineStr">
        <is>
          <t>N</t>
        </is>
      </c>
      <c r="I3041" s="37">
        <f>COUNTIF(G$5:G3041,"Y")/COUNTA(G$5:G3041)</f>
        <v/>
      </c>
      <c r="J3041" s="37">
        <f>COUNTIF(H$5:H3041,"Y")/COUNTA(H$5:H3041)</f>
        <v/>
      </c>
      <c r="K3041" s="37">
        <f>AVERAGE(F$5:F3041)</f>
        <v/>
      </c>
      <c r="L3041" s="37">
        <f>SUM(F$5:F3041)/SUM(E$5:E3041)</f>
        <v/>
      </c>
    </row>
    <row r="3042">
      <c r="A3042" s="29" t="n">
        <v>46121</v>
      </c>
      <c r="B3042" s="37" t="inlineStr">
        <is>
          <t>JOB-4038</t>
        </is>
      </c>
      <c r="C3042" s="34" t="n">
        <v>1</v>
      </c>
      <c r="D3042" s="37" t="inlineStr">
        <is>
          <t>Tech F</t>
        </is>
      </c>
      <c r="E3042" s="35" t="n">
        <v>0.5</v>
      </c>
      <c r="F3042" s="35" t="n">
        <v>0.5</v>
      </c>
      <c r="G3042" s="37" t="inlineStr">
        <is>
          <t>Y</t>
        </is>
      </c>
      <c r="H3042" s="37" t="inlineStr">
        <is>
          <t>N</t>
        </is>
      </c>
      <c r="I3042" s="37">
        <f>COUNTIF(G$5:G3042,"Y")/COUNTA(G$5:G3042)</f>
        <v/>
      </c>
      <c r="J3042" s="37">
        <f>COUNTIF(H$5:H3042,"Y")/COUNTA(H$5:H3042)</f>
        <v/>
      </c>
      <c r="K3042" s="37">
        <f>AVERAGE(F$5:F3042)</f>
        <v/>
      </c>
      <c r="L3042" s="37">
        <f>SUM(F$5:F3042)/SUM(E$5:E3042)</f>
        <v/>
      </c>
      <c r="M3042" s="37" t="n">
        <v>12</v>
      </c>
    </row>
    <row r="3043">
      <c r="A3043" s="29" t="n">
        <v>46125</v>
      </c>
      <c r="B3043" s="37" t="inlineStr">
        <is>
          <t>JOB-4039</t>
        </is>
      </c>
      <c r="C3043" s="34" t="n">
        <v>1</v>
      </c>
      <c r="D3043" s="37" t="inlineStr">
        <is>
          <t>Tech H</t>
        </is>
      </c>
      <c r="E3043" s="35" t="n">
        <v>3.7</v>
      </c>
      <c r="F3043" s="35" t="n">
        <v>3</v>
      </c>
      <c r="G3043" s="37" t="inlineStr">
        <is>
          <t>Y</t>
        </is>
      </c>
      <c r="H3043" s="37" t="inlineStr">
        <is>
          <t>N</t>
        </is>
      </c>
      <c r="I3043" s="37">
        <f>COUNTIF(G$5:G3043,"Y")/COUNTA(G$5:G3043)</f>
        <v/>
      </c>
      <c r="J3043" s="37">
        <f>COUNTIF(H$5:H3043,"Y")/COUNTA(H$5:H3043)</f>
        <v/>
      </c>
      <c r="K3043" s="37">
        <f>AVERAGE(F$5:F3043)</f>
        <v/>
      </c>
      <c r="L3043" s="37">
        <f>SUM(F$5:F3043)/SUM(E$5:E3043)</f>
        <v/>
      </c>
    </row>
    <row r="3044">
      <c r="A3044" s="29" t="n">
        <v>46126</v>
      </c>
      <c r="B3044" s="37" t="inlineStr">
        <is>
          <t>JOB-4040</t>
        </is>
      </c>
      <c r="C3044" s="34" t="n">
        <v>1</v>
      </c>
      <c r="D3044" s="37" t="inlineStr">
        <is>
          <t>Tech C</t>
        </is>
      </c>
      <c r="E3044" s="35" t="n">
        <v>2.4</v>
      </c>
      <c r="F3044" s="35" t="n">
        <v>1.7</v>
      </c>
      <c r="G3044" s="37" t="inlineStr">
        <is>
          <t>Y</t>
        </is>
      </c>
      <c r="H3044" s="37" t="inlineStr">
        <is>
          <t>N</t>
        </is>
      </c>
      <c r="I3044" s="37">
        <f>COUNTIF(G$5:G3044,"Y")/COUNTA(G$5:G3044)</f>
        <v/>
      </c>
      <c r="J3044" s="37">
        <f>COUNTIF(H$5:H3044,"Y")/COUNTA(H$5:H3044)</f>
        <v/>
      </c>
      <c r="K3044" s="37">
        <f>AVERAGE(F$5:F3044)</f>
        <v/>
      </c>
      <c r="L3044" s="37">
        <f>SUM(F$5:F3044)/SUM(E$5:E3044)</f>
        <v/>
      </c>
    </row>
    <row r="3045">
      <c r="A3045" s="29" t="n">
        <v>46127</v>
      </c>
      <c r="B3045" s="37" t="inlineStr">
        <is>
          <t>JOB-4041</t>
        </is>
      </c>
      <c r="C3045" s="34" t="n">
        <v>1</v>
      </c>
      <c r="D3045" s="37" t="inlineStr">
        <is>
          <t>Tech H</t>
        </is>
      </c>
      <c r="E3045" s="35" t="n">
        <v>3</v>
      </c>
      <c r="F3045" s="35" t="n">
        <v>2.4</v>
      </c>
      <c r="G3045" s="37" t="inlineStr">
        <is>
          <t>Y</t>
        </is>
      </c>
      <c r="H3045" s="37" t="inlineStr">
        <is>
          <t>N</t>
        </is>
      </c>
      <c r="I3045" s="37">
        <f>COUNTIF(G$5:G3045,"Y")/COUNTA(G$5:G3045)</f>
        <v/>
      </c>
      <c r="J3045" s="37">
        <f>COUNTIF(H$5:H3045,"Y")/COUNTA(H$5:H3045)</f>
        <v/>
      </c>
      <c r="K3045" s="37">
        <f>AVERAGE(F$5:F3045)</f>
        <v/>
      </c>
      <c r="L3045" s="37">
        <f>SUM(F$5:F3045)/SUM(E$5:E3045)</f>
        <v/>
      </c>
    </row>
    <row r="3046">
      <c r="A3046" s="29" t="n">
        <v>46128</v>
      </c>
      <c r="B3046" s="37" t="inlineStr">
        <is>
          <t>JOB-4042</t>
        </is>
      </c>
      <c r="C3046" s="34" t="n">
        <v>1</v>
      </c>
      <c r="D3046" s="37" t="inlineStr">
        <is>
          <t>Tech A</t>
        </is>
      </c>
      <c r="E3046" s="35" t="n">
        <v>4.6</v>
      </c>
      <c r="F3046" s="35" t="n">
        <v>3.1</v>
      </c>
      <c r="G3046" s="37" t="inlineStr">
        <is>
          <t>Y</t>
        </is>
      </c>
      <c r="H3046" s="37" t="inlineStr">
        <is>
          <t>N</t>
        </is>
      </c>
      <c r="I3046" s="37">
        <f>COUNTIF(G$5:G3046,"Y")/COUNTA(G$5:G3046)</f>
        <v/>
      </c>
      <c r="J3046" s="37">
        <f>COUNTIF(H$5:H3046,"Y")/COUNTA(H$5:H3046)</f>
        <v/>
      </c>
      <c r="K3046" s="37">
        <f>AVERAGE(F$5:F3046)</f>
        <v/>
      </c>
      <c r="L3046" s="37">
        <f>SUM(F$5:F3046)/SUM(E$5:E3046)</f>
        <v/>
      </c>
    </row>
    <row r="3047">
      <c r="A3047" s="29" t="n">
        <v>46129</v>
      </c>
      <c r="B3047" s="37" t="inlineStr">
        <is>
          <t>JOB-4043</t>
        </is>
      </c>
      <c r="C3047" s="34" t="n">
        <v>1</v>
      </c>
      <c r="D3047" s="37" t="inlineStr">
        <is>
          <t>Tech F</t>
        </is>
      </c>
      <c r="E3047" s="35" t="n">
        <v>3.9</v>
      </c>
      <c r="F3047" s="35" t="n">
        <v>2.7</v>
      </c>
      <c r="G3047" s="37" t="inlineStr">
        <is>
          <t>Y</t>
        </is>
      </c>
      <c r="H3047" s="37" t="inlineStr">
        <is>
          <t>Y</t>
        </is>
      </c>
      <c r="I3047" s="37">
        <f>COUNTIF(G$5:G3047,"Y")/COUNTA(G$5:G3047)</f>
        <v/>
      </c>
      <c r="J3047" s="37">
        <f>COUNTIF(H$5:H3047,"Y")/COUNTA(H$5:H3047)</f>
        <v/>
      </c>
      <c r="K3047" s="37">
        <f>AVERAGE(F$5:F3047)</f>
        <v/>
      </c>
      <c r="L3047" s="37">
        <f>SUM(F$5:F3047)/SUM(E$5:E3047)</f>
        <v/>
      </c>
    </row>
    <row r="3048">
      <c r="A3048" s="29" t="n">
        <v>46125</v>
      </c>
      <c r="B3048" s="37" t="inlineStr">
        <is>
          <t>JOB-4044</t>
        </is>
      </c>
      <c r="C3048" s="34" t="n">
        <v>1</v>
      </c>
      <c r="D3048" s="37" t="inlineStr">
        <is>
          <t>Tech A</t>
        </is>
      </c>
      <c r="E3048" s="35" t="n">
        <v>4.1</v>
      </c>
      <c r="F3048" s="35" t="n">
        <v>3.7</v>
      </c>
      <c r="G3048" s="37" t="inlineStr">
        <is>
          <t>Y</t>
        </is>
      </c>
      <c r="H3048" s="37" t="inlineStr">
        <is>
          <t>N</t>
        </is>
      </c>
      <c r="I3048" s="37">
        <f>COUNTIF(G$5:G3048,"Y")/COUNTA(G$5:G3048)</f>
        <v/>
      </c>
      <c r="J3048" s="37">
        <f>COUNTIF(H$5:H3048,"Y")/COUNTA(H$5:H3048)</f>
        <v/>
      </c>
      <c r="K3048" s="37">
        <f>AVERAGE(F$5:F3048)</f>
        <v/>
      </c>
      <c r="L3048" s="37">
        <f>SUM(F$5:F3048)/SUM(E$5:E3048)</f>
        <v/>
      </c>
    </row>
    <row r="3049">
      <c r="A3049" s="29" t="n">
        <v>46126</v>
      </c>
      <c r="B3049" s="37" t="inlineStr">
        <is>
          <t>JOB-4045</t>
        </is>
      </c>
      <c r="C3049" s="34" t="n">
        <v>1</v>
      </c>
      <c r="D3049" s="37" t="inlineStr">
        <is>
          <t>Tech A</t>
        </is>
      </c>
      <c r="E3049" s="35" t="n">
        <v>4.1</v>
      </c>
      <c r="F3049" s="35" t="n">
        <v>3.1</v>
      </c>
      <c r="G3049" s="37" t="inlineStr">
        <is>
          <t>N</t>
        </is>
      </c>
      <c r="H3049" s="37" t="inlineStr">
        <is>
          <t>N</t>
        </is>
      </c>
      <c r="I3049" s="37">
        <f>COUNTIF(G$5:G3049,"Y")/COUNTA(G$5:G3049)</f>
        <v/>
      </c>
      <c r="J3049" s="37">
        <f>COUNTIF(H$5:H3049,"Y")/COUNTA(H$5:H3049)</f>
        <v/>
      </c>
      <c r="K3049" s="37">
        <f>AVERAGE(F$5:F3049)</f>
        <v/>
      </c>
      <c r="L3049" s="37">
        <f>SUM(F$5:F3049)/SUM(E$5:E3049)</f>
        <v/>
      </c>
    </row>
    <row r="3050">
      <c r="A3050" s="29" t="n">
        <v>46127</v>
      </c>
      <c r="B3050" s="37" t="inlineStr">
        <is>
          <t>JOB-4046</t>
        </is>
      </c>
      <c r="C3050" s="34" t="n">
        <v>1</v>
      </c>
      <c r="D3050" s="37" t="inlineStr">
        <is>
          <t>Tech C</t>
        </is>
      </c>
      <c r="E3050" s="35" t="n">
        <v>3.6</v>
      </c>
      <c r="F3050" s="35" t="n">
        <v>3.2</v>
      </c>
      <c r="G3050" s="37" t="inlineStr">
        <is>
          <t>Y</t>
        </is>
      </c>
      <c r="H3050" s="37" t="inlineStr">
        <is>
          <t>N</t>
        </is>
      </c>
      <c r="I3050" s="37">
        <f>COUNTIF(G$5:G3050,"Y")/COUNTA(G$5:G3050)</f>
        <v/>
      </c>
      <c r="J3050" s="37">
        <f>COUNTIF(H$5:H3050,"Y")/COUNTA(H$5:H3050)</f>
        <v/>
      </c>
      <c r="K3050" s="37">
        <f>AVERAGE(F$5:F3050)</f>
        <v/>
      </c>
      <c r="L3050" s="37">
        <f>SUM(F$5:F3050)/SUM(E$5:E3050)</f>
        <v/>
      </c>
    </row>
    <row r="3051">
      <c r="A3051" s="29" t="n">
        <v>46128</v>
      </c>
      <c r="B3051" s="37" t="inlineStr">
        <is>
          <t>JOB-4047</t>
        </is>
      </c>
      <c r="C3051" s="34" t="n">
        <v>1</v>
      </c>
      <c r="D3051" s="37" t="inlineStr">
        <is>
          <t>Tech D</t>
        </is>
      </c>
      <c r="E3051" s="35" t="n">
        <v>1.5</v>
      </c>
      <c r="F3051" s="35" t="n">
        <v>1.2</v>
      </c>
      <c r="G3051" s="37" t="inlineStr">
        <is>
          <t>Y</t>
        </is>
      </c>
      <c r="H3051" s="37" t="inlineStr">
        <is>
          <t>N</t>
        </is>
      </c>
      <c r="I3051" s="37">
        <f>COUNTIF(G$5:G3051,"Y")/COUNTA(G$5:G3051)</f>
        <v/>
      </c>
      <c r="J3051" s="37">
        <f>COUNTIF(H$5:H3051,"Y")/COUNTA(H$5:H3051)</f>
        <v/>
      </c>
      <c r="K3051" s="37">
        <f>AVERAGE(F$5:F3051)</f>
        <v/>
      </c>
      <c r="L3051" s="37">
        <f>SUM(F$5:F3051)/SUM(E$5:E3051)</f>
        <v/>
      </c>
    </row>
    <row r="3052">
      <c r="A3052" s="29" t="n">
        <v>46129</v>
      </c>
      <c r="B3052" s="37" t="inlineStr">
        <is>
          <t>JOB-4048</t>
        </is>
      </c>
      <c r="C3052" s="34" t="n">
        <v>1</v>
      </c>
      <c r="D3052" s="37" t="inlineStr">
        <is>
          <t>Tech B</t>
        </is>
      </c>
      <c r="E3052" s="35" t="n">
        <v>1.8</v>
      </c>
      <c r="F3052" s="35" t="n">
        <v>1.5</v>
      </c>
      <c r="G3052" s="37" t="inlineStr">
        <is>
          <t>Y</t>
        </is>
      </c>
      <c r="H3052" s="37" t="inlineStr">
        <is>
          <t>N</t>
        </is>
      </c>
      <c r="I3052" s="37">
        <f>COUNTIF(G$5:G3052,"Y")/COUNTA(G$5:G3052)</f>
        <v/>
      </c>
      <c r="J3052" s="37">
        <f>COUNTIF(H$5:H3052,"Y")/COUNTA(H$5:H3052)</f>
        <v/>
      </c>
      <c r="K3052" s="37">
        <f>AVERAGE(F$5:F3052)</f>
        <v/>
      </c>
      <c r="L3052" s="37">
        <f>SUM(F$5:F3052)/SUM(E$5:E3052)</f>
        <v/>
      </c>
    </row>
    <row r="3053">
      <c r="A3053" s="29" t="n">
        <v>46125</v>
      </c>
      <c r="B3053" s="37" t="inlineStr">
        <is>
          <t>JOB-4049</t>
        </is>
      </c>
      <c r="C3053" s="34" t="n">
        <v>1</v>
      </c>
      <c r="D3053" s="37" t="inlineStr">
        <is>
          <t>Tech C</t>
        </is>
      </c>
      <c r="E3053" s="35" t="n">
        <v>5.2</v>
      </c>
      <c r="F3053" s="35" t="n">
        <v>3.7</v>
      </c>
      <c r="G3053" s="37" t="inlineStr">
        <is>
          <t>Y</t>
        </is>
      </c>
      <c r="H3053" s="37" t="inlineStr">
        <is>
          <t>N</t>
        </is>
      </c>
      <c r="I3053" s="37">
        <f>COUNTIF(G$5:G3053,"Y")/COUNTA(G$5:G3053)</f>
        <v/>
      </c>
      <c r="J3053" s="37">
        <f>COUNTIF(H$5:H3053,"Y")/COUNTA(H$5:H3053)</f>
        <v/>
      </c>
      <c r="K3053" s="37">
        <f>AVERAGE(F$5:F3053)</f>
        <v/>
      </c>
      <c r="L3053" s="37">
        <f>SUM(F$5:F3053)/SUM(E$5:E3053)</f>
        <v/>
      </c>
    </row>
    <row r="3054">
      <c r="A3054" s="29" t="n">
        <v>46126</v>
      </c>
      <c r="B3054" s="37" t="inlineStr">
        <is>
          <t>JOB-4050</t>
        </is>
      </c>
      <c r="C3054" s="34" t="n">
        <v>1</v>
      </c>
      <c r="D3054" s="37" t="inlineStr">
        <is>
          <t>Tech F</t>
        </is>
      </c>
      <c r="E3054" s="35" t="n">
        <v>5.4</v>
      </c>
      <c r="F3054" s="35" t="n">
        <v>3.8</v>
      </c>
      <c r="G3054" s="37" t="inlineStr">
        <is>
          <t>Y</t>
        </is>
      </c>
      <c r="H3054" s="37" t="inlineStr">
        <is>
          <t>N</t>
        </is>
      </c>
      <c r="I3054" s="37">
        <f>COUNTIF(G$5:G3054,"Y")/COUNTA(G$5:G3054)</f>
        <v/>
      </c>
      <c r="J3054" s="37">
        <f>COUNTIF(H$5:H3054,"Y")/COUNTA(H$5:H3054)</f>
        <v/>
      </c>
      <c r="K3054" s="37">
        <f>AVERAGE(F$5:F3054)</f>
        <v/>
      </c>
      <c r="L3054" s="37">
        <f>SUM(F$5:F3054)/SUM(E$5:E3054)</f>
        <v/>
      </c>
    </row>
    <row r="3055">
      <c r="A3055" s="29" t="n">
        <v>46127</v>
      </c>
      <c r="B3055" s="37" t="inlineStr">
        <is>
          <t>JOB-4051</t>
        </is>
      </c>
      <c r="C3055" s="34" t="n">
        <v>1</v>
      </c>
      <c r="D3055" s="37" t="inlineStr">
        <is>
          <t>Tech A</t>
        </is>
      </c>
      <c r="E3055" s="35" t="n">
        <v>1.6</v>
      </c>
      <c r="F3055" s="35" t="n">
        <v>1.1</v>
      </c>
      <c r="G3055" s="37" t="inlineStr">
        <is>
          <t>Y</t>
        </is>
      </c>
      <c r="H3055" s="37" t="inlineStr">
        <is>
          <t>N</t>
        </is>
      </c>
      <c r="I3055" s="37">
        <f>COUNTIF(G$5:G3055,"Y")/COUNTA(G$5:G3055)</f>
        <v/>
      </c>
      <c r="J3055" s="37">
        <f>COUNTIF(H$5:H3055,"Y")/COUNTA(H$5:H3055)</f>
        <v/>
      </c>
      <c r="K3055" s="37">
        <f>AVERAGE(F$5:F3055)</f>
        <v/>
      </c>
      <c r="L3055" s="37">
        <f>SUM(F$5:F3055)/SUM(E$5:E3055)</f>
        <v/>
      </c>
    </row>
    <row r="3056">
      <c r="A3056" s="29" t="n">
        <v>46128</v>
      </c>
      <c r="B3056" s="37" t="inlineStr">
        <is>
          <t>JOB-4052</t>
        </is>
      </c>
      <c r="C3056" s="34" t="n">
        <v>1</v>
      </c>
      <c r="D3056" s="37" t="inlineStr">
        <is>
          <t>Tech G</t>
        </is>
      </c>
      <c r="E3056" s="35" t="n">
        <v>3.7</v>
      </c>
      <c r="F3056" s="35" t="n">
        <v>3</v>
      </c>
      <c r="G3056" s="37" t="inlineStr">
        <is>
          <t>Y</t>
        </is>
      </c>
      <c r="H3056" s="37" t="inlineStr">
        <is>
          <t>N</t>
        </is>
      </c>
      <c r="I3056" s="37">
        <f>COUNTIF(G$5:G3056,"Y")/COUNTA(G$5:G3056)</f>
        <v/>
      </c>
      <c r="J3056" s="37">
        <f>COUNTIF(H$5:H3056,"Y")/COUNTA(H$5:H3056)</f>
        <v/>
      </c>
      <c r="K3056" s="37">
        <f>AVERAGE(F$5:F3056)</f>
        <v/>
      </c>
      <c r="L3056" s="37">
        <f>SUM(F$5:F3056)/SUM(E$5:E3056)</f>
        <v/>
      </c>
    </row>
    <row r="3057">
      <c r="A3057" s="29" t="n">
        <v>46129</v>
      </c>
      <c r="B3057" s="37" t="inlineStr">
        <is>
          <t>JOB-4053</t>
        </is>
      </c>
      <c r="C3057" s="34" t="n">
        <v>1</v>
      </c>
      <c r="D3057" s="37" t="inlineStr">
        <is>
          <t>Tech G</t>
        </is>
      </c>
      <c r="E3057" s="35" t="n">
        <v>1.6</v>
      </c>
      <c r="F3057" s="35" t="n">
        <v>1.3</v>
      </c>
      <c r="G3057" s="37" t="inlineStr">
        <is>
          <t>Y</t>
        </is>
      </c>
      <c r="H3057" s="37" t="inlineStr">
        <is>
          <t>N</t>
        </is>
      </c>
      <c r="I3057" s="37">
        <f>COUNTIF(G$5:G3057,"Y")/COUNTA(G$5:G3057)</f>
        <v/>
      </c>
      <c r="J3057" s="37">
        <f>COUNTIF(H$5:H3057,"Y")/COUNTA(H$5:H3057)</f>
        <v/>
      </c>
      <c r="K3057" s="37">
        <f>AVERAGE(F$5:F3057)</f>
        <v/>
      </c>
      <c r="L3057" s="37">
        <f>SUM(F$5:F3057)/SUM(E$5:E3057)</f>
        <v/>
      </c>
    </row>
    <row r="3058">
      <c r="A3058" s="29" t="n">
        <v>46125</v>
      </c>
      <c r="B3058" s="37" t="inlineStr">
        <is>
          <t>JOB-4054</t>
        </is>
      </c>
      <c r="C3058" s="34" t="n">
        <v>1</v>
      </c>
      <c r="D3058" s="37" t="inlineStr">
        <is>
          <t>Tech H</t>
        </is>
      </c>
      <c r="E3058" s="35" t="n">
        <v>4.1</v>
      </c>
      <c r="F3058" s="35" t="n">
        <v>3</v>
      </c>
      <c r="G3058" s="37" t="inlineStr">
        <is>
          <t>N</t>
        </is>
      </c>
      <c r="H3058" s="37" t="inlineStr">
        <is>
          <t>N</t>
        </is>
      </c>
      <c r="I3058" s="37">
        <f>COUNTIF(G$5:G3058,"Y")/COUNTA(G$5:G3058)</f>
        <v/>
      </c>
      <c r="J3058" s="37">
        <f>COUNTIF(H$5:H3058,"Y")/COUNTA(H$5:H3058)</f>
        <v/>
      </c>
      <c r="K3058" s="37">
        <f>AVERAGE(F$5:F3058)</f>
        <v/>
      </c>
      <c r="L3058" s="37">
        <f>SUM(F$5:F3058)/SUM(E$5:E3058)</f>
        <v/>
      </c>
    </row>
    <row r="3059">
      <c r="A3059" s="29" t="n">
        <v>46126</v>
      </c>
      <c r="B3059" s="37" t="inlineStr">
        <is>
          <t>JOB-4055</t>
        </is>
      </c>
      <c r="C3059" s="34" t="n">
        <v>1</v>
      </c>
      <c r="D3059" s="37" t="inlineStr">
        <is>
          <t>Tech G</t>
        </is>
      </c>
      <c r="E3059" s="35" t="n">
        <v>4</v>
      </c>
      <c r="F3059" s="35" t="n">
        <v>3.2</v>
      </c>
      <c r="G3059" s="37" t="inlineStr">
        <is>
          <t>Y</t>
        </is>
      </c>
      <c r="H3059" s="37" t="inlineStr">
        <is>
          <t>N</t>
        </is>
      </c>
      <c r="I3059" s="37">
        <f>COUNTIF(G$5:G3059,"Y")/COUNTA(G$5:G3059)</f>
        <v/>
      </c>
      <c r="J3059" s="37">
        <f>COUNTIF(H$5:H3059,"Y")/COUNTA(H$5:H3059)</f>
        <v/>
      </c>
      <c r="K3059" s="37">
        <f>AVERAGE(F$5:F3059)</f>
        <v/>
      </c>
      <c r="L3059" s="37">
        <f>SUM(F$5:F3059)/SUM(E$5:E3059)</f>
        <v/>
      </c>
    </row>
    <row r="3060">
      <c r="A3060" s="29" t="n">
        <v>46127</v>
      </c>
      <c r="B3060" s="37" t="inlineStr">
        <is>
          <t>JOB-4056</t>
        </is>
      </c>
      <c r="C3060" s="34" t="n">
        <v>1</v>
      </c>
      <c r="D3060" s="37" t="inlineStr">
        <is>
          <t>Tech D</t>
        </is>
      </c>
      <c r="E3060" s="35" t="n">
        <v>3.3</v>
      </c>
      <c r="F3060" s="35" t="n">
        <v>2.3</v>
      </c>
      <c r="G3060" s="37" t="inlineStr">
        <is>
          <t>N</t>
        </is>
      </c>
      <c r="H3060" s="37" t="inlineStr">
        <is>
          <t>N</t>
        </is>
      </c>
      <c r="I3060" s="37">
        <f>COUNTIF(G$5:G3060,"Y")/COUNTA(G$5:G3060)</f>
        <v/>
      </c>
      <c r="J3060" s="37">
        <f>COUNTIF(H$5:H3060,"Y")/COUNTA(H$5:H3060)</f>
        <v/>
      </c>
      <c r="K3060" s="37">
        <f>AVERAGE(F$5:F3060)</f>
        <v/>
      </c>
      <c r="L3060" s="37">
        <f>SUM(F$5:F3060)/SUM(E$5:E3060)</f>
        <v/>
      </c>
    </row>
    <row r="3061">
      <c r="A3061" s="29" t="n">
        <v>46128</v>
      </c>
      <c r="B3061" s="37" t="inlineStr">
        <is>
          <t>JOB-4057</t>
        </is>
      </c>
      <c r="C3061" s="34" t="n">
        <v>1</v>
      </c>
      <c r="D3061" s="37" t="inlineStr">
        <is>
          <t>Tech H</t>
        </is>
      </c>
      <c r="E3061" s="35" t="n">
        <v>1.8</v>
      </c>
      <c r="F3061" s="35" t="n">
        <v>1.5</v>
      </c>
      <c r="G3061" s="37" t="inlineStr">
        <is>
          <t>Y</t>
        </is>
      </c>
      <c r="H3061" s="37" t="inlineStr">
        <is>
          <t>Y</t>
        </is>
      </c>
      <c r="I3061" s="37">
        <f>COUNTIF(G$5:G3061,"Y")/COUNTA(G$5:G3061)</f>
        <v/>
      </c>
      <c r="J3061" s="37">
        <f>COUNTIF(H$5:H3061,"Y")/COUNTA(H$5:H3061)</f>
        <v/>
      </c>
      <c r="K3061" s="37">
        <f>AVERAGE(F$5:F3061)</f>
        <v/>
      </c>
      <c r="L3061" s="37">
        <f>SUM(F$5:F3061)/SUM(E$5:E3061)</f>
        <v/>
      </c>
    </row>
    <row r="3062">
      <c r="A3062" s="29" t="n">
        <v>46129</v>
      </c>
      <c r="B3062" s="37" t="inlineStr">
        <is>
          <t>JOB-4058</t>
        </is>
      </c>
      <c r="C3062" s="34" t="n">
        <v>1</v>
      </c>
      <c r="D3062" s="37" t="inlineStr">
        <is>
          <t>Tech F</t>
        </is>
      </c>
      <c r="E3062" s="35" t="n">
        <v>1.9</v>
      </c>
      <c r="F3062" s="35" t="n">
        <v>1.5</v>
      </c>
      <c r="G3062" s="37" t="inlineStr">
        <is>
          <t>N</t>
        </is>
      </c>
      <c r="H3062" s="37" t="inlineStr">
        <is>
          <t>N</t>
        </is>
      </c>
      <c r="I3062" s="37">
        <f>COUNTIF(G$5:G3062,"Y")/COUNTA(G$5:G3062)</f>
        <v/>
      </c>
      <c r="J3062" s="37">
        <f>COUNTIF(H$5:H3062,"Y")/COUNTA(H$5:H3062)</f>
        <v/>
      </c>
      <c r="K3062" s="37">
        <f>AVERAGE(F$5:F3062)</f>
        <v/>
      </c>
      <c r="L3062" s="37">
        <f>SUM(F$5:F3062)/SUM(E$5:E3062)</f>
        <v/>
      </c>
    </row>
    <row r="3063">
      <c r="A3063" s="29" t="n">
        <v>46125</v>
      </c>
      <c r="B3063" s="37" t="inlineStr">
        <is>
          <t>JOB-4059</t>
        </is>
      </c>
      <c r="C3063" s="34" t="n">
        <v>1</v>
      </c>
      <c r="D3063" s="37" t="inlineStr">
        <is>
          <t>Tech F</t>
        </is>
      </c>
      <c r="E3063" s="35" t="n">
        <v>1.9</v>
      </c>
      <c r="F3063" s="35" t="n">
        <v>1.7</v>
      </c>
      <c r="G3063" s="37" t="inlineStr">
        <is>
          <t>Y</t>
        </is>
      </c>
      <c r="H3063" s="37" t="inlineStr">
        <is>
          <t>N</t>
        </is>
      </c>
      <c r="I3063" s="37">
        <f>COUNTIF(G$5:G3063,"Y")/COUNTA(G$5:G3063)</f>
        <v/>
      </c>
      <c r="J3063" s="37">
        <f>COUNTIF(H$5:H3063,"Y")/COUNTA(H$5:H3063)</f>
        <v/>
      </c>
      <c r="K3063" s="37">
        <f>AVERAGE(F$5:F3063)</f>
        <v/>
      </c>
      <c r="L3063" s="37">
        <f>SUM(F$5:F3063)/SUM(E$5:E3063)</f>
        <v/>
      </c>
    </row>
    <row r="3064">
      <c r="A3064" s="29" t="n">
        <v>46126</v>
      </c>
      <c r="B3064" s="37" t="inlineStr">
        <is>
          <t>JOB-4060</t>
        </is>
      </c>
      <c r="C3064" s="34" t="n">
        <v>1</v>
      </c>
      <c r="D3064" s="37" t="inlineStr">
        <is>
          <t>Tech G</t>
        </is>
      </c>
      <c r="E3064" s="35" t="n">
        <v>2.1</v>
      </c>
      <c r="F3064" s="35" t="n">
        <v>1.8</v>
      </c>
      <c r="G3064" s="37" t="inlineStr">
        <is>
          <t>Y</t>
        </is>
      </c>
      <c r="H3064" s="37" t="inlineStr">
        <is>
          <t>N</t>
        </is>
      </c>
      <c r="I3064" s="37">
        <f>COUNTIF(G$5:G3064,"Y")/COUNTA(G$5:G3064)</f>
        <v/>
      </c>
      <c r="J3064" s="37">
        <f>COUNTIF(H$5:H3064,"Y")/COUNTA(H$5:H3064)</f>
        <v/>
      </c>
      <c r="K3064" s="37">
        <f>AVERAGE(F$5:F3064)</f>
        <v/>
      </c>
      <c r="L3064" s="37">
        <f>SUM(F$5:F3064)/SUM(E$5:E3064)</f>
        <v/>
      </c>
    </row>
    <row r="3065">
      <c r="A3065" s="29" t="n">
        <v>46127</v>
      </c>
      <c r="B3065" s="37" t="inlineStr">
        <is>
          <t>JOB-4061</t>
        </is>
      </c>
      <c r="C3065" s="34" t="n">
        <v>1</v>
      </c>
      <c r="D3065" s="37" t="inlineStr">
        <is>
          <t>Tech B</t>
        </is>
      </c>
      <c r="E3065" s="35" t="n">
        <v>2.7</v>
      </c>
      <c r="F3065" s="35" t="n">
        <v>2</v>
      </c>
      <c r="G3065" s="37" t="inlineStr">
        <is>
          <t>Y</t>
        </is>
      </c>
      <c r="H3065" s="37" t="inlineStr">
        <is>
          <t>N</t>
        </is>
      </c>
      <c r="I3065" s="37">
        <f>COUNTIF(G$5:G3065,"Y")/COUNTA(G$5:G3065)</f>
        <v/>
      </c>
      <c r="J3065" s="37">
        <f>COUNTIF(H$5:H3065,"Y")/COUNTA(H$5:H3065)</f>
        <v/>
      </c>
      <c r="K3065" s="37">
        <f>AVERAGE(F$5:F3065)</f>
        <v/>
      </c>
      <c r="L3065" s="37">
        <f>SUM(F$5:F3065)/SUM(E$5:E3065)</f>
        <v/>
      </c>
    </row>
    <row r="3066">
      <c r="A3066" s="29" t="n">
        <v>46128</v>
      </c>
      <c r="B3066" s="37" t="inlineStr">
        <is>
          <t>JOB-4062</t>
        </is>
      </c>
      <c r="C3066" s="34" t="n">
        <v>1</v>
      </c>
      <c r="D3066" s="37" t="inlineStr">
        <is>
          <t>Tech F</t>
        </is>
      </c>
      <c r="E3066" s="35" t="n">
        <v>1.7</v>
      </c>
      <c r="F3066" s="35" t="n">
        <v>1.3</v>
      </c>
      <c r="G3066" s="37" t="inlineStr">
        <is>
          <t>Y</t>
        </is>
      </c>
      <c r="H3066" s="37" t="inlineStr">
        <is>
          <t>N</t>
        </is>
      </c>
      <c r="I3066" s="37">
        <f>COUNTIF(G$5:G3066,"Y")/COUNTA(G$5:G3066)</f>
        <v/>
      </c>
      <c r="J3066" s="37">
        <f>COUNTIF(H$5:H3066,"Y")/COUNTA(H$5:H3066)</f>
        <v/>
      </c>
      <c r="K3066" s="37">
        <f>AVERAGE(F$5:F3066)</f>
        <v/>
      </c>
      <c r="L3066" s="37">
        <f>SUM(F$5:F3066)/SUM(E$5:E3066)</f>
        <v/>
      </c>
    </row>
    <row r="3067">
      <c r="A3067" s="29" t="n">
        <v>46129</v>
      </c>
      <c r="B3067" s="37" t="inlineStr">
        <is>
          <t>JOB-4063</t>
        </is>
      </c>
      <c r="C3067" s="34" t="n">
        <v>1</v>
      </c>
      <c r="D3067" s="37" t="inlineStr">
        <is>
          <t>Tech C</t>
        </is>
      </c>
      <c r="E3067" s="35" t="n">
        <v>1.6</v>
      </c>
      <c r="F3067" s="35" t="n">
        <v>1.3</v>
      </c>
      <c r="G3067" s="37" t="inlineStr">
        <is>
          <t>Y</t>
        </is>
      </c>
      <c r="H3067" s="37" t="inlineStr">
        <is>
          <t>N</t>
        </is>
      </c>
      <c r="I3067" s="37">
        <f>COUNTIF(G$5:G3067,"Y")/COUNTA(G$5:G3067)</f>
        <v/>
      </c>
      <c r="J3067" s="37">
        <f>COUNTIF(H$5:H3067,"Y")/COUNTA(H$5:H3067)</f>
        <v/>
      </c>
      <c r="K3067" s="37">
        <f>AVERAGE(F$5:F3067)</f>
        <v/>
      </c>
      <c r="L3067" s="37">
        <f>SUM(F$5:F3067)/SUM(E$5:E3067)</f>
        <v/>
      </c>
    </row>
    <row r="3068">
      <c r="A3068" s="29" t="n">
        <v>46125</v>
      </c>
      <c r="B3068" s="37" t="inlineStr">
        <is>
          <t>JOB-4064</t>
        </is>
      </c>
      <c r="C3068" s="34" t="n">
        <v>1</v>
      </c>
      <c r="D3068" s="37" t="inlineStr">
        <is>
          <t>Tech H</t>
        </is>
      </c>
      <c r="E3068" s="35" t="n">
        <v>3.9</v>
      </c>
      <c r="F3068" s="35" t="n">
        <v>3.5</v>
      </c>
      <c r="G3068" s="37" t="inlineStr">
        <is>
          <t>Y</t>
        </is>
      </c>
      <c r="H3068" s="37" t="inlineStr">
        <is>
          <t>N</t>
        </is>
      </c>
      <c r="I3068" s="37">
        <f>COUNTIF(G$5:G3068,"Y")/COUNTA(G$5:G3068)</f>
        <v/>
      </c>
      <c r="J3068" s="37">
        <f>COUNTIF(H$5:H3068,"Y")/COUNTA(H$5:H3068)</f>
        <v/>
      </c>
      <c r="K3068" s="37">
        <f>AVERAGE(F$5:F3068)</f>
        <v/>
      </c>
      <c r="L3068" s="37">
        <f>SUM(F$5:F3068)/SUM(E$5:E3068)</f>
        <v/>
      </c>
    </row>
    <row r="3069">
      <c r="A3069" s="29" t="n">
        <v>46126</v>
      </c>
      <c r="B3069" s="37" t="inlineStr">
        <is>
          <t>JOB-4065</t>
        </is>
      </c>
      <c r="C3069" s="34" t="n">
        <v>1</v>
      </c>
      <c r="D3069" s="37" t="inlineStr">
        <is>
          <t>Tech H</t>
        </is>
      </c>
      <c r="E3069" s="35" t="n">
        <v>3.5</v>
      </c>
      <c r="F3069" s="35" t="n">
        <v>2.6</v>
      </c>
      <c r="G3069" s="37" t="inlineStr">
        <is>
          <t>Y</t>
        </is>
      </c>
      <c r="H3069" s="37" t="inlineStr">
        <is>
          <t>N</t>
        </is>
      </c>
      <c r="I3069" s="37">
        <f>COUNTIF(G$5:G3069,"Y")/COUNTA(G$5:G3069)</f>
        <v/>
      </c>
      <c r="J3069" s="37">
        <f>COUNTIF(H$5:H3069,"Y")/COUNTA(H$5:H3069)</f>
        <v/>
      </c>
      <c r="K3069" s="37">
        <f>AVERAGE(F$5:F3069)</f>
        <v/>
      </c>
      <c r="L3069" s="37">
        <f>SUM(F$5:F3069)/SUM(E$5:E3069)</f>
        <v/>
      </c>
    </row>
    <row r="3070">
      <c r="A3070" s="29" t="n">
        <v>46127</v>
      </c>
      <c r="B3070" s="37" t="inlineStr">
        <is>
          <t>JOB-4066</t>
        </is>
      </c>
      <c r="C3070" s="34" t="n">
        <v>1</v>
      </c>
      <c r="D3070" s="37" t="inlineStr">
        <is>
          <t>Tech A</t>
        </is>
      </c>
      <c r="E3070" s="35" t="n">
        <v>1.4</v>
      </c>
      <c r="F3070" s="35" t="n">
        <v>1.3</v>
      </c>
      <c r="G3070" s="37" t="inlineStr">
        <is>
          <t>Y</t>
        </is>
      </c>
      <c r="H3070" s="37" t="inlineStr">
        <is>
          <t>N</t>
        </is>
      </c>
      <c r="I3070" s="37">
        <f>COUNTIF(G$5:G3070,"Y")/COUNTA(G$5:G3070)</f>
        <v/>
      </c>
      <c r="J3070" s="37">
        <f>COUNTIF(H$5:H3070,"Y")/COUNTA(H$5:H3070)</f>
        <v/>
      </c>
      <c r="K3070" s="37">
        <f>AVERAGE(F$5:F3070)</f>
        <v/>
      </c>
      <c r="L3070" s="37">
        <f>SUM(F$5:F3070)/SUM(E$5:E3070)</f>
        <v/>
      </c>
    </row>
    <row r="3071">
      <c r="A3071" s="29" t="n">
        <v>46128</v>
      </c>
      <c r="B3071" s="37" t="inlineStr">
        <is>
          <t>JOB-4067</t>
        </is>
      </c>
      <c r="C3071" s="34" t="n">
        <v>1</v>
      </c>
      <c r="D3071" s="37" t="inlineStr">
        <is>
          <t>Tech B</t>
        </is>
      </c>
      <c r="E3071" s="35" t="n">
        <v>4.1</v>
      </c>
      <c r="F3071" s="35" t="n">
        <v>3.7</v>
      </c>
      <c r="G3071" s="37" t="inlineStr">
        <is>
          <t>Y</t>
        </is>
      </c>
      <c r="H3071" s="37" t="inlineStr">
        <is>
          <t>N</t>
        </is>
      </c>
      <c r="I3071" s="37">
        <f>COUNTIF(G$5:G3071,"Y")/COUNTA(G$5:G3071)</f>
        <v/>
      </c>
      <c r="J3071" s="37">
        <f>COUNTIF(H$5:H3071,"Y")/COUNTA(H$5:H3071)</f>
        <v/>
      </c>
      <c r="K3071" s="37">
        <f>AVERAGE(F$5:F3071)</f>
        <v/>
      </c>
      <c r="L3071" s="37">
        <f>SUM(F$5:F3071)/SUM(E$5:E3071)</f>
        <v/>
      </c>
    </row>
    <row r="3072">
      <c r="A3072" s="29" t="n">
        <v>46129</v>
      </c>
      <c r="B3072" s="37" t="inlineStr">
        <is>
          <t>JOB-4068</t>
        </is>
      </c>
      <c r="C3072" s="34" t="n">
        <v>1</v>
      </c>
      <c r="D3072" s="37" t="inlineStr">
        <is>
          <t>Tech A</t>
        </is>
      </c>
      <c r="E3072" s="35" t="n">
        <v>2.3</v>
      </c>
      <c r="F3072" s="35" t="n">
        <v>1.9</v>
      </c>
      <c r="G3072" s="37" t="inlineStr">
        <is>
          <t>Y</t>
        </is>
      </c>
      <c r="H3072" s="37" t="inlineStr">
        <is>
          <t>N</t>
        </is>
      </c>
      <c r="I3072" s="37">
        <f>COUNTIF(G$5:G3072,"Y")/COUNTA(G$5:G3072)</f>
        <v/>
      </c>
      <c r="J3072" s="37">
        <f>COUNTIF(H$5:H3072,"Y")/COUNTA(H$5:H3072)</f>
        <v/>
      </c>
      <c r="K3072" s="37">
        <f>AVERAGE(F$5:F3072)</f>
        <v/>
      </c>
      <c r="L3072" s="37">
        <f>SUM(F$5:F3072)/SUM(E$5:E3072)</f>
        <v/>
      </c>
    </row>
    <row r="3073">
      <c r="A3073" s="29" t="n">
        <v>46125</v>
      </c>
      <c r="B3073" s="37" t="inlineStr">
        <is>
          <t>JOB-4069</t>
        </is>
      </c>
      <c r="C3073" s="34" t="n">
        <v>1</v>
      </c>
      <c r="D3073" s="37" t="inlineStr">
        <is>
          <t>Tech D</t>
        </is>
      </c>
      <c r="E3073" s="35" t="n">
        <v>4.2</v>
      </c>
      <c r="F3073" s="35" t="n">
        <v>3.2</v>
      </c>
      <c r="G3073" s="37" t="inlineStr">
        <is>
          <t>Y</t>
        </is>
      </c>
      <c r="H3073" s="37" t="inlineStr">
        <is>
          <t>N</t>
        </is>
      </c>
      <c r="I3073" s="37">
        <f>COUNTIF(G$5:G3073,"Y")/COUNTA(G$5:G3073)</f>
        <v/>
      </c>
      <c r="J3073" s="37">
        <f>COUNTIF(H$5:H3073,"Y")/COUNTA(H$5:H3073)</f>
        <v/>
      </c>
      <c r="K3073" s="37">
        <f>AVERAGE(F$5:F3073)</f>
        <v/>
      </c>
      <c r="L3073" s="37">
        <f>SUM(F$5:F3073)/SUM(E$5:E3073)</f>
        <v/>
      </c>
    </row>
    <row r="3074">
      <c r="A3074" s="29" t="n">
        <v>46126</v>
      </c>
      <c r="B3074" s="37" t="inlineStr">
        <is>
          <t>JOB-4070</t>
        </is>
      </c>
      <c r="C3074" s="34" t="n">
        <v>1</v>
      </c>
      <c r="D3074" s="37" t="inlineStr">
        <is>
          <t>Tech B</t>
        </is>
      </c>
      <c r="E3074" s="35" t="n">
        <v>2.4</v>
      </c>
      <c r="F3074" s="35" t="n">
        <v>2.1</v>
      </c>
      <c r="G3074" s="37" t="inlineStr">
        <is>
          <t>Y</t>
        </is>
      </c>
      <c r="H3074" s="37" t="inlineStr">
        <is>
          <t>N</t>
        </is>
      </c>
      <c r="I3074" s="37">
        <f>COUNTIF(G$5:G3074,"Y")/COUNTA(G$5:G3074)</f>
        <v/>
      </c>
      <c r="J3074" s="37">
        <f>COUNTIF(H$5:H3074,"Y")/COUNTA(H$5:H3074)</f>
        <v/>
      </c>
      <c r="K3074" s="37">
        <f>AVERAGE(F$5:F3074)</f>
        <v/>
      </c>
      <c r="L3074" s="37">
        <f>SUM(F$5:F3074)/SUM(E$5:E3074)</f>
        <v/>
      </c>
    </row>
    <row r="3075">
      <c r="A3075" s="29" t="n">
        <v>46127</v>
      </c>
      <c r="B3075" s="37" t="inlineStr">
        <is>
          <t>JOB-4071</t>
        </is>
      </c>
      <c r="C3075" s="34" t="n">
        <v>1</v>
      </c>
      <c r="D3075" s="37" t="inlineStr">
        <is>
          <t>Tech B</t>
        </is>
      </c>
      <c r="E3075" s="35" t="n">
        <v>2</v>
      </c>
      <c r="F3075" s="35" t="n">
        <v>1.5</v>
      </c>
      <c r="G3075" s="37" t="inlineStr">
        <is>
          <t>Y</t>
        </is>
      </c>
      <c r="H3075" s="37" t="inlineStr">
        <is>
          <t>N</t>
        </is>
      </c>
      <c r="I3075" s="37">
        <f>COUNTIF(G$5:G3075,"Y")/COUNTA(G$5:G3075)</f>
        <v/>
      </c>
      <c r="J3075" s="37">
        <f>COUNTIF(H$5:H3075,"Y")/COUNTA(H$5:H3075)</f>
        <v/>
      </c>
      <c r="K3075" s="37">
        <f>AVERAGE(F$5:F3075)</f>
        <v/>
      </c>
      <c r="L3075" s="37">
        <f>SUM(F$5:F3075)/SUM(E$5:E3075)</f>
        <v/>
      </c>
    </row>
    <row r="3076">
      <c r="A3076" s="29" t="n">
        <v>46128</v>
      </c>
      <c r="B3076" s="37" t="inlineStr">
        <is>
          <t>JOB-4072</t>
        </is>
      </c>
      <c r="C3076" s="34" t="n">
        <v>1</v>
      </c>
      <c r="D3076" s="37" t="inlineStr">
        <is>
          <t>Tech H</t>
        </is>
      </c>
      <c r="E3076" s="35" t="n">
        <v>3.1</v>
      </c>
      <c r="F3076" s="35" t="n">
        <v>2.4</v>
      </c>
      <c r="G3076" s="37" t="inlineStr">
        <is>
          <t>Y</t>
        </is>
      </c>
      <c r="H3076" s="37" t="inlineStr">
        <is>
          <t>N</t>
        </is>
      </c>
      <c r="I3076" s="37">
        <f>COUNTIF(G$5:G3076,"Y")/COUNTA(G$5:G3076)</f>
        <v/>
      </c>
      <c r="J3076" s="37">
        <f>COUNTIF(H$5:H3076,"Y")/COUNTA(H$5:H3076)</f>
        <v/>
      </c>
      <c r="K3076" s="37">
        <f>AVERAGE(F$5:F3076)</f>
        <v/>
      </c>
      <c r="L3076" s="37">
        <f>SUM(F$5:F3076)/SUM(E$5:E3076)</f>
        <v/>
      </c>
    </row>
    <row r="3077">
      <c r="A3077" s="29" t="n">
        <v>46129</v>
      </c>
      <c r="B3077" s="37" t="inlineStr">
        <is>
          <t>JOB-4073</t>
        </is>
      </c>
      <c r="C3077" s="34" t="n">
        <v>1</v>
      </c>
      <c r="D3077" s="37" t="inlineStr">
        <is>
          <t>Tech C</t>
        </is>
      </c>
      <c r="E3077" s="35" t="n">
        <v>4.2</v>
      </c>
      <c r="F3077" s="35" t="n">
        <v>3.7</v>
      </c>
      <c r="G3077" s="37" t="inlineStr">
        <is>
          <t>Y</t>
        </is>
      </c>
      <c r="H3077" s="37" t="inlineStr">
        <is>
          <t>N</t>
        </is>
      </c>
      <c r="I3077" s="37">
        <f>COUNTIF(G$5:G3077,"Y")/COUNTA(G$5:G3077)</f>
        <v/>
      </c>
      <c r="J3077" s="37">
        <f>COUNTIF(H$5:H3077,"Y")/COUNTA(H$5:H3077)</f>
        <v/>
      </c>
      <c r="K3077" s="37">
        <f>AVERAGE(F$5:F3077)</f>
        <v/>
      </c>
      <c r="L3077" s="37">
        <f>SUM(F$5:F3077)/SUM(E$5:E3077)</f>
        <v/>
      </c>
    </row>
    <row r="3078">
      <c r="A3078" s="29" t="n">
        <v>46125</v>
      </c>
      <c r="B3078" s="37" t="inlineStr">
        <is>
          <t>JOB-4074</t>
        </is>
      </c>
      <c r="C3078" s="34" t="n">
        <v>1</v>
      </c>
      <c r="D3078" s="37" t="inlineStr">
        <is>
          <t>Tech A</t>
        </is>
      </c>
      <c r="E3078" s="35" t="n">
        <v>3.4</v>
      </c>
      <c r="F3078" s="35" t="n">
        <v>2.9</v>
      </c>
      <c r="G3078" s="37" t="inlineStr">
        <is>
          <t>Y</t>
        </is>
      </c>
      <c r="H3078" s="37" t="inlineStr">
        <is>
          <t>N</t>
        </is>
      </c>
      <c r="I3078" s="37">
        <f>COUNTIF(G$5:G3078,"Y")/COUNTA(G$5:G3078)</f>
        <v/>
      </c>
      <c r="J3078" s="37">
        <f>COUNTIF(H$5:H3078,"Y")/COUNTA(H$5:H3078)</f>
        <v/>
      </c>
      <c r="K3078" s="37">
        <f>AVERAGE(F$5:F3078)</f>
        <v/>
      </c>
      <c r="L3078" s="37">
        <f>SUM(F$5:F3078)/SUM(E$5:E3078)</f>
        <v/>
      </c>
    </row>
    <row r="3079">
      <c r="A3079" s="29" t="n">
        <v>46126</v>
      </c>
      <c r="B3079" s="37" t="inlineStr">
        <is>
          <t>JOB-4075</t>
        </is>
      </c>
      <c r="C3079" s="34" t="n">
        <v>1</v>
      </c>
      <c r="D3079" s="37" t="inlineStr">
        <is>
          <t>Tech H</t>
        </is>
      </c>
      <c r="E3079" s="35" t="n">
        <v>2.3</v>
      </c>
      <c r="F3079" s="35" t="n">
        <v>2</v>
      </c>
      <c r="G3079" s="37" t="inlineStr">
        <is>
          <t>N</t>
        </is>
      </c>
      <c r="H3079" s="37" t="inlineStr">
        <is>
          <t>N</t>
        </is>
      </c>
      <c r="I3079" s="37">
        <f>COUNTIF(G$5:G3079,"Y")/COUNTA(G$5:G3079)</f>
        <v/>
      </c>
      <c r="J3079" s="37">
        <f>COUNTIF(H$5:H3079,"Y")/COUNTA(H$5:H3079)</f>
        <v/>
      </c>
      <c r="K3079" s="37">
        <f>AVERAGE(F$5:F3079)</f>
        <v/>
      </c>
      <c r="L3079" s="37">
        <f>SUM(F$5:F3079)/SUM(E$5:E3079)</f>
        <v/>
      </c>
    </row>
    <row r="3080">
      <c r="A3080" s="29" t="n">
        <v>46127</v>
      </c>
      <c r="B3080" s="37" t="inlineStr">
        <is>
          <t>JOB-4076</t>
        </is>
      </c>
      <c r="C3080" s="34" t="n">
        <v>1</v>
      </c>
      <c r="D3080" s="37" t="inlineStr">
        <is>
          <t>Tech B</t>
        </is>
      </c>
      <c r="E3080" s="35" t="n">
        <v>0.7</v>
      </c>
      <c r="F3080" s="35" t="n">
        <v>0.5</v>
      </c>
      <c r="G3080" s="37" t="inlineStr">
        <is>
          <t>Y</t>
        </is>
      </c>
      <c r="H3080" s="37" t="inlineStr">
        <is>
          <t>N</t>
        </is>
      </c>
      <c r="I3080" s="37">
        <f>COUNTIF(G$5:G3080,"Y")/COUNTA(G$5:G3080)</f>
        <v/>
      </c>
      <c r="J3080" s="37">
        <f>COUNTIF(H$5:H3080,"Y")/COUNTA(H$5:H3080)</f>
        <v/>
      </c>
      <c r="K3080" s="37">
        <f>AVERAGE(F$5:F3080)</f>
        <v/>
      </c>
      <c r="L3080" s="37">
        <f>SUM(F$5:F3080)/SUM(E$5:E3080)</f>
        <v/>
      </c>
    </row>
    <row r="3081">
      <c r="A3081" s="29" t="n">
        <v>46128</v>
      </c>
      <c r="B3081" s="37" t="inlineStr">
        <is>
          <t>JOB-4077</t>
        </is>
      </c>
      <c r="C3081" s="34" t="n">
        <v>1</v>
      </c>
      <c r="D3081" s="37" t="inlineStr">
        <is>
          <t>Tech D</t>
        </is>
      </c>
      <c r="E3081" s="35" t="n">
        <v>0.6</v>
      </c>
      <c r="F3081" s="35" t="n">
        <v>0.5</v>
      </c>
      <c r="G3081" s="37" t="inlineStr">
        <is>
          <t>Y</t>
        </is>
      </c>
      <c r="H3081" s="37" t="inlineStr">
        <is>
          <t>N</t>
        </is>
      </c>
      <c r="I3081" s="37">
        <f>COUNTIF(G$5:G3081,"Y")/COUNTA(G$5:G3081)</f>
        <v/>
      </c>
      <c r="J3081" s="37">
        <f>COUNTIF(H$5:H3081,"Y")/COUNTA(H$5:H3081)</f>
        <v/>
      </c>
      <c r="K3081" s="37">
        <f>AVERAGE(F$5:F3081)</f>
        <v/>
      </c>
      <c r="L3081" s="37">
        <f>SUM(F$5:F3081)/SUM(E$5:E3081)</f>
        <v/>
      </c>
    </row>
    <row r="3082">
      <c r="A3082" s="29" t="n">
        <v>46129</v>
      </c>
      <c r="B3082" s="37" t="inlineStr">
        <is>
          <t>JOB-4078</t>
        </is>
      </c>
      <c r="C3082" s="34" t="n">
        <v>1</v>
      </c>
      <c r="D3082" s="37" t="inlineStr">
        <is>
          <t>Tech B</t>
        </is>
      </c>
      <c r="E3082" s="35" t="n">
        <v>0.6</v>
      </c>
      <c r="F3082" s="35" t="n">
        <v>0.5</v>
      </c>
      <c r="G3082" s="37" t="inlineStr">
        <is>
          <t>Y</t>
        </is>
      </c>
      <c r="H3082" s="37" t="inlineStr">
        <is>
          <t>N</t>
        </is>
      </c>
      <c r="I3082" s="37">
        <f>COUNTIF(G$5:G3082,"Y")/COUNTA(G$5:G3082)</f>
        <v/>
      </c>
      <c r="J3082" s="37">
        <f>COUNTIF(H$5:H3082,"Y")/COUNTA(H$5:H3082)</f>
        <v/>
      </c>
      <c r="K3082" s="37">
        <f>AVERAGE(F$5:F3082)</f>
        <v/>
      </c>
      <c r="L3082" s="37">
        <f>SUM(F$5:F3082)/SUM(E$5:E3082)</f>
        <v/>
      </c>
    </row>
    <row r="3083">
      <c r="A3083" s="29" t="n">
        <v>46125</v>
      </c>
      <c r="B3083" s="37" t="inlineStr">
        <is>
          <t>JOB-4079</t>
        </is>
      </c>
      <c r="C3083" s="34" t="n">
        <v>1</v>
      </c>
      <c r="D3083" s="37" t="inlineStr">
        <is>
          <t>Tech F</t>
        </is>
      </c>
      <c r="E3083" s="35" t="n">
        <v>0.7</v>
      </c>
      <c r="F3083" s="35" t="n">
        <v>0.5</v>
      </c>
      <c r="G3083" s="37" t="inlineStr">
        <is>
          <t>Y</t>
        </is>
      </c>
      <c r="H3083" s="37" t="inlineStr">
        <is>
          <t>N</t>
        </is>
      </c>
      <c r="I3083" s="37">
        <f>COUNTIF(G$5:G3083,"Y")/COUNTA(G$5:G3083)</f>
        <v/>
      </c>
      <c r="J3083" s="37">
        <f>COUNTIF(H$5:H3083,"Y")/COUNTA(H$5:H3083)</f>
        <v/>
      </c>
      <c r="K3083" s="37">
        <f>AVERAGE(F$5:F3083)</f>
        <v/>
      </c>
      <c r="L3083" s="37">
        <f>SUM(F$5:F3083)/SUM(E$5:E3083)</f>
        <v/>
      </c>
    </row>
    <row r="3084">
      <c r="A3084" s="29" t="n">
        <v>46126</v>
      </c>
      <c r="B3084" s="37" t="inlineStr">
        <is>
          <t>JOB-4080</t>
        </is>
      </c>
      <c r="C3084" s="34" t="n">
        <v>1</v>
      </c>
      <c r="D3084" s="37" t="inlineStr">
        <is>
          <t>Tech H</t>
        </is>
      </c>
      <c r="E3084" s="35" t="n">
        <v>0.7</v>
      </c>
      <c r="F3084" s="35" t="n">
        <v>0.5</v>
      </c>
      <c r="G3084" s="37" t="inlineStr">
        <is>
          <t>Y</t>
        </is>
      </c>
      <c r="H3084" s="37" t="inlineStr">
        <is>
          <t>N</t>
        </is>
      </c>
      <c r="I3084" s="37">
        <f>COUNTIF(G$5:G3084,"Y")/COUNTA(G$5:G3084)</f>
        <v/>
      </c>
      <c r="J3084" s="37">
        <f>COUNTIF(H$5:H3084,"Y")/COUNTA(H$5:H3084)</f>
        <v/>
      </c>
      <c r="K3084" s="37">
        <f>AVERAGE(F$5:F3084)</f>
        <v/>
      </c>
      <c r="L3084" s="37">
        <f>SUM(F$5:F3084)/SUM(E$5:E3084)</f>
        <v/>
      </c>
    </row>
    <row r="3085">
      <c r="A3085" s="29" t="n">
        <v>46127</v>
      </c>
      <c r="B3085" s="37" t="inlineStr">
        <is>
          <t>JOB-4081</t>
        </is>
      </c>
      <c r="C3085" s="34" t="n">
        <v>1</v>
      </c>
      <c r="D3085" s="37" t="inlineStr">
        <is>
          <t>Tech F</t>
        </is>
      </c>
      <c r="E3085" s="35" t="n">
        <v>0.7</v>
      </c>
      <c r="F3085" s="35" t="n">
        <v>0.5</v>
      </c>
      <c r="G3085" s="37" t="inlineStr">
        <is>
          <t>Y</t>
        </is>
      </c>
      <c r="H3085" s="37" t="inlineStr">
        <is>
          <t>N</t>
        </is>
      </c>
      <c r="I3085" s="37">
        <f>COUNTIF(G$5:G3085,"Y")/COUNTA(G$5:G3085)</f>
        <v/>
      </c>
      <c r="J3085" s="37">
        <f>COUNTIF(H$5:H3085,"Y")/COUNTA(H$5:H3085)</f>
        <v/>
      </c>
      <c r="K3085" s="37">
        <f>AVERAGE(F$5:F3085)</f>
        <v/>
      </c>
      <c r="L3085" s="37">
        <f>SUM(F$5:F3085)/SUM(E$5:E3085)</f>
        <v/>
      </c>
    </row>
    <row r="3086">
      <c r="A3086" s="29" t="n">
        <v>46128</v>
      </c>
      <c r="B3086" s="37" t="inlineStr">
        <is>
          <t>JOB-4082</t>
        </is>
      </c>
      <c r="C3086" s="34" t="n">
        <v>1</v>
      </c>
      <c r="D3086" s="37" t="inlineStr">
        <is>
          <t>Tech A</t>
        </is>
      </c>
      <c r="E3086" s="35" t="n">
        <v>3.4</v>
      </c>
      <c r="F3086" s="35" t="n">
        <v>0.5</v>
      </c>
      <c r="G3086" s="37" t="inlineStr">
        <is>
          <t>Y</t>
        </is>
      </c>
      <c r="H3086" s="37" t="inlineStr">
        <is>
          <t>N</t>
        </is>
      </c>
      <c r="I3086" s="37">
        <f>COUNTIF(G$5:G3086,"Y")/COUNTA(G$5:G3086)</f>
        <v/>
      </c>
      <c r="J3086" s="37">
        <f>COUNTIF(H$5:H3086,"Y")/COUNTA(H$5:H3086)</f>
        <v/>
      </c>
      <c r="K3086" s="37">
        <f>AVERAGE(F$5:F3086)</f>
        <v/>
      </c>
      <c r="L3086" s="37">
        <f>SUM(F$5:F3086)/SUM(E$5:E3086)</f>
        <v/>
      </c>
      <c r="M3086" s="37" t="n">
        <v>8</v>
      </c>
    </row>
    <row r="3087">
      <c r="A3087" s="29" t="n">
        <v>46132</v>
      </c>
      <c r="B3087" s="37" t="inlineStr">
        <is>
          <t>JOB-4083</t>
        </is>
      </c>
      <c r="C3087" s="34" t="n">
        <v>1</v>
      </c>
      <c r="D3087" s="37" t="inlineStr">
        <is>
          <t>Tech C</t>
        </is>
      </c>
      <c r="E3087" s="35" t="n">
        <v>1.4</v>
      </c>
      <c r="F3087" s="35" t="n">
        <v>1.1</v>
      </c>
      <c r="G3087" s="37" t="inlineStr">
        <is>
          <t>N</t>
        </is>
      </c>
      <c r="H3087" s="37" t="inlineStr">
        <is>
          <t>N</t>
        </is>
      </c>
      <c r="I3087" s="37">
        <f>COUNTIF(G$5:G3087,"Y")/COUNTA(G$5:G3087)</f>
        <v/>
      </c>
      <c r="J3087" s="37">
        <f>COUNTIF(H$5:H3087,"Y")/COUNTA(H$5:H3087)</f>
        <v/>
      </c>
      <c r="K3087" s="37">
        <f>AVERAGE(F$5:F3087)</f>
        <v/>
      </c>
      <c r="L3087" s="37">
        <f>SUM(F$5:F3087)/SUM(E$5:E3087)</f>
        <v/>
      </c>
    </row>
    <row r="3088">
      <c r="A3088" s="29" t="n">
        <v>46133</v>
      </c>
      <c r="B3088" s="37" t="inlineStr">
        <is>
          <t>JOB-4084</t>
        </is>
      </c>
      <c r="C3088" s="34" t="n">
        <v>1</v>
      </c>
      <c r="D3088" s="37" t="inlineStr">
        <is>
          <t>Tech H</t>
        </is>
      </c>
      <c r="E3088" s="35" t="n">
        <v>3.7</v>
      </c>
      <c r="F3088" s="35" t="n">
        <v>3.3</v>
      </c>
      <c r="G3088" s="37" t="inlineStr">
        <is>
          <t>Y</t>
        </is>
      </c>
      <c r="H3088" s="37" t="inlineStr">
        <is>
          <t>N</t>
        </is>
      </c>
      <c r="I3088" s="37">
        <f>COUNTIF(G$5:G3088,"Y")/COUNTA(G$5:G3088)</f>
        <v/>
      </c>
      <c r="J3088" s="37">
        <f>COUNTIF(H$5:H3088,"Y")/COUNTA(H$5:H3088)</f>
        <v/>
      </c>
      <c r="K3088" s="37">
        <f>AVERAGE(F$5:F3088)</f>
        <v/>
      </c>
      <c r="L3088" s="37">
        <f>SUM(F$5:F3088)/SUM(E$5:E3088)</f>
        <v/>
      </c>
    </row>
    <row r="3089">
      <c r="A3089" s="29" t="n">
        <v>46134</v>
      </c>
      <c r="B3089" s="37" t="inlineStr">
        <is>
          <t>JOB-4085</t>
        </is>
      </c>
      <c r="C3089" s="34" t="n">
        <v>1</v>
      </c>
      <c r="D3089" s="37" t="inlineStr">
        <is>
          <t>Tech A</t>
        </is>
      </c>
      <c r="E3089" s="35" t="n">
        <v>2.6</v>
      </c>
      <c r="F3089" s="35" t="n">
        <v>1.8</v>
      </c>
      <c r="G3089" s="37" t="inlineStr">
        <is>
          <t>Y</t>
        </is>
      </c>
      <c r="H3089" s="37" t="inlineStr">
        <is>
          <t>N</t>
        </is>
      </c>
      <c r="I3089" s="37">
        <f>COUNTIF(G$5:G3089,"Y")/COUNTA(G$5:G3089)</f>
        <v/>
      </c>
      <c r="J3089" s="37">
        <f>COUNTIF(H$5:H3089,"Y")/COUNTA(H$5:H3089)</f>
        <v/>
      </c>
      <c r="K3089" s="37">
        <f>AVERAGE(F$5:F3089)</f>
        <v/>
      </c>
      <c r="L3089" s="37">
        <f>SUM(F$5:F3089)/SUM(E$5:E3089)</f>
        <v/>
      </c>
    </row>
    <row r="3090">
      <c r="A3090" s="29" t="n">
        <v>46135</v>
      </c>
      <c r="B3090" s="37" t="inlineStr">
        <is>
          <t>JOB-4086</t>
        </is>
      </c>
      <c r="C3090" s="34" t="n">
        <v>1</v>
      </c>
      <c r="D3090" s="37" t="inlineStr">
        <is>
          <t>Tech D</t>
        </is>
      </c>
      <c r="E3090" s="35" t="n">
        <v>3.9</v>
      </c>
      <c r="F3090" s="35" t="n">
        <v>2.7</v>
      </c>
      <c r="G3090" s="37" t="inlineStr">
        <is>
          <t>N</t>
        </is>
      </c>
      <c r="H3090" s="37" t="inlineStr">
        <is>
          <t>N</t>
        </is>
      </c>
      <c r="I3090" s="37">
        <f>COUNTIF(G$5:G3090,"Y")/COUNTA(G$5:G3090)</f>
        <v/>
      </c>
      <c r="J3090" s="37">
        <f>COUNTIF(H$5:H3090,"Y")/COUNTA(H$5:H3090)</f>
        <v/>
      </c>
      <c r="K3090" s="37">
        <f>AVERAGE(F$5:F3090)</f>
        <v/>
      </c>
      <c r="L3090" s="37">
        <f>SUM(F$5:F3090)/SUM(E$5:E3090)</f>
        <v/>
      </c>
    </row>
    <row r="3091">
      <c r="A3091" s="29" t="n">
        <v>46136</v>
      </c>
      <c r="B3091" s="37" t="inlineStr">
        <is>
          <t>JOB-4087</t>
        </is>
      </c>
      <c r="C3091" s="34" t="n">
        <v>1</v>
      </c>
      <c r="D3091" s="37" t="inlineStr">
        <is>
          <t>Tech G</t>
        </is>
      </c>
      <c r="E3091" s="35" t="n">
        <v>2.2</v>
      </c>
      <c r="F3091" s="35" t="n">
        <v>1.9</v>
      </c>
      <c r="G3091" s="37" t="inlineStr">
        <is>
          <t>Y</t>
        </is>
      </c>
      <c r="H3091" s="37" t="inlineStr">
        <is>
          <t>N</t>
        </is>
      </c>
      <c r="I3091" s="37">
        <f>COUNTIF(G$5:G3091,"Y")/COUNTA(G$5:G3091)</f>
        <v/>
      </c>
      <c r="J3091" s="37">
        <f>COUNTIF(H$5:H3091,"Y")/COUNTA(H$5:H3091)</f>
        <v/>
      </c>
      <c r="K3091" s="37">
        <f>AVERAGE(F$5:F3091)</f>
        <v/>
      </c>
      <c r="L3091" s="37">
        <f>SUM(F$5:F3091)/SUM(E$5:E3091)</f>
        <v/>
      </c>
    </row>
    <row r="3092">
      <c r="A3092" s="29" t="n">
        <v>46132</v>
      </c>
      <c r="B3092" s="37" t="inlineStr">
        <is>
          <t>JOB-4088</t>
        </is>
      </c>
      <c r="C3092" s="34" t="n">
        <v>1</v>
      </c>
      <c r="D3092" s="37" t="inlineStr">
        <is>
          <t>Tech C</t>
        </is>
      </c>
      <c r="E3092" s="35" t="n">
        <v>2.3</v>
      </c>
      <c r="F3092" s="35" t="n">
        <v>2</v>
      </c>
      <c r="G3092" s="37" t="inlineStr">
        <is>
          <t>Y</t>
        </is>
      </c>
      <c r="H3092" s="37" t="inlineStr">
        <is>
          <t>N</t>
        </is>
      </c>
      <c r="I3092" s="37">
        <f>COUNTIF(G$5:G3092,"Y")/COUNTA(G$5:G3092)</f>
        <v/>
      </c>
      <c r="J3092" s="37">
        <f>COUNTIF(H$5:H3092,"Y")/COUNTA(H$5:H3092)</f>
        <v/>
      </c>
      <c r="K3092" s="37">
        <f>AVERAGE(F$5:F3092)</f>
        <v/>
      </c>
      <c r="L3092" s="37">
        <f>SUM(F$5:F3092)/SUM(E$5:E3092)</f>
        <v/>
      </c>
    </row>
    <row r="3093">
      <c r="A3093" s="29" t="n">
        <v>46133</v>
      </c>
      <c r="B3093" s="37" t="inlineStr">
        <is>
          <t>JOB-4089</t>
        </is>
      </c>
      <c r="C3093" s="34" t="n">
        <v>1</v>
      </c>
      <c r="D3093" s="37" t="inlineStr">
        <is>
          <t>Tech B</t>
        </is>
      </c>
      <c r="E3093" s="35" t="n">
        <v>4.2</v>
      </c>
      <c r="F3093" s="35" t="n">
        <v>3.4</v>
      </c>
      <c r="G3093" s="37" t="inlineStr">
        <is>
          <t>Y</t>
        </is>
      </c>
      <c r="H3093" s="37" t="inlineStr">
        <is>
          <t>Y</t>
        </is>
      </c>
      <c r="I3093" s="37">
        <f>COUNTIF(G$5:G3093,"Y")/COUNTA(G$5:G3093)</f>
        <v/>
      </c>
      <c r="J3093" s="37">
        <f>COUNTIF(H$5:H3093,"Y")/COUNTA(H$5:H3093)</f>
        <v/>
      </c>
      <c r="K3093" s="37">
        <f>AVERAGE(F$5:F3093)</f>
        <v/>
      </c>
      <c r="L3093" s="37">
        <f>SUM(F$5:F3093)/SUM(E$5:E3093)</f>
        <v/>
      </c>
    </row>
    <row r="3094">
      <c r="A3094" s="29" t="n">
        <v>46134</v>
      </c>
      <c r="B3094" s="37" t="inlineStr">
        <is>
          <t>JOB-4090</t>
        </is>
      </c>
      <c r="C3094" s="34" t="n">
        <v>1</v>
      </c>
      <c r="D3094" s="37" t="inlineStr">
        <is>
          <t>Tech A</t>
        </is>
      </c>
      <c r="E3094" s="35" t="n">
        <v>1.8</v>
      </c>
      <c r="F3094" s="35" t="n">
        <v>1.4</v>
      </c>
      <c r="G3094" s="37" t="inlineStr">
        <is>
          <t>N</t>
        </is>
      </c>
      <c r="H3094" s="37" t="inlineStr">
        <is>
          <t>N</t>
        </is>
      </c>
      <c r="I3094" s="37">
        <f>COUNTIF(G$5:G3094,"Y")/COUNTA(G$5:G3094)</f>
        <v/>
      </c>
      <c r="J3094" s="37">
        <f>COUNTIF(H$5:H3094,"Y")/COUNTA(H$5:H3094)</f>
        <v/>
      </c>
      <c r="K3094" s="37">
        <f>AVERAGE(F$5:F3094)</f>
        <v/>
      </c>
      <c r="L3094" s="37">
        <f>SUM(F$5:F3094)/SUM(E$5:E3094)</f>
        <v/>
      </c>
    </row>
    <row r="3095">
      <c r="A3095" s="29" t="n">
        <v>46135</v>
      </c>
      <c r="B3095" s="37" t="inlineStr">
        <is>
          <t>JOB-4091</t>
        </is>
      </c>
      <c r="C3095" s="34" t="n">
        <v>1</v>
      </c>
      <c r="D3095" s="37" t="inlineStr">
        <is>
          <t>Tech D</t>
        </is>
      </c>
      <c r="E3095" s="35" t="n">
        <v>3.1</v>
      </c>
      <c r="F3095" s="35" t="n">
        <v>2.6</v>
      </c>
      <c r="G3095" s="37" t="inlineStr">
        <is>
          <t>N</t>
        </is>
      </c>
      <c r="H3095" s="37" t="inlineStr">
        <is>
          <t>N</t>
        </is>
      </c>
      <c r="I3095" s="37">
        <f>COUNTIF(G$5:G3095,"Y")/COUNTA(G$5:G3095)</f>
        <v/>
      </c>
      <c r="J3095" s="37">
        <f>COUNTIF(H$5:H3095,"Y")/COUNTA(H$5:H3095)</f>
        <v/>
      </c>
      <c r="K3095" s="37">
        <f>AVERAGE(F$5:F3095)</f>
        <v/>
      </c>
      <c r="L3095" s="37">
        <f>SUM(F$5:F3095)/SUM(E$5:E3095)</f>
        <v/>
      </c>
    </row>
    <row r="3096">
      <c r="A3096" s="29" t="n">
        <v>46136</v>
      </c>
      <c r="B3096" s="37" t="inlineStr">
        <is>
          <t>JOB-4092</t>
        </is>
      </c>
      <c r="C3096" s="34" t="n">
        <v>1</v>
      </c>
      <c r="D3096" s="37" t="inlineStr">
        <is>
          <t>Tech D</t>
        </is>
      </c>
      <c r="E3096" s="35" t="n">
        <v>4.6</v>
      </c>
      <c r="F3096" s="35" t="n">
        <v>3.4</v>
      </c>
      <c r="G3096" s="37" t="inlineStr">
        <is>
          <t>Y</t>
        </is>
      </c>
      <c r="H3096" s="37" t="inlineStr">
        <is>
          <t>N</t>
        </is>
      </c>
      <c r="I3096" s="37">
        <f>COUNTIF(G$5:G3096,"Y")/COUNTA(G$5:G3096)</f>
        <v/>
      </c>
      <c r="J3096" s="37">
        <f>COUNTIF(H$5:H3096,"Y")/COUNTA(H$5:H3096)</f>
        <v/>
      </c>
      <c r="K3096" s="37">
        <f>AVERAGE(F$5:F3096)</f>
        <v/>
      </c>
      <c r="L3096" s="37">
        <f>SUM(F$5:F3096)/SUM(E$5:E3096)</f>
        <v/>
      </c>
    </row>
    <row r="3097">
      <c r="A3097" s="29" t="n">
        <v>46132</v>
      </c>
      <c r="B3097" s="37" t="inlineStr">
        <is>
          <t>JOB-4093</t>
        </is>
      </c>
      <c r="C3097" s="34" t="n">
        <v>1</v>
      </c>
      <c r="D3097" s="37" t="inlineStr">
        <is>
          <t>Tech H</t>
        </is>
      </c>
      <c r="E3097" s="35" t="n">
        <v>4</v>
      </c>
      <c r="F3097" s="35" t="n">
        <v>2.8</v>
      </c>
      <c r="G3097" s="37" t="inlineStr">
        <is>
          <t>Y</t>
        </is>
      </c>
      <c r="H3097" s="37" t="inlineStr">
        <is>
          <t>N</t>
        </is>
      </c>
      <c r="I3097" s="37">
        <f>COUNTIF(G$5:G3097,"Y")/COUNTA(G$5:G3097)</f>
        <v/>
      </c>
      <c r="J3097" s="37">
        <f>COUNTIF(H$5:H3097,"Y")/COUNTA(H$5:H3097)</f>
        <v/>
      </c>
      <c r="K3097" s="37">
        <f>AVERAGE(F$5:F3097)</f>
        <v/>
      </c>
      <c r="L3097" s="37">
        <f>SUM(F$5:F3097)/SUM(E$5:E3097)</f>
        <v/>
      </c>
    </row>
    <row r="3098">
      <c r="A3098" s="29" t="n">
        <v>46133</v>
      </c>
      <c r="B3098" s="37" t="inlineStr">
        <is>
          <t>JOB-4094</t>
        </is>
      </c>
      <c r="C3098" s="34" t="n">
        <v>1</v>
      </c>
      <c r="D3098" s="37" t="inlineStr">
        <is>
          <t>Tech F</t>
        </is>
      </c>
      <c r="E3098" s="35" t="n">
        <v>2.6</v>
      </c>
      <c r="F3098" s="35" t="n">
        <v>1.8</v>
      </c>
      <c r="G3098" s="37" t="inlineStr">
        <is>
          <t>Y</t>
        </is>
      </c>
      <c r="H3098" s="37" t="inlineStr">
        <is>
          <t>N</t>
        </is>
      </c>
      <c r="I3098" s="37">
        <f>COUNTIF(G$5:G3098,"Y")/COUNTA(G$5:G3098)</f>
        <v/>
      </c>
      <c r="J3098" s="37">
        <f>COUNTIF(H$5:H3098,"Y")/COUNTA(H$5:H3098)</f>
        <v/>
      </c>
      <c r="K3098" s="37">
        <f>AVERAGE(F$5:F3098)</f>
        <v/>
      </c>
      <c r="L3098" s="37">
        <f>SUM(F$5:F3098)/SUM(E$5:E3098)</f>
        <v/>
      </c>
    </row>
    <row r="3099">
      <c r="A3099" s="29" t="n">
        <v>46134</v>
      </c>
      <c r="B3099" s="37" t="inlineStr">
        <is>
          <t>JOB-4095</t>
        </is>
      </c>
      <c r="C3099" s="34" t="n">
        <v>1</v>
      </c>
      <c r="D3099" s="37" t="inlineStr">
        <is>
          <t>Tech G</t>
        </is>
      </c>
      <c r="E3099" s="35" t="n">
        <v>3.9</v>
      </c>
      <c r="F3099" s="35" t="n">
        <v>2.7</v>
      </c>
      <c r="G3099" s="37" t="inlineStr">
        <is>
          <t>Y</t>
        </is>
      </c>
      <c r="H3099" s="37" t="inlineStr">
        <is>
          <t>N</t>
        </is>
      </c>
      <c r="I3099" s="37">
        <f>COUNTIF(G$5:G3099,"Y")/COUNTA(G$5:G3099)</f>
        <v/>
      </c>
      <c r="J3099" s="37">
        <f>COUNTIF(H$5:H3099,"Y")/COUNTA(H$5:H3099)</f>
        <v/>
      </c>
      <c r="K3099" s="37">
        <f>AVERAGE(F$5:F3099)</f>
        <v/>
      </c>
      <c r="L3099" s="37">
        <f>SUM(F$5:F3099)/SUM(E$5:E3099)</f>
        <v/>
      </c>
    </row>
    <row r="3100">
      <c r="A3100" s="29" t="n">
        <v>46135</v>
      </c>
      <c r="B3100" s="37" t="inlineStr">
        <is>
          <t>JOB-4096</t>
        </is>
      </c>
      <c r="C3100" s="34" t="n">
        <v>1</v>
      </c>
      <c r="D3100" s="37" t="inlineStr">
        <is>
          <t>Tech B</t>
        </is>
      </c>
      <c r="E3100" s="35" t="n">
        <v>2.3</v>
      </c>
      <c r="F3100" s="35" t="n">
        <v>2.1</v>
      </c>
      <c r="G3100" s="37" t="inlineStr">
        <is>
          <t>Y</t>
        </is>
      </c>
      <c r="H3100" s="37" t="inlineStr">
        <is>
          <t>N</t>
        </is>
      </c>
      <c r="I3100" s="37">
        <f>COUNTIF(G$5:G3100,"Y")/COUNTA(G$5:G3100)</f>
        <v/>
      </c>
      <c r="J3100" s="37">
        <f>COUNTIF(H$5:H3100,"Y")/COUNTA(H$5:H3100)</f>
        <v/>
      </c>
      <c r="K3100" s="37">
        <f>AVERAGE(F$5:F3100)</f>
        <v/>
      </c>
      <c r="L3100" s="37">
        <f>SUM(F$5:F3100)/SUM(E$5:E3100)</f>
        <v/>
      </c>
    </row>
    <row r="3101">
      <c r="A3101" s="29" t="n">
        <v>46136</v>
      </c>
      <c r="B3101" s="37" t="inlineStr">
        <is>
          <t>JOB-4097</t>
        </is>
      </c>
      <c r="C3101" s="34" t="n">
        <v>1</v>
      </c>
      <c r="D3101" s="37" t="inlineStr">
        <is>
          <t>Tech D</t>
        </is>
      </c>
      <c r="E3101" s="35" t="n">
        <v>3.8</v>
      </c>
      <c r="F3101" s="35" t="n">
        <v>3.1</v>
      </c>
      <c r="G3101" s="37" t="inlineStr">
        <is>
          <t>Y</t>
        </is>
      </c>
      <c r="H3101" s="37" t="inlineStr">
        <is>
          <t>N</t>
        </is>
      </c>
      <c r="I3101" s="37">
        <f>COUNTIF(G$5:G3101,"Y")/COUNTA(G$5:G3101)</f>
        <v/>
      </c>
      <c r="J3101" s="37">
        <f>COUNTIF(H$5:H3101,"Y")/COUNTA(H$5:H3101)</f>
        <v/>
      </c>
      <c r="K3101" s="37">
        <f>AVERAGE(F$5:F3101)</f>
        <v/>
      </c>
      <c r="L3101" s="37">
        <f>SUM(F$5:F3101)/SUM(E$5:E3101)</f>
        <v/>
      </c>
    </row>
    <row r="3102">
      <c r="A3102" s="29" t="n">
        <v>46132</v>
      </c>
      <c r="B3102" s="37" t="inlineStr">
        <is>
          <t>JOB-4098</t>
        </is>
      </c>
      <c r="C3102" s="34" t="n">
        <v>1</v>
      </c>
      <c r="D3102" s="37" t="inlineStr">
        <is>
          <t>Tech B</t>
        </is>
      </c>
      <c r="E3102" s="35" t="n">
        <v>3.7</v>
      </c>
      <c r="F3102" s="35" t="n">
        <v>3.2</v>
      </c>
      <c r="G3102" s="37" t="inlineStr">
        <is>
          <t>Y</t>
        </is>
      </c>
      <c r="H3102" s="37" t="inlineStr">
        <is>
          <t>N</t>
        </is>
      </c>
      <c r="I3102" s="37">
        <f>COUNTIF(G$5:G3102,"Y")/COUNTA(G$5:G3102)</f>
        <v/>
      </c>
      <c r="J3102" s="37">
        <f>COUNTIF(H$5:H3102,"Y")/COUNTA(H$5:H3102)</f>
        <v/>
      </c>
      <c r="K3102" s="37">
        <f>AVERAGE(F$5:F3102)</f>
        <v/>
      </c>
      <c r="L3102" s="37">
        <f>SUM(F$5:F3102)/SUM(E$5:E3102)</f>
        <v/>
      </c>
    </row>
    <row r="3103">
      <c r="A3103" s="29" t="n">
        <v>46133</v>
      </c>
      <c r="B3103" s="37" t="inlineStr">
        <is>
          <t>JOB-4099</t>
        </is>
      </c>
      <c r="C3103" s="34" t="n">
        <v>1</v>
      </c>
      <c r="D3103" s="37" t="inlineStr">
        <is>
          <t>Tech G</t>
        </is>
      </c>
      <c r="E3103" s="35" t="n">
        <v>3.5</v>
      </c>
      <c r="F3103" s="35" t="n">
        <v>3</v>
      </c>
      <c r="G3103" s="37" t="inlineStr">
        <is>
          <t>Y</t>
        </is>
      </c>
      <c r="H3103" s="37" t="inlineStr">
        <is>
          <t>N</t>
        </is>
      </c>
      <c r="I3103" s="37">
        <f>COUNTIF(G$5:G3103,"Y")/COUNTA(G$5:G3103)</f>
        <v/>
      </c>
      <c r="J3103" s="37">
        <f>COUNTIF(H$5:H3103,"Y")/COUNTA(H$5:H3103)</f>
        <v/>
      </c>
      <c r="K3103" s="37">
        <f>AVERAGE(F$5:F3103)</f>
        <v/>
      </c>
      <c r="L3103" s="37">
        <f>SUM(F$5:F3103)/SUM(E$5:E3103)</f>
        <v/>
      </c>
    </row>
    <row r="3104">
      <c r="A3104" s="29" t="n">
        <v>46134</v>
      </c>
      <c r="B3104" s="37" t="inlineStr">
        <is>
          <t>JOB-4100</t>
        </is>
      </c>
      <c r="C3104" s="34" t="n">
        <v>1</v>
      </c>
      <c r="D3104" s="37" t="inlineStr">
        <is>
          <t>Tech H</t>
        </is>
      </c>
      <c r="E3104" s="35" t="n">
        <v>1.4</v>
      </c>
      <c r="F3104" s="35" t="n">
        <v>1</v>
      </c>
      <c r="G3104" s="37" t="inlineStr">
        <is>
          <t>Y</t>
        </is>
      </c>
      <c r="H3104" s="37" t="inlineStr">
        <is>
          <t>N</t>
        </is>
      </c>
      <c r="I3104" s="37">
        <f>COUNTIF(G$5:G3104,"Y")/COUNTA(G$5:G3104)</f>
        <v/>
      </c>
      <c r="J3104" s="37">
        <f>COUNTIF(H$5:H3104,"Y")/COUNTA(H$5:H3104)</f>
        <v/>
      </c>
      <c r="K3104" s="37">
        <f>AVERAGE(F$5:F3104)</f>
        <v/>
      </c>
      <c r="L3104" s="37">
        <f>SUM(F$5:F3104)/SUM(E$5:E3104)</f>
        <v/>
      </c>
    </row>
    <row r="3105">
      <c r="A3105" s="29" t="n">
        <v>46135</v>
      </c>
      <c r="B3105" s="37" t="inlineStr">
        <is>
          <t>JOB-4101</t>
        </is>
      </c>
      <c r="C3105" s="34" t="n">
        <v>1</v>
      </c>
      <c r="D3105" s="37" t="inlineStr">
        <is>
          <t>Tech C</t>
        </is>
      </c>
      <c r="E3105" s="35" t="n">
        <v>1.5</v>
      </c>
      <c r="F3105" s="35" t="n">
        <v>1.1</v>
      </c>
      <c r="G3105" s="37" t="inlineStr">
        <is>
          <t>Y</t>
        </is>
      </c>
      <c r="H3105" s="37" t="inlineStr">
        <is>
          <t>N</t>
        </is>
      </c>
      <c r="I3105" s="37">
        <f>COUNTIF(G$5:G3105,"Y")/COUNTA(G$5:G3105)</f>
        <v/>
      </c>
      <c r="J3105" s="37">
        <f>COUNTIF(H$5:H3105,"Y")/COUNTA(H$5:H3105)</f>
        <v/>
      </c>
      <c r="K3105" s="37">
        <f>AVERAGE(F$5:F3105)</f>
        <v/>
      </c>
      <c r="L3105" s="37">
        <f>SUM(F$5:F3105)/SUM(E$5:E3105)</f>
        <v/>
      </c>
    </row>
    <row r="3106">
      <c r="A3106" s="29" t="n">
        <v>46136</v>
      </c>
      <c r="B3106" s="37" t="inlineStr">
        <is>
          <t>JOB-4102</t>
        </is>
      </c>
      <c r="C3106" s="34" t="n">
        <v>1</v>
      </c>
      <c r="D3106" s="37" t="inlineStr">
        <is>
          <t>Tech B</t>
        </is>
      </c>
      <c r="E3106" s="35" t="n">
        <v>1.8</v>
      </c>
      <c r="F3106" s="35" t="n">
        <v>1.3</v>
      </c>
      <c r="G3106" s="37" t="inlineStr">
        <is>
          <t>Y</t>
        </is>
      </c>
      <c r="H3106" s="37" t="inlineStr">
        <is>
          <t>N</t>
        </is>
      </c>
      <c r="I3106" s="37">
        <f>COUNTIF(G$5:G3106,"Y")/COUNTA(G$5:G3106)</f>
        <v/>
      </c>
      <c r="J3106" s="37">
        <f>COUNTIF(H$5:H3106,"Y")/COUNTA(H$5:H3106)</f>
        <v/>
      </c>
      <c r="K3106" s="37">
        <f>AVERAGE(F$5:F3106)</f>
        <v/>
      </c>
      <c r="L3106" s="37">
        <f>SUM(F$5:F3106)/SUM(E$5:E3106)</f>
        <v/>
      </c>
    </row>
    <row r="3107">
      <c r="A3107" s="29" t="n">
        <v>46132</v>
      </c>
      <c r="B3107" s="37" t="inlineStr">
        <is>
          <t>JOB-4103</t>
        </is>
      </c>
      <c r="C3107" s="34" t="n">
        <v>1</v>
      </c>
      <c r="D3107" s="37" t="inlineStr">
        <is>
          <t>Tech D</t>
        </is>
      </c>
      <c r="E3107" s="35" t="n">
        <v>1.4</v>
      </c>
      <c r="F3107" s="35" t="n">
        <v>1.2</v>
      </c>
      <c r="G3107" s="37" t="inlineStr">
        <is>
          <t>Y</t>
        </is>
      </c>
      <c r="H3107" s="37" t="inlineStr">
        <is>
          <t>N</t>
        </is>
      </c>
      <c r="I3107" s="37">
        <f>COUNTIF(G$5:G3107,"Y")/COUNTA(G$5:G3107)</f>
        <v/>
      </c>
      <c r="J3107" s="37">
        <f>COUNTIF(H$5:H3107,"Y")/COUNTA(H$5:H3107)</f>
        <v/>
      </c>
      <c r="K3107" s="37">
        <f>AVERAGE(F$5:F3107)</f>
        <v/>
      </c>
      <c r="L3107" s="37">
        <f>SUM(F$5:F3107)/SUM(E$5:E3107)</f>
        <v/>
      </c>
    </row>
    <row r="3108">
      <c r="A3108" s="29" t="n">
        <v>46133</v>
      </c>
      <c r="B3108" s="37" t="inlineStr">
        <is>
          <t>JOB-4104</t>
        </is>
      </c>
      <c r="C3108" s="34" t="n">
        <v>1</v>
      </c>
      <c r="D3108" s="37" t="inlineStr">
        <is>
          <t>Tech D</t>
        </is>
      </c>
      <c r="E3108" s="35" t="n">
        <v>1.9</v>
      </c>
      <c r="F3108" s="35" t="n">
        <v>1.4</v>
      </c>
      <c r="G3108" s="37" t="inlineStr">
        <is>
          <t>Y</t>
        </is>
      </c>
      <c r="H3108" s="37" t="inlineStr">
        <is>
          <t>N</t>
        </is>
      </c>
      <c r="I3108" s="37">
        <f>COUNTIF(G$5:G3108,"Y")/COUNTA(G$5:G3108)</f>
        <v/>
      </c>
      <c r="J3108" s="37">
        <f>COUNTIF(H$5:H3108,"Y")/COUNTA(H$5:H3108)</f>
        <v/>
      </c>
      <c r="K3108" s="37">
        <f>AVERAGE(F$5:F3108)</f>
        <v/>
      </c>
      <c r="L3108" s="37">
        <f>SUM(F$5:F3108)/SUM(E$5:E3108)</f>
        <v/>
      </c>
    </row>
    <row r="3109">
      <c r="A3109" s="29" t="n">
        <v>46134</v>
      </c>
      <c r="B3109" s="37" t="inlineStr">
        <is>
          <t>JOB-4105</t>
        </is>
      </c>
      <c r="C3109" s="34" t="n">
        <v>1</v>
      </c>
      <c r="D3109" s="37" t="inlineStr">
        <is>
          <t>Tech D</t>
        </is>
      </c>
      <c r="E3109" s="35" t="n">
        <v>1.5</v>
      </c>
      <c r="F3109" s="35" t="n">
        <v>1.2</v>
      </c>
      <c r="G3109" s="37" t="inlineStr">
        <is>
          <t>Y</t>
        </is>
      </c>
      <c r="H3109" s="37" t="inlineStr">
        <is>
          <t>N</t>
        </is>
      </c>
      <c r="I3109" s="37">
        <f>COUNTIF(G$5:G3109,"Y")/COUNTA(G$5:G3109)</f>
        <v/>
      </c>
      <c r="J3109" s="37">
        <f>COUNTIF(H$5:H3109,"Y")/COUNTA(H$5:H3109)</f>
        <v/>
      </c>
      <c r="K3109" s="37">
        <f>AVERAGE(F$5:F3109)</f>
        <v/>
      </c>
      <c r="L3109" s="37">
        <f>SUM(F$5:F3109)/SUM(E$5:E3109)</f>
        <v/>
      </c>
    </row>
    <row r="3110">
      <c r="A3110" s="29" t="n">
        <v>46135</v>
      </c>
      <c r="B3110" s="37" t="inlineStr">
        <is>
          <t>JOB-4106</t>
        </is>
      </c>
      <c r="C3110" s="34" t="n">
        <v>1</v>
      </c>
      <c r="D3110" s="37" t="inlineStr">
        <is>
          <t>Tech D</t>
        </is>
      </c>
      <c r="E3110" s="35" t="n">
        <v>1.9</v>
      </c>
      <c r="F3110" s="35" t="n">
        <v>1.4</v>
      </c>
      <c r="G3110" s="37" t="inlineStr">
        <is>
          <t>Y</t>
        </is>
      </c>
      <c r="H3110" s="37" t="inlineStr">
        <is>
          <t>N</t>
        </is>
      </c>
      <c r="I3110" s="37">
        <f>COUNTIF(G$5:G3110,"Y")/COUNTA(G$5:G3110)</f>
        <v/>
      </c>
      <c r="J3110" s="37">
        <f>COUNTIF(H$5:H3110,"Y")/COUNTA(H$5:H3110)</f>
        <v/>
      </c>
      <c r="K3110" s="37">
        <f>AVERAGE(F$5:F3110)</f>
        <v/>
      </c>
      <c r="L3110" s="37">
        <f>SUM(F$5:F3110)/SUM(E$5:E3110)</f>
        <v/>
      </c>
    </row>
    <row r="3111">
      <c r="A3111" s="29" t="n">
        <v>46136</v>
      </c>
      <c r="B3111" s="37" t="inlineStr">
        <is>
          <t>JOB-4107</t>
        </is>
      </c>
      <c r="C3111" s="34" t="n">
        <v>1</v>
      </c>
      <c r="D3111" s="37" t="inlineStr">
        <is>
          <t>Tech H</t>
        </is>
      </c>
      <c r="E3111" s="35" t="n">
        <v>4.8</v>
      </c>
      <c r="F3111" s="35" t="n">
        <v>3.5</v>
      </c>
      <c r="G3111" s="37" t="inlineStr">
        <is>
          <t>Y</t>
        </is>
      </c>
      <c r="H3111" s="37" t="inlineStr">
        <is>
          <t>N</t>
        </is>
      </c>
      <c r="I3111" s="37">
        <f>COUNTIF(G$5:G3111,"Y")/COUNTA(G$5:G3111)</f>
        <v/>
      </c>
      <c r="J3111" s="37">
        <f>COUNTIF(H$5:H3111,"Y")/COUNTA(H$5:H3111)</f>
        <v/>
      </c>
      <c r="K3111" s="37">
        <f>AVERAGE(F$5:F3111)</f>
        <v/>
      </c>
      <c r="L3111" s="37">
        <f>SUM(F$5:F3111)/SUM(E$5:E3111)</f>
        <v/>
      </c>
    </row>
    <row r="3112">
      <c r="A3112" s="29" t="n">
        <v>46132</v>
      </c>
      <c r="B3112" s="37" t="inlineStr">
        <is>
          <t>JOB-4108</t>
        </is>
      </c>
      <c r="C3112" s="34" t="n">
        <v>1</v>
      </c>
      <c r="D3112" s="37" t="inlineStr">
        <is>
          <t>Tech D</t>
        </is>
      </c>
      <c r="E3112" s="35" t="n">
        <v>3.3</v>
      </c>
      <c r="F3112" s="35" t="n">
        <v>2.8</v>
      </c>
      <c r="G3112" s="37" t="inlineStr">
        <is>
          <t>Y</t>
        </is>
      </c>
      <c r="H3112" s="37" t="inlineStr">
        <is>
          <t>N</t>
        </is>
      </c>
      <c r="I3112" s="37">
        <f>COUNTIF(G$5:G3112,"Y")/COUNTA(G$5:G3112)</f>
        <v/>
      </c>
      <c r="J3112" s="37">
        <f>COUNTIF(H$5:H3112,"Y")/COUNTA(H$5:H3112)</f>
        <v/>
      </c>
      <c r="K3112" s="37">
        <f>AVERAGE(F$5:F3112)</f>
        <v/>
      </c>
      <c r="L3112" s="37">
        <f>SUM(F$5:F3112)/SUM(E$5:E3112)</f>
        <v/>
      </c>
    </row>
    <row r="3113">
      <c r="A3113" s="29" t="n">
        <v>46133</v>
      </c>
      <c r="B3113" s="37" t="inlineStr">
        <is>
          <t>JOB-4109</t>
        </is>
      </c>
      <c r="C3113" s="34" t="n">
        <v>1</v>
      </c>
      <c r="D3113" s="37" t="inlineStr">
        <is>
          <t>Tech D</t>
        </is>
      </c>
      <c r="E3113" s="35" t="n">
        <v>2.4</v>
      </c>
      <c r="F3113" s="35" t="n">
        <v>1.7</v>
      </c>
      <c r="G3113" s="37" t="inlineStr">
        <is>
          <t>Y</t>
        </is>
      </c>
      <c r="H3113" s="37" t="inlineStr">
        <is>
          <t>N</t>
        </is>
      </c>
      <c r="I3113" s="37">
        <f>COUNTIF(G$5:G3113,"Y")/COUNTA(G$5:G3113)</f>
        <v/>
      </c>
      <c r="J3113" s="37">
        <f>COUNTIF(H$5:H3113,"Y")/COUNTA(H$5:H3113)</f>
        <v/>
      </c>
      <c r="K3113" s="37">
        <f>AVERAGE(F$5:F3113)</f>
        <v/>
      </c>
      <c r="L3113" s="37">
        <f>SUM(F$5:F3113)/SUM(E$5:E3113)</f>
        <v/>
      </c>
    </row>
    <row r="3114">
      <c r="A3114" s="29" t="n">
        <v>46134</v>
      </c>
      <c r="B3114" s="37" t="inlineStr">
        <is>
          <t>JOB-4110</t>
        </is>
      </c>
      <c r="C3114" s="34" t="n">
        <v>1</v>
      </c>
      <c r="D3114" s="37" t="inlineStr">
        <is>
          <t>Tech D</t>
        </is>
      </c>
      <c r="E3114" s="35" t="n">
        <v>2.3</v>
      </c>
      <c r="F3114" s="35" t="n">
        <v>1.7</v>
      </c>
      <c r="G3114" s="37" t="inlineStr">
        <is>
          <t>Y</t>
        </is>
      </c>
      <c r="H3114" s="37" t="inlineStr">
        <is>
          <t>N</t>
        </is>
      </c>
      <c r="I3114" s="37">
        <f>COUNTIF(G$5:G3114,"Y")/COUNTA(G$5:G3114)</f>
        <v/>
      </c>
      <c r="J3114" s="37">
        <f>COUNTIF(H$5:H3114,"Y")/COUNTA(H$5:H3114)</f>
        <v/>
      </c>
      <c r="K3114" s="37">
        <f>AVERAGE(F$5:F3114)</f>
        <v/>
      </c>
      <c r="L3114" s="37">
        <f>SUM(F$5:F3114)/SUM(E$5:E3114)</f>
        <v/>
      </c>
    </row>
    <row r="3115">
      <c r="A3115" s="29" t="n">
        <v>46135</v>
      </c>
      <c r="B3115" s="37" t="inlineStr">
        <is>
          <t>JOB-4111</t>
        </is>
      </c>
      <c r="C3115" s="34" t="n">
        <v>1</v>
      </c>
      <c r="D3115" s="37" t="inlineStr">
        <is>
          <t>Tech D</t>
        </is>
      </c>
      <c r="E3115" s="35" t="n">
        <v>2.9</v>
      </c>
      <c r="F3115" s="35" t="n">
        <v>2</v>
      </c>
      <c r="G3115" s="37" t="inlineStr">
        <is>
          <t>Y</t>
        </is>
      </c>
      <c r="H3115" s="37" t="inlineStr">
        <is>
          <t>N</t>
        </is>
      </c>
      <c r="I3115" s="37">
        <f>COUNTIF(G$5:G3115,"Y")/COUNTA(G$5:G3115)</f>
        <v/>
      </c>
      <c r="J3115" s="37">
        <f>COUNTIF(H$5:H3115,"Y")/COUNTA(H$5:H3115)</f>
        <v/>
      </c>
      <c r="K3115" s="37">
        <f>AVERAGE(F$5:F3115)</f>
        <v/>
      </c>
      <c r="L3115" s="37">
        <f>SUM(F$5:F3115)/SUM(E$5:E3115)</f>
        <v/>
      </c>
    </row>
    <row r="3116">
      <c r="A3116" s="29" t="n">
        <v>46136</v>
      </c>
      <c r="B3116" s="37" t="inlineStr">
        <is>
          <t>JOB-4112</t>
        </is>
      </c>
      <c r="C3116" s="34" t="n">
        <v>1</v>
      </c>
      <c r="D3116" s="37" t="inlineStr">
        <is>
          <t>Tech C</t>
        </is>
      </c>
      <c r="E3116" s="35" t="n">
        <v>1.7</v>
      </c>
      <c r="F3116" s="35" t="n">
        <v>1.5</v>
      </c>
      <c r="G3116" s="37" t="inlineStr">
        <is>
          <t>Y</t>
        </is>
      </c>
      <c r="H3116" s="37" t="inlineStr">
        <is>
          <t>N</t>
        </is>
      </c>
      <c r="I3116" s="37">
        <f>COUNTIF(G$5:G3116,"Y")/COUNTA(G$5:G3116)</f>
        <v/>
      </c>
      <c r="J3116" s="37">
        <f>COUNTIF(H$5:H3116,"Y")/COUNTA(H$5:H3116)</f>
        <v/>
      </c>
      <c r="K3116" s="37">
        <f>AVERAGE(F$5:F3116)</f>
        <v/>
      </c>
      <c r="L3116" s="37">
        <f>SUM(F$5:F3116)/SUM(E$5:E3116)</f>
        <v/>
      </c>
    </row>
    <row r="3117">
      <c r="A3117" s="29" t="n">
        <v>46132</v>
      </c>
      <c r="B3117" s="37" t="inlineStr">
        <is>
          <t>JOB-4113</t>
        </is>
      </c>
      <c r="C3117" s="34" t="n">
        <v>1</v>
      </c>
      <c r="D3117" s="37" t="inlineStr">
        <is>
          <t>Tech C</t>
        </is>
      </c>
      <c r="E3117" s="35" t="n">
        <v>3.7</v>
      </c>
      <c r="F3117" s="35" t="n">
        <v>3.2</v>
      </c>
      <c r="G3117" s="37" t="inlineStr">
        <is>
          <t>Y</t>
        </is>
      </c>
      <c r="H3117" s="37" t="inlineStr">
        <is>
          <t>N</t>
        </is>
      </c>
      <c r="I3117" s="37">
        <f>COUNTIF(G$5:G3117,"Y")/COUNTA(G$5:G3117)</f>
        <v/>
      </c>
      <c r="J3117" s="37">
        <f>COUNTIF(H$5:H3117,"Y")/COUNTA(H$5:H3117)</f>
        <v/>
      </c>
      <c r="K3117" s="37">
        <f>AVERAGE(F$5:F3117)</f>
        <v/>
      </c>
      <c r="L3117" s="37">
        <f>SUM(F$5:F3117)/SUM(E$5:E3117)</f>
        <v/>
      </c>
    </row>
    <row r="3118">
      <c r="A3118" s="29" t="n">
        <v>46133</v>
      </c>
      <c r="B3118" s="37" t="inlineStr">
        <is>
          <t>JOB-4114</t>
        </is>
      </c>
      <c r="C3118" s="34" t="n">
        <v>1</v>
      </c>
      <c r="D3118" s="37" t="inlineStr">
        <is>
          <t>Tech C</t>
        </is>
      </c>
      <c r="E3118" s="35" t="n">
        <v>2.5</v>
      </c>
      <c r="F3118" s="35" t="n">
        <v>2.3</v>
      </c>
      <c r="G3118" s="37" t="inlineStr">
        <is>
          <t>N</t>
        </is>
      </c>
      <c r="H3118" s="37" t="inlineStr">
        <is>
          <t>N</t>
        </is>
      </c>
      <c r="I3118" s="37">
        <f>COUNTIF(G$5:G3118,"Y")/COUNTA(G$5:G3118)</f>
        <v/>
      </c>
      <c r="J3118" s="37">
        <f>COUNTIF(H$5:H3118,"Y")/COUNTA(H$5:H3118)</f>
        <v/>
      </c>
      <c r="K3118" s="37">
        <f>AVERAGE(F$5:F3118)</f>
        <v/>
      </c>
      <c r="L3118" s="37">
        <f>SUM(F$5:F3118)/SUM(E$5:E3118)</f>
        <v/>
      </c>
    </row>
    <row r="3119">
      <c r="A3119" s="29" t="n">
        <v>46134</v>
      </c>
      <c r="B3119" s="37" t="inlineStr">
        <is>
          <t>JOB-4115</t>
        </is>
      </c>
      <c r="C3119" s="34" t="n">
        <v>1</v>
      </c>
      <c r="D3119" s="37" t="inlineStr">
        <is>
          <t>Tech H</t>
        </is>
      </c>
      <c r="E3119" s="35" t="n">
        <v>2.5</v>
      </c>
      <c r="F3119" s="35" t="n">
        <v>2.2</v>
      </c>
      <c r="G3119" s="37" t="inlineStr">
        <is>
          <t>Y</t>
        </is>
      </c>
      <c r="H3119" s="37" t="inlineStr">
        <is>
          <t>N</t>
        </is>
      </c>
      <c r="I3119" s="37">
        <f>COUNTIF(G$5:G3119,"Y")/COUNTA(G$5:G3119)</f>
        <v/>
      </c>
      <c r="J3119" s="37">
        <f>COUNTIF(H$5:H3119,"Y")/COUNTA(H$5:H3119)</f>
        <v/>
      </c>
      <c r="K3119" s="37">
        <f>AVERAGE(F$5:F3119)</f>
        <v/>
      </c>
      <c r="L3119" s="37">
        <f>SUM(F$5:F3119)/SUM(E$5:E3119)</f>
        <v/>
      </c>
    </row>
    <row r="3120">
      <c r="A3120" s="29" t="n">
        <v>46135</v>
      </c>
      <c r="B3120" s="37" t="inlineStr">
        <is>
          <t>JOB-4116</t>
        </is>
      </c>
      <c r="C3120" s="34" t="n">
        <v>1</v>
      </c>
      <c r="D3120" s="37" t="inlineStr">
        <is>
          <t>Tech D</t>
        </is>
      </c>
      <c r="E3120" s="35" t="n">
        <v>1.4</v>
      </c>
      <c r="F3120" s="35" t="n">
        <v>1.1</v>
      </c>
      <c r="G3120" s="37" t="inlineStr">
        <is>
          <t>Y</t>
        </is>
      </c>
      <c r="H3120" s="37" t="inlineStr">
        <is>
          <t>N</t>
        </is>
      </c>
      <c r="I3120" s="37">
        <f>COUNTIF(G$5:G3120,"Y")/COUNTA(G$5:G3120)</f>
        <v/>
      </c>
      <c r="J3120" s="37">
        <f>COUNTIF(H$5:H3120,"Y")/COUNTA(H$5:H3120)</f>
        <v/>
      </c>
      <c r="K3120" s="37">
        <f>AVERAGE(F$5:F3120)</f>
        <v/>
      </c>
      <c r="L3120" s="37">
        <f>SUM(F$5:F3120)/SUM(E$5:E3120)</f>
        <v/>
      </c>
    </row>
    <row r="3121">
      <c r="A3121" s="29" t="n">
        <v>46136</v>
      </c>
      <c r="B3121" s="37" t="inlineStr">
        <is>
          <t>JOB-4117</t>
        </is>
      </c>
      <c r="C3121" s="34" t="n">
        <v>1</v>
      </c>
      <c r="D3121" s="37" t="inlineStr">
        <is>
          <t>Tech B</t>
        </is>
      </c>
      <c r="E3121" s="35" t="n">
        <v>1.6</v>
      </c>
      <c r="F3121" s="35" t="n">
        <v>1.2</v>
      </c>
      <c r="G3121" s="37" t="inlineStr">
        <is>
          <t>Y</t>
        </is>
      </c>
      <c r="H3121" s="37" t="inlineStr">
        <is>
          <t>N</t>
        </is>
      </c>
      <c r="I3121" s="37">
        <f>COUNTIF(G$5:G3121,"Y")/COUNTA(G$5:G3121)</f>
        <v/>
      </c>
      <c r="J3121" s="37">
        <f>COUNTIF(H$5:H3121,"Y")/COUNTA(H$5:H3121)</f>
        <v/>
      </c>
      <c r="K3121" s="37">
        <f>AVERAGE(F$5:F3121)</f>
        <v/>
      </c>
      <c r="L3121" s="37">
        <f>SUM(F$5:F3121)/SUM(E$5:E3121)</f>
        <v/>
      </c>
    </row>
    <row r="3122">
      <c r="A3122" s="29" t="n">
        <v>46132</v>
      </c>
      <c r="B3122" s="37" t="inlineStr">
        <is>
          <t>JOB-4118</t>
        </is>
      </c>
      <c r="C3122" s="34" t="n">
        <v>1</v>
      </c>
      <c r="D3122" s="37" t="inlineStr">
        <is>
          <t>Tech H</t>
        </is>
      </c>
      <c r="E3122" s="35" t="n">
        <v>1.5</v>
      </c>
      <c r="F3122" s="35" t="n">
        <v>1.2</v>
      </c>
      <c r="G3122" s="37" t="inlineStr">
        <is>
          <t>Y</t>
        </is>
      </c>
      <c r="H3122" s="37" t="inlineStr">
        <is>
          <t>N</t>
        </is>
      </c>
      <c r="I3122" s="37">
        <f>COUNTIF(G$5:G3122,"Y")/COUNTA(G$5:G3122)</f>
        <v/>
      </c>
      <c r="J3122" s="37">
        <f>COUNTIF(H$5:H3122,"Y")/COUNTA(H$5:H3122)</f>
        <v/>
      </c>
      <c r="K3122" s="37">
        <f>AVERAGE(F$5:F3122)</f>
        <v/>
      </c>
      <c r="L3122" s="37">
        <f>SUM(F$5:F3122)/SUM(E$5:E3122)</f>
        <v/>
      </c>
    </row>
    <row r="3123">
      <c r="A3123" s="29" t="n">
        <v>46133</v>
      </c>
      <c r="B3123" s="37" t="inlineStr">
        <is>
          <t>JOB-4119</t>
        </is>
      </c>
      <c r="C3123" s="34" t="n">
        <v>1</v>
      </c>
      <c r="D3123" s="37" t="inlineStr">
        <is>
          <t>Tech F</t>
        </is>
      </c>
      <c r="E3123" s="35" t="n">
        <v>2.7</v>
      </c>
      <c r="F3123" s="35" t="n">
        <v>2</v>
      </c>
      <c r="G3123" s="37" t="inlineStr">
        <is>
          <t>Y</t>
        </is>
      </c>
      <c r="H3123" s="37" t="inlineStr">
        <is>
          <t>N</t>
        </is>
      </c>
      <c r="I3123" s="37">
        <f>COUNTIF(G$5:G3123,"Y")/COUNTA(G$5:G3123)</f>
        <v/>
      </c>
      <c r="J3123" s="37">
        <f>COUNTIF(H$5:H3123,"Y")/COUNTA(H$5:H3123)</f>
        <v/>
      </c>
      <c r="K3123" s="37">
        <f>AVERAGE(F$5:F3123)</f>
        <v/>
      </c>
      <c r="L3123" s="37">
        <f>SUM(F$5:F3123)/SUM(E$5:E3123)</f>
        <v/>
      </c>
    </row>
    <row r="3124">
      <c r="A3124" s="29" t="n">
        <v>46134</v>
      </c>
      <c r="B3124" s="37" t="inlineStr">
        <is>
          <t>JOB-4120</t>
        </is>
      </c>
      <c r="C3124" s="34" t="n">
        <v>1</v>
      </c>
      <c r="D3124" s="37" t="inlineStr">
        <is>
          <t>Tech B</t>
        </is>
      </c>
      <c r="E3124" s="35" t="n">
        <v>2.9</v>
      </c>
      <c r="F3124" s="35" t="n">
        <v>2.1</v>
      </c>
      <c r="G3124" s="37" t="inlineStr">
        <is>
          <t>Y</t>
        </is>
      </c>
      <c r="H3124" s="37" t="inlineStr">
        <is>
          <t>N</t>
        </is>
      </c>
      <c r="I3124" s="37">
        <f>COUNTIF(G$5:G3124,"Y")/COUNTA(G$5:G3124)</f>
        <v/>
      </c>
      <c r="J3124" s="37">
        <f>COUNTIF(H$5:H3124,"Y")/COUNTA(H$5:H3124)</f>
        <v/>
      </c>
      <c r="K3124" s="37">
        <f>AVERAGE(F$5:F3124)</f>
        <v/>
      </c>
      <c r="L3124" s="37">
        <f>SUM(F$5:F3124)/SUM(E$5:E3124)</f>
        <v/>
      </c>
    </row>
    <row r="3125">
      <c r="A3125" s="29" t="n">
        <v>46135</v>
      </c>
      <c r="B3125" s="37" t="inlineStr">
        <is>
          <t>JOB-4121</t>
        </is>
      </c>
      <c r="C3125" s="34" t="n">
        <v>1</v>
      </c>
      <c r="D3125" s="37" t="inlineStr">
        <is>
          <t>Tech B</t>
        </is>
      </c>
      <c r="E3125" s="35" t="n">
        <v>3.5</v>
      </c>
      <c r="F3125" s="35" t="n">
        <v>2.7</v>
      </c>
      <c r="G3125" s="37" t="inlineStr">
        <is>
          <t>Y</t>
        </is>
      </c>
      <c r="H3125" s="37" t="inlineStr">
        <is>
          <t>N</t>
        </is>
      </c>
      <c r="I3125" s="37">
        <f>COUNTIF(G$5:G3125,"Y")/COUNTA(G$5:G3125)</f>
        <v/>
      </c>
      <c r="J3125" s="37">
        <f>COUNTIF(H$5:H3125,"Y")/COUNTA(H$5:H3125)</f>
        <v/>
      </c>
      <c r="K3125" s="37">
        <f>AVERAGE(F$5:F3125)</f>
        <v/>
      </c>
      <c r="L3125" s="37">
        <f>SUM(F$5:F3125)/SUM(E$5:E3125)</f>
        <v/>
      </c>
    </row>
    <row r="3126">
      <c r="A3126" s="29" t="n">
        <v>46136</v>
      </c>
      <c r="B3126" s="37" t="inlineStr">
        <is>
          <t>JOB-4122</t>
        </is>
      </c>
      <c r="C3126" s="34" t="n">
        <v>1</v>
      </c>
      <c r="D3126" s="37" t="inlineStr">
        <is>
          <t>Tech B</t>
        </is>
      </c>
      <c r="E3126" s="35" t="n">
        <v>4.8</v>
      </c>
      <c r="F3126" s="35" t="n">
        <v>3.5</v>
      </c>
      <c r="G3126" s="37" t="inlineStr">
        <is>
          <t>Y</t>
        </is>
      </c>
      <c r="H3126" s="37" t="inlineStr">
        <is>
          <t>N</t>
        </is>
      </c>
      <c r="I3126" s="37">
        <f>COUNTIF(G$5:G3126,"Y")/COUNTA(G$5:G3126)</f>
        <v/>
      </c>
      <c r="J3126" s="37">
        <f>COUNTIF(H$5:H3126,"Y")/COUNTA(H$5:H3126)</f>
        <v/>
      </c>
      <c r="K3126" s="37">
        <f>AVERAGE(F$5:F3126)</f>
        <v/>
      </c>
      <c r="L3126" s="37">
        <f>SUM(F$5:F3126)/SUM(E$5:E3126)</f>
        <v/>
      </c>
    </row>
    <row r="3127">
      <c r="A3127" s="29" t="n">
        <v>46132</v>
      </c>
      <c r="B3127" s="37" t="inlineStr">
        <is>
          <t>JOB-4123</t>
        </is>
      </c>
      <c r="C3127" s="34" t="n">
        <v>1</v>
      </c>
      <c r="D3127" s="37" t="inlineStr">
        <is>
          <t>Tech H</t>
        </is>
      </c>
      <c r="E3127" s="35" t="n">
        <v>1</v>
      </c>
      <c r="F3127" s="35" t="n">
        <v>0.9</v>
      </c>
      <c r="G3127" s="37" t="inlineStr">
        <is>
          <t>Y</t>
        </is>
      </c>
      <c r="H3127" s="37" t="inlineStr">
        <is>
          <t>Y</t>
        </is>
      </c>
      <c r="I3127" s="37">
        <f>COUNTIF(G$5:G3127,"Y")/COUNTA(G$5:G3127)</f>
        <v/>
      </c>
      <c r="J3127" s="37">
        <f>COUNTIF(H$5:H3127,"Y")/COUNTA(H$5:H3127)</f>
        <v/>
      </c>
      <c r="K3127" s="37">
        <f>AVERAGE(F$5:F3127)</f>
        <v/>
      </c>
      <c r="L3127" s="37">
        <f>SUM(F$5:F3127)/SUM(E$5:E3127)</f>
        <v/>
      </c>
    </row>
    <row r="3128">
      <c r="A3128" s="29" t="n">
        <v>46133</v>
      </c>
      <c r="B3128" s="37" t="inlineStr">
        <is>
          <t>JOB-4124</t>
        </is>
      </c>
      <c r="C3128" s="34" t="n">
        <v>1</v>
      </c>
      <c r="D3128" s="37" t="inlineStr">
        <is>
          <t>Tech B</t>
        </is>
      </c>
      <c r="E3128" s="35" t="n">
        <v>0.6</v>
      </c>
      <c r="F3128" s="35" t="n">
        <v>0.5</v>
      </c>
      <c r="G3128" s="37" t="inlineStr">
        <is>
          <t>Y</t>
        </is>
      </c>
      <c r="H3128" s="37" t="inlineStr">
        <is>
          <t>N</t>
        </is>
      </c>
      <c r="I3128" s="37">
        <f>COUNTIF(G$5:G3128,"Y")/COUNTA(G$5:G3128)</f>
        <v/>
      </c>
      <c r="J3128" s="37">
        <f>COUNTIF(H$5:H3128,"Y")/COUNTA(H$5:H3128)</f>
        <v/>
      </c>
      <c r="K3128" s="37">
        <f>AVERAGE(F$5:F3128)</f>
        <v/>
      </c>
      <c r="L3128" s="37">
        <f>SUM(F$5:F3128)/SUM(E$5:E3128)</f>
        <v/>
      </c>
    </row>
    <row r="3129">
      <c r="A3129" s="29" t="n">
        <v>46134</v>
      </c>
      <c r="B3129" s="37" t="inlineStr">
        <is>
          <t>JOB-4125</t>
        </is>
      </c>
      <c r="C3129" s="34" t="n">
        <v>1</v>
      </c>
      <c r="D3129" s="37" t="inlineStr">
        <is>
          <t>Tech F</t>
        </is>
      </c>
      <c r="E3129" s="35" t="n">
        <v>0.6</v>
      </c>
      <c r="F3129" s="35" t="n">
        <v>0.5</v>
      </c>
      <c r="G3129" s="37" t="inlineStr">
        <is>
          <t>Y</t>
        </is>
      </c>
      <c r="H3129" s="37" t="inlineStr">
        <is>
          <t>N</t>
        </is>
      </c>
      <c r="I3129" s="37">
        <f>COUNTIF(G$5:G3129,"Y")/COUNTA(G$5:G3129)</f>
        <v/>
      </c>
      <c r="J3129" s="37">
        <f>COUNTIF(H$5:H3129,"Y")/COUNTA(H$5:H3129)</f>
        <v/>
      </c>
      <c r="K3129" s="37">
        <f>AVERAGE(F$5:F3129)</f>
        <v/>
      </c>
      <c r="L3129" s="37">
        <f>SUM(F$5:F3129)/SUM(E$5:E3129)</f>
        <v/>
      </c>
    </row>
    <row r="3130">
      <c r="A3130" s="29" t="n">
        <v>46135</v>
      </c>
      <c r="B3130" s="37" t="inlineStr">
        <is>
          <t>JOB-4126</t>
        </is>
      </c>
      <c r="C3130" s="34" t="n">
        <v>1</v>
      </c>
      <c r="D3130" s="37" t="inlineStr">
        <is>
          <t>Tech B</t>
        </is>
      </c>
      <c r="E3130" s="35" t="n">
        <v>0.7</v>
      </c>
      <c r="F3130" s="35" t="n">
        <v>0.5</v>
      </c>
      <c r="G3130" s="37" t="inlineStr">
        <is>
          <t>Y</t>
        </is>
      </c>
      <c r="H3130" s="37" t="inlineStr">
        <is>
          <t>N</t>
        </is>
      </c>
      <c r="I3130" s="37">
        <f>COUNTIF(G$5:G3130,"Y")/COUNTA(G$5:G3130)</f>
        <v/>
      </c>
      <c r="J3130" s="37">
        <f>COUNTIF(H$5:H3130,"Y")/COUNTA(H$5:H3130)</f>
        <v/>
      </c>
      <c r="K3130" s="37">
        <f>AVERAGE(F$5:F3130)</f>
        <v/>
      </c>
      <c r="L3130" s="37">
        <f>SUM(F$5:F3130)/SUM(E$5:E3130)</f>
        <v/>
      </c>
      <c r="M3130" s="37" t="n">
        <v>11</v>
      </c>
    </row>
    <row r="3131">
      <c r="A3131" s="29" t="n">
        <v>46139</v>
      </c>
      <c r="B3131" s="37" t="inlineStr">
        <is>
          <t>JOB-4127</t>
        </is>
      </c>
      <c r="C3131" s="34" t="n">
        <v>1</v>
      </c>
      <c r="D3131" s="37" t="inlineStr">
        <is>
          <t>Tech G</t>
        </is>
      </c>
      <c r="E3131" s="35" t="n">
        <v>4.9</v>
      </c>
      <c r="F3131" s="35" t="n">
        <v>3.6</v>
      </c>
      <c r="G3131" s="37" t="inlineStr">
        <is>
          <t>Y</t>
        </is>
      </c>
      <c r="H3131" s="37" t="inlineStr">
        <is>
          <t>N</t>
        </is>
      </c>
      <c r="I3131" s="37">
        <f>COUNTIF(G$5:G3131,"Y")/COUNTA(G$5:G3131)</f>
        <v/>
      </c>
      <c r="J3131" s="37">
        <f>COUNTIF(H$5:H3131,"Y")/COUNTA(H$5:H3131)</f>
        <v/>
      </c>
      <c r="K3131" s="37">
        <f>AVERAGE(F$5:F3131)</f>
        <v/>
      </c>
      <c r="L3131" s="37">
        <f>SUM(F$5:F3131)/SUM(E$5:E3131)</f>
        <v/>
      </c>
    </row>
    <row r="3132">
      <c r="A3132" s="29" t="n">
        <v>46140</v>
      </c>
      <c r="B3132" s="37" t="inlineStr">
        <is>
          <t>JOB-4128</t>
        </is>
      </c>
      <c r="C3132" s="34" t="n">
        <v>1</v>
      </c>
      <c r="D3132" s="37" t="inlineStr">
        <is>
          <t>Tech G</t>
        </is>
      </c>
      <c r="E3132" s="35" t="n">
        <v>3.9</v>
      </c>
      <c r="F3132" s="35" t="n">
        <v>3.2</v>
      </c>
      <c r="G3132" s="37" t="inlineStr">
        <is>
          <t>Y</t>
        </is>
      </c>
      <c r="H3132" s="37" t="inlineStr">
        <is>
          <t>N</t>
        </is>
      </c>
      <c r="I3132" s="37">
        <f>COUNTIF(G$5:G3132,"Y")/COUNTA(G$5:G3132)</f>
        <v/>
      </c>
      <c r="J3132" s="37">
        <f>COUNTIF(H$5:H3132,"Y")/COUNTA(H$5:H3132)</f>
        <v/>
      </c>
      <c r="K3132" s="37">
        <f>AVERAGE(F$5:F3132)</f>
        <v/>
      </c>
      <c r="L3132" s="37">
        <f>SUM(F$5:F3132)/SUM(E$5:E3132)</f>
        <v/>
      </c>
    </row>
    <row r="3133">
      <c r="A3133" s="29" t="n">
        <v>46141</v>
      </c>
      <c r="B3133" s="37" t="inlineStr">
        <is>
          <t>JOB-4129</t>
        </is>
      </c>
      <c r="C3133" s="34" t="n">
        <v>1</v>
      </c>
      <c r="D3133" s="37" t="inlineStr">
        <is>
          <t>Tech A</t>
        </is>
      </c>
      <c r="E3133" s="35" t="n">
        <v>3.2</v>
      </c>
      <c r="F3133" s="35" t="n">
        <v>2.3</v>
      </c>
      <c r="G3133" s="37" t="inlineStr">
        <is>
          <t>Y</t>
        </is>
      </c>
      <c r="H3133" s="37" t="inlineStr">
        <is>
          <t>N</t>
        </is>
      </c>
      <c r="I3133" s="37">
        <f>COUNTIF(G$5:G3133,"Y")/COUNTA(G$5:G3133)</f>
        <v/>
      </c>
      <c r="J3133" s="37">
        <f>COUNTIF(H$5:H3133,"Y")/COUNTA(H$5:H3133)</f>
        <v/>
      </c>
      <c r="K3133" s="37">
        <f>AVERAGE(F$5:F3133)</f>
        <v/>
      </c>
      <c r="L3133" s="37">
        <f>SUM(F$5:F3133)/SUM(E$5:E3133)</f>
        <v/>
      </c>
    </row>
    <row r="3134">
      <c r="A3134" s="29" t="n">
        <v>46142</v>
      </c>
      <c r="B3134" s="37" t="inlineStr">
        <is>
          <t>JOB-4130</t>
        </is>
      </c>
      <c r="C3134" s="34" t="n">
        <v>1</v>
      </c>
      <c r="D3134" s="37" t="inlineStr">
        <is>
          <t>Tech B</t>
        </is>
      </c>
      <c r="E3134" s="35" t="n">
        <v>3.9</v>
      </c>
      <c r="F3134" s="35" t="n">
        <v>3.2</v>
      </c>
      <c r="G3134" s="37" t="inlineStr">
        <is>
          <t>Y</t>
        </is>
      </c>
      <c r="H3134" s="37" t="inlineStr">
        <is>
          <t>N</t>
        </is>
      </c>
      <c r="I3134" s="37">
        <f>COUNTIF(G$5:G3134,"Y")/COUNTA(G$5:G3134)</f>
        <v/>
      </c>
      <c r="J3134" s="37">
        <f>COUNTIF(H$5:H3134,"Y")/COUNTA(H$5:H3134)</f>
        <v/>
      </c>
      <c r="K3134" s="37">
        <f>AVERAGE(F$5:F3134)</f>
        <v/>
      </c>
      <c r="L3134" s="37">
        <f>SUM(F$5:F3134)/SUM(E$5:E3134)</f>
        <v/>
      </c>
    </row>
    <row r="3135">
      <c r="A3135" s="29" t="n">
        <v>46143</v>
      </c>
      <c r="B3135" s="37" t="inlineStr">
        <is>
          <t>JOB-4131</t>
        </is>
      </c>
      <c r="C3135" s="34" t="n">
        <v>1</v>
      </c>
      <c r="D3135" s="37" t="inlineStr">
        <is>
          <t>Tech A</t>
        </is>
      </c>
      <c r="E3135" s="35" t="n">
        <v>2.3</v>
      </c>
      <c r="F3135" s="35" t="n">
        <v>1.9</v>
      </c>
      <c r="G3135" s="37" t="inlineStr">
        <is>
          <t>N</t>
        </is>
      </c>
      <c r="H3135" s="37" t="inlineStr">
        <is>
          <t>N</t>
        </is>
      </c>
      <c r="I3135" s="37">
        <f>COUNTIF(G$5:G3135,"Y")/COUNTA(G$5:G3135)</f>
        <v/>
      </c>
      <c r="J3135" s="37">
        <f>COUNTIF(H$5:H3135,"Y")/COUNTA(H$5:H3135)</f>
        <v/>
      </c>
      <c r="K3135" s="37">
        <f>AVERAGE(F$5:F3135)</f>
        <v/>
      </c>
      <c r="L3135" s="37">
        <f>SUM(F$5:F3135)/SUM(E$5:E3135)</f>
        <v/>
      </c>
    </row>
    <row r="3136">
      <c r="A3136" s="29" t="n">
        <v>46139</v>
      </c>
      <c r="B3136" s="37" t="inlineStr">
        <is>
          <t>JOB-4132</t>
        </is>
      </c>
      <c r="C3136" s="34" t="n">
        <v>1</v>
      </c>
      <c r="D3136" s="37" t="inlineStr">
        <is>
          <t>Tech B</t>
        </is>
      </c>
      <c r="E3136" s="35" t="n">
        <v>2.9</v>
      </c>
      <c r="F3136" s="35" t="n">
        <v>2.3</v>
      </c>
      <c r="G3136" s="37" t="inlineStr">
        <is>
          <t>Y</t>
        </is>
      </c>
      <c r="H3136" s="37" t="inlineStr">
        <is>
          <t>N</t>
        </is>
      </c>
      <c r="I3136" s="37">
        <f>COUNTIF(G$5:G3136,"Y")/COUNTA(G$5:G3136)</f>
        <v/>
      </c>
      <c r="J3136" s="37">
        <f>COUNTIF(H$5:H3136,"Y")/COUNTA(H$5:H3136)</f>
        <v/>
      </c>
      <c r="K3136" s="37">
        <f>AVERAGE(F$5:F3136)</f>
        <v/>
      </c>
      <c r="L3136" s="37">
        <f>SUM(F$5:F3136)/SUM(E$5:E3136)</f>
        <v/>
      </c>
    </row>
    <row r="3137">
      <c r="A3137" s="29" t="n">
        <v>46140</v>
      </c>
      <c r="B3137" s="37" t="inlineStr">
        <is>
          <t>JOB-4133</t>
        </is>
      </c>
      <c r="C3137" s="34" t="n">
        <v>1</v>
      </c>
      <c r="D3137" s="37" t="inlineStr">
        <is>
          <t>Tech C</t>
        </is>
      </c>
      <c r="E3137" s="35" t="n">
        <v>3.3</v>
      </c>
      <c r="F3137" s="35" t="n">
        <v>2.3</v>
      </c>
      <c r="G3137" s="37" t="inlineStr">
        <is>
          <t>Y</t>
        </is>
      </c>
      <c r="H3137" s="37" t="inlineStr">
        <is>
          <t>N</t>
        </is>
      </c>
      <c r="I3137" s="37">
        <f>COUNTIF(G$5:G3137,"Y")/COUNTA(G$5:G3137)</f>
        <v/>
      </c>
      <c r="J3137" s="37">
        <f>COUNTIF(H$5:H3137,"Y")/COUNTA(H$5:H3137)</f>
        <v/>
      </c>
      <c r="K3137" s="37">
        <f>AVERAGE(F$5:F3137)</f>
        <v/>
      </c>
      <c r="L3137" s="37">
        <f>SUM(F$5:F3137)/SUM(E$5:E3137)</f>
        <v/>
      </c>
    </row>
    <row r="3138">
      <c r="A3138" s="29" t="n">
        <v>46141</v>
      </c>
      <c r="B3138" s="37" t="inlineStr">
        <is>
          <t>JOB-4134</t>
        </is>
      </c>
      <c r="C3138" s="34" t="n">
        <v>1</v>
      </c>
      <c r="D3138" s="37" t="inlineStr">
        <is>
          <t>Tech A</t>
        </is>
      </c>
      <c r="E3138" s="35" t="n">
        <v>5.2</v>
      </c>
      <c r="F3138" s="35" t="n">
        <v>3.7</v>
      </c>
      <c r="G3138" s="37" t="inlineStr">
        <is>
          <t>Y</t>
        </is>
      </c>
      <c r="H3138" s="37" t="inlineStr">
        <is>
          <t>N</t>
        </is>
      </c>
      <c r="I3138" s="37">
        <f>COUNTIF(G$5:G3138,"Y")/COUNTA(G$5:G3138)</f>
        <v/>
      </c>
      <c r="J3138" s="37">
        <f>COUNTIF(H$5:H3138,"Y")/COUNTA(H$5:H3138)</f>
        <v/>
      </c>
      <c r="K3138" s="37">
        <f>AVERAGE(F$5:F3138)</f>
        <v/>
      </c>
      <c r="L3138" s="37">
        <f>SUM(F$5:F3138)/SUM(E$5:E3138)</f>
        <v/>
      </c>
    </row>
    <row r="3139">
      <c r="A3139" s="29" t="n">
        <v>46142</v>
      </c>
      <c r="B3139" s="37" t="inlineStr">
        <is>
          <t>JOB-4135</t>
        </is>
      </c>
      <c r="C3139" s="34" t="n">
        <v>1</v>
      </c>
      <c r="D3139" s="37" t="inlineStr">
        <is>
          <t>Tech B</t>
        </is>
      </c>
      <c r="E3139" s="35" t="n">
        <v>2.5</v>
      </c>
      <c r="F3139" s="35" t="n">
        <v>2.2</v>
      </c>
      <c r="G3139" s="37" t="inlineStr">
        <is>
          <t>Y</t>
        </is>
      </c>
      <c r="H3139" s="37" t="inlineStr">
        <is>
          <t>N</t>
        </is>
      </c>
      <c r="I3139" s="37">
        <f>COUNTIF(G$5:G3139,"Y")/COUNTA(G$5:G3139)</f>
        <v/>
      </c>
      <c r="J3139" s="37">
        <f>COUNTIF(H$5:H3139,"Y")/COUNTA(H$5:H3139)</f>
        <v/>
      </c>
      <c r="K3139" s="37">
        <f>AVERAGE(F$5:F3139)</f>
        <v/>
      </c>
      <c r="L3139" s="37">
        <f>SUM(F$5:F3139)/SUM(E$5:E3139)</f>
        <v/>
      </c>
    </row>
    <row r="3140">
      <c r="A3140" s="29" t="n">
        <v>46143</v>
      </c>
      <c r="B3140" s="37" t="inlineStr">
        <is>
          <t>JOB-4136</t>
        </is>
      </c>
      <c r="C3140" s="34" t="n">
        <v>1</v>
      </c>
      <c r="D3140" s="37" t="inlineStr">
        <is>
          <t>Tech F</t>
        </is>
      </c>
      <c r="E3140" s="35" t="n">
        <v>2.8</v>
      </c>
      <c r="F3140" s="35" t="n">
        <v>2</v>
      </c>
      <c r="G3140" s="37" t="inlineStr">
        <is>
          <t>Y</t>
        </is>
      </c>
      <c r="H3140" s="37" t="inlineStr">
        <is>
          <t>N</t>
        </is>
      </c>
      <c r="I3140" s="37">
        <f>COUNTIF(G$5:G3140,"Y")/COUNTA(G$5:G3140)</f>
        <v/>
      </c>
      <c r="J3140" s="37">
        <f>COUNTIF(H$5:H3140,"Y")/COUNTA(H$5:H3140)</f>
        <v/>
      </c>
      <c r="K3140" s="37">
        <f>AVERAGE(F$5:F3140)</f>
        <v/>
      </c>
      <c r="L3140" s="37">
        <f>SUM(F$5:F3140)/SUM(E$5:E3140)</f>
        <v/>
      </c>
    </row>
    <row r="3141">
      <c r="A3141" s="29" t="n">
        <v>46139</v>
      </c>
      <c r="B3141" s="37" t="inlineStr">
        <is>
          <t>JOB-4137</t>
        </is>
      </c>
      <c r="C3141" s="34" t="n">
        <v>1</v>
      </c>
      <c r="D3141" s="37" t="inlineStr">
        <is>
          <t>Tech G</t>
        </is>
      </c>
      <c r="E3141" s="35" t="n">
        <v>4.1</v>
      </c>
      <c r="F3141" s="35" t="n">
        <v>2.9</v>
      </c>
      <c r="G3141" s="37" t="inlineStr">
        <is>
          <t>Y</t>
        </is>
      </c>
      <c r="H3141" s="37" t="inlineStr">
        <is>
          <t>N</t>
        </is>
      </c>
      <c r="I3141" s="37">
        <f>COUNTIF(G$5:G3141,"Y")/COUNTA(G$5:G3141)</f>
        <v/>
      </c>
      <c r="J3141" s="37">
        <f>COUNTIF(H$5:H3141,"Y")/COUNTA(H$5:H3141)</f>
        <v/>
      </c>
      <c r="K3141" s="37">
        <f>AVERAGE(F$5:F3141)</f>
        <v/>
      </c>
      <c r="L3141" s="37">
        <f>SUM(F$5:F3141)/SUM(E$5:E3141)</f>
        <v/>
      </c>
    </row>
    <row r="3142">
      <c r="A3142" s="29" t="n">
        <v>46140</v>
      </c>
      <c r="B3142" s="37" t="inlineStr">
        <is>
          <t>JOB-4138</t>
        </is>
      </c>
      <c r="C3142" s="34" t="n">
        <v>1</v>
      </c>
      <c r="D3142" s="37" t="inlineStr">
        <is>
          <t>Tech B</t>
        </is>
      </c>
      <c r="E3142" s="35" t="n">
        <v>3.2</v>
      </c>
      <c r="F3142" s="35" t="n">
        <v>2.2</v>
      </c>
      <c r="G3142" s="37" t="inlineStr">
        <is>
          <t>Y</t>
        </is>
      </c>
      <c r="H3142" s="37" t="inlineStr">
        <is>
          <t>N</t>
        </is>
      </c>
      <c r="I3142" s="37">
        <f>COUNTIF(G$5:G3142,"Y")/COUNTA(G$5:G3142)</f>
        <v/>
      </c>
      <c r="J3142" s="37">
        <f>COUNTIF(H$5:H3142,"Y")/COUNTA(H$5:H3142)</f>
        <v/>
      </c>
      <c r="K3142" s="37">
        <f>AVERAGE(F$5:F3142)</f>
        <v/>
      </c>
      <c r="L3142" s="37">
        <f>SUM(F$5:F3142)/SUM(E$5:E3142)</f>
        <v/>
      </c>
    </row>
    <row r="3143">
      <c r="A3143" s="29" t="n">
        <v>46141</v>
      </c>
      <c r="B3143" s="37" t="inlineStr">
        <is>
          <t>JOB-4139</t>
        </is>
      </c>
      <c r="C3143" s="34" t="n">
        <v>1</v>
      </c>
      <c r="D3143" s="37" t="inlineStr">
        <is>
          <t>Tech G</t>
        </is>
      </c>
      <c r="E3143" s="35" t="n">
        <v>1.3</v>
      </c>
      <c r="F3143" s="35" t="n">
        <v>1.1</v>
      </c>
      <c r="G3143" s="37" t="inlineStr">
        <is>
          <t>Y</t>
        </is>
      </c>
      <c r="H3143" s="37" t="inlineStr">
        <is>
          <t>N</t>
        </is>
      </c>
      <c r="I3143" s="37">
        <f>COUNTIF(G$5:G3143,"Y")/COUNTA(G$5:G3143)</f>
        <v/>
      </c>
      <c r="J3143" s="37">
        <f>COUNTIF(H$5:H3143,"Y")/COUNTA(H$5:H3143)</f>
        <v/>
      </c>
      <c r="K3143" s="37">
        <f>AVERAGE(F$5:F3143)</f>
        <v/>
      </c>
      <c r="L3143" s="37">
        <f>SUM(F$5:F3143)/SUM(E$5:E3143)</f>
        <v/>
      </c>
    </row>
    <row r="3144">
      <c r="A3144" s="29" t="n">
        <v>46142</v>
      </c>
      <c r="B3144" s="37" t="inlineStr">
        <is>
          <t>JOB-4140</t>
        </is>
      </c>
      <c r="C3144" s="34" t="n">
        <v>1</v>
      </c>
      <c r="D3144" s="37" t="inlineStr">
        <is>
          <t>Tech A</t>
        </is>
      </c>
      <c r="E3144" s="35" t="n">
        <v>3</v>
      </c>
      <c r="F3144" s="35" t="n">
        <v>2.6</v>
      </c>
      <c r="G3144" s="37" t="inlineStr">
        <is>
          <t>Y</t>
        </is>
      </c>
      <c r="H3144" s="37" t="inlineStr">
        <is>
          <t>N</t>
        </is>
      </c>
      <c r="I3144" s="37">
        <f>COUNTIF(G$5:G3144,"Y")/COUNTA(G$5:G3144)</f>
        <v/>
      </c>
      <c r="J3144" s="37">
        <f>COUNTIF(H$5:H3144,"Y")/COUNTA(H$5:H3144)</f>
        <v/>
      </c>
      <c r="K3144" s="37">
        <f>AVERAGE(F$5:F3144)</f>
        <v/>
      </c>
      <c r="L3144" s="37">
        <f>SUM(F$5:F3144)/SUM(E$5:E3144)</f>
        <v/>
      </c>
    </row>
    <row r="3145">
      <c r="A3145" s="29" t="n">
        <v>46143</v>
      </c>
      <c r="B3145" s="37" t="inlineStr">
        <is>
          <t>JOB-4141</t>
        </is>
      </c>
      <c r="C3145" s="34" t="n">
        <v>1</v>
      </c>
      <c r="D3145" s="37" t="inlineStr">
        <is>
          <t>Tech G</t>
        </is>
      </c>
      <c r="E3145" s="35" t="n">
        <v>4.9</v>
      </c>
      <c r="F3145" s="35" t="n">
        <v>3.7</v>
      </c>
      <c r="G3145" s="37" t="inlineStr">
        <is>
          <t>Y</t>
        </is>
      </c>
      <c r="H3145" s="37" t="inlineStr">
        <is>
          <t>N</t>
        </is>
      </c>
      <c r="I3145" s="37">
        <f>COUNTIF(G$5:G3145,"Y")/COUNTA(G$5:G3145)</f>
        <v/>
      </c>
      <c r="J3145" s="37">
        <f>COUNTIF(H$5:H3145,"Y")/COUNTA(H$5:H3145)</f>
        <v/>
      </c>
      <c r="K3145" s="37">
        <f>AVERAGE(F$5:F3145)</f>
        <v/>
      </c>
      <c r="L3145" s="37">
        <f>SUM(F$5:F3145)/SUM(E$5:E3145)</f>
        <v/>
      </c>
    </row>
    <row r="3146">
      <c r="A3146" s="29" t="n">
        <v>46139</v>
      </c>
      <c r="B3146" s="37" t="inlineStr">
        <is>
          <t>JOB-4142</t>
        </is>
      </c>
      <c r="C3146" s="34" t="n">
        <v>1</v>
      </c>
      <c r="D3146" s="37" t="inlineStr">
        <is>
          <t>Tech A</t>
        </is>
      </c>
      <c r="E3146" s="35" t="n">
        <v>4.2</v>
      </c>
      <c r="F3146" s="35" t="n">
        <v>3.2</v>
      </c>
      <c r="G3146" s="37" t="inlineStr">
        <is>
          <t>Y</t>
        </is>
      </c>
      <c r="H3146" s="37" t="inlineStr">
        <is>
          <t>N</t>
        </is>
      </c>
      <c r="I3146" s="37">
        <f>COUNTIF(G$5:G3146,"Y")/COUNTA(G$5:G3146)</f>
        <v/>
      </c>
      <c r="J3146" s="37">
        <f>COUNTIF(H$5:H3146,"Y")/COUNTA(H$5:H3146)</f>
        <v/>
      </c>
      <c r="K3146" s="37">
        <f>AVERAGE(F$5:F3146)</f>
        <v/>
      </c>
      <c r="L3146" s="37">
        <f>SUM(F$5:F3146)/SUM(E$5:E3146)</f>
        <v/>
      </c>
    </row>
    <row r="3147">
      <c r="A3147" s="29" t="n">
        <v>46140</v>
      </c>
      <c r="B3147" s="37" t="inlineStr">
        <is>
          <t>JOB-4143</t>
        </is>
      </c>
      <c r="C3147" s="34" t="n">
        <v>1</v>
      </c>
      <c r="D3147" s="37" t="inlineStr">
        <is>
          <t>Tech A</t>
        </is>
      </c>
      <c r="E3147" s="35" t="n">
        <v>3.6</v>
      </c>
      <c r="F3147" s="35" t="n">
        <v>2.6</v>
      </c>
      <c r="G3147" s="37" t="inlineStr">
        <is>
          <t>Y</t>
        </is>
      </c>
      <c r="H3147" s="37" t="inlineStr">
        <is>
          <t>N</t>
        </is>
      </c>
      <c r="I3147" s="37">
        <f>COUNTIF(G$5:G3147,"Y")/COUNTA(G$5:G3147)</f>
        <v/>
      </c>
      <c r="J3147" s="37">
        <f>COUNTIF(H$5:H3147,"Y")/COUNTA(H$5:H3147)</f>
        <v/>
      </c>
      <c r="K3147" s="37">
        <f>AVERAGE(F$5:F3147)</f>
        <v/>
      </c>
      <c r="L3147" s="37">
        <f>SUM(F$5:F3147)/SUM(E$5:E3147)</f>
        <v/>
      </c>
    </row>
    <row r="3148">
      <c r="A3148" s="29" t="n">
        <v>46141</v>
      </c>
      <c r="B3148" s="37" t="inlineStr">
        <is>
          <t>JOB-4144</t>
        </is>
      </c>
      <c r="C3148" s="34" t="n">
        <v>1</v>
      </c>
      <c r="D3148" s="37" t="inlineStr">
        <is>
          <t>Tech H</t>
        </is>
      </c>
      <c r="E3148" s="35" t="n">
        <v>1.8</v>
      </c>
      <c r="F3148" s="35" t="n">
        <v>1.5</v>
      </c>
      <c r="G3148" s="37" t="inlineStr">
        <is>
          <t>Y</t>
        </is>
      </c>
      <c r="H3148" s="37" t="inlineStr">
        <is>
          <t>N</t>
        </is>
      </c>
      <c r="I3148" s="37">
        <f>COUNTIF(G$5:G3148,"Y")/COUNTA(G$5:G3148)</f>
        <v/>
      </c>
      <c r="J3148" s="37">
        <f>COUNTIF(H$5:H3148,"Y")/COUNTA(H$5:H3148)</f>
        <v/>
      </c>
      <c r="K3148" s="37">
        <f>AVERAGE(F$5:F3148)</f>
        <v/>
      </c>
      <c r="L3148" s="37">
        <f>SUM(F$5:F3148)/SUM(E$5:E3148)</f>
        <v/>
      </c>
    </row>
    <row r="3149">
      <c r="A3149" s="29" t="n">
        <v>46142</v>
      </c>
      <c r="B3149" s="37" t="inlineStr">
        <is>
          <t>JOB-4145</t>
        </is>
      </c>
      <c r="C3149" s="34" t="n">
        <v>1</v>
      </c>
      <c r="D3149" s="37" t="inlineStr">
        <is>
          <t>Tech A</t>
        </is>
      </c>
      <c r="E3149" s="35" t="n">
        <v>2.3</v>
      </c>
      <c r="F3149" s="35" t="n">
        <v>1.7</v>
      </c>
      <c r="G3149" s="37" t="inlineStr">
        <is>
          <t>Y</t>
        </is>
      </c>
      <c r="H3149" s="37" t="inlineStr">
        <is>
          <t>N</t>
        </is>
      </c>
      <c r="I3149" s="37">
        <f>COUNTIF(G$5:G3149,"Y")/COUNTA(G$5:G3149)</f>
        <v/>
      </c>
      <c r="J3149" s="37">
        <f>COUNTIF(H$5:H3149,"Y")/COUNTA(H$5:H3149)</f>
        <v/>
      </c>
      <c r="K3149" s="37">
        <f>AVERAGE(F$5:F3149)</f>
        <v/>
      </c>
      <c r="L3149" s="37">
        <f>SUM(F$5:F3149)/SUM(E$5:E3149)</f>
        <v/>
      </c>
    </row>
    <row r="3150">
      <c r="A3150" s="29" t="n">
        <v>46143</v>
      </c>
      <c r="B3150" s="37" t="inlineStr">
        <is>
          <t>JOB-4146</t>
        </is>
      </c>
      <c r="C3150" s="34" t="n">
        <v>1</v>
      </c>
      <c r="D3150" s="37" t="inlineStr">
        <is>
          <t>Tech H</t>
        </is>
      </c>
      <c r="E3150" s="35" t="n">
        <v>3.9</v>
      </c>
      <c r="F3150" s="35" t="n">
        <v>3.1</v>
      </c>
      <c r="G3150" s="37" t="inlineStr">
        <is>
          <t>N</t>
        </is>
      </c>
      <c r="H3150" s="37" t="inlineStr">
        <is>
          <t>N</t>
        </is>
      </c>
      <c r="I3150" s="37">
        <f>COUNTIF(G$5:G3150,"Y")/COUNTA(G$5:G3150)</f>
        <v/>
      </c>
      <c r="J3150" s="37">
        <f>COUNTIF(H$5:H3150,"Y")/COUNTA(H$5:H3150)</f>
        <v/>
      </c>
      <c r="K3150" s="37">
        <f>AVERAGE(F$5:F3150)</f>
        <v/>
      </c>
      <c r="L3150" s="37">
        <f>SUM(F$5:F3150)/SUM(E$5:E3150)</f>
        <v/>
      </c>
    </row>
    <row r="3151">
      <c r="A3151" s="29" t="n">
        <v>46139</v>
      </c>
      <c r="B3151" s="37" t="inlineStr">
        <is>
          <t>JOB-4147</t>
        </is>
      </c>
      <c r="C3151" s="34" t="n">
        <v>1</v>
      </c>
      <c r="D3151" s="37" t="inlineStr">
        <is>
          <t>Tech G</t>
        </is>
      </c>
      <c r="E3151" s="35" t="n">
        <v>3.7</v>
      </c>
      <c r="F3151" s="35" t="n">
        <v>2.7</v>
      </c>
      <c r="G3151" s="37" t="inlineStr">
        <is>
          <t>Y</t>
        </is>
      </c>
      <c r="H3151" s="37" t="inlineStr">
        <is>
          <t>N</t>
        </is>
      </c>
      <c r="I3151" s="37">
        <f>COUNTIF(G$5:G3151,"Y")/COUNTA(G$5:G3151)</f>
        <v/>
      </c>
      <c r="J3151" s="37">
        <f>COUNTIF(H$5:H3151,"Y")/COUNTA(H$5:H3151)</f>
        <v/>
      </c>
      <c r="K3151" s="37">
        <f>AVERAGE(F$5:F3151)</f>
        <v/>
      </c>
      <c r="L3151" s="37">
        <f>SUM(F$5:F3151)/SUM(E$5:E3151)</f>
        <v/>
      </c>
    </row>
    <row r="3152">
      <c r="A3152" s="29" t="n">
        <v>46140</v>
      </c>
      <c r="B3152" s="37" t="inlineStr">
        <is>
          <t>JOB-4148</t>
        </is>
      </c>
      <c r="C3152" s="34" t="n">
        <v>1</v>
      </c>
      <c r="D3152" s="37" t="inlineStr">
        <is>
          <t>Tech C</t>
        </is>
      </c>
      <c r="E3152" s="35" t="n">
        <v>3.3</v>
      </c>
      <c r="F3152" s="35" t="n">
        <v>2.5</v>
      </c>
      <c r="G3152" s="37" t="inlineStr">
        <is>
          <t>N</t>
        </is>
      </c>
      <c r="H3152" s="37" t="inlineStr">
        <is>
          <t>N</t>
        </is>
      </c>
      <c r="I3152" s="37">
        <f>COUNTIF(G$5:G3152,"Y")/COUNTA(G$5:G3152)</f>
        <v/>
      </c>
      <c r="J3152" s="37">
        <f>COUNTIF(H$5:H3152,"Y")/COUNTA(H$5:H3152)</f>
        <v/>
      </c>
      <c r="K3152" s="37">
        <f>AVERAGE(F$5:F3152)</f>
        <v/>
      </c>
      <c r="L3152" s="37">
        <f>SUM(F$5:F3152)/SUM(E$5:E3152)</f>
        <v/>
      </c>
    </row>
    <row r="3153">
      <c r="A3153" s="29" t="n">
        <v>46141</v>
      </c>
      <c r="B3153" s="37" t="inlineStr">
        <is>
          <t>JOB-4149</t>
        </is>
      </c>
      <c r="C3153" s="34" t="n">
        <v>1</v>
      </c>
      <c r="D3153" s="37" t="inlineStr">
        <is>
          <t>Tech G</t>
        </is>
      </c>
      <c r="E3153" s="35" t="n">
        <v>1.2</v>
      </c>
      <c r="F3153" s="35" t="n">
        <v>1.1</v>
      </c>
      <c r="G3153" s="37" t="inlineStr">
        <is>
          <t>Y</t>
        </is>
      </c>
      <c r="H3153" s="37" t="inlineStr">
        <is>
          <t>N</t>
        </is>
      </c>
      <c r="I3153" s="37">
        <f>COUNTIF(G$5:G3153,"Y")/COUNTA(G$5:G3153)</f>
        <v/>
      </c>
      <c r="J3153" s="37">
        <f>COUNTIF(H$5:H3153,"Y")/COUNTA(H$5:H3153)</f>
        <v/>
      </c>
      <c r="K3153" s="37">
        <f>AVERAGE(F$5:F3153)</f>
        <v/>
      </c>
      <c r="L3153" s="37">
        <f>SUM(F$5:F3153)/SUM(E$5:E3153)</f>
        <v/>
      </c>
    </row>
    <row r="3154">
      <c r="A3154" s="29" t="n">
        <v>46142</v>
      </c>
      <c r="B3154" s="37" t="inlineStr">
        <is>
          <t>JOB-4150</t>
        </is>
      </c>
      <c r="C3154" s="34" t="n">
        <v>1</v>
      </c>
      <c r="D3154" s="37" t="inlineStr">
        <is>
          <t>Tech F</t>
        </is>
      </c>
      <c r="E3154" s="35" t="n">
        <v>1.3</v>
      </c>
      <c r="F3154" s="35" t="n">
        <v>1.2</v>
      </c>
      <c r="G3154" s="37" t="inlineStr">
        <is>
          <t>Y</t>
        </is>
      </c>
      <c r="H3154" s="37" t="inlineStr">
        <is>
          <t>N</t>
        </is>
      </c>
      <c r="I3154" s="37">
        <f>COUNTIF(G$5:G3154,"Y")/COUNTA(G$5:G3154)</f>
        <v/>
      </c>
      <c r="J3154" s="37">
        <f>COUNTIF(H$5:H3154,"Y")/COUNTA(H$5:H3154)</f>
        <v/>
      </c>
      <c r="K3154" s="37">
        <f>AVERAGE(F$5:F3154)</f>
        <v/>
      </c>
      <c r="L3154" s="37">
        <f>SUM(F$5:F3154)/SUM(E$5:E3154)</f>
        <v/>
      </c>
    </row>
    <row r="3155">
      <c r="A3155" s="29" t="n">
        <v>46143</v>
      </c>
      <c r="B3155" s="37" t="inlineStr">
        <is>
          <t>JOB-4151</t>
        </is>
      </c>
      <c r="C3155" s="34" t="n">
        <v>1</v>
      </c>
      <c r="D3155" s="37" t="inlineStr">
        <is>
          <t>Tech A</t>
        </is>
      </c>
      <c r="E3155" s="35" t="n">
        <v>5.1</v>
      </c>
      <c r="F3155" s="35" t="n">
        <v>3.6</v>
      </c>
      <c r="G3155" s="37" t="inlineStr">
        <is>
          <t>Y</t>
        </is>
      </c>
      <c r="H3155" s="37" t="inlineStr">
        <is>
          <t>N</t>
        </is>
      </c>
      <c r="I3155" s="37">
        <f>COUNTIF(G$5:G3155,"Y")/COUNTA(G$5:G3155)</f>
        <v/>
      </c>
      <c r="J3155" s="37">
        <f>COUNTIF(H$5:H3155,"Y")/COUNTA(H$5:H3155)</f>
        <v/>
      </c>
      <c r="K3155" s="37">
        <f>AVERAGE(F$5:F3155)</f>
        <v/>
      </c>
      <c r="L3155" s="37">
        <f>SUM(F$5:F3155)/SUM(E$5:E3155)</f>
        <v/>
      </c>
    </row>
    <row r="3156">
      <c r="A3156" s="29" t="n">
        <v>46139</v>
      </c>
      <c r="B3156" s="37" t="inlineStr">
        <is>
          <t>JOB-4152</t>
        </is>
      </c>
      <c r="C3156" s="34" t="n">
        <v>1</v>
      </c>
      <c r="D3156" s="37" t="inlineStr">
        <is>
          <t>Tech B</t>
        </is>
      </c>
      <c r="E3156" s="35" t="n">
        <v>2.2</v>
      </c>
      <c r="F3156" s="35" t="n">
        <v>2</v>
      </c>
      <c r="G3156" s="37" t="inlineStr">
        <is>
          <t>Y</t>
        </is>
      </c>
      <c r="H3156" s="37" t="inlineStr">
        <is>
          <t>N</t>
        </is>
      </c>
      <c r="I3156" s="37">
        <f>COUNTIF(G$5:G3156,"Y")/COUNTA(G$5:G3156)</f>
        <v/>
      </c>
      <c r="J3156" s="37">
        <f>COUNTIF(H$5:H3156,"Y")/COUNTA(H$5:H3156)</f>
        <v/>
      </c>
      <c r="K3156" s="37">
        <f>AVERAGE(F$5:F3156)</f>
        <v/>
      </c>
      <c r="L3156" s="37">
        <f>SUM(F$5:F3156)/SUM(E$5:E3156)</f>
        <v/>
      </c>
    </row>
    <row r="3157">
      <c r="A3157" s="29" t="n">
        <v>46140</v>
      </c>
      <c r="B3157" s="37" t="inlineStr">
        <is>
          <t>JOB-4153</t>
        </is>
      </c>
      <c r="C3157" s="34" t="n">
        <v>1</v>
      </c>
      <c r="D3157" s="37" t="inlineStr">
        <is>
          <t>Tech F</t>
        </is>
      </c>
      <c r="E3157" s="35" t="n">
        <v>4.4</v>
      </c>
      <c r="F3157" s="35" t="n">
        <v>3.6</v>
      </c>
      <c r="G3157" s="37" t="inlineStr">
        <is>
          <t>Y</t>
        </is>
      </c>
      <c r="H3157" s="37" t="inlineStr">
        <is>
          <t>N</t>
        </is>
      </c>
      <c r="I3157" s="37">
        <f>COUNTIF(G$5:G3157,"Y")/COUNTA(G$5:G3157)</f>
        <v/>
      </c>
      <c r="J3157" s="37">
        <f>COUNTIF(H$5:H3157,"Y")/COUNTA(H$5:H3157)</f>
        <v/>
      </c>
      <c r="K3157" s="37">
        <f>AVERAGE(F$5:F3157)</f>
        <v/>
      </c>
      <c r="L3157" s="37">
        <f>SUM(F$5:F3157)/SUM(E$5:E3157)</f>
        <v/>
      </c>
    </row>
    <row r="3158">
      <c r="A3158" s="29" t="n">
        <v>46141</v>
      </c>
      <c r="B3158" s="37" t="inlineStr">
        <is>
          <t>JOB-4154</t>
        </is>
      </c>
      <c r="C3158" s="34" t="n">
        <v>1</v>
      </c>
      <c r="D3158" s="37" t="inlineStr">
        <is>
          <t>Tech H</t>
        </is>
      </c>
      <c r="E3158" s="35" t="n">
        <v>4.5</v>
      </c>
      <c r="F3158" s="35" t="n">
        <v>3.1</v>
      </c>
      <c r="G3158" s="37" t="inlineStr">
        <is>
          <t>Y</t>
        </is>
      </c>
      <c r="H3158" s="37" t="inlineStr">
        <is>
          <t>N</t>
        </is>
      </c>
      <c r="I3158" s="37">
        <f>COUNTIF(G$5:G3158,"Y")/COUNTA(G$5:G3158)</f>
        <v/>
      </c>
      <c r="J3158" s="37">
        <f>COUNTIF(H$5:H3158,"Y")/COUNTA(H$5:H3158)</f>
        <v/>
      </c>
      <c r="K3158" s="37">
        <f>AVERAGE(F$5:F3158)</f>
        <v/>
      </c>
      <c r="L3158" s="37">
        <f>SUM(F$5:F3158)/SUM(E$5:E3158)</f>
        <v/>
      </c>
    </row>
    <row r="3159">
      <c r="A3159" s="29" t="n">
        <v>46142</v>
      </c>
      <c r="B3159" s="37" t="inlineStr">
        <is>
          <t>JOB-4155</t>
        </is>
      </c>
      <c r="C3159" s="34" t="n">
        <v>1</v>
      </c>
      <c r="D3159" s="37" t="inlineStr">
        <is>
          <t>Tech G</t>
        </is>
      </c>
      <c r="E3159" s="35" t="n">
        <v>2.1</v>
      </c>
      <c r="F3159" s="35" t="n">
        <v>1.9</v>
      </c>
      <c r="G3159" s="37" t="inlineStr">
        <is>
          <t>Y</t>
        </is>
      </c>
      <c r="H3159" s="37" t="inlineStr">
        <is>
          <t>N</t>
        </is>
      </c>
      <c r="I3159" s="37">
        <f>COUNTIF(G$5:G3159,"Y")/COUNTA(G$5:G3159)</f>
        <v/>
      </c>
      <c r="J3159" s="37">
        <f>COUNTIF(H$5:H3159,"Y")/COUNTA(H$5:H3159)</f>
        <v/>
      </c>
      <c r="K3159" s="37">
        <f>AVERAGE(F$5:F3159)</f>
        <v/>
      </c>
      <c r="L3159" s="37">
        <f>SUM(F$5:F3159)/SUM(E$5:E3159)</f>
        <v/>
      </c>
    </row>
    <row r="3160">
      <c r="A3160" s="29" t="n">
        <v>46143</v>
      </c>
      <c r="B3160" s="37" t="inlineStr">
        <is>
          <t>JOB-4156</t>
        </is>
      </c>
      <c r="C3160" s="34" t="n">
        <v>1</v>
      </c>
      <c r="D3160" s="37" t="inlineStr">
        <is>
          <t>Tech D</t>
        </is>
      </c>
      <c r="E3160" s="35" t="n">
        <v>3.3</v>
      </c>
      <c r="F3160" s="35" t="n">
        <v>2.8</v>
      </c>
      <c r="G3160" s="37" t="inlineStr">
        <is>
          <t>N</t>
        </is>
      </c>
      <c r="H3160" s="37" t="inlineStr">
        <is>
          <t>N</t>
        </is>
      </c>
      <c r="I3160" s="37">
        <f>COUNTIF(G$5:G3160,"Y")/COUNTA(G$5:G3160)</f>
        <v/>
      </c>
      <c r="J3160" s="37">
        <f>COUNTIF(H$5:H3160,"Y")/COUNTA(H$5:H3160)</f>
        <v/>
      </c>
      <c r="K3160" s="37">
        <f>AVERAGE(F$5:F3160)</f>
        <v/>
      </c>
      <c r="L3160" s="37">
        <f>SUM(F$5:F3160)/SUM(E$5:E3160)</f>
        <v/>
      </c>
    </row>
    <row r="3161">
      <c r="A3161" s="29" t="n">
        <v>46139</v>
      </c>
      <c r="B3161" s="37" t="inlineStr">
        <is>
          <t>JOB-4157</t>
        </is>
      </c>
      <c r="C3161" s="34" t="n">
        <v>1</v>
      </c>
      <c r="D3161" s="37" t="inlineStr">
        <is>
          <t>Tech H</t>
        </is>
      </c>
      <c r="E3161" s="35" t="n">
        <v>4.4</v>
      </c>
      <c r="F3161" s="35" t="n">
        <v>3.5</v>
      </c>
      <c r="G3161" s="37" t="inlineStr">
        <is>
          <t>N</t>
        </is>
      </c>
      <c r="H3161" s="37" t="inlineStr">
        <is>
          <t>N</t>
        </is>
      </c>
      <c r="I3161" s="37">
        <f>COUNTIF(G$5:G3161,"Y")/COUNTA(G$5:G3161)</f>
        <v/>
      </c>
      <c r="J3161" s="37">
        <f>COUNTIF(H$5:H3161,"Y")/COUNTA(H$5:H3161)</f>
        <v/>
      </c>
      <c r="K3161" s="37">
        <f>AVERAGE(F$5:F3161)</f>
        <v/>
      </c>
      <c r="L3161" s="37">
        <f>SUM(F$5:F3161)/SUM(E$5:E3161)</f>
        <v/>
      </c>
    </row>
    <row r="3162">
      <c r="A3162" s="29" t="n">
        <v>46140</v>
      </c>
      <c r="B3162" s="37" t="inlineStr">
        <is>
          <t>JOB-4158</t>
        </is>
      </c>
      <c r="C3162" s="34" t="n">
        <v>1</v>
      </c>
      <c r="D3162" s="37" t="inlineStr">
        <is>
          <t>Tech G</t>
        </is>
      </c>
      <c r="E3162" s="35" t="n">
        <v>2.3</v>
      </c>
      <c r="F3162" s="35" t="n">
        <v>2</v>
      </c>
      <c r="G3162" s="37" t="inlineStr">
        <is>
          <t>Y</t>
        </is>
      </c>
      <c r="H3162" s="37" t="inlineStr">
        <is>
          <t>N</t>
        </is>
      </c>
      <c r="I3162" s="37">
        <f>COUNTIF(G$5:G3162,"Y")/COUNTA(G$5:G3162)</f>
        <v/>
      </c>
      <c r="J3162" s="37">
        <f>COUNTIF(H$5:H3162,"Y")/COUNTA(H$5:H3162)</f>
        <v/>
      </c>
      <c r="K3162" s="37">
        <f>AVERAGE(F$5:F3162)</f>
        <v/>
      </c>
      <c r="L3162" s="37">
        <f>SUM(F$5:F3162)/SUM(E$5:E3162)</f>
        <v/>
      </c>
    </row>
    <row r="3163">
      <c r="A3163" s="29" t="n">
        <v>46141</v>
      </c>
      <c r="B3163" s="37" t="inlineStr">
        <is>
          <t>JOB-4159</t>
        </is>
      </c>
      <c r="C3163" s="34" t="n">
        <v>1</v>
      </c>
      <c r="D3163" s="37" t="inlineStr">
        <is>
          <t>Tech C</t>
        </is>
      </c>
      <c r="E3163" s="35" t="n">
        <v>2.6</v>
      </c>
      <c r="F3163" s="35" t="n">
        <v>1.9</v>
      </c>
      <c r="G3163" s="37" t="inlineStr">
        <is>
          <t>Y</t>
        </is>
      </c>
      <c r="H3163" s="37" t="inlineStr">
        <is>
          <t>N</t>
        </is>
      </c>
      <c r="I3163" s="37">
        <f>COUNTIF(G$5:G3163,"Y")/COUNTA(G$5:G3163)</f>
        <v/>
      </c>
      <c r="J3163" s="37">
        <f>COUNTIF(H$5:H3163,"Y")/COUNTA(H$5:H3163)</f>
        <v/>
      </c>
      <c r="K3163" s="37">
        <f>AVERAGE(F$5:F3163)</f>
        <v/>
      </c>
      <c r="L3163" s="37">
        <f>SUM(F$5:F3163)/SUM(E$5:E3163)</f>
        <v/>
      </c>
    </row>
    <row r="3164">
      <c r="A3164" s="29" t="n">
        <v>46142</v>
      </c>
      <c r="B3164" s="37" t="inlineStr">
        <is>
          <t>JOB-4160</t>
        </is>
      </c>
      <c r="C3164" s="34" t="n">
        <v>1</v>
      </c>
      <c r="D3164" s="37" t="inlineStr">
        <is>
          <t>Tech G</t>
        </is>
      </c>
      <c r="E3164" s="35" t="n">
        <v>2.1</v>
      </c>
      <c r="F3164" s="35" t="n">
        <v>1.5</v>
      </c>
      <c r="G3164" s="37" t="inlineStr">
        <is>
          <t>Y</t>
        </is>
      </c>
      <c r="H3164" s="37" t="inlineStr">
        <is>
          <t>N</t>
        </is>
      </c>
      <c r="I3164" s="37">
        <f>COUNTIF(G$5:G3164,"Y")/COUNTA(G$5:G3164)</f>
        <v/>
      </c>
      <c r="J3164" s="37">
        <f>COUNTIF(H$5:H3164,"Y")/COUNTA(H$5:H3164)</f>
        <v/>
      </c>
      <c r="K3164" s="37">
        <f>AVERAGE(F$5:F3164)</f>
        <v/>
      </c>
      <c r="L3164" s="37">
        <f>SUM(F$5:F3164)/SUM(E$5:E3164)</f>
        <v/>
      </c>
    </row>
    <row r="3165">
      <c r="A3165" s="29" t="n">
        <v>46143</v>
      </c>
      <c r="B3165" s="37" t="inlineStr">
        <is>
          <t>JOB-4161</t>
        </is>
      </c>
      <c r="C3165" s="34" t="n">
        <v>1</v>
      </c>
      <c r="D3165" s="37" t="inlineStr">
        <is>
          <t>Tech H</t>
        </is>
      </c>
      <c r="E3165" s="35" t="n">
        <v>1.7</v>
      </c>
      <c r="F3165" s="35" t="n">
        <v>1.5</v>
      </c>
      <c r="G3165" s="37" t="inlineStr">
        <is>
          <t>Y</t>
        </is>
      </c>
      <c r="H3165" s="37" t="inlineStr">
        <is>
          <t>N</t>
        </is>
      </c>
      <c r="I3165" s="37">
        <f>COUNTIF(G$5:G3165,"Y")/COUNTA(G$5:G3165)</f>
        <v/>
      </c>
      <c r="J3165" s="37">
        <f>COUNTIF(H$5:H3165,"Y")/COUNTA(H$5:H3165)</f>
        <v/>
      </c>
      <c r="K3165" s="37">
        <f>AVERAGE(F$5:F3165)</f>
        <v/>
      </c>
      <c r="L3165" s="37">
        <f>SUM(F$5:F3165)/SUM(E$5:E3165)</f>
        <v/>
      </c>
    </row>
    <row r="3166">
      <c r="A3166" s="29" t="n">
        <v>46139</v>
      </c>
      <c r="B3166" s="37" t="inlineStr">
        <is>
          <t>JOB-4162</t>
        </is>
      </c>
      <c r="C3166" s="34" t="n">
        <v>1</v>
      </c>
      <c r="D3166" s="37" t="inlineStr">
        <is>
          <t>Tech A</t>
        </is>
      </c>
      <c r="E3166" s="35" t="n">
        <v>4.3</v>
      </c>
      <c r="F3166" s="35" t="n">
        <v>3.5</v>
      </c>
      <c r="G3166" s="37" t="inlineStr">
        <is>
          <t>Y</t>
        </is>
      </c>
      <c r="H3166" s="37" t="inlineStr">
        <is>
          <t>N</t>
        </is>
      </c>
      <c r="I3166" s="37">
        <f>COUNTIF(G$5:G3166,"Y")/COUNTA(G$5:G3166)</f>
        <v/>
      </c>
      <c r="J3166" s="37">
        <f>COUNTIF(H$5:H3166,"Y")/COUNTA(H$5:H3166)</f>
        <v/>
      </c>
      <c r="K3166" s="37">
        <f>AVERAGE(F$5:F3166)</f>
        <v/>
      </c>
      <c r="L3166" s="37">
        <f>SUM(F$5:F3166)/SUM(E$5:E3166)</f>
        <v/>
      </c>
    </row>
    <row r="3167">
      <c r="A3167" s="29" t="n">
        <v>46140</v>
      </c>
      <c r="B3167" s="37" t="inlineStr">
        <is>
          <t>JOB-4163</t>
        </is>
      </c>
      <c r="C3167" s="34" t="n">
        <v>1</v>
      </c>
      <c r="D3167" s="37" t="inlineStr">
        <is>
          <t>Tech F</t>
        </is>
      </c>
      <c r="E3167" s="35" t="n">
        <v>3.4</v>
      </c>
      <c r="F3167" s="35" t="n">
        <v>2.6</v>
      </c>
      <c r="G3167" s="37" t="inlineStr">
        <is>
          <t>Y</t>
        </is>
      </c>
      <c r="H3167" s="37" t="inlineStr">
        <is>
          <t>Y</t>
        </is>
      </c>
      <c r="I3167" s="37">
        <f>COUNTIF(G$5:G3167,"Y")/COUNTA(G$5:G3167)</f>
        <v/>
      </c>
      <c r="J3167" s="37">
        <f>COUNTIF(H$5:H3167,"Y")/COUNTA(H$5:H3167)</f>
        <v/>
      </c>
      <c r="K3167" s="37">
        <f>AVERAGE(F$5:F3167)</f>
        <v/>
      </c>
      <c r="L3167" s="37">
        <f>SUM(F$5:F3167)/SUM(E$5:E3167)</f>
        <v/>
      </c>
    </row>
    <row r="3168">
      <c r="A3168" s="29" t="n">
        <v>46141</v>
      </c>
      <c r="B3168" s="37" t="inlineStr">
        <is>
          <t>JOB-4164</t>
        </is>
      </c>
      <c r="C3168" s="34" t="n">
        <v>1</v>
      </c>
      <c r="D3168" s="37" t="inlineStr">
        <is>
          <t>Tech A</t>
        </is>
      </c>
      <c r="E3168" s="35" t="n">
        <v>3.3</v>
      </c>
      <c r="F3168" s="35" t="n">
        <v>3</v>
      </c>
      <c r="G3168" s="37" t="inlineStr">
        <is>
          <t>Y</t>
        </is>
      </c>
      <c r="H3168" s="37" t="inlineStr">
        <is>
          <t>N</t>
        </is>
      </c>
      <c r="I3168" s="37">
        <f>COUNTIF(G$5:G3168,"Y")/COUNTA(G$5:G3168)</f>
        <v/>
      </c>
      <c r="J3168" s="37">
        <f>COUNTIF(H$5:H3168,"Y")/COUNTA(H$5:H3168)</f>
        <v/>
      </c>
      <c r="K3168" s="37">
        <f>AVERAGE(F$5:F3168)</f>
        <v/>
      </c>
      <c r="L3168" s="37">
        <f>SUM(F$5:F3168)/SUM(E$5:E3168)</f>
        <v/>
      </c>
    </row>
    <row r="3169">
      <c r="A3169" s="29" t="n">
        <v>46142</v>
      </c>
      <c r="B3169" s="37" t="inlineStr">
        <is>
          <t>JOB-4165</t>
        </is>
      </c>
      <c r="C3169" s="34" t="n">
        <v>1</v>
      </c>
      <c r="D3169" s="37" t="inlineStr">
        <is>
          <t>Tech A</t>
        </is>
      </c>
      <c r="E3169" s="35" t="n">
        <v>0.5</v>
      </c>
      <c r="F3169" s="35" t="n">
        <v>1</v>
      </c>
      <c r="G3169" s="37" t="inlineStr">
        <is>
          <t>Y</t>
        </is>
      </c>
      <c r="H3169" s="37" t="inlineStr">
        <is>
          <t>Y</t>
        </is>
      </c>
      <c r="I3169" s="37">
        <f>COUNTIF(G$5:G3169,"Y")/COUNTA(G$5:G3169)</f>
        <v/>
      </c>
      <c r="J3169" s="37">
        <f>COUNTIF(H$5:H3169,"Y")/COUNTA(H$5:H3169)</f>
        <v/>
      </c>
      <c r="K3169" s="37">
        <f>AVERAGE(F$5:F3169)</f>
        <v/>
      </c>
      <c r="L3169" s="37">
        <f>SUM(F$5:F3169)/SUM(E$5:E3169)</f>
        <v/>
      </c>
    </row>
    <row r="3170">
      <c r="A3170" s="29" t="n">
        <v>46143</v>
      </c>
      <c r="B3170" s="37" t="inlineStr">
        <is>
          <t>JOB-4166</t>
        </is>
      </c>
      <c r="C3170" s="34" t="n">
        <v>1</v>
      </c>
      <c r="D3170" s="37" t="inlineStr">
        <is>
          <t>Tech H</t>
        </is>
      </c>
      <c r="E3170" s="35" t="n">
        <v>0.5</v>
      </c>
      <c r="F3170" s="35" t="n">
        <v>0.5</v>
      </c>
      <c r="G3170" s="37" t="inlineStr">
        <is>
          <t>Y</t>
        </is>
      </c>
      <c r="H3170" s="37" t="inlineStr">
        <is>
          <t>N</t>
        </is>
      </c>
      <c r="I3170" s="37">
        <f>COUNTIF(G$5:G3170,"Y")/COUNTA(G$5:G3170)</f>
        <v/>
      </c>
      <c r="J3170" s="37">
        <f>COUNTIF(H$5:H3170,"Y")/COUNTA(H$5:H3170)</f>
        <v/>
      </c>
      <c r="K3170" s="37">
        <f>AVERAGE(F$5:F3170)</f>
        <v/>
      </c>
      <c r="L3170" s="37">
        <f>SUM(F$5:F3170)/SUM(E$5:E3170)</f>
        <v/>
      </c>
    </row>
    <row r="3171">
      <c r="A3171" s="29" t="n">
        <v>46139</v>
      </c>
      <c r="B3171" s="37" t="inlineStr">
        <is>
          <t>JOB-4167</t>
        </is>
      </c>
      <c r="C3171" s="34" t="n">
        <v>1</v>
      </c>
      <c r="D3171" s="37" t="inlineStr">
        <is>
          <t>Tech B</t>
        </is>
      </c>
      <c r="E3171" s="35" t="n">
        <v>0.5</v>
      </c>
      <c r="F3171" s="35" t="n">
        <v>0.5</v>
      </c>
      <c r="G3171" s="37" t="inlineStr">
        <is>
          <t>Y</t>
        </is>
      </c>
      <c r="H3171" s="37" t="inlineStr">
        <is>
          <t>N</t>
        </is>
      </c>
      <c r="I3171" s="37">
        <f>COUNTIF(G$5:G3171,"Y")/COUNTA(G$5:G3171)</f>
        <v/>
      </c>
      <c r="J3171" s="37">
        <f>COUNTIF(H$5:H3171,"Y")/COUNTA(H$5:H3171)</f>
        <v/>
      </c>
      <c r="K3171" s="37">
        <f>AVERAGE(F$5:F3171)</f>
        <v/>
      </c>
      <c r="L3171" s="37">
        <f>SUM(F$5:F3171)/SUM(E$5:E3171)</f>
        <v/>
      </c>
    </row>
    <row r="3172">
      <c r="A3172" s="29" t="n">
        <v>46140</v>
      </c>
      <c r="B3172" s="37" t="inlineStr">
        <is>
          <t>JOB-4168</t>
        </is>
      </c>
      <c r="C3172" s="34" t="n">
        <v>1</v>
      </c>
      <c r="D3172" s="37" t="inlineStr">
        <is>
          <t>Tech B</t>
        </is>
      </c>
      <c r="E3172" s="35" t="n">
        <v>0.5</v>
      </c>
      <c r="F3172" s="35" t="n">
        <v>0.5</v>
      </c>
      <c r="G3172" s="37" t="inlineStr">
        <is>
          <t>Y</t>
        </is>
      </c>
      <c r="H3172" s="37" t="inlineStr">
        <is>
          <t>N</t>
        </is>
      </c>
      <c r="I3172" s="37">
        <f>COUNTIF(G$5:G3172,"Y")/COUNTA(G$5:G3172)</f>
        <v/>
      </c>
      <c r="J3172" s="37">
        <f>COUNTIF(H$5:H3172,"Y")/COUNTA(H$5:H3172)</f>
        <v/>
      </c>
      <c r="K3172" s="37">
        <f>AVERAGE(F$5:F3172)</f>
        <v/>
      </c>
      <c r="L3172" s="37">
        <f>SUM(F$5:F3172)/SUM(E$5:E3172)</f>
        <v/>
      </c>
    </row>
    <row r="3173">
      <c r="A3173" s="29" t="n">
        <v>46141</v>
      </c>
      <c r="B3173" s="37" t="inlineStr">
        <is>
          <t>JOB-4169</t>
        </is>
      </c>
      <c r="C3173" s="34" t="n">
        <v>1</v>
      </c>
      <c r="D3173" s="37" t="inlineStr">
        <is>
          <t>Tech H</t>
        </is>
      </c>
      <c r="E3173" s="35" t="n">
        <v>0.5</v>
      </c>
      <c r="F3173" s="35" t="n">
        <v>0.5</v>
      </c>
      <c r="G3173" s="37" t="inlineStr">
        <is>
          <t>Y</t>
        </is>
      </c>
      <c r="H3173" s="37" t="inlineStr">
        <is>
          <t>N</t>
        </is>
      </c>
      <c r="I3173" s="37">
        <f>COUNTIF(G$5:G3173,"Y")/COUNTA(G$5:G3173)</f>
        <v/>
      </c>
      <c r="J3173" s="37">
        <f>COUNTIF(H$5:H3173,"Y")/COUNTA(H$5:H3173)</f>
        <v/>
      </c>
      <c r="K3173" s="37">
        <f>AVERAGE(F$5:F3173)</f>
        <v/>
      </c>
      <c r="L3173" s="37">
        <f>SUM(F$5:F3173)/SUM(E$5:E3173)</f>
        <v/>
      </c>
    </row>
    <row r="3174">
      <c r="A3174" s="29" t="n">
        <v>46142</v>
      </c>
      <c r="B3174" s="37" t="inlineStr">
        <is>
          <t>JOB-4170</t>
        </is>
      </c>
      <c r="C3174" s="34" t="n">
        <v>1</v>
      </c>
      <c r="D3174" s="37" t="inlineStr">
        <is>
          <t>Tech A</t>
        </is>
      </c>
      <c r="E3174" s="35" t="n">
        <v>0.5</v>
      </c>
      <c r="F3174" s="35" t="n">
        <v>0.5</v>
      </c>
      <c r="G3174" s="37" t="inlineStr">
        <is>
          <t>Y</t>
        </is>
      </c>
      <c r="H3174" s="37" t="inlineStr">
        <is>
          <t>N</t>
        </is>
      </c>
      <c r="I3174" s="37">
        <f>COUNTIF(G$5:G3174,"Y")/COUNTA(G$5:G3174)</f>
        <v/>
      </c>
      <c r="J3174" s="37">
        <f>COUNTIF(H$5:H3174,"Y")/COUNTA(H$5:H3174)</f>
        <v/>
      </c>
      <c r="K3174" s="37">
        <f>AVERAGE(F$5:F3174)</f>
        <v/>
      </c>
      <c r="L3174" s="37">
        <f>SUM(F$5:F3174)/SUM(E$5:E3174)</f>
        <v/>
      </c>
    </row>
    <row r="3175">
      <c r="A3175" s="29" t="n">
        <v>46143</v>
      </c>
      <c r="B3175" s="37" t="inlineStr">
        <is>
          <t>JOB-4171</t>
        </is>
      </c>
      <c r="C3175" s="34" t="n">
        <v>1</v>
      </c>
      <c r="D3175" s="37" t="inlineStr">
        <is>
          <t>Tech B</t>
        </is>
      </c>
      <c r="E3175" s="35" t="n">
        <v>0.5</v>
      </c>
      <c r="F3175" s="35" t="n">
        <v>0.5</v>
      </c>
      <c r="G3175" s="37" t="inlineStr">
        <is>
          <t>Y</t>
        </is>
      </c>
      <c r="H3175" s="37" t="inlineStr">
        <is>
          <t>N</t>
        </is>
      </c>
      <c r="I3175" s="37">
        <f>COUNTIF(G$5:G3175,"Y")/COUNTA(G$5:G3175)</f>
        <v/>
      </c>
      <c r="J3175" s="37">
        <f>COUNTIF(H$5:H3175,"Y")/COUNTA(H$5:H3175)</f>
        <v/>
      </c>
      <c r="K3175" s="37">
        <f>AVERAGE(F$5:F3175)</f>
        <v/>
      </c>
      <c r="L3175" s="37">
        <f>SUM(F$5:F3175)/SUM(E$5:E3175)</f>
        <v/>
      </c>
    </row>
    <row r="3176">
      <c r="A3176" s="29" t="n">
        <v>46139</v>
      </c>
      <c r="B3176" s="37" t="inlineStr">
        <is>
          <t>JOB-4172</t>
        </is>
      </c>
      <c r="C3176" s="34" t="n">
        <v>1</v>
      </c>
      <c r="D3176" s="37" t="inlineStr">
        <is>
          <t>Tech A</t>
        </is>
      </c>
      <c r="E3176" s="35" t="n">
        <v>0.5</v>
      </c>
      <c r="F3176" s="35" t="n">
        <v>0.5</v>
      </c>
      <c r="G3176" s="37" t="inlineStr">
        <is>
          <t>Y</t>
        </is>
      </c>
      <c r="H3176" s="37" t="inlineStr">
        <is>
          <t>N</t>
        </is>
      </c>
      <c r="I3176" s="37">
        <f>COUNTIF(G$5:G3176,"Y")/COUNTA(G$5:G3176)</f>
        <v/>
      </c>
      <c r="J3176" s="37">
        <f>COUNTIF(H$5:H3176,"Y")/COUNTA(H$5:H3176)</f>
        <v/>
      </c>
      <c r="K3176" s="37">
        <f>AVERAGE(F$5:F3176)</f>
        <v/>
      </c>
      <c r="L3176" s="37">
        <f>SUM(F$5:F3176)/SUM(E$5:E3176)</f>
        <v/>
      </c>
    </row>
    <row r="3177">
      <c r="A3177" s="29" t="n">
        <v>46140</v>
      </c>
      <c r="B3177" s="37" t="inlineStr">
        <is>
          <t>JOB-4173</t>
        </is>
      </c>
      <c r="C3177" s="34" t="n">
        <v>1</v>
      </c>
      <c r="D3177" s="37" t="inlineStr">
        <is>
          <t>Tech H</t>
        </is>
      </c>
      <c r="E3177" s="35" t="n">
        <v>0.5</v>
      </c>
      <c r="F3177" s="35" t="n">
        <v>0.5</v>
      </c>
      <c r="G3177" s="37" t="inlineStr">
        <is>
          <t>Y</t>
        </is>
      </c>
      <c r="H3177" s="37" t="inlineStr">
        <is>
          <t>N</t>
        </is>
      </c>
      <c r="I3177" s="37">
        <f>COUNTIF(G$5:G3177,"Y")/COUNTA(G$5:G3177)</f>
        <v/>
      </c>
      <c r="J3177" s="37">
        <f>COUNTIF(H$5:H3177,"Y")/COUNTA(H$5:H3177)</f>
        <v/>
      </c>
      <c r="K3177" s="37">
        <f>AVERAGE(F$5:F3177)</f>
        <v/>
      </c>
      <c r="L3177" s="37">
        <f>SUM(F$5:F3177)/SUM(E$5:E3177)</f>
        <v/>
      </c>
    </row>
    <row r="3178">
      <c r="A3178" s="29" t="n">
        <v>46141</v>
      </c>
      <c r="B3178" s="37" t="inlineStr">
        <is>
          <t>JOB-4174</t>
        </is>
      </c>
      <c r="C3178" s="34" t="n">
        <v>1</v>
      </c>
      <c r="D3178" s="37" t="inlineStr">
        <is>
          <t>Tech A</t>
        </is>
      </c>
      <c r="E3178" s="35" t="n">
        <v>0.5</v>
      </c>
      <c r="F3178" s="35" t="n">
        <v>0.5</v>
      </c>
      <c r="G3178" s="37" t="inlineStr">
        <is>
          <t>Y</t>
        </is>
      </c>
      <c r="H3178" s="37" t="inlineStr">
        <is>
          <t>N</t>
        </is>
      </c>
      <c r="I3178" s="37">
        <f>COUNTIF(G$5:G3178,"Y")/COUNTA(G$5:G3178)</f>
        <v/>
      </c>
      <c r="J3178" s="37">
        <f>COUNTIF(H$5:H3178,"Y")/COUNTA(H$5:H3178)</f>
        <v/>
      </c>
      <c r="K3178" s="37">
        <f>AVERAGE(F$5:F3178)</f>
        <v/>
      </c>
      <c r="L3178" s="37">
        <f>SUM(F$5:F3178)/SUM(E$5:E3178)</f>
        <v/>
      </c>
      <c r="M3178" s="37" t="n">
        <v>9</v>
      </c>
    </row>
    <row r="3179">
      <c r="A3179" s="29" t="n">
        <v>46146</v>
      </c>
      <c r="B3179" s="37" t="inlineStr">
        <is>
          <t>JOB-4175</t>
        </is>
      </c>
      <c r="C3179" s="34" t="n">
        <v>1</v>
      </c>
      <c r="D3179" s="37" t="inlineStr">
        <is>
          <t>Tech C</t>
        </is>
      </c>
      <c r="E3179" s="35" t="n">
        <v>1.7</v>
      </c>
      <c r="F3179" s="35" t="n">
        <v>1.2</v>
      </c>
      <c r="G3179" s="37" t="inlineStr">
        <is>
          <t>Y</t>
        </is>
      </c>
      <c r="H3179" s="37" t="inlineStr">
        <is>
          <t>N</t>
        </is>
      </c>
      <c r="I3179" s="37">
        <f>COUNTIF(G$5:G3179,"Y")/COUNTA(G$5:G3179)</f>
        <v/>
      </c>
      <c r="J3179" s="37">
        <f>COUNTIF(H$5:H3179,"Y")/COUNTA(H$5:H3179)</f>
        <v/>
      </c>
      <c r="K3179" s="37">
        <f>AVERAGE(F$5:F3179)</f>
        <v/>
      </c>
      <c r="L3179" s="37">
        <f>SUM(F$5:F3179)/SUM(E$5:E3179)</f>
        <v/>
      </c>
    </row>
    <row r="3180">
      <c r="A3180" s="29" t="n">
        <v>46147</v>
      </c>
      <c r="B3180" s="37" t="inlineStr">
        <is>
          <t>JOB-4176</t>
        </is>
      </c>
      <c r="C3180" s="34" t="n">
        <v>1</v>
      </c>
      <c r="D3180" s="37" t="inlineStr">
        <is>
          <t>Tech F</t>
        </is>
      </c>
      <c r="E3180" s="35" t="n">
        <v>2.1</v>
      </c>
      <c r="F3180" s="35" t="n">
        <v>1.8</v>
      </c>
      <c r="G3180" s="37" t="inlineStr">
        <is>
          <t>Y</t>
        </is>
      </c>
      <c r="H3180" s="37" t="inlineStr">
        <is>
          <t>N</t>
        </is>
      </c>
      <c r="I3180" s="37">
        <f>COUNTIF(G$5:G3180,"Y")/COUNTA(G$5:G3180)</f>
        <v/>
      </c>
      <c r="J3180" s="37">
        <f>COUNTIF(H$5:H3180,"Y")/COUNTA(H$5:H3180)</f>
        <v/>
      </c>
      <c r="K3180" s="37">
        <f>AVERAGE(F$5:F3180)</f>
        <v/>
      </c>
      <c r="L3180" s="37">
        <f>SUM(F$5:F3180)/SUM(E$5:E3180)</f>
        <v/>
      </c>
    </row>
    <row r="3181">
      <c r="A3181" s="29" t="n">
        <v>46148</v>
      </c>
      <c r="B3181" s="37" t="inlineStr">
        <is>
          <t>JOB-4177</t>
        </is>
      </c>
      <c r="C3181" s="34" t="n">
        <v>1</v>
      </c>
      <c r="D3181" s="37" t="inlineStr">
        <is>
          <t>Tech D</t>
        </is>
      </c>
      <c r="E3181" s="35" t="n">
        <v>1.8</v>
      </c>
      <c r="F3181" s="35" t="n">
        <v>1.4</v>
      </c>
      <c r="G3181" s="37" t="inlineStr">
        <is>
          <t>N</t>
        </is>
      </c>
      <c r="H3181" s="37" t="inlineStr">
        <is>
          <t>N</t>
        </is>
      </c>
      <c r="I3181" s="37">
        <f>COUNTIF(G$5:G3181,"Y")/COUNTA(G$5:G3181)</f>
        <v/>
      </c>
      <c r="J3181" s="37">
        <f>COUNTIF(H$5:H3181,"Y")/COUNTA(H$5:H3181)</f>
        <v/>
      </c>
      <c r="K3181" s="37">
        <f>AVERAGE(F$5:F3181)</f>
        <v/>
      </c>
      <c r="L3181" s="37">
        <f>SUM(F$5:F3181)/SUM(E$5:E3181)</f>
        <v/>
      </c>
    </row>
    <row r="3182">
      <c r="A3182" s="29" t="n">
        <v>46149</v>
      </c>
      <c r="B3182" s="37" t="inlineStr">
        <is>
          <t>JOB-4178</t>
        </is>
      </c>
      <c r="C3182" s="34" t="n">
        <v>1</v>
      </c>
      <c r="D3182" s="37" t="inlineStr">
        <is>
          <t>Tech A</t>
        </is>
      </c>
      <c r="E3182" s="35" t="n">
        <v>3.6</v>
      </c>
      <c r="F3182" s="35" t="n">
        <v>2.7</v>
      </c>
      <c r="G3182" s="37" t="inlineStr">
        <is>
          <t>Y</t>
        </is>
      </c>
      <c r="H3182" s="37" t="inlineStr">
        <is>
          <t>N</t>
        </is>
      </c>
      <c r="I3182" s="37">
        <f>COUNTIF(G$5:G3182,"Y")/COUNTA(G$5:G3182)</f>
        <v/>
      </c>
      <c r="J3182" s="37">
        <f>COUNTIF(H$5:H3182,"Y")/COUNTA(H$5:H3182)</f>
        <v/>
      </c>
      <c r="K3182" s="37">
        <f>AVERAGE(F$5:F3182)</f>
        <v/>
      </c>
      <c r="L3182" s="37">
        <f>SUM(F$5:F3182)/SUM(E$5:E3182)</f>
        <v/>
      </c>
    </row>
    <row r="3183">
      <c r="A3183" s="29" t="n">
        <v>46150</v>
      </c>
      <c r="B3183" s="37" t="inlineStr">
        <is>
          <t>JOB-4179</t>
        </is>
      </c>
      <c r="C3183" s="34" t="n">
        <v>1</v>
      </c>
      <c r="D3183" s="37" t="inlineStr">
        <is>
          <t>Tech A</t>
        </is>
      </c>
      <c r="E3183" s="35" t="n">
        <v>2.6</v>
      </c>
      <c r="F3183" s="35" t="n">
        <v>1.7</v>
      </c>
      <c r="G3183" s="37" t="inlineStr">
        <is>
          <t>Y</t>
        </is>
      </c>
      <c r="H3183" s="37" t="inlineStr">
        <is>
          <t>N</t>
        </is>
      </c>
      <c r="I3183" s="37">
        <f>COUNTIF(G$5:G3183,"Y")/COUNTA(G$5:G3183)</f>
        <v/>
      </c>
      <c r="J3183" s="37">
        <f>COUNTIF(H$5:H3183,"Y")/COUNTA(H$5:H3183)</f>
        <v/>
      </c>
      <c r="K3183" s="37">
        <f>AVERAGE(F$5:F3183)</f>
        <v/>
      </c>
      <c r="L3183" s="37">
        <f>SUM(F$5:F3183)/SUM(E$5:E3183)</f>
        <v/>
      </c>
    </row>
    <row r="3184">
      <c r="A3184" s="29" t="n">
        <v>46146</v>
      </c>
      <c r="B3184" s="37" t="inlineStr">
        <is>
          <t>JOB-4180</t>
        </is>
      </c>
      <c r="C3184" s="34" t="n">
        <v>1</v>
      </c>
      <c r="D3184" s="37" t="inlineStr">
        <is>
          <t>Tech D</t>
        </is>
      </c>
      <c r="E3184" s="35" t="n">
        <v>3.6</v>
      </c>
      <c r="F3184" s="35" t="n">
        <v>3</v>
      </c>
      <c r="G3184" s="37" t="inlineStr">
        <is>
          <t>Y</t>
        </is>
      </c>
      <c r="H3184" s="37" t="inlineStr">
        <is>
          <t>N</t>
        </is>
      </c>
      <c r="I3184" s="37">
        <f>COUNTIF(G$5:G3184,"Y")/COUNTA(G$5:G3184)</f>
        <v/>
      </c>
      <c r="J3184" s="37">
        <f>COUNTIF(H$5:H3184,"Y")/COUNTA(H$5:H3184)</f>
        <v/>
      </c>
      <c r="K3184" s="37">
        <f>AVERAGE(F$5:F3184)</f>
        <v/>
      </c>
      <c r="L3184" s="37">
        <f>SUM(F$5:F3184)/SUM(E$5:E3184)</f>
        <v/>
      </c>
    </row>
    <row r="3185">
      <c r="A3185" s="29" t="n">
        <v>46147</v>
      </c>
      <c r="B3185" s="37" t="inlineStr">
        <is>
          <t>JOB-4181</t>
        </is>
      </c>
      <c r="C3185" s="34" t="n">
        <v>1</v>
      </c>
      <c r="D3185" s="37" t="inlineStr">
        <is>
          <t>Tech C</t>
        </is>
      </c>
      <c r="E3185" s="35" t="n">
        <v>2.8</v>
      </c>
      <c r="F3185" s="35" t="n">
        <v>2</v>
      </c>
      <c r="G3185" s="37" t="inlineStr">
        <is>
          <t>Y</t>
        </is>
      </c>
      <c r="H3185" s="37" t="inlineStr">
        <is>
          <t>N</t>
        </is>
      </c>
      <c r="I3185" s="37">
        <f>COUNTIF(G$5:G3185,"Y")/COUNTA(G$5:G3185)</f>
        <v/>
      </c>
      <c r="J3185" s="37">
        <f>COUNTIF(H$5:H3185,"Y")/COUNTA(H$5:H3185)</f>
        <v/>
      </c>
      <c r="K3185" s="37">
        <f>AVERAGE(F$5:F3185)</f>
        <v/>
      </c>
      <c r="L3185" s="37">
        <f>SUM(F$5:F3185)/SUM(E$5:E3185)</f>
        <v/>
      </c>
    </row>
    <row r="3186">
      <c r="A3186" s="29" t="n">
        <v>46148</v>
      </c>
      <c r="B3186" s="37" t="inlineStr">
        <is>
          <t>JOB-4182</t>
        </is>
      </c>
      <c r="C3186" s="34" t="n">
        <v>1</v>
      </c>
      <c r="D3186" s="37" t="inlineStr">
        <is>
          <t>Tech D</t>
        </is>
      </c>
      <c r="E3186" s="35" t="n">
        <v>4.3</v>
      </c>
      <c r="F3186" s="35" t="n">
        <v>3.7</v>
      </c>
      <c r="G3186" s="37" t="inlineStr">
        <is>
          <t>N</t>
        </is>
      </c>
      <c r="H3186" s="37" t="inlineStr">
        <is>
          <t>N</t>
        </is>
      </c>
      <c r="I3186" s="37">
        <f>COUNTIF(G$5:G3186,"Y")/COUNTA(G$5:G3186)</f>
        <v/>
      </c>
      <c r="J3186" s="37">
        <f>COUNTIF(H$5:H3186,"Y")/COUNTA(H$5:H3186)</f>
        <v/>
      </c>
      <c r="K3186" s="37">
        <f>AVERAGE(F$5:F3186)</f>
        <v/>
      </c>
      <c r="L3186" s="37">
        <f>SUM(F$5:F3186)/SUM(E$5:E3186)</f>
        <v/>
      </c>
    </row>
    <row r="3187">
      <c r="A3187" s="29" t="n">
        <v>46149</v>
      </c>
      <c r="B3187" s="37" t="inlineStr">
        <is>
          <t>JOB-4183</t>
        </is>
      </c>
      <c r="C3187" s="34" t="n">
        <v>1</v>
      </c>
      <c r="D3187" s="37" t="inlineStr">
        <is>
          <t>Tech B</t>
        </is>
      </c>
      <c r="E3187" s="35" t="n">
        <v>1.9</v>
      </c>
      <c r="F3187" s="35" t="n">
        <v>1.7</v>
      </c>
      <c r="G3187" s="37" t="inlineStr">
        <is>
          <t>Y</t>
        </is>
      </c>
      <c r="H3187" s="37" t="inlineStr">
        <is>
          <t>Y</t>
        </is>
      </c>
      <c r="I3187" s="37">
        <f>COUNTIF(G$5:G3187,"Y")/COUNTA(G$5:G3187)</f>
        <v/>
      </c>
      <c r="J3187" s="37">
        <f>COUNTIF(H$5:H3187,"Y")/COUNTA(H$5:H3187)</f>
        <v/>
      </c>
      <c r="K3187" s="37">
        <f>AVERAGE(F$5:F3187)</f>
        <v/>
      </c>
      <c r="L3187" s="37">
        <f>SUM(F$5:F3187)/SUM(E$5:E3187)</f>
        <v/>
      </c>
    </row>
    <row r="3188">
      <c r="A3188" s="29" t="n">
        <v>46150</v>
      </c>
      <c r="B3188" s="37" t="inlineStr">
        <is>
          <t>JOB-4184</t>
        </is>
      </c>
      <c r="C3188" s="34" t="n">
        <v>1</v>
      </c>
      <c r="D3188" s="37" t="inlineStr">
        <is>
          <t>Tech B</t>
        </is>
      </c>
      <c r="E3188" s="35" t="n">
        <v>2.1</v>
      </c>
      <c r="F3188" s="35" t="n">
        <v>1.7</v>
      </c>
      <c r="G3188" s="37" t="inlineStr">
        <is>
          <t>Y</t>
        </is>
      </c>
      <c r="H3188" s="37" t="inlineStr">
        <is>
          <t>N</t>
        </is>
      </c>
      <c r="I3188" s="37">
        <f>COUNTIF(G$5:G3188,"Y")/COUNTA(G$5:G3188)</f>
        <v/>
      </c>
      <c r="J3188" s="37">
        <f>COUNTIF(H$5:H3188,"Y")/COUNTA(H$5:H3188)</f>
        <v/>
      </c>
      <c r="K3188" s="37">
        <f>AVERAGE(F$5:F3188)</f>
        <v/>
      </c>
      <c r="L3188" s="37">
        <f>SUM(F$5:F3188)/SUM(E$5:E3188)</f>
        <v/>
      </c>
    </row>
    <row r="3189">
      <c r="A3189" s="29" t="n">
        <v>46146</v>
      </c>
      <c r="B3189" s="37" t="inlineStr">
        <is>
          <t>JOB-4185</t>
        </is>
      </c>
      <c r="C3189" s="34" t="n">
        <v>1</v>
      </c>
      <c r="D3189" s="37" t="inlineStr">
        <is>
          <t>Tech C</t>
        </is>
      </c>
      <c r="E3189" s="35" t="n">
        <v>2.2</v>
      </c>
      <c r="F3189" s="35" t="n">
        <v>1.6</v>
      </c>
      <c r="G3189" s="37" t="inlineStr">
        <is>
          <t>Y</t>
        </is>
      </c>
      <c r="H3189" s="37" t="inlineStr">
        <is>
          <t>N</t>
        </is>
      </c>
      <c r="I3189" s="37">
        <f>COUNTIF(G$5:G3189,"Y")/COUNTA(G$5:G3189)</f>
        <v/>
      </c>
      <c r="J3189" s="37">
        <f>COUNTIF(H$5:H3189,"Y")/COUNTA(H$5:H3189)</f>
        <v/>
      </c>
      <c r="K3189" s="37">
        <f>AVERAGE(F$5:F3189)</f>
        <v/>
      </c>
      <c r="L3189" s="37">
        <f>SUM(F$5:F3189)/SUM(E$5:E3189)</f>
        <v/>
      </c>
    </row>
    <row r="3190">
      <c r="A3190" s="29" t="n">
        <v>46147</v>
      </c>
      <c r="B3190" s="37" t="inlineStr">
        <is>
          <t>JOB-4186</t>
        </is>
      </c>
      <c r="C3190" s="34" t="n">
        <v>1</v>
      </c>
      <c r="D3190" s="37" t="inlineStr">
        <is>
          <t>Tech H</t>
        </is>
      </c>
      <c r="E3190" s="35" t="n">
        <v>5.8</v>
      </c>
      <c r="F3190" s="35" t="n">
        <v>4.1</v>
      </c>
      <c r="G3190" s="37" t="inlineStr">
        <is>
          <t>Y</t>
        </is>
      </c>
      <c r="H3190" s="37" t="inlineStr">
        <is>
          <t>N</t>
        </is>
      </c>
      <c r="I3190" s="37">
        <f>COUNTIF(G$5:G3190,"Y")/COUNTA(G$5:G3190)</f>
        <v/>
      </c>
      <c r="J3190" s="37">
        <f>COUNTIF(H$5:H3190,"Y")/COUNTA(H$5:H3190)</f>
        <v/>
      </c>
      <c r="K3190" s="37">
        <f>AVERAGE(F$5:F3190)</f>
        <v/>
      </c>
      <c r="L3190" s="37">
        <f>SUM(F$5:F3190)/SUM(E$5:E3190)</f>
        <v/>
      </c>
    </row>
    <row r="3191">
      <c r="A3191" s="29" t="n">
        <v>46148</v>
      </c>
      <c r="B3191" s="37" t="inlineStr">
        <is>
          <t>JOB-4187</t>
        </is>
      </c>
      <c r="C3191" s="34" t="n">
        <v>1</v>
      </c>
      <c r="D3191" s="37" t="inlineStr">
        <is>
          <t>Tech B</t>
        </is>
      </c>
      <c r="E3191" s="35" t="n">
        <v>3.9</v>
      </c>
      <c r="F3191" s="35" t="n">
        <v>3.3</v>
      </c>
      <c r="G3191" s="37" t="inlineStr">
        <is>
          <t>Y</t>
        </is>
      </c>
      <c r="H3191" s="37" t="inlineStr">
        <is>
          <t>N</t>
        </is>
      </c>
      <c r="I3191" s="37">
        <f>COUNTIF(G$5:G3191,"Y")/COUNTA(G$5:G3191)</f>
        <v/>
      </c>
      <c r="J3191" s="37">
        <f>COUNTIF(H$5:H3191,"Y")/COUNTA(H$5:H3191)</f>
        <v/>
      </c>
      <c r="K3191" s="37">
        <f>AVERAGE(F$5:F3191)</f>
        <v/>
      </c>
      <c r="L3191" s="37">
        <f>SUM(F$5:F3191)/SUM(E$5:E3191)</f>
        <v/>
      </c>
    </row>
    <row r="3192">
      <c r="A3192" s="29" t="n">
        <v>46149</v>
      </c>
      <c r="B3192" s="37" t="inlineStr">
        <is>
          <t>JOB-4188</t>
        </is>
      </c>
      <c r="C3192" s="34" t="n">
        <v>1</v>
      </c>
      <c r="D3192" s="37" t="inlineStr">
        <is>
          <t>Tech G</t>
        </is>
      </c>
      <c r="E3192" s="35" t="n">
        <v>2.2</v>
      </c>
      <c r="F3192" s="35" t="n">
        <v>1.7</v>
      </c>
      <c r="G3192" s="37" t="inlineStr">
        <is>
          <t>Y</t>
        </is>
      </c>
      <c r="H3192" s="37" t="inlineStr">
        <is>
          <t>N</t>
        </is>
      </c>
      <c r="I3192" s="37">
        <f>COUNTIF(G$5:G3192,"Y")/COUNTA(G$5:G3192)</f>
        <v/>
      </c>
      <c r="J3192" s="37">
        <f>COUNTIF(H$5:H3192,"Y")/COUNTA(H$5:H3192)</f>
        <v/>
      </c>
      <c r="K3192" s="37">
        <f>AVERAGE(F$5:F3192)</f>
        <v/>
      </c>
      <c r="L3192" s="37">
        <f>SUM(F$5:F3192)/SUM(E$5:E3192)</f>
        <v/>
      </c>
    </row>
    <row r="3193">
      <c r="A3193" s="29" t="n">
        <v>46150</v>
      </c>
      <c r="B3193" s="37" t="inlineStr">
        <is>
          <t>JOB-4189</t>
        </is>
      </c>
      <c r="C3193" s="34" t="n">
        <v>1</v>
      </c>
      <c r="D3193" s="37" t="inlineStr">
        <is>
          <t>Tech C</t>
        </is>
      </c>
      <c r="E3193" s="35" t="n">
        <v>4.9</v>
      </c>
      <c r="F3193" s="35" t="n">
        <v>4.1</v>
      </c>
      <c r="G3193" s="37" t="inlineStr">
        <is>
          <t>Y</t>
        </is>
      </c>
      <c r="H3193" s="37" t="inlineStr">
        <is>
          <t>N</t>
        </is>
      </c>
      <c r="I3193" s="37">
        <f>COUNTIF(G$5:G3193,"Y")/COUNTA(G$5:G3193)</f>
        <v/>
      </c>
      <c r="J3193" s="37">
        <f>COUNTIF(H$5:H3193,"Y")/COUNTA(H$5:H3193)</f>
        <v/>
      </c>
      <c r="K3193" s="37">
        <f>AVERAGE(F$5:F3193)</f>
        <v/>
      </c>
      <c r="L3193" s="37">
        <f>SUM(F$5:F3193)/SUM(E$5:E3193)</f>
        <v/>
      </c>
    </row>
    <row r="3194">
      <c r="A3194" s="29" t="n">
        <v>46146</v>
      </c>
      <c r="B3194" s="37" t="inlineStr">
        <is>
          <t>JOB-4190</t>
        </is>
      </c>
      <c r="C3194" s="34" t="n">
        <v>1</v>
      </c>
      <c r="D3194" s="37" t="inlineStr">
        <is>
          <t>Tech H</t>
        </is>
      </c>
      <c r="E3194" s="35" t="n">
        <v>4.1</v>
      </c>
      <c r="F3194" s="35" t="n">
        <v>3</v>
      </c>
      <c r="G3194" s="37" t="inlineStr">
        <is>
          <t>Y</t>
        </is>
      </c>
      <c r="H3194" s="37" t="inlineStr">
        <is>
          <t>N</t>
        </is>
      </c>
      <c r="I3194" s="37">
        <f>COUNTIF(G$5:G3194,"Y")/COUNTA(G$5:G3194)</f>
        <v/>
      </c>
      <c r="J3194" s="37">
        <f>COUNTIF(H$5:H3194,"Y")/COUNTA(H$5:H3194)</f>
        <v/>
      </c>
      <c r="K3194" s="37">
        <f>AVERAGE(F$5:F3194)</f>
        <v/>
      </c>
      <c r="L3194" s="37">
        <f>SUM(F$5:F3194)/SUM(E$5:E3194)</f>
        <v/>
      </c>
    </row>
    <row r="3195">
      <c r="A3195" s="29" t="n">
        <v>46147</v>
      </c>
      <c r="B3195" s="37" t="inlineStr">
        <is>
          <t>JOB-4191</t>
        </is>
      </c>
      <c r="C3195" s="34" t="n">
        <v>1</v>
      </c>
      <c r="D3195" s="37" t="inlineStr">
        <is>
          <t>Tech D</t>
        </is>
      </c>
      <c r="E3195" s="35" t="n">
        <v>3.9</v>
      </c>
      <c r="F3195" s="35" t="n">
        <v>2.9</v>
      </c>
      <c r="G3195" s="37" t="inlineStr">
        <is>
          <t>Y</t>
        </is>
      </c>
      <c r="H3195" s="37" t="inlineStr">
        <is>
          <t>N</t>
        </is>
      </c>
      <c r="I3195" s="37">
        <f>COUNTIF(G$5:G3195,"Y")/COUNTA(G$5:G3195)</f>
        <v/>
      </c>
      <c r="J3195" s="37">
        <f>COUNTIF(H$5:H3195,"Y")/COUNTA(H$5:H3195)</f>
        <v/>
      </c>
      <c r="K3195" s="37">
        <f>AVERAGE(F$5:F3195)</f>
        <v/>
      </c>
      <c r="L3195" s="37">
        <f>SUM(F$5:F3195)/SUM(E$5:E3195)</f>
        <v/>
      </c>
    </row>
    <row r="3196">
      <c r="A3196" s="29" t="n">
        <v>46148</v>
      </c>
      <c r="B3196" s="37" t="inlineStr">
        <is>
          <t>JOB-4192</t>
        </is>
      </c>
      <c r="C3196" s="34" t="n">
        <v>1</v>
      </c>
      <c r="D3196" s="37" t="inlineStr">
        <is>
          <t>Tech G</t>
        </is>
      </c>
      <c r="E3196" s="35" t="n">
        <v>2.6</v>
      </c>
      <c r="F3196" s="35" t="n">
        <v>2</v>
      </c>
      <c r="G3196" s="37" t="inlineStr">
        <is>
          <t>Y</t>
        </is>
      </c>
      <c r="H3196" s="37" t="inlineStr">
        <is>
          <t>Y</t>
        </is>
      </c>
      <c r="I3196" s="37">
        <f>COUNTIF(G$5:G3196,"Y")/COUNTA(G$5:G3196)</f>
        <v/>
      </c>
      <c r="J3196" s="37">
        <f>COUNTIF(H$5:H3196,"Y")/COUNTA(H$5:H3196)</f>
        <v/>
      </c>
      <c r="K3196" s="37">
        <f>AVERAGE(F$5:F3196)</f>
        <v/>
      </c>
      <c r="L3196" s="37">
        <f>SUM(F$5:F3196)/SUM(E$5:E3196)</f>
        <v/>
      </c>
    </row>
    <row r="3197">
      <c r="A3197" s="29" t="n">
        <v>46149</v>
      </c>
      <c r="B3197" s="37" t="inlineStr">
        <is>
          <t>JOB-4193</t>
        </is>
      </c>
      <c r="C3197" s="34" t="n">
        <v>1</v>
      </c>
      <c r="D3197" s="37" t="inlineStr">
        <is>
          <t>Tech C</t>
        </is>
      </c>
      <c r="E3197" s="35" t="n">
        <v>5.2</v>
      </c>
      <c r="F3197" s="35" t="n">
        <v>3.6</v>
      </c>
      <c r="G3197" s="37" t="inlineStr">
        <is>
          <t>Y</t>
        </is>
      </c>
      <c r="H3197" s="37" t="inlineStr">
        <is>
          <t>N</t>
        </is>
      </c>
      <c r="I3197" s="37">
        <f>COUNTIF(G$5:G3197,"Y")/COUNTA(G$5:G3197)</f>
        <v/>
      </c>
      <c r="J3197" s="37">
        <f>COUNTIF(H$5:H3197,"Y")/COUNTA(H$5:H3197)</f>
        <v/>
      </c>
      <c r="K3197" s="37">
        <f>AVERAGE(F$5:F3197)</f>
        <v/>
      </c>
      <c r="L3197" s="37">
        <f>SUM(F$5:F3197)/SUM(E$5:E3197)</f>
        <v/>
      </c>
    </row>
    <row r="3198">
      <c r="A3198" s="29" t="n">
        <v>46150</v>
      </c>
      <c r="B3198" s="37" t="inlineStr">
        <is>
          <t>JOB-4194</t>
        </is>
      </c>
      <c r="C3198" s="34" t="n">
        <v>1</v>
      </c>
      <c r="D3198" s="37" t="inlineStr">
        <is>
          <t>Tech F</t>
        </is>
      </c>
      <c r="E3198" s="35" t="n">
        <v>3.8</v>
      </c>
      <c r="F3198" s="35" t="n">
        <v>2.7</v>
      </c>
      <c r="G3198" s="37" t="inlineStr">
        <is>
          <t>Y</t>
        </is>
      </c>
      <c r="H3198" s="37" t="inlineStr">
        <is>
          <t>N</t>
        </is>
      </c>
      <c r="I3198" s="37">
        <f>COUNTIF(G$5:G3198,"Y")/COUNTA(G$5:G3198)</f>
        <v/>
      </c>
      <c r="J3198" s="37">
        <f>COUNTIF(H$5:H3198,"Y")/COUNTA(H$5:H3198)</f>
        <v/>
      </c>
      <c r="K3198" s="37">
        <f>AVERAGE(F$5:F3198)</f>
        <v/>
      </c>
      <c r="L3198" s="37">
        <f>SUM(F$5:F3198)/SUM(E$5:E3198)</f>
        <v/>
      </c>
    </row>
    <row r="3199">
      <c r="A3199" s="29" t="n">
        <v>46146</v>
      </c>
      <c r="B3199" s="37" t="inlineStr">
        <is>
          <t>JOB-4195</t>
        </is>
      </c>
      <c r="C3199" s="34" t="n">
        <v>1</v>
      </c>
      <c r="D3199" s="37" t="inlineStr">
        <is>
          <t>Tech C</t>
        </is>
      </c>
      <c r="E3199" s="35" t="n">
        <v>5</v>
      </c>
      <c r="F3199" s="35" t="n">
        <v>4</v>
      </c>
      <c r="G3199" s="37" t="inlineStr">
        <is>
          <t>Y</t>
        </is>
      </c>
      <c r="H3199" s="37" t="inlineStr">
        <is>
          <t>N</t>
        </is>
      </c>
      <c r="I3199" s="37">
        <f>COUNTIF(G$5:G3199,"Y")/COUNTA(G$5:G3199)</f>
        <v/>
      </c>
      <c r="J3199" s="37">
        <f>COUNTIF(H$5:H3199,"Y")/COUNTA(H$5:H3199)</f>
        <v/>
      </c>
      <c r="K3199" s="37">
        <f>AVERAGE(F$5:F3199)</f>
        <v/>
      </c>
      <c r="L3199" s="37">
        <f>SUM(F$5:F3199)/SUM(E$5:E3199)</f>
        <v/>
      </c>
    </row>
    <row r="3200">
      <c r="A3200" s="29" t="n">
        <v>46147</v>
      </c>
      <c r="B3200" s="37" t="inlineStr">
        <is>
          <t>JOB-4196</t>
        </is>
      </c>
      <c r="C3200" s="34" t="n">
        <v>1</v>
      </c>
      <c r="D3200" s="37" t="inlineStr">
        <is>
          <t>Tech F</t>
        </is>
      </c>
      <c r="E3200" s="35" t="n">
        <v>4</v>
      </c>
      <c r="F3200" s="35" t="n">
        <v>3.4</v>
      </c>
      <c r="G3200" s="37" t="inlineStr">
        <is>
          <t>N</t>
        </is>
      </c>
      <c r="H3200" s="37" t="inlineStr">
        <is>
          <t>N</t>
        </is>
      </c>
      <c r="I3200" s="37">
        <f>COUNTIF(G$5:G3200,"Y")/COUNTA(G$5:G3200)</f>
        <v/>
      </c>
      <c r="J3200" s="37">
        <f>COUNTIF(H$5:H3200,"Y")/COUNTA(H$5:H3200)</f>
        <v/>
      </c>
      <c r="K3200" s="37">
        <f>AVERAGE(F$5:F3200)</f>
        <v/>
      </c>
      <c r="L3200" s="37">
        <f>SUM(F$5:F3200)/SUM(E$5:E3200)</f>
        <v/>
      </c>
    </row>
    <row r="3201">
      <c r="A3201" s="29" t="n">
        <v>46148</v>
      </c>
      <c r="B3201" s="37" t="inlineStr">
        <is>
          <t>JOB-4197</t>
        </is>
      </c>
      <c r="C3201" s="34" t="n">
        <v>1</v>
      </c>
      <c r="D3201" s="37" t="inlineStr">
        <is>
          <t>Tech G</t>
        </is>
      </c>
      <c r="E3201" s="35" t="n">
        <v>1.7</v>
      </c>
      <c r="F3201" s="35" t="n">
        <v>1.3</v>
      </c>
      <c r="G3201" s="37" t="inlineStr">
        <is>
          <t>Y</t>
        </is>
      </c>
      <c r="H3201" s="37" t="inlineStr">
        <is>
          <t>N</t>
        </is>
      </c>
      <c r="I3201" s="37">
        <f>COUNTIF(G$5:G3201,"Y")/COUNTA(G$5:G3201)</f>
        <v/>
      </c>
      <c r="J3201" s="37">
        <f>COUNTIF(H$5:H3201,"Y")/COUNTA(H$5:H3201)</f>
        <v/>
      </c>
      <c r="K3201" s="37">
        <f>AVERAGE(F$5:F3201)</f>
        <v/>
      </c>
      <c r="L3201" s="37">
        <f>SUM(F$5:F3201)/SUM(E$5:E3201)</f>
        <v/>
      </c>
    </row>
    <row r="3202">
      <c r="A3202" s="29" t="n">
        <v>46149</v>
      </c>
      <c r="B3202" s="37" t="inlineStr">
        <is>
          <t>JOB-4198</t>
        </is>
      </c>
      <c r="C3202" s="34" t="n">
        <v>1</v>
      </c>
      <c r="D3202" s="37" t="inlineStr">
        <is>
          <t>Tech C</t>
        </is>
      </c>
      <c r="E3202" s="35" t="n">
        <v>4.6</v>
      </c>
      <c r="F3202" s="35" t="n">
        <v>3.3</v>
      </c>
      <c r="G3202" s="37" t="inlineStr">
        <is>
          <t>Y</t>
        </is>
      </c>
      <c r="H3202" s="37" t="inlineStr">
        <is>
          <t>N</t>
        </is>
      </c>
      <c r="I3202" s="37">
        <f>COUNTIF(G$5:G3202,"Y")/COUNTA(G$5:G3202)</f>
        <v/>
      </c>
      <c r="J3202" s="37">
        <f>COUNTIF(H$5:H3202,"Y")/COUNTA(H$5:H3202)</f>
        <v/>
      </c>
      <c r="K3202" s="37">
        <f>AVERAGE(F$5:F3202)</f>
        <v/>
      </c>
      <c r="L3202" s="37">
        <f>SUM(F$5:F3202)/SUM(E$5:E3202)</f>
        <v/>
      </c>
    </row>
    <row r="3203">
      <c r="A3203" s="29" t="n">
        <v>46150</v>
      </c>
      <c r="B3203" s="37" t="inlineStr">
        <is>
          <t>JOB-4199</t>
        </is>
      </c>
      <c r="C3203" s="34" t="n">
        <v>1</v>
      </c>
      <c r="D3203" s="37" t="inlineStr">
        <is>
          <t>Tech H</t>
        </is>
      </c>
      <c r="E3203" s="35" t="n">
        <v>4.2</v>
      </c>
      <c r="F3203" s="35" t="n">
        <v>3.6</v>
      </c>
      <c r="G3203" s="37" t="inlineStr">
        <is>
          <t>Y</t>
        </is>
      </c>
      <c r="H3203" s="37" t="inlineStr">
        <is>
          <t>N</t>
        </is>
      </c>
      <c r="I3203" s="37">
        <f>COUNTIF(G$5:G3203,"Y")/COUNTA(G$5:G3203)</f>
        <v/>
      </c>
      <c r="J3203" s="37">
        <f>COUNTIF(H$5:H3203,"Y")/COUNTA(H$5:H3203)</f>
        <v/>
      </c>
      <c r="K3203" s="37">
        <f>AVERAGE(F$5:F3203)</f>
        <v/>
      </c>
      <c r="L3203" s="37">
        <f>SUM(F$5:F3203)/SUM(E$5:E3203)</f>
        <v/>
      </c>
    </row>
    <row r="3204">
      <c r="A3204" s="29" t="n">
        <v>46146</v>
      </c>
      <c r="B3204" s="37" t="inlineStr">
        <is>
          <t>JOB-4200</t>
        </is>
      </c>
      <c r="C3204" s="34" t="n">
        <v>1</v>
      </c>
      <c r="D3204" s="37" t="inlineStr">
        <is>
          <t>Tech B</t>
        </is>
      </c>
      <c r="E3204" s="35" t="n">
        <v>4.8</v>
      </c>
      <c r="F3204" s="35" t="n">
        <v>3.4</v>
      </c>
      <c r="G3204" s="37" t="inlineStr">
        <is>
          <t>Y</t>
        </is>
      </c>
      <c r="H3204" s="37" t="inlineStr">
        <is>
          <t>N</t>
        </is>
      </c>
      <c r="I3204" s="37">
        <f>COUNTIF(G$5:G3204,"Y")/COUNTA(G$5:G3204)</f>
        <v/>
      </c>
      <c r="J3204" s="37">
        <f>COUNTIF(H$5:H3204,"Y")/COUNTA(H$5:H3204)</f>
        <v/>
      </c>
      <c r="K3204" s="37">
        <f>AVERAGE(F$5:F3204)</f>
        <v/>
      </c>
      <c r="L3204" s="37">
        <f>SUM(F$5:F3204)/SUM(E$5:E3204)</f>
        <v/>
      </c>
    </row>
    <row r="3205">
      <c r="A3205" s="29" t="n">
        <v>46147</v>
      </c>
      <c r="B3205" s="37" t="inlineStr">
        <is>
          <t>JOB-4201</t>
        </is>
      </c>
      <c r="C3205" s="34" t="n">
        <v>1</v>
      </c>
      <c r="D3205" s="37" t="inlineStr">
        <is>
          <t>Tech B</t>
        </is>
      </c>
      <c r="E3205" s="35" t="n">
        <v>1.7</v>
      </c>
      <c r="F3205" s="35" t="n">
        <v>1.2</v>
      </c>
      <c r="G3205" s="37" t="inlineStr">
        <is>
          <t>Y</t>
        </is>
      </c>
      <c r="H3205" s="37" t="inlineStr">
        <is>
          <t>N</t>
        </is>
      </c>
      <c r="I3205" s="37">
        <f>COUNTIF(G$5:G3205,"Y")/COUNTA(G$5:G3205)</f>
        <v/>
      </c>
      <c r="J3205" s="37">
        <f>COUNTIF(H$5:H3205,"Y")/COUNTA(H$5:H3205)</f>
        <v/>
      </c>
      <c r="K3205" s="37">
        <f>AVERAGE(F$5:F3205)</f>
        <v/>
      </c>
      <c r="L3205" s="37">
        <f>SUM(F$5:F3205)/SUM(E$5:E3205)</f>
        <v/>
      </c>
    </row>
    <row r="3206">
      <c r="A3206" s="29" t="n">
        <v>46148</v>
      </c>
      <c r="B3206" s="37" t="inlineStr">
        <is>
          <t>JOB-4202</t>
        </is>
      </c>
      <c r="C3206" s="34" t="n">
        <v>1</v>
      </c>
      <c r="D3206" s="37" t="inlineStr">
        <is>
          <t>Tech C</t>
        </is>
      </c>
      <c r="E3206" s="35" t="n">
        <v>1.9</v>
      </c>
      <c r="F3206" s="35" t="n">
        <v>1.4</v>
      </c>
      <c r="G3206" s="37" t="inlineStr">
        <is>
          <t>Y</t>
        </is>
      </c>
      <c r="H3206" s="37" t="inlineStr">
        <is>
          <t>N</t>
        </is>
      </c>
      <c r="I3206" s="37">
        <f>COUNTIF(G$5:G3206,"Y")/COUNTA(G$5:G3206)</f>
        <v/>
      </c>
      <c r="J3206" s="37">
        <f>COUNTIF(H$5:H3206,"Y")/COUNTA(H$5:H3206)</f>
        <v/>
      </c>
      <c r="K3206" s="37">
        <f>AVERAGE(F$5:F3206)</f>
        <v/>
      </c>
      <c r="L3206" s="37">
        <f>SUM(F$5:F3206)/SUM(E$5:E3206)</f>
        <v/>
      </c>
    </row>
    <row r="3207">
      <c r="A3207" s="29" t="n">
        <v>46149</v>
      </c>
      <c r="B3207" s="37" t="inlineStr">
        <is>
          <t>JOB-4203</t>
        </is>
      </c>
      <c r="C3207" s="34" t="n">
        <v>1</v>
      </c>
      <c r="D3207" s="37" t="inlineStr">
        <is>
          <t>Tech G</t>
        </is>
      </c>
      <c r="E3207" s="35" t="n">
        <v>5</v>
      </c>
      <c r="F3207" s="35" t="n">
        <v>3.9</v>
      </c>
      <c r="G3207" s="37" t="inlineStr">
        <is>
          <t>Y</t>
        </is>
      </c>
      <c r="H3207" s="37" t="inlineStr">
        <is>
          <t>N</t>
        </is>
      </c>
      <c r="I3207" s="37">
        <f>COUNTIF(G$5:G3207,"Y")/COUNTA(G$5:G3207)</f>
        <v/>
      </c>
      <c r="J3207" s="37">
        <f>COUNTIF(H$5:H3207,"Y")/COUNTA(H$5:H3207)</f>
        <v/>
      </c>
      <c r="K3207" s="37">
        <f>AVERAGE(F$5:F3207)</f>
        <v/>
      </c>
      <c r="L3207" s="37">
        <f>SUM(F$5:F3207)/SUM(E$5:E3207)</f>
        <v/>
      </c>
    </row>
    <row r="3208">
      <c r="A3208" s="29" t="n">
        <v>46150</v>
      </c>
      <c r="B3208" s="37" t="inlineStr">
        <is>
          <t>JOB-4204</t>
        </is>
      </c>
      <c r="C3208" s="34" t="n">
        <v>1</v>
      </c>
      <c r="D3208" s="37" t="inlineStr">
        <is>
          <t>Tech H</t>
        </is>
      </c>
      <c r="E3208" s="35" t="n">
        <v>4.5</v>
      </c>
      <c r="F3208" s="35" t="n">
        <v>3.2</v>
      </c>
      <c r="G3208" s="37" t="inlineStr">
        <is>
          <t>Y</t>
        </is>
      </c>
      <c r="H3208" s="37" t="inlineStr">
        <is>
          <t>N</t>
        </is>
      </c>
      <c r="I3208" s="37">
        <f>COUNTIF(G$5:G3208,"Y")/COUNTA(G$5:G3208)</f>
        <v/>
      </c>
      <c r="J3208" s="37">
        <f>COUNTIF(H$5:H3208,"Y")/COUNTA(H$5:H3208)</f>
        <v/>
      </c>
      <c r="K3208" s="37">
        <f>AVERAGE(F$5:F3208)</f>
        <v/>
      </c>
      <c r="L3208" s="37">
        <f>SUM(F$5:F3208)/SUM(E$5:E3208)</f>
        <v/>
      </c>
    </row>
    <row r="3209">
      <c r="A3209" s="29" t="n">
        <v>46146</v>
      </c>
      <c r="B3209" s="37" t="inlineStr">
        <is>
          <t>JOB-4205</t>
        </is>
      </c>
      <c r="C3209" s="34" t="n">
        <v>1</v>
      </c>
      <c r="D3209" s="37" t="inlineStr">
        <is>
          <t>Tech F</t>
        </is>
      </c>
      <c r="E3209" s="35" t="n">
        <v>1.6</v>
      </c>
      <c r="F3209" s="35" t="n">
        <v>1.3</v>
      </c>
      <c r="G3209" s="37" t="inlineStr">
        <is>
          <t>Y</t>
        </is>
      </c>
      <c r="H3209" s="37" t="inlineStr">
        <is>
          <t>N</t>
        </is>
      </c>
      <c r="I3209" s="37">
        <f>COUNTIF(G$5:G3209,"Y")/COUNTA(G$5:G3209)</f>
        <v/>
      </c>
      <c r="J3209" s="37">
        <f>COUNTIF(H$5:H3209,"Y")/COUNTA(H$5:H3209)</f>
        <v/>
      </c>
      <c r="K3209" s="37">
        <f>AVERAGE(F$5:F3209)</f>
        <v/>
      </c>
      <c r="L3209" s="37">
        <f>SUM(F$5:F3209)/SUM(E$5:E3209)</f>
        <v/>
      </c>
    </row>
    <row r="3210">
      <c r="A3210" s="29" t="n">
        <v>46147</v>
      </c>
      <c r="B3210" s="37" t="inlineStr">
        <is>
          <t>JOB-4206</t>
        </is>
      </c>
      <c r="C3210" s="34" t="n">
        <v>1</v>
      </c>
      <c r="D3210" s="37" t="inlineStr">
        <is>
          <t>Tech B</t>
        </is>
      </c>
      <c r="E3210" s="35" t="n">
        <v>4.9</v>
      </c>
      <c r="F3210" s="35" t="n">
        <v>3.7</v>
      </c>
      <c r="G3210" s="37" t="inlineStr">
        <is>
          <t>N</t>
        </is>
      </c>
      <c r="H3210" s="37" t="inlineStr">
        <is>
          <t>N</t>
        </is>
      </c>
      <c r="I3210" s="37">
        <f>COUNTIF(G$5:G3210,"Y")/COUNTA(G$5:G3210)</f>
        <v/>
      </c>
      <c r="J3210" s="37">
        <f>COUNTIF(H$5:H3210,"Y")/COUNTA(H$5:H3210)</f>
        <v/>
      </c>
      <c r="K3210" s="37">
        <f>AVERAGE(F$5:F3210)</f>
        <v/>
      </c>
      <c r="L3210" s="37">
        <f>SUM(F$5:F3210)/SUM(E$5:E3210)</f>
        <v/>
      </c>
    </row>
    <row r="3211">
      <c r="A3211" s="29" t="n">
        <v>46148</v>
      </c>
      <c r="B3211" s="37" t="inlineStr">
        <is>
          <t>JOB-4207</t>
        </is>
      </c>
      <c r="C3211" s="34" t="n">
        <v>1</v>
      </c>
      <c r="D3211" s="37" t="inlineStr">
        <is>
          <t>Tech H</t>
        </is>
      </c>
      <c r="E3211" s="35" t="n">
        <v>4.5</v>
      </c>
      <c r="F3211" s="35" t="n">
        <v>3.4</v>
      </c>
      <c r="G3211" s="37" t="inlineStr">
        <is>
          <t>Y</t>
        </is>
      </c>
      <c r="H3211" s="37" t="inlineStr">
        <is>
          <t>N</t>
        </is>
      </c>
      <c r="I3211" s="37">
        <f>COUNTIF(G$5:G3211,"Y")/COUNTA(G$5:G3211)</f>
        <v/>
      </c>
      <c r="J3211" s="37">
        <f>COUNTIF(H$5:H3211,"Y")/COUNTA(H$5:H3211)</f>
        <v/>
      </c>
      <c r="K3211" s="37">
        <f>AVERAGE(F$5:F3211)</f>
        <v/>
      </c>
      <c r="L3211" s="37">
        <f>SUM(F$5:F3211)/SUM(E$5:E3211)</f>
        <v/>
      </c>
    </row>
    <row r="3212">
      <c r="A3212" s="29" t="n">
        <v>46149</v>
      </c>
      <c r="B3212" s="37" t="inlineStr">
        <is>
          <t>JOB-4208</t>
        </is>
      </c>
      <c r="C3212" s="34" t="n">
        <v>1</v>
      </c>
      <c r="D3212" s="37" t="inlineStr">
        <is>
          <t>Tech F</t>
        </is>
      </c>
      <c r="E3212" s="35" t="n">
        <v>3.8</v>
      </c>
      <c r="F3212" s="35" t="n">
        <v>2.6</v>
      </c>
      <c r="G3212" s="37" t="inlineStr">
        <is>
          <t>Y</t>
        </is>
      </c>
      <c r="H3212" s="37" t="inlineStr">
        <is>
          <t>N</t>
        </is>
      </c>
      <c r="I3212" s="37">
        <f>COUNTIF(G$5:G3212,"Y")/COUNTA(G$5:G3212)</f>
        <v/>
      </c>
      <c r="J3212" s="37">
        <f>COUNTIF(H$5:H3212,"Y")/COUNTA(H$5:H3212)</f>
        <v/>
      </c>
      <c r="K3212" s="37">
        <f>AVERAGE(F$5:F3212)</f>
        <v/>
      </c>
      <c r="L3212" s="37">
        <f>SUM(F$5:F3212)/SUM(E$5:E3212)</f>
        <v/>
      </c>
    </row>
    <row r="3213">
      <c r="A3213" s="29" t="n">
        <v>46150</v>
      </c>
      <c r="B3213" s="37" t="inlineStr">
        <is>
          <t>JOB-4209</t>
        </is>
      </c>
      <c r="C3213" s="34" t="n">
        <v>1</v>
      </c>
      <c r="D3213" s="37" t="inlineStr">
        <is>
          <t>Tech F</t>
        </is>
      </c>
      <c r="E3213" s="35" t="n">
        <v>2.6</v>
      </c>
      <c r="F3213" s="35" t="n">
        <v>1.7</v>
      </c>
      <c r="G3213" s="37" t="inlineStr">
        <is>
          <t>Y</t>
        </is>
      </c>
      <c r="H3213" s="37" t="inlineStr">
        <is>
          <t>N</t>
        </is>
      </c>
      <c r="I3213" s="37">
        <f>COUNTIF(G$5:G3213,"Y")/COUNTA(G$5:G3213)</f>
        <v/>
      </c>
      <c r="J3213" s="37">
        <f>COUNTIF(H$5:H3213,"Y")/COUNTA(H$5:H3213)</f>
        <v/>
      </c>
      <c r="K3213" s="37">
        <f>AVERAGE(F$5:F3213)</f>
        <v/>
      </c>
      <c r="L3213" s="37">
        <f>SUM(F$5:F3213)/SUM(E$5:E3213)</f>
        <v/>
      </c>
    </row>
    <row r="3214">
      <c r="A3214" s="29" t="n">
        <v>46146</v>
      </c>
      <c r="B3214" s="37" t="inlineStr">
        <is>
          <t>JOB-4210</t>
        </is>
      </c>
      <c r="C3214" s="34" t="n">
        <v>1</v>
      </c>
      <c r="D3214" s="37" t="inlineStr">
        <is>
          <t>Tech B</t>
        </is>
      </c>
      <c r="E3214" s="35" t="n">
        <v>0.7</v>
      </c>
      <c r="F3214" s="35" t="n">
        <v>0.5</v>
      </c>
      <c r="G3214" s="37" t="inlineStr">
        <is>
          <t>Y</t>
        </is>
      </c>
      <c r="H3214" s="37" t="inlineStr">
        <is>
          <t>N</t>
        </is>
      </c>
      <c r="I3214" s="37">
        <f>COUNTIF(G$5:G3214,"Y")/COUNTA(G$5:G3214)</f>
        <v/>
      </c>
      <c r="J3214" s="37">
        <f>COUNTIF(H$5:H3214,"Y")/COUNTA(H$5:H3214)</f>
        <v/>
      </c>
      <c r="K3214" s="37">
        <f>AVERAGE(F$5:F3214)</f>
        <v/>
      </c>
      <c r="L3214" s="37">
        <f>SUM(F$5:F3214)/SUM(E$5:E3214)</f>
        <v/>
      </c>
    </row>
    <row r="3215">
      <c r="A3215" s="29" t="n">
        <v>46147</v>
      </c>
      <c r="B3215" s="37" t="inlineStr">
        <is>
          <t>JOB-4211</t>
        </is>
      </c>
      <c r="C3215" s="34" t="n">
        <v>1</v>
      </c>
      <c r="D3215" s="37" t="inlineStr">
        <is>
          <t>Tech G</t>
        </is>
      </c>
      <c r="E3215" s="35" t="n">
        <v>0.6</v>
      </c>
      <c r="F3215" s="35" t="n">
        <v>0.5</v>
      </c>
      <c r="G3215" s="37" t="inlineStr">
        <is>
          <t>Y</t>
        </is>
      </c>
      <c r="H3215" s="37" t="inlineStr">
        <is>
          <t>N</t>
        </is>
      </c>
      <c r="I3215" s="37">
        <f>COUNTIF(G$5:G3215,"Y")/COUNTA(G$5:G3215)</f>
        <v/>
      </c>
      <c r="J3215" s="37">
        <f>COUNTIF(H$5:H3215,"Y")/COUNTA(H$5:H3215)</f>
        <v/>
      </c>
      <c r="K3215" s="37">
        <f>AVERAGE(F$5:F3215)</f>
        <v/>
      </c>
      <c r="L3215" s="37">
        <f>SUM(F$5:F3215)/SUM(E$5:E3215)</f>
        <v/>
      </c>
    </row>
    <row r="3216">
      <c r="A3216" s="29" t="n">
        <v>46148</v>
      </c>
      <c r="B3216" s="37" t="inlineStr">
        <is>
          <t>JOB-4212</t>
        </is>
      </c>
      <c r="C3216" s="34" t="n">
        <v>1</v>
      </c>
      <c r="D3216" s="37" t="inlineStr">
        <is>
          <t>Tech G</t>
        </is>
      </c>
      <c r="E3216" s="35" t="n">
        <v>0.7</v>
      </c>
      <c r="F3216" s="35" t="n">
        <v>0.5</v>
      </c>
      <c r="G3216" s="37" t="inlineStr">
        <is>
          <t>N</t>
        </is>
      </c>
      <c r="H3216" s="37" t="inlineStr">
        <is>
          <t>N</t>
        </is>
      </c>
      <c r="I3216" s="37">
        <f>COUNTIF(G$5:G3216,"Y")/COUNTA(G$5:G3216)</f>
        <v/>
      </c>
      <c r="J3216" s="37">
        <f>COUNTIF(H$5:H3216,"Y")/COUNTA(H$5:H3216)</f>
        <v/>
      </c>
      <c r="K3216" s="37">
        <f>AVERAGE(F$5:F3216)</f>
        <v/>
      </c>
      <c r="L3216" s="37">
        <f>SUM(F$5:F3216)/SUM(E$5:E3216)</f>
        <v/>
      </c>
    </row>
    <row r="3217">
      <c r="A3217" s="29" t="n">
        <v>46149</v>
      </c>
      <c r="B3217" s="37" t="inlineStr">
        <is>
          <t>JOB-4213</t>
        </is>
      </c>
      <c r="C3217" s="34" t="n">
        <v>1</v>
      </c>
      <c r="D3217" s="37" t="inlineStr">
        <is>
          <t>Tech B</t>
        </is>
      </c>
      <c r="E3217" s="35" t="n">
        <v>0.7</v>
      </c>
      <c r="F3217" s="35" t="n">
        <v>0.5</v>
      </c>
      <c r="G3217" s="37" t="inlineStr">
        <is>
          <t>Y</t>
        </is>
      </c>
      <c r="H3217" s="37" t="inlineStr">
        <is>
          <t>N</t>
        </is>
      </c>
      <c r="I3217" s="37">
        <f>COUNTIF(G$5:G3217,"Y")/COUNTA(G$5:G3217)</f>
        <v/>
      </c>
      <c r="J3217" s="37">
        <f>COUNTIF(H$5:H3217,"Y")/COUNTA(H$5:H3217)</f>
        <v/>
      </c>
      <c r="K3217" s="37">
        <f>AVERAGE(F$5:F3217)</f>
        <v/>
      </c>
      <c r="L3217" s="37">
        <f>SUM(F$5:F3217)/SUM(E$5:E3217)</f>
        <v/>
      </c>
    </row>
    <row r="3218">
      <c r="A3218" s="29" t="n">
        <v>46150</v>
      </c>
      <c r="B3218" s="37" t="inlineStr">
        <is>
          <t>JOB-4214</t>
        </is>
      </c>
      <c r="C3218" s="34" t="n">
        <v>1</v>
      </c>
      <c r="D3218" s="37" t="inlineStr">
        <is>
          <t>Tech D</t>
        </is>
      </c>
      <c r="E3218" s="35" t="n">
        <v>0.7</v>
      </c>
      <c r="F3218" s="35" t="n">
        <v>0.5</v>
      </c>
      <c r="G3218" s="37" t="inlineStr">
        <is>
          <t>Y</t>
        </is>
      </c>
      <c r="H3218" s="37" t="inlineStr">
        <is>
          <t>N</t>
        </is>
      </c>
      <c r="I3218" s="37">
        <f>COUNTIF(G$5:G3218,"Y")/COUNTA(G$5:G3218)</f>
        <v/>
      </c>
      <c r="J3218" s="37">
        <f>COUNTIF(H$5:H3218,"Y")/COUNTA(H$5:H3218)</f>
        <v/>
      </c>
      <c r="K3218" s="37">
        <f>AVERAGE(F$5:F3218)</f>
        <v/>
      </c>
      <c r="L3218" s="37">
        <f>SUM(F$5:F3218)/SUM(E$5:E3218)</f>
        <v/>
      </c>
    </row>
    <row r="3219">
      <c r="A3219" s="29" t="n">
        <v>46146</v>
      </c>
      <c r="B3219" s="37" t="inlineStr">
        <is>
          <t>JOB-4215</t>
        </is>
      </c>
      <c r="C3219" s="34" t="n">
        <v>1</v>
      </c>
      <c r="D3219" s="37" t="inlineStr">
        <is>
          <t>Tech F</t>
        </is>
      </c>
      <c r="E3219" s="35" t="n">
        <v>2.8</v>
      </c>
      <c r="F3219" s="35" t="n">
        <v>0.5</v>
      </c>
      <c r="G3219" s="37" t="inlineStr">
        <is>
          <t>Y</t>
        </is>
      </c>
      <c r="H3219" s="37" t="inlineStr">
        <is>
          <t>N</t>
        </is>
      </c>
      <c r="I3219" s="37">
        <f>COUNTIF(G$5:G3219,"Y")/COUNTA(G$5:G3219)</f>
        <v/>
      </c>
      <c r="J3219" s="37">
        <f>COUNTIF(H$5:H3219,"Y")/COUNTA(H$5:H3219)</f>
        <v/>
      </c>
      <c r="K3219" s="37">
        <f>AVERAGE(F$5:F3219)</f>
        <v/>
      </c>
      <c r="L3219" s="37">
        <f>SUM(F$5:F3219)/SUM(E$5:E3219)</f>
        <v/>
      </c>
      <c r="M3219" s="37" t="n">
        <v>13</v>
      </c>
    </row>
    <row r="3220">
      <c r="A3220" s="29" t="n">
        <v>46153</v>
      </c>
      <c r="B3220" s="37" t="inlineStr">
        <is>
          <t>JOB-4216</t>
        </is>
      </c>
      <c r="C3220" s="34" t="n">
        <v>1</v>
      </c>
      <c r="D3220" s="37" t="inlineStr">
        <is>
          <t>Tech A</t>
        </is>
      </c>
      <c r="E3220" s="35" t="n">
        <v>2.5</v>
      </c>
      <c r="F3220" s="35" t="n">
        <v>2.3</v>
      </c>
      <c r="G3220" s="37" t="inlineStr">
        <is>
          <t>Y</t>
        </is>
      </c>
      <c r="H3220" s="37" t="inlineStr">
        <is>
          <t>N</t>
        </is>
      </c>
      <c r="I3220" s="37">
        <f>COUNTIF(G$5:G3220,"Y")/COUNTA(G$5:G3220)</f>
        <v/>
      </c>
      <c r="J3220" s="37">
        <f>COUNTIF(H$5:H3220,"Y")/COUNTA(H$5:H3220)</f>
        <v/>
      </c>
      <c r="K3220" s="37">
        <f>AVERAGE(F$5:F3220)</f>
        <v/>
      </c>
      <c r="L3220" s="37">
        <f>SUM(F$5:F3220)/SUM(E$5:E3220)</f>
        <v/>
      </c>
    </row>
    <row r="3221">
      <c r="A3221" s="29" t="n">
        <v>46154</v>
      </c>
      <c r="B3221" s="37" t="inlineStr">
        <is>
          <t>JOB-4217</t>
        </is>
      </c>
      <c r="C3221" s="34" t="n">
        <v>1</v>
      </c>
      <c r="D3221" s="37" t="inlineStr">
        <is>
          <t>Tech C</t>
        </is>
      </c>
      <c r="E3221" s="35" t="n">
        <v>2.7</v>
      </c>
      <c r="F3221" s="35" t="n">
        <v>2.4</v>
      </c>
      <c r="G3221" s="37" t="inlineStr">
        <is>
          <t>Y</t>
        </is>
      </c>
      <c r="H3221" s="37" t="inlineStr">
        <is>
          <t>N</t>
        </is>
      </c>
      <c r="I3221" s="37">
        <f>COUNTIF(G$5:G3221,"Y")/COUNTA(G$5:G3221)</f>
        <v/>
      </c>
      <c r="J3221" s="37">
        <f>COUNTIF(H$5:H3221,"Y")/COUNTA(H$5:H3221)</f>
        <v/>
      </c>
      <c r="K3221" s="37">
        <f>AVERAGE(F$5:F3221)</f>
        <v/>
      </c>
      <c r="L3221" s="37">
        <f>SUM(F$5:F3221)/SUM(E$5:E3221)</f>
        <v/>
      </c>
    </row>
    <row r="3222">
      <c r="A3222" s="29" t="n">
        <v>46155</v>
      </c>
      <c r="B3222" s="37" t="inlineStr">
        <is>
          <t>JOB-4218</t>
        </is>
      </c>
      <c r="C3222" s="34" t="n">
        <v>1</v>
      </c>
      <c r="D3222" s="37" t="inlineStr">
        <is>
          <t>Tech H</t>
        </is>
      </c>
      <c r="E3222" s="35" t="n">
        <v>4.1</v>
      </c>
      <c r="F3222" s="35" t="n">
        <v>3.1</v>
      </c>
      <c r="G3222" s="37" t="inlineStr">
        <is>
          <t>N</t>
        </is>
      </c>
      <c r="H3222" s="37" t="inlineStr">
        <is>
          <t>N</t>
        </is>
      </c>
      <c r="I3222" s="37">
        <f>COUNTIF(G$5:G3222,"Y")/COUNTA(G$5:G3222)</f>
        <v/>
      </c>
      <c r="J3222" s="37">
        <f>COUNTIF(H$5:H3222,"Y")/COUNTA(H$5:H3222)</f>
        <v/>
      </c>
      <c r="K3222" s="37">
        <f>AVERAGE(F$5:F3222)</f>
        <v/>
      </c>
      <c r="L3222" s="37">
        <f>SUM(F$5:F3222)/SUM(E$5:E3222)</f>
        <v/>
      </c>
    </row>
    <row r="3223">
      <c r="A3223" s="29" t="n">
        <v>46156</v>
      </c>
      <c r="B3223" s="37" t="inlineStr">
        <is>
          <t>JOB-4219</t>
        </is>
      </c>
      <c r="C3223" s="34" t="n">
        <v>1</v>
      </c>
      <c r="D3223" s="37" t="inlineStr">
        <is>
          <t>Tech A</t>
        </is>
      </c>
      <c r="E3223" s="35" t="n">
        <v>1.7</v>
      </c>
      <c r="F3223" s="35" t="n">
        <v>1.3</v>
      </c>
      <c r="G3223" s="37" t="inlineStr">
        <is>
          <t>Y</t>
        </is>
      </c>
      <c r="H3223" s="37" t="inlineStr">
        <is>
          <t>N</t>
        </is>
      </c>
      <c r="I3223" s="37">
        <f>COUNTIF(G$5:G3223,"Y")/COUNTA(G$5:G3223)</f>
        <v/>
      </c>
      <c r="J3223" s="37">
        <f>COUNTIF(H$5:H3223,"Y")/COUNTA(H$5:H3223)</f>
        <v/>
      </c>
      <c r="K3223" s="37">
        <f>AVERAGE(F$5:F3223)</f>
        <v/>
      </c>
      <c r="L3223" s="37">
        <f>SUM(F$5:F3223)/SUM(E$5:E3223)</f>
        <v/>
      </c>
    </row>
    <row r="3224">
      <c r="A3224" s="29" t="n">
        <v>46157</v>
      </c>
      <c r="B3224" s="37" t="inlineStr">
        <is>
          <t>JOB-4220</t>
        </is>
      </c>
      <c r="C3224" s="34" t="n">
        <v>1</v>
      </c>
      <c r="D3224" s="37" t="inlineStr">
        <is>
          <t>Tech F</t>
        </is>
      </c>
      <c r="E3224" s="35" t="n">
        <v>3.9</v>
      </c>
      <c r="F3224" s="35" t="n">
        <v>2.7</v>
      </c>
      <c r="G3224" s="37" t="inlineStr">
        <is>
          <t>Y</t>
        </is>
      </c>
      <c r="H3224" s="37" t="inlineStr">
        <is>
          <t>N</t>
        </is>
      </c>
      <c r="I3224" s="37">
        <f>COUNTIF(G$5:G3224,"Y")/COUNTA(G$5:G3224)</f>
        <v/>
      </c>
      <c r="J3224" s="37">
        <f>COUNTIF(H$5:H3224,"Y")/COUNTA(H$5:H3224)</f>
        <v/>
      </c>
      <c r="K3224" s="37">
        <f>AVERAGE(F$5:F3224)</f>
        <v/>
      </c>
      <c r="L3224" s="37">
        <f>SUM(F$5:F3224)/SUM(E$5:E3224)</f>
        <v/>
      </c>
    </row>
    <row r="3225">
      <c r="A3225" s="29" t="n">
        <v>46153</v>
      </c>
      <c r="B3225" s="37" t="inlineStr">
        <is>
          <t>JOB-4221</t>
        </is>
      </c>
      <c r="C3225" s="34" t="n">
        <v>1</v>
      </c>
      <c r="D3225" s="37" t="inlineStr">
        <is>
          <t>Tech C</t>
        </is>
      </c>
      <c r="E3225" s="35" t="n">
        <v>4.4</v>
      </c>
      <c r="F3225" s="35" t="n">
        <v>3.7</v>
      </c>
      <c r="G3225" s="37" t="inlineStr">
        <is>
          <t>Y</t>
        </is>
      </c>
      <c r="H3225" s="37" t="inlineStr">
        <is>
          <t>N</t>
        </is>
      </c>
      <c r="I3225" s="37">
        <f>COUNTIF(G$5:G3225,"Y")/COUNTA(G$5:G3225)</f>
        <v/>
      </c>
      <c r="J3225" s="37">
        <f>COUNTIF(H$5:H3225,"Y")/COUNTA(H$5:H3225)</f>
        <v/>
      </c>
      <c r="K3225" s="37">
        <f>AVERAGE(F$5:F3225)</f>
        <v/>
      </c>
      <c r="L3225" s="37">
        <f>SUM(F$5:F3225)/SUM(E$5:E3225)</f>
        <v/>
      </c>
    </row>
    <row r="3226">
      <c r="A3226" s="29" t="n">
        <v>46154</v>
      </c>
      <c r="B3226" s="37" t="inlineStr">
        <is>
          <t>JOB-4222</t>
        </is>
      </c>
      <c r="C3226" s="34" t="n">
        <v>1</v>
      </c>
      <c r="D3226" s="37" t="inlineStr">
        <is>
          <t>Tech F</t>
        </is>
      </c>
      <c r="E3226" s="35" t="n">
        <v>3.2</v>
      </c>
      <c r="F3226" s="35" t="n">
        <v>2.3</v>
      </c>
      <c r="G3226" s="37" t="inlineStr">
        <is>
          <t>Y</t>
        </is>
      </c>
      <c r="H3226" s="37" t="inlineStr">
        <is>
          <t>N</t>
        </is>
      </c>
      <c r="I3226" s="37">
        <f>COUNTIF(G$5:G3226,"Y")/COUNTA(G$5:G3226)</f>
        <v/>
      </c>
      <c r="J3226" s="37">
        <f>COUNTIF(H$5:H3226,"Y")/COUNTA(H$5:H3226)</f>
        <v/>
      </c>
      <c r="K3226" s="37">
        <f>AVERAGE(F$5:F3226)</f>
        <v/>
      </c>
      <c r="L3226" s="37">
        <f>SUM(F$5:F3226)/SUM(E$5:E3226)</f>
        <v/>
      </c>
    </row>
    <row r="3227">
      <c r="A3227" s="29" t="n">
        <v>46155</v>
      </c>
      <c r="B3227" s="37" t="inlineStr">
        <is>
          <t>JOB-4223</t>
        </is>
      </c>
      <c r="C3227" s="34" t="n">
        <v>1</v>
      </c>
      <c r="D3227" s="37" t="inlineStr">
        <is>
          <t>Tech G</t>
        </is>
      </c>
      <c r="E3227" s="35" t="n">
        <v>3.8</v>
      </c>
      <c r="F3227" s="35" t="n">
        <v>3.2</v>
      </c>
      <c r="G3227" s="37" t="inlineStr">
        <is>
          <t>Y</t>
        </is>
      </c>
      <c r="H3227" s="37" t="inlineStr">
        <is>
          <t>N</t>
        </is>
      </c>
      <c r="I3227" s="37">
        <f>COUNTIF(G$5:G3227,"Y")/COUNTA(G$5:G3227)</f>
        <v/>
      </c>
      <c r="J3227" s="37">
        <f>COUNTIF(H$5:H3227,"Y")/COUNTA(H$5:H3227)</f>
        <v/>
      </c>
      <c r="K3227" s="37">
        <f>AVERAGE(F$5:F3227)</f>
        <v/>
      </c>
      <c r="L3227" s="37">
        <f>SUM(F$5:F3227)/SUM(E$5:E3227)</f>
        <v/>
      </c>
    </row>
    <row r="3228">
      <c r="A3228" s="29" t="n">
        <v>46156</v>
      </c>
      <c r="B3228" s="37" t="inlineStr">
        <is>
          <t>JOB-4224</t>
        </is>
      </c>
      <c r="C3228" s="34" t="n">
        <v>1</v>
      </c>
      <c r="D3228" s="37" t="inlineStr">
        <is>
          <t>Tech B</t>
        </is>
      </c>
      <c r="E3228" s="35" t="n">
        <v>2</v>
      </c>
      <c r="F3228" s="35" t="n">
        <v>1.4</v>
      </c>
      <c r="G3228" s="37" t="inlineStr">
        <is>
          <t>Y</t>
        </is>
      </c>
      <c r="H3228" s="37" t="inlineStr">
        <is>
          <t>N</t>
        </is>
      </c>
      <c r="I3228" s="37">
        <f>COUNTIF(G$5:G3228,"Y")/COUNTA(G$5:G3228)</f>
        <v/>
      </c>
      <c r="J3228" s="37">
        <f>COUNTIF(H$5:H3228,"Y")/COUNTA(H$5:H3228)</f>
        <v/>
      </c>
      <c r="K3228" s="37">
        <f>AVERAGE(F$5:F3228)</f>
        <v/>
      </c>
      <c r="L3228" s="37">
        <f>SUM(F$5:F3228)/SUM(E$5:E3228)</f>
        <v/>
      </c>
    </row>
    <row r="3229">
      <c r="A3229" s="29" t="n">
        <v>46157</v>
      </c>
      <c r="B3229" s="37" t="inlineStr">
        <is>
          <t>JOB-4225</t>
        </is>
      </c>
      <c r="C3229" s="34" t="n">
        <v>1</v>
      </c>
      <c r="D3229" s="37" t="inlineStr">
        <is>
          <t>Tech D</t>
        </is>
      </c>
      <c r="E3229" s="35" t="n">
        <v>1.4</v>
      </c>
      <c r="F3229" s="35" t="n">
        <v>1.2</v>
      </c>
      <c r="G3229" s="37" t="inlineStr">
        <is>
          <t>Y</t>
        </is>
      </c>
      <c r="H3229" s="37" t="inlineStr">
        <is>
          <t>N</t>
        </is>
      </c>
      <c r="I3229" s="37">
        <f>COUNTIF(G$5:G3229,"Y")/COUNTA(G$5:G3229)</f>
        <v/>
      </c>
      <c r="J3229" s="37">
        <f>COUNTIF(H$5:H3229,"Y")/COUNTA(H$5:H3229)</f>
        <v/>
      </c>
      <c r="K3229" s="37">
        <f>AVERAGE(F$5:F3229)</f>
        <v/>
      </c>
      <c r="L3229" s="37">
        <f>SUM(F$5:F3229)/SUM(E$5:E3229)</f>
        <v/>
      </c>
    </row>
    <row r="3230">
      <c r="A3230" s="29" t="n">
        <v>46153</v>
      </c>
      <c r="B3230" s="37" t="inlineStr">
        <is>
          <t>JOB-4226</t>
        </is>
      </c>
      <c r="C3230" s="34" t="n">
        <v>1</v>
      </c>
      <c r="D3230" s="37" t="inlineStr">
        <is>
          <t>Tech B</t>
        </is>
      </c>
      <c r="E3230" s="35" t="n">
        <v>3.4</v>
      </c>
      <c r="F3230" s="35" t="n">
        <v>2.8</v>
      </c>
      <c r="G3230" s="37" t="inlineStr">
        <is>
          <t>Y</t>
        </is>
      </c>
      <c r="H3230" s="37" t="inlineStr">
        <is>
          <t>N</t>
        </is>
      </c>
      <c r="I3230" s="37">
        <f>COUNTIF(G$5:G3230,"Y")/COUNTA(G$5:G3230)</f>
        <v/>
      </c>
      <c r="J3230" s="37">
        <f>COUNTIF(H$5:H3230,"Y")/COUNTA(H$5:H3230)</f>
        <v/>
      </c>
      <c r="K3230" s="37">
        <f>AVERAGE(F$5:F3230)</f>
        <v/>
      </c>
      <c r="L3230" s="37">
        <f>SUM(F$5:F3230)/SUM(E$5:E3230)</f>
        <v/>
      </c>
    </row>
    <row r="3231">
      <c r="A3231" s="29" t="n">
        <v>46154</v>
      </c>
      <c r="B3231" s="37" t="inlineStr">
        <is>
          <t>JOB-4227</t>
        </is>
      </c>
      <c r="C3231" s="34" t="n">
        <v>1</v>
      </c>
      <c r="D3231" s="37" t="inlineStr">
        <is>
          <t>Tech B</t>
        </is>
      </c>
      <c r="E3231" s="35" t="n">
        <v>4.2</v>
      </c>
      <c r="F3231" s="35" t="n">
        <v>3.3</v>
      </c>
      <c r="G3231" s="37" t="inlineStr">
        <is>
          <t>Y</t>
        </is>
      </c>
      <c r="H3231" s="37" t="inlineStr">
        <is>
          <t>N</t>
        </is>
      </c>
      <c r="I3231" s="37">
        <f>COUNTIF(G$5:G3231,"Y")/COUNTA(G$5:G3231)</f>
        <v/>
      </c>
      <c r="J3231" s="37">
        <f>COUNTIF(H$5:H3231,"Y")/COUNTA(H$5:H3231)</f>
        <v/>
      </c>
      <c r="K3231" s="37">
        <f>AVERAGE(F$5:F3231)</f>
        <v/>
      </c>
      <c r="L3231" s="37">
        <f>SUM(F$5:F3231)/SUM(E$5:E3231)</f>
        <v/>
      </c>
    </row>
    <row r="3232">
      <c r="A3232" s="29" t="n">
        <v>46155</v>
      </c>
      <c r="B3232" s="37" t="inlineStr">
        <is>
          <t>JOB-4228</t>
        </is>
      </c>
      <c r="C3232" s="34" t="n">
        <v>1</v>
      </c>
      <c r="D3232" s="37" t="inlineStr">
        <is>
          <t>Tech F</t>
        </is>
      </c>
      <c r="E3232" s="35" t="n">
        <v>1.7</v>
      </c>
      <c r="F3232" s="35" t="n">
        <v>1.4</v>
      </c>
      <c r="G3232" s="37" t="inlineStr">
        <is>
          <t>Y</t>
        </is>
      </c>
      <c r="H3232" s="37" t="inlineStr">
        <is>
          <t>N</t>
        </is>
      </c>
      <c r="I3232" s="37">
        <f>COUNTIF(G$5:G3232,"Y")/COUNTA(G$5:G3232)</f>
        <v/>
      </c>
      <c r="J3232" s="37">
        <f>COUNTIF(H$5:H3232,"Y")/COUNTA(H$5:H3232)</f>
        <v/>
      </c>
      <c r="K3232" s="37">
        <f>AVERAGE(F$5:F3232)</f>
        <v/>
      </c>
      <c r="L3232" s="37">
        <f>SUM(F$5:F3232)/SUM(E$5:E3232)</f>
        <v/>
      </c>
    </row>
    <row r="3233">
      <c r="A3233" s="29" t="n">
        <v>46156</v>
      </c>
      <c r="B3233" s="37" t="inlineStr">
        <is>
          <t>JOB-4229</t>
        </is>
      </c>
      <c r="C3233" s="34" t="n">
        <v>1</v>
      </c>
      <c r="D3233" s="37" t="inlineStr">
        <is>
          <t>Tech A</t>
        </is>
      </c>
      <c r="E3233" s="35" t="n">
        <v>2.8</v>
      </c>
      <c r="F3233" s="35" t="n">
        <v>1.9</v>
      </c>
      <c r="G3233" s="37" t="inlineStr">
        <is>
          <t>Y</t>
        </is>
      </c>
      <c r="H3233" s="37" t="inlineStr">
        <is>
          <t>N</t>
        </is>
      </c>
      <c r="I3233" s="37">
        <f>COUNTIF(G$5:G3233,"Y")/COUNTA(G$5:G3233)</f>
        <v/>
      </c>
      <c r="J3233" s="37">
        <f>COUNTIF(H$5:H3233,"Y")/COUNTA(H$5:H3233)</f>
        <v/>
      </c>
      <c r="K3233" s="37">
        <f>AVERAGE(F$5:F3233)</f>
        <v/>
      </c>
      <c r="L3233" s="37">
        <f>SUM(F$5:F3233)/SUM(E$5:E3233)</f>
        <v/>
      </c>
    </row>
    <row r="3234">
      <c r="A3234" s="29" t="n">
        <v>46157</v>
      </c>
      <c r="B3234" s="37" t="inlineStr">
        <is>
          <t>JOB-4230</t>
        </is>
      </c>
      <c r="C3234" s="34" t="n">
        <v>1</v>
      </c>
      <c r="D3234" s="37" t="inlineStr">
        <is>
          <t>Tech H</t>
        </is>
      </c>
      <c r="E3234" s="35" t="n">
        <v>3.5</v>
      </c>
      <c r="F3234" s="35" t="n">
        <v>2.7</v>
      </c>
      <c r="G3234" s="37" t="inlineStr">
        <is>
          <t>Y</t>
        </is>
      </c>
      <c r="H3234" s="37" t="inlineStr">
        <is>
          <t>N</t>
        </is>
      </c>
      <c r="I3234" s="37">
        <f>COUNTIF(G$5:G3234,"Y")/COUNTA(G$5:G3234)</f>
        <v/>
      </c>
      <c r="J3234" s="37">
        <f>COUNTIF(H$5:H3234,"Y")/COUNTA(H$5:H3234)</f>
        <v/>
      </c>
      <c r="K3234" s="37">
        <f>AVERAGE(F$5:F3234)</f>
        <v/>
      </c>
      <c r="L3234" s="37">
        <f>SUM(F$5:F3234)/SUM(E$5:E3234)</f>
        <v/>
      </c>
    </row>
    <row r="3235">
      <c r="A3235" s="29" t="n">
        <v>46153</v>
      </c>
      <c r="B3235" s="37" t="inlineStr">
        <is>
          <t>JOB-4231</t>
        </is>
      </c>
      <c r="C3235" s="34" t="n">
        <v>1</v>
      </c>
      <c r="D3235" s="37" t="inlineStr">
        <is>
          <t>Tech H</t>
        </is>
      </c>
      <c r="E3235" s="35" t="n">
        <v>4.4</v>
      </c>
      <c r="F3235" s="35" t="n">
        <v>3.3</v>
      </c>
      <c r="G3235" s="37" t="inlineStr">
        <is>
          <t>Y</t>
        </is>
      </c>
      <c r="H3235" s="37" t="inlineStr">
        <is>
          <t>N</t>
        </is>
      </c>
      <c r="I3235" s="37">
        <f>COUNTIF(G$5:G3235,"Y")/COUNTA(G$5:G3235)</f>
        <v/>
      </c>
      <c r="J3235" s="37">
        <f>COUNTIF(H$5:H3235,"Y")/COUNTA(H$5:H3235)</f>
        <v/>
      </c>
      <c r="K3235" s="37">
        <f>AVERAGE(F$5:F3235)</f>
        <v/>
      </c>
      <c r="L3235" s="37">
        <f>SUM(F$5:F3235)/SUM(E$5:E3235)</f>
        <v/>
      </c>
    </row>
    <row r="3236">
      <c r="A3236" s="29" t="n">
        <v>46154</v>
      </c>
      <c r="B3236" s="37" t="inlineStr">
        <is>
          <t>JOB-4232</t>
        </is>
      </c>
      <c r="C3236" s="34" t="n">
        <v>1</v>
      </c>
      <c r="D3236" s="37" t="inlineStr">
        <is>
          <t>Tech F</t>
        </is>
      </c>
      <c r="E3236" s="35" t="n">
        <v>4.9</v>
      </c>
      <c r="F3236" s="35" t="n">
        <v>3.7</v>
      </c>
      <c r="G3236" s="37" t="inlineStr">
        <is>
          <t>N</t>
        </is>
      </c>
      <c r="H3236" s="37" t="inlineStr">
        <is>
          <t>N</t>
        </is>
      </c>
      <c r="I3236" s="37">
        <f>COUNTIF(G$5:G3236,"Y")/COUNTA(G$5:G3236)</f>
        <v/>
      </c>
      <c r="J3236" s="37">
        <f>COUNTIF(H$5:H3236,"Y")/COUNTA(H$5:H3236)</f>
        <v/>
      </c>
      <c r="K3236" s="37">
        <f>AVERAGE(F$5:F3236)</f>
        <v/>
      </c>
      <c r="L3236" s="37">
        <f>SUM(F$5:F3236)/SUM(E$5:E3236)</f>
        <v/>
      </c>
    </row>
    <row r="3237">
      <c r="A3237" s="29" t="n">
        <v>46155</v>
      </c>
      <c r="B3237" s="37" t="inlineStr">
        <is>
          <t>JOB-4233</t>
        </is>
      </c>
      <c r="C3237" s="34" t="n">
        <v>1</v>
      </c>
      <c r="D3237" s="37" t="inlineStr">
        <is>
          <t>Tech C</t>
        </is>
      </c>
      <c r="E3237" s="35" t="n">
        <v>1.9</v>
      </c>
      <c r="F3237" s="35" t="n">
        <v>1.4</v>
      </c>
      <c r="G3237" s="37" t="inlineStr">
        <is>
          <t>Y</t>
        </is>
      </c>
      <c r="H3237" s="37" t="inlineStr">
        <is>
          <t>Y</t>
        </is>
      </c>
      <c r="I3237" s="37">
        <f>COUNTIF(G$5:G3237,"Y")/COUNTA(G$5:G3237)</f>
        <v/>
      </c>
      <c r="J3237" s="37">
        <f>COUNTIF(H$5:H3237,"Y")/COUNTA(H$5:H3237)</f>
        <v/>
      </c>
      <c r="K3237" s="37">
        <f>AVERAGE(F$5:F3237)</f>
        <v/>
      </c>
      <c r="L3237" s="37">
        <f>SUM(F$5:F3237)/SUM(E$5:E3237)</f>
        <v/>
      </c>
    </row>
    <row r="3238">
      <c r="A3238" s="29" t="n">
        <v>46156</v>
      </c>
      <c r="B3238" s="37" t="inlineStr">
        <is>
          <t>JOB-4234</t>
        </is>
      </c>
      <c r="C3238" s="34" t="n">
        <v>1</v>
      </c>
      <c r="D3238" s="37" t="inlineStr">
        <is>
          <t>Tech C</t>
        </is>
      </c>
      <c r="E3238" s="35" t="n">
        <v>3.6</v>
      </c>
      <c r="F3238" s="35" t="n">
        <v>3.1</v>
      </c>
      <c r="G3238" s="37" t="inlineStr">
        <is>
          <t>Y</t>
        </is>
      </c>
      <c r="H3238" s="37" t="inlineStr">
        <is>
          <t>N</t>
        </is>
      </c>
      <c r="I3238" s="37">
        <f>COUNTIF(G$5:G3238,"Y")/COUNTA(G$5:G3238)</f>
        <v/>
      </c>
      <c r="J3238" s="37">
        <f>COUNTIF(H$5:H3238,"Y")/COUNTA(H$5:H3238)</f>
        <v/>
      </c>
      <c r="K3238" s="37">
        <f>AVERAGE(F$5:F3238)</f>
        <v/>
      </c>
      <c r="L3238" s="37">
        <f>SUM(F$5:F3238)/SUM(E$5:E3238)</f>
        <v/>
      </c>
    </row>
    <row r="3239">
      <c r="A3239" s="29" t="n">
        <v>46157</v>
      </c>
      <c r="B3239" s="37" t="inlineStr">
        <is>
          <t>JOB-4235</t>
        </is>
      </c>
      <c r="C3239" s="34" t="n">
        <v>1</v>
      </c>
      <c r="D3239" s="37" t="inlineStr">
        <is>
          <t>Tech F</t>
        </is>
      </c>
      <c r="E3239" s="35" t="n">
        <v>3.8</v>
      </c>
      <c r="F3239" s="35" t="n">
        <v>3.2</v>
      </c>
      <c r="G3239" s="37" t="inlineStr">
        <is>
          <t>Y</t>
        </is>
      </c>
      <c r="H3239" s="37" t="inlineStr">
        <is>
          <t>N</t>
        </is>
      </c>
      <c r="I3239" s="37">
        <f>COUNTIF(G$5:G3239,"Y")/COUNTA(G$5:G3239)</f>
        <v/>
      </c>
      <c r="J3239" s="37">
        <f>COUNTIF(H$5:H3239,"Y")/COUNTA(H$5:H3239)</f>
        <v/>
      </c>
      <c r="K3239" s="37">
        <f>AVERAGE(F$5:F3239)</f>
        <v/>
      </c>
      <c r="L3239" s="37">
        <f>SUM(F$5:F3239)/SUM(E$5:E3239)</f>
        <v/>
      </c>
    </row>
    <row r="3240">
      <c r="A3240" s="29" t="n">
        <v>46153</v>
      </c>
      <c r="B3240" s="37" t="inlineStr">
        <is>
          <t>JOB-4236</t>
        </is>
      </c>
      <c r="C3240" s="34" t="n">
        <v>1</v>
      </c>
      <c r="D3240" s="37" t="inlineStr">
        <is>
          <t>Tech C</t>
        </is>
      </c>
      <c r="E3240" s="35" t="n">
        <v>4</v>
      </c>
      <c r="F3240" s="35" t="n">
        <v>3.2</v>
      </c>
      <c r="G3240" s="37" t="inlineStr">
        <is>
          <t>Y</t>
        </is>
      </c>
      <c r="H3240" s="37" t="inlineStr">
        <is>
          <t>N</t>
        </is>
      </c>
      <c r="I3240" s="37">
        <f>COUNTIF(G$5:G3240,"Y")/COUNTA(G$5:G3240)</f>
        <v/>
      </c>
      <c r="J3240" s="37">
        <f>COUNTIF(H$5:H3240,"Y")/COUNTA(H$5:H3240)</f>
        <v/>
      </c>
      <c r="K3240" s="37">
        <f>AVERAGE(F$5:F3240)</f>
        <v/>
      </c>
      <c r="L3240" s="37">
        <f>SUM(F$5:F3240)/SUM(E$5:E3240)</f>
        <v/>
      </c>
    </row>
    <row r="3241">
      <c r="A3241" s="29" t="n">
        <v>46154</v>
      </c>
      <c r="B3241" s="37" t="inlineStr">
        <is>
          <t>JOB-4237</t>
        </is>
      </c>
      <c r="C3241" s="34" t="n">
        <v>1</v>
      </c>
      <c r="D3241" s="37" t="inlineStr">
        <is>
          <t>Tech F</t>
        </is>
      </c>
      <c r="E3241" s="35" t="n">
        <v>3.6</v>
      </c>
      <c r="F3241" s="35" t="n">
        <v>3.3</v>
      </c>
      <c r="G3241" s="37" t="inlineStr">
        <is>
          <t>Y</t>
        </is>
      </c>
      <c r="H3241" s="37" t="inlineStr">
        <is>
          <t>N</t>
        </is>
      </c>
      <c r="I3241" s="37">
        <f>COUNTIF(G$5:G3241,"Y")/COUNTA(G$5:G3241)</f>
        <v/>
      </c>
      <c r="J3241" s="37">
        <f>COUNTIF(H$5:H3241,"Y")/COUNTA(H$5:H3241)</f>
        <v/>
      </c>
      <c r="K3241" s="37">
        <f>AVERAGE(F$5:F3241)</f>
        <v/>
      </c>
      <c r="L3241" s="37">
        <f>SUM(F$5:F3241)/SUM(E$5:E3241)</f>
        <v/>
      </c>
    </row>
    <row r="3242">
      <c r="A3242" s="29" t="n">
        <v>46155</v>
      </c>
      <c r="B3242" s="37" t="inlineStr">
        <is>
          <t>JOB-4238</t>
        </is>
      </c>
      <c r="C3242" s="34" t="n">
        <v>1</v>
      </c>
      <c r="D3242" s="37" t="inlineStr">
        <is>
          <t>Tech D</t>
        </is>
      </c>
      <c r="E3242" s="35" t="n">
        <v>2.1</v>
      </c>
      <c r="F3242" s="35" t="n">
        <v>1.8</v>
      </c>
      <c r="G3242" s="37" t="inlineStr">
        <is>
          <t>Y</t>
        </is>
      </c>
      <c r="H3242" s="37" t="inlineStr">
        <is>
          <t>N</t>
        </is>
      </c>
      <c r="I3242" s="37">
        <f>COUNTIF(G$5:G3242,"Y")/COUNTA(G$5:G3242)</f>
        <v/>
      </c>
      <c r="J3242" s="37">
        <f>COUNTIF(H$5:H3242,"Y")/COUNTA(H$5:H3242)</f>
        <v/>
      </c>
      <c r="K3242" s="37">
        <f>AVERAGE(F$5:F3242)</f>
        <v/>
      </c>
      <c r="L3242" s="37">
        <f>SUM(F$5:F3242)/SUM(E$5:E3242)</f>
        <v/>
      </c>
    </row>
    <row r="3243">
      <c r="A3243" s="29" t="n">
        <v>46156</v>
      </c>
      <c r="B3243" s="37" t="inlineStr">
        <is>
          <t>JOB-4239</t>
        </is>
      </c>
      <c r="C3243" s="34" t="n">
        <v>1</v>
      </c>
      <c r="D3243" s="37" t="inlineStr">
        <is>
          <t>Tech B</t>
        </is>
      </c>
      <c r="E3243" s="35" t="n">
        <v>1.5</v>
      </c>
      <c r="F3243" s="35" t="n">
        <v>1.1</v>
      </c>
      <c r="G3243" s="37" t="inlineStr">
        <is>
          <t>Y</t>
        </is>
      </c>
      <c r="H3243" s="37" t="inlineStr">
        <is>
          <t>N</t>
        </is>
      </c>
      <c r="I3243" s="37">
        <f>COUNTIF(G$5:G3243,"Y")/COUNTA(G$5:G3243)</f>
        <v/>
      </c>
      <c r="J3243" s="37">
        <f>COUNTIF(H$5:H3243,"Y")/COUNTA(H$5:H3243)</f>
        <v/>
      </c>
      <c r="K3243" s="37">
        <f>AVERAGE(F$5:F3243)</f>
        <v/>
      </c>
      <c r="L3243" s="37">
        <f>SUM(F$5:F3243)/SUM(E$5:E3243)</f>
        <v/>
      </c>
    </row>
    <row r="3244">
      <c r="A3244" s="29" t="n">
        <v>46157</v>
      </c>
      <c r="B3244" s="37" t="inlineStr">
        <is>
          <t>JOB-4240</t>
        </is>
      </c>
      <c r="C3244" s="34" t="n">
        <v>1</v>
      </c>
      <c r="D3244" s="37" t="inlineStr">
        <is>
          <t>Tech G</t>
        </is>
      </c>
      <c r="E3244" s="35" t="n">
        <v>3.5</v>
      </c>
      <c r="F3244" s="35" t="n">
        <v>3.1</v>
      </c>
      <c r="G3244" s="37" t="inlineStr">
        <is>
          <t>Y</t>
        </is>
      </c>
      <c r="H3244" s="37" t="inlineStr">
        <is>
          <t>N</t>
        </is>
      </c>
      <c r="I3244" s="37">
        <f>COUNTIF(G$5:G3244,"Y")/COUNTA(G$5:G3244)</f>
        <v/>
      </c>
      <c r="J3244" s="37">
        <f>COUNTIF(H$5:H3244,"Y")/COUNTA(H$5:H3244)</f>
        <v/>
      </c>
      <c r="K3244" s="37">
        <f>AVERAGE(F$5:F3244)</f>
        <v/>
      </c>
      <c r="L3244" s="37">
        <f>SUM(F$5:F3244)/SUM(E$5:E3244)</f>
        <v/>
      </c>
    </row>
    <row r="3245">
      <c r="A3245" s="29" t="n">
        <v>46153</v>
      </c>
      <c r="B3245" s="37" t="inlineStr">
        <is>
          <t>JOB-4241</t>
        </is>
      </c>
      <c r="C3245" s="34" t="n">
        <v>1</v>
      </c>
      <c r="D3245" s="37" t="inlineStr">
        <is>
          <t>Tech B</t>
        </is>
      </c>
      <c r="E3245" s="35" t="n">
        <v>3.3</v>
      </c>
      <c r="F3245" s="35" t="n">
        <v>2.3</v>
      </c>
      <c r="G3245" s="37" t="inlineStr">
        <is>
          <t>Y</t>
        </is>
      </c>
      <c r="H3245" s="37" t="inlineStr">
        <is>
          <t>N</t>
        </is>
      </c>
      <c r="I3245" s="37">
        <f>COUNTIF(G$5:G3245,"Y")/COUNTA(G$5:G3245)</f>
        <v/>
      </c>
      <c r="J3245" s="37">
        <f>COUNTIF(H$5:H3245,"Y")/COUNTA(H$5:H3245)</f>
        <v/>
      </c>
      <c r="K3245" s="37">
        <f>AVERAGE(F$5:F3245)</f>
        <v/>
      </c>
      <c r="L3245" s="37">
        <f>SUM(F$5:F3245)/SUM(E$5:E3245)</f>
        <v/>
      </c>
    </row>
    <row r="3246">
      <c r="A3246" s="29" t="n">
        <v>46154</v>
      </c>
      <c r="B3246" s="37" t="inlineStr">
        <is>
          <t>JOB-4242</t>
        </is>
      </c>
      <c r="C3246" s="34" t="n">
        <v>1</v>
      </c>
      <c r="D3246" s="37" t="inlineStr">
        <is>
          <t>Tech G</t>
        </is>
      </c>
      <c r="E3246" s="35" t="n">
        <v>2</v>
      </c>
      <c r="F3246" s="35" t="n">
        <v>1.5</v>
      </c>
      <c r="G3246" s="37" t="inlineStr">
        <is>
          <t>Y</t>
        </is>
      </c>
      <c r="H3246" s="37" t="inlineStr">
        <is>
          <t>N</t>
        </is>
      </c>
      <c r="I3246" s="37">
        <f>COUNTIF(G$5:G3246,"Y")/COUNTA(G$5:G3246)</f>
        <v/>
      </c>
      <c r="J3246" s="37">
        <f>COUNTIF(H$5:H3246,"Y")/COUNTA(H$5:H3246)</f>
        <v/>
      </c>
      <c r="K3246" s="37">
        <f>AVERAGE(F$5:F3246)</f>
        <v/>
      </c>
      <c r="L3246" s="37">
        <f>SUM(F$5:F3246)/SUM(E$5:E3246)</f>
        <v/>
      </c>
    </row>
    <row r="3247">
      <c r="A3247" s="29" t="n">
        <v>46155</v>
      </c>
      <c r="B3247" s="37" t="inlineStr">
        <is>
          <t>JOB-4243</t>
        </is>
      </c>
      <c r="C3247" s="34" t="n">
        <v>1</v>
      </c>
      <c r="D3247" s="37" t="inlineStr">
        <is>
          <t>Tech F</t>
        </is>
      </c>
      <c r="E3247" s="35" t="n">
        <v>3.4</v>
      </c>
      <c r="F3247" s="35" t="n">
        <v>2.6</v>
      </c>
      <c r="G3247" s="37" t="inlineStr">
        <is>
          <t>Y</t>
        </is>
      </c>
      <c r="H3247" s="37" t="inlineStr">
        <is>
          <t>N</t>
        </is>
      </c>
      <c r="I3247" s="37">
        <f>COUNTIF(G$5:G3247,"Y")/COUNTA(G$5:G3247)</f>
        <v/>
      </c>
      <c r="J3247" s="37">
        <f>COUNTIF(H$5:H3247,"Y")/COUNTA(H$5:H3247)</f>
        <v/>
      </c>
      <c r="K3247" s="37">
        <f>AVERAGE(F$5:F3247)</f>
        <v/>
      </c>
      <c r="L3247" s="37">
        <f>SUM(F$5:F3247)/SUM(E$5:E3247)</f>
        <v/>
      </c>
    </row>
    <row r="3248">
      <c r="A3248" s="29" t="n">
        <v>46156</v>
      </c>
      <c r="B3248" s="37" t="inlineStr">
        <is>
          <t>JOB-4244</t>
        </is>
      </c>
      <c r="C3248" s="34" t="n">
        <v>1</v>
      </c>
      <c r="D3248" s="37" t="inlineStr">
        <is>
          <t>Tech C</t>
        </is>
      </c>
      <c r="E3248" s="35" t="n">
        <v>3.5</v>
      </c>
      <c r="F3248" s="35" t="n">
        <v>3.1</v>
      </c>
      <c r="G3248" s="37" t="inlineStr">
        <is>
          <t>Y</t>
        </is>
      </c>
      <c r="H3248" s="37" t="inlineStr">
        <is>
          <t>N</t>
        </is>
      </c>
      <c r="I3248" s="37">
        <f>COUNTIF(G$5:G3248,"Y")/COUNTA(G$5:G3248)</f>
        <v/>
      </c>
      <c r="J3248" s="37">
        <f>COUNTIF(H$5:H3248,"Y")/COUNTA(H$5:H3248)</f>
        <v/>
      </c>
      <c r="K3248" s="37">
        <f>AVERAGE(F$5:F3248)</f>
        <v/>
      </c>
      <c r="L3248" s="37">
        <f>SUM(F$5:F3248)/SUM(E$5:E3248)</f>
        <v/>
      </c>
    </row>
    <row r="3249">
      <c r="A3249" s="29" t="n">
        <v>46157</v>
      </c>
      <c r="B3249" s="37" t="inlineStr">
        <is>
          <t>JOB-4245</t>
        </is>
      </c>
      <c r="C3249" s="34" t="n">
        <v>1</v>
      </c>
      <c r="D3249" s="37" t="inlineStr">
        <is>
          <t>Tech C</t>
        </is>
      </c>
      <c r="E3249" s="35" t="n">
        <v>2.2</v>
      </c>
      <c r="F3249" s="35" t="n">
        <v>1.8</v>
      </c>
      <c r="G3249" s="37" t="inlineStr">
        <is>
          <t>Y</t>
        </is>
      </c>
      <c r="H3249" s="37" t="inlineStr">
        <is>
          <t>N</t>
        </is>
      </c>
      <c r="I3249" s="37">
        <f>COUNTIF(G$5:G3249,"Y")/COUNTA(G$5:G3249)</f>
        <v/>
      </c>
      <c r="J3249" s="37">
        <f>COUNTIF(H$5:H3249,"Y")/COUNTA(H$5:H3249)</f>
        <v/>
      </c>
      <c r="K3249" s="37">
        <f>AVERAGE(F$5:F3249)</f>
        <v/>
      </c>
      <c r="L3249" s="37">
        <f>SUM(F$5:F3249)/SUM(E$5:E3249)</f>
        <v/>
      </c>
    </row>
    <row r="3250">
      <c r="A3250" s="29" t="n">
        <v>46153</v>
      </c>
      <c r="B3250" s="37" t="inlineStr">
        <is>
          <t>JOB-4246</t>
        </is>
      </c>
      <c r="C3250" s="34" t="n">
        <v>1</v>
      </c>
      <c r="D3250" s="37" t="inlineStr">
        <is>
          <t>Tech B</t>
        </is>
      </c>
      <c r="E3250" s="35" t="n">
        <v>3.8</v>
      </c>
      <c r="F3250" s="35" t="n">
        <v>3</v>
      </c>
      <c r="G3250" s="37" t="inlineStr">
        <is>
          <t>N</t>
        </is>
      </c>
      <c r="H3250" s="37" t="inlineStr">
        <is>
          <t>N</t>
        </is>
      </c>
      <c r="I3250" s="37">
        <f>COUNTIF(G$5:G3250,"Y")/COUNTA(G$5:G3250)</f>
        <v/>
      </c>
      <c r="J3250" s="37">
        <f>COUNTIF(H$5:H3250,"Y")/COUNTA(H$5:H3250)</f>
        <v/>
      </c>
      <c r="K3250" s="37">
        <f>AVERAGE(F$5:F3250)</f>
        <v/>
      </c>
      <c r="L3250" s="37">
        <f>SUM(F$5:F3250)/SUM(E$5:E3250)</f>
        <v/>
      </c>
    </row>
    <row r="3251">
      <c r="A3251" s="29" t="n">
        <v>46154</v>
      </c>
      <c r="B3251" s="37" t="inlineStr">
        <is>
          <t>JOB-4247</t>
        </is>
      </c>
      <c r="C3251" s="34" t="n">
        <v>1</v>
      </c>
      <c r="D3251" s="37" t="inlineStr">
        <is>
          <t>Tech C</t>
        </is>
      </c>
      <c r="E3251" s="35" t="n">
        <v>1.7</v>
      </c>
      <c r="F3251" s="35" t="n">
        <v>1.5</v>
      </c>
      <c r="G3251" s="37" t="inlineStr">
        <is>
          <t>Y</t>
        </is>
      </c>
      <c r="H3251" s="37" t="inlineStr">
        <is>
          <t>N</t>
        </is>
      </c>
      <c r="I3251" s="37">
        <f>COUNTIF(G$5:G3251,"Y")/COUNTA(G$5:G3251)</f>
        <v/>
      </c>
      <c r="J3251" s="37">
        <f>COUNTIF(H$5:H3251,"Y")/COUNTA(H$5:H3251)</f>
        <v/>
      </c>
      <c r="K3251" s="37">
        <f>AVERAGE(F$5:F3251)</f>
        <v/>
      </c>
      <c r="L3251" s="37">
        <f>SUM(F$5:F3251)/SUM(E$5:E3251)</f>
        <v/>
      </c>
    </row>
    <row r="3252">
      <c r="A3252" s="29" t="n">
        <v>46155</v>
      </c>
      <c r="B3252" s="37" t="inlineStr">
        <is>
          <t>JOB-4248</t>
        </is>
      </c>
      <c r="C3252" s="34" t="n">
        <v>1</v>
      </c>
      <c r="D3252" s="37" t="inlineStr">
        <is>
          <t>Tech C</t>
        </is>
      </c>
      <c r="E3252" s="35" t="n">
        <v>2</v>
      </c>
      <c r="F3252" s="35" t="n">
        <v>1.8</v>
      </c>
      <c r="G3252" s="37" t="inlineStr">
        <is>
          <t>Y</t>
        </is>
      </c>
      <c r="H3252" s="37" t="inlineStr">
        <is>
          <t>N</t>
        </is>
      </c>
      <c r="I3252" s="37">
        <f>COUNTIF(G$5:G3252,"Y")/COUNTA(G$5:G3252)</f>
        <v/>
      </c>
      <c r="J3252" s="37">
        <f>COUNTIF(H$5:H3252,"Y")/COUNTA(H$5:H3252)</f>
        <v/>
      </c>
      <c r="K3252" s="37">
        <f>AVERAGE(F$5:F3252)</f>
        <v/>
      </c>
      <c r="L3252" s="37">
        <f>SUM(F$5:F3252)/SUM(E$5:E3252)</f>
        <v/>
      </c>
    </row>
    <row r="3253">
      <c r="A3253" s="29" t="n">
        <v>46156</v>
      </c>
      <c r="B3253" s="37" t="inlineStr">
        <is>
          <t>JOB-4249</t>
        </is>
      </c>
      <c r="C3253" s="34" t="n">
        <v>1</v>
      </c>
      <c r="D3253" s="37" t="inlineStr">
        <is>
          <t>Tech D</t>
        </is>
      </c>
      <c r="E3253" s="35" t="n">
        <v>0.7</v>
      </c>
      <c r="F3253" s="35" t="n">
        <v>0.5</v>
      </c>
      <c r="G3253" s="37" t="inlineStr">
        <is>
          <t>Y</t>
        </is>
      </c>
      <c r="H3253" s="37" t="inlineStr">
        <is>
          <t>Y</t>
        </is>
      </c>
      <c r="I3253" s="37">
        <f>COUNTIF(G$5:G3253,"Y")/COUNTA(G$5:G3253)</f>
        <v/>
      </c>
      <c r="J3253" s="37">
        <f>COUNTIF(H$5:H3253,"Y")/COUNTA(H$5:H3253)</f>
        <v/>
      </c>
      <c r="K3253" s="37">
        <f>AVERAGE(F$5:F3253)</f>
        <v/>
      </c>
      <c r="L3253" s="37">
        <f>SUM(F$5:F3253)/SUM(E$5:E3253)</f>
        <v/>
      </c>
    </row>
    <row r="3254">
      <c r="A3254" s="29" t="n">
        <v>46157</v>
      </c>
      <c r="B3254" s="37" t="inlineStr">
        <is>
          <t>JOB-4250</t>
        </is>
      </c>
      <c r="C3254" s="34" t="n">
        <v>1</v>
      </c>
      <c r="D3254" s="37" t="inlineStr">
        <is>
          <t>Tech A</t>
        </is>
      </c>
      <c r="E3254" s="35" t="n">
        <v>0.6</v>
      </c>
      <c r="F3254" s="35" t="n">
        <v>0.5</v>
      </c>
      <c r="G3254" s="37" t="inlineStr">
        <is>
          <t>Y</t>
        </is>
      </c>
      <c r="H3254" s="37" t="inlineStr">
        <is>
          <t>N</t>
        </is>
      </c>
      <c r="I3254" s="37">
        <f>COUNTIF(G$5:G3254,"Y")/COUNTA(G$5:G3254)</f>
        <v/>
      </c>
      <c r="J3254" s="37">
        <f>COUNTIF(H$5:H3254,"Y")/COUNTA(H$5:H3254)</f>
        <v/>
      </c>
      <c r="K3254" s="37">
        <f>AVERAGE(F$5:F3254)</f>
        <v/>
      </c>
      <c r="L3254" s="37">
        <f>SUM(F$5:F3254)/SUM(E$5:E3254)</f>
        <v/>
      </c>
    </row>
    <row r="3255">
      <c r="A3255" s="29" t="n">
        <v>46153</v>
      </c>
      <c r="B3255" s="37" t="inlineStr">
        <is>
          <t>JOB-4251</t>
        </is>
      </c>
      <c r="C3255" s="34" t="n">
        <v>1</v>
      </c>
      <c r="D3255" s="37" t="inlineStr">
        <is>
          <t>Tech H</t>
        </is>
      </c>
      <c r="E3255" s="35" t="n">
        <v>0.7</v>
      </c>
      <c r="F3255" s="35" t="n">
        <v>0.5</v>
      </c>
      <c r="G3255" s="37" t="inlineStr">
        <is>
          <t>Y</t>
        </is>
      </c>
      <c r="H3255" s="37" t="inlineStr">
        <is>
          <t>N</t>
        </is>
      </c>
      <c r="I3255" s="37">
        <f>COUNTIF(G$5:G3255,"Y")/COUNTA(G$5:G3255)</f>
        <v/>
      </c>
      <c r="J3255" s="37">
        <f>COUNTIF(H$5:H3255,"Y")/COUNTA(H$5:H3255)</f>
        <v/>
      </c>
      <c r="K3255" s="37">
        <f>AVERAGE(F$5:F3255)</f>
        <v/>
      </c>
      <c r="L3255" s="37">
        <f>SUM(F$5:F3255)/SUM(E$5:E3255)</f>
        <v/>
      </c>
    </row>
    <row r="3256">
      <c r="A3256" s="29" t="n">
        <v>46154</v>
      </c>
      <c r="B3256" s="37" t="inlineStr">
        <is>
          <t>JOB-4252</t>
        </is>
      </c>
      <c r="C3256" s="34" t="n">
        <v>1</v>
      </c>
      <c r="D3256" s="37" t="inlineStr">
        <is>
          <t>Tech C</t>
        </is>
      </c>
      <c r="E3256" s="35" t="n">
        <v>0.7</v>
      </c>
      <c r="F3256" s="35" t="n">
        <v>0.5</v>
      </c>
      <c r="G3256" s="37" t="inlineStr">
        <is>
          <t>N</t>
        </is>
      </c>
      <c r="H3256" s="37" t="inlineStr">
        <is>
          <t>N</t>
        </is>
      </c>
      <c r="I3256" s="37">
        <f>COUNTIF(G$5:G3256,"Y")/COUNTA(G$5:G3256)</f>
        <v/>
      </c>
      <c r="J3256" s="37">
        <f>COUNTIF(H$5:H3256,"Y")/COUNTA(H$5:H3256)</f>
        <v/>
      </c>
      <c r="K3256" s="37">
        <f>AVERAGE(F$5:F3256)</f>
        <v/>
      </c>
      <c r="L3256" s="37">
        <f>SUM(F$5:F3256)/SUM(E$5:E3256)</f>
        <v/>
      </c>
    </row>
    <row r="3257">
      <c r="A3257" s="29" t="n">
        <v>46155</v>
      </c>
      <c r="B3257" s="37" t="inlineStr">
        <is>
          <t>JOB-4253</t>
        </is>
      </c>
      <c r="C3257" s="34" t="n">
        <v>1</v>
      </c>
      <c r="D3257" s="37" t="inlineStr">
        <is>
          <t>Tech D</t>
        </is>
      </c>
      <c r="E3257" s="35" t="n">
        <v>0.6</v>
      </c>
      <c r="F3257" s="35" t="n">
        <v>0.5</v>
      </c>
      <c r="G3257" s="37" t="inlineStr">
        <is>
          <t>N</t>
        </is>
      </c>
      <c r="H3257" s="37" t="inlineStr">
        <is>
          <t>N</t>
        </is>
      </c>
      <c r="I3257" s="37">
        <f>COUNTIF(G$5:G3257,"Y")/COUNTA(G$5:G3257)</f>
        <v/>
      </c>
      <c r="J3257" s="37">
        <f>COUNTIF(H$5:H3257,"Y")/COUNTA(H$5:H3257)</f>
        <v/>
      </c>
      <c r="K3257" s="37">
        <f>AVERAGE(F$5:F3257)</f>
        <v/>
      </c>
      <c r="L3257" s="37">
        <f>SUM(F$5:F3257)/SUM(E$5:E3257)</f>
        <v/>
      </c>
    </row>
    <row r="3258">
      <c r="A3258" s="29" t="n">
        <v>46156</v>
      </c>
      <c r="B3258" s="37" t="inlineStr">
        <is>
          <t>JOB-4254</t>
        </is>
      </c>
      <c r="C3258" s="34" t="n">
        <v>1</v>
      </c>
      <c r="D3258" s="37" t="inlineStr">
        <is>
          <t>Tech A</t>
        </is>
      </c>
      <c r="E3258" s="35" t="n">
        <v>0.6</v>
      </c>
      <c r="F3258" s="35" t="n">
        <v>0.5</v>
      </c>
      <c r="G3258" s="37" t="inlineStr">
        <is>
          <t>Y</t>
        </is>
      </c>
      <c r="H3258" s="37" t="inlineStr">
        <is>
          <t>N</t>
        </is>
      </c>
      <c r="I3258" s="37">
        <f>COUNTIF(G$5:G3258,"Y")/COUNTA(G$5:G3258)</f>
        <v/>
      </c>
      <c r="J3258" s="37">
        <f>COUNTIF(H$5:H3258,"Y")/COUNTA(H$5:H3258)</f>
        <v/>
      </c>
      <c r="K3258" s="37">
        <f>AVERAGE(F$5:F3258)</f>
        <v/>
      </c>
      <c r="L3258" s="37">
        <f>SUM(F$5:F3258)/SUM(E$5:E3258)</f>
        <v/>
      </c>
    </row>
    <row r="3259">
      <c r="A3259" s="29" t="n">
        <v>46157</v>
      </c>
      <c r="B3259" s="37" t="inlineStr">
        <is>
          <t>JOB-4255</t>
        </is>
      </c>
      <c r="C3259" s="34" t="n">
        <v>1</v>
      </c>
      <c r="D3259" s="37" t="inlineStr">
        <is>
          <t>Tech D</t>
        </is>
      </c>
      <c r="E3259" s="35" t="n">
        <v>3.3</v>
      </c>
      <c r="F3259" s="35" t="n">
        <v>0.5</v>
      </c>
      <c r="G3259" s="37" t="inlineStr">
        <is>
          <t>Y</t>
        </is>
      </c>
      <c r="H3259" s="37" t="inlineStr">
        <is>
          <t>N</t>
        </is>
      </c>
      <c r="I3259" s="37">
        <f>COUNTIF(G$5:G3259,"Y")/COUNTA(G$5:G3259)</f>
        <v/>
      </c>
      <c r="J3259" s="37">
        <f>COUNTIF(H$5:H3259,"Y")/COUNTA(H$5:H3259)</f>
        <v/>
      </c>
      <c r="K3259" s="37">
        <f>AVERAGE(F$5:F3259)</f>
        <v/>
      </c>
      <c r="L3259" s="37">
        <f>SUM(F$5:F3259)/SUM(E$5:E3259)</f>
        <v/>
      </c>
      <c r="M3259" s="37" t="n">
        <v>10</v>
      </c>
    </row>
    <row r="3260">
      <c r="A3260" s="29" t="n">
        <v>46160</v>
      </c>
      <c r="B3260" s="37" t="inlineStr">
        <is>
          <t>JOB-4256</t>
        </is>
      </c>
      <c r="C3260" s="34" t="n">
        <v>1</v>
      </c>
      <c r="D3260" s="37" t="inlineStr">
        <is>
          <t>Tech F</t>
        </is>
      </c>
      <c r="E3260" s="35" t="n">
        <v>3.7</v>
      </c>
      <c r="F3260" s="35" t="n">
        <v>2.6</v>
      </c>
      <c r="G3260" s="37" t="inlineStr">
        <is>
          <t>Y</t>
        </is>
      </c>
      <c r="H3260" s="37" t="inlineStr">
        <is>
          <t>N</t>
        </is>
      </c>
      <c r="I3260" s="37">
        <f>COUNTIF(G$5:G3260,"Y")/COUNTA(G$5:G3260)</f>
        <v/>
      </c>
      <c r="J3260" s="37">
        <f>COUNTIF(H$5:H3260,"Y")/COUNTA(H$5:H3260)</f>
        <v/>
      </c>
      <c r="K3260" s="37">
        <f>AVERAGE(F$5:F3260)</f>
        <v/>
      </c>
      <c r="L3260" s="37">
        <f>SUM(F$5:F3260)/SUM(E$5:E3260)</f>
        <v/>
      </c>
    </row>
    <row r="3261">
      <c r="A3261" s="29" t="n">
        <v>46161</v>
      </c>
      <c r="B3261" s="37" t="inlineStr">
        <is>
          <t>JOB-4257</t>
        </is>
      </c>
      <c r="C3261" s="34" t="n">
        <v>1</v>
      </c>
      <c r="D3261" s="37" t="inlineStr">
        <is>
          <t>Tech H</t>
        </is>
      </c>
      <c r="E3261" s="35" t="n">
        <v>3</v>
      </c>
      <c r="F3261" s="35" t="n">
        <v>2.3</v>
      </c>
      <c r="G3261" s="37" t="inlineStr">
        <is>
          <t>N</t>
        </is>
      </c>
      <c r="H3261" s="37" t="inlineStr">
        <is>
          <t>N</t>
        </is>
      </c>
      <c r="I3261" s="37">
        <f>COUNTIF(G$5:G3261,"Y")/COUNTA(G$5:G3261)</f>
        <v/>
      </c>
      <c r="J3261" s="37">
        <f>COUNTIF(H$5:H3261,"Y")/COUNTA(H$5:H3261)</f>
        <v/>
      </c>
      <c r="K3261" s="37">
        <f>AVERAGE(F$5:F3261)</f>
        <v/>
      </c>
      <c r="L3261" s="37">
        <f>SUM(F$5:F3261)/SUM(E$5:E3261)</f>
        <v/>
      </c>
    </row>
    <row r="3262">
      <c r="A3262" s="29" t="n">
        <v>46162</v>
      </c>
      <c r="B3262" s="37" t="inlineStr">
        <is>
          <t>JOB-4258</t>
        </is>
      </c>
      <c r="C3262" s="34" t="n">
        <v>1</v>
      </c>
      <c r="D3262" s="37" t="inlineStr">
        <is>
          <t>Tech G</t>
        </is>
      </c>
      <c r="E3262" s="35" t="n">
        <v>1.7</v>
      </c>
      <c r="F3262" s="35" t="n">
        <v>1.5</v>
      </c>
      <c r="G3262" s="37" t="inlineStr">
        <is>
          <t>Y</t>
        </is>
      </c>
      <c r="H3262" s="37" t="inlineStr">
        <is>
          <t>N</t>
        </is>
      </c>
      <c r="I3262" s="37">
        <f>COUNTIF(G$5:G3262,"Y")/COUNTA(G$5:G3262)</f>
        <v/>
      </c>
      <c r="J3262" s="37">
        <f>COUNTIF(H$5:H3262,"Y")/COUNTA(H$5:H3262)</f>
        <v/>
      </c>
      <c r="K3262" s="37">
        <f>AVERAGE(F$5:F3262)</f>
        <v/>
      </c>
      <c r="L3262" s="37">
        <f>SUM(F$5:F3262)/SUM(E$5:E3262)</f>
        <v/>
      </c>
    </row>
    <row r="3263">
      <c r="A3263" s="29" t="n">
        <v>46163</v>
      </c>
      <c r="B3263" s="37" t="inlineStr">
        <is>
          <t>JOB-4259</t>
        </is>
      </c>
      <c r="C3263" s="34" t="n">
        <v>1</v>
      </c>
      <c r="D3263" s="37" t="inlineStr">
        <is>
          <t>Tech H</t>
        </is>
      </c>
      <c r="E3263" s="35" t="n">
        <v>4.5</v>
      </c>
      <c r="F3263" s="35" t="n">
        <v>3.1</v>
      </c>
      <c r="G3263" s="37" t="inlineStr">
        <is>
          <t>N</t>
        </is>
      </c>
      <c r="H3263" s="37" t="inlineStr">
        <is>
          <t>Y</t>
        </is>
      </c>
      <c r="I3263" s="37">
        <f>COUNTIF(G$5:G3263,"Y")/COUNTA(G$5:G3263)</f>
        <v/>
      </c>
      <c r="J3263" s="37">
        <f>COUNTIF(H$5:H3263,"Y")/COUNTA(H$5:H3263)</f>
        <v/>
      </c>
      <c r="K3263" s="37">
        <f>AVERAGE(F$5:F3263)</f>
        <v/>
      </c>
      <c r="L3263" s="37">
        <f>SUM(F$5:F3263)/SUM(E$5:E3263)</f>
        <v/>
      </c>
    </row>
    <row r="3264">
      <c r="A3264" s="29" t="n">
        <v>46164</v>
      </c>
      <c r="B3264" s="37" t="inlineStr">
        <is>
          <t>JOB-4260</t>
        </is>
      </c>
      <c r="C3264" s="34" t="n">
        <v>1</v>
      </c>
      <c r="D3264" s="37" t="inlineStr">
        <is>
          <t>Tech B</t>
        </is>
      </c>
      <c r="E3264" s="35" t="n">
        <v>4</v>
      </c>
      <c r="F3264" s="35" t="n">
        <v>3.3</v>
      </c>
      <c r="G3264" s="37" t="inlineStr">
        <is>
          <t>Y</t>
        </is>
      </c>
      <c r="H3264" s="37" t="inlineStr">
        <is>
          <t>N</t>
        </is>
      </c>
      <c r="I3264" s="37">
        <f>COUNTIF(G$5:G3264,"Y")/COUNTA(G$5:G3264)</f>
        <v/>
      </c>
      <c r="J3264" s="37">
        <f>COUNTIF(H$5:H3264,"Y")/COUNTA(H$5:H3264)</f>
        <v/>
      </c>
      <c r="K3264" s="37">
        <f>AVERAGE(F$5:F3264)</f>
        <v/>
      </c>
      <c r="L3264" s="37">
        <f>SUM(F$5:F3264)/SUM(E$5:E3264)</f>
        <v/>
      </c>
    </row>
    <row r="3265">
      <c r="A3265" s="29" t="n">
        <v>46160</v>
      </c>
      <c r="B3265" s="37" t="inlineStr">
        <is>
          <t>JOB-4261</t>
        </is>
      </c>
      <c r="C3265" s="34" t="n">
        <v>1</v>
      </c>
      <c r="D3265" s="37" t="inlineStr">
        <is>
          <t>Tech G</t>
        </is>
      </c>
      <c r="E3265" s="35" t="n">
        <v>3.6</v>
      </c>
      <c r="F3265" s="35" t="n">
        <v>2.5</v>
      </c>
      <c r="G3265" s="37" t="inlineStr">
        <is>
          <t>Y</t>
        </is>
      </c>
      <c r="H3265" s="37" t="inlineStr">
        <is>
          <t>N</t>
        </is>
      </c>
      <c r="I3265" s="37">
        <f>COUNTIF(G$5:G3265,"Y")/COUNTA(G$5:G3265)</f>
        <v/>
      </c>
      <c r="J3265" s="37">
        <f>COUNTIF(H$5:H3265,"Y")/COUNTA(H$5:H3265)</f>
        <v/>
      </c>
      <c r="K3265" s="37">
        <f>AVERAGE(F$5:F3265)</f>
        <v/>
      </c>
      <c r="L3265" s="37">
        <f>SUM(F$5:F3265)/SUM(E$5:E3265)</f>
        <v/>
      </c>
    </row>
    <row r="3266">
      <c r="A3266" s="29" t="n">
        <v>46161</v>
      </c>
      <c r="B3266" s="37" t="inlineStr">
        <is>
          <t>JOB-4262</t>
        </is>
      </c>
      <c r="C3266" s="34" t="n">
        <v>1</v>
      </c>
      <c r="D3266" s="37" t="inlineStr">
        <is>
          <t>Tech G</t>
        </is>
      </c>
      <c r="E3266" s="35" t="n">
        <v>4.5</v>
      </c>
      <c r="F3266" s="35" t="n">
        <v>3.2</v>
      </c>
      <c r="G3266" s="37" t="inlineStr">
        <is>
          <t>Y</t>
        </is>
      </c>
      <c r="H3266" s="37" t="inlineStr">
        <is>
          <t>Y</t>
        </is>
      </c>
      <c r="I3266" s="37">
        <f>COUNTIF(G$5:G3266,"Y")/COUNTA(G$5:G3266)</f>
        <v/>
      </c>
      <c r="J3266" s="37">
        <f>COUNTIF(H$5:H3266,"Y")/COUNTA(H$5:H3266)</f>
        <v/>
      </c>
      <c r="K3266" s="37">
        <f>AVERAGE(F$5:F3266)</f>
        <v/>
      </c>
      <c r="L3266" s="37">
        <f>SUM(F$5:F3266)/SUM(E$5:E3266)</f>
        <v/>
      </c>
    </row>
    <row r="3267">
      <c r="A3267" s="29" t="n">
        <v>46162</v>
      </c>
      <c r="B3267" s="37" t="inlineStr">
        <is>
          <t>JOB-4263</t>
        </is>
      </c>
      <c r="C3267" s="34" t="n">
        <v>1</v>
      </c>
      <c r="D3267" s="37" t="inlineStr">
        <is>
          <t>Tech F</t>
        </is>
      </c>
      <c r="E3267" s="35" t="n">
        <v>4.9</v>
      </c>
      <c r="F3267" s="35" t="n">
        <v>3.3</v>
      </c>
      <c r="G3267" s="37" t="inlineStr">
        <is>
          <t>Y</t>
        </is>
      </c>
      <c r="H3267" s="37" t="inlineStr">
        <is>
          <t>N</t>
        </is>
      </c>
      <c r="I3267" s="37">
        <f>COUNTIF(G$5:G3267,"Y")/COUNTA(G$5:G3267)</f>
        <v/>
      </c>
      <c r="J3267" s="37">
        <f>COUNTIF(H$5:H3267,"Y")/COUNTA(H$5:H3267)</f>
        <v/>
      </c>
      <c r="K3267" s="37">
        <f>AVERAGE(F$5:F3267)</f>
        <v/>
      </c>
      <c r="L3267" s="37">
        <f>SUM(F$5:F3267)/SUM(E$5:E3267)</f>
        <v/>
      </c>
    </row>
    <row r="3268">
      <c r="A3268" s="29" t="n">
        <v>46163</v>
      </c>
      <c r="B3268" s="37" t="inlineStr">
        <is>
          <t>JOB-4264</t>
        </is>
      </c>
      <c r="C3268" s="34" t="n">
        <v>1</v>
      </c>
      <c r="D3268" s="37" t="inlineStr">
        <is>
          <t>Tech B</t>
        </is>
      </c>
      <c r="E3268" s="35" t="n">
        <v>2.2</v>
      </c>
      <c r="F3268" s="35" t="n">
        <v>1.9</v>
      </c>
      <c r="G3268" s="37" t="inlineStr">
        <is>
          <t>Y</t>
        </is>
      </c>
      <c r="H3268" s="37" t="inlineStr">
        <is>
          <t>N</t>
        </is>
      </c>
      <c r="I3268" s="37">
        <f>COUNTIF(G$5:G3268,"Y")/COUNTA(G$5:G3268)</f>
        <v/>
      </c>
      <c r="J3268" s="37">
        <f>COUNTIF(H$5:H3268,"Y")/COUNTA(H$5:H3268)</f>
        <v/>
      </c>
      <c r="K3268" s="37">
        <f>AVERAGE(F$5:F3268)</f>
        <v/>
      </c>
      <c r="L3268" s="37">
        <f>SUM(F$5:F3268)/SUM(E$5:E3268)</f>
        <v/>
      </c>
    </row>
    <row r="3269">
      <c r="A3269" s="29" t="n">
        <v>46164</v>
      </c>
      <c r="B3269" s="37" t="inlineStr">
        <is>
          <t>JOB-4265</t>
        </is>
      </c>
      <c r="C3269" s="34" t="n">
        <v>1</v>
      </c>
      <c r="D3269" s="37" t="inlineStr">
        <is>
          <t>Tech G</t>
        </is>
      </c>
      <c r="E3269" s="35" t="n">
        <v>3.6</v>
      </c>
      <c r="F3269" s="35" t="n">
        <v>2.6</v>
      </c>
      <c r="G3269" s="37" t="inlineStr">
        <is>
          <t>N</t>
        </is>
      </c>
      <c r="H3269" s="37" t="inlineStr">
        <is>
          <t>N</t>
        </is>
      </c>
      <c r="I3269" s="37">
        <f>COUNTIF(G$5:G3269,"Y")/COUNTA(G$5:G3269)</f>
        <v/>
      </c>
      <c r="J3269" s="37">
        <f>COUNTIF(H$5:H3269,"Y")/COUNTA(H$5:H3269)</f>
        <v/>
      </c>
      <c r="K3269" s="37">
        <f>AVERAGE(F$5:F3269)</f>
        <v/>
      </c>
      <c r="L3269" s="37">
        <f>SUM(F$5:F3269)/SUM(E$5:E3269)</f>
        <v/>
      </c>
    </row>
    <row r="3270">
      <c r="A3270" s="29" t="n">
        <v>46160</v>
      </c>
      <c r="B3270" s="37" t="inlineStr">
        <is>
          <t>JOB-4266</t>
        </is>
      </c>
      <c r="C3270" s="34" t="n">
        <v>1</v>
      </c>
      <c r="D3270" s="37" t="inlineStr">
        <is>
          <t>Tech G</t>
        </is>
      </c>
      <c r="E3270" s="35" t="n">
        <v>4.1</v>
      </c>
      <c r="F3270" s="35" t="n">
        <v>3.3</v>
      </c>
      <c r="G3270" s="37" t="inlineStr">
        <is>
          <t>Y</t>
        </is>
      </c>
      <c r="H3270" s="37" t="inlineStr">
        <is>
          <t>N</t>
        </is>
      </c>
      <c r="I3270" s="37">
        <f>COUNTIF(G$5:G3270,"Y")/COUNTA(G$5:G3270)</f>
        <v/>
      </c>
      <c r="J3270" s="37">
        <f>COUNTIF(H$5:H3270,"Y")/COUNTA(H$5:H3270)</f>
        <v/>
      </c>
      <c r="K3270" s="37">
        <f>AVERAGE(F$5:F3270)</f>
        <v/>
      </c>
      <c r="L3270" s="37">
        <f>SUM(F$5:F3270)/SUM(E$5:E3270)</f>
        <v/>
      </c>
    </row>
    <row r="3271">
      <c r="A3271" s="29" t="n">
        <v>46161</v>
      </c>
      <c r="B3271" s="37" t="inlineStr">
        <is>
          <t>JOB-4267</t>
        </is>
      </c>
      <c r="C3271" s="34" t="n">
        <v>1</v>
      </c>
      <c r="D3271" s="37" t="inlineStr">
        <is>
          <t>Tech B</t>
        </is>
      </c>
      <c r="E3271" s="35" t="n">
        <v>2.9</v>
      </c>
      <c r="F3271" s="35" t="n">
        <v>2.3</v>
      </c>
      <c r="G3271" s="37" t="inlineStr">
        <is>
          <t>Y</t>
        </is>
      </c>
      <c r="H3271" s="37" t="inlineStr">
        <is>
          <t>N</t>
        </is>
      </c>
      <c r="I3271" s="37">
        <f>COUNTIF(G$5:G3271,"Y")/COUNTA(G$5:G3271)</f>
        <v/>
      </c>
      <c r="J3271" s="37">
        <f>COUNTIF(H$5:H3271,"Y")/COUNTA(H$5:H3271)</f>
        <v/>
      </c>
      <c r="K3271" s="37">
        <f>AVERAGE(F$5:F3271)</f>
        <v/>
      </c>
      <c r="L3271" s="37">
        <f>SUM(F$5:F3271)/SUM(E$5:E3271)</f>
        <v/>
      </c>
    </row>
    <row r="3272">
      <c r="A3272" s="29" t="n">
        <v>46162</v>
      </c>
      <c r="B3272" s="37" t="inlineStr">
        <is>
          <t>JOB-4268</t>
        </is>
      </c>
      <c r="C3272" s="34" t="n">
        <v>1</v>
      </c>
      <c r="D3272" s="37" t="inlineStr">
        <is>
          <t>Tech G</t>
        </is>
      </c>
      <c r="E3272" s="35" t="n">
        <v>1.9</v>
      </c>
      <c r="F3272" s="35" t="n">
        <v>1.6</v>
      </c>
      <c r="G3272" s="37" t="inlineStr">
        <is>
          <t>Y</t>
        </is>
      </c>
      <c r="H3272" s="37" t="inlineStr">
        <is>
          <t>N</t>
        </is>
      </c>
      <c r="I3272" s="37">
        <f>COUNTIF(G$5:G3272,"Y")/COUNTA(G$5:G3272)</f>
        <v/>
      </c>
      <c r="J3272" s="37">
        <f>COUNTIF(H$5:H3272,"Y")/COUNTA(H$5:H3272)</f>
        <v/>
      </c>
      <c r="K3272" s="37">
        <f>AVERAGE(F$5:F3272)</f>
        <v/>
      </c>
      <c r="L3272" s="37">
        <f>SUM(F$5:F3272)/SUM(E$5:E3272)</f>
        <v/>
      </c>
    </row>
    <row r="3273">
      <c r="A3273" s="29" t="n">
        <v>46163</v>
      </c>
      <c r="B3273" s="37" t="inlineStr">
        <is>
          <t>JOB-4269</t>
        </is>
      </c>
      <c r="C3273" s="34" t="n">
        <v>1</v>
      </c>
      <c r="D3273" s="37" t="inlineStr">
        <is>
          <t>Tech H</t>
        </is>
      </c>
      <c r="E3273" s="35" t="n">
        <v>2.6</v>
      </c>
      <c r="F3273" s="35" t="n">
        <v>1.9</v>
      </c>
      <c r="G3273" s="37" t="inlineStr">
        <is>
          <t>Y</t>
        </is>
      </c>
      <c r="H3273" s="37" t="inlineStr">
        <is>
          <t>N</t>
        </is>
      </c>
      <c r="I3273" s="37">
        <f>COUNTIF(G$5:G3273,"Y")/COUNTA(G$5:G3273)</f>
        <v/>
      </c>
      <c r="J3273" s="37">
        <f>COUNTIF(H$5:H3273,"Y")/COUNTA(H$5:H3273)</f>
        <v/>
      </c>
      <c r="K3273" s="37">
        <f>AVERAGE(F$5:F3273)</f>
        <v/>
      </c>
      <c r="L3273" s="37">
        <f>SUM(F$5:F3273)/SUM(E$5:E3273)</f>
        <v/>
      </c>
    </row>
    <row r="3274">
      <c r="A3274" s="29" t="n">
        <v>46164</v>
      </c>
      <c r="B3274" s="37" t="inlineStr">
        <is>
          <t>JOB-4270</t>
        </is>
      </c>
      <c r="C3274" s="34" t="n">
        <v>1</v>
      </c>
      <c r="D3274" s="37" t="inlineStr">
        <is>
          <t>Tech D</t>
        </is>
      </c>
      <c r="E3274" s="35" t="n">
        <v>4.2</v>
      </c>
      <c r="F3274" s="35" t="n">
        <v>2.9</v>
      </c>
      <c r="G3274" s="37" t="inlineStr">
        <is>
          <t>Y</t>
        </is>
      </c>
      <c r="H3274" s="37" t="inlineStr">
        <is>
          <t>N</t>
        </is>
      </c>
      <c r="I3274" s="37">
        <f>COUNTIF(G$5:G3274,"Y")/COUNTA(G$5:G3274)</f>
        <v/>
      </c>
      <c r="J3274" s="37">
        <f>COUNTIF(H$5:H3274,"Y")/COUNTA(H$5:H3274)</f>
        <v/>
      </c>
      <c r="K3274" s="37">
        <f>AVERAGE(F$5:F3274)</f>
        <v/>
      </c>
      <c r="L3274" s="37">
        <f>SUM(F$5:F3274)/SUM(E$5:E3274)</f>
        <v/>
      </c>
    </row>
    <row r="3275">
      <c r="A3275" s="29" t="n">
        <v>46160</v>
      </c>
      <c r="B3275" s="37" t="inlineStr">
        <is>
          <t>JOB-4271</t>
        </is>
      </c>
      <c r="C3275" s="34" t="n">
        <v>1</v>
      </c>
      <c r="D3275" s="37" t="inlineStr">
        <is>
          <t>Tech A</t>
        </is>
      </c>
      <c r="E3275" s="35" t="n">
        <v>2.9</v>
      </c>
      <c r="F3275" s="35" t="n">
        <v>2.2</v>
      </c>
      <c r="G3275" s="37" t="inlineStr">
        <is>
          <t>Y</t>
        </is>
      </c>
      <c r="H3275" s="37" t="inlineStr">
        <is>
          <t>N</t>
        </is>
      </c>
      <c r="I3275" s="37">
        <f>COUNTIF(G$5:G3275,"Y")/COUNTA(G$5:G3275)</f>
        <v/>
      </c>
      <c r="J3275" s="37">
        <f>COUNTIF(H$5:H3275,"Y")/COUNTA(H$5:H3275)</f>
        <v/>
      </c>
      <c r="K3275" s="37">
        <f>AVERAGE(F$5:F3275)</f>
        <v/>
      </c>
      <c r="L3275" s="37">
        <f>SUM(F$5:F3275)/SUM(E$5:E3275)</f>
        <v/>
      </c>
    </row>
    <row r="3276">
      <c r="A3276" s="29" t="n">
        <v>46161</v>
      </c>
      <c r="B3276" s="37" t="inlineStr">
        <is>
          <t>JOB-4272</t>
        </is>
      </c>
      <c r="C3276" s="34" t="n">
        <v>1</v>
      </c>
      <c r="D3276" s="37" t="inlineStr">
        <is>
          <t>Tech G</t>
        </is>
      </c>
      <c r="E3276" s="35" t="n">
        <v>4.5</v>
      </c>
      <c r="F3276" s="35" t="n">
        <v>3</v>
      </c>
      <c r="G3276" s="37" t="inlineStr">
        <is>
          <t>Y</t>
        </is>
      </c>
      <c r="H3276" s="37" t="inlineStr">
        <is>
          <t>N</t>
        </is>
      </c>
      <c r="I3276" s="37">
        <f>COUNTIF(G$5:G3276,"Y")/COUNTA(G$5:G3276)</f>
        <v/>
      </c>
      <c r="J3276" s="37">
        <f>COUNTIF(H$5:H3276,"Y")/COUNTA(H$5:H3276)</f>
        <v/>
      </c>
      <c r="K3276" s="37">
        <f>AVERAGE(F$5:F3276)</f>
        <v/>
      </c>
      <c r="L3276" s="37">
        <f>SUM(F$5:F3276)/SUM(E$5:E3276)</f>
        <v/>
      </c>
    </row>
    <row r="3277">
      <c r="A3277" s="29" t="n">
        <v>46162</v>
      </c>
      <c r="B3277" s="37" t="inlineStr">
        <is>
          <t>JOB-4273</t>
        </is>
      </c>
      <c r="C3277" s="34" t="n">
        <v>1</v>
      </c>
      <c r="D3277" s="37" t="inlineStr">
        <is>
          <t>Tech D</t>
        </is>
      </c>
      <c r="E3277" s="35" t="n">
        <v>3</v>
      </c>
      <c r="F3277" s="35" t="n">
        <v>2.2</v>
      </c>
      <c r="G3277" s="37" t="inlineStr">
        <is>
          <t>Y</t>
        </is>
      </c>
      <c r="H3277" s="37" t="inlineStr">
        <is>
          <t>N</t>
        </is>
      </c>
      <c r="I3277" s="37">
        <f>COUNTIF(G$5:G3277,"Y")/COUNTA(G$5:G3277)</f>
        <v/>
      </c>
      <c r="J3277" s="37">
        <f>COUNTIF(H$5:H3277,"Y")/COUNTA(H$5:H3277)</f>
        <v/>
      </c>
      <c r="K3277" s="37">
        <f>AVERAGE(F$5:F3277)</f>
        <v/>
      </c>
      <c r="L3277" s="37">
        <f>SUM(F$5:F3277)/SUM(E$5:E3277)</f>
        <v/>
      </c>
    </row>
    <row r="3278">
      <c r="A3278" s="29" t="n">
        <v>46163</v>
      </c>
      <c r="B3278" s="37" t="inlineStr">
        <is>
          <t>JOB-4274</t>
        </is>
      </c>
      <c r="C3278" s="34" t="n">
        <v>1</v>
      </c>
      <c r="D3278" s="37" t="inlineStr">
        <is>
          <t>Tech A</t>
        </is>
      </c>
      <c r="E3278" s="35" t="n">
        <v>4.4</v>
      </c>
      <c r="F3278" s="35" t="n">
        <v>3.1</v>
      </c>
      <c r="G3278" s="37" t="inlineStr">
        <is>
          <t>Y</t>
        </is>
      </c>
      <c r="H3278" s="37" t="inlineStr">
        <is>
          <t>N</t>
        </is>
      </c>
      <c r="I3278" s="37">
        <f>COUNTIF(G$5:G3278,"Y")/COUNTA(G$5:G3278)</f>
        <v/>
      </c>
      <c r="J3278" s="37">
        <f>COUNTIF(H$5:H3278,"Y")/COUNTA(H$5:H3278)</f>
        <v/>
      </c>
      <c r="K3278" s="37">
        <f>AVERAGE(F$5:F3278)</f>
        <v/>
      </c>
      <c r="L3278" s="37">
        <f>SUM(F$5:F3278)/SUM(E$5:E3278)</f>
        <v/>
      </c>
    </row>
    <row r="3279">
      <c r="A3279" s="29" t="n">
        <v>46164</v>
      </c>
      <c r="B3279" s="37" t="inlineStr">
        <is>
          <t>JOB-4275</t>
        </is>
      </c>
      <c r="C3279" s="34" t="n">
        <v>1</v>
      </c>
      <c r="D3279" s="37" t="inlineStr">
        <is>
          <t>Tech F</t>
        </is>
      </c>
      <c r="E3279" s="35" t="n">
        <v>4</v>
      </c>
      <c r="F3279" s="35" t="n">
        <v>3.4</v>
      </c>
      <c r="G3279" s="37" t="inlineStr">
        <is>
          <t>Y</t>
        </is>
      </c>
      <c r="H3279" s="37" t="inlineStr">
        <is>
          <t>N</t>
        </is>
      </c>
      <c r="I3279" s="37">
        <f>COUNTIF(G$5:G3279,"Y")/COUNTA(G$5:G3279)</f>
        <v/>
      </c>
      <c r="J3279" s="37">
        <f>COUNTIF(H$5:H3279,"Y")/COUNTA(H$5:H3279)</f>
        <v/>
      </c>
      <c r="K3279" s="37">
        <f>AVERAGE(F$5:F3279)</f>
        <v/>
      </c>
      <c r="L3279" s="37">
        <f>SUM(F$5:F3279)/SUM(E$5:E3279)</f>
        <v/>
      </c>
    </row>
    <row r="3280">
      <c r="A3280" s="29" t="n">
        <v>46160</v>
      </c>
      <c r="B3280" s="37" t="inlineStr">
        <is>
          <t>JOB-4276</t>
        </is>
      </c>
      <c r="C3280" s="34" t="n">
        <v>1</v>
      </c>
      <c r="D3280" s="37" t="inlineStr">
        <is>
          <t>Tech F</t>
        </is>
      </c>
      <c r="E3280" s="35" t="n">
        <v>1.5</v>
      </c>
      <c r="F3280" s="35" t="n">
        <v>1.3</v>
      </c>
      <c r="G3280" s="37" t="inlineStr">
        <is>
          <t>Y</t>
        </is>
      </c>
      <c r="H3280" s="37" t="inlineStr">
        <is>
          <t>N</t>
        </is>
      </c>
      <c r="I3280" s="37">
        <f>COUNTIF(G$5:G3280,"Y")/COUNTA(G$5:G3280)</f>
        <v/>
      </c>
      <c r="J3280" s="37">
        <f>COUNTIF(H$5:H3280,"Y")/COUNTA(H$5:H3280)</f>
        <v/>
      </c>
      <c r="K3280" s="37">
        <f>AVERAGE(F$5:F3280)</f>
        <v/>
      </c>
      <c r="L3280" s="37">
        <f>SUM(F$5:F3280)/SUM(E$5:E3280)</f>
        <v/>
      </c>
    </row>
    <row r="3281">
      <c r="A3281" s="29" t="n">
        <v>46161</v>
      </c>
      <c r="B3281" s="37" t="inlineStr">
        <is>
          <t>JOB-4277</t>
        </is>
      </c>
      <c r="C3281" s="34" t="n">
        <v>1</v>
      </c>
      <c r="D3281" s="37" t="inlineStr">
        <is>
          <t>Tech A</t>
        </is>
      </c>
      <c r="E3281" s="35" t="n">
        <v>1.3</v>
      </c>
      <c r="F3281" s="35" t="n">
        <v>1.1</v>
      </c>
      <c r="G3281" s="37" t="inlineStr">
        <is>
          <t>N</t>
        </is>
      </c>
      <c r="H3281" s="37" t="inlineStr">
        <is>
          <t>N</t>
        </is>
      </c>
      <c r="I3281" s="37">
        <f>COUNTIF(G$5:G3281,"Y")/COUNTA(G$5:G3281)</f>
        <v/>
      </c>
      <c r="J3281" s="37">
        <f>COUNTIF(H$5:H3281,"Y")/COUNTA(H$5:H3281)</f>
        <v/>
      </c>
      <c r="K3281" s="37">
        <f>AVERAGE(F$5:F3281)</f>
        <v/>
      </c>
      <c r="L3281" s="37">
        <f>SUM(F$5:F3281)/SUM(E$5:E3281)</f>
        <v/>
      </c>
    </row>
    <row r="3282">
      <c r="A3282" s="29" t="n">
        <v>46162</v>
      </c>
      <c r="B3282" s="37" t="inlineStr">
        <is>
          <t>JOB-4278</t>
        </is>
      </c>
      <c r="C3282" s="34" t="n">
        <v>1</v>
      </c>
      <c r="D3282" s="37" t="inlineStr">
        <is>
          <t>Tech F</t>
        </is>
      </c>
      <c r="E3282" s="35" t="n">
        <v>1.3</v>
      </c>
      <c r="F3282" s="35" t="n">
        <v>1</v>
      </c>
      <c r="G3282" s="37" t="inlineStr">
        <is>
          <t>Y</t>
        </is>
      </c>
      <c r="H3282" s="37" t="inlineStr">
        <is>
          <t>N</t>
        </is>
      </c>
      <c r="I3282" s="37">
        <f>COUNTIF(G$5:G3282,"Y")/COUNTA(G$5:G3282)</f>
        <v/>
      </c>
      <c r="J3282" s="37">
        <f>COUNTIF(H$5:H3282,"Y")/COUNTA(H$5:H3282)</f>
        <v/>
      </c>
      <c r="K3282" s="37">
        <f>AVERAGE(F$5:F3282)</f>
        <v/>
      </c>
      <c r="L3282" s="37">
        <f>SUM(F$5:F3282)/SUM(E$5:E3282)</f>
        <v/>
      </c>
    </row>
    <row r="3283">
      <c r="A3283" s="29" t="n">
        <v>46163</v>
      </c>
      <c r="B3283" s="37" t="inlineStr">
        <is>
          <t>JOB-4279</t>
        </is>
      </c>
      <c r="C3283" s="34" t="n">
        <v>1</v>
      </c>
      <c r="D3283" s="37" t="inlineStr">
        <is>
          <t>Tech A</t>
        </is>
      </c>
      <c r="E3283" s="35" t="n">
        <v>1.3</v>
      </c>
      <c r="F3283" s="35" t="n">
        <v>1</v>
      </c>
      <c r="G3283" s="37" t="inlineStr">
        <is>
          <t>Y</t>
        </is>
      </c>
      <c r="H3283" s="37" t="inlineStr">
        <is>
          <t>N</t>
        </is>
      </c>
      <c r="I3283" s="37">
        <f>COUNTIF(G$5:G3283,"Y")/COUNTA(G$5:G3283)</f>
        <v/>
      </c>
      <c r="J3283" s="37">
        <f>COUNTIF(H$5:H3283,"Y")/COUNTA(H$5:H3283)</f>
        <v/>
      </c>
      <c r="K3283" s="37">
        <f>AVERAGE(F$5:F3283)</f>
        <v/>
      </c>
      <c r="L3283" s="37">
        <f>SUM(F$5:F3283)/SUM(E$5:E3283)</f>
        <v/>
      </c>
    </row>
    <row r="3284">
      <c r="A3284" s="29" t="n">
        <v>46164</v>
      </c>
      <c r="B3284" s="37" t="inlineStr">
        <is>
          <t>JOB-4280</t>
        </is>
      </c>
      <c r="C3284" s="34" t="n">
        <v>1</v>
      </c>
      <c r="D3284" s="37" t="inlineStr">
        <is>
          <t>Tech F</t>
        </is>
      </c>
      <c r="E3284" s="35" t="n">
        <v>4.4</v>
      </c>
      <c r="F3284" s="35" t="n">
        <v>2.9</v>
      </c>
      <c r="G3284" s="37" t="inlineStr">
        <is>
          <t>N</t>
        </is>
      </c>
      <c r="H3284" s="37" t="inlineStr">
        <is>
          <t>N</t>
        </is>
      </c>
      <c r="I3284" s="37">
        <f>COUNTIF(G$5:G3284,"Y")/COUNTA(G$5:G3284)</f>
        <v/>
      </c>
      <c r="J3284" s="37">
        <f>COUNTIF(H$5:H3284,"Y")/COUNTA(H$5:H3284)</f>
        <v/>
      </c>
      <c r="K3284" s="37">
        <f>AVERAGE(F$5:F3284)</f>
        <v/>
      </c>
      <c r="L3284" s="37">
        <f>SUM(F$5:F3284)/SUM(E$5:E3284)</f>
        <v/>
      </c>
    </row>
    <row r="3285">
      <c r="A3285" s="29" t="n">
        <v>46160</v>
      </c>
      <c r="B3285" s="37" t="inlineStr">
        <is>
          <t>JOB-4281</t>
        </is>
      </c>
      <c r="C3285" s="34" t="n">
        <v>1</v>
      </c>
      <c r="D3285" s="37" t="inlineStr">
        <is>
          <t>Tech A</t>
        </is>
      </c>
      <c r="E3285" s="35" t="n">
        <v>1.7</v>
      </c>
      <c r="F3285" s="35" t="n">
        <v>1.3</v>
      </c>
      <c r="G3285" s="37" t="inlineStr">
        <is>
          <t>Y</t>
        </is>
      </c>
      <c r="H3285" s="37" t="inlineStr">
        <is>
          <t>N</t>
        </is>
      </c>
      <c r="I3285" s="37">
        <f>COUNTIF(G$5:G3285,"Y")/COUNTA(G$5:G3285)</f>
        <v/>
      </c>
      <c r="J3285" s="37">
        <f>COUNTIF(H$5:H3285,"Y")/COUNTA(H$5:H3285)</f>
        <v/>
      </c>
      <c r="K3285" s="37">
        <f>AVERAGE(F$5:F3285)</f>
        <v/>
      </c>
      <c r="L3285" s="37">
        <f>SUM(F$5:F3285)/SUM(E$5:E3285)</f>
        <v/>
      </c>
    </row>
    <row r="3286">
      <c r="A3286" s="29" t="n">
        <v>46161</v>
      </c>
      <c r="B3286" s="37" t="inlineStr">
        <is>
          <t>JOB-4282</t>
        </is>
      </c>
      <c r="C3286" s="34" t="n">
        <v>1</v>
      </c>
      <c r="D3286" s="37" t="inlineStr">
        <is>
          <t>Tech C</t>
        </is>
      </c>
      <c r="E3286" s="35" t="n">
        <v>4.1</v>
      </c>
      <c r="F3286" s="35" t="n">
        <v>2.7</v>
      </c>
      <c r="G3286" s="37" t="inlineStr">
        <is>
          <t>Y</t>
        </is>
      </c>
      <c r="H3286" s="37" t="inlineStr">
        <is>
          <t>N</t>
        </is>
      </c>
      <c r="I3286" s="37">
        <f>COUNTIF(G$5:G3286,"Y")/COUNTA(G$5:G3286)</f>
        <v/>
      </c>
      <c r="J3286" s="37">
        <f>COUNTIF(H$5:H3286,"Y")/COUNTA(H$5:H3286)</f>
        <v/>
      </c>
      <c r="K3286" s="37">
        <f>AVERAGE(F$5:F3286)</f>
        <v/>
      </c>
      <c r="L3286" s="37">
        <f>SUM(F$5:F3286)/SUM(E$5:E3286)</f>
        <v/>
      </c>
    </row>
    <row r="3287">
      <c r="A3287" s="29" t="n">
        <v>46162</v>
      </c>
      <c r="B3287" s="37" t="inlineStr">
        <is>
          <t>JOB-4283</t>
        </is>
      </c>
      <c r="C3287" s="34" t="n">
        <v>1</v>
      </c>
      <c r="D3287" s="37" t="inlineStr">
        <is>
          <t>Tech F</t>
        </is>
      </c>
      <c r="E3287" s="35" t="n">
        <v>3.7</v>
      </c>
      <c r="F3287" s="35" t="n">
        <v>2.9</v>
      </c>
      <c r="G3287" s="37" t="inlineStr">
        <is>
          <t>Y</t>
        </is>
      </c>
      <c r="H3287" s="37" t="inlineStr">
        <is>
          <t>N</t>
        </is>
      </c>
      <c r="I3287" s="37">
        <f>COUNTIF(G$5:G3287,"Y")/COUNTA(G$5:G3287)</f>
        <v/>
      </c>
      <c r="J3287" s="37">
        <f>COUNTIF(H$5:H3287,"Y")/COUNTA(H$5:H3287)</f>
        <v/>
      </c>
      <c r="K3287" s="37">
        <f>AVERAGE(F$5:F3287)</f>
        <v/>
      </c>
      <c r="L3287" s="37">
        <f>SUM(F$5:F3287)/SUM(E$5:E3287)</f>
        <v/>
      </c>
    </row>
    <row r="3288">
      <c r="A3288" s="29" t="n">
        <v>46163</v>
      </c>
      <c r="B3288" s="37" t="inlineStr">
        <is>
          <t>JOB-4284</t>
        </is>
      </c>
      <c r="C3288" s="34" t="n">
        <v>1</v>
      </c>
      <c r="D3288" s="37" t="inlineStr">
        <is>
          <t>Tech H</t>
        </is>
      </c>
      <c r="E3288" s="35" t="n">
        <v>2.4</v>
      </c>
      <c r="F3288" s="35" t="n">
        <v>1.7</v>
      </c>
      <c r="G3288" s="37" t="inlineStr">
        <is>
          <t>Y</t>
        </is>
      </c>
      <c r="H3288" s="37" t="inlineStr">
        <is>
          <t>N</t>
        </is>
      </c>
      <c r="I3288" s="37">
        <f>COUNTIF(G$5:G3288,"Y")/COUNTA(G$5:G3288)</f>
        <v/>
      </c>
      <c r="J3288" s="37">
        <f>COUNTIF(H$5:H3288,"Y")/COUNTA(H$5:H3288)</f>
        <v/>
      </c>
      <c r="K3288" s="37">
        <f>AVERAGE(F$5:F3288)</f>
        <v/>
      </c>
      <c r="L3288" s="37">
        <f>SUM(F$5:F3288)/SUM(E$5:E3288)</f>
        <v/>
      </c>
    </row>
    <row r="3289">
      <c r="A3289" s="29" t="n">
        <v>46164</v>
      </c>
      <c r="B3289" s="37" t="inlineStr">
        <is>
          <t>JOB-4285</t>
        </is>
      </c>
      <c r="C3289" s="34" t="n">
        <v>1</v>
      </c>
      <c r="D3289" s="37" t="inlineStr">
        <is>
          <t>Tech B</t>
        </is>
      </c>
      <c r="E3289" s="35" t="n">
        <v>2.1</v>
      </c>
      <c r="F3289" s="35" t="n">
        <v>1.8</v>
      </c>
      <c r="G3289" s="37" t="inlineStr">
        <is>
          <t>Y</t>
        </is>
      </c>
      <c r="H3289" s="37" t="inlineStr">
        <is>
          <t>N</t>
        </is>
      </c>
      <c r="I3289" s="37">
        <f>COUNTIF(G$5:G3289,"Y")/COUNTA(G$5:G3289)</f>
        <v/>
      </c>
      <c r="J3289" s="37">
        <f>COUNTIF(H$5:H3289,"Y")/COUNTA(H$5:H3289)</f>
        <v/>
      </c>
      <c r="K3289" s="37">
        <f>AVERAGE(F$5:F3289)</f>
        <v/>
      </c>
      <c r="L3289" s="37">
        <f>SUM(F$5:F3289)/SUM(E$5:E3289)</f>
        <v/>
      </c>
    </row>
    <row r="3290">
      <c r="A3290" s="29" t="n">
        <v>46160</v>
      </c>
      <c r="B3290" s="37" t="inlineStr">
        <is>
          <t>JOB-4286</t>
        </is>
      </c>
      <c r="C3290" s="34" t="n">
        <v>1</v>
      </c>
      <c r="D3290" s="37" t="inlineStr">
        <is>
          <t>Tech H</t>
        </is>
      </c>
      <c r="E3290" s="35" t="n">
        <v>1.6</v>
      </c>
      <c r="F3290" s="35" t="n">
        <v>1.3</v>
      </c>
      <c r="G3290" s="37" t="inlineStr">
        <is>
          <t>Y</t>
        </is>
      </c>
      <c r="H3290" s="37" t="inlineStr">
        <is>
          <t>N</t>
        </is>
      </c>
      <c r="I3290" s="37">
        <f>COUNTIF(G$5:G3290,"Y")/COUNTA(G$5:G3290)</f>
        <v/>
      </c>
      <c r="J3290" s="37">
        <f>COUNTIF(H$5:H3290,"Y")/COUNTA(H$5:H3290)</f>
        <v/>
      </c>
      <c r="K3290" s="37">
        <f>AVERAGE(F$5:F3290)</f>
        <v/>
      </c>
      <c r="L3290" s="37">
        <f>SUM(F$5:F3290)/SUM(E$5:E3290)</f>
        <v/>
      </c>
    </row>
    <row r="3291">
      <c r="A3291" s="29" t="n">
        <v>46161</v>
      </c>
      <c r="B3291" s="37" t="inlineStr">
        <is>
          <t>JOB-4287</t>
        </is>
      </c>
      <c r="C3291" s="34" t="n">
        <v>1</v>
      </c>
      <c r="D3291" s="37" t="inlineStr">
        <is>
          <t>Tech B</t>
        </is>
      </c>
      <c r="E3291" s="35" t="n">
        <v>3.3</v>
      </c>
      <c r="F3291" s="35" t="n">
        <v>2.2</v>
      </c>
      <c r="G3291" s="37" t="inlineStr">
        <is>
          <t>Y</t>
        </is>
      </c>
      <c r="H3291" s="37" t="inlineStr">
        <is>
          <t>N</t>
        </is>
      </c>
      <c r="I3291" s="37">
        <f>COUNTIF(G$5:G3291,"Y")/COUNTA(G$5:G3291)</f>
        <v/>
      </c>
      <c r="J3291" s="37">
        <f>COUNTIF(H$5:H3291,"Y")/COUNTA(H$5:H3291)</f>
        <v/>
      </c>
      <c r="K3291" s="37">
        <f>AVERAGE(F$5:F3291)</f>
        <v/>
      </c>
      <c r="L3291" s="37">
        <f>SUM(F$5:F3291)/SUM(E$5:E3291)</f>
        <v/>
      </c>
    </row>
    <row r="3292">
      <c r="A3292" s="29" t="n">
        <v>46162</v>
      </c>
      <c r="B3292" s="37" t="inlineStr">
        <is>
          <t>JOB-4288</t>
        </is>
      </c>
      <c r="C3292" s="34" t="n">
        <v>1</v>
      </c>
      <c r="D3292" s="37" t="inlineStr">
        <is>
          <t>Tech H</t>
        </is>
      </c>
      <c r="E3292" s="35" t="n">
        <v>5.4</v>
      </c>
      <c r="F3292" s="35" t="n">
        <v>3.6</v>
      </c>
      <c r="G3292" s="37" t="inlineStr">
        <is>
          <t>Y</t>
        </is>
      </c>
      <c r="H3292" s="37" t="inlineStr">
        <is>
          <t>N</t>
        </is>
      </c>
      <c r="I3292" s="37">
        <f>COUNTIF(G$5:G3292,"Y")/COUNTA(G$5:G3292)</f>
        <v/>
      </c>
      <c r="J3292" s="37">
        <f>COUNTIF(H$5:H3292,"Y")/COUNTA(H$5:H3292)</f>
        <v/>
      </c>
      <c r="K3292" s="37">
        <f>AVERAGE(F$5:F3292)</f>
        <v/>
      </c>
      <c r="L3292" s="37">
        <f>SUM(F$5:F3292)/SUM(E$5:E3292)</f>
        <v/>
      </c>
    </row>
    <row r="3293">
      <c r="A3293" s="29" t="n">
        <v>46163</v>
      </c>
      <c r="B3293" s="37" t="inlineStr">
        <is>
          <t>JOB-4289</t>
        </is>
      </c>
      <c r="C3293" s="34" t="n">
        <v>1</v>
      </c>
      <c r="D3293" s="37" t="inlineStr">
        <is>
          <t>Tech H</t>
        </is>
      </c>
      <c r="E3293" s="35" t="n">
        <v>1.8</v>
      </c>
      <c r="F3293" s="35" t="n">
        <v>1.3</v>
      </c>
      <c r="G3293" s="37" t="inlineStr">
        <is>
          <t>Y</t>
        </is>
      </c>
      <c r="H3293" s="37" t="inlineStr">
        <is>
          <t>N</t>
        </is>
      </c>
      <c r="I3293" s="37">
        <f>COUNTIF(G$5:G3293,"Y")/COUNTA(G$5:G3293)</f>
        <v/>
      </c>
      <c r="J3293" s="37">
        <f>COUNTIF(H$5:H3293,"Y")/COUNTA(H$5:H3293)</f>
        <v/>
      </c>
      <c r="K3293" s="37">
        <f>AVERAGE(F$5:F3293)</f>
        <v/>
      </c>
      <c r="L3293" s="37">
        <f>SUM(F$5:F3293)/SUM(E$5:E3293)</f>
        <v/>
      </c>
    </row>
    <row r="3294">
      <c r="A3294" s="29" t="n">
        <v>46164</v>
      </c>
      <c r="B3294" s="37" t="inlineStr">
        <is>
          <t>JOB-4290</t>
        </is>
      </c>
      <c r="C3294" s="34" t="n">
        <v>1</v>
      </c>
      <c r="D3294" s="37" t="inlineStr">
        <is>
          <t>Tech G</t>
        </is>
      </c>
      <c r="E3294" s="35" t="n">
        <v>3.2</v>
      </c>
      <c r="F3294" s="35" t="n">
        <v>2.2</v>
      </c>
      <c r="G3294" s="37" t="inlineStr">
        <is>
          <t>Y</t>
        </is>
      </c>
      <c r="H3294" s="37" t="inlineStr">
        <is>
          <t>N</t>
        </is>
      </c>
      <c r="I3294" s="37">
        <f>COUNTIF(G$5:G3294,"Y")/COUNTA(G$5:G3294)</f>
        <v/>
      </c>
      <c r="J3294" s="37">
        <f>COUNTIF(H$5:H3294,"Y")/COUNTA(H$5:H3294)</f>
        <v/>
      </c>
      <c r="K3294" s="37">
        <f>AVERAGE(F$5:F3294)</f>
        <v/>
      </c>
      <c r="L3294" s="37">
        <f>SUM(F$5:F3294)/SUM(E$5:E3294)</f>
        <v/>
      </c>
    </row>
    <row r="3295">
      <c r="A3295" s="29" t="n">
        <v>46160</v>
      </c>
      <c r="B3295" s="37" t="inlineStr">
        <is>
          <t>JOB-4291</t>
        </is>
      </c>
      <c r="C3295" s="34" t="n">
        <v>1</v>
      </c>
      <c r="D3295" s="37" t="inlineStr">
        <is>
          <t>Tech C</t>
        </is>
      </c>
      <c r="E3295" s="35" t="n">
        <v>0.6</v>
      </c>
      <c r="F3295" s="35" t="n">
        <v>0.5</v>
      </c>
      <c r="G3295" s="37" t="inlineStr">
        <is>
          <t>Y</t>
        </is>
      </c>
      <c r="H3295" s="37" t="inlineStr">
        <is>
          <t>N</t>
        </is>
      </c>
      <c r="I3295" s="37">
        <f>COUNTIF(G$5:G3295,"Y")/COUNTA(G$5:G3295)</f>
        <v/>
      </c>
      <c r="J3295" s="37">
        <f>COUNTIF(H$5:H3295,"Y")/COUNTA(H$5:H3295)</f>
        <v/>
      </c>
      <c r="K3295" s="37">
        <f>AVERAGE(F$5:F3295)</f>
        <v/>
      </c>
      <c r="L3295" s="37">
        <f>SUM(F$5:F3295)/SUM(E$5:E3295)</f>
        <v/>
      </c>
    </row>
    <row r="3296">
      <c r="A3296" s="29" t="n">
        <v>46161</v>
      </c>
      <c r="B3296" s="37" t="inlineStr">
        <is>
          <t>JOB-4292</t>
        </is>
      </c>
      <c r="C3296" s="34" t="n">
        <v>1</v>
      </c>
      <c r="D3296" s="37" t="inlineStr">
        <is>
          <t>Tech D</t>
        </is>
      </c>
      <c r="E3296" s="35" t="n">
        <v>0.5</v>
      </c>
      <c r="F3296" s="35" t="n">
        <v>0.5</v>
      </c>
      <c r="G3296" s="37" t="inlineStr">
        <is>
          <t>Y</t>
        </is>
      </c>
      <c r="H3296" s="37" t="inlineStr">
        <is>
          <t>N</t>
        </is>
      </c>
      <c r="I3296" s="37">
        <f>COUNTIF(G$5:G3296,"Y")/COUNTA(G$5:G3296)</f>
        <v/>
      </c>
      <c r="J3296" s="37">
        <f>COUNTIF(H$5:H3296,"Y")/COUNTA(H$5:H3296)</f>
        <v/>
      </c>
      <c r="K3296" s="37">
        <f>AVERAGE(F$5:F3296)</f>
        <v/>
      </c>
      <c r="L3296" s="37">
        <f>SUM(F$5:F3296)/SUM(E$5:E3296)</f>
        <v/>
      </c>
    </row>
    <row r="3297">
      <c r="A3297" s="29" t="n">
        <v>46162</v>
      </c>
      <c r="B3297" s="37" t="inlineStr">
        <is>
          <t>JOB-4293</t>
        </is>
      </c>
      <c r="C3297" s="34" t="n">
        <v>1</v>
      </c>
      <c r="D3297" s="37" t="inlineStr">
        <is>
          <t>Tech A</t>
        </is>
      </c>
      <c r="E3297" s="35" t="n">
        <v>0.5</v>
      </c>
      <c r="F3297" s="35" t="n">
        <v>0.5</v>
      </c>
      <c r="G3297" s="37" t="inlineStr">
        <is>
          <t>Y</t>
        </is>
      </c>
      <c r="H3297" s="37" t="inlineStr">
        <is>
          <t>N</t>
        </is>
      </c>
      <c r="I3297" s="37">
        <f>COUNTIF(G$5:G3297,"Y")/COUNTA(G$5:G3297)</f>
        <v/>
      </c>
      <c r="J3297" s="37">
        <f>COUNTIF(H$5:H3297,"Y")/COUNTA(H$5:H3297)</f>
        <v/>
      </c>
      <c r="K3297" s="37">
        <f>AVERAGE(F$5:F3297)</f>
        <v/>
      </c>
      <c r="L3297" s="37">
        <f>SUM(F$5:F3297)/SUM(E$5:E3297)</f>
        <v/>
      </c>
    </row>
    <row r="3298">
      <c r="A3298" s="29" t="n">
        <v>46163</v>
      </c>
      <c r="B3298" s="37" t="inlineStr">
        <is>
          <t>JOB-4294</t>
        </is>
      </c>
      <c r="C3298" s="34" t="n">
        <v>1</v>
      </c>
      <c r="D3298" s="37" t="inlineStr">
        <is>
          <t>Tech C</t>
        </is>
      </c>
      <c r="E3298" s="35" t="n">
        <v>0.5</v>
      </c>
      <c r="F3298" s="35" t="n">
        <v>0.5</v>
      </c>
      <c r="G3298" s="37" t="inlineStr">
        <is>
          <t>Y</t>
        </is>
      </c>
      <c r="H3298" s="37" t="inlineStr">
        <is>
          <t>N</t>
        </is>
      </c>
      <c r="I3298" s="37">
        <f>COUNTIF(G$5:G3298,"Y")/COUNTA(G$5:G3298)</f>
        <v/>
      </c>
      <c r="J3298" s="37">
        <f>COUNTIF(H$5:H3298,"Y")/COUNTA(H$5:H3298)</f>
        <v/>
      </c>
      <c r="K3298" s="37">
        <f>AVERAGE(F$5:F3298)</f>
        <v/>
      </c>
      <c r="L3298" s="37">
        <f>SUM(F$5:F3298)/SUM(E$5:E3298)</f>
        <v/>
      </c>
    </row>
    <row r="3299">
      <c r="A3299" s="29" t="n">
        <v>46164</v>
      </c>
      <c r="B3299" s="37" t="inlineStr">
        <is>
          <t>JOB-4295</t>
        </is>
      </c>
      <c r="C3299" s="34" t="n">
        <v>1</v>
      </c>
      <c r="D3299" s="37" t="inlineStr">
        <is>
          <t>Tech H</t>
        </is>
      </c>
      <c r="E3299" s="35" t="n">
        <v>0.5</v>
      </c>
      <c r="F3299" s="35" t="n">
        <v>0.5</v>
      </c>
      <c r="G3299" s="37" t="inlineStr">
        <is>
          <t>Y</t>
        </is>
      </c>
      <c r="H3299" s="37" t="inlineStr">
        <is>
          <t>N</t>
        </is>
      </c>
      <c r="I3299" s="37">
        <f>COUNTIF(G$5:G3299,"Y")/COUNTA(G$5:G3299)</f>
        <v/>
      </c>
      <c r="J3299" s="37">
        <f>COUNTIF(H$5:H3299,"Y")/COUNTA(H$5:H3299)</f>
        <v/>
      </c>
      <c r="K3299" s="37">
        <f>AVERAGE(F$5:F3299)</f>
        <v/>
      </c>
      <c r="L3299" s="37">
        <f>SUM(F$5:F3299)/SUM(E$5:E3299)</f>
        <v/>
      </c>
    </row>
    <row r="3300">
      <c r="A3300" s="29" t="n">
        <v>46160</v>
      </c>
      <c r="B3300" s="37" t="inlineStr">
        <is>
          <t>JOB-4296</t>
        </is>
      </c>
      <c r="C3300" s="34" t="n">
        <v>1</v>
      </c>
      <c r="D3300" s="37" t="inlineStr">
        <is>
          <t>Tech G</t>
        </is>
      </c>
      <c r="E3300" s="35" t="n">
        <v>0.5</v>
      </c>
      <c r="F3300" s="35" t="n">
        <v>0.5</v>
      </c>
      <c r="G3300" s="37" t="inlineStr">
        <is>
          <t>Y</t>
        </is>
      </c>
      <c r="H3300" s="37" t="inlineStr">
        <is>
          <t>N</t>
        </is>
      </c>
      <c r="I3300" s="37">
        <f>COUNTIF(G$5:G3300,"Y")/COUNTA(G$5:G3300)</f>
        <v/>
      </c>
      <c r="J3300" s="37">
        <f>COUNTIF(H$5:H3300,"Y")/COUNTA(H$5:H3300)</f>
        <v/>
      </c>
      <c r="K3300" s="37">
        <f>AVERAGE(F$5:F3300)</f>
        <v/>
      </c>
      <c r="L3300" s="37">
        <f>SUM(F$5:F3300)/SUM(E$5:E3300)</f>
        <v/>
      </c>
    </row>
    <row r="3301">
      <c r="A3301" s="29" t="n">
        <v>46161</v>
      </c>
      <c r="B3301" s="37" t="inlineStr">
        <is>
          <t>JOB-4297</t>
        </is>
      </c>
      <c r="C3301" s="34" t="n">
        <v>1</v>
      </c>
      <c r="D3301" s="37" t="inlineStr">
        <is>
          <t>Tech G</t>
        </is>
      </c>
      <c r="E3301" s="35" t="n">
        <v>0.5</v>
      </c>
      <c r="F3301" s="35" t="n">
        <v>0.5</v>
      </c>
      <c r="G3301" s="37" t="inlineStr">
        <is>
          <t>Y</t>
        </is>
      </c>
      <c r="H3301" s="37" t="inlineStr">
        <is>
          <t>N</t>
        </is>
      </c>
      <c r="I3301" s="37">
        <f>COUNTIF(G$5:G3301,"Y")/COUNTA(G$5:G3301)</f>
        <v/>
      </c>
      <c r="J3301" s="37">
        <f>COUNTIF(H$5:H3301,"Y")/COUNTA(H$5:H3301)</f>
        <v/>
      </c>
      <c r="K3301" s="37">
        <f>AVERAGE(F$5:F3301)</f>
        <v/>
      </c>
      <c r="L3301" s="37">
        <f>SUM(F$5:F3301)/SUM(E$5:E3301)</f>
        <v/>
      </c>
      <c r="M3301" s="37" t="n">
        <v>14</v>
      </c>
    </row>
    <row r="3302">
      <c r="A3302" s="29" t="n">
        <v>46167</v>
      </c>
      <c r="B3302" s="37" t="inlineStr">
        <is>
          <t>JOB-4298</t>
        </is>
      </c>
      <c r="C3302" s="34" t="n">
        <v>1</v>
      </c>
      <c r="D3302" s="37" t="inlineStr">
        <is>
          <t>Tech B</t>
        </is>
      </c>
      <c r="E3302" s="35" t="n">
        <v>3.3</v>
      </c>
      <c r="F3302" s="35" t="n">
        <v>2.2</v>
      </c>
      <c r="G3302" s="37" t="inlineStr">
        <is>
          <t>Y</t>
        </is>
      </c>
      <c r="H3302" s="37" t="inlineStr">
        <is>
          <t>N</t>
        </is>
      </c>
      <c r="I3302" s="37">
        <f>COUNTIF(G$5:G3302,"Y")/COUNTA(G$5:G3302)</f>
        <v/>
      </c>
      <c r="J3302" s="37">
        <f>COUNTIF(H$5:H3302,"Y")/COUNTA(H$5:H3302)</f>
        <v/>
      </c>
      <c r="K3302" s="37">
        <f>AVERAGE(F$5:F3302)</f>
        <v/>
      </c>
      <c r="L3302" s="37">
        <f>SUM(F$5:F3302)/SUM(E$5:E3302)</f>
        <v/>
      </c>
    </row>
    <row r="3303">
      <c r="A3303" s="29" t="n">
        <v>46168</v>
      </c>
      <c r="B3303" s="37" t="inlineStr">
        <is>
          <t>JOB-4299</t>
        </is>
      </c>
      <c r="C3303" s="34" t="n">
        <v>1</v>
      </c>
      <c r="D3303" s="37" t="inlineStr">
        <is>
          <t>Tech B</t>
        </is>
      </c>
      <c r="E3303" s="35" t="n">
        <v>3.8</v>
      </c>
      <c r="F3303" s="35" t="n">
        <v>2.6</v>
      </c>
      <c r="G3303" s="37" t="inlineStr">
        <is>
          <t>Y</t>
        </is>
      </c>
      <c r="H3303" s="37" t="inlineStr">
        <is>
          <t>N</t>
        </is>
      </c>
      <c r="I3303" s="37">
        <f>COUNTIF(G$5:G3303,"Y")/COUNTA(G$5:G3303)</f>
        <v/>
      </c>
      <c r="J3303" s="37">
        <f>COUNTIF(H$5:H3303,"Y")/COUNTA(H$5:H3303)</f>
        <v/>
      </c>
      <c r="K3303" s="37">
        <f>AVERAGE(F$5:F3303)</f>
        <v/>
      </c>
      <c r="L3303" s="37">
        <f>SUM(F$5:F3303)/SUM(E$5:E3303)</f>
        <v/>
      </c>
    </row>
    <row r="3304">
      <c r="A3304" s="29" t="n">
        <v>46169</v>
      </c>
      <c r="B3304" s="37" t="inlineStr">
        <is>
          <t>JOB-4300</t>
        </is>
      </c>
      <c r="C3304" s="34" t="n">
        <v>1</v>
      </c>
      <c r="D3304" s="37" t="inlineStr">
        <is>
          <t>Tech B</t>
        </is>
      </c>
      <c r="E3304" s="35" t="n">
        <v>2.1</v>
      </c>
      <c r="F3304" s="35" t="n">
        <v>1.7</v>
      </c>
      <c r="G3304" s="37" t="inlineStr">
        <is>
          <t>Y</t>
        </is>
      </c>
      <c r="H3304" s="37" t="inlineStr">
        <is>
          <t>N</t>
        </is>
      </c>
      <c r="I3304" s="37">
        <f>COUNTIF(G$5:G3304,"Y")/COUNTA(G$5:G3304)</f>
        <v/>
      </c>
      <c r="J3304" s="37">
        <f>COUNTIF(H$5:H3304,"Y")/COUNTA(H$5:H3304)</f>
        <v/>
      </c>
      <c r="K3304" s="37">
        <f>AVERAGE(F$5:F3304)</f>
        <v/>
      </c>
      <c r="L3304" s="37">
        <f>SUM(F$5:F3304)/SUM(E$5:E3304)</f>
        <v/>
      </c>
    </row>
    <row r="3305">
      <c r="A3305" s="29" t="n">
        <v>46170</v>
      </c>
      <c r="B3305" s="37" t="inlineStr">
        <is>
          <t>JOB-4301</t>
        </is>
      </c>
      <c r="C3305" s="34" t="n">
        <v>1</v>
      </c>
      <c r="D3305" s="37" t="inlineStr">
        <is>
          <t>Tech C</t>
        </is>
      </c>
      <c r="E3305" s="35" t="n">
        <v>3.3</v>
      </c>
      <c r="F3305" s="35" t="n">
        <v>2.3</v>
      </c>
      <c r="G3305" s="37" t="inlineStr">
        <is>
          <t>Y</t>
        </is>
      </c>
      <c r="H3305" s="37" t="inlineStr">
        <is>
          <t>N</t>
        </is>
      </c>
      <c r="I3305" s="37">
        <f>COUNTIF(G$5:G3305,"Y")/COUNTA(G$5:G3305)</f>
        <v/>
      </c>
      <c r="J3305" s="37">
        <f>COUNTIF(H$5:H3305,"Y")/COUNTA(H$5:H3305)</f>
        <v/>
      </c>
      <c r="K3305" s="37">
        <f>AVERAGE(F$5:F3305)</f>
        <v/>
      </c>
      <c r="L3305" s="37">
        <f>SUM(F$5:F3305)/SUM(E$5:E3305)</f>
        <v/>
      </c>
    </row>
    <row r="3306">
      <c r="A3306" s="29" t="n">
        <v>46171</v>
      </c>
      <c r="B3306" s="37" t="inlineStr">
        <is>
          <t>JOB-4302</t>
        </is>
      </c>
      <c r="C3306" s="34" t="n">
        <v>1</v>
      </c>
      <c r="D3306" s="37" t="inlineStr">
        <is>
          <t>Tech B</t>
        </is>
      </c>
      <c r="E3306" s="35" t="n">
        <v>1.9</v>
      </c>
      <c r="F3306" s="35" t="n">
        <v>1.4</v>
      </c>
      <c r="G3306" s="37" t="inlineStr">
        <is>
          <t>Y</t>
        </is>
      </c>
      <c r="H3306" s="37" t="inlineStr">
        <is>
          <t>N</t>
        </is>
      </c>
      <c r="I3306" s="37">
        <f>COUNTIF(G$5:G3306,"Y")/COUNTA(G$5:G3306)</f>
        <v/>
      </c>
      <c r="J3306" s="37">
        <f>COUNTIF(H$5:H3306,"Y")/COUNTA(H$5:H3306)</f>
        <v/>
      </c>
      <c r="K3306" s="37">
        <f>AVERAGE(F$5:F3306)</f>
        <v/>
      </c>
      <c r="L3306" s="37">
        <f>SUM(F$5:F3306)/SUM(E$5:E3306)</f>
        <v/>
      </c>
    </row>
    <row r="3307">
      <c r="A3307" s="29" t="n">
        <v>46167</v>
      </c>
      <c r="B3307" s="37" t="inlineStr">
        <is>
          <t>JOB-4303</t>
        </is>
      </c>
      <c r="C3307" s="34" t="n">
        <v>1</v>
      </c>
      <c r="D3307" s="37" t="inlineStr">
        <is>
          <t>Tech H</t>
        </is>
      </c>
      <c r="E3307" s="35" t="n">
        <v>3.5</v>
      </c>
      <c r="F3307" s="35" t="n">
        <v>2.4</v>
      </c>
      <c r="G3307" s="37" t="inlineStr">
        <is>
          <t>Y</t>
        </is>
      </c>
      <c r="H3307" s="37" t="inlineStr">
        <is>
          <t>N</t>
        </is>
      </c>
      <c r="I3307" s="37">
        <f>COUNTIF(G$5:G3307,"Y")/COUNTA(G$5:G3307)</f>
        <v/>
      </c>
      <c r="J3307" s="37">
        <f>COUNTIF(H$5:H3307,"Y")/COUNTA(H$5:H3307)</f>
        <v/>
      </c>
      <c r="K3307" s="37">
        <f>AVERAGE(F$5:F3307)</f>
        <v/>
      </c>
      <c r="L3307" s="37">
        <f>SUM(F$5:F3307)/SUM(E$5:E3307)</f>
        <v/>
      </c>
    </row>
    <row r="3308">
      <c r="A3308" s="29" t="n">
        <v>46168</v>
      </c>
      <c r="B3308" s="37" t="inlineStr">
        <is>
          <t>JOB-4304</t>
        </is>
      </c>
      <c r="C3308" s="34" t="n">
        <v>1</v>
      </c>
      <c r="D3308" s="37" t="inlineStr">
        <is>
          <t>Tech H</t>
        </is>
      </c>
      <c r="E3308" s="35" t="n">
        <v>4.4</v>
      </c>
      <c r="F3308" s="35" t="n">
        <v>3.7</v>
      </c>
      <c r="G3308" s="37" t="inlineStr">
        <is>
          <t>Y</t>
        </is>
      </c>
      <c r="H3308" s="37" t="inlineStr">
        <is>
          <t>N</t>
        </is>
      </c>
      <c r="I3308" s="37">
        <f>COUNTIF(G$5:G3308,"Y")/COUNTA(G$5:G3308)</f>
        <v/>
      </c>
      <c r="J3308" s="37">
        <f>COUNTIF(H$5:H3308,"Y")/COUNTA(H$5:H3308)</f>
        <v/>
      </c>
      <c r="K3308" s="37">
        <f>AVERAGE(F$5:F3308)</f>
        <v/>
      </c>
      <c r="L3308" s="37">
        <f>SUM(F$5:F3308)/SUM(E$5:E3308)</f>
        <v/>
      </c>
    </row>
    <row r="3309">
      <c r="A3309" s="29" t="n">
        <v>46169</v>
      </c>
      <c r="B3309" s="37" t="inlineStr">
        <is>
          <t>JOB-4305</t>
        </is>
      </c>
      <c r="C3309" s="34" t="n">
        <v>1</v>
      </c>
      <c r="D3309" s="37" t="inlineStr">
        <is>
          <t>Tech D</t>
        </is>
      </c>
      <c r="E3309" s="35" t="n">
        <v>1.6</v>
      </c>
      <c r="F3309" s="35" t="n">
        <v>1.1</v>
      </c>
      <c r="G3309" s="37" t="inlineStr">
        <is>
          <t>Y</t>
        </is>
      </c>
      <c r="H3309" s="37" t="inlineStr">
        <is>
          <t>N</t>
        </is>
      </c>
      <c r="I3309" s="37">
        <f>COUNTIF(G$5:G3309,"Y")/COUNTA(G$5:G3309)</f>
        <v/>
      </c>
      <c r="J3309" s="37">
        <f>COUNTIF(H$5:H3309,"Y")/COUNTA(H$5:H3309)</f>
        <v/>
      </c>
      <c r="K3309" s="37">
        <f>AVERAGE(F$5:F3309)</f>
        <v/>
      </c>
      <c r="L3309" s="37">
        <f>SUM(F$5:F3309)/SUM(E$5:E3309)</f>
        <v/>
      </c>
    </row>
    <row r="3310">
      <c r="A3310" s="29" t="n">
        <v>46170</v>
      </c>
      <c r="B3310" s="37" t="inlineStr">
        <is>
          <t>JOB-4306</t>
        </is>
      </c>
      <c r="C3310" s="34" t="n">
        <v>1</v>
      </c>
      <c r="D3310" s="37" t="inlineStr">
        <is>
          <t>Tech A</t>
        </is>
      </c>
      <c r="E3310" s="35" t="n">
        <v>2.9</v>
      </c>
      <c r="F3310" s="35" t="n">
        <v>2.5</v>
      </c>
      <c r="G3310" s="37" t="inlineStr">
        <is>
          <t>Y</t>
        </is>
      </c>
      <c r="H3310" s="37" t="inlineStr">
        <is>
          <t>N</t>
        </is>
      </c>
      <c r="I3310" s="37">
        <f>COUNTIF(G$5:G3310,"Y")/COUNTA(G$5:G3310)</f>
        <v/>
      </c>
      <c r="J3310" s="37">
        <f>COUNTIF(H$5:H3310,"Y")/COUNTA(H$5:H3310)</f>
        <v/>
      </c>
      <c r="K3310" s="37">
        <f>AVERAGE(F$5:F3310)</f>
        <v/>
      </c>
      <c r="L3310" s="37">
        <f>SUM(F$5:F3310)/SUM(E$5:E3310)</f>
        <v/>
      </c>
    </row>
    <row r="3311">
      <c r="A3311" s="29" t="n">
        <v>46171</v>
      </c>
      <c r="B3311" s="37" t="inlineStr">
        <is>
          <t>JOB-4307</t>
        </is>
      </c>
      <c r="C3311" s="34" t="n">
        <v>1</v>
      </c>
      <c r="D3311" s="37" t="inlineStr">
        <is>
          <t>Tech C</t>
        </is>
      </c>
      <c r="E3311" s="35" t="n">
        <v>1.7</v>
      </c>
      <c r="F3311" s="35" t="n">
        <v>1.5</v>
      </c>
      <c r="G3311" s="37" t="inlineStr">
        <is>
          <t>Y</t>
        </is>
      </c>
      <c r="H3311" s="37" t="inlineStr">
        <is>
          <t>N</t>
        </is>
      </c>
      <c r="I3311" s="37">
        <f>COUNTIF(G$5:G3311,"Y")/COUNTA(G$5:G3311)</f>
        <v/>
      </c>
      <c r="J3311" s="37">
        <f>COUNTIF(H$5:H3311,"Y")/COUNTA(H$5:H3311)</f>
        <v/>
      </c>
      <c r="K3311" s="37">
        <f>AVERAGE(F$5:F3311)</f>
        <v/>
      </c>
      <c r="L3311" s="37">
        <f>SUM(F$5:F3311)/SUM(E$5:E3311)</f>
        <v/>
      </c>
    </row>
    <row r="3312">
      <c r="A3312" s="29" t="n">
        <v>46167</v>
      </c>
      <c r="B3312" s="37" t="inlineStr">
        <is>
          <t>JOB-4308</t>
        </is>
      </c>
      <c r="C3312" s="34" t="n">
        <v>1</v>
      </c>
      <c r="D3312" s="37" t="inlineStr">
        <is>
          <t>Tech A</t>
        </is>
      </c>
      <c r="E3312" s="35" t="n">
        <v>4.6</v>
      </c>
      <c r="F3312" s="35" t="n">
        <v>3.8</v>
      </c>
      <c r="G3312" s="37" t="inlineStr">
        <is>
          <t>Y</t>
        </is>
      </c>
      <c r="H3312" s="37" t="inlineStr">
        <is>
          <t>N</t>
        </is>
      </c>
      <c r="I3312" s="37">
        <f>COUNTIF(G$5:G3312,"Y")/COUNTA(G$5:G3312)</f>
        <v/>
      </c>
      <c r="J3312" s="37">
        <f>COUNTIF(H$5:H3312,"Y")/COUNTA(H$5:H3312)</f>
        <v/>
      </c>
      <c r="K3312" s="37">
        <f>AVERAGE(F$5:F3312)</f>
        <v/>
      </c>
      <c r="L3312" s="37">
        <f>SUM(F$5:F3312)/SUM(E$5:E3312)</f>
        <v/>
      </c>
    </row>
    <row r="3313">
      <c r="A3313" s="29" t="n">
        <v>46168</v>
      </c>
      <c r="B3313" s="37" t="inlineStr">
        <is>
          <t>JOB-4309</t>
        </is>
      </c>
      <c r="C3313" s="34" t="n">
        <v>1</v>
      </c>
      <c r="D3313" s="37" t="inlineStr">
        <is>
          <t>Tech F</t>
        </is>
      </c>
      <c r="E3313" s="35" t="n">
        <v>3.3</v>
      </c>
      <c r="F3313" s="35" t="n">
        <v>2.3</v>
      </c>
      <c r="G3313" s="37" t="inlineStr">
        <is>
          <t>N</t>
        </is>
      </c>
      <c r="H3313" s="37" t="inlineStr">
        <is>
          <t>N</t>
        </is>
      </c>
      <c r="I3313" s="37">
        <f>COUNTIF(G$5:G3313,"Y")/COUNTA(G$5:G3313)</f>
        <v/>
      </c>
      <c r="J3313" s="37">
        <f>COUNTIF(H$5:H3313,"Y")/COUNTA(H$5:H3313)</f>
        <v/>
      </c>
      <c r="K3313" s="37">
        <f>AVERAGE(F$5:F3313)</f>
        <v/>
      </c>
      <c r="L3313" s="37">
        <f>SUM(F$5:F3313)/SUM(E$5:E3313)</f>
        <v/>
      </c>
    </row>
    <row r="3314">
      <c r="A3314" s="29" t="n">
        <v>46169</v>
      </c>
      <c r="B3314" s="37" t="inlineStr">
        <is>
          <t>JOB-4310</t>
        </is>
      </c>
      <c r="C3314" s="34" t="n">
        <v>1</v>
      </c>
      <c r="D3314" s="37" t="inlineStr">
        <is>
          <t>Tech G</t>
        </is>
      </c>
      <c r="E3314" s="35" t="n">
        <v>3.1</v>
      </c>
      <c r="F3314" s="35" t="n">
        <v>2.7</v>
      </c>
      <c r="G3314" s="37" t="inlineStr">
        <is>
          <t>Y</t>
        </is>
      </c>
      <c r="H3314" s="37" t="inlineStr">
        <is>
          <t>N</t>
        </is>
      </c>
      <c r="I3314" s="37">
        <f>COUNTIF(G$5:G3314,"Y")/COUNTA(G$5:G3314)</f>
        <v/>
      </c>
      <c r="J3314" s="37">
        <f>COUNTIF(H$5:H3314,"Y")/COUNTA(H$5:H3314)</f>
        <v/>
      </c>
      <c r="K3314" s="37">
        <f>AVERAGE(F$5:F3314)</f>
        <v/>
      </c>
      <c r="L3314" s="37">
        <f>SUM(F$5:F3314)/SUM(E$5:E3314)</f>
        <v/>
      </c>
    </row>
    <row r="3315">
      <c r="A3315" s="29" t="n">
        <v>46170</v>
      </c>
      <c r="B3315" s="37" t="inlineStr">
        <is>
          <t>JOB-4311</t>
        </is>
      </c>
      <c r="C3315" s="34" t="n">
        <v>1</v>
      </c>
      <c r="D3315" s="37" t="inlineStr">
        <is>
          <t>Tech A</t>
        </is>
      </c>
      <c r="E3315" s="35" t="n">
        <v>3.8</v>
      </c>
      <c r="F3315" s="35" t="n">
        <v>3.4</v>
      </c>
      <c r="G3315" s="37" t="inlineStr">
        <is>
          <t>Y</t>
        </is>
      </c>
      <c r="H3315" s="37" t="inlineStr">
        <is>
          <t>N</t>
        </is>
      </c>
      <c r="I3315" s="37">
        <f>COUNTIF(G$5:G3315,"Y")/COUNTA(G$5:G3315)</f>
        <v/>
      </c>
      <c r="J3315" s="37">
        <f>COUNTIF(H$5:H3315,"Y")/COUNTA(H$5:H3315)</f>
        <v/>
      </c>
      <c r="K3315" s="37">
        <f>AVERAGE(F$5:F3315)</f>
        <v/>
      </c>
      <c r="L3315" s="37">
        <f>SUM(F$5:F3315)/SUM(E$5:E3315)</f>
        <v/>
      </c>
    </row>
    <row r="3316">
      <c r="A3316" s="29" t="n">
        <v>46171</v>
      </c>
      <c r="B3316" s="37" t="inlineStr">
        <is>
          <t>JOB-4312</t>
        </is>
      </c>
      <c r="C3316" s="34" t="n">
        <v>1</v>
      </c>
      <c r="D3316" s="37" t="inlineStr">
        <is>
          <t>Tech A</t>
        </is>
      </c>
      <c r="E3316" s="35" t="n">
        <v>1.4</v>
      </c>
      <c r="F3316" s="35" t="n">
        <v>1.2</v>
      </c>
      <c r="G3316" s="37" t="inlineStr">
        <is>
          <t>N</t>
        </is>
      </c>
      <c r="H3316" s="37" t="inlineStr">
        <is>
          <t>N</t>
        </is>
      </c>
      <c r="I3316" s="37">
        <f>COUNTIF(G$5:G3316,"Y")/COUNTA(G$5:G3316)</f>
        <v/>
      </c>
      <c r="J3316" s="37">
        <f>COUNTIF(H$5:H3316,"Y")/COUNTA(H$5:H3316)</f>
        <v/>
      </c>
      <c r="K3316" s="37">
        <f>AVERAGE(F$5:F3316)</f>
        <v/>
      </c>
      <c r="L3316" s="37">
        <f>SUM(F$5:F3316)/SUM(E$5:E3316)</f>
        <v/>
      </c>
    </row>
    <row r="3317">
      <c r="A3317" s="29" t="n">
        <v>46167</v>
      </c>
      <c r="B3317" s="37" t="inlineStr">
        <is>
          <t>JOB-4313</t>
        </is>
      </c>
      <c r="C3317" s="34" t="n">
        <v>1</v>
      </c>
      <c r="D3317" s="37" t="inlineStr">
        <is>
          <t>Tech F</t>
        </is>
      </c>
      <c r="E3317" s="35" t="n">
        <v>2.3</v>
      </c>
      <c r="F3317" s="35" t="n">
        <v>1.6</v>
      </c>
      <c r="G3317" s="37" t="inlineStr">
        <is>
          <t>Y</t>
        </is>
      </c>
      <c r="H3317" s="37" t="inlineStr">
        <is>
          <t>N</t>
        </is>
      </c>
      <c r="I3317" s="37">
        <f>COUNTIF(G$5:G3317,"Y")/COUNTA(G$5:G3317)</f>
        <v/>
      </c>
      <c r="J3317" s="37">
        <f>COUNTIF(H$5:H3317,"Y")/COUNTA(H$5:H3317)</f>
        <v/>
      </c>
      <c r="K3317" s="37">
        <f>AVERAGE(F$5:F3317)</f>
        <v/>
      </c>
      <c r="L3317" s="37">
        <f>SUM(F$5:F3317)/SUM(E$5:E3317)</f>
        <v/>
      </c>
    </row>
    <row r="3318">
      <c r="A3318" s="29" t="n">
        <v>46168</v>
      </c>
      <c r="B3318" s="37" t="inlineStr">
        <is>
          <t>JOB-4314</t>
        </is>
      </c>
      <c r="C3318" s="34" t="n">
        <v>1</v>
      </c>
      <c r="D3318" s="37" t="inlineStr">
        <is>
          <t>Tech H</t>
        </is>
      </c>
      <c r="E3318" s="35" t="n">
        <v>1.6</v>
      </c>
      <c r="F3318" s="35" t="n">
        <v>1.3</v>
      </c>
      <c r="G3318" s="37" t="inlineStr">
        <is>
          <t>Y</t>
        </is>
      </c>
      <c r="H3318" s="37" t="inlineStr">
        <is>
          <t>N</t>
        </is>
      </c>
      <c r="I3318" s="37">
        <f>COUNTIF(G$5:G3318,"Y")/COUNTA(G$5:G3318)</f>
        <v/>
      </c>
      <c r="J3318" s="37">
        <f>COUNTIF(H$5:H3318,"Y")/COUNTA(H$5:H3318)</f>
        <v/>
      </c>
      <c r="K3318" s="37">
        <f>AVERAGE(F$5:F3318)</f>
        <v/>
      </c>
      <c r="L3318" s="37">
        <f>SUM(F$5:F3318)/SUM(E$5:E3318)</f>
        <v/>
      </c>
    </row>
    <row r="3319">
      <c r="A3319" s="29" t="n">
        <v>46169</v>
      </c>
      <c r="B3319" s="37" t="inlineStr">
        <is>
          <t>JOB-4315</t>
        </is>
      </c>
      <c r="C3319" s="34" t="n">
        <v>1</v>
      </c>
      <c r="D3319" s="37" t="inlineStr">
        <is>
          <t>Tech C</t>
        </is>
      </c>
      <c r="E3319" s="35" t="n">
        <v>4.9</v>
      </c>
      <c r="F3319" s="35" t="n">
        <v>3.8</v>
      </c>
      <c r="G3319" s="37" t="inlineStr">
        <is>
          <t>Y</t>
        </is>
      </c>
      <c r="H3319" s="37" t="inlineStr">
        <is>
          <t>N</t>
        </is>
      </c>
      <c r="I3319" s="37">
        <f>COUNTIF(G$5:G3319,"Y")/COUNTA(G$5:G3319)</f>
        <v/>
      </c>
      <c r="J3319" s="37">
        <f>COUNTIF(H$5:H3319,"Y")/COUNTA(H$5:H3319)</f>
        <v/>
      </c>
      <c r="K3319" s="37">
        <f>AVERAGE(F$5:F3319)</f>
        <v/>
      </c>
      <c r="L3319" s="37">
        <f>SUM(F$5:F3319)/SUM(E$5:E3319)</f>
        <v/>
      </c>
    </row>
    <row r="3320">
      <c r="A3320" s="29" t="n">
        <v>46170</v>
      </c>
      <c r="B3320" s="37" t="inlineStr">
        <is>
          <t>JOB-4316</t>
        </is>
      </c>
      <c r="C3320" s="34" t="n">
        <v>1</v>
      </c>
      <c r="D3320" s="37" t="inlineStr">
        <is>
          <t>Tech F</t>
        </is>
      </c>
      <c r="E3320" s="35" t="n">
        <v>2.7</v>
      </c>
      <c r="F3320" s="35" t="n">
        <v>2.1</v>
      </c>
      <c r="G3320" s="37" t="inlineStr">
        <is>
          <t>Y</t>
        </is>
      </c>
      <c r="H3320" s="37" t="inlineStr">
        <is>
          <t>N</t>
        </is>
      </c>
      <c r="I3320" s="37">
        <f>COUNTIF(G$5:G3320,"Y")/COUNTA(G$5:G3320)</f>
        <v/>
      </c>
      <c r="J3320" s="37">
        <f>COUNTIF(H$5:H3320,"Y")/COUNTA(H$5:H3320)</f>
        <v/>
      </c>
      <c r="K3320" s="37">
        <f>AVERAGE(F$5:F3320)</f>
        <v/>
      </c>
      <c r="L3320" s="37">
        <f>SUM(F$5:F3320)/SUM(E$5:E3320)</f>
        <v/>
      </c>
    </row>
    <row r="3321">
      <c r="A3321" s="29" t="n">
        <v>46171</v>
      </c>
      <c r="B3321" s="37" t="inlineStr">
        <is>
          <t>JOB-4317</t>
        </is>
      </c>
      <c r="C3321" s="34" t="n">
        <v>1</v>
      </c>
      <c r="D3321" s="37" t="inlineStr">
        <is>
          <t>Tech F</t>
        </is>
      </c>
      <c r="E3321" s="35" t="n">
        <v>3.8</v>
      </c>
      <c r="F3321" s="35" t="n">
        <v>3.1</v>
      </c>
      <c r="G3321" s="37" t="inlineStr">
        <is>
          <t>Y</t>
        </is>
      </c>
      <c r="H3321" s="37" t="inlineStr">
        <is>
          <t>Y</t>
        </is>
      </c>
      <c r="I3321" s="37">
        <f>COUNTIF(G$5:G3321,"Y")/COUNTA(G$5:G3321)</f>
        <v/>
      </c>
      <c r="J3321" s="37">
        <f>COUNTIF(H$5:H3321,"Y")/COUNTA(H$5:H3321)</f>
        <v/>
      </c>
      <c r="K3321" s="37">
        <f>AVERAGE(F$5:F3321)</f>
        <v/>
      </c>
      <c r="L3321" s="37">
        <f>SUM(F$5:F3321)/SUM(E$5:E3321)</f>
        <v/>
      </c>
    </row>
    <row r="3322">
      <c r="A3322" s="29" t="n">
        <v>46167</v>
      </c>
      <c r="B3322" s="37" t="inlineStr">
        <is>
          <t>JOB-4318</t>
        </is>
      </c>
      <c r="C3322" s="34" t="n">
        <v>1</v>
      </c>
      <c r="D3322" s="37" t="inlineStr">
        <is>
          <t>Tech A</t>
        </is>
      </c>
      <c r="E3322" s="35" t="n">
        <v>2.6</v>
      </c>
      <c r="F3322" s="35" t="n">
        <v>2.2</v>
      </c>
      <c r="G3322" s="37" t="inlineStr">
        <is>
          <t>Y</t>
        </is>
      </c>
      <c r="H3322" s="37" t="inlineStr">
        <is>
          <t>N</t>
        </is>
      </c>
      <c r="I3322" s="37">
        <f>COUNTIF(G$5:G3322,"Y")/COUNTA(G$5:G3322)</f>
        <v/>
      </c>
      <c r="J3322" s="37">
        <f>COUNTIF(H$5:H3322,"Y")/COUNTA(H$5:H3322)</f>
        <v/>
      </c>
      <c r="K3322" s="37">
        <f>AVERAGE(F$5:F3322)</f>
        <v/>
      </c>
      <c r="L3322" s="37">
        <f>SUM(F$5:F3322)/SUM(E$5:E3322)</f>
        <v/>
      </c>
    </row>
    <row r="3323">
      <c r="A3323" s="29" t="n">
        <v>46168</v>
      </c>
      <c r="B3323" s="37" t="inlineStr">
        <is>
          <t>JOB-4319</t>
        </is>
      </c>
      <c r="C3323" s="34" t="n">
        <v>1</v>
      </c>
      <c r="D3323" s="37" t="inlineStr">
        <is>
          <t>Tech C</t>
        </is>
      </c>
      <c r="E3323" s="35" t="n">
        <v>3.1</v>
      </c>
      <c r="F3323" s="35" t="n">
        <v>2.3</v>
      </c>
      <c r="G3323" s="37" t="inlineStr">
        <is>
          <t>Y</t>
        </is>
      </c>
      <c r="H3323" s="37" t="inlineStr">
        <is>
          <t>N</t>
        </is>
      </c>
      <c r="I3323" s="37">
        <f>COUNTIF(G$5:G3323,"Y")/COUNTA(G$5:G3323)</f>
        <v/>
      </c>
      <c r="J3323" s="37">
        <f>COUNTIF(H$5:H3323,"Y")/COUNTA(H$5:H3323)</f>
        <v/>
      </c>
      <c r="K3323" s="37">
        <f>AVERAGE(F$5:F3323)</f>
        <v/>
      </c>
      <c r="L3323" s="37">
        <f>SUM(F$5:F3323)/SUM(E$5:E3323)</f>
        <v/>
      </c>
    </row>
    <row r="3324">
      <c r="A3324" s="29" t="n">
        <v>46169</v>
      </c>
      <c r="B3324" s="37" t="inlineStr">
        <is>
          <t>JOB-4320</t>
        </is>
      </c>
      <c r="C3324" s="34" t="n">
        <v>1</v>
      </c>
      <c r="D3324" s="37" t="inlineStr">
        <is>
          <t>Tech G</t>
        </is>
      </c>
      <c r="E3324" s="35" t="n">
        <v>3.4</v>
      </c>
      <c r="F3324" s="35" t="n">
        <v>2.5</v>
      </c>
      <c r="G3324" s="37" t="inlineStr">
        <is>
          <t>Y</t>
        </is>
      </c>
      <c r="H3324" s="37" t="inlineStr">
        <is>
          <t>N</t>
        </is>
      </c>
      <c r="I3324" s="37">
        <f>COUNTIF(G$5:G3324,"Y")/COUNTA(G$5:G3324)</f>
        <v/>
      </c>
      <c r="J3324" s="37">
        <f>COUNTIF(H$5:H3324,"Y")/COUNTA(H$5:H3324)</f>
        <v/>
      </c>
      <c r="K3324" s="37">
        <f>AVERAGE(F$5:F3324)</f>
        <v/>
      </c>
      <c r="L3324" s="37">
        <f>SUM(F$5:F3324)/SUM(E$5:E3324)</f>
        <v/>
      </c>
    </row>
    <row r="3325">
      <c r="A3325" s="29" t="n">
        <v>46170</v>
      </c>
      <c r="B3325" s="37" t="inlineStr">
        <is>
          <t>JOB-4321</t>
        </is>
      </c>
      <c r="C3325" s="34" t="n">
        <v>1</v>
      </c>
      <c r="D3325" s="37" t="inlineStr">
        <is>
          <t>Tech B</t>
        </is>
      </c>
      <c r="E3325" s="35" t="n">
        <v>1.6</v>
      </c>
      <c r="F3325" s="35" t="n">
        <v>1.2</v>
      </c>
      <c r="G3325" s="37" t="inlineStr">
        <is>
          <t>Y</t>
        </is>
      </c>
      <c r="H3325" s="37" t="inlineStr">
        <is>
          <t>N</t>
        </is>
      </c>
      <c r="I3325" s="37">
        <f>COUNTIF(G$5:G3325,"Y")/COUNTA(G$5:G3325)</f>
        <v/>
      </c>
      <c r="J3325" s="37">
        <f>COUNTIF(H$5:H3325,"Y")/COUNTA(H$5:H3325)</f>
        <v/>
      </c>
      <c r="K3325" s="37">
        <f>AVERAGE(F$5:F3325)</f>
        <v/>
      </c>
      <c r="L3325" s="37">
        <f>SUM(F$5:F3325)/SUM(E$5:E3325)</f>
        <v/>
      </c>
    </row>
    <row r="3326">
      <c r="A3326" s="29" t="n">
        <v>46171</v>
      </c>
      <c r="B3326" s="37" t="inlineStr">
        <is>
          <t>JOB-4322</t>
        </is>
      </c>
      <c r="C3326" s="34" t="n">
        <v>1</v>
      </c>
      <c r="D3326" s="37" t="inlineStr">
        <is>
          <t>Tech C</t>
        </is>
      </c>
      <c r="E3326" s="35" t="n">
        <v>1.5</v>
      </c>
      <c r="F3326" s="35" t="n">
        <v>1.2</v>
      </c>
      <c r="G3326" s="37" t="inlineStr">
        <is>
          <t>Y</t>
        </is>
      </c>
      <c r="H3326" s="37" t="inlineStr">
        <is>
          <t>N</t>
        </is>
      </c>
      <c r="I3326" s="37">
        <f>COUNTIF(G$5:G3326,"Y")/COUNTA(G$5:G3326)</f>
        <v/>
      </c>
      <c r="J3326" s="37">
        <f>COUNTIF(H$5:H3326,"Y")/COUNTA(H$5:H3326)</f>
        <v/>
      </c>
      <c r="K3326" s="37">
        <f>AVERAGE(F$5:F3326)</f>
        <v/>
      </c>
      <c r="L3326" s="37">
        <f>SUM(F$5:F3326)/SUM(E$5:E3326)</f>
        <v/>
      </c>
    </row>
    <row r="3327">
      <c r="A3327" s="29" t="n">
        <v>46167</v>
      </c>
      <c r="B3327" s="37" t="inlineStr">
        <is>
          <t>JOB-4323</t>
        </is>
      </c>
      <c r="C3327" s="34" t="n">
        <v>1</v>
      </c>
      <c r="D3327" s="37" t="inlineStr">
        <is>
          <t>Tech B</t>
        </is>
      </c>
      <c r="E3327" s="35" t="n">
        <v>1.7</v>
      </c>
      <c r="F3327" s="35" t="n">
        <v>1.2</v>
      </c>
      <c r="G3327" s="37" t="inlineStr">
        <is>
          <t>Y</t>
        </is>
      </c>
      <c r="H3327" s="37" t="inlineStr">
        <is>
          <t>N</t>
        </is>
      </c>
      <c r="I3327" s="37">
        <f>COUNTIF(G$5:G3327,"Y")/COUNTA(G$5:G3327)</f>
        <v/>
      </c>
      <c r="J3327" s="37">
        <f>COUNTIF(H$5:H3327,"Y")/COUNTA(H$5:H3327)</f>
        <v/>
      </c>
      <c r="K3327" s="37">
        <f>AVERAGE(F$5:F3327)</f>
        <v/>
      </c>
      <c r="L3327" s="37">
        <f>SUM(F$5:F3327)/SUM(E$5:E3327)</f>
        <v/>
      </c>
    </row>
    <row r="3328">
      <c r="A3328" s="29" t="n">
        <v>46168</v>
      </c>
      <c r="B3328" s="37" t="inlineStr">
        <is>
          <t>JOB-4324</t>
        </is>
      </c>
      <c r="C3328" s="34" t="n">
        <v>1</v>
      </c>
      <c r="D3328" s="37" t="inlineStr">
        <is>
          <t>Tech G</t>
        </is>
      </c>
      <c r="E3328" s="35" t="n">
        <v>4.6</v>
      </c>
      <c r="F3328" s="35" t="n">
        <v>3.6</v>
      </c>
      <c r="G3328" s="37" t="inlineStr">
        <is>
          <t>Y</t>
        </is>
      </c>
      <c r="H3328" s="37" t="inlineStr">
        <is>
          <t>N</t>
        </is>
      </c>
      <c r="I3328" s="37">
        <f>COUNTIF(G$5:G3328,"Y")/COUNTA(G$5:G3328)</f>
        <v/>
      </c>
      <c r="J3328" s="37">
        <f>COUNTIF(H$5:H3328,"Y")/COUNTA(H$5:H3328)</f>
        <v/>
      </c>
      <c r="K3328" s="37">
        <f>AVERAGE(F$5:F3328)</f>
        <v/>
      </c>
      <c r="L3328" s="37">
        <f>SUM(F$5:F3328)/SUM(E$5:E3328)</f>
        <v/>
      </c>
    </row>
    <row r="3329">
      <c r="A3329" s="29" t="n">
        <v>46169</v>
      </c>
      <c r="B3329" s="37" t="inlineStr">
        <is>
          <t>JOB-4325</t>
        </is>
      </c>
      <c r="C3329" s="34" t="n">
        <v>1</v>
      </c>
      <c r="D3329" s="37" t="inlineStr">
        <is>
          <t>Tech D</t>
        </is>
      </c>
      <c r="E3329" s="35" t="n">
        <v>3</v>
      </c>
      <c r="F3329" s="35" t="n">
        <v>2.6</v>
      </c>
      <c r="G3329" s="37" t="inlineStr">
        <is>
          <t>Y</t>
        </is>
      </c>
      <c r="H3329" s="37" t="inlineStr">
        <is>
          <t>N</t>
        </is>
      </c>
      <c r="I3329" s="37">
        <f>COUNTIF(G$5:G3329,"Y")/COUNTA(G$5:G3329)</f>
        <v/>
      </c>
      <c r="J3329" s="37">
        <f>COUNTIF(H$5:H3329,"Y")/COUNTA(H$5:H3329)</f>
        <v/>
      </c>
      <c r="K3329" s="37">
        <f>AVERAGE(F$5:F3329)</f>
        <v/>
      </c>
      <c r="L3329" s="37">
        <f>SUM(F$5:F3329)/SUM(E$5:E3329)</f>
        <v/>
      </c>
    </row>
    <row r="3330">
      <c r="A3330" s="29" t="n">
        <v>46170</v>
      </c>
      <c r="B3330" s="37" t="inlineStr">
        <is>
          <t>JOB-4326</t>
        </is>
      </c>
      <c r="C3330" s="34" t="n">
        <v>1</v>
      </c>
      <c r="D3330" s="37" t="inlineStr">
        <is>
          <t>Tech G</t>
        </is>
      </c>
      <c r="E3330" s="35" t="n">
        <v>4.2</v>
      </c>
      <c r="F3330" s="35" t="n">
        <v>3.1</v>
      </c>
      <c r="G3330" s="37" t="inlineStr">
        <is>
          <t>Y</t>
        </is>
      </c>
      <c r="H3330" s="37" t="inlineStr">
        <is>
          <t>N</t>
        </is>
      </c>
      <c r="I3330" s="37">
        <f>COUNTIF(G$5:G3330,"Y")/COUNTA(G$5:G3330)</f>
        <v/>
      </c>
      <c r="J3330" s="37">
        <f>COUNTIF(H$5:H3330,"Y")/COUNTA(H$5:H3330)</f>
        <v/>
      </c>
      <c r="K3330" s="37">
        <f>AVERAGE(F$5:F3330)</f>
        <v/>
      </c>
      <c r="L3330" s="37">
        <f>SUM(F$5:F3330)/SUM(E$5:E3330)</f>
        <v/>
      </c>
    </row>
    <row r="3331">
      <c r="A3331" s="29" t="n">
        <v>46171</v>
      </c>
      <c r="B3331" s="37" t="inlineStr">
        <is>
          <t>JOB-4327</t>
        </is>
      </c>
      <c r="C3331" s="34" t="n">
        <v>1</v>
      </c>
      <c r="D3331" s="37" t="inlineStr">
        <is>
          <t>Tech B</t>
        </is>
      </c>
      <c r="E3331" s="35" t="n">
        <v>3.2</v>
      </c>
      <c r="F3331" s="35" t="n">
        <v>2.1</v>
      </c>
      <c r="G3331" s="37" t="inlineStr">
        <is>
          <t>Y</t>
        </is>
      </c>
      <c r="H3331" s="37" t="inlineStr">
        <is>
          <t>N</t>
        </is>
      </c>
      <c r="I3331" s="37">
        <f>COUNTIF(G$5:G3331,"Y")/COUNTA(G$5:G3331)</f>
        <v/>
      </c>
      <c r="J3331" s="37">
        <f>COUNTIF(H$5:H3331,"Y")/COUNTA(H$5:H3331)</f>
        <v/>
      </c>
      <c r="K3331" s="37">
        <f>AVERAGE(F$5:F3331)</f>
        <v/>
      </c>
      <c r="L3331" s="37">
        <f>SUM(F$5:F3331)/SUM(E$5:E3331)</f>
        <v/>
      </c>
    </row>
    <row r="3332">
      <c r="A3332" s="29" t="n">
        <v>46167</v>
      </c>
      <c r="B3332" s="37" t="inlineStr">
        <is>
          <t>JOB-4328</t>
        </is>
      </c>
      <c r="C3332" s="34" t="n">
        <v>1</v>
      </c>
      <c r="D3332" s="37" t="inlineStr">
        <is>
          <t>Tech B</t>
        </is>
      </c>
      <c r="E3332" s="35" t="n">
        <v>2.8</v>
      </c>
      <c r="F3332" s="35" t="n">
        <v>2.5</v>
      </c>
      <c r="G3332" s="37" t="inlineStr">
        <is>
          <t>N</t>
        </is>
      </c>
      <c r="H3332" s="37" t="inlineStr">
        <is>
          <t>N</t>
        </is>
      </c>
      <c r="I3332" s="37">
        <f>COUNTIF(G$5:G3332,"Y")/COUNTA(G$5:G3332)</f>
        <v/>
      </c>
      <c r="J3332" s="37">
        <f>COUNTIF(H$5:H3332,"Y")/COUNTA(H$5:H3332)</f>
        <v/>
      </c>
      <c r="K3332" s="37">
        <f>AVERAGE(F$5:F3332)</f>
        <v/>
      </c>
      <c r="L3332" s="37">
        <f>SUM(F$5:F3332)/SUM(E$5:E3332)</f>
        <v/>
      </c>
    </row>
    <row r="3333">
      <c r="A3333" s="29" t="n">
        <v>46168</v>
      </c>
      <c r="B3333" s="37" t="inlineStr">
        <is>
          <t>JOB-4329</t>
        </is>
      </c>
      <c r="C3333" s="34" t="n">
        <v>1</v>
      </c>
      <c r="D3333" s="37" t="inlineStr">
        <is>
          <t>Tech H</t>
        </is>
      </c>
      <c r="E3333" s="35" t="n">
        <v>1.6</v>
      </c>
      <c r="F3333" s="35" t="n">
        <v>1.2</v>
      </c>
      <c r="G3333" s="37" t="inlineStr">
        <is>
          <t>N</t>
        </is>
      </c>
      <c r="H3333" s="37" t="inlineStr">
        <is>
          <t>N</t>
        </is>
      </c>
      <c r="I3333" s="37">
        <f>COUNTIF(G$5:G3333,"Y")/COUNTA(G$5:G3333)</f>
        <v/>
      </c>
      <c r="J3333" s="37">
        <f>COUNTIF(H$5:H3333,"Y")/COUNTA(H$5:H3333)</f>
        <v/>
      </c>
      <c r="K3333" s="37">
        <f>AVERAGE(F$5:F3333)</f>
        <v/>
      </c>
      <c r="L3333" s="37">
        <f>SUM(F$5:F3333)/SUM(E$5:E3333)</f>
        <v/>
      </c>
    </row>
    <row r="3334">
      <c r="A3334" s="29" t="n">
        <v>46169</v>
      </c>
      <c r="B3334" s="37" t="inlineStr">
        <is>
          <t>JOB-4330</t>
        </is>
      </c>
      <c r="C3334" s="34" t="n">
        <v>1</v>
      </c>
      <c r="D3334" s="37" t="inlineStr">
        <is>
          <t>Tech D</t>
        </is>
      </c>
      <c r="E3334" s="35" t="n">
        <v>4.8</v>
      </c>
      <c r="F3334" s="35" t="n">
        <v>3.7</v>
      </c>
      <c r="G3334" s="37" t="inlineStr">
        <is>
          <t>Y</t>
        </is>
      </c>
      <c r="H3334" s="37" t="inlineStr">
        <is>
          <t>N</t>
        </is>
      </c>
      <c r="I3334" s="37">
        <f>COUNTIF(G$5:G3334,"Y")/COUNTA(G$5:G3334)</f>
        <v/>
      </c>
      <c r="J3334" s="37">
        <f>COUNTIF(H$5:H3334,"Y")/COUNTA(H$5:H3334)</f>
        <v/>
      </c>
      <c r="K3334" s="37">
        <f>AVERAGE(F$5:F3334)</f>
        <v/>
      </c>
      <c r="L3334" s="37">
        <f>SUM(F$5:F3334)/SUM(E$5:E3334)</f>
        <v/>
      </c>
    </row>
    <row r="3335">
      <c r="A3335" s="29" t="n">
        <v>46170</v>
      </c>
      <c r="B3335" s="37" t="inlineStr">
        <is>
          <t>JOB-4331</t>
        </is>
      </c>
      <c r="C3335" s="34" t="n">
        <v>1</v>
      </c>
      <c r="D3335" s="37" t="inlineStr">
        <is>
          <t>Tech D</t>
        </is>
      </c>
      <c r="E3335" s="35" t="n">
        <v>3.1</v>
      </c>
      <c r="F3335" s="35" t="n">
        <v>2.7</v>
      </c>
      <c r="G3335" s="37" t="inlineStr">
        <is>
          <t>Y</t>
        </is>
      </c>
      <c r="H3335" s="37" t="inlineStr">
        <is>
          <t>N</t>
        </is>
      </c>
      <c r="I3335" s="37">
        <f>COUNTIF(G$5:G3335,"Y")/COUNTA(G$5:G3335)</f>
        <v/>
      </c>
      <c r="J3335" s="37">
        <f>COUNTIF(H$5:H3335,"Y")/COUNTA(H$5:H3335)</f>
        <v/>
      </c>
      <c r="K3335" s="37">
        <f>AVERAGE(F$5:F3335)</f>
        <v/>
      </c>
      <c r="L3335" s="37">
        <f>SUM(F$5:F3335)/SUM(E$5:E3335)</f>
        <v/>
      </c>
    </row>
    <row r="3336">
      <c r="A3336" s="29" t="n">
        <v>46171</v>
      </c>
      <c r="B3336" s="37" t="inlineStr">
        <is>
          <t>JOB-4332</t>
        </is>
      </c>
      <c r="C3336" s="34" t="n">
        <v>1</v>
      </c>
      <c r="D3336" s="37" t="inlineStr">
        <is>
          <t>Tech D</t>
        </is>
      </c>
      <c r="E3336" s="35" t="n">
        <v>4.5</v>
      </c>
      <c r="F3336" s="35" t="n">
        <v>3.2</v>
      </c>
      <c r="G3336" s="37" t="inlineStr">
        <is>
          <t>N</t>
        </is>
      </c>
      <c r="H3336" s="37" t="inlineStr">
        <is>
          <t>N</t>
        </is>
      </c>
      <c r="I3336" s="37">
        <f>COUNTIF(G$5:G3336,"Y")/COUNTA(G$5:G3336)</f>
        <v/>
      </c>
      <c r="J3336" s="37">
        <f>COUNTIF(H$5:H3336,"Y")/COUNTA(H$5:H3336)</f>
        <v/>
      </c>
      <c r="K3336" s="37">
        <f>AVERAGE(F$5:F3336)</f>
        <v/>
      </c>
      <c r="L3336" s="37">
        <f>SUM(F$5:F3336)/SUM(E$5:E3336)</f>
        <v/>
      </c>
    </row>
    <row r="3337">
      <c r="A3337" s="29" t="n">
        <v>46167</v>
      </c>
      <c r="B3337" s="37" t="inlineStr">
        <is>
          <t>JOB-4333</t>
        </is>
      </c>
      <c r="C3337" s="34" t="n">
        <v>1</v>
      </c>
      <c r="D3337" s="37" t="inlineStr">
        <is>
          <t>Tech B</t>
        </is>
      </c>
      <c r="E3337" s="35" t="n">
        <v>4.8</v>
      </c>
      <c r="F3337" s="35" t="n">
        <v>3.7</v>
      </c>
      <c r="G3337" s="37" t="inlineStr">
        <is>
          <t>Y</t>
        </is>
      </c>
      <c r="H3337" s="37" t="inlineStr">
        <is>
          <t>N</t>
        </is>
      </c>
      <c r="I3337" s="37">
        <f>COUNTIF(G$5:G3337,"Y")/COUNTA(G$5:G3337)</f>
        <v/>
      </c>
      <c r="J3337" s="37">
        <f>COUNTIF(H$5:H3337,"Y")/COUNTA(H$5:H3337)</f>
        <v/>
      </c>
      <c r="K3337" s="37">
        <f>AVERAGE(F$5:F3337)</f>
        <v/>
      </c>
      <c r="L3337" s="37">
        <f>SUM(F$5:F3337)/SUM(E$5:E3337)</f>
        <v/>
      </c>
    </row>
    <row r="3338">
      <c r="A3338" s="29" t="n">
        <v>46168</v>
      </c>
      <c r="B3338" s="37" t="inlineStr">
        <is>
          <t>JOB-4334</t>
        </is>
      </c>
      <c r="C3338" s="34" t="n">
        <v>1</v>
      </c>
      <c r="D3338" s="37" t="inlineStr">
        <is>
          <t>Tech A</t>
        </is>
      </c>
      <c r="E3338" s="35" t="n">
        <v>3.9</v>
      </c>
      <c r="F3338" s="35" t="n">
        <v>3.2</v>
      </c>
      <c r="G3338" s="37" t="inlineStr">
        <is>
          <t>Y</t>
        </is>
      </c>
      <c r="H3338" s="37" t="inlineStr">
        <is>
          <t>N</t>
        </is>
      </c>
      <c r="I3338" s="37">
        <f>COUNTIF(G$5:G3338,"Y")/COUNTA(G$5:G3338)</f>
        <v/>
      </c>
      <c r="J3338" s="37">
        <f>COUNTIF(H$5:H3338,"Y")/COUNTA(H$5:H3338)</f>
        <v/>
      </c>
      <c r="K3338" s="37">
        <f>AVERAGE(F$5:F3338)</f>
        <v/>
      </c>
      <c r="L3338" s="37">
        <f>SUM(F$5:F3338)/SUM(E$5:E3338)</f>
        <v/>
      </c>
    </row>
    <row r="3339">
      <c r="A3339" s="29" t="n">
        <v>46169</v>
      </c>
      <c r="B3339" s="37" t="inlineStr">
        <is>
          <t>JOB-4335</t>
        </is>
      </c>
      <c r="C3339" s="34" t="n">
        <v>1</v>
      </c>
      <c r="D3339" s="37" t="inlineStr">
        <is>
          <t>Tech B</t>
        </is>
      </c>
      <c r="E3339" s="35" t="n">
        <v>4.4</v>
      </c>
      <c r="F3339" s="35" t="n">
        <v>3.9</v>
      </c>
      <c r="G3339" s="37" t="inlineStr">
        <is>
          <t>Y</t>
        </is>
      </c>
      <c r="H3339" s="37" t="inlineStr">
        <is>
          <t>N</t>
        </is>
      </c>
      <c r="I3339" s="37">
        <f>COUNTIF(G$5:G3339,"Y")/COUNTA(G$5:G3339)</f>
        <v/>
      </c>
      <c r="J3339" s="37">
        <f>COUNTIF(H$5:H3339,"Y")/COUNTA(H$5:H3339)</f>
        <v/>
      </c>
      <c r="K3339" s="37">
        <f>AVERAGE(F$5:F3339)</f>
        <v/>
      </c>
      <c r="L3339" s="37">
        <f>SUM(F$5:F3339)/SUM(E$5:E3339)</f>
        <v/>
      </c>
    </row>
    <row r="3340">
      <c r="A3340" s="29" t="n">
        <v>46170</v>
      </c>
      <c r="B3340" s="37" t="inlineStr">
        <is>
          <t>JOB-4336</t>
        </is>
      </c>
      <c r="C3340" s="34" t="n">
        <v>1</v>
      </c>
      <c r="D3340" s="37" t="inlineStr">
        <is>
          <t>Tech D</t>
        </is>
      </c>
      <c r="E3340" s="35" t="n">
        <v>2.9</v>
      </c>
      <c r="F3340" s="35" t="n">
        <v>2</v>
      </c>
      <c r="G3340" s="37" t="inlineStr">
        <is>
          <t>Y</t>
        </is>
      </c>
      <c r="H3340" s="37" t="inlineStr">
        <is>
          <t>N</t>
        </is>
      </c>
      <c r="I3340" s="37">
        <f>COUNTIF(G$5:G3340,"Y")/COUNTA(G$5:G3340)</f>
        <v/>
      </c>
      <c r="J3340" s="37">
        <f>COUNTIF(H$5:H3340,"Y")/COUNTA(H$5:H3340)</f>
        <v/>
      </c>
      <c r="K3340" s="37">
        <f>AVERAGE(F$5:F3340)</f>
        <v/>
      </c>
      <c r="L3340" s="37">
        <f>SUM(F$5:F3340)/SUM(E$5:E3340)</f>
        <v/>
      </c>
    </row>
    <row r="3341">
      <c r="A3341" s="29" t="n">
        <v>46171</v>
      </c>
      <c r="B3341" s="37" t="inlineStr">
        <is>
          <t>JOB-4337</t>
        </is>
      </c>
      <c r="C3341" s="34" t="n">
        <v>1</v>
      </c>
      <c r="D3341" s="37" t="inlineStr">
        <is>
          <t>Tech F</t>
        </is>
      </c>
      <c r="E3341" s="35" t="n">
        <v>4.2</v>
      </c>
      <c r="F3341" s="35" t="n">
        <v>3.5</v>
      </c>
      <c r="G3341" s="37" t="inlineStr">
        <is>
          <t>Y</t>
        </is>
      </c>
      <c r="H3341" s="37" t="inlineStr">
        <is>
          <t>N</t>
        </is>
      </c>
      <c r="I3341" s="37">
        <f>COUNTIF(G$5:G3341,"Y")/COUNTA(G$5:G3341)</f>
        <v/>
      </c>
      <c r="J3341" s="37">
        <f>COUNTIF(H$5:H3341,"Y")/COUNTA(H$5:H3341)</f>
        <v/>
      </c>
      <c r="K3341" s="37">
        <f>AVERAGE(F$5:F3341)</f>
        <v/>
      </c>
      <c r="L3341" s="37">
        <f>SUM(F$5:F3341)/SUM(E$5:E3341)</f>
        <v/>
      </c>
    </row>
    <row r="3342">
      <c r="A3342" s="29" t="n">
        <v>46167</v>
      </c>
      <c r="B3342" s="37" t="inlineStr">
        <is>
          <t>JOB-4338</t>
        </is>
      </c>
      <c r="C3342" s="34" t="n">
        <v>1</v>
      </c>
      <c r="D3342" s="37" t="inlineStr">
        <is>
          <t>Tech H</t>
        </is>
      </c>
      <c r="E3342" s="35" t="n">
        <v>2.4</v>
      </c>
      <c r="F3342" s="35" t="n">
        <v>2.1</v>
      </c>
      <c r="G3342" s="37" t="inlineStr">
        <is>
          <t>Y</t>
        </is>
      </c>
      <c r="H3342" s="37" t="inlineStr">
        <is>
          <t>N</t>
        </is>
      </c>
      <c r="I3342" s="37">
        <f>COUNTIF(G$5:G3342,"Y")/COUNTA(G$5:G3342)</f>
        <v/>
      </c>
      <c r="J3342" s="37">
        <f>COUNTIF(H$5:H3342,"Y")/COUNTA(H$5:H3342)</f>
        <v/>
      </c>
      <c r="K3342" s="37">
        <f>AVERAGE(F$5:F3342)</f>
        <v/>
      </c>
      <c r="L3342" s="37">
        <f>SUM(F$5:F3342)/SUM(E$5:E3342)</f>
        <v/>
      </c>
    </row>
    <row r="3343">
      <c r="A3343" s="29" t="n">
        <v>46168</v>
      </c>
      <c r="B3343" s="37" t="inlineStr">
        <is>
          <t>JOB-4339</t>
        </is>
      </c>
      <c r="C3343" s="34" t="n">
        <v>1</v>
      </c>
      <c r="D3343" s="37" t="inlineStr">
        <is>
          <t>Tech H</t>
        </is>
      </c>
      <c r="E3343" s="35" t="n">
        <v>0.7</v>
      </c>
      <c r="F3343" s="35" t="n">
        <v>0.5</v>
      </c>
      <c r="G3343" s="37" t="inlineStr">
        <is>
          <t>Y</t>
        </is>
      </c>
      <c r="H3343" s="37" t="inlineStr">
        <is>
          <t>N</t>
        </is>
      </c>
      <c r="I3343" s="37">
        <f>COUNTIF(G$5:G3343,"Y")/COUNTA(G$5:G3343)</f>
        <v/>
      </c>
      <c r="J3343" s="37">
        <f>COUNTIF(H$5:H3343,"Y")/COUNTA(H$5:H3343)</f>
        <v/>
      </c>
      <c r="K3343" s="37">
        <f>AVERAGE(F$5:F3343)</f>
        <v/>
      </c>
      <c r="L3343" s="37">
        <f>SUM(F$5:F3343)/SUM(E$5:E3343)</f>
        <v/>
      </c>
    </row>
    <row r="3344">
      <c r="A3344" s="29" t="n">
        <v>46169</v>
      </c>
      <c r="B3344" s="37" t="inlineStr">
        <is>
          <t>JOB-4340</t>
        </is>
      </c>
      <c r="C3344" s="34" t="n">
        <v>1</v>
      </c>
      <c r="D3344" s="37" t="inlineStr">
        <is>
          <t>Tech F</t>
        </is>
      </c>
      <c r="E3344" s="35" t="n">
        <v>0.7</v>
      </c>
      <c r="F3344" s="35" t="n">
        <v>0.5</v>
      </c>
      <c r="G3344" s="37" t="inlineStr">
        <is>
          <t>Y</t>
        </is>
      </c>
      <c r="H3344" s="37" t="inlineStr">
        <is>
          <t>Y</t>
        </is>
      </c>
      <c r="I3344" s="37">
        <f>COUNTIF(G$5:G3344,"Y")/COUNTA(G$5:G3344)</f>
        <v/>
      </c>
      <c r="J3344" s="37">
        <f>COUNTIF(H$5:H3344,"Y")/COUNTA(H$5:H3344)</f>
        <v/>
      </c>
      <c r="K3344" s="37">
        <f>AVERAGE(F$5:F3344)</f>
        <v/>
      </c>
      <c r="L3344" s="37">
        <f>SUM(F$5:F3344)/SUM(E$5:E3344)</f>
        <v/>
      </c>
    </row>
    <row r="3345">
      <c r="A3345" s="29" t="n">
        <v>46170</v>
      </c>
      <c r="B3345" s="37" t="inlineStr">
        <is>
          <t>JOB-4341</t>
        </is>
      </c>
      <c r="C3345" s="34" t="n">
        <v>1</v>
      </c>
      <c r="D3345" s="37" t="inlineStr">
        <is>
          <t>Tech G</t>
        </is>
      </c>
      <c r="E3345" s="35" t="n">
        <v>0.7</v>
      </c>
      <c r="F3345" s="35" t="n">
        <v>0.5</v>
      </c>
      <c r="G3345" s="37" t="inlineStr">
        <is>
          <t>Y</t>
        </is>
      </c>
      <c r="H3345" s="37" t="inlineStr">
        <is>
          <t>N</t>
        </is>
      </c>
      <c r="I3345" s="37">
        <f>COUNTIF(G$5:G3345,"Y")/COUNTA(G$5:G3345)</f>
        <v/>
      </c>
      <c r="J3345" s="37">
        <f>COUNTIF(H$5:H3345,"Y")/COUNTA(H$5:H3345)</f>
        <v/>
      </c>
      <c r="K3345" s="37">
        <f>AVERAGE(F$5:F3345)</f>
        <v/>
      </c>
      <c r="L3345" s="37">
        <f>SUM(F$5:F3345)/SUM(E$5:E3345)</f>
        <v/>
      </c>
    </row>
    <row r="3346">
      <c r="A3346" s="29" t="n">
        <v>46171</v>
      </c>
      <c r="B3346" s="37" t="inlineStr">
        <is>
          <t>JOB-4342</t>
        </is>
      </c>
      <c r="C3346" s="34" t="n">
        <v>1</v>
      </c>
      <c r="D3346" s="37" t="inlineStr">
        <is>
          <t>Tech G</t>
        </is>
      </c>
      <c r="E3346" s="35" t="n">
        <v>0.7</v>
      </c>
      <c r="F3346" s="35" t="n">
        <v>0.5</v>
      </c>
      <c r="G3346" s="37" t="inlineStr">
        <is>
          <t>Y</t>
        </is>
      </c>
      <c r="H3346" s="37" t="inlineStr">
        <is>
          <t>N</t>
        </is>
      </c>
      <c r="I3346" s="37">
        <f>COUNTIF(G$5:G3346,"Y")/COUNTA(G$5:G3346)</f>
        <v/>
      </c>
      <c r="J3346" s="37">
        <f>COUNTIF(H$5:H3346,"Y")/COUNTA(H$5:H3346)</f>
        <v/>
      </c>
      <c r="K3346" s="37">
        <f>AVERAGE(F$5:F3346)</f>
        <v/>
      </c>
      <c r="L3346" s="37">
        <f>SUM(F$5:F3346)/SUM(E$5:E3346)</f>
        <v/>
      </c>
    </row>
    <row r="3347">
      <c r="A3347" s="29" t="n">
        <v>46167</v>
      </c>
      <c r="B3347" s="37" t="inlineStr">
        <is>
          <t>JOB-4343</t>
        </is>
      </c>
      <c r="C3347" s="34" t="n">
        <v>1</v>
      </c>
      <c r="D3347" s="37" t="inlineStr">
        <is>
          <t>Tech A</t>
        </is>
      </c>
      <c r="E3347" s="35" t="n">
        <v>0.7</v>
      </c>
      <c r="F3347" s="35" t="n">
        <v>0.5</v>
      </c>
      <c r="G3347" s="37" t="inlineStr">
        <is>
          <t>Y</t>
        </is>
      </c>
      <c r="H3347" s="37" t="inlineStr">
        <is>
          <t>N</t>
        </is>
      </c>
      <c r="I3347" s="37">
        <f>COUNTIF(G$5:G3347,"Y")/COUNTA(G$5:G3347)</f>
        <v/>
      </c>
      <c r="J3347" s="37">
        <f>COUNTIF(H$5:H3347,"Y")/COUNTA(H$5:H3347)</f>
        <v/>
      </c>
      <c r="K3347" s="37">
        <f>AVERAGE(F$5:F3347)</f>
        <v/>
      </c>
      <c r="L3347" s="37">
        <f>SUM(F$5:F3347)/SUM(E$5:E3347)</f>
        <v/>
      </c>
    </row>
    <row r="3348">
      <c r="A3348" s="29" t="n">
        <v>46168</v>
      </c>
      <c r="B3348" s="37" t="inlineStr">
        <is>
          <t>JOB-4344</t>
        </is>
      </c>
      <c r="C3348" s="34" t="n">
        <v>1</v>
      </c>
      <c r="D3348" s="37" t="inlineStr">
        <is>
          <t>Tech B</t>
        </is>
      </c>
      <c r="E3348" s="35" t="n">
        <v>4.6</v>
      </c>
      <c r="F3348" s="35" t="n">
        <v>0.5</v>
      </c>
      <c r="G3348" s="37" t="inlineStr">
        <is>
          <t>Y</t>
        </is>
      </c>
      <c r="H3348" s="37" t="inlineStr">
        <is>
          <t>N</t>
        </is>
      </c>
      <c r="I3348" s="37">
        <f>COUNTIF(G$5:G3348,"Y")/COUNTA(G$5:G3348)</f>
        <v/>
      </c>
      <c r="J3348" s="37">
        <f>COUNTIF(H$5:H3348,"Y")/COUNTA(H$5:H3348)</f>
        <v/>
      </c>
      <c r="K3348" s="37">
        <f>AVERAGE(F$5:F3348)</f>
        <v/>
      </c>
      <c r="L3348" s="37">
        <f>SUM(F$5:F3348)/SUM(E$5:E3348)</f>
        <v/>
      </c>
      <c r="M3348" s="37" t="n">
        <v>9</v>
      </c>
    </row>
    <row r="3349">
      <c r="A3349" s="29" t="n">
        <v>46174</v>
      </c>
      <c r="B3349" s="37" t="inlineStr">
        <is>
          <t>JOB-4345</t>
        </is>
      </c>
      <c r="C3349" s="34" t="n">
        <v>1</v>
      </c>
      <c r="D3349" s="37" t="inlineStr">
        <is>
          <t>Tech A</t>
        </is>
      </c>
      <c r="E3349" s="35" t="n">
        <v>4.7</v>
      </c>
      <c r="F3349" s="35" t="n">
        <v>3.1</v>
      </c>
      <c r="G3349" s="37" t="inlineStr">
        <is>
          <t>Y</t>
        </is>
      </c>
      <c r="H3349" s="37" t="inlineStr">
        <is>
          <t>N</t>
        </is>
      </c>
      <c r="I3349" s="37">
        <f>COUNTIF(G$5:G3349,"Y")/COUNTA(G$5:G3349)</f>
        <v/>
      </c>
      <c r="J3349" s="37">
        <f>COUNTIF(H$5:H3349,"Y")/COUNTA(H$5:H3349)</f>
        <v/>
      </c>
      <c r="K3349" s="37">
        <f>AVERAGE(F$5:F3349)</f>
        <v/>
      </c>
      <c r="L3349" s="37">
        <f>SUM(F$5:F3349)/SUM(E$5:E3349)</f>
        <v/>
      </c>
    </row>
    <row r="3350">
      <c r="A3350" s="29" t="n">
        <v>46175</v>
      </c>
      <c r="B3350" s="37" t="inlineStr">
        <is>
          <t>JOB-4346</t>
        </is>
      </c>
      <c r="C3350" s="34" t="n">
        <v>1</v>
      </c>
      <c r="D3350" s="37" t="inlineStr">
        <is>
          <t>Tech B</t>
        </is>
      </c>
      <c r="E3350" s="35" t="n">
        <v>2.3</v>
      </c>
      <c r="F3350" s="35" t="n">
        <v>1.6</v>
      </c>
      <c r="G3350" s="37" t="inlineStr">
        <is>
          <t>Y</t>
        </is>
      </c>
      <c r="H3350" s="37" t="inlineStr">
        <is>
          <t>N</t>
        </is>
      </c>
      <c r="I3350" s="37">
        <f>COUNTIF(G$5:G3350,"Y")/COUNTA(G$5:G3350)</f>
        <v/>
      </c>
      <c r="J3350" s="37">
        <f>COUNTIF(H$5:H3350,"Y")/COUNTA(H$5:H3350)</f>
        <v/>
      </c>
      <c r="K3350" s="37">
        <f>AVERAGE(F$5:F3350)</f>
        <v/>
      </c>
      <c r="L3350" s="37">
        <f>SUM(F$5:F3350)/SUM(E$5:E3350)</f>
        <v/>
      </c>
    </row>
    <row r="3351">
      <c r="A3351" s="29" t="n">
        <v>46176</v>
      </c>
      <c r="B3351" s="37" t="inlineStr">
        <is>
          <t>JOB-4347</t>
        </is>
      </c>
      <c r="C3351" s="34" t="n">
        <v>1</v>
      </c>
      <c r="D3351" s="37" t="inlineStr">
        <is>
          <t>Tech B</t>
        </is>
      </c>
      <c r="E3351" s="35" t="n">
        <v>4.1</v>
      </c>
      <c r="F3351" s="35" t="n">
        <v>2.6</v>
      </c>
      <c r="G3351" s="37" t="inlineStr">
        <is>
          <t>Y</t>
        </is>
      </c>
      <c r="H3351" s="37" t="inlineStr">
        <is>
          <t>Y</t>
        </is>
      </c>
      <c r="I3351" s="37">
        <f>COUNTIF(G$5:G3351,"Y")/COUNTA(G$5:G3351)</f>
        <v/>
      </c>
      <c r="J3351" s="37">
        <f>COUNTIF(H$5:H3351,"Y")/COUNTA(H$5:H3351)</f>
        <v/>
      </c>
      <c r="K3351" s="37">
        <f>AVERAGE(F$5:F3351)</f>
        <v/>
      </c>
      <c r="L3351" s="37">
        <f>SUM(F$5:F3351)/SUM(E$5:E3351)</f>
        <v/>
      </c>
    </row>
    <row r="3352">
      <c r="A3352" s="29" t="n">
        <v>46177</v>
      </c>
      <c r="B3352" s="37" t="inlineStr">
        <is>
          <t>JOB-4348</t>
        </is>
      </c>
      <c r="C3352" s="34" t="n">
        <v>1</v>
      </c>
      <c r="D3352" s="37" t="inlineStr">
        <is>
          <t>Tech A</t>
        </is>
      </c>
      <c r="E3352" s="35" t="n">
        <v>1.7</v>
      </c>
      <c r="F3352" s="35" t="n">
        <v>1.4</v>
      </c>
      <c r="G3352" s="37" t="inlineStr">
        <is>
          <t>Y</t>
        </is>
      </c>
      <c r="H3352" s="37" t="inlineStr">
        <is>
          <t>N</t>
        </is>
      </c>
      <c r="I3352" s="37">
        <f>COUNTIF(G$5:G3352,"Y")/COUNTA(G$5:G3352)</f>
        <v/>
      </c>
      <c r="J3352" s="37">
        <f>COUNTIF(H$5:H3352,"Y")/COUNTA(H$5:H3352)</f>
        <v/>
      </c>
      <c r="K3352" s="37">
        <f>AVERAGE(F$5:F3352)</f>
        <v/>
      </c>
      <c r="L3352" s="37">
        <f>SUM(F$5:F3352)/SUM(E$5:E3352)</f>
        <v/>
      </c>
    </row>
    <row r="3353">
      <c r="A3353" s="29" t="n">
        <v>46178</v>
      </c>
      <c r="B3353" s="37" t="inlineStr">
        <is>
          <t>JOB-4349</t>
        </is>
      </c>
      <c r="C3353" s="34" t="n">
        <v>1</v>
      </c>
      <c r="D3353" s="37" t="inlineStr">
        <is>
          <t>Tech C</t>
        </is>
      </c>
      <c r="E3353" s="35" t="n">
        <v>4</v>
      </c>
      <c r="F3353" s="35" t="n">
        <v>3</v>
      </c>
      <c r="G3353" s="37" t="inlineStr">
        <is>
          <t>Y</t>
        </is>
      </c>
      <c r="H3353" s="37" t="inlineStr">
        <is>
          <t>N</t>
        </is>
      </c>
      <c r="I3353" s="37">
        <f>COUNTIF(G$5:G3353,"Y")/COUNTA(G$5:G3353)</f>
        <v/>
      </c>
      <c r="J3353" s="37">
        <f>COUNTIF(H$5:H3353,"Y")/COUNTA(H$5:H3353)</f>
        <v/>
      </c>
      <c r="K3353" s="37">
        <f>AVERAGE(F$5:F3353)</f>
        <v/>
      </c>
      <c r="L3353" s="37">
        <f>SUM(F$5:F3353)/SUM(E$5:E3353)</f>
        <v/>
      </c>
    </row>
    <row r="3354">
      <c r="A3354" s="29" t="n">
        <v>46174</v>
      </c>
      <c r="B3354" s="37" t="inlineStr">
        <is>
          <t>JOB-4350</t>
        </is>
      </c>
      <c r="C3354" s="34" t="n">
        <v>1</v>
      </c>
      <c r="D3354" s="37" t="inlineStr">
        <is>
          <t>Tech G</t>
        </is>
      </c>
      <c r="E3354" s="35" t="n">
        <v>4.6</v>
      </c>
      <c r="F3354" s="35" t="n">
        <v>3</v>
      </c>
      <c r="G3354" s="37" t="inlineStr">
        <is>
          <t>N</t>
        </is>
      </c>
      <c r="H3354" s="37" t="inlineStr">
        <is>
          <t>N</t>
        </is>
      </c>
      <c r="I3354" s="37">
        <f>COUNTIF(G$5:G3354,"Y")/COUNTA(G$5:G3354)</f>
        <v/>
      </c>
      <c r="J3354" s="37">
        <f>COUNTIF(H$5:H3354,"Y")/COUNTA(H$5:H3354)</f>
        <v/>
      </c>
      <c r="K3354" s="37">
        <f>AVERAGE(F$5:F3354)</f>
        <v/>
      </c>
      <c r="L3354" s="37">
        <f>SUM(F$5:F3354)/SUM(E$5:E3354)</f>
        <v/>
      </c>
    </row>
    <row r="3355">
      <c r="A3355" s="29" t="n">
        <v>46175</v>
      </c>
      <c r="B3355" s="37" t="inlineStr">
        <is>
          <t>JOB-4351</t>
        </is>
      </c>
      <c r="C3355" s="34" t="n">
        <v>1</v>
      </c>
      <c r="D3355" s="37" t="inlineStr">
        <is>
          <t>Tech G</t>
        </is>
      </c>
      <c r="E3355" s="35" t="n">
        <v>4.8</v>
      </c>
      <c r="F3355" s="35" t="n">
        <v>3.6</v>
      </c>
      <c r="G3355" s="37" t="inlineStr">
        <is>
          <t>Y</t>
        </is>
      </c>
      <c r="H3355" s="37" t="inlineStr">
        <is>
          <t>N</t>
        </is>
      </c>
      <c r="I3355" s="37">
        <f>COUNTIF(G$5:G3355,"Y")/COUNTA(G$5:G3355)</f>
        <v/>
      </c>
      <c r="J3355" s="37">
        <f>COUNTIF(H$5:H3355,"Y")/COUNTA(H$5:H3355)</f>
        <v/>
      </c>
      <c r="K3355" s="37">
        <f>AVERAGE(F$5:F3355)</f>
        <v/>
      </c>
      <c r="L3355" s="37">
        <f>SUM(F$5:F3355)/SUM(E$5:E3355)</f>
        <v/>
      </c>
    </row>
    <row r="3356">
      <c r="A3356" s="29" t="n">
        <v>46176</v>
      </c>
      <c r="B3356" s="37" t="inlineStr">
        <is>
          <t>JOB-4352</t>
        </is>
      </c>
      <c r="C3356" s="34" t="n">
        <v>1</v>
      </c>
      <c r="D3356" s="37" t="inlineStr">
        <is>
          <t>Tech A</t>
        </is>
      </c>
      <c r="E3356" s="35" t="n">
        <v>4</v>
      </c>
      <c r="F3356" s="35" t="n">
        <v>3.4</v>
      </c>
      <c r="G3356" s="37" t="inlineStr">
        <is>
          <t>Y</t>
        </is>
      </c>
      <c r="H3356" s="37" t="inlineStr">
        <is>
          <t>N</t>
        </is>
      </c>
      <c r="I3356" s="37">
        <f>COUNTIF(G$5:G3356,"Y")/COUNTA(G$5:G3356)</f>
        <v/>
      </c>
      <c r="J3356" s="37">
        <f>COUNTIF(H$5:H3356,"Y")/COUNTA(H$5:H3356)</f>
        <v/>
      </c>
      <c r="K3356" s="37">
        <f>AVERAGE(F$5:F3356)</f>
        <v/>
      </c>
      <c r="L3356" s="37">
        <f>SUM(F$5:F3356)/SUM(E$5:E3356)</f>
        <v/>
      </c>
    </row>
    <row r="3357">
      <c r="A3357" s="29" t="n">
        <v>46177</v>
      </c>
      <c r="B3357" s="37" t="inlineStr">
        <is>
          <t>JOB-4353</t>
        </is>
      </c>
      <c r="C3357" s="34" t="n">
        <v>1</v>
      </c>
      <c r="D3357" s="37" t="inlineStr">
        <is>
          <t>Tech A</t>
        </is>
      </c>
      <c r="E3357" s="35" t="n">
        <v>2.8</v>
      </c>
      <c r="F3357" s="35" t="n">
        <v>2.1</v>
      </c>
      <c r="G3357" s="37" t="inlineStr">
        <is>
          <t>Y</t>
        </is>
      </c>
      <c r="H3357" s="37" t="inlineStr">
        <is>
          <t>N</t>
        </is>
      </c>
      <c r="I3357" s="37">
        <f>COUNTIF(G$5:G3357,"Y")/COUNTA(G$5:G3357)</f>
        <v/>
      </c>
      <c r="J3357" s="37">
        <f>COUNTIF(H$5:H3357,"Y")/COUNTA(H$5:H3357)</f>
        <v/>
      </c>
      <c r="K3357" s="37">
        <f>AVERAGE(F$5:F3357)</f>
        <v/>
      </c>
      <c r="L3357" s="37">
        <f>SUM(F$5:F3357)/SUM(E$5:E3357)</f>
        <v/>
      </c>
    </row>
    <row r="3358">
      <c r="A3358" s="29" t="n">
        <v>46178</v>
      </c>
      <c r="B3358" s="37" t="inlineStr">
        <is>
          <t>JOB-4354</t>
        </is>
      </c>
      <c r="C3358" s="34" t="n">
        <v>1</v>
      </c>
      <c r="D3358" s="37" t="inlineStr">
        <is>
          <t>Tech G</t>
        </is>
      </c>
      <c r="E3358" s="35" t="n">
        <v>2.5</v>
      </c>
      <c r="F3358" s="35" t="n">
        <v>1.7</v>
      </c>
      <c r="G3358" s="37" t="inlineStr">
        <is>
          <t>Y</t>
        </is>
      </c>
      <c r="H3358" s="37" t="inlineStr">
        <is>
          <t>N</t>
        </is>
      </c>
      <c r="I3358" s="37">
        <f>COUNTIF(G$5:G3358,"Y")/COUNTA(G$5:G3358)</f>
        <v/>
      </c>
      <c r="J3358" s="37">
        <f>COUNTIF(H$5:H3358,"Y")/COUNTA(H$5:H3358)</f>
        <v/>
      </c>
      <c r="K3358" s="37">
        <f>AVERAGE(F$5:F3358)</f>
        <v/>
      </c>
      <c r="L3358" s="37">
        <f>SUM(F$5:F3358)/SUM(E$5:E3358)</f>
        <v/>
      </c>
    </row>
    <row r="3359">
      <c r="A3359" s="29" t="n">
        <v>46174</v>
      </c>
      <c r="B3359" s="37" t="inlineStr">
        <is>
          <t>JOB-4355</t>
        </is>
      </c>
      <c r="C3359" s="34" t="n">
        <v>1</v>
      </c>
      <c r="D3359" s="37" t="inlineStr">
        <is>
          <t>Tech A</t>
        </is>
      </c>
      <c r="E3359" s="35" t="n">
        <v>3.1</v>
      </c>
      <c r="F3359" s="35" t="n">
        <v>2.3</v>
      </c>
      <c r="G3359" s="37" t="inlineStr">
        <is>
          <t>Y</t>
        </is>
      </c>
      <c r="H3359" s="37" t="inlineStr">
        <is>
          <t>N</t>
        </is>
      </c>
      <c r="I3359" s="37">
        <f>COUNTIF(G$5:G3359,"Y")/COUNTA(G$5:G3359)</f>
        <v/>
      </c>
      <c r="J3359" s="37">
        <f>COUNTIF(H$5:H3359,"Y")/COUNTA(H$5:H3359)</f>
        <v/>
      </c>
      <c r="K3359" s="37">
        <f>AVERAGE(F$5:F3359)</f>
        <v/>
      </c>
      <c r="L3359" s="37">
        <f>SUM(F$5:F3359)/SUM(E$5:E3359)</f>
        <v/>
      </c>
    </row>
    <row r="3360">
      <c r="A3360" s="29" t="n">
        <v>46175</v>
      </c>
      <c r="B3360" s="37" t="inlineStr">
        <is>
          <t>JOB-4356</t>
        </is>
      </c>
      <c r="C3360" s="34" t="n">
        <v>1</v>
      </c>
      <c r="D3360" s="37" t="inlineStr">
        <is>
          <t>Tech C</t>
        </is>
      </c>
      <c r="E3360" s="35" t="n">
        <v>4.6</v>
      </c>
      <c r="F3360" s="35" t="n">
        <v>3.7</v>
      </c>
      <c r="G3360" s="37" t="inlineStr">
        <is>
          <t>Y</t>
        </is>
      </c>
      <c r="H3360" s="37" t="inlineStr">
        <is>
          <t>N</t>
        </is>
      </c>
      <c r="I3360" s="37">
        <f>COUNTIF(G$5:G3360,"Y")/COUNTA(G$5:G3360)</f>
        <v/>
      </c>
      <c r="J3360" s="37">
        <f>COUNTIF(H$5:H3360,"Y")/COUNTA(H$5:H3360)</f>
        <v/>
      </c>
      <c r="K3360" s="37">
        <f>AVERAGE(F$5:F3360)</f>
        <v/>
      </c>
      <c r="L3360" s="37">
        <f>SUM(F$5:F3360)/SUM(E$5:E3360)</f>
        <v/>
      </c>
    </row>
    <row r="3361">
      <c r="A3361" s="29" t="n">
        <v>46176</v>
      </c>
      <c r="B3361" s="37" t="inlineStr">
        <is>
          <t>JOB-4357</t>
        </is>
      </c>
      <c r="C3361" s="34" t="n">
        <v>1</v>
      </c>
      <c r="D3361" s="37" t="inlineStr">
        <is>
          <t>Tech A</t>
        </is>
      </c>
      <c r="E3361" s="35" t="n">
        <v>5.3</v>
      </c>
      <c r="F3361" s="35" t="n">
        <v>3.9</v>
      </c>
      <c r="G3361" s="37" t="inlineStr">
        <is>
          <t>Y</t>
        </is>
      </c>
      <c r="H3361" s="37" t="inlineStr">
        <is>
          <t>N</t>
        </is>
      </c>
      <c r="I3361" s="37">
        <f>COUNTIF(G$5:G3361,"Y")/COUNTA(G$5:G3361)</f>
        <v/>
      </c>
      <c r="J3361" s="37">
        <f>COUNTIF(H$5:H3361,"Y")/COUNTA(H$5:H3361)</f>
        <v/>
      </c>
      <c r="K3361" s="37">
        <f>AVERAGE(F$5:F3361)</f>
        <v/>
      </c>
      <c r="L3361" s="37">
        <f>SUM(F$5:F3361)/SUM(E$5:E3361)</f>
        <v/>
      </c>
    </row>
    <row r="3362">
      <c r="A3362" s="29" t="n">
        <v>46177</v>
      </c>
      <c r="B3362" s="37" t="inlineStr">
        <is>
          <t>JOB-4358</t>
        </is>
      </c>
      <c r="C3362" s="34" t="n">
        <v>1</v>
      </c>
      <c r="D3362" s="37" t="inlineStr">
        <is>
          <t>Tech F</t>
        </is>
      </c>
      <c r="E3362" s="35" t="n">
        <v>5.5</v>
      </c>
      <c r="F3362" s="35" t="n">
        <v>4</v>
      </c>
      <c r="G3362" s="37" t="inlineStr">
        <is>
          <t>Y</t>
        </is>
      </c>
      <c r="H3362" s="37" t="inlineStr">
        <is>
          <t>N</t>
        </is>
      </c>
      <c r="I3362" s="37">
        <f>COUNTIF(G$5:G3362,"Y")/COUNTA(G$5:G3362)</f>
        <v/>
      </c>
      <c r="J3362" s="37">
        <f>COUNTIF(H$5:H3362,"Y")/COUNTA(H$5:H3362)</f>
        <v/>
      </c>
      <c r="K3362" s="37">
        <f>AVERAGE(F$5:F3362)</f>
        <v/>
      </c>
      <c r="L3362" s="37">
        <f>SUM(F$5:F3362)/SUM(E$5:E3362)</f>
        <v/>
      </c>
    </row>
    <row r="3363">
      <c r="A3363" s="29" t="n">
        <v>46178</v>
      </c>
      <c r="B3363" s="37" t="inlineStr">
        <is>
          <t>JOB-4359</t>
        </is>
      </c>
      <c r="C3363" s="34" t="n">
        <v>1</v>
      </c>
      <c r="D3363" s="37" t="inlineStr">
        <is>
          <t>Tech F</t>
        </is>
      </c>
      <c r="E3363" s="35" t="n">
        <v>3.6</v>
      </c>
      <c r="F3363" s="35" t="n">
        <v>2.4</v>
      </c>
      <c r="G3363" s="37" t="inlineStr">
        <is>
          <t>Y</t>
        </is>
      </c>
      <c r="H3363" s="37" t="inlineStr">
        <is>
          <t>N</t>
        </is>
      </c>
      <c r="I3363" s="37">
        <f>COUNTIF(G$5:G3363,"Y")/COUNTA(G$5:G3363)</f>
        <v/>
      </c>
      <c r="J3363" s="37">
        <f>COUNTIF(H$5:H3363,"Y")/COUNTA(H$5:H3363)</f>
        <v/>
      </c>
      <c r="K3363" s="37">
        <f>AVERAGE(F$5:F3363)</f>
        <v/>
      </c>
      <c r="L3363" s="37">
        <f>SUM(F$5:F3363)/SUM(E$5:E3363)</f>
        <v/>
      </c>
    </row>
    <row r="3364">
      <c r="A3364" s="29" t="n">
        <v>46174</v>
      </c>
      <c r="B3364" s="37" t="inlineStr">
        <is>
          <t>JOB-4360</t>
        </is>
      </c>
      <c r="C3364" s="34" t="n">
        <v>1</v>
      </c>
      <c r="D3364" s="37" t="inlineStr">
        <is>
          <t>Tech C</t>
        </is>
      </c>
      <c r="E3364" s="35" t="n">
        <v>3.8</v>
      </c>
      <c r="F3364" s="35" t="n">
        <v>3</v>
      </c>
      <c r="G3364" s="37" t="inlineStr">
        <is>
          <t>Y</t>
        </is>
      </c>
      <c r="H3364" s="37" t="inlineStr">
        <is>
          <t>N</t>
        </is>
      </c>
      <c r="I3364" s="37">
        <f>COUNTIF(G$5:G3364,"Y")/COUNTA(G$5:G3364)</f>
        <v/>
      </c>
      <c r="J3364" s="37">
        <f>COUNTIF(H$5:H3364,"Y")/COUNTA(H$5:H3364)</f>
        <v/>
      </c>
      <c r="K3364" s="37">
        <f>AVERAGE(F$5:F3364)</f>
        <v/>
      </c>
      <c r="L3364" s="37">
        <f>SUM(F$5:F3364)/SUM(E$5:E3364)</f>
        <v/>
      </c>
    </row>
    <row r="3365">
      <c r="A3365" s="29" t="n">
        <v>46175</v>
      </c>
      <c r="B3365" s="37" t="inlineStr">
        <is>
          <t>JOB-4361</t>
        </is>
      </c>
      <c r="C3365" s="34" t="n">
        <v>1</v>
      </c>
      <c r="D3365" s="37" t="inlineStr">
        <is>
          <t>Tech B</t>
        </is>
      </c>
      <c r="E3365" s="35" t="n">
        <v>3.7</v>
      </c>
      <c r="F3365" s="35" t="n">
        <v>2.7</v>
      </c>
      <c r="G3365" s="37" t="inlineStr">
        <is>
          <t>Y</t>
        </is>
      </c>
      <c r="H3365" s="37" t="inlineStr">
        <is>
          <t>N</t>
        </is>
      </c>
      <c r="I3365" s="37">
        <f>COUNTIF(G$5:G3365,"Y")/COUNTA(G$5:G3365)</f>
        <v/>
      </c>
      <c r="J3365" s="37">
        <f>COUNTIF(H$5:H3365,"Y")/COUNTA(H$5:H3365)</f>
        <v/>
      </c>
      <c r="K3365" s="37">
        <f>AVERAGE(F$5:F3365)</f>
        <v/>
      </c>
      <c r="L3365" s="37">
        <f>SUM(F$5:F3365)/SUM(E$5:E3365)</f>
        <v/>
      </c>
    </row>
    <row r="3366">
      <c r="A3366" s="29" t="n">
        <v>46176</v>
      </c>
      <c r="B3366" s="37" t="inlineStr">
        <is>
          <t>JOB-4362</t>
        </is>
      </c>
      <c r="C3366" s="34" t="n">
        <v>1</v>
      </c>
      <c r="D3366" s="37" t="inlineStr">
        <is>
          <t>Tech G</t>
        </is>
      </c>
      <c r="E3366" s="35" t="n">
        <v>2</v>
      </c>
      <c r="F3366" s="35" t="n">
        <v>1.4</v>
      </c>
      <c r="G3366" s="37" t="inlineStr">
        <is>
          <t>N</t>
        </is>
      </c>
      <c r="H3366" s="37" t="inlineStr">
        <is>
          <t>N</t>
        </is>
      </c>
      <c r="I3366" s="37">
        <f>COUNTIF(G$5:G3366,"Y")/COUNTA(G$5:G3366)</f>
        <v/>
      </c>
      <c r="J3366" s="37">
        <f>COUNTIF(H$5:H3366,"Y")/COUNTA(H$5:H3366)</f>
        <v/>
      </c>
      <c r="K3366" s="37">
        <f>AVERAGE(F$5:F3366)</f>
        <v/>
      </c>
      <c r="L3366" s="37">
        <f>SUM(F$5:F3366)/SUM(E$5:E3366)</f>
        <v/>
      </c>
    </row>
    <row r="3367">
      <c r="A3367" s="29" t="n">
        <v>46177</v>
      </c>
      <c r="B3367" s="37" t="inlineStr">
        <is>
          <t>JOB-4363</t>
        </is>
      </c>
      <c r="C3367" s="34" t="n">
        <v>1</v>
      </c>
      <c r="D3367" s="37" t="inlineStr">
        <is>
          <t>Tech A</t>
        </is>
      </c>
      <c r="E3367" s="35" t="n">
        <v>3.3</v>
      </c>
      <c r="F3367" s="35" t="n">
        <v>2.4</v>
      </c>
      <c r="G3367" s="37" t="inlineStr">
        <is>
          <t>Y</t>
        </is>
      </c>
      <c r="H3367" s="37" t="inlineStr">
        <is>
          <t>N</t>
        </is>
      </c>
      <c r="I3367" s="37">
        <f>COUNTIF(G$5:G3367,"Y")/COUNTA(G$5:G3367)</f>
        <v/>
      </c>
      <c r="J3367" s="37">
        <f>COUNTIF(H$5:H3367,"Y")/COUNTA(H$5:H3367)</f>
        <v/>
      </c>
      <c r="K3367" s="37">
        <f>AVERAGE(F$5:F3367)</f>
        <v/>
      </c>
      <c r="L3367" s="37">
        <f>SUM(F$5:F3367)/SUM(E$5:E3367)</f>
        <v/>
      </c>
    </row>
    <row r="3368">
      <c r="A3368" s="29" t="n">
        <v>46178</v>
      </c>
      <c r="B3368" s="37" t="inlineStr">
        <is>
          <t>JOB-4364</t>
        </is>
      </c>
      <c r="C3368" s="34" t="n">
        <v>1</v>
      </c>
      <c r="D3368" s="37" t="inlineStr">
        <is>
          <t>Tech H</t>
        </is>
      </c>
      <c r="E3368" s="35" t="n">
        <v>4.9</v>
      </c>
      <c r="F3368" s="35" t="n">
        <v>3.3</v>
      </c>
      <c r="G3368" s="37" t="inlineStr">
        <is>
          <t>Y</t>
        </is>
      </c>
      <c r="H3368" s="37" t="inlineStr">
        <is>
          <t>N</t>
        </is>
      </c>
      <c r="I3368" s="37">
        <f>COUNTIF(G$5:G3368,"Y")/COUNTA(G$5:G3368)</f>
        <v/>
      </c>
      <c r="J3368" s="37">
        <f>COUNTIF(H$5:H3368,"Y")/COUNTA(H$5:H3368)</f>
        <v/>
      </c>
      <c r="K3368" s="37">
        <f>AVERAGE(F$5:F3368)</f>
        <v/>
      </c>
      <c r="L3368" s="37">
        <f>SUM(F$5:F3368)/SUM(E$5:E3368)</f>
        <v/>
      </c>
    </row>
    <row r="3369">
      <c r="A3369" s="29" t="n">
        <v>46174</v>
      </c>
      <c r="B3369" s="37" t="inlineStr">
        <is>
          <t>JOB-4365</t>
        </is>
      </c>
      <c r="C3369" s="34" t="n">
        <v>1</v>
      </c>
      <c r="D3369" s="37" t="inlineStr">
        <is>
          <t>Tech H</t>
        </is>
      </c>
      <c r="E3369" s="35" t="n">
        <v>4.1</v>
      </c>
      <c r="F3369" s="35" t="n">
        <v>3.5</v>
      </c>
      <c r="G3369" s="37" t="inlineStr">
        <is>
          <t>Y</t>
        </is>
      </c>
      <c r="H3369" s="37" t="inlineStr">
        <is>
          <t>N</t>
        </is>
      </c>
      <c r="I3369" s="37">
        <f>COUNTIF(G$5:G3369,"Y")/COUNTA(G$5:G3369)</f>
        <v/>
      </c>
      <c r="J3369" s="37">
        <f>COUNTIF(H$5:H3369,"Y")/COUNTA(H$5:H3369)</f>
        <v/>
      </c>
      <c r="K3369" s="37">
        <f>AVERAGE(F$5:F3369)</f>
        <v/>
      </c>
      <c r="L3369" s="37">
        <f>SUM(F$5:F3369)/SUM(E$5:E3369)</f>
        <v/>
      </c>
    </row>
    <row r="3370">
      <c r="A3370" s="29" t="n">
        <v>46175</v>
      </c>
      <c r="B3370" s="37" t="inlineStr">
        <is>
          <t>JOB-4366</t>
        </is>
      </c>
      <c r="C3370" s="34" t="n">
        <v>1</v>
      </c>
      <c r="D3370" s="37" t="inlineStr">
        <is>
          <t>Tech D</t>
        </is>
      </c>
      <c r="E3370" s="35" t="n">
        <v>2.5</v>
      </c>
      <c r="F3370" s="35" t="n">
        <v>2</v>
      </c>
      <c r="G3370" s="37" t="inlineStr">
        <is>
          <t>Y</t>
        </is>
      </c>
      <c r="H3370" s="37" t="inlineStr">
        <is>
          <t>Y</t>
        </is>
      </c>
      <c r="I3370" s="37">
        <f>COUNTIF(G$5:G3370,"Y")/COUNTA(G$5:G3370)</f>
        <v/>
      </c>
      <c r="J3370" s="37">
        <f>COUNTIF(H$5:H3370,"Y")/COUNTA(H$5:H3370)</f>
        <v/>
      </c>
      <c r="K3370" s="37">
        <f>AVERAGE(F$5:F3370)</f>
        <v/>
      </c>
      <c r="L3370" s="37">
        <f>SUM(F$5:F3370)/SUM(E$5:E3370)</f>
        <v/>
      </c>
    </row>
    <row r="3371">
      <c r="A3371" s="29" t="n">
        <v>46176</v>
      </c>
      <c r="B3371" s="37" t="inlineStr">
        <is>
          <t>JOB-4367</t>
        </is>
      </c>
      <c r="C3371" s="34" t="n">
        <v>1</v>
      </c>
      <c r="D3371" s="37" t="inlineStr">
        <is>
          <t>Tech B</t>
        </is>
      </c>
      <c r="E3371" s="35" t="n">
        <v>4.8</v>
      </c>
      <c r="F3371" s="35" t="n">
        <v>3.1</v>
      </c>
      <c r="G3371" s="37" t="inlineStr">
        <is>
          <t>Y</t>
        </is>
      </c>
      <c r="H3371" s="37" t="inlineStr">
        <is>
          <t>N</t>
        </is>
      </c>
      <c r="I3371" s="37">
        <f>COUNTIF(G$5:G3371,"Y")/COUNTA(G$5:G3371)</f>
        <v/>
      </c>
      <c r="J3371" s="37">
        <f>COUNTIF(H$5:H3371,"Y")/COUNTA(H$5:H3371)</f>
        <v/>
      </c>
      <c r="K3371" s="37">
        <f>AVERAGE(F$5:F3371)</f>
        <v/>
      </c>
      <c r="L3371" s="37">
        <f>SUM(F$5:F3371)/SUM(E$5:E3371)</f>
        <v/>
      </c>
    </row>
    <row r="3372">
      <c r="A3372" s="29" t="n">
        <v>46177</v>
      </c>
      <c r="B3372" s="37" t="inlineStr">
        <is>
          <t>JOB-4368</t>
        </is>
      </c>
      <c r="C3372" s="34" t="n">
        <v>1</v>
      </c>
      <c r="D3372" s="37" t="inlineStr">
        <is>
          <t>Tech A</t>
        </is>
      </c>
      <c r="E3372" s="35" t="n">
        <v>3.3</v>
      </c>
      <c r="F3372" s="35" t="n">
        <v>2.2</v>
      </c>
      <c r="G3372" s="37" t="inlineStr">
        <is>
          <t>Y</t>
        </is>
      </c>
      <c r="H3372" s="37" t="inlineStr">
        <is>
          <t>N</t>
        </is>
      </c>
      <c r="I3372" s="37">
        <f>COUNTIF(G$5:G3372,"Y")/COUNTA(G$5:G3372)</f>
        <v/>
      </c>
      <c r="J3372" s="37">
        <f>COUNTIF(H$5:H3372,"Y")/COUNTA(H$5:H3372)</f>
        <v/>
      </c>
      <c r="K3372" s="37">
        <f>AVERAGE(F$5:F3372)</f>
        <v/>
      </c>
      <c r="L3372" s="37">
        <f>SUM(F$5:F3372)/SUM(E$5:E3372)</f>
        <v/>
      </c>
    </row>
    <row r="3373">
      <c r="A3373" s="29" t="n">
        <v>46178</v>
      </c>
      <c r="B3373" s="37" t="inlineStr">
        <is>
          <t>JOB-4369</t>
        </is>
      </c>
      <c r="C3373" s="34" t="n">
        <v>1</v>
      </c>
      <c r="D3373" s="37" t="inlineStr">
        <is>
          <t>Tech H</t>
        </is>
      </c>
      <c r="E3373" s="35" t="n">
        <v>4.6</v>
      </c>
      <c r="F3373" s="35" t="n">
        <v>3</v>
      </c>
      <c r="G3373" s="37" t="inlineStr">
        <is>
          <t>Y</t>
        </is>
      </c>
      <c r="H3373" s="37" t="inlineStr">
        <is>
          <t>N</t>
        </is>
      </c>
      <c r="I3373" s="37">
        <f>COUNTIF(G$5:G3373,"Y")/COUNTA(G$5:G3373)</f>
        <v/>
      </c>
      <c r="J3373" s="37">
        <f>COUNTIF(H$5:H3373,"Y")/COUNTA(H$5:H3373)</f>
        <v/>
      </c>
      <c r="K3373" s="37">
        <f>AVERAGE(F$5:F3373)</f>
        <v/>
      </c>
      <c r="L3373" s="37">
        <f>SUM(F$5:F3373)/SUM(E$5:E3373)</f>
        <v/>
      </c>
    </row>
    <row r="3374">
      <c r="A3374" s="29" t="n">
        <v>46174</v>
      </c>
      <c r="B3374" s="37" t="inlineStr">
        <is>
          <t>JOB-4370</t>
        </is>
      </c>
      <c r="C3374" s="34" t="n">
        <v>1</v>
      </c>
      <c r="D3374" s="37" t="inlineStr">
        <is>
          <t>Tech F</t>
        </is>
      </c>
      <c r="E3374" s="35" t="n">
        <v>5</v>
      </c>
      <c r="F3374" s="35" t="n">
        <v>3.7</v>
      </c>
      <c r="G3374" s="37" t="inlineStr">
        <is>
          <t>N</t>
        </is>
      </c>
      <c r="H3374" s="37" t="inlineStr">
        <is>
          <t>N</t>
        </is>
      </c>
      <c r="I3374" s="37">
        <f>COUNTIF(G$5:G3374,"Y")/COUNTA(G$5:G3374)</f>
        <v/>
      </c>
      <c r="J3374" s="37">
        <f>COUNTIF(H$5:H3374,"Y")/COUNTA(H$5:H3374)</f>
        <v/>
      </c>
      <c r="K3374" s="37">
        <f>AVERAGE(F$5:F3374)</f>
        <v/>
      </c>
      <c r="L3374" s="37">
        <f>SUM(F$5:F3374)/SUM(E$5:E3374)</f>
        <v/>
      </c>
    </row>
    <row r="3375">
      <c r="A3375" s="29" t="n">
        <v>46175</v>
      </c>
      <c r="B3375" s="37" t="inlineStr">
        <is>
          <t>JOB-4371</t>
        </is>
      </c>
      <c r="C3375" s="34" t="n">
        <v>1</v>
      </c>
      <c r="D3375" s="37" t="inlineStr">
        <is>
          <t>Tech A</t>
        </is>
      </c>
      <c r="E3375" s="35" t="n">
        <v>3.8</v>
      </c>
      <c r="F3375" s="35" t="n">
        <v>2.6</v>
      </c>
      <c r="G3375" s="37" t="inlineStr">
        <is>
          <t>Y</t>
        </is>
      </c>
      <c r="H3375" s="37" t="inlineStr">
        <is>
          <t>N</t>
        </is>
      </c>
      <c r="I3375" s="37">
        <f>COUNTIF(G$5:G3375,"Y")/COUNTA(G$5:G3375)</f>
        <v/>
      </c>
      <c r="J3375" s="37">
        <f>COUNTIF(H$5:H3375,"Y")/COUNTA(H$5:H3375)</f>
        <v/>
      </c>
      <c r="K3375" s="37">
        <f>AVERAGE(F$5:F3375)</f>
        <v/>
      </c>
      <c r="L3375" s="37">
        <f>SUM(F$5:F3375)/SUM(E$5:E3375)</f>
        <v/>
      </c>
    </row>
    <row r="3376">
      <c r="A3376" s="29" t="n">
        <v>46176</v>
      </c>
      <c r="B3376" s="37" t="inlineStr">
        <is>
          <t>JOB-4372</t>
        </is>
      </c>
      <c r="C3376" s="34" t="n">
        <v>1</v>
      </c>
      <c r="D3376" s="37" t="inlineStr">
        <is>
          <t>Tech A</t>
        </is>
      </c>
      <c r="E3376" s="35" t="n">
        <v>5.2</v>
      </c>
      <c r="F3376" s="35" t="n">
        <v>3.7</v>
      </c>
      <c r="G3376" s="37" t="inlineStr">
        <is>
          <t>Y</t>
        </is>
      </c>
      <c r="H3376" s="37" t="inlineStr">
        <is>
          <t>N</t>
        </is>
      </c>
      <c r="I3376" s="37">
        <f>COUNTIF(G$5:G3376,"Y")/COUNTA(G$5:G3376)</f>
        <v/>
      </c>
      <c r="J3376" s="37">
        <f>COUNTIF(H$5:H3376,"Y")/COUNTA(H$5:H3376)</f>
        <v/>
      </c>
      <c r="K3376" s="37">
        <f>AVERAGE(F$5:F3376)</f>
        <v/>
      </c>
      <c r="L3376" s="37">
        <f>SUM(F$5:F3376)/SUM(E$5:E3376)</f>
        <v/>
      </c>
    </row>
    <row r="3377">
      <c r="A3377" s="29" t="n">
        <v>46177</v>
      </c>
      <c r="B3377" s="37" t="inlineStr">
        <is>
          <t>JOB-4373</t>
        </is>
      </c>
      <c r="C3377" s="34" t="n">
        <v>1</v>
      </c>
      <c r="D3377" s="37" t="inlineStr">
        <is>
          <t>Tech A</t>
        </is>
      </c>
      <c r="E3377" s="35" t="n">
        <v>4</v>
      </c>
      <c r="F3377" s="35" t="n">
        <v>2.8</v>
      </c>
      <c r="G3377" s="37" t="inlineStr">
        <is>
          <t>Y</t>
        </is>
      </c>
      <c r="H3377" s="37" t="inlineStr">
        <is>
          <t>N</t>
        </is>
      </c>
      <c r="I3377" s="37">
        <f>COUNTIF(G$5:G3377,"Y")/COUNTA(G$5:G3377)</f>
        <v/>
      </c>
      <c r="J3377" s="37">
        <f>COUNTIF(H$5:H3377,"Y")/COUNTA(H$5:H3377)</f>
        <v/>
      </c>
      <c r="K3377" s="37">
        <f>AVERAGE(F$5:F3377)</f>
        <v/>
      </c>
      <c r="L3377" s="37">
        <f>SUM(F$5:F3377)/SUM(E$5:E3377)</f>
        <v/>
      </c>
    </row>
    <row r="3378">
      <c r="A3378" s="29" t="n">
        <v>46178</v>
      </c>
      <c r="B3378" s="37" t="inlineStr">
        <is>
          <t>JOB-4374</t>
        </is>
      </c>
      <c r="C3378" s="34" t="n">
        <v>1</v>
      </c>
      <c r="D3378" s="37" t="inlineStr">
        <is>
          <t>Tech C</t>
        </is>
      </c>
      <c r="E3378" s="35" t="n">
        <v>2.3</v>
      </c>
      <c r="F3378" s="35" t="n">
        <v>2.2</v>
      </c>
      <c r="G3378" s="37" t="inlineStr">
        <is>
          <t>Y</t>
        </is>
      </c>
      <c r="H3378" s="37" t="inlineStr">
        <is>
          <t>N</t>
        </is>
      </c>
      <c r="I3378" s="37">
        <f>COUNTIF(G$5:G3378,"Y")/COUNTA(G$5:G3378)</f>
        <v/>
      </c>
      <c r="J3378" s="37">
        <f>COUNTIF(H$5:H3378,"Y")/COUNTA(H$5:H3378)</f>
        <v/>
      </c>
      <c r="K3378" s="37">
        <f>AVERAGE(F$5:F3378)</f>
        <v/>
      </c>
      <c r="L3378" s="37">
        <f>SUM(F$5:F3378)/SUM(E$5:E3378)</f>
        <v/>
      </c>
    </row>
    <row r="3379">
      <c r="A3379" s="29" t="n">
        <v>46174</v>
      </c>
      <c r="B3379" s="37" t="inlineStr">
        <is>
          <t>JOB-4375</t>
        </is>
      </c>
      <c r="C3379" s="34" t="n">
        <v>1</v>
      </c>
      <c r="D3379" s="37" t="inlineStr">
        <is>
          <t>Tech F</t>
        </is>
      </c>
      <c r="E3379" s="35" t="n">
        <v>0.5</v>
      </c>
      <c r="F3379" s="35" t="n">
        <v>0.5</v>
      </c>
      <c r="G3379" s="37" t="inlineStr">
        <is>
          <t>Y</t>
        </is>
      </c>
      <c r="H3379" s="37" t="inlineStr">
        <is>
          <t>N</t>
        </is>
      </c>
      <c r="I3379" s="37">
        <f>COUNTIF(G$5:G3379,"Y")/COUNTA(G$5:G3379)</f>
        <v/>
      </c>
      <c r="J3379" s="37">
        <f>COUNTIF(H$5:H3379,"Y")/COUNTA(H$5:H3379)</f>
        <v/>
      </c>
      <c r="K3379" s="37">
        <f>AVERAGE(F$5:F3379)</f>
        <v/>
      </c>
      <c r="L3379" s="37">
        <f>SUM(F$5:F3379)/SUM(E$5:E3379)</f>
        <v/>
      </c>
    </row>
    <row r="3380">
      <c r="A3380" s="29" t="n">
        <v>46175</v>
      </c>
      <c r="B3380" s="37" t="inlineStr">
        <is>
          <t>JOB-4376</t>
        </is>
      </c>
      <c r="C3380" s="34" t="n">
        <v>1</v>
      </c>
      <c r="D3380" s="37" t="inlineStr">
        <is>
          <t>Tech H</t>
        </is>
      </c>
      <c r="E3380" s="35" t="n">
        <v>0.5</v>
      </c>
      <c r="F3380" s="35" t="n">
        <v>0.5</v>
      </c>
      <c r="G3380" s="37" t="inlineStr">
        <is>
          <t>Y</t>
        </is>
      </c>
      <c r="H3380" s="37" t="inlineStr">
        <is>
          <t>N</t>
        </is>
      </c>
      <c r="I3380" s="37">
        <f>COUNTIF(G$5:G3380,"Y")/COUNTA(G$5:G3380)</f>
        <v/>
      </c>
      <c r="J3380" s="37">
        <f>COUNTIF(H$5:H3380,"Y")/COUNTA(H$5:H3380)</f>
        <v/>
      </c>
      <c r="K3380" s="37">
        <f>AVERAGE(F$5:F3380)</f>
        <v/>
      </c>
      <c r="L3380" s="37">
        <f>SUM(F$5:F3380)/SUM(E$5:E3380)</f>
        <v/>
      </c>
    </row>
    <row r="3381">
      <c r="A3381" s="29" t="n">
        <v>46176</v>
      </c>
      <c r="B3381" s="37" t="inlineStr">
        <is>
          <t>JOB-4377</t>
        </is>
      </c>
      <c r="C3381" s="34" t="n">
        <v>1</v>
      </c>
      <c r="D3381" s="37" t="inlineStr">
        <is>
          <t>Tech C</t>
        </is>
      </c>
      <c r="E3381" s="35" t="n">
        <v>0.5</v>
      </c>
      <c r="F3381" s="35" t="n">
        <v>0.5</v>
      </c>
      <c r="G3381" s="37" t="inlineStr">
        <is>
          <t>N</t>
        </is>
      </c>
      <c r="H3381" s="37" t="inlineStr">
        <is>
          <t>N</t>
        </is>
      </c>
      <c r="I3381" s="37">
        <f>COUNTIF(G$5:G3381,"Y")/COUNTA(G$5:G3381)</f>
        <v/>
      </c>
      <c r="J3381" s="37">
        <f>COUNTIF(H$5:H3381,"Y")/COUNTA(H$5:H3381)</f>
        <v/>
      </c>
      <c r="K3381" s="37">
        <f>AVERAGE(F$5:F3381)</f>
        <v/>
      </c>
      <c r="L3381" s="37">
        <f>SUM(F$5:F3381)/SUM(E$5:E3381)</f>
        <v/>
      </c>
    </row>
    <row r="3382">
      <c r="A3382" s="29" t="n">
        <v>46177</v>
      </c>
      <c r="B3382" s="37" t="inlineStr">
        <is>
          <t>JOB-4378</t>
        </is>
      </c>
      <c r="C3382" s="34" t="n">
        <v>1</v>
      </c>
      <c r="D3382" s="37" t="inlineStr">
        <is>
          <t>Tech C</t>
        </is>
      </c>
      <c r="E3382" s="35" t="n">
        <v>0.5</v>
      </c>
      <c r="F3382" s="35" t="n">
        <v>0.5</v>
      </c>
      <c r="G3382" s="37" t="inlineStr">
        <is>
          <t>Y</t>
        </is>
      </c>
      <c r="H3382" s="37" t="inlineStr">
        <is>
          <t>N</t>
        </is>
      </c>
      <c r="I3382" s="37">
        <f>COUNTIF(G$5:G3382,"Y")/COUNTA(G$5:G3382)</f>
        <v/>
      </c>
      <c r="J3382" s="37">
        <f>COUNTIF(H$5:H3382,"Y")/COUNTA(H$5:H3382)</f>
        <v/>
      </c>
      <c r="K3382" s="37">
        <f>AVERAGE(F$5:F3382)</f>
        <v/>
      </c>
      <c r="L3382" s="37">
        <f>SUM(F$5:F3382)/SUM(E$5:E3382)</f>
        <v/>
      </c>
    </row>
    <row r="3383">
      <c r="A3383" s="29" t="n">
        <v>46178</v>
      </c>
      <c r="B3383" s="37" t="inlineStr">
        <is>
          <t>JOB-4379</t>
        </is>
      </c>
      <c r="C3383" s="34" t="n">
        <v>1</v>
      </c>
      <c r="D3383" s="37" t="inlineStr">
        <is>
          <t>Tech D</t>
        </is>
      </c>
      <c r="E3383" s="35" t="n">
        <v>0.5</v>
      </c>
      <c r="F3383" s="35" t="n">
        <v>0.5</v>
      </c>
      <c r="G3383" s="37" t="inlineStr">
        <is>
          <t>Y</t>
        </is>
      </c>
      <c r="H3383" s="37" t="inlineStr">
        <is>
          <t>N</t>
        </is>
      </c>
      <c r="I3383" s="37">
        <f>COUNTIF(G$5:G3383,"Y")/COUNTA(G$5:G3383)</f>
        <v/>
      </c>
      <c r="J3383" s="37">
        <f>COUNTIF(H$5:H3383,"Y")/COUNTA(H$5:H3383)</f>
        <v/>
      </c>
      <c r="K3383" s="37">
        <f>AVERAGE(F$5:F3383)</f>
        <v/>
      </c>
      <c r="L3383" s="37">
        <f>SUM(F$5:F3383)/SUM(E$5:E3383)</f>
        <v/>
      </c>
    </row>
    <row r="3384">
      <c r="A3384" s="29" t="n">
        <v>46174</v>
      </c>
      <c r="B3384" s="37" t="inlineStr">
        <is>
          <t>JOB-4380</t>
        </is>
      </c>
      <c r="C3384" s="34" t="n">
        <v>1</v>
      </c>
      <c r="D3384" s="37" t="inlineStr">
        <is>
          <t>Tech B</t>
        </is>
      </c>
      <c r="E3384" s="35" t="n">
        <v>0.5</v>
      </c>
      <c r="F3384" s="35" t="n">
        <v>0.5</v>
      </c>
      <c r="G3384" s="37" t="inlineStr">
        <is>
          <t>Y</t>
        </is>
      </c>
      <c r="H3384" s="37" t="inlineStr">
        <is>
          <t>N</t>
        </is>
      </c>
      <c r="I3384" s="37">
        <f>COUNTIF(G$5:G3384,"Y")/COUNTA(G$5:G3384)</f>
        <v/>
      </c>
      <c r="J3384" s="37">
        <f>COUNTIF(H$5:H3384,"Y")/COUNTA(H$5:H3384)</f>
        <v/>
      </c>
      <c r="K3384" s="37">
        <f>AVERAGE(F$5:F3384)</f>
        <v/>
      </c>
      <c r="L3384" s="37">
        <f>SUM(F$5:F3384)/SUM(E$5:E3384)</f>
        <v/>
      </c>
    </row>
    <row r="3385">
      <c r="A3385" s="29" t="n">
        <v>46175</v>
      </c>
      <c r="B3385" s="37" t="inlineStr">
        <is>
          <t>JOB-4381</t>
        </is>
      </c>
      <c r="C3385" s="34" t="n">
        <v>1</v>
      </c>
      <c r="D3385" s="37" t="inlineStr">
        <is>
          <t>Tech B</t>
        </is>
      </c>
      <c r="E3385" s="35" t="n">
        <v>0.5</v>
      </c>
      <c r="F3385" s="35" t="n">
        <v>0.5</v>
      </c>
      <c r="G3385" s="37" t="inlineStr">
        <is>
          <t>N</t>
        </is>
      </c>
      <c r="H3385" s="37" t="inlineStr">
        <is>
          <t>N</t>
        </is>
      </c>
      <c r="I3385" s="37">
        <f>COUNTIF(G$5:G3385,"Y")/COUNTA(G$5:G3385)</f>
        <v/>
      </c>
      <c r="J3385" s="37">
        <f>COUNTIF(H$5:H3385,"Y")/COUNTA(H$5:H3385)</f>
        <v/>
      </c>
      <c r="K3385" s="37">
        <f>AVERAGE(F$5:F3385)</f>
        <v/>
      </c>
      <c r="L3385" s="37">
        <f>SUM(F$5:F3385)/SUM(E$5:E3385)</f>
        <v/>
      </c>
    </row>
    <row r="3386">
      <c r="A3386" s="29" t="n">
        <v>46176</v>
      </c>
      <c r="B3386" s="37" t="inlineStr">
        <is>
          <t>JOB-4382</t>
        </is>
      </c>
      <c r="C3386" s="34" t="n">
        <v>1</v>
      </c>
      <c r="D3386" s="37" t="inlineStr">
        <is>
          <t>Tech B</t>
        </is>
      </c>
      <c r="E3386" s="35" t="n">
        <v>0.5</v>
      </c>
      <c r="F3386" s="35" t="n">
        <v>0.5</v>
      </c>
      <c r="G3386" s="37" t="inlineStr">
        <is>
          <t>Y</t>
        </is>
      </c>
      <c r="H3386" s="37" t="inlineStr">
        <is>
          <t>N</t>
        </is>
      </c>
      <c r="I3386" s="37">
        <f>COUNTIF(G$5:G3386,"Y")/COUNTA(G$5:G3386)</f>
        <v/>
      </c>
      <c r="J3386" s="37">
        <f>COUNTIF(H$5:H3386,"Y")/COUNTA(H$5:H3386)</f>
        <v/>
      </c>
      <c r="K3386" s="37">
        <f>AVERAGE(F$5:F3386)</f>
        <v/>
      </c>
      <c r="L3386" s="37">
        <f>SUM(F$5:F3386)/SUM(E$5:E3386)</f>
        <v/>
      </c>
      <c r="M3386" s="37" t="n">
        <v>10</v>
      </c>
    </row>
    <row r="3387">
      <c r="A3387" s="29" t="n">
        <v>46181</v>
      </c>
      <c r="B3387" s="37" t="inlineStr">
        <is>
          <t>JOB-4383</t>
        </is>
      </c>
      <c r="C3387" s="34" t="n">
        <v>1</v>
      </c>
      <c r="D3387" s="37" t="inlineStr">
        <is>
          <t>Tech B</t>
        </is>
      </c>
      <c r="E3387" s="35" t="n">
        <v>4.5</v>
      </c>
      <c r="F3387" s="35" t="n">
        <v>3.3</v>
      </c>
      <c r="G3387" s="37" t="inlineStr">
        <is>
          <t>Y</t>
        </is>
      </c>
      <c r="H3387" s="37" t="inlineStr">
        <is>
          <t>N</t>
        </is>
      </c>
      <c r="I3387" s="37">
        <f>COUNTIF(G$5:G3387,"Y")/COUNTA(G$5:G3387)</f>
        <v/>
      </c>
      <c r="J3387" s="37">
        <f>COUNTIF(H$5:H3387,"Y")/COUNTA(H$5:H3387)</f>
        <v/>
      </c>
      <c r="K3387" s="37">
        <f>AVERAGE(F$5:F3387)</f>
        <v/>
      </c>
      <c r="L3387" s="37">
        <f>SUM(F$5:F3387)/SUM(E$5:E3387)</f>
        <v/>
      </c>
    </row>
    <row r="3388">
      <c r="A3388" s="29" t="n">
        <v>46182</v>
      </c>
      <c r="B3388" s="37" t="inlineStr">
        <is>
          <t>JOB-4384</t>
        </is>
      </c>
      <c r="C3388" s="34" t="n">
        <v>1</v>
      </c>
      <c r="D3388" s="37" t="inlineStr">
        <is>
          <t>Tech A</t>
        </is>
      </c>
      <c r="E3388" s="35" t="n">
        <v>2.9</v>
      </c>
      <c r="F3388" s="35" t="n">
        <v>2.1</v>
      </c>
      <c r="G3388" s="37" t="inlineStr">
        <is>
          <t>Y</t>
        </is>
      </c>
      <c r="H3388" s="37" t="inlineStr">
        <is>
          <t>N</t>
        </is>
      </c>
      <c r="I3388" s="37">
        <f>COUNTIF(G$5:G3388,"Y")/COUNTA(G$5:G3388)</f>
        <v/>
      </c>
      <c r="J3388" s="37">
        <f>COUNTIF(H$5:H3388,"Y")/COUNTA(H$5:H3388)</f>
        <v/>
      </c>
      <c r="K3388" s="37">
        <f>AVERAGE(F$5:F3388)</f>
        <v/>
      </c>
      <c r="L3388" s="37">
        <f>SUM(F$5:F3388)/SUM(E$5:E3388)</f>
        <v/>
      </c>
    </row>
    <row r="3389">
      <c r="A3389" s="29" t="n">
        <v>46183</v>
      </c>
      <c r="B3389" s="37" t="inlineStr">
        <is>
          <t>JOB-4385</t>
        </is>
      </c>
      <c r="C3389" s="34" t="n">
        <v>1</v>
      </c>
      <c r="D3389" s="37" t="inlineStr">
        <is>
          <t>Tech D</t>
        </is>
      </c>
      <c r="E3389" s="35" t="n">
        <v>4.8</v>
      </c>
      <c r="F3389" s="35" t="n">
        <v>4</v>
      </c>
      <c r="G3389" s="37" t="inlineStr">
        <is>
          <t>Y</t>
        </is>
      </c>
      <c r="H3389" s="37" t="inlineStr">
        <is>
          <t>N</t>
        </is>
      </c>
      <c r="I3389" s="37">
        <f>COUNTIF(G$5:G3389,"Y")/COUNTA(G$5:G3389)</f>
        <v/>
      </c>
      <c r="J3389" s="37">
        <f>COUNTIF(H$5:H3389,"Y")/COUNTA(H$5:H3389)</f>
        <v/>
      </c>
      <c r="K3389" s="37">
        <f>AVERAGE(F$5:F3389)</f>
        <v/>
      </c>
      <c r="L3389" s="37">
        <f>SUM(F$5:F3389)/SUM(E$5:E3389)</f>
        <v/>
      </c>
    </row>
    <row r="3390">
      <c r="A3390" s="29" t="n">
        <v>46184</v>
      </c>
      <c r="B3390" s="37" t="inlineStr">
        <is>
          <t>JOB-4386</t>
        </is>
      </c>
      <c r="C3390" s="34" t="n">
        <v>1</v>
      </c>
      <c r="D3390" s="37" t="inlineStr">
        <is>
          <t>Tech B</t>
        </is>
      </c>
      <c r="E3390" s="35" t="n">
        <v>3.8</v>
      </c>
      <c r="F3390" s="35" t="n">
        <v>3</v>
      </c>
      <c r="G3390" s="37" t="inlineStr">
        <is>
          <t>Y</t>
        </is>
      </c>
      <c r="H3390" s="37" t="inlineStr">
        <is>
          <t>N</t>
        </is>
      </c>
      <c r="I3390" s="37">
        <f>COUNTIF(G$5:G3390,"Y")/COUNTA(G$5:G3390)</f>
        <v/>
      </c>
      <c r="J3390" s="37">
        <f>COUNTIF(H$5:H3390,"Y")/COUNTA(H$5:H3390)</f>
        <v/>
      </c>
      <c r="K3390" s="37">
        <f>AVERAGE(F$5:F3390)</f>
        <v/>
      </c>
      <c r="L3390" s="37">
        <f>SUM(F$5:F3390)/SUM(E$5:E3390)</f>
        <v/>
      </c>
    </row>
    <row r="3391">
      <c r="A3391" s="29" t="n">
        <v>46185</v>
      </c>
      <c r="B3391" s="37" t="inlineStr">
        <is>
          <t>JOB-4387</t>
        </is>
      </c>
      <c r="C3391" s="34" t="n">
        <v>1</v>
      </c>
      <c r="D3391" s="37" t="inlineStr">
        <is>
          <t>Tech G</t>
        </is>
      </c>
      <c r="E3391" s="35" t="n">
        <v>2.9</v>
      </c>
      <c r="F3391" s="35" t="n">
        <v>2</v>
      </c>
      <c r="G3391" s="37" t="inlineStr">
        <is>
          <t>N</t>
        </is>
      </c>
      <c r="H3391" s="37" t="inlineStr">
        <is>
          <t>N</t>
        </is>
      </c>
      <c r="I3391" s="37">
        <f>COUNTIF(G$5:G3391,"Y")/COUNTA(G$5:G3391)</f>
        <v/>
      </c>
      <c r="J3391" s="37">
        <f>COUNTIF(H$5:H3391,"Y")/COUNTA(H$5:H3391)</f>
        <v/>
      </c>
      <c r="K3391" s="37">
        <f>AVERAGE(F$5:F3391)</f>
        <v/>
      </c>
      <c r="L3391" s="37">
        <f>SUM(F$5:F3391)/SUM(E$5:E3391)</f>
        <v/>
      </c>
    </row>
    <row r="3392">
      <c r="A3392" s="29" t="n">
        <v>46181</v>
      </c>
      <c r="B3392" s="37" t="inlineStr">
        <is>
          <t>JOB-4388</t>
        </is>
      </c>
      <c r="C3392" s="34" t="n">
        <v>1</v>
      </c>
      <c r="D3392" s="37" t="inlineStr">
        <is>
          <t>Tech B</t>
        </is>
      </c>
      <c r="E3392" s="35" t="n">
        <v>4.8</v>
      </c>
      <c r="F3392" s="35" t="n">
        <v>3.9</v>
      </c>
      <c r="G3392" s="37" t="inlineStr">
        <is>
          <t>Y</t>
        </is>
      </c>
      <c r="H3392" s="37" t="inlineStr">
        <is>
          <t>N</t>
        </is>
      </c>
      <c r="I3392" s="37">
        <f>COUNTIF(G$5:G3392,"Y")/COUNTA(G$5:G3392)</f>
        <v/>
      </c>
      <c r="J3392" s="37">
        <f>COUNTIF(H$5:H3392,"Y")/COUNTA(H$5:H3392)</f>
        <v/>
      </c>
      <c r="K3392" s="37">
        <f>AVERAGE(F$5:F3392)</f>
        <v/>
      </c>
      <c r="L3392" s="37">
        <f>SUM(F$5:F3392)/SUM(E$5:E3392)</f>
        <v/>
      </c>
    </row>
    <row r="3393">
      <c r="A3393" s="29" t="n">
        <v>46182</v>
      </c>
      <c r="B3393" s="37" t="inlineStr">
        <is>
          <t>JOB-4389</t>
        </is>
      </c>
      <c r="C3393" s="34" t="n">
        <v>1</v>
      </c>
      <c r="D3393" s="37" t="inlineStr">
        <is>
          <t>Tech B</t>
        </is>
      </c>
      <c r="E3393" s="35" t="n">
        <v>5</v>
      </c>
      <c r="F3393" s="35" t="n">
        <v>3.3</v>
      </c>
      <c r="G3393" s="37" t="inlineStr">
        <is>
          <t>Y</t>
        </is>
      </c>
      <c r="H3393" s="37" t="inlineStr">
        <is>
          <t>N</t>
        </is>
      </c>
      <c r="I3393" s="37">
        <f>COUNTIF(G$5:G3393,"Y")/COUNTA(G$5:G3393)</f>
        <v/>
      </c>
      <c r="J3393" s="37">
        <f>COUNTIF(H$5:H3393,"Y")/COUNTA(H$5:H3393)</f>
        <v/>
      </c>
      <c r="K3393" s="37">
        <f>AVERAGE(F$5:F3393)</f>
        <v/>
      </c>
      <c r="L3393" s="37">
        <f>SUM(F$5:F3393)/SUM(E$5:E3393)</f>
        <v/>
      </c>
    </row>
    <row r="3394">
      <c r="A3394" s="29" t="n">
        <v>46183</v>
      </c>
      <c r="B3394" s="37" t="inlineStr">
        <is>
          <t>JOB-4390</t>
        </is>
      </c>
      <c r="C3394" s="34" t="n">
        <v>1</v>
      </c>
      <c r="D3394" s="37" t="inlineStr">
        <is>
          <t>Tech G</t>
        </is>
      </c>
      <c r="E3394" s="35" t="n">
        <v>2.2</v>
      </c>
      <c r="F3394" s="35" t="n">
        <v>1.5</v>
      </c>
      <c r="G3394" s="37" t="inlineStr">
        <is>
          <t>Y</t>
        </is>
      </c>
      <c r="H3394" s="37" t="inlineStr">
        <is>
          <t>N</t>
        </is>
      </c>
      <c r="I3394" s="37">
        <f>COUNTIF(G$5:G3394,"Y")/COUNTA(G$5:G3394)</f>
        <v/>
      </c>
      <c r="J3394" s="37">
        <f>COUNTIF(H$5:H3394,"Y")/COUNTA(H$5:H3394)</f>
        <v/>
      </c>
      <c r="K3394" s="37">
        <f>AVERAGE(F$5:F3394)</f>
        <v/>
      </c>
      <c r="L3394" s="37">
        <f>SUM(F$5:F3394)/SUM(E$5:E3394)</f>
        <v/>
      </c>
    </row>
    <row r="3395">
      <c r="A3395" s="29" t="n">
        <v>46184</v>
      </c>
      <c r="B3395" s="37" t="inlineStr">
        <is>
          <t>JOB-4391</t>
        </is>
      </c>
      <c r="C3395" s="34" t="n">
        <v>1</v>
      </c>
      <c r="D3395" s="37" t="inlineStr">
        <is>
          <t>Tech F</t>
        </is>
      </c>
      <c r="E3395" s="35" t="n">
        <v>5.5</v>
      </c>
      <c r="F3395" s="35" t="n">
        <v>4.4</v>
      </c>
      <c r="G3395" s="37" t="inlineStr">
        <is>
          <t>Y</t>
        </is>
      </c>
      <c r="H3395" s="37" t="inlineStr">
        <is>
          <t>N</t>
        </is>
      </c>
      <c r="I3395" s="37">
        <f>COUNTIF(G$5:G3395,"Y")/COUNTA(G$5:G3395)</f>
        <v/>
      </c>
      <c r="J3395" s="37">
        <f>COUNTIF(H$5:H3395,"Y")/COUNTA(H$5:H3395)</f>
        <v/>
      </c>
      <c r="K3395" s="37">
        <f>AVERAGE(F$5:F3395)</f>
        <v/>
      </c>
      <c r="L3395" s="37">
        <f>SUM(F$5:F3395)/SUM(E$5:E3395)</f>
        <v/>
      </c>
    </row>
    <row r="3396">
      <c r="A3396" s="29" t="n">
        <v>46185</v>
      </c>
      <c r="B3396" s="37" t="inlineStr">
        <is>
          <t>JOB-4392</t>
        </is>
      </c>
      <c r="C3396" s="34" t="n">
        <v>1</v>
      </c>
      <c r="D3396" s="37" t="inlineStr">
        <is>
          <t>Tech G</t>
        </is>
      </c>
      <c r="E3396" s="35" t="n">
        <v>3.3</v>
      </c>
      <c r="F3396" s="35" t="n">
        <v>2.8</v>
      </c>
      <c r="G3396" s="37" t="inlineStr">
        <is>
          <t>Y</t>
        </is>
      </c>
      <c r="H3396" s="37" t="inlineStr">
        <is>
          <t>N</t>
        </is>
      </c>
      <c r="I3396" s="37">
        <f>COUNTIF(G$5:G3396,"Y")/COUNTA(G$5:G3396)</f>
        <v/>
      </c>
      <c r="J3396" s="37">
        <f>COUNTIF(H$5:H3396,"Y")/COUNTA(H$5:H3396)</f>
        <v/>
      </c>
      <c r="K3396" s="37">
        <f>AVERAGE(F$5:F3396)</f>
        <v/>
      </c>
      <c r="L3396" s="37">
        <f>SUM(F$5:F3396)/SUM(E$5:E3396)</f>
        <v/>
      </c>
    </row>
    <row r="3397">
      <c r="A3397" s="29" t="n">
        <v>46181</v>
      </c>
      <c r="B3397" s="37" t="inlineStr">
        <is>
          <t>JOB-4393</t>
        </is>
      </c>
      <c r="C3397" s="34" t="n">
        <v>1</v>
      </c>
      <c r="D3397" s="37" t="inlineStr">
        <is>
          <t>Tech C</t>
        </is>
      </c>
      <c r="E3397" s="35" t="n">
        <v>4.9</v>
      </c>
      <c r="F3397" s="35" t="n">
        <v>4</v>
      </c>
      <c r="G3397" s="37" t="inlineStr">
        <is>
          <t>Y</t>
        </is>
      </c>
      <c r="H3397" s="37" t="inlineStr">
        <is>
          <t>Y</t>
        </is>
      </c>
      <c r="I3397" s="37">
        <f>COUNTIF(G$5:G3397,"Y")/COUNTA(G$5:G3397)</f>
        <v/>
      </c>
      <c r="J3397" s="37">
        <f>COUNTIF(H$5:H3397,"Y")/COUNTA(H$5:H3397)</f>
        <v/>
      </c>
      <c r="K3397" s="37">
        <f>AVERAGE(F$5:F3397)</f>
        <v/>
      </c>
      <c r="L3397" s="37">
        <f>SUM(F$5:F3397)/SUM(E$5:E3397)</f>
        <v/>
      </c>
    </row>
    <row r="3398">
      <c r="A3398" s="29" t="n">
        <v>46182</v>
      </c>
      <c r="B3398" s="37" t="inlineStr">
        <is>
          <t>JOB-4394</t>
        </is>
      </c>
      <c r="C3398" s="34" t="n">
        <v>1</v>
      </c>
      <c r="D3398" s="37" t="inlineStr">
        <is>
          <t>Tech F</t>
        </is>
      </c>
      <c r="E3398" s="35" t="n">
        <v>3.3</v>
      </c>
      <c r="F3398" s="35" t="n">
        <v>2.7</v>
      </c>
      <c r="G3398" s="37" t="inlineStr">
        <is>
          <t>Y</t>
        </is>
      </c>
      <c r="H3398" s="37" t="inlineStr">
        <is>
          <t>N</t>
        </is>
      </c>
      <c r="I3398" s="37">
        <f>COUNTIF(G$5:G3398,"Y")/COUNTA(G$5:G3398)</f>
        <v/>
      </c>
      <c r="J3398" s="37">
        <f>COUNTIF(H$5:H3398,"Y")/COUNTA(H$5:H3398)</f>
        <v/>
      </c>
      <c r="K3398" s="37">
        <f>AVERAGE(F$5:F3398)</f>
        <v/>
      </c>
      <c r="L3398" s="37">
        <f>SUM(F$5:F3398)/SUM(E$5:E3398)</f>
        <v/>
      </c>
    </row>
    <row r="3399">
      <c r="A3399" s="29" t="n">
        <v>46183</v>
      </c>
      <c r="B3399" s="37" t="inlineStr">
        <is>
          <t>JOB-4395</t>
        </is>
      </c>
      <c r="C3399" s="34" t="n">
        <v>1</v>
      </c>
      <c r="D3399" s="37" t="inlineStr">
        <is>
          <t>Tech G</t>
        </is>
      </c>
      <c r="E3399" s="35" t="n">
        <v>2.2</v>
      </c>
      <c r="F3399" s="35" t="n">
        <v>1.8</v>
      </c>
      <c r="G3399" s="37" t="inlineStr">
        <is>
          <t>Y</t>
        </is>
      </c>
      <c r="H3399" s="37" t="inlineStr">
        <is>
          <t>N</t>
        </is>
      </c>
      <c r="I3399" s="37">
        <f>COUNTIF(G$5:G3399,"Y")/COUNTA(G$5:G3399)</f>
        <v/>
      </c>
      <c r="J3399" s="37">
        <f>COUNTIF(H$5:H3399,"Y")/COUNTA(H$5:H3399)</f>
        <v/>
      </c>
      <c r="K3399" s="37">
        <f>AVERAGE(F$5:F3399)</f>
        <v/>
      </c>
      <c r="L3399" s="37">
        <f>SUM(F$5:F3399)/SUM(E$5:E3399)</f>
        <v/>
      </c>
    </row>
    <row r="3400">
      <c r="A3400" s="29" t="n">
        <v>46184</v>
      </c>
      <c r="B3400" s="37" t="inlineStr">
        <is>
          <t>JOB-4396</t>
        </is>
      </c>
      <c r="C3400" s="34" t="n">
        <v>1</v>
      </c>
      <c r="D3400" s="37" t="inlineStr">
        <is>
          <t>Tech C</t>
        </is>
      </c>
      <c r="E3400" s="35" t="n">
        <v>2</v>
      </c>
      <c r="F3400" s="35" t="n">
        <v>1.6</v>
      </c>
      <c r="G3400" s="37" t="inlineStr">
        <is>
          <t>Y</t>
        </is>
      </c>
      <c r="H3400" s="37" t="inlineStr">
        <is>
          <t>N</t>
        </is>
      </c>
      <c r="I3400" s="37">
        <f>COUNTIF(G$5:G3400,"Y")/COUNTA(G$5:G3400)</f>
        <v/>
      </c>
      <c r="J3400" s="37">
        <f>COUNTIF(H$5:H3400,"Y")/COUNTA(H$5:H3400)</f>
        <v/>
      </c>
      <c r="K3400" s="37">
        <f>AVERAGE(F$5:F3400)</f>
        <v/>
      </c>
      <c r="L3400" s="37">
        <f>SUM(F$5:F3400)/SUM(E$5:E3400)</f>
        <v/>
      </c>
    </row>
    <row r="3401">
      <c r="A3401" s="29" t="n">
        <v>46185</v>
      </c>
      <c r="B3401" s="37" t="inlineStr">
        <is>
          <t>JOB-4397</t>
        </is>
      </c>
      <c r="C3401" s="34" t="n">
        <v>1</v>
      </c>
      <c r="D3401" s="37" t="inlineStr">
        <is>
          <t>Tech D</t>
        </is>
      </c>
      <c r="E3401" s="35" t="n">
        <v>3.2</v>
      </c>
      <c r="F3401" s="35" t="n">
        <v>2.3</v>
      </c>
      <c r="G3401" s="37" t="inlineStr">
        <is>
          <t>Y</t>
        </is>
      </c>
      <c r="H3401" s="37" t="inlineStr">
        <is>
          <t>N</t>
        </is>
      </c>
      <c r="I3401" s="37">
        <f>COUNTIF(G$5:G3401,"Y")/COUNTA(G$5:G3401)</f>
        <v/>
      </c>
      <c r="J3401" s="37">
        <f>COUNTIF(H$5:H3401,"Y")/COUNTA(H$5:H3401)</f>
        <v/>
      </c>
      <c r="K3401" s="37">
        <f>AVERAGE(F$5:F3401)</f>
        <v/>
      </c>
      <c r="L3401" s="37">
        <f>SUM(F$5:F3401)/SUM(E$5:E3401)</f>
        <v/>
      </c>
    </row>
    <row r="3402">
      <c r="A3402" s="29" t="n">
        <v>46181</v>
      </c>
      <c r="B3402" s="37" t="inlineStr">
        <is>
          <t>JOB-4398</t>
        </is>
      </c>
      <c r="C3402" s="34" t="n">
        <v>1</v>
      </c>
      <c r="D3402" s="37" t="inlineStr">
        <is>
          <t>Tech B</t>
        </is>
      </c>
      <c r="E3402" s="35" t="n">
        <v>4.1</v>
      </c>
      <c r="F3402" s="35" t="n">
        <v>3.2</v>
      </c>
      <c r="G3402" s="37" t="inlineStr">
        <is>
          <t>N</t>
        </is>
      </c>
      <c r="H3402" s="37" t="inlineStr">
        <is>
          <t>N</t>
        </is>
      </c>
      <c r="I3402" s="37">
        <f>COUNTIF(G$5:G3402,"Y")/COUNTA(G$5:G3402)</f>
        <v/>
      </c>
      <c r="J3402" s="37">
        <f>COUNTIF(H$5:H3402,"Y")/COUNTA(H$5:H3402)</f>
        <v/>
      </c>
      <c r="K3402" s="37">
        <f>AVERAGE(F$5:F3402)</f>
        <v/>
      </c>
      <c r="L3402" s="37">
        <f>SUM(F$5:F3402)/SUM(E$5:E3402)</f>
        <v/>
      </c>
    </row>
    <row r="3403">
      <c r="A3403" s="29" t="n">
        <v>46182</v>
      </c>
      <c r="B3403" s="37" t="inlineStr">
        <is>
          <t>JOB-4399</t>
        </is>
      </c>
      <c r="C3403" s="34" t="n">
        <v>1</v>
      </c>
      <c r="D3403" s="37" t="inlineStr">
        <is>
          <t>Tech D</t>
        </is>
      </c>
      <c r="E3403" s="35" t="n">
        <v>2.2</v>
      </c>
      <c r="F3403" s="35" t="n">
        <v>1.9</v>
      </c>
      <c r="G3403" s="37" t="inlineStr">
        <is>
          <t>Y</t>
        </is>
      </c>
      <c r="H3403" s="37" t="inlineStr">
        <is>
          <t>N</t>
        </is>
      </c>
      <c r="I3403" s="37">
        <f>COUNTIF(G$5:G3403,"Y")/COUNTA(G$5:G3403)</f>
        <v/>
      </c>
      <c r="J3403" s="37">
        <f>COUNTIF(H$5:H3403,"Y")/COUNTA(H$5:H3403)</f>
        <v/>
      </c>
      <c r="K3403" s="37">
        <f>AVERAGE(F$5:F3403)</f>
        <v/>
      </c>
      <c r="L3403" s="37">
        <f>SUM(F$5:F3403)/SUM(E$5:E3403)</f>
        <v/>
      </c>
    </row>
    <row r="3404">
      <c r="A3404" s="29" t="n">
        <v>46183</v>
      </c>
      <c r="B3404" s="37" t="inlineStr">
        <is>
          <t>JOB-4400</t>
        </is>
      </c>
      <c r="C3404" s="34" t="n">
        <v>1</v>
      </c>
      <c r="D3404" s="37" t="inlineStr">
        <is>
          <t>Tech B</t>
        </is>
      </c>
      <c r="E3404" s="35" t="n">
        <v>2.1</v>
      </c>
      <c r="F3404" s="35" t="n">
        <v>1.5</v>
      </c>
      <c r="G3404" s="37" t="inlineStr">
        <is>
          <t>N</t>
        </is>
      </c>
      <c r="H3404" s="37" t="inlineStr">
        <is>
          <t>N</t>
        </is>
      </c>
      <c r="I3404" s="37">
        <f>COUNTIF(G$5:G3404,"Y")/COUNTA(G$5:G3404)</f>
        <v/>
      </c>
      <c r="J3404" s="37">
        <f>COUNTIF(H$5:H3404,"Y")/COUNTA(H$5:H3404)</f>
        <v/>
      </c>
      <c r="K3404" s="37">
        <f>AVERAGE(F$5:F3404)</f>
        <v/>
      </c>
      <c r="L3404" s="37">
        <f>SUM(F$5:F3404)/SUM(E$5:E3404)</f>
        <v/>
      </c>
    </row>
    <row r="3405">
      <c r="A3405" s="29" t="n">
        <v>46184</v>
      </c>
      <c r="B3405" s="37" t="inlineStr">
        <is>
          <t>JOB-4401</t>
        </is>
      </c>
      <c r="C3405" s="34" t="n">
        <v>1</v>
      </c>
      <c r="D3405" s="37" t="inlineStr">
        <is>
          <t>Tech H</t>
        </is>
      </c>
      <c r="E3405" s="35" t="n">
        <v>3.9</v>
      </c>
      <c r="F3405" s="35" t="n">
        <v>2.7</v>
      </c>
      <c r="G3405" s="37" t="inlineStr">
        <is>
          <t>Y</t>
        </is>
      </c>
      <c r="H3405" s="37" t="inlineStr">
        <is>
          <t>N</t>
        </is>
      </c>
      <c r="I3405" s="37">
        <f>COUNTIF(G$5:G3405,"Y")/COUNTA(G$5:G3405)</f>
        <v/>
      </c>
      <c r="J3405" s="37">
        <f>COUNTIF(H$5:H3405,"Y")/COUNTA(H$5:H3405)</f>
        <v/>
      </c>
      <c r="K3405" s="37">
        <f>AVERAGE(F$5:F3405)</f>
        <v/>
      </c>
      <c r="L3405" s="37">
        <f>SUM(F$5:F3405)/SUM(E$5:E3405)</f>
        <v/>
      </c>
    </row>
    <row r="3406">
      <c r="A3406" s="29" t="n">
        <v>46185</v>
      </c>
      <c r="B3406" s="37" t="inlineStr">
        <is>
          <t>JOB-4402</t>
        </is>
      </c>
      <c r="C3406" s="34" t="n">
        <v>1</v>
      </c>
      <c r="D3406" s="37" t="inlineStr">
        <is>
          <t>Tech A</t>
        </is>
      </c>
      <c r="E3406" s="35" t="n">
        <v>3.5</v>
      </c>
      <c r="F3406" s="35" t="n">
        <v>2.5</v>
      </c>
      <c r="G3406" s="37" t="inlineStr">
        <is>
          <t>Y</t>
        </is>
      </c>
      <c r="H3406" s="37" t="inlineStr">
        <is>
          <t>N</t>
        </is>
      </c>
      <c r="I3406" s="37">
        <f>COUNTIF(G$5:G3406,"Y")/COUNTA(G$5:G3406)</f>
        <v/>
      </c>
      <c r="J3406" s="37">
        <f>COUNTIF(H$5:H3406,"Y")/COUNTA(H$5:H3406)</f>
        <v/>
      </c>
      <c r="K3406" s="37">
        <f>AVERAGE(F$5:F3406)</f>
        <v/>
      </c>
      <c r="L3406" s="37">
        <f>SUM(F$5:F3406)/SUM(E$5:E3406)</f>
        <v/>
      </c>
    </row>
    <row r="3407">
      <c r="A3407" s="29" t="n">
        <v>46181</v>
      </c>
      <c r="B3407" s="37" t="inlineStr">
        <is>
          <t>JOB-4403</t>
        </is>
      </c>
      <c r="C3407" s="34" t="n">
        <v>1</v>
      </c>
      <c r="D3407" s="37" t="inlineStr">
        <is>
          <t>Tech H</t>
        </is>
      </c>
      <c r="E3407" s="35" t="n">
        <v>3.4</v>
      </c>
      <c r="F3407" s="35" t="n">
        <v>2.5</v>
      </c>
      <c r="G3407" s="37" t="inlineStr">
        <is>
          <t>N</t>
        </is>
      </c>
      <c r="H3407" s="37" t="inlineStr">
        <is>
          <t>N</t>
        </is>
      </c>
      <c r="I3407" s="37">
        <f>COUNTIF(G$5:G3407,"Y")/COUNTA(G$5:G3407)</f>
        <v/>
      </c>
      <c r="J3407" s="37">
        <f>COUNTIF(H$5:H3407,"Y")/COUNTA(H$5:H3407)</f>
        <v/>
      </c>
      <c r="K3407" s="37">
        <f>AVERAGE(F$5:F3407)</f>
        <v/>
      </c>
      <c r="L3407" s="37">
        <f>SUM(F$5:F3407)/SUM(E$5:E3407)</f>
        <v/>
      </c>
    </row>
    <row r="3408">
      <c r="A3408" s="29" t="n">
        <v>46182</v>
      </c>
      <c r="B3408" s="37" t="inlineStr">
        <is>
          <t>JOB-4404</t>
        </is>
      </c>
      <c r="C3408" s="34" t="n">
        <v>1</v>
      </c>
      <c r="D3408" s="37" t="inlineStr">
        <is>
          <t>Tech B</t>
        </is>
      </c>
      <c r="E3408" s="35" t="n">
        <v>3.1</v>
      </c>
      <c r="F3408" s="35" t="n">
        <v>2.1</v>
      </c>
      <c r="G3408" s="37" t="inlineStr">
        <is>
          <t>Y</t>
        </is>
      </c>
      <c r="H3408" s="37" t="inlineStr">
        <is>
          <t>N</t>
        </is>
      </c>
      <c r="I3408" s="37">
        <f>COUNTIF(G$5:G3408,"Y")/COUNTA(G$5:G3408)</f>
        <v/>
      </c>
      <c r="J3408" s="37">
        <f>COUNTIF(H$5:H3408,"Y")/COUNTA(H$5:H3408)</f>
        <v/>
      </c>
      <c r="K3408" s="37">
        <f>AVERAGE(F$5:F3408)</f>
        <v/>
      </c>
      <c r="L3408" s="37">
        <f>SUM(F$5:F3408)/SUM(E$5:E3408)</f>
        <v/>
      </c>
    </row>
    <row r="3409">
      <c r="A3409" s="29" t="n">
        <v>46183</v>
      </c>
      <c r="B3409" s="37" t="inlineStr">
        <is>
          <t>JOB-4405</t>
        </is>
      </c>
      <c r="C3409" s="34" t="n">
        <v>1</v>
      </c>
      <c r="D3409" s="37" t="inlineStr">
        <is>
          <t>Tech B</t>
        </is>
      </c>
      <c r="E3409" s="35" t="n">
        <v>4.1</v>
      </c>
      <c r="F3409" s="35" t="n">
        <v>2.8</v>
      </c>
      <c r="G3409" s="37" t="inlineStr">
        <is>
          <t>Y</t>
        </is>
      </c>
      <c r="H3409" s="37" t="inlineStr">
        <is>
          <t>N</t>
        </is>
      </c>
      <c r="I3409" s="37">
        <f>COUNTIF(G$5:G3409,"Y")/COUNTA(G$5:G3409)</f>
        <v/>
      </c>
      <c r="J3409" s="37">
        <f>COUNTIF(H$5:H3409,"Y")/COUNTA(H$5:H3409)</f>
        <v/>
      </c>
      <c r="K3409" s="37">
        <f>AVERAGE(F$5:F3409)</f>
        <v/>
      </c>
      <c r="L3409" s="37">
        <f>SUM(F$5:F3409)/SUM(E$5:E3409)</f>
        <v/>
      </c>
    </row>
    <row r="3410">
      <c r="A3410" s="29" t="n">
        <v>46184</v>
      </c>
      <c r="B3410" s="37" t="inlineStr">
        <is>
          <t>JOB-4406</t>
        </is>
      </c>
      <c r="C3410" s="34" t="n">
        <v>1</v>
      </c>
      <c r="D3410" s="37" t="inlineStr">
        <is>
          <t>Tech H</t>
        </is>
      </c>
      <c r="E3410" s="35" t="n">
        <v>3.8</v>
      </c>
      <c r="F3410" s="35" t="n">
        <v>3</v>
      </c>
      <c r="G3410" s="37" t="inlineStr">
        <is>
          <t>Y</t>
        </is>
      </c>
      <c r="H3410" s="37" t="inlineStr">
        <is>
          <t>N</t>
        </is>
      </c>
      <c r="I3410" s="37">
        <f>COUNTIF(G$5:G3410,"Y")/COUNTA(G$5:G3410)</f>
        <v/>
      </c>
      <c r="J3410" s="37">
        <f>COUNTIF(H$5:H3410,"Y")/COUNTA(H$5:H3410)</f>
        <v/>
      </c>
      <c r="K3410" s="37">
        <f>AVERAGE(F$5:F3410)</f>
        <v/>
      </c>
      <c r="L3410" s="37">
        <f>SUM(F$5:F3410)/SUM(E$5:E3410)</f>
        <v/>
      </c>
    </row>
    <row r="3411">
      <c r="A3411" s="29" t="n">
        <v>46185</v>
      </c>
      <c r="B3411" s="37" t="inlineStr">
        <is>
          <t>JOB-4407</t>
        </is>
      </c>
      <c r="C3411" s="34" t="n">
        <v>1</v>
      </c>
      <c r="D3411" s="37" t="inlineStr">
        <is>
          <t>Tech F</t>
        </is>
      </c>
      <c r="E3411" s="35" t="n">
        <v>4</v>
      </c>
      <c r="F3411" s="35" t="n">
        <v>2.9</v>
      </c>
      <c r="G3411" s="37" t="inlineStr">
        <is>
          <t>Y</t>
        </is>
      </c>
      <c r="H3411" s="37" t="inlineStr">
        <is>
          <t>N</t>
        </is>
      </c>
      <c r="I3411" s="37">
        <f>COUNTIF(G$5:G3411,"Y")/COUNTA(G$5:G3411)</f>
        <v/>
      </c>
      <c r="J3411" s="37">
        <f>COUNTIF(H$5:H3411,"Y")/COUNTA(H$5:H3411)</f>
        <v/>
      </c>
      <c r="K3411" s="37">
        <f>AVERAGE(F$5:F3411)</f>
        <v/>
      </c>
      <c r="L3411" s="37">
        <f>SUM(F$5:F3411)/SUM(E$5:E3411)</f>
        <v/>
      </c>
    </row>
    <row r="3412">
      <c r="A3412" s="29" t="n">
        <v>46181</v>
      </c>
      <c r="B3412" s="37" t="inlineStr">
        <is>
          <t>JOB-4408</t>
        </is>
      </c>
      <c r="C3412" s="34" t="n">
        <v>1</v>
      </c>
      <c r="D3412" s="37" t="inlineStr">
        <is>
          <t>Tech G</t>
        </is>
      </c>
      <c r="E3412" s="35" t="n">
        <v>5.5</v>
      </c>
      <c r="F3412" s="35" t="n">
        <v>4</v>
      </c>
      <c r="G3412" s="37" t="inlineStr">
        <is>
          <t>Y</t>
        </is>
      </c>
      <c r="H3412" s="37" t="inlineStr">
        <is>
          <t>N</t>
        </is>
      </c>
      <c r="I3412" s="37">
        <f>COUNTIF(G$5:G3412,"Y")/COUNTA(G$5:G3412)</f>
        <v/>
      </c>
      <c r="J3412" s="37">
        <f>COUNTIF(H$5:H3412,"Y")/COUNTA(H$5:H3412)</f>
        <v/>
      </c>
      <c r="K3412" s="37">
        <f>AVERAGE(F$5:F3412)</f>
        <v/>
      </c>
      <c r="L3412" s="37">
        <f>SUM(F$5:F3412)/SUM(E$5:E3412)</f>
        <v/>
      </c>
    </row>
    <row r="3413">
      <c r="A3413" s="29" t="n">
        <v>46182</v>
      </c>
      <c r="B3413" s="37" t="inlineStr">
        <is>
          <t>JOB-4409</t>
        </is>
      </c>
      <c r="C3413" s="34" t="n">
        <v>1</v>
      </c>
      <c r="D3413" s="37" t="inlineStr">
        <is>
          <t>Tech A</t>
        </is>
      </c>
      <c r="E3413" s="35" t="n">
        <v>3.6</v>
      </c>
      <c r="F3413" s="35" t="n">
        <v>2.5</v>
      </c>
      <c r="G3413" s="37" t="inlineStr">
        <is>
          <t>Y</t>
        </is>
      </c>
      <c r="H3413" s="37" t="inlineStr">
        <is>
          <t>N</t>
        </is>
      </c>
      <c r="I3413" s="37">
        <f>COUNTIF(G$5:G3413,"Y")/COUNTA(G$5:G3413)</f>
        <v/>
      </c>
      <c r="J3413" s="37">
        <f>COUNTIF(H$5:H3413,"Y")/COUNTA(H$5:H3413)</f>
        <v/>
      </c>
      <c r="K3413" s="37">
        <f>AVERAGE(F$5:F3413)</f>
        <v/>
      </c>
      <c r="L3413" s="37">
        <f>SUM(F$5:F3413)/SUM(E$5:E3413)</f>
        <v/>
      </c>
    </row>
    <row r="3414">
      <c r="A3414" s="29" t="n">
        <v>46183</v>
      </c>
      <c r="B3414" s="37" t="inlineStr">
        <is>
          <t>JOB-4410</t>
        </is>
      </c>
      <c r="C3414" s="34" t="n">
        <v>1</v>
      </c>
      <c r="D3414" s="37" t="inlineStr">
        <is>
          <t>Tech A</t>
        </is>
      </c>
      <c r="E3414" s="35" t="n">
        <v>4.5</v>
      </c>
      <c r="F3414" s="35" t="n">
        <v>3.2</v>
      </c>
      <c r="G3414" s="37" t="inlineStr">
        <is>
          <t>Y</t>
        </is>
      </c>
      <c r="H3414" s="37" t="inlineStr">
        <is>
          <t>N</t>
        </is>
      </c>
      <c r="I3414" s="37">
        <f>COUNTIF(G$5:G3414,"Y")/COUNTA(G$5:G3414)</f>
        <v/>
      </c>
      <c r="J3414" s="37">
        <f>COUNTIF(H$5:H3414,"Y")/COUNTA(H$5:H3414)</f>
        <v/>
      </c>
      <c r="K3414" s="37">
        <f>AVERAGE(F$5:F3414)</f>
        <v/>
      </c>
      <c r="L3414" s="37">
        <f>SUM(F$5:F3414)/SUM(E$5:E3414)</f>
        <v/>
      </c>
    </row>
    <row r="3415">
      <c r="A3415" s="29" t="n">
        <v>46184</v>
      </c>
      <c r="B3415" s="37" t="inlineStr">
        <is>
          <t>JOB-4411</t>
        </is>
      </c>
      <c r="C3415" s="34" t="n">
        <v>1</v>
      </c>
      <c r="D3415" s="37" t="inlineStr">
        <is>
          <t>Tech D</t>
        </is>
      </c>
      <c r="E3415" s="35" t="n">
        <v>3.6</v>
      </c>
      <c r="F3415" s="35" t="n">
        <v>2.5</v>
      </c>
      <c r="G3415" s="37" t="inlineStr">
        <is>
          <t>Y</t>
        </is>
      </c>
      <c r="H3415" s="37" t="inlineStr">
        <is>
          <t>N</t>
        </is>
      </c>
      <c r="I3415" s="37">
        <f>COUNTIF(G$5:G3415,"Y")/COUNTA(G$5:G3415)</f>
        <v/>
      </c>
      <c r="J3415" s="37">
        <f>COUNTIF(H$5:H3415,"Y")/COUNTA(H$5:H3415)</f>
        <v/>
      </c>
      <c r="K3415" s="37">
        <f>AVERAGE(F$5:F3415)</f>
        <v/>
      </c>
      <c r="L3415" s="37">
        <f>SUM(F$5:F3415)/SUM(E$5:E3415)</f>
        <v/>
      </c>
    </row>
    <row r="3416">
      <c r="A3416" s="29" t="n">
        <v>46185</v>
      </c>
      <c r="B3416" s="37" t="inlineStr">
        <is>
          <t>JOB-4412</t>
        </is>
      </c>
      <c r="C3416" s="34" t="n">
        <v>1</v>
      </c>
      <c r="D3416" s="37" t="inlineStr">
        <is>
          <t>Tech B</t>
        </is>
      </c>
      <c r="E3416" s="35" t="n">
        <v>2.4</v>
      </c>
      <c r="F3416" s="35" t="n">
        <v>1.9</v>
      </c>
      <c r="G3416" s="37" t="inlineStr">
        <is>
          <t>Y</t>
        </is>
      </c>
      <c r="H3416" s="37" t="inlineStr">
        <is>
          <t>N</t>
        </is>
      </c>
      <c r="I3416" s="37">
        <f>COUNTIF(G$5:G3416,"Y")/COUNTA(G$5:G3416)</f>
        <v/>
      </c>
      <c r="J3416" s="37">
        <f>COUNTIF(H$5:H3416,"Y")/COUNTA(H$5:H3416)</f>
        <v/>
      </c>
      <c r="K3416" s="37">
        <f>AVERAGE(F$5:F3416)</f>
        <v/>
      </c>
      <c r="L3416" s="37">
        <f>SUM(F$5:F3416)/SUM(E$5:E3416)</f>
        <v/>
      </c>
    </row>
    <row r="3417">
      <c r="A3417" s="29" t="n">
        <v>46181</v>
      </c>
      <c r="B3417" s="37" t="inlineStr">
        <is>
          <t>JOB-4413</t>
        </is>
      </c>
      <c r="C3417" s="34" t="n">
        <v>1</v>
      </c>
      <c r="D3417" s="37" t="inlineStr">
        <is>
          <t>Tech A</t>
        </is>
      </c>
      <c r="E3417" s="35" t="n">
        <v>3.2</v>
      </c>
      <c r="F3417" s="35" t="n">
        <v>2.6</v>
      </c>
      <c r="G3417" s="37" t="inlineStr">
        <is>
          <t>Y</t>
        </is>
      </c>
      <c r="H3417" s="37" t="inlineStr">
        <is>
          <t>N</t>
        </is>
      </c>
      <c r="I3417" s="37">
        <f>COUNTIF(G$5:G3417,"Y")/COUNTA(G$5:G3417)</f>
        <v/>
      </c>
      <c r="J3417" s="37">
        <f>COUNTIF(H$5:H3417,"Y")/COUNTA(H$5:H3417)</f>
        <v/>
      </c>
      <c r="K3417" s="37">
        <f>AVERAGE(F$5:F3417)</f>
        <v/>
      </c>
      <c r="L3417" s="37">
        <f>SUM(F$5:F3417)/SUM(E$5:E3417)</f>
        <v/>
      </c>
    </row>
    <row r="3418">
      <c r="A3418" s="29" t="n">
        <v>46182</v>
      </c>
      <c r="B3418" s="37" t="inlineStr">
        <is>
          <t>JOB-4414</t>
        </is>
      </c>
      <c r="C3418" s="34" t="n">
        <v>1</v>
      </c>
      <c r="D3418" s="37" t="inlineStr">
        <is>
          <t>Tech C</t>
        </is>
      </c>
      <c r="E3418" s="35" t="n">
        <v>2.7</v>
      </c>
      <c r="F3418" s="35" t="n">
        <v>2.2</v>
      </c>
      <c r="G3418" s="37" t="inlineStr">
        <is>
          <t>Y</t>
        </is>
      </c>
      <c r="H3418" s="37" t="inlineStr">
        <is>
          <t>Y</t>
        </is>
      </c>
      <c r="I3418" s="37">
        <f>COUNTIF(G$5:G3418,"Y")/COUNTA(G$5:G3418)</f>
        <v/>
      </c>
      <c r="J3418" s="37">
        <f>COUNTIF(H$5:H3418,"Y")/COUNTA(H$5:H3418)</f>
        <v/>
      </c>
      <c r="K3418" s="37">
        <f>AVERAGE(F$5:F3418)</f>
        <v/>
      </c>
      <c r="L3418" s="37">
        <f>SUM(F$5:F3418)/SUM(E$5:E3418)</f>
        <v/>
      </c>
    </row>
    <row r="3419">
      <c r="A3419" s="29" t="n">
        <v>46183</v>
      </c>
      <c r="B3419" s="37" t="inlineStr">
        <is>
          <t>JOB-4415</t>
        </is>
      </c>
      <c r="C3419" s="34" t="n">
        <v>1</v>
      </c>
      <c r="D3419" s="37" t="inlineStr">
        <is>
          <t>Tech D</t>
        </is>
      </c>
      <c r="E3419" s="35" t="n">
        <v>4.2</v>
      </c>
      <c r="F3419" s="35" t="n">
        <v>3.2</v>
      </c>
      <c r="G3419" s="37" t="inlineStr">
        <is>
          <t>Y</t>
        </is>
      </c>
      <c r="H3419" s="37" t="inlineStr">
        <is>
          <t>N</t>
        </is>
      </c>
      <c r="I3419" s="37">
        <f>COUNTIF(G$5:G3419,"Y")/COUNTA(G$5:G3419)</f>
        <v/>
      </c>
      <c r="J3419" s="37">
        <f>COUNTIF(H$5:H3419,"Y")/COUNTA(H$5:H3419)</f>
        <v/>
      </c>
      <c r="K3419" s="37">
        <f>AVERAGE(F$5:F3419)</f>
        <v/>
      </c>
      <c r="L3419" s="37">
        <f>SUM(F$5:F3419)/SUM(E$5:E3419)</f>
        <v/>
      </c>
    </row>
    <row r="3420">
      <c r="A3420" s="29" t="n">
        <v>46184</v>
      </c>
      <c r="B3420" s="37" t="inlineStr">
        <is>
          <t>JOB-4416</t>
        </is>
      </c>
      <c r="C3420" s="34" t="n">
        <v>1</v>
      </c>
      <c r="D3420" s="37" t="inlineStr">
        <is>
          <t>Tech F</t>
        </is>
      </c>
      <c r="E3420" s="35" t="n">
        <v>2</v>
      </c>
      <c r="F3420" s="35" t="n">
        <v>1.3</v>
      </c>
      <c r="G3420" s="37" t="inlineStr">
        <is>
          <t>Y</t>
        </is>
      </c>
      <c r="H3420" s="37" t="inlineStr">
        <is>
          <t>N</t>
        </is>
      </c>
      <c r="I3420" s="37">
        <f>COUNTIF(G$5:G3420,"Y")/COUNTA(G$5:G3420)</f>
        <v/>
      </c>
      <c r="J3420" s="37">
        <f>COUNTIF(H$5:H3420,"Y")/COUNTA(H$5:H3420)</f>
        <v/>
      </c>
      <c r="K3420" s="37">
        <f>AVERAGE(F$5:F3420)</f>
        <v/>
      </c>
      <c r="L3420" s="37">
        <f>SUM(F$5:F3420)/SUM(E$5:E3420)</f>
        <v/>
      </c>
    </row>
    <row r="3421">
      <c r="A3421" s="29" t="n">
        <v>46185</v>
      </c>
      <c r="B3421" s="37" t="inlineStr">
        <is>
          <t>JOB-4417</t>
        </is>
      </c>
      <c r="C3421" s="34" t="n">
        <v>1</v>
      </c>
      <c r="D3421" s="37" t="inlineStr">
        <is>
          <t>Tech G</t>
        </is>
      </c>
      <c r="E3421" s="35" t="n">
        <v>2.8</v>
      </c>
      <c r="F3421" s="35" t="n">
        <v>2</v>
      </c>
      <c r="G3421" s="37" t="inlineStr">
        <is>
          <t>Y</t>
        </is>
      </c>
      <c r="H3421" s="37" t="inlineStr">
        <is>
          <t>N</t>
        </is>
      </c>
      <c r="I3421" s="37">
        <f>COUNTIF(G$5:G3421,"Y")/COUNTA(G$5:G3421)</f>
        <v/>
      </c>
      <c r="J3421" s="37">
        <f>COUNTIF(H$5:H3421,"Y")/COUNTA(H$5:H3421)</f>
        <v/>
      </c>
      <c r="K3421" s="37">
        <f>AVERAGE(F$5:F3421)</f>
        <v/>
      </c>
      <c r="L3421" s="37">
        <f>SUM(F$5:F3421)/SUM(E$5:E3421)</f>
        <v/>
      </c>
    </row>
    <row r="3422">
      <c r="A3422" s="29" t="n">
        <v>46181</v>
      </c>
      <c r="B3422" s="37" t="inlineStr">
        <is>
          <t>JOB-4418</t>
        </is>
      </c>
      <c r="C3422" s="34" t="n">
        <v>1</v>
      </c>
      <c r="D3422" s="37" t="inlineStr">
        <is>
          <t>Tech D</t>
        </is>
      </c>
      <c r="E3422" s="35" t="n">
        <v>3.9</v>
      </c>
      <c r="F3422" s="35" t="n">
        <v>2.7</v>
      </c>
      <c r="G3422" s="37" t="inlineStr">
        <is>
          <t>N</t>
        </is>
      </c>
      <c r="H3422" s="37" t="inlineStr">
        <is>
          <t>N</t>
        </is>
      </c>
      <c r="I3422" s="37">
        <f>COUNTIF(G$5:G3422,"Y")/COUNTA(G$5:G3422)</f>
        <v/>
      </c>
      <c r="J3422" s="37">
        <f>COUNTIF(H$5:H3422,"Y")/COUNTA(H$5:H3422)</f>
        <v/>
      </c>
      <c r="K3422" s="37">
        <f>AVERAGE(F$5:F3422)</f>
        <v/>
      </c>
      <c r="L3422" s="37">
        <f>SUM(F$5:F3422)/SUM(E$5:E3422)</f>
        <v/>
      </c>
    </row>
    <row r="3423">
      <c r="A3423" s="29" t="n">
        <v>46182</v>
      </c>
      <c r="B3423" s="37" t="inlineStr">
        <is>
          <t>JOB-4419</t>
        </is>
      </c>
      <c r="C3423" s="34" t="n">
        <v>1</v>
      </c>
      <c r="D3423" s="37" t="inlineStr">
        <is>
          <t>Tech H</t>
        </is>
      </c>
      <c r="E3423" s="35" t="n">
        <v>3.2</v>
      </c>
      <c r="F3423" s="35" t="n">
        <v>2.5</v>
      </c>
      <c r="G3423" s="37" t="inlineStr">
        <is>
          <t>Y</t>
        </is>
      </c>
      <c r="H3423" s="37" t="inlineStr">
        <is>
          <t>N</t>
        </is>
      </c>
      <c r="I3423" s="37">
        <f>COUNTIF(G$5:G3423,"Y")/COUNTA(G$5:G3423)</f>
        <v/>
      </c>
      <c r="J3423" s="37">
        <f>COUNTIF(H$5:H3423,"Y")/COUNTA(H$5:H3423)</f>
        <v/>
      </c>
      <c r="K3423" s="37">
        <f>AVERAGE(F$5:F3423)</f>
        <v/>
      </c>
      <c r="L3423" s="37">
        <f>SUM(F$5:F3423)/SUM(E$5:E3423)</f>
        <v/>
      </c>
    </row>
    <row r="3424">
      <c r="A3424" s="29" t="n">
        <v>46183</v>
      </c>
      <c r="B3424" s="37" t="inlineStr">
        <is>
          <t>JOB-4420</t>
        </is>
      </c>
      <c r="C3424" s="34" t="n">
        <v>1</v>
      </c>
      <c r="D3424" s="37" t="inlineStr">
        <is>
          <t>Tech G</t>
        </is>
      </c>
      <c r="E3424" s="35" t="n">
        <v>3.3</v>
      </c>
      <c r="F3424" s="35" t="n">
        <v>2.5</v>
      </c>
      <c r="G3424" s="37" t="inlineStr">
        <is>
          <t>Y</t>
        </is>
      </c>
      <c r="H3424" s="37" t="inlineStr">
        <is>
          <t>N</t>
        </is>
      </c>
      <c r="I3424" s="37">
        <f>COUNTIF(G$5:G3424,"Y")/COUNTA(G$5:G3424)</f>
        <v/>
      </c>
      <c r="J3424" s="37">
        <f>COUNTIF(H$5:H3424,"Y")/COUNTA(H$5:H3424)</f>
        <v/>
      </c>
      <c r="K3424" s="37">
        <f>AVERAGE(F$5:F3424)</f>
        <v/>
      </c>
      <c r="L3424" s="37">
        <f>SUM(F$5:F3424)/SUM(E$5:E3424)</f>
        <v/>
      </c>
    </row>
    <row r="3425">
      <c r="A3425" s="29" t="n">
        <v>46184</v>
      </c>
      <c r="B3425" s="37" t="inlineStr">
        <is>
          <t>JOB-4421</t>
        </is>
      </c>
      <c r="C3425" s="34" t="n">
        <v>1</v>
      </c>
      <c r="D3425" s="37" t="inlineStr">
        <is>
          <t>Tech D</t>
        </is>
      </c>
      <c r="E3425" s="35" t="n">
        <v>3.9</v>
      </c>
      <c r="F3425" s="35" t="n">
        <v>2.6</v>
      </c>
      <c r="G3425" s="37" t="inlineStr">
        <is>
          <t>N</t>
        </is>
      </c>
      <c r="H3425" s="37" t="inlineStr">
        <is>
          <t>N</t>
        </is>
      </c>
      <c r="I3425" s="37">
        <f>COUNTIF(G$5:G3425,"Y")/COUNTA(G$5:G3425)</f>
        <v/>
      </c>
      <c r="J3425" s="37">
        <f>COUNTIF(H$5:H3425,"Y")/COUNTA(H$5:H3425)</f>
        <v/>
      </c>
      <c r="K3425" s="37">
        <f>AVERAGE(F$5:F3425)</f>
        <v/>
      </c>
      <c r="L3425" s="37">
        <f>SUM(F$5:F3425)/SUM(E$5:E3425)</f>
        <v/>
      </c>
    </row>
    <row r="3426">
      <c r="A3426" s="29" t="n">
        <v>46185</v>
      </c>
      <c r="B3426" s="37" t="inlineStr">
        <is>
          <t>JOB-4422</t>
        </is>
      </c>
      <c r="C3426" s="34" t="n">
        <v>1</v>
      </c>
      <c r="D3426" s="37" t="inlineStr">
        <is>
          <t>Tech F</t>
        </is>
      </c>
      <c r="E3426" s="35" t="n">
        <v>0.6</v>
      </c>
      <c r="F3426" s="35" t="n">
        <v>0.5</v>
      </c>
      <c r="G3426" s="37" t="inlineStr">
        <is>
          <t>Y</t>
        </is>
      </c>
      <c r="H3426" s="37" t="inlineStr">
        <is>
          <t>N</t>
        </is>
      </c>
      <c r="I3426" s="37">
        <f>COUNTIF(G$5:G3426,"Y")/COUNTA(G$5:G3426)</f>
        <v/>
      </c>
      <c r="J3426" s="37">
        <f>COUNTIF(H$5:H3426,"Y")/COUNTA(H$5:H3426)</f>
        <v/>
      </c>
      <c r="K3426" s="37">
        <f>AVERAGE(F$5:F3426)</f>
        <v/>
      </c>
      <c r="L3426" s="37">
        <f>SUM(F$5:F3426)/SUM(E$5:E3426)</f>
        <v/>
      </c>
    </row>
    <row r="3427">
      <c r="A3427" s="29" t="n">
        <v>46181</v>
      </c>
      <c r="B3427" s="37" t="inlineStr">
        <is>
          <t>JOB-4423</t>
        </is>
      </c>
      <c r="C3427" s="34" t="n">
        <v>1</v>
      </c>
      <c r="D3427" s="37" t="inlineStr">
        <is>
          <t>Tech F</t>
        </is>
      </c>
      <c r="E3427" s="35" t="n">
        <v>0.6</v>
      </c>
      <c r="F3427" s="35" t="n">
        <v>0.5</v>
      </c>
      <c r="G3427" s="37" t="inlineStr">
        <is>
          <t>Y</t>
        </is>
      </c>
      <c r="H3427" s="37" t="inlineStr">
        <is>
          <t>N</t>
        </is>
      </c>
      <c r="I3427" s="37">
        <f>COUNTIF(G$5:G3427,"Y")/COUNTA(G$5:G3427)</f>
        <v/>
      </c>
      <c r="J3427" s="37">
        <f>COUNTIF(H$5:H3427,"Y")/COUNTA(H$5:H3427)</f>
        <v/>
      </c>
      <c r="K3427" s="37">
        <f>AVERAGE(F$5:F3427)</f>
        <v/>
      </c>
      <c r="L3427" s="37">
        <f>SUM(F$5:F3427)/SUM(E$5:E3427)</f>
        <v/>
      </c>
    </row>
    <row r="3428">
      <c r="A3428" s="29" t="n">
        <v>46182</v>
      </c>
      <c r="B3428" s="37" t="inlineStr">
        <is>
          <t>JOB-4424</t>
        </is>
      </c>
      <c r="C3428" s="34" t="n">
        <v>1</v>
      </c>
      <c r="D3428" s="37" t="inlineStr">
        <is>
          <t>Tech H</t>
        </is>
      </c>
      <c r="E3428" s="35" t="n">
        <v>1.1</v>
      </c>
      <c r="F3428" s="35" t="n">
        <v>0.5</v>
      </c>
      <c r="G3428" s="37" t="inlineStr">
        <is>
          <t>Y</t>
        </is>
      </c>
      <c r="H3428" s="37" t="inlineStr">
        <is>
          <t>N</t>
        </is>
      </c>
      <c r="I3428" s="37">
        <f>COUNTIF(G$5:G3428,"Y")/COUNTA(G$5:G3428)</f>
        <v/>
      </c>
      <c r="J3428" s="37">
        <f>COUNTIF(H$5:H3428,"Y")/COUNTA(H$5:H3428)</f>
        <v/>
      </c>
      <c r="K3428" s="37">
        <f>AVERAGE(F$5:F3428)</f>
        <v/>
      </c>
      <c r="L3428" s="37">
        <f>SUM(F$5:F3428)/SUM(E$5:E3428)</f>
        <v/>
      </c>
      <c r="M3428" s="37" t="n">
        <v>6</v>
      </c>
    </row>
    <row r="3429">
      <c r="A3429" s="29" t="n">
        <v>46188</v>
      </c>
      <c r="B3429" s="37" t="inlineStr">
        <is>
          <t>JOB-4425</t>
        </is>
      </c>
      <c r="C3429" s="34" t="n">
        <v>1</v>
      </c>
      <c r="D3429" s="37" t="inlineStr">
        <is>
          <t>Tech F</t>
        </is>
      </c>
      <c r="E3429" s="35" t="n">
        <v>3.1</v>
      </c>
      <c r="F3429" s="35" t="n">
        <v>2.4</v>
      </c>
      <c r="G3429" s="37" t="inlineStr">
        <is>
          <t>Y</t>
        </is>
      </c>
      <c r="H3429" s="37" t="inlineStr">
        <is>
          <t>N</t>
        </is>
      </c>
      <c r="I3429" s="37">
        <f>COUNTIF(G$5:G3429,"Y")/COUNTA(G$5:G3429)</f>
        <v/>
      </c>
      <c r="J3429" s="37">
        <f>COUNTIF(H$5:H3429,"Y")/COUNTA(H$5:H3429)</f>
        <v/>
      </c>
      <c r="K3429" s="37">
        <f>AVERAGE(F$5:F3429)</f>
        <v/>
      </c>
      <c r="L3429" s="37">
        <f>SUM(F$5:F3429)/SUM(E$5:E3429)</f>
        <v/>
      </c>
    </row>
    <row r="3430">
      <c r="A3430" s="29" t="n">
        <v>46189</v>
      </c>
      <c r="B3430" s="37" t="inlineStr">
        <is>
          <t>JOB-4426</t>
        </is>
      </c>
      <c r="C3430" s="34" t="n">
        <v>1</v>
      </c>
      <c r="D3430" s="37" t="inlineStr">
        <is>
          <t>Tech B</t>
        </is>
      </c>
      <c r="E3430" s="35" t="n">
        <v>5.8</v>
      </c>
      <c r="F3430" s="35" t="n">
        <v>4</v>
      </c>
      <c r="G3430" s="37" t="inlineStr">
        <is>
          <t>Y</t>
        </is>
      </c>
      <c r="H3430" s="37" t="inlineStr">
        <is>
          <t>N</t>
        </is>
      </c>
      <c r="I3430" s="37">
        <f>COUNTIF(G$5:G3430,"Y")/COUNTA(G$5:G3430)</f>
        <v/>
      </c>
      <c r="J3430" s="37">
        <f>COUNTIF(H$5:H3430,"Y")/COUNTA(H$5:H3430)</f>
        <v/>
      </c>
      <c r="K3430" s="37">
        <f>AVERAGE(F$5:F3430)</f>
        <v/>
      </c>
      <c r="L3430" s="37">
        <f>SUM(F$5:F3430)/SUM(E$5:E3430)</f>
        <v/>
      </c>
    </row>
    <row r="3431">
      <c r="A3431" s="29" t="n">
        <v>46190</v>
      </c>
      <c r="B3431" s="37" t="inlineStr">
        <is>
          <t>JOB-4427</t>
        </is>
      </c>
      <c r="C3431" s="34" t="n">
        <v>1</v>
      </c>
      <c r="D3431" s="37" t="inlineStr">
        <is>
          <t>Tech H</t>
        </is>
      </c>
      <c r="E3431" s="35" t="n">
        <v>2.9</v>
      </c>
      <c r="F3431" s="35" t="n">
        <v>2.2</v>
      </c>
      <c r="G3431" s="37" t="inlineStr">
        <is>
          <t>Y</t>
        </is>
      </c>
      <c r="H3431" s="37" t="inlineStr">
        <is>
          <t>N</t>
        </is>
      </c>
      <c r="I3431" s="37">
        <f>COUNTIF(G$5:G3431,"Y")/COUNTA(G$5:G3431)</f>
        <v/>
      </c>
      <c r="J3431" s="37">
        <f>COUNTIF(H$5:H3431,"Y")/COUNTA(H$5:H3431)</f>
        <v/>
      </c>
      <c r="K3431" s="37">
        <f>AVERAGE(F$5:F3431)</f>
        <v/>
      </c>
      <c r="L3431" s="37">
        <f>SUM(F$5:F3431)/SUM(E$5:E3431)</f>
        <v/>
      </c>
    </row>
    <row r="3432">
      <c r="A3432" s="29" t="n">
        <v>46191</v>
      </c>
      <c r="B3432" s="37" t="inlineStr">
        <is>
          <t>JOB-4428</t>
        </is>
      </c>
      <c r="C3432" s="34" t="n">
        <v>1</v>
      </c>
      <c r="D3432" s="37" t="inlineStr">
        <is>
          <t>Tech H</t>
        </is>
      </c>
      <c r="E3432" s="35" t="n">
        <v>4.6</v>
      </c>
      <c r="F3432" s="35" t="n">
        <v>3.3</v>
      </c>
      <c r="G3432" s="37" t="inlineStr">
        <is>
          <t>N</t>
        </is>
      </c>
      <c r="H3432" s="37" t="inlineStr">
        <is>
          <t>N</t>
        </is>
      </c>
      <c r="I3432" s="37">
        <f>COUNTIF(G$5:G3432,"Y")/COUNTA(G$5:G3432)</f>
        <v/>
      </c>
      <c r="J3432" s="37">
        <f>COUNTIF(H$5:H3432,"Y")/COUNTA(H$5:H3432)</f>
        <v/>
      </c>
      <c r="K3432" s="37">
        <f>AVERAGE(F$5:F3432)</f>
        <v/>
      </c>
      <c r="L3432" s="37">
        <f>SUM(F$5:F3432)/SUM(E$5:E3432)</f>
        <v/>
      </c>
    </row>
    <row r="3433">
      <c r="A3433" s="29" t="n">
        <v>46192</v>
      </c>
      <c r="B3433" s="37" t="inlineStr">
        <is>
          <t>JOB-4429</t>
        </is>
      </c>
      <c r="C3433" s="34" t="n">
        <v>1</v>
      </c>
      <c r="D3433" s="37" t="inlineStr">
        <is>
          <t>Tech G</t>
        </is>
      </c>
      <c r="E3433" s="35" t="n">
        <v>4.4</v>
      </c>
      <c r="F3433" s="35" t="n">
        <v>3.4</v>
      </c>
      <c r="G3433" s="37" t="inlineStr">
        <is>
          <t>Y</t>
        </is>
      </c>
      <c r="H3433" s="37" t="inlineStr">
        <is>
          <t>N</t>
        </is>
      </c>
      <c r="I3433" s="37">
        <f>COUNTIF(G$5:G3433,"Y")/COUNTA(G$5:G3433)</f>
        <v/>
      </c>
      <c r="J3433" s="37">
        <f>COUNTIF(H$5:H3433,"Y")/COUNTA(H$5:H3433)</f>
        <v/>
      </c>
      <c r="K3433" s="37">
        <f>AVERAGE(F$5:F3433)</f>
        <v/>
      </c>
      <c r="L3433" s="37">
        <f>SUM(F$5:F3433)/SUM(E$5:E3433)</f>
        <v/>
      </c>
    </row>
    <row r="3434">
      <c r="A3434" s="29" t="n">
        <v>46188</v>
      </c>
      <c r="B3434" s="37" t="inlineStr">
        <is>
          <t>JOB-4430</t>
        </is>
      </c>
      <c r="C3434" s="34" t="n">
        <v>1</v>
      </c>
      <c r="D3434" s="37" t="inlineStr">
        <is>
          <t>Tech H</t>
        </is>
      </c>
      <c r="E3434" s="35" t="n">
        <v>3.1</v>
      </c>
      <c r="F3434" s="35" t="n">
        <v>2.4</v>
      </c>
      <c r="G3434" s="37" t="inlineStr">
        <is>
          <t>Y</t>
        </is>
      </c>
      <c r="H3434" s="37" t="inlineStr">
        <is>
          <t>N</t>
        </is>
      </c>
      <c r="I3434" s="37">
        <f>COUNTIF(G$5:G3434,"Y")/COUNTA(G$5:G3434)</f>
        <v/>
      </c>
      <c r="J3434" s="37">
        <f>COUNTIF(H$5:H3434,"Y")/COUNTA(H$5:H3434)</f>
        <v/>
      </c>
      <c r="K3434" s="37">
        <f>AVERAGE(F$5:F3434)</f>
        <v/>
      </c>
      <c r="L3434" s="37">
        <f>SUM(F$5:F3434)/SUM(E$5:E3434)</f>
        <v/>
      </c>
    </row>
    <row r="3435">
      <c r="A3435" s="29" t="n">
        <v>46189</v>
      </c>
      <c r="B3435" s="37" t="inlineStr">
        <is>
          <t>JOB-4431</t>
        </is>
      </c>
      <c r="C3435" s="34" t="n">
        <v>1</v>
      </c>
      <c r="D3435" s="37" t="inlineStr">
        <is>
          <t>Tech F</t>
        </is>
      </c>
      <c r="E3435" s="35" t="n">
        <v>3.6</v>
      </c>
      <c r="F3435" s="35" t="n">
        <v>2.6</v>
      </c>
      <c r="G3435" s="37" t="inlineStr">
        <is>
          <t>Y</t>
        </is>
      </c>
      <c r="H3435" s="37" t="inlineStr">
        <is>
          <t>N</t>
        </is>
      </c>
      <c r="I3435" s="37">
        <f>COUNTIF(G$5:G3435,"Y")/COUNTA(G$5:G3435)</f>
        <v/>
      </c>
      <c r="J3435" s="37">
        <f>COUNTIF(H$5:H3435,"Y")/COUNTA(H$5:H3435)</f>
        <v/>
      </c>
      <c r="K3435" s="37">
        <f>AVERAGE(F$5:F3435)</f>
        <v/>
      </c>
      <c r="L3435" s="37">
        <f>SUM(F$5:F3435)/SUM(E$5:E3435)</f>
        <v/>
      </c>
    </row>
    <row r="3436">
      <c r="A3436" s="29" t="n">
        <v>46190</v>
      </c>
      <c r="B3436" s="37" t="inlineStr">
        <is>
          <t>JOB-4432</t>
        </is>
      </c>
      <c r="C3436" s="34" t="n">
        <v>1</v>
      </c>
      <c r="D3436" s="37" t="inlineStr">
        <is>
          <t>Tech F</t>
        </is>
      </c>
      <c r="E3436" s="35" t="n">
        <v>2.4</v>
      </c>
      <c r="F3436" s="35" t="n">
        <v>1.8</v>
      </c>
      <c r="G3436" s="37" t="inlineStr">
        <is>
          <t>Y</t>
        </is>
      </c>
      <c r="H3436" s="37" t="inlineStr">
        <is>
          <t>N</t>
        </is>
      </c>
      <c r="I3436" s="37">
        <f>COUNTIF(G$5:G3436,"Y")/COUNTA(G$5:G3436)</f>
        <v/>
      </c>
      <c r="J3436" s="37">
        <f>COUNTIF(H$5:H3436,"Y")/COUNTA(H$5:H3436)</f>
        <v/>
      </c>
      <c r="K3436" s="37">
        <f>AVERAGE(F$5:F3436)</f>
        <v/>
      </c>
      <c r="L3436" s="37">
        <f>SUM(F$5:F3436)/SUM(E$5:E3436)</f>
        <v/>
      </c>
    </row>
    <row r="3437">
      <c r="A3437" s="29" t="n">
        <v>46191</v>
      </c>
      <c r="B3437" s="37" t="inlineStr">
        <is>
          <t>JOB-4433</t>
        </is>
      </c>
      <c r="C3437" s="34" t="n">
        <v>1</v>
      </c>
      <c r="D3437" s="37" t="inlineStr">
        <is>
          <t>Tech H</t>
        </is>
      </c>
      <c r="E3437" s="35" t="n">
        <v>2.7</v>
      </c>
      <c r="F3437" s="35" t="n">
        <v>2.2</v>
      </c>
      <c r="G3437" s="37" t="inlineStr">
        <is>
          <t>Y</t>
        </is>
      </c>
      <c r="H3437" s="37" t="inlineStr">
        <is>
          <t>N</t>
        </is>
      </c>
      <c r="I3437" s="37">
        <f>COUNTIF(G$5:G3437,"Y")/COUNTA(G$5:G3437)</f>
        <v/>
      </c>
      <c r="J3437" s="37">
        <f>COUNTIF(H$5:H3437,"Y")/COUNTA(H$5:H3437)</f>
        <v/>
      </c>
      <c r="K3437" s="37">
        <f>AVERAGE(F$5:F3437)</f>
        <v/>
      </c>
      <c r="L3437" s="37">
        <f>SUM(F$5:F3437)/SUM(E$5:E3437)</f>
        <v/>
      </c>
    </row>
    <row r="3438">
      <c r="A3438" s="29" t="n">
        <v>46192</v>
      </c>
      <c r="B3438" s="37" t="inlineStr">
        <is>
          <t>JOB-4434</t>
        </is>
      </c>
      <c r="C3438" s="34" t="n">
        <v>1</v>
      </c>
      <c r="D3438" s="37" t="inlineStr">
        <is>
          <t>Tech C</t>
        </is>
      </c>
      <c r="E3438" s="35" t="n">
        <v>3.7</v>
      </c>
      <c r="F3438" s="35" t="n">
        <v>3</v>
      </c>
      <c r="G3438" s="37" t="inlineStr">
        <is>
          <t>Y</t>
        </is>
      </c>
      <c r="H3438" s="37" t="inlineStr">
        <is>
          <t>N</t>
        </is>
      </c>
      <c r="I3438" s="37">
        <f>COUNTIF(G$5:G3438,"Y")/COUNTA(G$5:G3438)</f>
        <v/>
      </c>
      <c r="J3438" s="37">
        <f>COUNTIF(H$5:H3438,"Y")/COUNTA(H$5:H3438)</f>
        <v/>
      </c>
      <c r="K3438" s="37">
        <f>AVERAGE(F$5:F3438)</f>
        <v/>
      </c>
      <c r="L3438" s="37">
        <f>SUM(F$5:F3438)/SUM(E$5:E3438)</f>
        <v/>
      </c>
    </row>
    <row r="3439">
      <c r="A3439" s="29" t="n">
        <v>46188</v>
      </c>
      <c r="B3439" s="37" t="inlineStr">
        <is>
          <t>JOB-4435</t>
        </is>
      </c>
      <c r="C3439" s="34" t="n">
        <v>1</v>
      </c>
      <c r="D3439" s="37" t="inlineStr">
        <is>
          <t>Tech G</t>
        </is>
      </c>
      <c r="E3439" s="35" t="n">
        <v>2.8</v>
      </c>
      <c r="F3439" s="35" t="n">
        <v>2.3</v>
      </c>
      <c r="G3439" s="37" t="inlineStr">
        <is>
          <t>N</t>
        </is>
      </c>
      <c r="H3439" s="37" t="inlineStr">
        <is>
          <t>N</t>
        </is>
      </c>
      <c r="I3439" s="37">
        <f>COUNTIF(G$5:G3439,"Y")/COUNTA(G$5:G3439)</f>
        <v/>
      </c>
      <c r="J3439" s="37">
        <f>COUNTIF(H$5:H3439,"Y")/COUNTA(H$5:H3439)</f>
        <v/>
      </c>
      <c r="K3439" s="37">
        <f>AVERAGE(F$5:F3439)</f>
        <v/>
      </c>
      <c r="L3439" s="37">
        <f>SUM(F$5:F3439)/SUM(E$5:E3439)</f>
        <v/>
      </c>
    </row>
    <row r="3440">
      <c r="A3440" s="29" t="n">
        <v>46189</v>
      </c>
      <c r="B3440" s="37" t="inlineStr">
        <is>
          <t>JOB-4436</t>
        </is>
      </c>
      <c r="C3440" s="34" t="n">
        <v>1</v>
      </c>
      <c r="D3440" s="37" t="inlineStr">
        <is>
          <t>Tech F</t>
        </is>
      </c>
      <c r="E3440" s="35" t="n">
        <v>2.5</v>
      </c>
      <c r="F3440" s="35" t="n">
        <v>2.1</v>
      </c>
      <c r="G3440" s="37" t="inlineStr">
        <is>
          <t>N</t>
        </is>
      </c>
      <c r="H3440" s="37" t="inlineStr">
        <is>
          <t>N</t>
        </is>
      </c>
      <c r="I3440" s="37">
        <f>COUNTIF(G$5:G3440,"Y")/COUNTA(G$5:G3440)</f>
        <v/>
      </c>
      <c r="J3440" s="37">
        <f>COUNTIF(H$5:H3440,"Y")/COUNTA(H$5:H3440)</f>
        <v/>
      </c>
      <c r="K3440" s="37">
        <f>AVERAGE(F$5:F3440)</f>
        <v/>
      </c>
      <c r="L3440" s="37">
        <f>SUM(F$5:F3440)/SUM(E$5:E3440)</f>
        <v/>
      </c>
    </row>
    <row r="3441">
      <c r="A3441" s="29" t="n">
        <v>46190</v>
      </c>
      <c r="B3441" s="37" t="inlineStr">
        <is>
          <t>JOB-4437</t>
        </is>
      </c>
      <c r="C3441" s="34" t="n">
        <v>1</v>
      </c>
      <c r="D3441" s="37" t="inlineStr">
        <is>
          <t>Tech G</t>
        </is>
      </c>
      <c r="E3441" s="35" t="n">
        <v>1.5</v>
      </c>
      <c r="F3441" s="35" t="n">
        <v>1.2</v>
      </c>
      <c r="G3441" s="37" t="inlineStr">
        <is>
          <t>Y</t>
        </is>
      </c>
      <c r="H3441" s="37" t="inlineStr">
        <is>
          <t>N</t>
        </is>
      </c>
      <c r="I3441" s="37">
        <f>COUNTIF(G$5:G3441,"Y")/COUNTA(G$5:G3441)</f>
        <v/>
      </c>
      <c r="J3441" s="37">
        <f>COUNTIF(H$5:H3441,"Y")/COUNTA(H$5:H3441)</f>
        <v/>
      </c>
      <c r="K3441" s="37">
        <f>AVERAGE(F$5:F3441)</f>
        <v/>
      </c>
      <c r="L3441" s="37">
        <f>SUM(F$5:F3441)/SUM(E$5:E3441)</f>
        <v/>
      </c>
    </row>
    <row r="3442">
      <c r="A3442" s="29" t="n">
        <v>46191</v>
      </c>
      <c r="B3442" s="37" t="inlineStr">
        <is>
          <t>JOB-4438</t>
        </is>
      </c>
      <c r="C3442" s="34" t="n">
        <v>1</v>
      </c>
      <c r="D3442" s="37" t="inlineStr">
        <is>
          <t>Tech B</t>
        </is>
      </c>
      <c r="E3442" s="35" t="n">
        <v>3.6</v>
      </c>
      <c r="F3442" s="35" t="n">
        <v>3.1</v>
      </c>
      <c r="G3442" s="37" t="inlineStr">
        <is>
          <t>Y</t>
        </is>
      </c>
      <c r="H3442" s="37" t="inlineStr">
        <is>
          <t>N</t>
        </is>
      </c>
      <c r="I3442" s="37">
        <f>COUNTIF(G$5:G3442,"Y")/COUNTA(G$5:G3442)</f>
        <v/>
      </c>
      <c r="J3442" s="37">
        <f>COUNTIF(H$5:H3442,"Y")/COUNTA(H$5:H3442)</f>
        <v/>
      </c>
      <c r="K3442" s="37">
        <f>AVERAGE(F$5:F3442)</f>
        <v/>
      </c>
      <c r="L3442" s="37">
        <f>SUM(F$5:F3442)/SUM(E$5:E3442)</f>
        <v/>
      </c>
    </row>
    <row r="3443">
      <c r="A3443" s="29" t="n">
        <v>46192</v>
      </c>
      <c r="B3443" s="37" t="inlineStr">
        <is>
          <t>JOB-4439</t>
        </is>
      </c>
      <c r="C3443" s="34" t="n">
        <v>1</v>
      </c>
      <c r="D3443" s="37" t="inlineStr">
        <is>
          <t>Tech B</t>
        </is>
      </c>
      <c r="E3443" s="35" t="n">
        <v>5.2</v>
      </c>
      <c r="F3443" s="35" t="n">
        <v>3.7</v>
      </c>
      <c r="G3443" s="37" t="inlineStr">
        <is>
          <t>Y</t>
        </is>
      </c>
      <c r="H3443" s="37" t="inlineStr">
        <is>
          <t>N</t>
        </is>
      </c>
      <c r="I3443" s="37">
        <f>COUNTIF(G$5:G3443,"Y")/COUNTA(G$5:G3443)</f>
        <v/>
      </c>
      <c r="J3443" s="37">
        <f>COUNTIF(H$5:H3443,"Y")/COUNTA(H$5:H3443)</f>
        <v/>
      </c>
      <c r="K3443" s="37">
        <f>AVERAGE(F$5:F3443)</f>
        <v/>
      </c>
      <c r="L3443" s="37">
        <f>SUM(F$5:F3443)/SUM(E$5:E3443)</f>
        <v/>
      </c>
    </row>
    <row r="3444">
      <c r="A3444" s="29" t="n">
        <v>46188</v>
      </c>
      <c r="B3444" s="37" t="inlineStr">
        <is>
          <t>JOB-4440</t>
        </is>
      </c>
      <c r="C3444" s="34" t="n">
        <v>1</v>
      </c>
      <c r="D3444" s="37" t="inlineStr">
        <is>
          <t>Tech G</t>
        </is>
      </c>
      <c r="E3444" s="35" t="n">
        <v>4.6</v>
      </c>
      <c r="F3444" s="35" t="n">
        <v>3.4</v>
      </c>
      <c r="G3444" s="37" t="inlineStr">
        <is>
          <t>Y</t>
        </is>
      </c>
      <c r="H3444" s="37" t="inlineStr">
        <is>
          <t>N</t>
        </is>
      </c>
      <c r="I3444" s="37">
        <f>COUNTIF(G$5:G3444,"Y")/COUNTA(G$5:G3444)</f>
        <v/>
      </c>
      <c r="J3444" s="37">
        <f>COUNTIF(H$5:H3444,"Y")/COUNTA(H$5:H3444)</f>
        <v/>
      </c>
      <c r="K3444" s="37">
        <f>AVERAGE(F$5:F3444)</f>
        <v/>
      </c>
      <c r="L3444" s="37">
        <f>SUM(F$5:F3444)/SUM(E$5:E3444)</f>
        <v/>
      </c>
    </row>
    <row r="3445">
      <c r="A3445" s="29" t="n">
        <v>46189</v>
      </c>
      <c r="B3445" s="37" t="inlineStr">
        <is>
          <t>JOB-4441</t>
        </is>
      </c>
      <c r="C3445" s="34" t="n">
        <v>1</v>
      </c>
      <c r="D3445" s="37" t="inlineStr">
        <is>
          <t>Tech A</t>
        </is>
      </c>
      <c r="E3445" s="35" t="n">
        <v>2.5</v>
      </c>
      <c r="F3445" s="35" t="n">
        <v>2.1</v>
      </c>
      <c r="G3445" s="37" t="inlineStr">
        <is>
          <t>Y</t>
        </is>
      </c>
      <c r="H3445" s="37" t="inlineStr">
        <is>
          <t>N</t>
        </is>
      </c>
      <c r="I3445" s="37">
        <f>COUNTIF(G$5:G3445,"Y")/COUNTA(G$5:G3445)</f>
        <v/>
      </c>
      <c r="J3445" s="37">
        <f>COUNTIF(H$5:H3445,"Y")/COUNTA(H$5:H3445)</f>
        <v/>
      </c>
      <c r="K3445" s="37">
        <f>AVERAGE(F$5:F3445)</f>
        <v/>
      </c>
      <c r="L3445" s="37">
        <f>SUM(F$5:F3445)/SUM(E$5:E3445)</f>
        <v/>
      </c>
    </row>
    <row r="3446">
      <c r="A3446" s="29" t="n">
        <v>46190</v>
      </c>
      <c r="B3446" s="37" t="inlineStr">
        <is>
          <t>JOB-4442</t>
        </is>
      </c>
      <c r="C3446" s="34" t="n">
        <v>1</v>
      </c>
      <c r="D3446" s="37" t="inlineStr">
        <is>
          <t>Tech D</t>
        </is>
      </c>
      <c r="E3446" s="35" t="n">
        <v>1.4</v>
      </c>
      <c r="F3446" s="35" t="n">
        <v>1.2</v>
      </c>
      <c r="G3446" s="37" t="inlineStr">
        <is>
          <t>Y</t>
        </is>
      </c>
      <c r="H3446" s="37" t="inlineStr">
        <is>
          <t>N</t>
        </is>
      </c>
      <c r="I3446" s="37">
        <f>COUNTIF(G$5:G3446,"Y")/COUNTA(G$5:G3446)</f>
        <v/>
      </c>
      <c r="J3446" s="37">
        <f>COUNTIF(H$5:H3446,"Y")/COUNTA(H$5:H3446)</f>
        <v/>
      </c>
      <c r="K3446" s="37">
        <f>AVERAGE(F$5:F3446)</f>
        <v/>
      </c>
      <c r="L3446" s="37">
        <f>SUM(F$5:F3446)/SUM(E$5:E3446)</f>
        <v/>
      </c>
    </row>
    <row r="3447">
      <c r="A3447" s="29" t="n">
        <v>46191</v>
      </c>
      <c r="B3447" s="37" t="inlineStr">
        <is>
          <t>JOB-4443</t>
        </is>
      </c>
      <c r="C3447" s="34" t="n">
        <v>1</v>
      </c>
      <c r="D3447" s="37" t="inlineStr">
        <is>
          <t>Tech D</t>
        </is>
      </c>
      <c r="E3447" s="35" t="n">
        <v>3.2</v>
      </c>
      <c r="F3447" s="35" t="n">
        <v>2.5</v>
      </c>
      <c r="G3447" s="37" t="inlineStr">
        <is>
          <t>Y</t>
        </is>
      </c>
      <c r="H3447" s="37" t="inlineStr">
        <is>
          <t>N</t>
        </is>
      </c>
      <c r="I3447" s="37">
        <f>COUNTIF(G$5:G3447,"Y")/COUNTA(G$5:G3447)</f>
        <v/>
      </c>
      <c r="J3447" s="37">
        <f>COUNTIF(H$5:H3447,"Y")/COUNTA(H$5:H3447)</f>
        <v/>
      </c>
      <c r="K3447" s="37">
        <f>AVERAGE(F$5:F3447)</f>
        <v/>
      </c>
      <c r="L3447" s="37">
        <f>SUM(F$5:F3447)/SUM(E$5:E3447)</f>
        <v/>
      </c>
    </row>
    <row r="3448">
      <c r="A3448" s="29" t="n">
        <v>46192</v>
      </c>
      <c r="B3448" s="37" t="inlineStr">
        <is>
          <t>JOB-4444</t>
        </is>
      </c>
      <c r="C3448" s="34" t="n">
        <v>1</v>
      </c>
      <c r="D3448" s="37" t="inlineStr">
        <is>
          <t>Tech C</t>
        </is>
      </c>
      <c r="E3448" s="35" t="n">
        <v>3.2</v>
      </c>
      <c r="F3448" s="35" t="n">
        <v>2.5</v>
      </c>
      <c r="G3448" s="37" t="inlineStr">
        <is>
          <t>Y</t>
        </is>
      </c>
      <c r="H3448" s="37" t="inlineStr">
        <is>
          <t>N</t>
        </is>
      </c>
      <c r="I3448" s="37">
        <f>COUNTIF(G$5:G3448,"Y")/COUNTA(G$5:G3448)</f>
        <v/>
      </c>
      <c r="J3448" s="37">
        <f>COUNTIF(H$5:H3448,"Y")/COUNTA(H$5:H3448)</f>
        <v/>
      </c>
      <c r="K3448" s="37">
        <f>AVERAGE(F$5:F3448)</f>
        <v/>
      </c>
      <c r="L3448" s="37">
        <f>SUM(F$5:F3448)/SUM(E$5:E3448)</f>
        <v/>
      </c>
    </row>
    <row r="3449">
      <c r="A3449" s="29" t="n">
        <v>46188</v>
      </c>
      <c r="B3449" s="37" t="inlineStr">
        <is>
          <t>JOB-4445</t>
        </is>
      </c>
      <c r="C3449" s="34" t="n">
        <v>1</v>
      </c>
      <c r="D3449" s="37" t="inlineStr">
        <is>
          <t>Tech C</t>
        </is>
      </c>
      <c r="E3449" s="35" t="n">
        <v>4.8</v>
      </c>
      <c r="F3449" s="35" t="n">
        <v>3.8</v>
      </c>
      <c r="G3449" s="37" t="inlineStr">
        <is>
          <t>Y</t>
        </is>
      </c>
      <c r="H3449" s="37" t="inlineStr">
        <is>
          <t>N</t>
        </is>
      </c>
      <c r="I3449" s="37">
        <f>COUNTIF(G$5:G3449,"Y")/COUNTA(G$5:G3449)</f>
        <v/>
      </c>
      <c r="J3449" s="37">
        <f>COUNTIF(H$5:H3449,"Y")/COUNTA(H$5:H3449)</f>
        <v/>
      </c>
      <c r="K3449" s="37">
        <f>AVERAGE(F$5:F3449)</f>
        <v/>
      </c>
      <c r="L3449" s="37">
        <f>SUM(F$5:F3449)/SUM(E$5:E3449)</f>
        <v/>
      </c>
    </row>
    <row r="3450">
      <c r="A3450" s="29" t="n">
        <v>46189</v>
      </c>
      <c r="B3450" s="37" t="inlineStr">
        <is>
          <t>JOB-4446</t>
        </is>
      </c>
      <c r="C3450" s="34" t="n">
        <v>1</v>
      </c>
      <c r="D3450" s="37" t="inlineStr">
        <is>
          <t>Tech F</t>
        </is>
      </c>
      <c r="E3450" s="35" t="n">
        <v>2.7</v>
      </c>
      <c r="F3450" s="35" t="n">
        <v>2.4</v>
      </c>
      <c r="G3450" s="37" t="inlineStr">
        <is>
          <t>Y</t>
        </is>
      </c>
      <c r="H3450" s="37" t="inlineStr">
        <is>
          <t>N</t>
        </is>
      </c>
      <c r="I3450" s="37">
        <f>COUNTIF(G$5:G3450,"Y")/COUNTA(G$5:G3450)</f>
        <v/>
      </c>
      <c r="J3450" s="37">
        <f>COUNTIF(H$5:H3450,"Y")/COUNTA(H$5:H3450)</f>
        <v/>
      </c>
      <c r="K3450" s="37">
        <f>AVERAGE(F$5:F3450)</f>
        <v/>
      </c>
      <c r="L3450" s="37">
        <f>SUM(F$5:F3450)/SUM(E$5:E3450)</f>
        <v/>
      </c>
    </row>
    <row r="3451">
      <c r="A3451" s="29" t="n">
        <v>46190</v>
      </c>
      <c r="B3451" s="37" t="inlineStr">
        <is>
          <t>JOB-4447</t>
        </is>
      </c>
      <c r="C3451" s="34" t="n">
        <v>1</v>
      </c>
      <c r="D3451" s="37" t="inlineStr">
        <is>
          <t>Tech C</t>
        </is>
      </c>
      <c r="E3451" s="35" t="n">
        <v>5.7</v>
      </c>
      <c r="F3451" s="35" t="n">
        <v>4</v>
      </c>
      <c r="G3451" s="37" t="inlineStr">
        <is>
          <t>N</t>
        </is>
      </c>
      <c r="H3451" s="37" t="inlineStr">
        <is>
          <t>N</t>
        </is>
      </c>
      <c r="I3451" s="37">
        <f>COUNTIF(G$5:G3451,"Y")/COUNTA(G$5:G3451)</f>
        <v/>
      </c>
      <c r="J3451" s="37">
        <f>COUNTIF(H$5:H3451,"Y")/COUNTA(H$5:H3451)</f>
        <v/>
      </c>
      <c r="K3451" s="37">
        <f>AVERAGE(F$5:F3451)</f>
        <v/>
      </c>
      <c r="L3451" s="37">
        <f>SUM(F$5:F3451)/SUM(E$5:E3451)</f>
        <v/>
      </c>
    </row>
    <row r="3452">
      <c r="A3452" s="29" t="n">
        <v>46191</v>
      </c>
      <c r="B3452" s="37" t="inlineStr">
        <is>
          <t>JOB-4448</t>
        </is>
      </c>
      <c r="C3452" s="34" t="n">
        <v>1</v>
      </c>
      <c r="D3452" s="37" t="inlineStr">
        <is>
          <t>Tech D</t>
        </is>
      </c>
      <c r="E3452" s="35" t="n">
        <v>4.7</v>
      </c>
      <c r="F3452" s="35" t="n">
        <v>3.9</v>
      </c>
      <c r="G3452" s="37" t="inlineStr">
        <is>
          <t>Y</t>
        </is>
      </c>
      <c r="H3452" s="37" t="inlineStr">
        <is>
          <t>N</t>
        </is>
      </c>
      <c r="I3452" s="37">
        <f>COUNTIF(G$5:G3452,"Y")/COUNTA(G$5:G3452)</f>
        <v/>
      </c>
      <c r="J3452" s="37">
        <f>COUNTIF(H$5:H3452,"Y")/COUNTA(H$5:H3452)</f>
        <v/>
      </c>
      <c r="K3452" s="37">
        <f>AVERAGE(F$5:F3452)</f>
        <v/>
      </c>
      <c r="L3452" s="37">
        <f>SUM(F$5:F3452)/SUM(E$5:E3452)</f>
        <v/>
      </c>
    </row>
    <row r="3453">
      <c r="A3453" s="29" t="n">
        <v>46192</v>
      </c>
      <c r="B3453" s="37" t="inlineStr">
        <is>
          <t>JOB-4449</t>
        </is>
      </c>
      <c r="C3453" s="34" t="n">
        <v>1</v>
      </c>
      <c r="D3453" s="37" t="inlineStr">
        <is>
          <t>Tech H</t>
        </is>
      </c>
      <c r="E3453" s="35" t="n">
        <v>1.7</v>
      </c>
      <c r="F3453" s="35" t="n">
        <v>1.3</v>
      </c>
      <c r="G3453" s="37" t="inlineStr">
        <is>
          <t>N</t>
        </is>
      </c>
      <c r="H3453" s="37" t="inlineStr">
        <is>
          <t>N</t>
        </is>
      </c>
      <c r="I3453" s="37">
        <f>COUNTIF(G$5:G3453,"Y")/COUNTA(G$5:G3453)</f>
        <v/>
      </c>
      <c r="J3453" s="37">
        <f>COUNTIF(H$5:H3453,"Y")/COUNTA(H$5:H3453)</f>
        <v/>
      </c>
      <c r="K3453" s="37">
        <f>AVERAGE(F$5:F3453)</f>
        <v/>
      </c>
      <c r="L3453" s="37">
        <f>SUM(F$5:F3453)/SUM(E$5:E3453)</f>
        <v/>
      </c>
    </row>
    <row r="3454">
      <c r="A3454" s="29" t="n">
        <v>46188</v>
      </c>
      <c r="B3454" s="37" t="inlineStr">
        <is>
          <t>JOB-4450</t>
        </is>
      </c>
      <c r="C3454" s="34" t="n">
        <v>1</v>
      </c>
      <c r="D3454" s="37" t="inlineStr">
        <is>
          <t>Tech D</t>
        </is>
      </c>
      <c r="E3454" s="35" t="n">
        <v>3.1</v>
      </c>
      <c r="F3454" s="35" t="n">
        <v>2.3</v>
      </c>
      <c r="G3454" s="37" t="inlineStr">
        <is>
          <t>Y</t>
        </is>
      </c>
      <c r="H3454" s="37" t="inlineStr">
        <is>
          <t>Y</t>
        </is>
      </c>
      <c r="I3454" s="37">
        <f>COUNTIF(G$5:G3454,"Y")/COUNTA(G$5:G3454)</f>
        <v/>
      </c>
      <c r="J3454" s="37">
        <f>COUNTIF(H$5:H3454,"Y")/COUNTA(H$5:H3454)</f>
        <v/>
      </c>
      <c r="K3454" s="37">
        <f>AVERAGE(F$5:F3454)</f>
        <v/>
      </c>
      <c r="L3454" s="37">
        <f>SUM(F$5:F3454)/SUM(E$5:E3454)</f>
        <v/>
      </c>
    </row>
    <row r="3455">
      <c r="A3455" s="29" t="n">
        <v>46189</v>
      </c>
      <c r="B3455" s="37" t="inlineStr">
        <is>
          <t>JOB-4451</t>
        </is>
      </c>
      <c r="C3455" s="34" t="n">
        <v>1</v>
      </c>
      <c r="D3455" s="37" t="inlineStr">
        <is>
          <t>Tech A</t>
        </is>
      </c>
      <c r="E3455" s="35" t="n">
        <v>3.2</v>
      </c>
      <c r="F3455" s="35" t="n">
        <v>2.4</v>
      </c>
      <c r="G3455" s="37" t="inlineStr">
        <is>
          <t>Y</t>
        </is>
      </c>
      <c r="H3455" s="37" t="inlineStr">
        <is>
          <t>N</t>
        </is>
      </c>
      <c r="I3455" s="37">
        <f>COUNTIF(G$5:G3455,"Y")/COUNTA(G$5:G3455)</f>
        <v/>
      </c>
      <c r="J3455" s="37">
        <f>COUNTIF(H$5:H3455,"Y")/COUNTA(H$5:H3455)</f>
        <v/>
      </c>
      <c r="K3455" s="37">
        <f>AVERAGE(F$5:F3455)</f>
        <v/>
      </c>
      <c r="L3455" s="37">
        <f>SUM(F$5:F3455)/SUM(E$5:E3455)</f>
        <v/>
      </c>
    </row>
    <row r="3456">
      <c r="A3456" s="29" t="n">
        <v>46190</v>
      </c>
      <c r="B3456" s="37" t="inlineStr">
        <is>
          <t>JOB-4452</t>
        </is>
      </c>
      <c r="C3456" s="34" t="n">
        <v>1</v>
      </c>
      <c r="D3456" s="37" t="inlineStr">
        <is>
          <t>Tech F</t>
        </is>
      </c>
      <c r="E3456" s="35" t="n">
        <v>2.8</v>
      </c>
      <c r="F3456" s="35" t="n">
        <v>2.2</v>
      </c>
      <c r="G3456" s="37" t="inlineStr">
        <is>
          <t>Y</t>
        </is>
      </c>
      <c r="H3456" s="37" t="inlineStr">
        <is>
          <t>N</t>
        </is>
      </c>
      <c r="I3456" s="37">
        <f>COUNTIF(G$5:G3456,"Y")/COUNTA(G$5:G3456)</f>
        <v/>
      </c>
      <c r="J3456" s="37">
        <f>COUNTIF(H$5:H3456,"Y")/COUNTA(H$5:H3456)</f>
        <v/>
      </c>
      <c r="K3456" s="37">
        <f>AVERAGE(F$5:F3456)</f>
        <v/>
      </c>
      <c r="L3456" s="37">
        <f>SUM(F$5:F3456)/SUM(E$5:E3456)</f>
        <v/>
      </c>
    </row>
    <row r="3457">
      <c r="A3457" s="29" t="n">
        <v>46191</v>
      </c>
      <c r="B3457" s="37" t="inlineStr">
        <is>
          <t>JOB-4453</t>
        </is>
      </c>
      <c r="C3457" s="34" t="n">
        <v>1</v>
      </c>
      <c r="D3457" s="37" t="inlineStr">
        <is>
          <t>Tech C</t>
        </is>
      </c>
      <c r="E3457" s="35" t="n">
        <v>3.8</v>
      </c>
      <c r="F3457" s="35" t="n">
        <v>2.6</v>
      </c>
      <c r="G3457" s="37" t="inlineStr">
        <is>
          <t>Y</t>
        </is>
      </c>
      <c r="H3457" s="37" t="inlineStr">
        <is>
          <t>Y</t>
        </is>
      </c>
      <c r="I3457" s="37">
        <f>COUNTIF(G$5:G3457,"Y")/COUNTA(G$5:G3457)</f>
        <v/>
      </c>
      <c r="J3457" s="37">
        <f>COUNTIF(H$5:H3457,"Y")/COUNTA(H$5:H3457)</f>
        <v/>
      </c>
      <c r="K3457" s="37">
        <f>AVERAGE(F$5:F3457)</f>
        <v/>
      </c>
      <c r="L3457" s="37">
        <f>SUM(F$5:F3457)/SUM(E$5:E3457)</f>
        <v/>
      </c>
    </row>
    <row r="3458">
      <c r="A3458" s="29" t="n">
        <v>46192</v>
      </c>
      <c r="B3458" s="37" t="inlineStr">
        <is>
          <t>JOB-4454</t>
        </is>
      </c>
      <c r="C3458" s="34" t="n">
        <v>1</v>
      </c>
      <c r="D3458" s="37" t="inlineStr">
        <is>
          <t>Tech G</t>
        </is>
      </c>
      <c r="E3458" s="35" t="n">
        <v>4.7</v>
      </c>
      <c r="F3458" s="35" t="n">
        <v>3.7</v>
      </c>
      <c r="G3458" s="37" t="inlineStr">
        <is>
          <t>Y</t>
        </is>
      </c>
      <c r="H3458" s="37" t="inlineStr">
        <is>
          <t>N</t>
        </is>
      </c>
      <c r="I3458" s="37">
        <f>COUNTIF(G$5:G3458,"Y")/COUNTA(G$5:G3458)</f>
        <v/>
      </c>
      <c r="J3458" s="37">
        <f>COUNTIF(H$5:H3458,"Y")/COUNTA(H$5:H3458)</f>
        <v/>
      </c>
      <c r="K3458" s="37">
        <f>AVERAGE(F$5:F3458)</f>
        <v/>
      </c>
      <c r="L3458" s="37">
        <f>SUM(F$5:F3458)/SUM(E$5:E3458)</f>
        <v/>
      </c>
    </row>
    <row r="3459">
      <c r="A3459" s="29" t="n">
        <v>46188</v>
      </c>
      <c r="B3459" s="37" t="inlineStr">
        <is>
          <t>JOB-4455</t>
        </is>
      </c>
      <c r="C3459" s="34" t="n">
        <v>1</v>
      </c>
      <c r="D3459" s="37" t="inlineStr">
        <is>
          <t>Tech G</t>
        </is>
      </c>
      <c r="E3459" s="35" t="n">
        <v>2.6</v>
      </c>
      <c r="F3459" s="35" t="n">
        <v>2.2</v>
      </c>
      <c r="G3459" s="37" t="inlineStr">
        <is>
          <t>Y</t>
        </is>
      </c>
      <c r="H3459" s="37" t="inlineStr">
        <is>
          <t>N</t>
        </is>
      </c>
      <c r="I3459" s="37">
        <f>COUNTIF(G$5:G3459,"Y")/COUNTA(G$5:G3459)</f>
        <v/>
      </c>
      <c r="J3459" s="37">
        <f>COUNTIF(H$5:H3459,"Y")/COUNTA(H$5:H3459)</f>
        <v/>
      </c>
      <c r="K3459" s="37">
        <f>AVERAGE(F$5:F3459)</f>
        <v/>
      </c>
      <c r="L3459" s="37">
        <f>SUM(F$5:F3459)/SUM(E$5:E3459)</f>
        <v/>
      </c>
    </row>
    <row r="3460">
      <c r="A3460" s="29" t="n">
        <v>46189</v>
      </c>
      <c r="B3460" s="37" t="inlineStr">
        <is>
          <t>JOB-4456</t>
        </is>
      </c>
      <c r="C3460" s="34" t="n">
        <v>1</v>
      </c>
      <c r="D3460" s="37" t="inlineStr">
        <is>
          <t>Tech C</t>
        </is>
      </c>
      <c r="E3460" s="35" t="n">
        <v>4.5</v>
      </c>
      <c r="F3460" s="35" t="n">
        <v>3.9</v>
      </c>
      <c r="G3460" s="37" t="inlineStr">
        <is>
          <t>Y</t>
        </is>
      </c>
      <c r="H3460" s="37" t="inlineStr">
        <is>
          <t>N</t>
        </is>
      </c>
      <c r="I3460" s="37">
        <f>COUNTIF(G$5:G3460,"Y")/COUNTA(G$5:G3460)</f>
        <v/>
      </c>
      <c r="J3460" s="37">
        <f>COUNTIF(H$5:H3460,"Y")/COUNTA(H$5:H3460)</f>
        <v/>
      </c>
      <c r="K3460" s="37">
        <f>AVERAGE(F$5:F3460)</f>
        <v/>
      </c>
      <c r="L3460" s="37">
        <f>SUM(F$5:F3460)/SUM(E$5:E3460)</f>
        <v/>
      </c>
    </row>
    <row r="3461">
      <c r="A3461" s="29" t="n">
        <v>46190</v>
      </c>
      <c r="B3461" s="37" t="inlineStr">
        <is>
          <t>JOB-4457</t>
        </is>
      </c>
      <c r="C3461" s="34" t="n">
        <v>1</v>
      </c>
      <c r="D3461" s="37" t="inlineStr">
        <is>
          <t>Tech A</t>
        </is>
      </c>
      <c r="E3461" s="35" t="n">
        <v>0.7</v>
      </c>
      <c r="F3461" s="35" t="n">
        <v>0.6</v>
      </c>
      <c r="G3461" s="37" t="inlineStr">
        <is>
          <t>Y</t>
        </is>
      </c>
      <c r="H3461" s="37" t="inlineStr">
        <is>
          <t>N</t>
        </is>
      </c>
      <c r="I3461" s="37">
        <f>COUNTIF(G$5:G3461,"Y")/COUNTA(G$5:G3461)</f>
        <v/>
      </c>
      <c r="J3461" s="37">
        <f>COUNTIF(H$5:H3461,"Y")/COUNTA(H$5:H3461)</f>
        <v/>
      </c>
      <c r="K3461" s="37">
        <f>AVERAGE(F$5:F3461)</f>
        <v/>
      </c>
      <c r="L3461" s="37">
        <f>SUM(F$5:F3461)/SUM(E$5:E3461)</f>
        <v/>
      </c>
    </row>
    <row r="3462">
      <c r="A3462" s="29" t="n">
        <v>46191</v>
      </c>
      <c r="B3462" s="37" t="inlineStr">
        <is>
          <t>JOB-4458</t>
        </is>
      </c>
      <c r="C3462" s="34" t="n">
        <v>1</v>
      </c>
      <c r="D3462" s="37" t="inlineStr">
        <is>
          <t>Tech G</t>
        </is>
      </c>
      <c r="E3462" s="35" t="n">
        <v>0.6</v>
      </c>
      <c r="F3462" s="35" t="n">
        <v>0.5</v>
      </c>
      <c r="G3462" s="37" t="inlineStr">
        <is>
          <t>Y</t>
        </is>
      </c>
      <c r="H3462" s="37" t="inlineStr">
        <is>
          <t>N</t>
        </is>
      </c>
      <c r="I3462" s="37">
        <f>COUNTIF(G$5:G3462,"Y")/COUNTA(G$5:G3462)</f>
        <v/>
      </c>
      <c r="J3462" s="37">
        <f>COUNTIF(H$5:H3462,"Y")/COUNTA(H$5:H3462)</f>
        <v/>
      </c>
      <c r="K3462" s="37">
        <f>AVERAGE(F$5:F3462)</f>
        <v/>
      </c>
      <c r="L3462" s="37">
        <f>SUM(F$5:F3462)/SUM(E$5:E3462)</f>
        <v/>
      </c>
    </row>
    <row r="3463">
      <c r="A3463" s="29" t="n">
        <v>46192</v>
      </c>
      <c r="B3463" s="37" t="inlineStr">
        <is>
          <t>JOB-4459</t>
        </is>
      </c>
      <c r="C3463" s="34" t="n">
        <v>1</v>
      </c>
      <c r="D3463" s="37" t="inlineStr">
        <is>
          <t>Tech B</t>
        </is>
      </c>
      <c r="E3463" s="35" t="n">
        <v>0.6</v>
      </c>
      <c r="F3463" s="35" t="n">
        <v>0.5</v>
      </c>
      <c r="G3463" s="37" t="inlineStr">
        <is>
          <t>Y</t>
        </is>
      </c>
      <c r="H3463" s="37" t="inlineStr">
        <is>
          <t>N</t>
        </is>
      </c>
      <c r="I3463" s="37">
        <f>COUNTIF(G$5:G3463,"Y")/COUNTA(G$5:G3463)</f>
        <v/>
      </c>
      <c r="J3463" s="37">
        <f>COUNTIF(H$5:H3463,"Y")/COUNTA(H$5:H3463)</f>
        <v/>
      </c>
      <c r="K3463" s="37">
        <f>AVERAGE(F$5:F3463)</f>
        <v/>
      </c>
      <c r="L3463" s="37">
        <f>SUM(F$5:F3463)/SUM(E$5:E3463)</f>
        <v/>
      </c>
    </row>
    <row r="3464">
      <c r="A3464" s="29" t="n">
        <v>46188</v>
      </c>
      <c r="B3464" s="37" t="inlineStr">
        <is>
          <t>JOB-4460</t>
        </is>
      </c>
      <c r="C3464" s="34" t="n">
        <v>1</v>
      </c>
      <c r="D3464" s="37" t="inlineStr">
        <is>
          <t>Tech F</t>
        </is>
      </c>
      <c r="E3464" s="35" t="n">
        <v>0.5</v>
      </c>
      <c r="F3464" s="35" t="n">
        <v>0.5</v>
      </c>
      <c r="G3464" s="37" t="inlineStr">
        <is>
          <t>Y</t>
        </is>
      </c>
      <c r="H3464" s="37" t="inlineStr">
        <is>
          <t>N</t>
        </is>
      </c>
      <c r="I3464" s="37">
        <f>COUNTIF(G$5:G3464,"Y")/COUNTA(G$5:G3464)</f>
        <v/>
      </c>
      <c r="J3464" s="37">
        <f>COUNTIF(H$5:H3464,"Y")/COUNTA(H$5:H3464)</f>
        <v/>
      </c>
      <c r="K3464" s="37">
        <f>AVERAGE(F$5:F3464)</f>
        <v/>
      </c>
      <c r="L3464" s="37">
        <f>SUM(F$5:F3464)/SUM(E$5:E3464)</f>
        <v/>
      </c>
    </row>
    <row r="3465">
      <c r="A3465" s="29" t="n">
        <v>46189</v>
      </c>
      <c r="B3465" s="37" t="inlineStr">
        <is>
          <t>JOB-4461</t>
        </is>
      </c>
      <c r="C3465" s="34" t="n">
        <v>1</v>
      </c>
      <c r="D3465" s="37" t="inlineStr">
        <is>
          <t>Tech B</t>
        </is>
      </c>
      <c r="E3465" s="35" t="n">
        <v>0.6</v>
      </c>
      <c r="F3465" s="35" t="n">
        <v>0.5</v>
      </c>
      <c r="G3465" s="37" t="inlineStr">
        <is>
          <t>Y</t>
        </is>
      </c>
      <c r="H3465" s="37" t="inlineStr">
        <is>
          <t>N</t>
        </is>
      </c>
      <c r="I3465" s="37">
        <f>COUNTIF(G$5:G3465,"Y")/COUNTA(G$5:G3465)</f>
        <v/>
      </c>
      <c r="J3465" s="37">
        <f>COUNTIF(H$5:H3465,"Y")/COUNTA(H$5:H3465)</f>
        <v/>
      </c>
      <c r="K3465" s="37">
        <f>AVERAGE(F$5:F3465)</f>
        <v/>
      </c>
      <c r="L3465" s="37">
        <f>SUM(F$5:F3465)/SUM(E$5:E3465)</f>
        <v/>
      </c>
    </row>
    <row r="3466">
      <c r="A3466" s="29" t="n">
        <v>46190</v>
      </c>
      <c r="B3466" s="37" t="inlineStr">
        <is>
          <t>JOB-4462</t>
        </is>
      </c>
      <c r="C3466" s="34" t="n">
        <v>1</v>
      </c>
      <c r="D3466" s="37" t="inlineStr">
        <is>
          <t>Tech G</t>
        </is>
      </c>
      <c r="E3466" s="35" t="n">
        <v>0.5</v>
      </c>
      <c r="F3466" s="35" t="n">
        <v>0.5</v>
      </c>
      <c r="G3466" s="37" t="inlineStr">
        <is>
          <t>Y</t>
        </is>
      </c>
      <c r="H3466" s="37" t="inlineStr">
        <is>
          <t>N</t>
        </is>
      </c>
      <c r="I3466" s="37">
        <f>COUNTIF(G$5:G3466,"Y")/COUNTA(G$5:G3466)</f>
        <v/>
      </c>
      <c r="J3466" s="37">
        <f>COUNTIF(H$5:H3466,"Y")/COUNTA(H$5:H3466)</f>
        <v/>
      </c>
      <c r="K3466" s="37">
        <f>AVERAGE(F$5:F3466)</f>
        <v/>
      </c>
      <c r="L3466" s="37">
        <f>SUM(F$5:F3466)/SUM(E$5:E3466)</f>
        <v/>
      </c>
    </row>
    <row r="3467">
      <c r="A3467" s="29" t="n">
        <v>46191</v>
      </c>
      <c r="B3467" s="37" t="inlineStr">
        <is>
          <t>JOB-4463</t>
        </is>
      </c>
      <c r="C3467" s="34" t="n">
        <v>1</v>
      </c>
      <c r="D3467" s="37" t="inlineStr">
        <is>
          <t>Tech G</t>
        </is>
      </c>
      <c r="E3467" s="35" t="n">
        <v>0.5</v>
      </c>
      <c r="F3467" s="35" t="n">
        <v>0.5</v>
      </c>
      <c r="G3467" s="37" t="inlineStr">
        <is>
          <t>Y</t>
        </is>
      </c>
      <c r="H3467" s="37" t="inlineStr">
        <is>
          <t>N</t>
        </is>
      </c>
      <c r="I3467" s="37">
        <f>COUNTIF(G$5:G3467,"Y")/COUNTA(G$5:G3467)</f>
        <v/>
      </c>
      <c r="J3467" s="37">
        <f>COUNTIF(H$5:H3467,"Y")/COUNTA(H$5:H3467)</f>
        <v/>
      </c>
      <c r="K3467" s="37">
        <f>AVERAGE(F$5:F3467)</f>
        <v/>
      </c>
      <c r="L3467" s="37">
        <f>SUM(F$5:F3467)/SUM(E$5:E3467)</f>
        <v/>
      </c>
      <c r="M3467" s="37" t="n">
        <v>11</v>
      </c>
    </row>
    <row r="3468">
      <c r="A3468" s="29" t="n">
        <v>46195</v>
      </c>
      <c r="B3468" s="37" t="inlineStr">
        <is>
          <t>JOB-4464</t>
        </is>
      </c>
      <c r="C3468" s="34" t="n">
        <v>1</v>
      </c>
      <c r="D3468" s="37" t="inlineStr">
        <is>
          <t>Tech H</t>
        </is>
      </c>
      <c r="E3468" s="35" t="n">
        <v>3</v>
      </c>
      <c r="F3468" s="35" t="n">
        <v>2</v>
      </c>
      <c r="G3468" s="37" t="inlineStr">
        <is>
          <t>Y</t>
        </is>
      </c>
      <c r="H3468" s="37" t="inlineStr">
        <is>
          <t>N</t>
        </is>
      </c>
      <c r="I3468" s="37">
        <f>COUNTIF(G$5:G3468,"Y")/COUNTA(G$5:G3468)</f>
        <v/>
      </c>
      <c r="J3468" s="37">
        <f>COUNTIF(H$5:H3468,"Y")/COUNTA(H$5:H3468)</f>
        <v/>
      </c>
      <c r="K3468" s="37">
        <f>AVERAGE(F$5:F3468)</f>
        <v/>
      </c>
      <c r="L3468" s="37">
        <f>SUM(F$5:F3468)/SUM(E$5:E3468)</f>
        <v/>
      </c>
    </row>
    <row r="3469">
      <c r="A3469" s="29" t="n">
        <v>46196</v>
      </c>
      <c r="B3469" s="37" t="inlineStr">
        <is>
          <t>JOB-4465</t>
        </is>
      </c>
      <c r="C3469" s="34" t="n">
        <v>1</v>
      </c>
      <c r="D3469" s="37" t="inlineStr">
        <is>
          <t>Tech B</t>
        </is>
      </c>
      <c r="E3469" s="35" t="n">
        <v>3.3</v>
      </c>
      <c r="F3469" s="35" t="n">
        <v>2.8</v>
      </c>
      <c r="G3469" s="37" t="inlineStr">
        <is>
          <t>Y</t>
        </is>
      </c>
      <c r="H3469" s="37" t="inlineStr">
        <is>
          <t>N</t>
        </is>
      </c>
      <c r="I3469" s="37">
        <f>COUNTIF(G$5:G3469,"Y")/COUNTA(G$5:G3469)</f>
        <v/>
      </c>
      <c r="J3469" s="37">
        <f>COUNTIF(H$5:H3469,"Y")/COUNTA(H$5:H3469)</f>
        <v/>
      </c>
      <c r="K3469" s="37">
        <f>AVERAGE(F$5:F3469)</f>
        <v/>
      </c>
      <c r="L3469" s="37">
        <f>SUM(F$5:F3469)/SUM(E$5:E3469)</f>
        <v/>
      </c>
    </row>
    <row r="3470">
      <c r="A3470" s="29" t="n">
        <v>46197</v>
      </c>
      <c r="B3470" s="37" t="inlineStr">
        <is>
          <t>JOB-4466</t>
        </is>
      </c>
      <c r="C3470" s="34" t="n">
        <v>1</v>
      </c>
      <c r="D3470" s="37" t="inlineStr">
        <is>
          <t>Tech D</t>
        </is>
      </c>
      <c r="E3470" s="35" t="n">
        <v>2.1</v>
      </c>
      <c r="F3470" s="35" t="n">
        <v>1.6</v>
      </c>
      <c r="G3470" s="37" t="inlineStr">
        <is>
          <t>Y</t>
        </is>
      </c>
      <c r="H3470" s="37" t="inlineStr">
        <is>
          <t>N</t>
        </is>
      </c>
      <c r="I3470" s="37">
        <f>COUNTIF(G$5:G3470,"Y")/COUNTA(G$5:G3470)</f>
        <v/>
      </c>
      <c r="J3470" s="37">
        <f>COUNTIF(H$5:H3470,"Y")/COUNTA(H$5:H3470)</f>
        <v/>
      </c>
      <c r="K3470" s="37">
        <f>AVERAGE(F$5:F3470)</f>
        <v/>
      </c>
      <c r="L3470" s="37">
        <f>SUM(F$5:F3470)/SUM(E$5:E3470)</f>
        <v/>
      </c>
    </row>
    <row r="3471">
      <c r="A3471" s="29" t="n">
        <v>46198</v>
      </c>
      <c r="B3471" s="37" t="inlineStr">
        <is>
          <t>JOB-4467</t>
        </is>
      </c>
      <c r="C3471" s="34" t="n">
        <v>1</v>
      </c>
      <c r="D3471" s="37" t="inlineStr">
        <is>
          <t>Tech A</t>
        </is>
      </c>
      <c r="E3471" s="35" t="n">
        <v>3.3</v>
      </c>
      <c r="F3471" s="35" t="n">
        <v>2.4</v>
      </c>
      <c r="G3471" s="37" t="inlineStr">
        <is>
          <t>Y</t>
        </is>
      </c>
      <c r="H3471" s="37" t="inlineStr">
        <is>
          <t>N</t>
        </is>
      </c>
      <c r="I3471" s="37">
        <f>COUNTIF(G$5:G3471,"Y")/COUNTA(G$5:G3471)</f>
        <v/>
      </c>
      <c r="J3471" s="37">
        <f>COUNTIF(H$5:H3471,"Y")/COUNTA(H$5:H3471)</f>
        <v/>
      </c>
      <c r="K3471" s="37">
        <f>AVERAGE(F$5:F3471)</f>
        <v/>
      </c>
      <c r="L3471" s="37">
        <f>SUM(F$5:F3471)/SUM(E$5:E3471)</f>
        <v/>
      </c>
    </row>
    <row r="3472">
      <c r="A3472" s="29" t="n">
        <v>46199</v>
      </c>
      <c r="B3472" s="37" t="inlineStr">
        <is>
          <t>JOB-4468</t>
        </is>
      </c>
      <c r="C3472" s="34" t="n">
        <v>1</v>
      </c>
      <c r="D3472" s="37" t="inlineStr">
        <is>
          <t>Tech G</t>
        </is>
      </c>
      <c r="E3472" s="35" t="n">
        <v>3.2</v>
      </c>
      <c r="F3472" s="35" t="n">
        <v>2.6</v>
      </c>
      <c r="G3472" s="37" t="inlineStr">
        <is>
          <t>Y</t>
        </is>
      </c>
      <c r="H3472" s="37" t="inlineStr">
        <is>
          <t>N</t>
        </is>
      </c>
      <c r="I3472" s="37">
        <f>COUNTIF(G$5:G3472,"Y")/COUNTA(G$5:G3472)</f>
        <v/>
      </c>
      <c r="J3472" s="37">
        <f>COUNTIF(H$5:H3472,"Y")/COUNTA(H$5:H3472)</f>
        <v/>
      </c>
      <c r="K3472" s="37">
        <f>AVERAGE(F$5:F3472)</f>
        <v/>
      </c>
      <c r="L3472" s="37">
        <f>SUM(F$5:F3472)/SUM(E$5:E3472)</f>
        <v/>
      </c>
    </row>
    <row r="3473">
      <c r="A3473" s="29" t="n">
        <v>46195</v>
      </c>
      <c r="B3473" s="37" t="inlineStr">
        <is>
          <t>JOB-4469</t>
        </is>
      </c>
      <c r="C3473" s="34" t="n">
        <v>1</v>
      </c>
      <c r="D3473" s="37" t="inlineStr">
        <is>
          <t>Tech A</t>
        </is>
      </c>
      <c r="E3473" s="35" t="n">
        <v>1.8</v>
      </c>
      <c r="F3473" s="35" t="n">
        <v>1.5</v>
      </c>
      <c r="G3473" s="37" t="inlineStr">
        <is>
          <t>Y</t>
        </is>
      </c>
      <c r="H3473" s="37" t="inlineStr">
        <is>
          <t>N</t>
        </is>
      </c>
      <c r="I3473" s="37">
        <f>COUNTIF(G$5:G3473,"Y")/COUNTA(G$5:G3473)</f>
        <v/>
      </c>
      <c r="J3473" s="37">
        <f>COUNTIF(H$5:H3473,"Y")/COUNTA(H$5:H3473)</f>
        <v/>
      </c>
      <c r="K3473" s="37">
        <f>AVERAGE(F$5:F3473)</f>
        <v/>
      </c>
      <c r="L3473" s="37">
        <f>SUM(F$5:F3473)/SUM(E$5:E3473)</f>
        <v/>
      </c>
    </row>
    <row r="3474">
      <c r="A3474" s="29" t="n">
        <v>46196</v>
      </c>
      <c r="B3474" s="37" t="inlineStr">
        <is>
          <t>JOB-4470</t>
        </is>
      </c>
      <c r="C3474" s="34" t="n">
        <v>1</v>
      </c>
      <c r="D3474" s="37" t="inlineStr">
        <is>
          <t>Tech H</t>
        </is>
      </c>
      <c r="E3474" s="35" t="n">
        <v>4.1</v>
      </c>
      <c r="F3474" s="35" t="n">
        <v>2.8</v>
      </c>
      <c r="G3474" s="37" t="inlineStr">
        <is>
          <t>Y</t>
        </is>
      </c>
      <c r="H3474" s="37" t="inlineStr">
        <is>
          <t>N</t>
        </is>
      </c>
      <c r="I3474" s="37">
        <f>COUNTIF(G$5:G3474,"Y")/COUNTA(G$5:G3474)</f>
        <v/>
      </c>
      <c r="J3474" s="37">
        <f>COUNTIF(H$5:H3474,"Y")/COUNTA(H$5:H3474)</f>
        <v/>
      </c>
      <c r="K3474" s="37">
        <f>AVERAGE(F$5:F3474)</f>
        <v/>
      </c>
      <c r="L3474" s="37">
        <f>SUM(F$5:F3474)/SUM(E$5:E3474)</f>
        <v/>
      </c>
    </row>
    <row r="3475">
      <c r="A3475" s="29" t="n">
        <v>46197</v>
      </c>
      <c r="B3475" s="37" t="inlineStr">
        <is>
          <t>JOB-4471</t>
        </is>
      </c>
      <c r="C3475" s="34" t="n">
        <v>1</v>
      </c>
      <c r="D3475" s="37" t="inlineStr">
        <is>
          <t>Tech C</t>
        </is>
      </c>
      <c r="E3475" s="35" t="n">
        <v>1.8</v>
      </c>
      <c r="F3475" s="35" t="n">
        <v>1.5</v>
      </c>
      <c r="G3475" s="37" t="inlineStr">
        <is>
          <t>Y</t>
        </is>
      </c>
      <c r="H3475" s="37" t="inlineStr">
        <is>
          <t>N</t>
        </is>
      </c>
      <c r="I3475" s="37">
        <f>COUNTIF(G$5:G3475,"Y")/COUNTA(G$5:G3475)</f>
        <v/>
      </c>
      <c r="J3475" s="37">
        <f>COUNTIF(H$5:H3475,"Y")/COUNTA(H$5:H3475)</f>
        <v/>
      </c>
      <c r="K3475" s="37">
        <f>AVERAGE(F$5:F3475)</f>
        <v/>
      </c>
      <c r="L3475" s="37">
        <f>SUM(F$5:F3475)/SUM(E$5:E3475)</f>
        <v/>
      </c>
    </row>
    <row r="3476">
      <c r="A3476" s="29" t="n">
        <v>46198</v>
      </c>
      <c r="B3476" s="37" t="inlineStr">
        <is>
          <t>JOB-4472</t>
        </is>
      </c>
      <c r="C3476" s="34" t="n">
        <v>1</v>
      </c>
      <c r="D3476" s="37" t="inlineStr">
        <is>
          <t>Tech H</t>
        </is>
      </c>
      <c r="E3476" s="35" t="n">
        <v>5.2</v>
      </c>
      <c r="F3476" s="35" t="n">
        <v>4.1</v>
      </c>
      <c r="G3476" s="37" t="inlineStr">
        <is>
          <t>Y</t>
        </is>
      </c>
      <c r="H3476" s="37" t="inlineStr">
        <is>
          <t>N</t>
        </is>
      </c>
      <c r="I3476" s="37">
        <f>COUNTIF(G$5:G3476,"Y")/COUNTA(G$5:G3476)</f>
        <v/>
      </c>
      <c r="J3476" s="37">
        <f>COUNTIF(H$5:H3476,"Y")/COUNTA(H$5:H3476)</f>
        <v/>
      </c>
      <c r="K3476" s="37">
        <f>AVERAGE(F$5:F3476)</f>
        <v/>
      </c>
      <c r="L3476" s="37">
        <f>SUM(F$5:F3476)/SUM(E$5:E3476)</f>
        <v/>
      </c>
    </row>
    <row r="3477">
      <c r="A3477" s="29" t="n">
        <v>46199</v>
      </c>
      <c r="B3477" s="37" t="inlineStr">
        <is>
          <t>JOB-4473</t>
        </is>
      </c>
      <c r="C3477" s="34" t="n">
        <v>1</v>
      </c>
      <c r="D3477" s="37" t="inlineStr">
        <is>
          <t>Tech C</t>
        </is>
      </c>
      <c r="E3477" s="35" t="n">
        <v>4.5</v>
      </c>
      <c r="F3477" s="35" t="n">
        <v>3.9</v>
      </c>
      <c r="G3477" s="37" t="inlineStr">
        <is>
          <t>Y</t>
        </is>
      </c>
      <c r="H3477" s="37" t="inlineStr">
        <is>
          <t>N</t>
        </is>
      </c>
      <c r="I3477" s="37">
        <f>COUNTIF(G$5:G3477,"Y")/COUNTA(G$5:G3477)</f>
        <v/>
      </c>
      <c r="J3477" s="37">
        <f>COUNTIF(H$5:H3477,"Y")/COUNTA(H$5:H3477)</f>
        <v/>
      </c>
      <c r="K3477" s="37">
        <f>AVERAGE(F$5:F3477)</f>
        <v/>
      </c>
      <c r="L3477" s="37">
        <f>SUM(F$5:F3477)/SUM(E$5:E3477)</f>
        <v/>
      </c>
    </row>
    <row r="3478">
      <c r="A3478" s="29" t="n">
        <v>46195</v>
      </c>
      <c r="B3478" s="37" t="inlineStr">
        <is>
          <t>JOB-4474</t>
        </is>
      </c>
      <c r="C3478" s="34" t="n">
        <v>1</v>
      </c>
      <c r="D3478" s="37" t="inlineStr">
        <is>
          <t>Tech G</t>
        </is>
      </c>
      <c r="E3478" s="35" t="n">
        <v>3.1</v>
      </c>
      <c r="F3478" s="35" t="n">
        <v>2.8</v>
      </c>
      <c r="G3478" s="37" t="inlineStr">
        <is>
          <t>Y</t>
        </is>
      </c>
      <c r="H3478" s="37" t="inlineStr">
        <is>
          <t>N</t>
        </is>
      </c>
      <c r="I3478" s="37">
        <f>COUNTIF(G$5:G3478,"Y")/COUNTA(G$5:G3478)</f>
        <v/>
      </c>
      <c r="J3478" s="37">
        <f>COUNTIF(H$5:H3478,"Y")/COUNTA(H$5:H3478)</f>
        <v/>
      </c>
      <c r="K3478" s="37">
        <f>AVERAGE(F$5:F3478)</f>
        <v/>
      </c>
      <c r="L3478" s="37">
        <f>SUM(F$5:F3478)/SUM(E$5:E3478)</f>
        <v/>
      </c>
    </row>
    <row r="3479">
      <c r="A3479" s="29" t="n">
        <v>46196</v>
      </c>
      <c r="B3479" s="37" t="inlineStr">
        <is>
          <t>JOB-4475</t>
        </is>
      </c>
      <c r="C3479" s="34" t="n">
        <v>1</v>
      </c>
      <c r="D3479" s="37" t="inlineStr">
        <is>
          <t>Tech F</t>
        </is>
      </c>
      <c r="E3479" s="35" t="n">
        <v>4.9</v>
      </c>
      <c r="F3479" s="35" t="n">
        <v>4.3</v>
      </c>
      <c r="G3479" s="37" t="inlineStr">
        <is>
          <t>N</t>
        </is>
      </c>
      <c r="H3479" s="37" t="inlineStr">
        <is>
          <t>N</t>
        </is>
      </c>
      <c r="I3479" s="37">
        <f>COUNTIF(G$5:G3479,"Y")/COUNTA(G$5:G3479)</f>
        <v/>
      </c>
      <c r="J3479" s="37">
        <f>COUNTIF(H$5:H3479,"Y")/COUNTA(H$5:H3479)</f>
        <v/>
      </c>
      <c r="K3479" s="37">
        <f>AVERAGE(F$5:F3479)</f>
        <v/>
      </c>
      <c r="L3479" s="37">
        <f>SUM(F$5:F3479)/SUM(E$5:E3479)</f>
        <v/>
      </c>
    </row>
    <row r="3480">
      <c r="A3480" s="29" t="n">
        <v>46197</v>
      </c>
      <c r="B3480" s="37" t="inlineStr">
        <is>
          <t>JOB-4476</t>
        </is>
      </c>
      <c r="C3480" s="34" t="n">
        <v>1</v>
      </c>
      <c r="D3480" s="37" t="inlineStr">
        <is>
          <t>Tech C</t>
        </is>
      </c>
      <c r="E3480" s="35" t="n">
        <v>2.9</v>
      </c>
      <c r="F3480" s="35" t="n">
        <v>2</v>
      </c>
      <c r="G3480" s="37" t="inlineStr">
        <is>
          <t>Y</t>
        </is>
      </c>
      <c r="H3480" s="37" t="inlineStr">
        <is>
          <t>Y</t>
        </is>
      </c>
      <c r="I3480" s="37">
        <f>COUNTIF(G$5:G3480,"Y")/COUNTA(G$5:G3480)</f>
        <v/>
      </c>
      <c r="J3480" s="37">
        <f>COUNTIF(H$5:H3480,"Y")/COUNTA(H$5:H3480)</f>
        <v/>
      </c>
      <c r="K3480" s="37">
        <f>AVERAGE(F$5:F3480)</f>
        <v/>
      </c>
      <c r="L3480" s="37">
        <f>SUM(F$5:F3480)/SUM(E$5:E3480)</f>
        <v/>
      </c>
    </row>
    <row r="3481">
      <c r="A3481" s="29" t="n">
        <v>46198</v>
      </c>
      <c r="B3481" s="37" t="inlineStr">
        <is>
          <t>JOB-4477</t>
        </is>
      </c>
      <c r="C3481" s="34" t="n">
        <v>1</v>
      </c>
      <c r="D3481" s="37" t="inlineStr">
        <is>
          <t>Tech C</t>
        </is>
      </c>
      <c r="E3481" s="35" t="n">
        <v>4.1</v>
      </c>
      <c r="F3481" s="35" t="n">
        <v>2.8</v>
      </c>
      <c r="G3481" s="37" t="inlineStr">
        <is>
          <t>Y</t>
        </is>
      </c>
      <c r="H3481" s="37" t="inlineStr">
        <is>
          <t>N</t>
        </is>
      </c>
      <c r="I3481" s="37">
        <f>COUNTIF(G$5:G3481,"Y")/COUNTA(G$5:G3481)</f>
        <v/>
      </c>
      <c r="J3481" s="37">
        <f>COUNTIF(H$5:H3481,"Y")/COUNTA(H$5:H3481)</f>
        <v/>
      </c>
      <c r="K3481" s="37">
        <f>AVERAGE(F$5:F3481)</f>
        <v/>
      </c>
      <c r="L3481" s="37">
        <f>SUM(F$5:F3481)/SUM(E$5:E3481)</f>
        <v/>
      </c>
    </row>
    <row r="3482">
      <c r="A3482" s="29" t="n">
        <v>46199</v>
      </c>
      <c r="B3482" s="37" t="inlineStr">
        <is>
          <t>JOB-4478</t>
        </is>
      </c>
      <c r="C3482" s="34" t="n">
        <v>1</v>
      </c>
      <c r="D3482" s="37" t="inlineStr">
        <is>
          <t>Tech A</t>
        </is>
      </c>
      <c r="E3482" s="35" t="n">
        <v>4</v>
      </c>
      <c r="F3482" s="35" t="n">
        <v>3.2</v>
      </c>
      <c r="G3482" s="37" t="inlineStr">
        <is>
          <t>Y</t>
        </is>
      </c>
      <c r="H3482" s="37" t="inlineStr">
        <is>
          <t>N</t>
        </is>
      </c>
      <c r="I3482" s="37">
        <f>COUNTIF(G$5:G3482,"Y")/COUNTA(G$5:G3482)</f>
        <v/>
      </c>
      <c r="J3482" s="37">
        <f>COUNTIF(H$5:H3482,"Y")/COUNTA(H$5:H3482)</f>
        <v/>
      </c>
      <c r="K3482" s="37">
        <f>AVERAGE(F$5:F3482)</f>
        <v/>
      </c>
      <c r="L3482" s="37">
        <f>SUM(F$5:F3482)/SUM(E$5:E3482)</f>
        <v/>
      </c>
    </row>
    <row r="3483">
      <c r="A3483" s="29" t="n">
        <v>46195</v>
      </c>
      <c r="B3483" s="37" t="inlineStr">
        <is>
          <t>JOB-4479</t>
        </is>
      </c>
      <c r="C3483" s="34" t="n">
        <v>1</v>
      </c>
      <c r="D3483" s="37" t="inlineStr">
        <is>
          <t>Tech A</t>
        </is>
      </c>
      <c r="E3483" s="35" t="n">
        <v>4.9</v>
      </c>
      <c r="F3483" s="35" t="n">
        <v>4</v>
      </c>
      <c r="G3483" s="37" t="inlineStr">
        <is>
          <t>Y</t>
        </is>
      </c>
      <c r="H3483" s="37" t="inlineStr">
        <is>
          <t>N</t>
        </is>
      </c>
      <c r="I3483" s="37">
        <f>COUNTIF(G$5:G3483,"Y")/COUNTA(G$5:G3483)</f>
        <v/>
      </c>
      <c r="J3483" s="37">
        <f>COUNTIF(H$5:H3483,"Y")/COUNTA(H$5:H3483)</f>
        <v/>
      </c>
      <c r="K3483" s="37">
        <f>AVERAGE(F$5:F3483)</f>
        <v/>
      </c>
      <c r="L3483" s="37">
        <f>SUM(F$5:F3483)/SUM(E$5:E3483)</f>
        <v/>
      </c>
    </row>
    <row r="3484">
      <c r="A3484" s="29" t="n">
        <v>46196</v>
      </c>
      <c r="B3484" s="37" t="inlineStr">
        <is>
          <t>JOB-4480</t>
        </is>
      </c>
      <c r="C3484" s="34" t="n">
        <v>1</v>
      </c>
      <c r="D3484" s="37" t="inlineStr">
        <is>
          <t>Tech D</t>
        </is>
      </c>
      <c r="E3484" s="35" t="n">
        <v>3.7</v>
      </c>
      <c r="F3484" s="35" t="n">
        <v>3.2</v>
      </c>
      <c r="G3484" s="37" t="inlineStr">
        <is>
          <t>Y</t>
        </is>
      </c>
      <c r="H3484" s="37" t="inlineStr">
        <is>
          <t>Y</t>
        </is>
      </c>
      <c r="I3484" s="37">
        <f>COUNTIF(G$5:G3484,"Y")/COUNTA(G$5:G3484)</f>
        <v/>
      </c>
      <c r="J3484" s="37">
        <f>COUNTIF(H$5:H3484,"Y")/COUNTA(H$5:H3484)</f>
        <v/>
      </c>
      <c r="K3484" s="37">
        <f>AVERAGE(F$5:F3484)</f>
        <v/>
      </c>
      <c r="L3484" s="37">
        <f>SUM(F$5:F3484)/SUM(E$5:E3484)</f>
        <v/>
      </c>
    </row>
    <row r="3485">
      <c r="A3485" s="29" t="n">
        <v>46197</v>
      </c>
      <c r="B3485" s="37" t="inlineStr">
        <is>
          <t>JOB-4481</t>
        </is>
      </c>
      <c r="C3485" s="34" t="n">
        <v>1</v>
      </c>
      <c r="D3485" s="37" t="inlineStr">
        <is>
          <t>Tech G</t>
        </is>
      </c>
      <c r="E3485" s="35" t="n">
        <v>2.2</v>
      </c>
      <c r="F3485" s="35" t="n">
        <v>1.8</v>
      </c>
      <c r="G3485" s="37" t="inlineStr">
        <is>
          <t>Y</t>
        </is>
      </c>
      <c r="H3485" s="37" t="inlineStr">
        <is>
          <t>N</t>
        </is>
      </c>
      <c r="I3485" s="37">
        <f>COUNTIF(G$5:G3485,"Y")/COUNTA(G$5:G3485)</f>
        <v/>
      </c>
      <c r="J3485" s="37">
        <f>COUNTIF(H$5:H3485,"Y")/COUNTA(H$5:H3485)</f>
        <v/>
      </c>
      <c r="K3485" s="37">
        <f>AVERAGE(F$5:F3485)</f>
        <v/>
      </c>
      <c r="L3485" s="37">
        <f>SUM(F$5:F3485)/SUM(E$5:E3485)</f>
        <v/>
      </c>
    </row>
    <row r="3486">
      <c r="A3486" s="29" t="n">
        <v>46198</v>
      </c>
      <c r="B3486" s="37" t="inlineStr">
        <is>
          <t>JOB-4482</t>
        </is>
      </c>
      <c r="C3486" s="34" t="n">
        <v>1</v>
      </c>
      <c r="D3486" s="37" t="inlineStr">
        <is>
          <t>Tech G</t>
        </is>
      </c>
      <c r="E3486" s="35" t="n">
        <v>2.8</v>
      </c>
      <c r="F3486" s="35" t="n">
        <v>2.5</v>
      </c>
      <c r="G3486" s="37" t="inlineStr">
        <is>
          <t>Y</t>
        </is>
      </c>
      <c r="H3486" s="37" t="inlineStr">
        <is>
          <t>N</t>
        </is>
      </c>
      <c r="I3486" s="37">
        <f>COUNTIF(G$5:G3486,"Y")/COUNTA(G$5:G3486)</f>
        <v/>
      </c>
      <c r="J3486" s="37">
        <f>COUNTIF(H$5:H3486,"Y")/COUNTA(H$5:H3486)</f>
        <v/>
      </c>
      <c r="K3486" s="37">
        <f>AVERAGE(F$5:F3486)</f>
        <v/>
      </c>
      <c r="L3486" s="37">
        <f>SUM(F$5:F3486)/SUM(E$5:E3486)</f>
        <v/>
      </c>
    </row>
    <row r="3487">
      <c r="A3487" s="29" t="n">
        <v>46199</v>
      </c>
      <c r="B3487" s="37" t="inlineStr">
        <is>
          <t>JOB-4483</t>
        </is>
      </c>
      <c r="C3487" s="34" t="n">
        <v>1</v>
      </c>
      <c r="D3487" s="37" t="inlineStr">
        <is>
          <t>Tech F</t>
        </is>
      </c>
      <c r="E3487" s="35" t="n">
        <v>2.1</v>
      </c>
      <c r="F3487" s="35" t="n">
        <v>1.5</v>
      </c>
      <c r="G3487" s="37" t="inlineStr">
        <is>
          <t>N</t>
        </is>
      </c>
      <c r="H3487" s="37" t="inlineStr">
        <is>
          <t>N</t>
        </is>
      </c>
      <c r="I3487" s="37">
        <f>COUNTIF(G$5:G3487,"Y")/COUNTA(G$5:G3487)</f>
        <v/>
      </c>
      <c r="J3487" s="37">
        <f>COUNTIF(H$5:H3487,"Y")/COUNTA(H$5:H3487)</f>
        <v/>
      </c>
      <c r="K3487" s="37">
        <f>AVERAGE(F$5:F3487)</f>
        <v/>
      </c>
      <c r="L3487" s="37">
        <f>SUM(F$5:F3487)/SUM(E$5:E3487)</f>
        <v/>
      </c>
    </row>
    <row r="3488">
      <c r="A3488" s="29" t="n">
        <v>46195</v>
      </c>
      <c r="B3488" s="37" t="inlineStr">
        <is>
          <t>JOB-4484</t>
        </is>
      </c>
      <c r="C3488" s="34" t="n">
        <v>1</v>
      </c>
      <c r="D3488" s="37" t="inlineStr">
        <is>
          <t>Tech B</t>
        </is>
      </c>
      <c r="E3488" s="35" t="n">
        <v>1.7</v>
      </c>
      <c r="F3488" s="35" t="n">
        <v>1.3</v>
      </c>
      <c r="G3488" s="37" t="inlineStr">
        <is>
          <t>N</t>
        </is>
      </c>
      <c r="H3488" s="37" t="inlineStr">
        <is>
          <t>N</t>
        </is>
      </c>
      <c r="I3488" s="37">
        <f>COUNTIF(G$5:G3488,"Y")/COUNTA(G$5:G3488)</f>
        <v/>
      </c>
      <c r="J3488" s="37">
        <f>COUNTIF(H$5:H3488,"Y")/COUNTA(H$5:H3488)</f>
        <v/>
      </c>
      <c r="K3488" s="37">
        <f>AVERAGE(F$5:F3488)</f>
        <v/>
      </c>
      <c r="L3488" s="37">
        <f>SUM(F$5:F3488)/SUM(E$5:E3488)</f>
        <v/>
      </c>
    </row>
    <row r="3489">
      <c r="A3489" s="29" t="n">
        <v>46196</v>
      </c>
      <c r="B3489" s="37" t="inlineStr">
        <is>
          <t>JOB-4485</t>
        </is>
      </c>
      <c r="C3489" s="34" t="n">
        <v>1</v>
      </c>
      <c r="D3489" s="37" t="inlineStr">
        <is>
          <t>Tech B</t>
        </is>
      </c>
      <c r="E3489" s="35" t="n">
        <v>3.3</v>
      </c>
      <c r="F3489" s="35" t="n">
        <v>2.9</v>
      </c>
      <c r="G3489" s="37" t="inlineStr">
        <is>
          <t>Y</t>
        </is>
      </c>
      <c r="H3489" s="37" t="inlineStr">
        <is>
          <t>N</t>
        </is>
      </c>
      <c r="I3489" s="37">
        <f>COUNTIF(G$5:G3489,"Y")/COUNTA(G$5:G3489)</f>
        <v/>
      </c>
      <c r="J3489" s="37">
        <f>COUNTIF(H$5:H3489,"Y")/COUNTA(H$5:H3489)</f>
        <v/>
      </c>
      <c r="K3489" s="37">
        <f>AVERAGE(F$5:F3489)</f>
        <v/>
      </c>
      <c r="L3489" s="37">
        <f>SUM(F$5:F3489)/SUM(E$5:E3489)</f>
        <v/>
      </c>
    </row>
    <row r="3490">
      <c r="A3490" s="29" t="n">
        <v>46197</v>
      </c>
      <c r="B3490" s="37" t="inlineStr">
        <is>
          <t>JOB-4486</t>
        </is>
      </c>
      <c r="C3490" s="34" t="n">
        <v>1</v>
      </c>
      <c r="D3490" s="37" t="inlineStr">
        <is>
          <t>Tech B</t>
        </is>
      </c>
      <c r="E3490" s="35" t="n">
        <v>6.2</v>
      </c>
      <c r="F3490" s="35" t="n">
        <v>4.4</v>
      </c>
      <c r="G3490" s="37" t="inlineStr">
        <is>
          <t>Y</t>
        </is>
      </c>
      <c r="H3490" s="37" t="inlineStr">
        <is>
          <t>N</t>
        </is>
      </c>
      <c r="I3490" s="37">
        <f>COUNTIF(G$5:G3490,"Y")/COUNTA(G$5:G3490)</f>
        <v/>
      </c>
      <c r="J3490" s="37">
        <f>COUNTIF(H$5:H3490,"Y")/COUNTA(H$5:H3490)</f>
        <v/>
      </c>
      <c r="K3490" s="37">
        <f>AVERAGE(F$5:F3490)</f>
        <v/>
      </c>
      <c r="L3490" s="37">
        <f>SUM(F$5:F3490)/SUM(E$5:E3490)</f>
        <v/>
      </c>
    </row>
    <row r="3491">
      <c r="A3491" s="29" t="n">
        <v>46198</v>
      </c>
      <c r="B3491" s="37" t="inlineStr">
        <is>
          <t>JOB-4487</t>
        </is>
      </c>
      <c r="C3491" s="34" t="n">
        <v>1</v>
      </c>
      <c r="D3491" s="37" t="inlineStr">
        <is>
          <t>Tech C</t>
        </is>
      </c>
      <c r="E3491" s="35" t="n">
        <v>5.1</v>
      </c>
      <c r="F3491" s="35" t="n">
        <v>3.4</v>
      </c>
      <c r="G3491" s="37" t="inlineStr">
        <is>
          <t>Y</t>
        </is>
      </c>
      <c r="H3491" s="37" t="inlineStr">
        <is>
          <t>N</t>
        </is>
      </c>
      <c r="I3491" s="37">
        <f>COUNTIF(G$5:G3491,"Y")/COUNTA(G$5:G3491)</f>
        <v/>
      </c>
      <c r="J3491" s="37">
        <f>COUNTIF(H$5:H3491,"Y")/COUNTA(H$5:H3491)</f>
        <v/>
      </c>
      <c r="K3491" s="37">
        <f>AVERAGE(F$5:F3491)</f>
        <v/>
      </c>
      <c r="L3491" s="37">
        <f>SUM(F$5:F3491)/SUM(E$5:E3491)</f>
        <v/>
      </c>
    </row>
    <row r="3492">
      <c r="A3492" s="29" t="n">
        <v>46199</v>
      </c>
      <c r="B3492" s="37" t="inlineStr">
        <is>
          <t>JOB-4488</t>
        </is>
      </c>
      <c r="C3492" s="34" t="n">
        <v>1</v>
      </c>
      <c r="D3492" s="37" t="inlineStr">
        <is>
          <t>Tech H</t>
        </is>
      </c>
      <c r="E3492" s="35" t="n">
        <v>1.5</v>
      </c>
      <c r="F3492" s="35" t="n">
        <v>1.3</v>
      </c>
      <c r="G3492" s="37" t="inlineStr">
        <is>
          <t>Y</t>
        </is>
      </c>
      <c r="H3492" s="37" t="inlineStr">
        <is>
          <t>N</t>
        </is>
      </c>
      <c r="I3492" s="37">
        <f>COUNTIF(G$5:G3492,"Y")/COUNTA(G$5:G3492)</f>
        <v/>
      </c>
      <c r="J3492" s="37">
        <f>COUNTIF(H$5:H3492,"Y")/COUNTA(H$5:H3492)</f>
        <v/>
      </c>
      <c r="K3492" s="37">
        <f>AVERAGE(F$5:F3492)</f>
        <v/>
      </c>
      <c r="L3492" s="37">
        <f>SUM(F$5:F3492)/SUM(E$5:E3492)</f>
        <v/>
      </c>
    </row>
    <row r="3493">
      <c r="A3493" s="29" t="n">
        <v>46195</v>
      </c>
      <c r="B3493" s="37" t="inlineStr">
        <is>
          <t>JOB-4489</t>
        </is>
      </c>
      <c r="C3493" s="34" t="n">
        <v>1</v>
      </c>
      <c r="D3493" s="37" t="inlineStr">
        <is>
          <t>Tech H</t>
        </is>
      </c>
      <c r="E3493" s="35" t="n">
        <v>2.5</v>
      </c>
      <c r="F3493" s="35" t="n">
        <v>1.7</v>
      </c>
      <c r="G3493" s="37" t="inlineStr">
        <is>
          <t>Y</t>
        </is>
      </c>
      <c r="H3493" s="37" t="inlineStr">
        <is>
          <t>N</t>
        </is>
      </c>
      <c r="I3493" s="37">
        <f>COUNTIF(G$5:G3493,"Y")/COUNTA(G$5:G3493)</f>
        <v/>
      </c>
      <c r="J3493" s="37">
        <f>COUNTIF(H$5:H3493,"Y")/COUNTA(H$5:H3493)</f>
        <v/>
      </c>
      <c r="K3493" s="37">
        <f>AVERAGE(F$5:F3493)</f>
        <v/>
      </c>
      <c r="L3493" s="37">
        <f>SUM(F$5:F3493)/SUM(E$5:E3493)</f>
        <v/>
      </c>
    </row>
    <row r="3494">
      <c r="A3494" s="29" t="n">
        <v>46196</v>
      </c>
      <c r="B3494" s="37" t="inlineStr">
        <is>
          <t>JOB-4490</t>
        </is>
      </c>
      <c r="C3494" s="34" t="n">
        <v>1</v>
      </c>
      <c r="D3494" s="37" t="inlineStr">
        <is>
          <t>Tech G</t>
        </is>
      </c>
      <c r="E3494" s="35" t="n">
        <v>3.3</v>
      </c>
      <c r="F3494" s="35" t="n">
        <v>2.4</v>
      </c>
      <c r="G3494" s="37" t="inlineStr">
        <is>
          <t>Y</t>
        </is>
      </c>
      <c r="H3494" s="37" t="inlineStr">
        <is>
          <t>N</t>
        </is>
      </c>
      <c r="I3494" s="37">
        <f>COUNTIF(G$5:G3494,"Y")/COUNTA(G$5:G3494)</f>
        <v/>
      </c>
      <c r="J3494" s="37">
        <f>COUNTIF(H$5:H3494,"Y")/COUNTA(H$5:H3494)</f>
        <v/>
      </c>
      <c r="K3494" s="37">
        <f>AVERAGE(F$5:F3494)</f>
        <v/>
      </c>
      <c r="L3494" s="37">
        <f>SUM(F$5:F3494)/SUM(E$5:E3494)</f>
        <v/>
      </c>
    </row>
    <row r="3495">
      <c r="A3495" s="29" t="n">
        <v>46197</v>
      </c>
      <c r="B3495" s="37" t="inlineStr">
        <is>
          <t>JOB-4491</t>
        </is>
      </c>
      <c r="C3495" s="34" t="n">
        <v>1</v>
      </c>
      <c r="D3495" s="37" t="inlineStr">
        <is>
          <t>Tech H</t>
        </is>
      </c>
      <c r="E3495" s="35" t="n">
        <v>4.9</v>
      </c>
      <c r="F3495" s="35" t="n">
        <v>3.9</v>
      </c>
      <c r="G3495" s="37" t="inlineStr">
        <is>
          <t>Y</t>
        </is>
      </c>
      <c r="H3495" s="37" t="inlineStr">
        <is>
          <t>N</t>
        </is>
      </c>
      <c r="I3495" s="37">
        <f>COUNTIF(G$5:G3495,"Y")/COUNTA(G$5:G3495)</f>
        <v/>
      </c>
      <c r="J3495" s="37">
        <f>COUNTIF(H$5:H3495,"Y")/COUNTA(H$5:H3495)</f>
        <v/>
      </c>
      <c r="K3495" s="37">
        <f>AVERAGE(F$5:F3495)</f>
        <v/>
      </c>
      <c r="L3495" s="37">
        <f>SUM(F$5:F3495)/SUM(E$5:E3495)</f>
        <v/>
      </c>
    </row>
    <row r="3496">
      <c r="A3496" s="29" t="n">
        <v>46198</v>
      </c>
      <c r="B3496" s="37" t="inlineStr">
        <is>
          <t>JOB-4492</t>
        </is>
      </c>
      <c r="C3496" s="34" t="n">
        <v>1</v>
      </c>
      <c r="D3496" s="37" t="inlineStr">
        <is>
          <t>Tech H</t>
        </is>
      </c>
      <c r="E3496" s="35" t="n">
        <v>3.5</v>
      </c>
      <c r="F3496" s="35" t="n">
        <v>3.1</v>
      </c>
      <c r="G3496" s="37" t="inlineStr">
        <is>
          <t>N</t>
        </is>
      </c>
      <c r="H3496" s="37" t="inlineStr">
        <is>
          <t>N</t>
        </is>
      </c>
      <c r="I3496" s="37">
        <f>COUNTIF(G$5:G3496,"Y")/COUNTA(G$5:G3496)</f>
        <v/>
      </c>
      <c r="J3496" s="37">
        <f>COUNTIF(H$5:H3496,"Y")/COUNTA(H$5:H3496)</f>
        <v/>
      </c>
      <c r="K3496" s="37">
        <f>AVERAGE(F$5:F3496)</f>
        <v/>
      </c>
      <c r="L3496" s="37">
        <f>SUM(F$5:F3496)/SUM(E$5:E3496)</f>
        <v/>
      </c>
    </row>
    <row r="3497">
      <c r="A3497" s="29" t="n">
        <v>46199</v>
      </c>
      <c r="B3497" s="37" t="inlineStr">
        <is>
          <t>JOB-4493</t>
        </is>
      </c>
      <c r="C3497" s="34" t="n">
        <v>1</v>
      </c>
      <c r="D3497" s="37" t="inlineStr">
        <is>
          <t>Tech F</t>
        </is>
      </c>
      <c r="E3497" s="35" t="n">
        <v>5.2</v>
      </c>
      <c r="F3497" s="35" t="n">
        <v>4.2</v>
      </c>
      <c r="G3497" s="37" t="inlineStr">
        <is>
          <t>Y</t>
        </is>
      </c>
      <c r="H3497" s="37" t="inlineStr">
        <is>
          <t>N</t>
        </is>
      </c>
      <c r="I3497" s="37">
        <f>COUNTIF(G$5:G3497,"Y")/COUNTA(G$5:G3497)</f>
        <v/>
      </c>
      <c r="J3497" s="37">
        <f>COUNTIF(H$5:H3497,"Y")/COUNTA(H$5:H3497)</f>
        <v/>
      </c>
      <c r="K3497" s="37">
        <f>AVERAGE(F$5:F3497)</f>
        <v/>
      </c>
      <c r="L3497" s="37">
        <f>SUM(F$5:F3497)/SUM(E$5:E3497)</f>
        <v/>
      </c>
    </row>
    <row r="3498">
      <c r="A3498" s="29" t="n">
        <v>46195</v>
      </c>
      <c r="B3498" s="37" t="inlineStr">
        <is>
          <t>JOB-4494</t>
        </is>
      </c>
      <c r="C3498" s="34" t="n">
        <v>1</v>
      </c>
      <c r="D3498" s="37" t="inlineStr">
        <is>
          <t>Tech C</t>
        </is>
      </c>
      <c r="E3498" s="35" t="n">
        <v>1.9</v>
      </c>
      <c r="F3498" s="35" t="n">
        <v>1.4</v>
      </c>
      <c r="G3498" s="37" t="inlineStr">
        <is>
          <t>Y</t>
        </is>
      </c>
      <c r="H3498" s="37" t="inlineStr">
        <is>
          <t>N</t>
        </is>
      </c>
      <c r="I3498" s="37">
        <f>COUNTIF(G$5:G3498,"Y")/COUNTA(G$5:G3498)</f>
        <v/>
      </c>
      <c r="J3498" s="37">
        <f>COUNTIF(H$5:H3498,"Y")/COUNTA(H$5:H3498)</f>
        <v/>
      </c>
      <c r="K3498" s="37">
        <f>AVERAGE(F$5:F3498)</f>
        <v/>
      </c>
      <c r="L3498" s="37">
        <f>SUM(F$5:F3498)/SUM(E$5:E3498)</f>
        <v/>
      </c>
    </row>
    <row r="3499">
      <c r="A3499" s="29" t="n">
        <v>46196</v>
      </c>
      <c r="B3499" s="37" t="inlineStr">
        <is>
          <t>JOB-4495</t>
        </is>
      </c>
      <c r="C3499" s="34" t="n">
        <v>1</v>
      </c>
      <c r="D3499" s="37" t="inlineStr">
        <is>
          <t>Tech F</t>
        </is>
      </c>
      <c r="E3499" s="35" t="n">
        <v>6.1</v>
      </c>
      <c r="F3499" s="35" t="n">
        <v>4.5</v>
      </c>
      <c r="G3499" s="37" t="inlineStr">
        <is>
          <t>Y</t>
        </is>
      </c>
      <c r="H3499" s="37" t="inlineStr">
        <is>
          <t>N</t>
        </is>
      </c>
      <c r="I3499" s="37">
        <f>COUNTIF(G$5:G3499,"Y")/COUNTA(G$5:G3499)</f>
        <v/>
      </c>
      <c r="J3499" s="37">
        <f>COUNTIF(H$5:H3499,"Y")/COUNTA(H$5:H3499)</f>
        <v/>
      </c>
      <c r="K3499" s="37">
        <f>AVERAGE(F$5:F3499)</f>
        <v/>
      </c>
      <c r="L3499" s="37">
        <f>SUM(F$5:F3499)/SUM(E$5:E3499)</f>
        <v/>
      </c>
    </row>
    <row r="3500">
      <c r="A3500" s="29" t="n">
        <v>46197</v>
      </c>
      <c r="B3500" s="37" t="inlineStr">
        <is>
          <t>JOB-4496</t>
        </is>
      </c>
      <c r="C3500" s="34" t="n">
        <v>1</v>
      </c>
      <c r="D3500" s="37" t="inlineStr">
        <is>
          <t>Tech D</t>
        </is>
      </c>
      <c r="E3500" s="35" t="n">
        <v>4.6</v>
      </c>
      <c r="F3500" s="35" t="n">
        <v>3.9</v>
      </c>
      <c r="G3500" s="37" t="inlineStr">
        <is>
          <t>Y</t>
        </is>
      </c>
      <c r="H3500" s="37" t="inlineStr">
        <is>
          <t>N</t>
        </is>
      </c>
      <c r="I3500" s="37">
        <f>COUNTIF(G$5:G3500,"Y")/COUNTA(G$5:G3500)</f>
        <v/>
      </c>
      <c r="J3500" s="37">
        <f>COUNTIF(H$5:H3500,"Y")/COUNTA(H$5:H3500)</f>
        <v/>
      </c>
      <c r="K3500" s="37">
        <f>AVERAGE(F$5:F3500)</f>
        <v/>
      </c>
      <c r="L3500" s="37">
        <f>SUM(F$5:F3500)/SUM(E$5:E3500)</f>
        <v/>
      </c>
    </row>
    <row r="3501">
      <c r="A3501" s="29" t="n">
        <v>46198</v>
      </c>
      <c r="B3501" s="37" t="inlineStr">
        <is>
          <t>JOB-4497</t>
        </is>
      </c>
      <c r="C3501" s="34" t="n">
        <v>1</v>
      </c>
      <c r="D3501" s="37" t="inlineStr">
        <is>
          <t>Tech F</t>
        </is>
      </c>
      <c r="E3501" s="35" t="n">
        <v>2.3</v>
      </c>
      <c r="F3501" s="35" t="n">
        <v>1.8</v>
      </c>
      <c r="G3501" s="37" t="inlineStr">
        <is>
          <t>Y</t>
        </is>
      </c>
      <c r="H3501" s="37" t="inlineStr">
        <is>
          <t>N</t>
        </is>
      </c>
      <c r="I3501" s="37">
        <f>COUNTIF(G$5:G3501,"Y")/COUNTA(G$5:G3501)</f>
        <v/>
      </c>
      <c r="J3501" s="37">
        <f>COUNTIF(H$5:H3501,"Y")/COUNTA(H$5:H3501)</f>
        <v/>
      </c>
      <c r="K3501" s="37">
        <f>AVERAGE(F$5:F3501)</f>
        <v/>
      </c>
      <c r="L3501" s="37">
        <f>SUM(F$5:F3501)/SUM(E$5:E3501)</f>
        <v/>
      </c>
    </row>
    <row r="3502">
      <c r="A3502" s="29" t="n">
        <v>46199</v>
      </c>
      <c r="B3502" s="37" t="inlineStr">
        <is>
          <t>JOB-4498</t>
        </is>
      </c>
      <c r="C3502" s="34" t="n">
        <v>1</v>
      </c>
      <c r="D3502" s="37" t="inlineStr">
        <is>
          <t>Tech F</t>
        </is>
      </c>
      <c r="E3502" s="35" t="n">
        <v>5.2</v>
      </c>
      <c r="F3502" s="35" t="n">
        <v>4.5</v>
      </c>
      <c r="G3502" s="37" t="inlineStr">
        <is>
          <t>N</t>
        </is>
      </c>
      <c r="H3502" s="37" t="inlineStr">
        <is>
          <t>N</t>
        </is>
      </c>
      <c r="I3502" s="37">
        <f>COUNTIF(G$5:G3502,"Y")/COUNTA(G$5:G3502)</f>
        <v/>
      </c>
      <c r="J3502" s="37">
        <f>COUNTIF(H$5:H3502,"Y")/COUNTA(H$5:H3502)</f>
        <v/>
      </c>
      <c r="K3502" s="37">
        <f>AVERAGE(F$5:F3502)</f>
        <v/>
      </c>
      <c r="L3502" s="37">
        <f>SUM(F$5:F3502)/SUM(E$5:E3502)</f>
        <v/>
      </c>
    </row>
    <row r="3503">
      <c r="A3503" s="29" t="n">
        <v>46195</v>
      </c>
      <c r="B3503" s="37" t="inlineStr">
        <is>
          <t>JOB-4499</t>
        </is>
      </c>
      <c r="C3503" s="34" t="n">
        <v>1</v>
      </c>
      <c r="D3503" s="37" t="inlineStr">
        <is>
          <t>Tech F</t>
        </is>
      </c>
      <c r="E3503" s="35" t="n">
        <v>4.3</v>
      </c>
      <c r="F3503" s="35" t="n">
        <v>3.2</v>
      </c>
      <c r="G3503" s="37" t="inlineStr">
        <is>
          <t>Y</t>
        </is>
      </c>
      <c r="H3503" s="37" t="inlineStr">
        <is>
          <t>N</t>
        </is>
      </c>
      <c r="I3503" s="37">
        <f>COUNTIF(G$5:G3503,"Y")/COUNTA(G$5:G3503)</f>
        <v/>
      </c>
      <c r="J3503" s="37">
        <f>COUNTIF(H$5:H3503,"Y")/COUNTA(H$5:H3503)</f>
        <v/>
      </c>
      <c r="K3503" s="37">
        <f>AVERAGE(F$5:F3503)</f>
        <v/>
      </c>
      <c r="L3503" s="37">
        <f>SUM(F$5:F3503)/SUM(E$5:E3503)</f>
        <v/>
      </c>
    </row>
    <row r="3504">
      <c r="A3504" s="29" t="n">
        <v>46196</v>
      </c>
      <c r="B3504" s="37" t="inlineStr">
        <is>
          <t>JOB-4500</t>
        </is>
      </c>
      <c r="C3504" s="34" t="n">
        <v>1</v>
      </c>
      <c r="D3504" s="37" t="inlineStr">
        <is>
          <t>Tech F</t>
        </is>
      </c>
      <c r="E3504" s="35" t="n">
        <v>4.3</v>
      </c>
      <c r="F3504" s="35" t="n">
        <v>3</v>
      </c>
      <c r="G3504" s="37" t="inlineStr">
        <is>
          <t>Y</t>
        </is>
      </c>
      <c r="H3504" s="37" t="inlineStr">
        <is>
          <t>N</t>
        </is>
      </c>
      <c r="I3504" s="37">
        <f>COUNTIF(G$5:G3504,"Y")/COUNTA(G$5:G3504)</f>
        <v/>
      </c>
      <c r="J3504" s="37">
        <f>COUNTIF(H$5:H3504,"Y")/COUNTA(H$5:H3504)</f>
        <v/>
      </c>
      <c r="K3504" s="37">
        <f>AVERAGE(F$5:F3504)</f>
        <v/>
      </c>
      <c r="L3504" s="37">
        <f>SUM(F$5:F3504)/SUM(E$5:E3504)</f>
        <v/>
      </c>
    </row>
    <row r="3505">
      <c r="A3505" s="29" t="n">
        <v>46197</v>
      </c>
      <c r="B3505" s="37" t="inlineStr">
        <is>
          <t>JOB-4501</t>
        </is>
      </c>
      <c r="C3505" s="34" t="n">
        <v>1</v>
      </c>
      <c r="D3505" s="37" t="inlineStr">
        <is>
          <t>Tech B</t>
        </is>
      </c>
      <c r="E3505" s="35" t="n">
        <v>2.5</v>
      </c>
      <c r="F3505" s="35" t="n">
        <v>2.2</v>
      </c>
      <c r="G3505" s="37" t="inlineStr">
        <is>
          <t>Y</t>
        </is>
      </c>
      <c r="H3505" s="37" t="inlineStr">
        <is>
          <t>N</t>
        </is>
      </c>
      <c r="I3505" s="37">
        <f>COUNTIF(G$5:G3505,"Y")/COUNTA(G$5:G3505)</f>
        <v/>
      </c>
      <c r="J3505" s="37">
        <f>COUNTIF(H$5:H3505,"Y")/COUNTA(H$5:H3505)</f>
        <v/>
      </c>
      <c r="K3505" s="37">
        <f>AVERAGE(F$5:F3505)</f>
        <v/>
      </c>
      <c r="L3505" s="37">
        <f>SUM(F$5:F3505)/SUM(E$5:E3505)</f>
        <v/>
      </c>
    </row>
    <row r="3506">
      <c r="A3506" s="29" t="n">
        <v>46198</v>
      </c>
      <c r="B3506" s="37" t="inlineStr">
        <is>
          <t>JOB-4502</t>
        </is>
      </c>
      <c r="C3506" s="34" t="n">
        <v>1</v>
      </c>
      <c r="D3506" s="37" t="inlineStr">
        <is>
          <t>Tech D</t>
        </is>
      </c>
      <c r="E3506" s="35" t="n">
        <v>1.3</v>
      </c>
      <c r="F3506" s="35" t="n">
        <v>1.1</v>
      </c>
      <c r="G3506" s="37" t="inlineStr">
        <is>
          <t>Y</t>
        </is>
      </c>
      <c r="H3506" s="37" t="inlineStr">
        <is>
          <t>N</t>
        </is>
      </c>
      <c r="I3506" s="37">
        <f>COUNTIF(G$5:G3506,"Y")/COUNTA(G$5:G3506)</f>
        <v/>
      </c>
      <c r="J3506" s="37">
        <f>COUNTIF(H$5:H3506,"Y")/COUNTA(H$5:H3506)</f>
        <v/>
      </c>
      <c r="K3506" s="37">
        <f>AVERAGE(F$5:F3506)</f>
        <v/>
      </c>
      <c r="L3506" s="37">
        <f>SUM(F$5:F3506)/SUM(E$5:E3506)</f>
        <v/>
      </c>
    </row>
    <row r="3507">
      <c r="A3507" s="29" t="n">
        <v>46199</v>
      </c>
      <c r="B3507" s="37" t="inlineStr">
        <is>
          <t>JOB-4503</t>
        </is>
      </c>
      <c r="C3507" s="34" t="n">
        <v>1</v>
      </c>
      <c r="D3507" s="37" t="inlineStr">
        <is>
          <t>Tech G</t>
        </is>
      </c>
      <c r="E3507" s="35" t="n">
        <v>0.7</v>
      </c>
      <c r="F3507" s="35" t="n">
        <v>0.5</v>
      </c>
      <c r="G3507" s="37" t="inlineStr">
        <is>
          <t>Y</t>
        </is>
      </c>
      <c r="H3507" s="37" t="inlineStr">
        <is>
          <t>N</t>
        </is>
      </c>
      <c r="I3507" s="37">
        <f>COUNTIF(G$5:G3507,"Y")/COUNTA(G$5:G3507)</f>
        <v/>
      </c>
      <c r="J3507" s="37">
        <f>COUNTIF(H$5:H3507,"Y")/COUNTA(H$5:H3507)</f>
        <v/>
      </c>
      <c r="K3507" s="37">
        <f>AVERAGE(F$5:F3507)</f>
        <v/>
      </c>
      <c r="L3507" s="37">
        <f>SUM(F$5:F3507)/SUM(E$5:E3507)</f>
        <v/>
      </c>
    </row>
    <row r="3508">
      <c r="A3508" s="29" t="n">
        <v>46195</v>
      </c>
      <c r="B3508" s="37" t="inlineStr">
        <is>
          <t>JOB-4504</t>
        </is>
      </c>
      <c r="C3508" s="34" t="n">
        <v>1</v>
      </c>
      <c r="D3508" s="37" t="inlineStr">
        <is>
          <t>Tech H</t>
        </is>
      </c>
      <c r="E3508" s="35" t="n">
        <v>0.7</v>
      </c>
      <c r="F3508" s="35" t="n">
        <v>0.5</v>
      </c>
      <c r="G3508" s="37" t="inlineStr">
        <is>
          <t>Y</t>
        </is>
      </c>
      <c r="H3508" s="37" t="inlineStr">
        <is>
          <t>N</t>
        </is>
      </c>
      <c r="I3508" s="37">
        <f>COUNTIF(G$5:G3508,"Y")/COUNTA(G$5:G3508)</f>
        <v/>
      </c>
      <c r="J3508" s="37">
        <f>COUNTIF(H$5:H3508,"Y")/COUNTA(H$5:H3508)</f>
        <v/>
      </c>
      <c r="K3508" s="37">
        <f>AVERAGE(F$5:F3508)</f>
        <v/>
      </c>
      <c r="L3508" s="37">
        <f>SUM(F$5:F3508)/SUM(E$5:E3508)</f>
        <v/>
      </c>
    </row>
    <row r="3509">
      <c r="A3509" s="29" t="n">
        <v>46196</v>
      </c>
      <c r="B3509" s="37" t="inlineStr">
        <is>
          <t>JOB-4505</t>
        </is>
      </c>
      <c r="C3509" s="34" t="n">
        <v>1</v>
      </c>
      <c r="D3509" s="37" t="inlineStr">
        <is>
          <t>Tech G</t>
        </is>
      </c>
      <c r="E3509" s="35" t="n">
        <v>0.6</v>
      </c>
      <c r="F3509" s="35" t="n">
        <v>0.5</v>
      </c>
      <c r="G3509" s="37" t="inlineStr">
        <is>
          <t>Y</t>
        </is>
      </c>
      <c r="H3509" s="37" t="inlineStr">
        <is>
          <t>N</t>
        </is>
      </c>
      <c r="I3509" s="37">
        <f>COUNTIF(G$5:G3509,"Y")/COUNTA(G$5:G3509)</f>
        <v/>
      </c>
      <c r="J3509" s="37">
        <f>COUNTIF(H$5:H3509,"Y")/COUNTA(H$5:H3509)</f>
        <v/>
      </c>
      <c r="K3509" s="37">
        <f>AVERAGE(F$5:F3509)</f>
        <v/>
      </c>
      <c r="L3509" s="37">
        <f>SUM(F$5:F3509)/SUM(E$5:E3509)</f>
        <v/>
      </c>
    </row>
    <row r="3510">
      <c r="A3510" s="29" t="n">
        <v>46197</v>
      </c>
      <c r="B3510" s="37" t="inlineStr">
        <is>
          <t>JOB-4506</t>
        </is>
      </c>
      <c r="C3510" s="34" t="n">
        <v>1</v>
      </c>
      <c r="D3510" s="37" t="inlineStr">
        <is>
          <t>Tech A</t>
        </is>
      </c>
      <c r="E3510" s="35" t="n">
        <v>0.7</v>
      </c>
      <c r="F3510" s="35" t="n">
        <v>0.5</v>
      </c>
      <c r="G3510" s="37" t="inlineStr">
        <is>
          <t>Y</t>
        </is>
      </c>
      <c r="H3510" s="37" t="inlineStr">
        <is>
          <t>N</t>
        </is>
      </c>
      <c r="I3510" s="37">
        <f>COUNTIF(G$5:G3510,"Y")/COUNTA(G$5:G3510)</f>
        <v/>
      </c>
      <c r="J3510" s="37">
        <f>COUNTIF(H$5:H3510,"Y")/COUNTA(H$5:H3510)</f>
        <v/>
      </c>
      <c r="K3510" s="37">
        <f>AVERAGE(F$5:F3510)</f>
        <v/>
      </c>
      <c r="L3510" s="37">
        <f>SUM(F$5:F3510)/SUM(E$5:E3510)</f>
        <v/>
      </c>
    </row>
    <row r="3511">
      <c r="A3511" s="29" t="n">
        <v>46198</v>
      </c>
      <c r="B3511" s="37" t="inlineStr">
        <is>
          <t>JOB-4507</t>
        </is>
      </c>
      <c r="C3511" s="34" t="n">
        <v>1</v>
      </c>
      <c r="D3511" s="37" t="inlineStr">
        <is>
          <t>Tech D</t>
        </is>
      </c>
      <c r="E3511" s="35" t="n">
        <v>3.6</v>
      </c>
      <c r="F3511" s="35" t="n">
        <v>0.5</v>
      </c>
      <c r="G3511" s="37" t="inlineStr">
        <is>
          <t>Y</t>
        </is>
      </c>
      <c r="H3511" s="37" t="inlineStr">
        <is>
          <t>N</t>
        </is>
      </c>
      <c r="I3511" s="37">
        <f>COUNTIF(G$5:G3511,"Y")/COUNTA(G$5:G3511)</f>
        <v/>
      </c>
      <c r="J3511" s="37">
        <f>COUNTIF(H$5:H3511,"Y")/COUNTA(H$5:H3511)</f>
        <v/>
      </c>
      <c r="K3511" s="37">
        <f>AVERAGE(F$5:F3511)</f>
        <v/>
      </c>
      <c r="L3511" s="37">
        <f>SUM(F$5:F3511)/SUM(E$5:E3511)</f>
        <v/>
      </c>
      <c r="M3511" s="37" t="n">
        <v>6</v>
      </c>
    </row>
    <row r="3512">
      <c r="A3512" s="29" t="n">
        <v>46202</v>
      </c>
      <c r="B3512" s="37" t="inlineStr">
        <is>
          <t>JOB-4508</t>
        </is>
      </c>
      <c r="C3512" s="34" t="n">
        <v>1</v>
      </c>
      <c r="D3512" s="37" t="inlineStr">
        <is>
          <t>Tech A</t>
        </is>
      </c>
      <c r="E3512" s="35" t="n">
        <v>5.7</v>
      </c>
      <c r="F3512" s="35" t="n">
        <v>4.2</v>
      </c>
      <c r="G3512" s="37" t="inlineStr">
        <is>
          <t>Y</t>
        </is>
      </c>
      <c r="H3512" s="37" t="inlineStr">
        <is>
          <t>N</t>
        </is>
      </c>
      <c r="I3512" s="37">
        <f>COUNTIF(G$5:G3512,"Y")/COUNTA(G$5:G3512)</f>
        <v/>
      </c>
      <c r="J3512" s="37">
        <f>COUNTIF(H$5:H3512,"Y")/COUNTA(H$5:H3512)</f>
        <v/>
      </c>
      <c r="K3512" s="37">
        <f>AVERAGE(F$5:F3512)</f>
        <v/>
      </c>
      <c r="L3512" s="37">
        <f>SUM(F$5:F3512)/SUM(E$5:E3512)</f>
        <v/>
      </c>
    </row>
    <row r="3513">
      <c r="A3513" s="29" t="n">
        <v>46203</v>
      </c>
      <c r="B3513" s="37" t="inlineStr">
        <is>
          <t>JOB-4509</t>
        </is>
      </c>
      <c r="C3513" s="34" t="n">
        <v>1</v>
      </c>
      <c r="D3513" s="37" t="inlineStr">
        <is>
          <t>Tech F</t>
        </is>
      </c>
      <c r="E3513" s="35" t="n">
        <v>3.2</v>
      </c>
      <c r="F3513" s="35" t="n">
        <v>2.1</v>
      </c>
      <c r="G3513" s="37" t="inlineStr">
        <is>
          <t>Y</t>
        </is>
      </c>
      <c r="H3513" s="37" t="inlineStr">
        <is>
          <t>N</t>
        </is>
      </c>
      <c r="I3513" s="37">
        <f>COUNTIF(G$5:G3513,"Y")/COUNTA(G$5:G3513)</f>
        <v/>
      </c>
      <c r="J3513" s="37">
        <f>COUNTIF(H$5:H3513,"Y")/COUNTA(H$5:H3513)</f>
        <v/>
      </c>
      <c r="K3513" s="37">
        <f>AVERAGE(F$5:F3513)</f>
        <v/>
      </c>
      <c r="L3513" s="37">
        <f>SUM(F$5:F3513)/SUM(E$5:E3513)</f>
        <v/>
      </c>
    </row>
    <row r="3514">
      <c r="A3514" s="29" t="n">
        <v>46204</v>
      </c>
      <c r="B3514" s="37" t="inlineStr">
        <is>
          <t>JOB-4510</t>
        </is>
      </c>
      <c r="C3514" s="34" t="n">
        <v>1</v>
      </c>
      <c r="D3514" s="37" t="inlineStr">
        <is>
          <t>Tech G</t>
        </is>
      </c>
      <c r="E3514" s="35" t="n">
        <v>3.2</v>
      </c>
      <c r="F3514" s="35" t="n">
        <v>2.6</v>
      </c>
      <c r="G3514" s="37" t="inlineStr">
        <is>
          <t>Y</t>
        </is>
      </c>
      <c r="H3514" s="37" t="inlineStr">
        <is>
          <t>N</t>
        </is>
      </c>
      <c r="I3514" s="37">
        <f>COUNTIF(G$5:G3514,"Y")/COUNTA(G$5:G3514)</f>
        <v/>
      </c>
      <c r="J3514" s="37">
        <f>COUNTIF(H$5:H3514,"Y")/COUNTA(H$5:H3514)</f>
        <v/>
      </c>
      <c r="K3514" s="37">
        <f>AVERAGE(F$5:F3514)</f>
        <v/>
      </c>
      <c r="L3514" s="37">
        <f>SUM(F$5:F3514)/SUM(E$5:E3514)</f>
        <v/>
      </c>
    </row>
    <row r="3515">
      <c r="A3515" s="29" t="n">
        <v>46205</v>
      </c>
      <c r="B3515" s="37" t="inlineStr">
        <is>
          <t>JOB-4511</t>
        </is>
      </c>
      <c r="C3515" s="34" t="n">
        <v>1</v>
      </c>
      <c r="D3515" s="37" t="inlineStr">
        <is>
          <t>Tech A</t>
        </is>
      </c>
      <c r="E3515" s="35" t="n">
        <v>1.8</v>
      </c>
      <c r="F3515" s="35" t="n">
        <v>1.3</v>
      </c>
      <c r="G3515" s="37" t="inlineStr">
        <is>
          <t>Y</t>
        </is>
      </c>
      <c r="H3515" s="37" t="inlineStr">
        <is>
          <t>N</t>
        </is>
      </c>
      <c r="I3515" s="37">
        <f>COUNTIF(G$5:G3515,"Y")/COUNTA(G$5:G3515)</f>
        <v/>
      </c>
      <c r="J3515" s="37">
        <f>COUNTIF(H$5:H3515,"Y")/COUNTA(H$5:H3515)</f>
        <v/>
      </c>
      <c r="K3515" s="37">
        <f>AVERAGE(F$5:F3515)</f>
        <v/>
      </c>
      <c r="L3515" s="37">
        <f>SUM(F$5:F3515)/SUM(E$5:E3515)</f>
        <v/>
      </c>
    </row>
    <row r="3516">
      <c r="A3516" s="29" t="n">
        <v>46206</v>
      </c>
      <c r="B3516" s="37" t="inlineStr">
        <is>
          <t>JOB-4512</t>
        </is>
      </c>
      <c r="C3516" s="34" t="n">
        <v>1</v>
      </c>
      <c r="D3516" s="37" t="inlineStr">
        <is>
          <t>Tech G</t>
        </is>
      </c>
      <c r="E3516" s="35" t="n">
        <v>4.8</v>
      </c>
      <c r="F3516" s="35" t="n">
        <v>4.2</v>
      </c>
      <c r="G3516" s="37" t="inlineStr">
        <is>
          <t>Y</t>
        </is>
      </c>
      <c r="H3516" s="37" t="inlineStr">
        <is>
          <t>N</t>
        </is>
      </c>
      <c r="I3516" s="37">
        <f>COUNTIF(G$5:G3516,"Y")/COUNTA(G$5:G3516)</f>
        <v/>
      </c>
      <c r="J3516" s="37">
        <f>COUNTIF(H$5:H3516,"Y")/COUNTA(H$5:H3516)</f>
        <v/>
      </c>
      <c r="K3516" s="37">
        <f>AVERAGE(F$5:F3516)</f>
        <v/>
      </c>
      <c r="L3516" s="37">
        <f>SUM(F$5:F3516)/SUM(E$5:E3516)</f>
        <v/>
      </c>
    </row>
    <row r="3517">
      <c r="A3517" s="29" t="n">
        <v>46202</v>
      </c>
      <c r="B3517" s="37" t="inlineStr">
        <is>
          <t>JOB-4513</t>
        </is>
      </c>
      <c r="C3517" s="34" t="n">
        <v>1</v>
      </c>
      <c r="D3517" s="37" t="inlineStr">
        <is>
          <t>Tech G</t>
        </is>
      </c>
      <c r="E3517" s="35" t="n">
        <v>4.9</v>
      </c>
      <c r="F3517" s="35" t="n">
        <v>3.8</v>
      </c>
      <c r="G3517" s="37" t="inlineStr">
        <is>
          <t>Y</t>
        </is>
      </c>
      <c r="H3517" s="37" t="inlineStr">
        <is>
          <t>N</t>
        </is>
      </c>
      <c r="I3517" s="37">
        <f>COUNTIF(G$5:G3517,"Y")/COUNTA(G$5:G3517)</f>
        <v/>
      </c>
      <c r="J3517" s="37">
        <f>COUNTIF(H$5:H3517,"Y")/COUNTA(H$5:H3517)</f>
        <v/>
      </c>
      <c r="K3517" s="37">
        <f>AVERAGE(F$5:F3517)</f>
        <v/>
      </c>
      <c r="L3517" s="37">
        <f>SUM(F$5:F3517)/SUM(E$5:E3517)</f>
        <v/>
      </c>
    </row>
    <row r="3518">
      <c r="A3518" s="29" t="n">
        <v>46203</v>
      </c>
      <c r="B3518" s="37" t="inlineStr">
        <is>
          <t>JOB-4514</t>
        </is>
      </c>
      <c r="C3518" s="34" t="n">
        <v>1</v>
      </c>
      <c r="D3518" s="37" t="inlineStr">
        <is>
          <t>Tech H</t>
        </is>
      </c>
      <c r="E3518" s="35" t="n">
        <v>3.8</v>
      </c>
      <c r="F3518" s="35" t="n">
        <v>2.6</v>
      </c>
      <c r="G3518" s="37" t="inlineStr">
        <is>
          <t>Y</t>
        </is>
      </c>
      <c r="H3518" s="37" t="inlineStr">
        <is>
          <t>N</t>
        </is>
      </c>
      <c r="I3518" s="37">
        <f>COUNTIF(G$5:G3518,"Y")/COUNTA(G$5:G3518)</f>
        <v/>
      </c>
      <c r="J3518" s="37">
        <f>COUNTIF(H$5:H3518,"Y")/COUNTA(H$5:H3518)</f>
        <v/>
      </c>
      <c r="K3518" s="37">
        <f>AVERAGE(F$5:F3518)</f>
        <v/>
      </c>
      <c r="L3518" s="37">
        <f>SUM(F$5:F3518)/SUM(E$5:E3518)</f>
        <v/>
      </c>
    </row>
    <row r="3519">
      <c r="A3519" s="29" t="n">
        <v>46204</v>
      </c>
      <c r="B3519" s="37" t="inlineStr">
        <is>
          <t>JOB-4515</t>
        </is>
      </c>
      <c r="C3519" s="34" t="n">
        <v>1</v>
      </c>
      <c r="D3519" s="37" t="inlineStr">
        <is>
          <t>Tech C</t>
        </is>
      </c>
      <c r="E3519" s="35" t="n">
        <v>4.5</v>
      </c>
      <c r="F3519" s="35" t="n">
        <v>3</v>
      </c>
      <c r="G3519" s="37" t="inlineStr">
        <is>
          <t>Y</t>
        </is>
      </c>
      <c r="H3519" s="37" t="inlineStr">
        <is>
          <t>N</t>
        </is>
      </c>
      <c r="I3519" s="37">
        <f>COUNTIF(G$5:G3519,"Y")/COUNTA(G$5:G3519)</f>
        <v/>
      </c>
      <c r="J3519" s="37">
        <f>COUNTIF(H$5:H3519,"Y")/COUNTA(H$5:H3519)</f>
        <v/>
      </c>
      <c r="K3519" s="37">
        <f>AVERAGE(F$5:F3519)</f>
        <v/>
      </c>
      <c r="L3519" s="37">
        <f>SUM(F$5:F3519)/SUM(E$5:E3519)</f>
        <v/>
      </c>
    </row>
    <row r="3520">
      <c r="A3520" s="29" t="n">
        <v>46205</v>
      </c>
      <c r="B3520" s="37" t="inlineStr">
        <is>
          <t>JOB-4516</t>
        </is>
      </c>
      <c r="C3520" s="34" t="n">
        <v>1</v>
      </c>
      <c r="D3520" s="37" t="inlineStr">
        <is>
          <t>Tech B</t>
        </is>
      </c>
      <c r="E3520" s="35" t="n">
        <v>4.6</v>
      </c>
      <c r="F3520" s="35" t="n">
        <v>3.8</v>
      </c>
      <c r="G3520" s="37" t="inlineStr">
        <is>
          <t>Y</t>
        </is>
      </c>
      <c r="H3520" s="37" t="inlineStr">
        <is>
          <t>N</t>
        </is>
      </c>
      <c r="I3520" s="37">
        <f>COUNTIF(G$5:G3520,"Y")/COUNTA(G$5:G3520)</f>
        <v/>
      </c>
      <c r="J3520" s="37">
        <f>COUNTIF(H$5:H3520,"Y")/COUNTA(H$5:H3520)</f>
        <v/>
      </c>
      <c r="K3520" s="37">
        <f>AVERAGE(F$5:F3520)</f>
        <v/>
      </c>
      <c r="L3520" s="37">
        <f>SUM(F$5:F3520)/SUM(E$5:E3520)</f>
        <v/>
      </c>
    </row>
    <row r="3521">
      <c r="A3521" s="29" t="n">
        <v>46206</v>
      </c>
      <c r="B3521" s="37" t="inlineStr">
        <is>
          <t>JOB-4517</t>
        </is>
      </c>
      <c r="C3521" s="34" t="n">
        <v>1</v>
      </c>
      <c r="D3521" s="37" t="inlineStr">
        <is>
          <t>Tech C</t>
        </is>
      </c>
      <c r="E3521" s="35" t="n">
        <v>3</v>
      </c>
      <c r="F3521" s="35" t="n">
        <v>2</v>
      </c>
      <c r="G3521" s="37" t="inlineStr">
        <is>
          <t>Y</t>
        </is>
      </c>
      <c r="H3521" s="37" t="inlineStr">
        <is>
          <t>N</t>
        </is>
      </c>
      <c r="I3521" s="37">
        <f>COUNTIF(G$5:G3521,"Y")/COUNTA(G$5:G3521)</f>
        <v/>
      </c>
      <c r="J3521" s="37">
        <f>COUNTIF(H$5:H3521,"Y")/COUNTA(H$5:H3521)</f>
        <v/>
      </c>
      <c r="K3521" s="37">
        <f>AVERAGE(F$5:F3521)</f>
        <v/>
      </c>
      <c r="L3521" s="37">
        <f>SUM(F$5:F3521)/SUM(E$5:E3521)</f>
        <v/>
      </c>
    </row>
    <row r="3522">
      <c r="A3522" s="29" t="n">
        <v>46202</v>
      </c>
      <c r="B3522" s="37" t="inlineStr">
        <is>
          <t>JOB-4518</t>
        </is>
      </c>
      <c r="C3522" s="34" t="n">
        <v>1</v>
      </c>
      <c r="D3522" s="37" t="inlineStr">
        <is>
          <t>Tech F</t>
        </is>
      </c>
      <c r="E3522" s="35" t="n">
        <v>5.6</v>
      </c>
      <c r="F3522" s="35" t="n">
        <v>3.9</v>
      </c>
      <c r="G3522" s="37" t="inlineStr">
        <is>
          <t>Y</t>
        </is>
      </c>
      <c r="H3522" s="37" t="inlineStr">
        <is>
          <t>N</t>
        </is>
      </c>
      <c r="I3522" s="37">
        <f>COUNTIF(G$5:G3522,"Y")/COUNTA(G$5:G3522)</f>
        <v/>
      </c>
      <c r="J3522" s="37">
        <f>COUNTIF(H$5:H3522,"Y")/COUNTA(H$5:H3522)</f>
        <v/>
      </c>
      <c r="K3522" s="37">
        <f>AVERAGE(F$5:F3522)</f>
        <v/>
      </c>
      <c r="L3522" s="37">
        <f>SUM(F$5:F3522)/SUM(E$5:E3522)</f>
        <v/>
      </c>
    </row>
    <row r="3523">
      <c r="A3523" s="29" t="n">
        <v>46203</v>
      </c>
      <c r="B3523" s="37" t="inlineStr">
        <is>
          <t>JOB-4519</t>
        </is>
      </c>
      <c r="C3523" s="34" t="n">
        <v>1</v>
      </c>
      <c r="D3523" s="37" t="inlineStr">
        <is>
          <t>Tech G</t>
        </is>
      </c>
      <c r="E3523" s="35" t="n">
        <v>4.5</v>
      </c>
      <c r="F3523" s="35" t="n">
        <v>3.3</v>
      </c>
      <c r="G3523" s="37" t="inlineStr">
        <is>
          <t>Y</t>
        </is>
      </c>
      <c r="H3523" s="37" t="inlineStr">
        <is>
          <t>N</t>
        </is>
      </c>
      <c r="I3523" s="37">
        <f>COUNTIF(G$5:G3523,"Y")/COUNTA(G$5:G3523)</f>
        <v/>
      </c>
      <c r="J3523" s="37">
        <f>COUNTIF(H$5:H3523,"Y")/COUNTA(H$5:H3523)</f>
        <v/>
      </c>
      <c r="K3523" s="37">
        <f>AVERAGE(F$5:F3523)</f>
        <v/>
      </c>
      <c r="L3523" s="37">
        <f>SUM(F$5:F3523)/SUM(E$5:E3523)</f>
        <v/>
      </c>
    </row>
    <row r="3524">
      <c r="A3524" s="29" t="n">
        <v>46204</v>
      </c>
      <c r="B3524" s="37" t="inlineStr">
        <is>
          <t>JOB-4520</t>
        </is>
      </c>
      <c r="C3524" s="34" t="n">
        <v>1</v>
      </c>
      <c r="D3524" s="37" t="inlineStr">
        <is>
          <t>Tech D</t>
        </is>
      </c>
      <c r="E3524" s="35" t="n">
        <v>2.7</v>
      </c>
      <c r="F3524" s="35" t="n">
        <v>2.4</v>
      </c>
      <c r="G3524" s="37" t="inlineStr">
        <is>
          <t>Y</t>
        </is>
      </c>
      <c r="H3524" s="37" t="inlineStr">
        <is>
          <t>N</t>
        </is>
      </c>
      <c r="I3524" s="37">
        <f>COUNTIF(G$5:G3524,"Y")/COUNTA(G$5:G3524)</f>
        <v/>
      </c>
      <c r="J3524" s="37">
        <f>COUNTIF(H$5:H3524,"Y")/COUNTA(H$5:H3524)</f>
        <v/>
      </c>
      <c r="K3524" s="37">
        <f>AVERAGE(F$5:F3524)</f>
        <v/>
      </c>
      <c r="L3524" s="37">
        <f>SUM(F$5:F3524)/SUM(E$5:E3524)</f>
        <v/>
      </c>
    </row>
    <row r="3525">
      <c r="A3525" s="29" t="n">
        <v>46205</v>
      </c>
      <c r="B3525" s="37" t="inlineStr">
        <is>
          <t>JOB-4521</t>
        </is>
      </c>
      <c r="C3525" s="34" t="n">
        <v>1</v>
      </c>
      <c r="D3525" s="37" t="inlineStr">
        <is>
          <t>Tech C</t>
        </is>
      </c>
      <c r="E3525" s="35" t="n">
        <v>2.3</v>
      </c>
      <c r="F3525" s="35" t="n">
        <v>1.9</v>
      </c>
      <c r="G3525" s="37" t="inlineStr">
        <is>
          <t>N</t>
        </is>
      </c>
      <c r="H3525" s="37" t="inlineStr">
        <is>
          <t>N</t>
        </is>
      </c>
      <c r="I3525" s="37">
        <f>COUNTIF(G$5:G3525,"Y")/COUNTA(G$5:G3525)</f>
        <v/>
      </c>
      <c r="J3525" s="37">
        <f>COUNTIF(H$5:H3525,"Y")/COUNTA(H$5:H3525)</f>
        <v/>
      </c>
      <c r="K3525" s="37">
        <f>AVERAGE(F$5:F3525)</f>
        <v/>
      </c>
      <c r="L3525" s="37">
        <f>SUM(F$5:F3525)/SUM(E$5:E3525)</f>
        <v/>
      </c>
    </row>
    <row r="3526">
      <c r="A3526" s="29" t="n">
        <v>46206</v>
      </c>
      <c r="B3526" s="37" t="inlineStr">
        <is>
          <t>JOB-4522</t>
        </is>
      </c>
      <c r="C3526" s="34" t="n">
        <v>1</v>
      </c>
      <c r="D3526" s="37" t="inlineStr">
        <is>
          <t>Tech A</t>
        </is>
      </c>
      <c r="E3526" s="35" t="n">
        <v>4.6</v>
      </c>
      <c r="F3526" s="35" t="n">
        <v>3.8</v>
      </c>
      <c r="G3526" s="37" t="inlineStr">
        <is>
          <t>Y</t>
        </is>
      </c>
      <c r="H3526" s="37" t="inlineStr">
        <is>
          <t>N</t>
        </is>
      </c>
      <c r="I3526" s="37">
        <f>COUNTIF(G$5:G3526,"Y")/COUNTA(G$5:G3526)</f>
        <v/>
      </c>
      <c r="J3526" s="37">
        <f>COUNTIF(H$5:H3526,"Y")/COUNTA(H$5:H3526)</f>
        <v/>
      </c>
      <c r="K3526" s="37">
        <f>AVERAGE(F$5:F3526)</f>
        <v/>
      </c>
      <c r="L3526" s="37">
        <f>SUM(F$5:F3526)/SUM(E$5:E3526)</f>
        <v/>
      </c>
    </row>
    <row r="3527">
      <c r="A3527" s="29" t="n">
        <v>46202</v>
      </c>
      <c r="B3527" s="37" t="inlineStr">
        <is>
          <t>JOB-4523</t>
        </is>
      </c>
      <c r="C3527" s="34" t="n">
        <v>1</v>
      </c>
      <c r="D3527" s="37" t="inlineStr">
        <is>
          <t>Tech G</t>
        </is>
      </c>
      <c r="E3527" s="35" t="n">
        <v>1.4</v>
      </c>
      <c r="F3527" s="35" t="n">
        <v>1.2</v>
      </c>
      <c r="G3527" s="37" t="inlineStr">
        <is>
          <t>Y</t>
        </is>
      </c>
      <c r="H3527" s="37" t="inlineStr">
        <is>
          <t>N</t>
        </is>
      </c>
      <c r="I3527" s="37">
        <f>COUNTIF(G$5:G3527,"Y")/COUNTA(G$5:G3527)</f>
        <v/>
      </c>
      <c r="J3527" s="37">
        <f>COUNTIF(H$5:H3527,"Y")/COUNTA(H$5:H3527)</f>
        <v/>
      </c>
      <c r="K3527" s="37">
        <f>AVERAGE(F$5:F3527)</f>
        <v/>
      </c>
      <c r="L3527" s="37">
        <f>SUM(F$5:F3527)/SUM(E$5:E3527)</f>
        <v/>
      </c>
    </row>
    <row r="3528">
      <c r="A3528" s="29" t="n">
        <v>46203</v>
      </c>
      <c r="B3528" s="37" t="inlineStr">
        <is>
          <t>JOB-4524</t>
        </is>
      </c>
      <c r="C3528" s="34" t="n">
        <v>1</v>
      </c>
      <c r="D3528" s="37" t="inlineStr">
        <is>
          <t>Tech A</t>
        </is>
      </c>
      <c r="E3528" s="35" t="n">
        <v>2</v>
      </c>
      <c r="F3528" s="35" t="n">
        <v>1.4</v>
      </c>
      <c r="G3528" s="37" t="inlineStr">
        <is>
          <t>Y</t>
        </is>
      </c>
      <c r="H3528" s="37" t="inlineStr">
        <is>
          <t>N</t>
        </is>
      </c>
      <c r="I3528" s="37">
        <f>COUNTIF(G$5:G3528,"Y")/COUNTA(G$5:G3528)</f>
        <v/>
      </c>
      <c r="J3528" s="37">
        <f>COUNTIF(H$5:H3528,"Y")/COUNTA(H$5:H3528)</f>
        <v/>
      </c>
      <c r="K3528" s="37">
        <f>AVERAGE(F$5:F3528)</f>
        <v/>
      </c>
      <c r="L3528" s="37">
        <f>SUM(F$5:F3528)/SUM(E$5:E3528)</f>
        <v/>
      </c>
    </row>
    <row r="3529">
      <c r="A3529" s="29" t="n">
        <v>46204</v>
      </c>
      <c r="B3529" s="37" t="inlineStr">
        <is>
          <t>JOB-4525</t>
        </is>
      </c>
      <c r="C3529" s="34" t="n">
        <v>1</v>
      </c>
      <c r="D3529" s="37" t="inlineStr">
        <is>
          <t>Tech A</t>
        </is>
      </c>
      <c r="E3529" s="35" t="n">
        <v>4.3</v>
      </c>
      <c r="F3529" s="35" t="n">
        <v>2.9</v>
      </c>
      <c r="G3529" s="37" t="inlineStr">
        <is>
          <t>Y</t>
        </is>
      </c>
      <c r="H3529" s="37" t="inlineStr">
        <is>
          <t>N</t>
        </is>
      </c>
      <c r="I3529" s="37">
        <f>COUNTIF(G$5:G3529,"Y")/COUNTA(G$5:G3529)</f>
        <v/>
      </c>
      <c r="J3529" s="37">
        <f>COUNTIF(H$5:H3529,"Y")/COUNTA(H$5:H3529)</f>
        <v/>
      </c>
      <c r="K3529" s="37">
        <f>AVERAGE(F$5:F3529)</f>
        <v/>
      </c>
      <c r="L3529" s="37">
        <f>SUM(F$5:F3529)/SUM(E$5:E3529)</f>
        <v/>
      </c>
    </row>
    <row r="3530">
      <c r="A3530" s="29" t="n">
        <v>46205</v>
      </c>
      <c r="B3530" s="37" t="inlineStr">
        <is>
          <t>JOB-4526</t>
        </is>
      </c>
      <c r="C3530" s="34" t="n">
        <v>1</v>
      </c>
      <c r="D3530" s="37" t="inlineStr">
        <is>
          <t>Tech C</t>
        </is>
      </c>
      <c r="E3530" s="35" t="n">
        <v>4.6</v>
      </c>
      <c r="F3530" s="35" t="n">
        <v>4.1</v>
      </c>
      <c r="G3530" s="37" t="inlineStr">
        <is>
          <t>Y</t>
        </is>
      </c>
      <c r="H3530" s="37" t="inlineStr">
        <is>
          <t>N</t>
        </is>
      </c>
      <c r="I3530" s="37">
        <f>COUNTIF(G$5:G3530,"Y")/COUNTA(G$5:G3530)</f>
        <v/>
      </c>
      <c r="J3530" s="37">
        <f>COUNTIF(H$5:H3530,"Y")/COUNTA(H$5:H3530)</f>
        <v/>
      </c>
      <c r="K3530" s="37">
        <f>AVERAGE(F$5:F3530)</f>
        <v/>
      </c>
      <c r="L3530" s="37">
        <f>SUM(F$5:F3530)/SUM(E$5:E3530)</f>
        <v/>
      </c>
    </row>
    <row r="3531">
      <c r="A3531" s="29" t="n">
        <v>46206</v>
      </c>
      <c r="B3531" s="37" t="inlineStr">
        <is>
          <t>JOB-4527</t>
        </is>
      </c>
      <c r="C3531" s="34" t="n">
        <v>1</v>
      </c>
      <c r="D3531" s="37" t="inlineStr">
        <is>
          <t>Tech H</t>
        </is>
      </c>
      <c r="E3531" s="35" t="n">
        <v>5.5</v>
      </c>
      <c r="F3531" s="35" t="n">
        <v>3.9</v>
      </c>
      <c r="G3531" s="37" t="inlineStr">
        <is>
          <t>Y</t>
        </is>
      </c>
      <c r="H3531" s="37" t="inlineStr">
        <is>
          <t>N</t>
        </is>
      </c>
      <c r="I3531" s="37">
        <f>COUNTIF(G$5:G3531,"Y")/COUNTA(G$5:G3531)</f>
        <v/>
      </c>
      <c r="J3531" s="37">
        <f>COUNTIF(H$5:H3531,"Y")/COUNTA(H$5:H3531)</f>
        <v/>
      </c>
      <c r="K3531" s="37">
        <f>AVERAGE(F$5:F3531)</f>
        <v/>
      </c>
      <c r="L3531" s="37">
        <f>SUM(F$5:F3531)/SUM(E$5:E3531)</f>
        <v/>
      </c>
    </row>
    <row r="3532">
      <c r="A3532" s="29" t="n">
        <v>46202</v>
      </c>
      <c r="B3532" s="37" t="inlineStr">
        <is>
          <t>JOB-4528</t>
        </is>
      </c>
      <c r="C3532" s="34" t="n">
        <v>1</v>
      </c>
      <c r="D3532" s="37" t="inlineStr">
        <is>
          <t>Tech B</t>
        </is>
      </c>
      <c r="E3532" s="35" t="n">
        <v>5.2</v>
      </c>
      <c r="F3532" s="35" t="n">
        <v>3.6</v>
      </c>
      <c r="G3532" s="37" t="inlineStr">
        <is>
          <t>Y</t>
        </is>
      </c>
      <c r="H3532" s="37" t="inlineStr">
        <is>
          <t>N</t>
        </is>
      </c>
      <c r="I3532" s="37">
        <f>COUNTIF(G$5:G3532,"Y")/COUNTA(G$5:G3532)</f>
        <v/>
      </c>
      <c r="J3532" s="37">
        <f>COUNTIF(H$5:H3532,"Y")/COUNTA(H$5:H3532)</f>
        <v/>
      </c>
      <c r="K3532" s="37">
        <f>AVERAGE(F$5:F3532)</f>
        <v/>
      </c>
      <c r="L3532" s="37">
        <f>SUM(F$5:F3532)/SUM(E$5:E3532)</f>
        <v/>
      </c>
    </row>
    <row r="3533">
      <c r="A3533" s="29" t="n">
        <v>46203</v>
      </c>
      <c r="B3533" s="37" t="inlineStr">
        <is>
          <t>JOB-4529</t>
        </is>
      </c>
      <c r="C3533" s="34" t="n">
        <v>1</v>
      </c>
      <c r="D3533" s="37" t="inlineStr">
        <is>
          <t>Tech H</t>
        </is>
      </c>
      <c r="E3533" s="35" t="n">
        <v>5</v>
      </c>
      <c r="F3533" s="35" t="n">
        <v>3.6</v>
      </c>
      <c r="G3533" s="37" t="inlineStr">
        <is>
          <t>Y</t>
        </is>
      </c>
      <c r="H3533" s="37" t="inlineStr">
        <is>
          <t>N</t>
        </is>
      </c>
      <c r="I3533" s="37">
        <f>COUNTIF(G$5:G3533,"Y")/COUNTA(G$5:G3533)</f>
        <v/>
      </c>
      <c r="J3533" s="37">
        <f>COUNTIF(H$5:H3533,"Y")/COUNTA(H$5:H3533)</f>
        <v/>
      </c>
      <c r="K3533" s="37">
        <f>AVERAGE(F$5:F3533)</f>
        <v/>
      </c>
      <c r="L3533" s="37">
        <f>SUM(F$5:F3533)/SUM(E$5:E3533)</f>
        <v/>
      </c>
    </row>
    <row r="3534">
      <c r="A3534" s="29" t="n">
        <v>46204</v>
      </c>
      <c r="B3534" s="37" t="inlineStr">
        <is>
          <t>JOB-4530</t>
        </is>
      </c>
      <c r="C3534" s="34" t="n">
        <v>1</v>
      </c>
      <c r="D3534" s="37" t="inlineStr">
        <is>
          <t>Tech C</t>
        </is>
      </c>
      <c r="E3534" s="35" t="n">
        <v>3.7</v>
      </c>
      <c r="F3534" s="35" t="n">
        <v>2.7</v>
      </c>
      <c r="G3534" s="37" t="inlineStr">
        <is>
          <t>Y</t>
        </is>
      </c>
      <c r="H3534" s="37" t="inlineStr">
        <is>
          <t>N</t>
        </is>
      </c>
      <c r="I3534" s="37">
        <f>COUNTIF(G$5:G3534,"Y")/COUNTA(G$5:G3534)</f>
        <v/>
      </c>
      <c r="J3534" s="37">
        <f>COUNTIF(H$5:H3534,"Y")/COUNTA(H$5:H3534)</f>
        <v/>
      </c>
      <c r="K3534" s="37">
        <f>AVERAGE(F$5:F3534)</f>
        <v/>
      </c>
      <c r="L3534" s="37">
        <f>SUM(F$5:F3534)/SUM(E$5:E3534)</f>
        <v/>
      </c>
    </row>
    <row r="3535">
      <c r="A3535" s="29" t="n">
        <v>46205</v>
      </c>
      <c r="B3535" s="37" t="inlineStr">
        <is>
          <t>JOB-4531</t>
        </is>
      </c>
      <c r="C3535" s="34" t="n">
        <v>1</v>
      </c>
      <c r="D3535" s="37" t="inlineStr">
        <is>
          <t>Tech G</t>
        </is>
      </c>
      <c r="E3535" s="35" t="n">
        <v>3.9</v>
      </c>
      <c r="F3535" s="35" t="n">
        <v>2.9</v>
      </c>
      <c r="G3535" s="37" t="inlineStr">
        <is>
          <t>Y</t>
        </is>
      </c>
      <c r="H3535" s="37" t="inlineStr">
        <is>
          <t>Y</t>
        </is>
      </c>
      <c r="I3535" s="37">
        <f>COUNTIF(G$5:G3535,"Y")/COUNTA(G$5:G3535)</f>
        <v/>
      </c>
      <c r="J3535" s="37">
        <f>COUNTIF(H$5:H3535,"Y")/COUNTA(H$5:H3535)</f>
        <v/>
      </c>
      <c r="K3535" s="37">
        <f>AVERAGE(F$5:F3535)</f>
        <v/>
      </c>
      <c r="L3535" s="37">
        <f>SUM(F$5:F3535)/SUM(E$5:E3535)</f>
        <v/>
      </c>
    </row>
    <row r="3536">
      <c r="A3536" s="29" t="n">
        <v>46206</v>
      </c>
      <c r="B3536" s="37" t="inlineStr">
        <is>
          <t>JOB-4532</t>
        </is>
      </c>
      <c r="C3536" s="34" t="n">
        <v>1</v>
      </c>
      <c r="D3536" s="37" t="inlineStr">
        <is>
          <t>Tech D</t>
        </is>
      </c>
      <c r="E3536" s="35" t="n">
        <v>5.3</v>
      </c>
      <c r="F3536" s="35" t="n">
        <v>3.6</v>
      </c>
      <c r="G3536" s="37" t="inlineStr">
        <is>
          <t>Y</t>
        </is>
      </c>
      <c r="H3536" s="37" t="inlineStr">
        <is>
          <t>N</t>
        </is>
      </c>
      <c r="I3536" s="37">
        <f>COUNTIF(G$5:G3536,"Y")/COUNTA(G$5:G3536)</f>
        <v/>
      </c>
      <c r="J3536" s="37">
        <f>COUNTIF(H$5:H3536,"Y")/COUNTA(H$5:H3536)</f>
        <v/>
      </c>
      <c r="K3536" s="37">
        <f>AVERAGE(F$5:F3536)</f>
        <v/>
      </c>
      <c r="L3536" s="37">
        <f>SUM(F$5:F3536)/SUM(E$5:E3536)</f>
        <v/>
      </c>
    </row>
    <row r="3537">
      <c r="A3537" s="29" t="n">
        <v>46202</v>
      </c>
      <c r="B3537" s="37" t="inlineStr">
        <is>
          <t>JOB-4533</t>
        </is>
      </c>
      <c r="C3537" s="34" t="n">
        <v>1</v>
      </c>
      <c r="D3537" s="37" t="inlineStr">
        <is>
          <t>Tech B</t>
        </is>
      </c>
      <c r="E3537" s="35" t="n">
        <v>5.2</v>
      </c>
      <c r="F3537" s="35" t="n">
        <v>4.1</v>
      </c>
      <c r="G3537" s="37" t="inlineStr">
        <is>
          <t>N</t>
        </is>
      </c>
      <c r="H3537" s="37" t="inlineStr">
        <is>
          <t>N</t>
        </is>
      </c>
      <c r="I3537" s="37">
        <f>COUNTIF(G$5:G3537,"Y")/COUNTA(G$5:G3537)</f>
        <v/>
      </c>
      <c r="J3537" s="37">
        <f>COUNTIF(H$5:H3537,"Y")/COUNTA(H$5:H3537)</f>
        <v/>
      </c>
      <c r="K3537" s="37">
        <f>AVERAGE(F$5:F3537)</f>
        <v/>
      </c>
      <c r="L3537" s="37">
        <f>SUM(F$5:F3537)/SUM(E$5:E3537)</f>
        <v/>
      </c>
    </row>
    <row r="3538">
      <c r="A3538" s="29" t="n">
        <v>46203</v>
      </c>
      <c r="B3538" s="37" t="inlineStr">
        <is>
          <t>JOB-4534</t>
        </is>
      </c>
      <c r="C3538" s="34" t="n">
        <v>1</v>
      </c>
      <c r="D3538" s="37" t="inlineStr">
        <is>
          <t>Tech C</t>
        </is>
      </c>
      <c r="E3538" s="35" t="n">
        <v>4.2</v>
      </c>
      <c r="F3538" s="35" t="n">
        <v>3.5</v>
      </c>
      <c r="G3538" s="37" t="inlineStr">
        <is>
          <t>Y</t>
        </is>
      </c>
      <c r="H3538" s="37" t="inlineStr">
        <is>
          <t>N</t>
        </is>
      </c>
      <c r="I3538" s="37">
        <f>COUNTIF(G$5:G3538,"Y")/COUNTA(G$5:G3538)</f>
        <v/>
      </c>
      <c r="J3538" s="37">
        <f>COUNTIF(H$5:H3538,"Y")/COUNTA(H$5:H3538)</f>
        <v/>
      </c>
      <c r="K3538" s="37">
        <f>AVERAGE(F$5:F3538)</f>
        <v/>
      </c>
      <c r="L3538" s="37">
        <f>SUM(F$5:F3538)/SUM(E$5:E3538)</f>
        <v/>
      </c>
    </row>
    <row r="3539">
      <c r="A3539" s="29" t="n">
        <v>46204</v>
      </c>
      <c r="B3539" s="37" t="inlineStr">
        <is>
          <t>JOB-4535</t>
        </is>
      </c>
      <c r="C3539" s="34" t="n">
        <v>1</v>
      </c>
      <c r="D3539" s="37" t="inlineStr">
        <is>
          <t>Tech C</t>
        </is>
      </c>
      <c r="E3539" s="35" t="n">
        <v>3.6</v>
      </c>
      <c r="F3539" s="35" t="n">
        <v>3.2</v>
      </c>
      <c r="G3539" s="37" t="inlineStr">
        <is>
          <t>Y</t>
        </is>
      </c>
      <c r="H3539" s="37" t="inlineStr">
        <is>
          <t>Y</t>
        </is>
      </c>
      <c r="I3539" s="37">
        <f>COUNTIF(G$5:G3539,"Y")/COUNTA(G$5:G3539)</f>
        <v/>
      </c>
      <c r="J3539" s="37">
        <f>COUNTIF(H$5:H3539,"Y")/COUNTA(H$5:H3539)</f>
        <v/>
      </c>
      <c r="K3539" s="37">
        <f>AVERAGE(F$5:F3539)</f>
        <v/>
      </c>
      <c r="L3539" s="37">
        <f>SUM(F$5:F3539)/SUM(E$5:E3539)</f>
        <v/>
      </c>
    </row>
    <row r="3540">
      <c r="A3540" s="29" t="n">
        <v>46205</v>
      </c>
      <c r="B3540" s="37" t="inlineStr">
        <is>
          <t>JOB-4536</t>
        </is>
      </c>
      <c r="C3540" s="34" t="n">
        <v>1</v>
      </c>
      <c r="D3540" s="37" t="inlineStr">
        <is>
          <t>Tech G</t>
        </is>
      </c>
      <c r="E3540" s="35" t="n">
        <v>3.1</v>
      </c>
      <c r="F3540" s="35" t="n">
        <v>2.5</v>
      </c>
      <c r="G3540" s="37" t="inlineStr">
        <is>
          <t>N</t>
        </is>
      </c>
      <c r="H3540" s="37" t="inlineStr">
        <is>
          <t>N</t>
        </is>
      </c>
      <c r="I3540" s="37">
        <f>COUNTIF(G$5:G3540,"Y")/COUNTA(G$5:G3540)</f>
        <v/>
      </c>
      <c r="J3540" s="37">
        <f>COUNTIF(H$5:H3540,"Y")/COUNTA(H$5:H3540)</f>
        <v/>
      </c>
      <c r="K3540" s="37">
        <f>AVERAGE(F$5:F3540)</f>
        <v/>
      </c>
      <c r="L3540" s="37">
        <f>SUM(F$5:F3540)/SUM(E$5:E3540)</f>
        <v/>
      </c>
    </row>
    <row r="3541">
      <c r="A3541" s="29" t="n">
        <v>46206</v>
      </c>
      <c r="B3541" s="37" t="inlineStr">
        <is>
          <t>JOB-4537</t>
        </is>
      </c>
      <c r="C3541" s="34" t="n">
        <v>1</v>
      </c>
      <c r="D3541" s="37" t="inlineStr">
        <is>
          <t>Tech D</t>
        </is>
      </c>
      <c r="E3541" s="35" t="n">
        <v>2.6</v>
      </c>
      <c r="F3541" s="35" t="n">
        <v>2</v>
      </c>
      <c r="G3541" s="37" t="inlineStr">
        <is>
          <t>Y</t>
        </is>
      </c>
      <c r="H3541" s="37" t="inlineStr">
        <is>
          <t>N</t>
        </is>
      </c>
      <c r="I3541" s="37">
        <f>COUNTIF(G$5:G3541,"Y")/COUNTA(G$5:G3541)</f>
        <v/>
      </c>
      <c r="J3541" s="37">
        <f>COUNTIF(H$5:H3541,"Y")/COUNTA(H$5:H3541)</f>
        <v/>
      </c>
      <c r="K3541" s="37">
        <f>AVERAGE(F$5:F3541)</f>
        <v/>
      </c>
      <c r="L3541" s="37">
        <f>SUM(F$5:F3541)/SUM(E$5:E3541)</f>
        <v/>
      </c>
    </row>
    <row r="3542">
      <c r="A3542" s="29" t="n">
        <v>46202</v>
      </c>
      <c r="B3542" s="37" t="inlineStr">
        <is>
          <t>JOB-4538</t>
        </is>
      </c>
      <c r="C3542" s="34" t="n">
        <v>1</v>
      </c>
      <c r="D3542" s="37" t="inlineStr">
        <is>
          <t>Tech A</t>
        </is>
      </c>
      <c r="E3542" s="35" t="n">
        <v>2.2</v>
      </c>
      <c r="F3542" s="35" t="n">
        <v>1.5</v>
      </c>
      <c r="G3542" s="37" t="inlineStr">
        <is>
          <t>Y</t>
        </is>
      </c>
      <c r="H3542" s="37" t="inlineStr">
        <is>
          <t>N</t>
        </is>
      </c>
      <c r="I3542" s="37">
        <f>COUNTIF(G$5:G3542,"Y")/COUNTA(G$5:G3542)</f>
        <v/>
      </c>
      <c r="J3542" s="37">
        <f>COUNTIF(H$5:H3542,"Y")/COUNTA(H$5:H3542)</f>
        <v/>
      </c>
      <c r="K3542" s="37">
        <f>AVERAGE(F$5:F3542)</f>
        <v/>
      </c>
      <c r="L3542" s="37">
        <f>SUM(F$5:F3542)/SUM(E$5:E3542)</f>
        <v/>
      </c>
    </row>
    <row r="3543">
      <c r="A3543" s="29" t="n">
        <v>46203</v>
      </c>
      <c r="B3543" s="37" t="inlineStr">
        <is>
          <t>JOB-4539</t>
        </is>
      </c>
      <c r="C3543" s="34" t="n">
        <v>1</v>
      </c>
      <c r="D3543" s="37" t="inlineStr">
        <is>
          <t>Tech F</t>
        </is>
      </c>
      <c r="E3543" s="35" t="n">
        <v>4.2</v>
      </c>
      <c r="F3543" s="35" t="n">
        <v>3.5</v>
      </c>
      <c r="G3543" s="37" t="inlineStr">
        <is>
          <t>Y</t>
        </is>
      </c>
      <c r="H3543" s="37" t="inlineStr">
        <is>
          <t>N</t>
        </is>
      </c>
      <c r="I3543" s="37">
        <f>COUNTIF(G$5:G3543,"Y")/COUNTA(G$5:G3543)</f>
        <v/>
      </c>
      <c r="J3543" s="37">
        <f>COUNTIF(H$5:H3543,"Y")/COUNTA(H$5:H3543)</f>
        <v/>
      </c>
      <c r="K3543" s="37">
        <f>AVERAGE(F$5:F3543)</f>
        <v/>
      </c>
      <c r="L3543" s="37">
        <f>SUM(F$5:F3543)/SUM(E$5:E3543)</f>
        <v/>
      </c>
    </row>
    <row r="3544">
      <c r="A3544" s="29" t="n">
        <v>46204</v>
      </c>
      <c r="B3544" s="37" t="inlineStr">
        <is>
          <t>JOB-4540</t>
        </is>
      </c>
      <c r="C3544" s="34" t="n">
        <v>1</v>
      </c>
      <c r="D3544" s="37" t="inlineStr">
        <is>
          <t>Tech C</t>
        </is>
      </c>
      <c r="E3544" s="35" t="n">
        <v>2.6</v>
      </c>
      <c r="F3544" s="35" t="n">
        <v>2.1</v>
      </c>
      <c r="G3544" s="37" t="inlineStr">
        <is>
          <t>Y</t>
        </is>
      </c>
      <c r="H3544" s="37" t="inlineStr">
        <is>
          <t>N</t>
        </is>
      </c>
      <c r="I3544" s="37">
        <f>COUNTIF(G$5:G3544,"Y")/COUNTA(G$5:G3544)</f>
        <v/>
      </c>
      <c r="J3544" s="37">
        <f>COUNTIF(H$5:H3544,"Y")/COUNTA(H$5:H3544)</f>
        <v/>
      </c>
      <c r="K3544" s="37">
        <f>AVERAGE(F$5:F3544)</f>
        <v/>
      </c>
      <c r="L3544" s="37">
        <f>SUM(F$5:F3544)/SUM(E$5:E3544)</f>
        <v/>
      </c>
    </row>
    <row r="3545">
      <c r="A3545" s="29" t="n">
        <v>46205</v>
      </c>
      <c r="B3545" s="37" t="inlineStr">
        <is>
          <t>JOB-4541</t>
        </is>
      </c>
      <c r="C3545" s="34" t="n">
        <v>1</v>
      </c>
      <c r="D3545" s="37" t="inlineStr">
        <is>
          <t>Tech A</t>
        </is>
      </c>
      <c r="E3545" s="35" t="n">
        <v>1.9</v>
      </c>
      <c r="F3545" s="35" t="n">
        <v>1.5</v>
      </c>
      <c r="G3545" s="37" t="inlineStr">
        <is>
          <t>N</t>
        </is>
      </c>
      <c r="H3545" s="37" t="inlineStr">
        <is>
          <t>N</t>
        </is>
      </c>
      <c r="I3545" s="37">
        <f>COUNTIF(G$5:G3545,"Y")/COUNTA(G$5:G3545)</f>
        <v/>
      </c>
      <c r="J3545" s="37">
        <f>COUNTIF(H$5:H3545,"Y")/COUNTA(H$5:H3545)</f>
        <v/>
      </c>
      <c r="K3545" s="37">
        <f>AVERAGE(F$5:F3545)</f>
        <v/>
      </c>
      <c r="L3545" s="37">
        <f>SUM(F$5:F3545)/SUM(E$5:E3545)</f>
        <v/>
      </c>
    </row>
    <row r="3546">
      <c r="A3546" s="29" t="n">
        <v>46206</v>
      </c>
      <c r="B3546" s="37" t="inlineStr">
        <is>
          <t>JOB-4542</t>
        </is>
      </c>
      <c r="C3546" s="34" t="n">
        <v>1</v>
      </c>
      <c r="D3546" s="37" t="inlineStr">
        <is>
          <t>Tech D</t>
        </is>
      </c>
      <c r="E3546" s="35" t="n">
        <v>0.6</v>
      </c>
      <c r="F3546" s="35" t="n">
        <v>0.5</v>
      </c>
      <c r="G3546" s="37" t="inlineStr">
        <is>
          <t>Y</t>
        </is>
      </c>
      <c r="H3546" s="37" t="inlineStr">
        <is>
          <t>N</t>
        </is>
      </c>
      <c r="I3546" s="37">
        <f>COUNTIF(G$5:G3546,"Y")/COUNTA(G$5:G3546)</f>
        <v/>
      </c>
      <c r="J3546" s="37">
        <f>COUNTIF(H$5:H3546,"Y")/COUNTA(H$5:H3546)</f>
        <v/>
      </c>
      <c r="K3546" s="37">
        <f>AVERAGE(F$5:F3546)</f>
        <v/>
      </c>
      <c r="L3546" s="37">
        <f>SUM(F$5:F3546)/SUM(E$5:E3546)</f>
        <v/>
      </c>
    </row>
    <row r="3547">
      <c r="A3547" s="29" t="n">
        <v>46202</v>
      </c>
      <c r="B3547" s="37" t="inlineStr">
        <is>
          <t>JOB-4543</t>
        </is>
      </c>
      <c r="C3547" s="34" t="n">
        <v>1</v>
      </c>
      <c r="D3547" s="37" t="inlineStr">
        <is>
          <t>Tech C</t>
        </is>
      </c>
      <c r="E3547" s="35" t="n">
        <v>0.6</v>
      </c>
      <c r="F3547" s="35" t="n">
        <v>0.5</v>
      </c>
      <c r="G3547" s="37" t="inlineStr">
        <is>
          <t>Y</t>
        </is>
      </c>
      <c r="H3547" s="37" t="inlineStr">
        <is>
          <t>N</t>
        </is>
      </c>
      <c r="I3547" s="37">
        <f>COUNTIF(G$5:G3547,"Y")/COUNTA(G$5:G3547)</f>
        <v/>
      </c>
      <c r="J3547" s="37">
        <f>COUNTIF(H$5:H3547,"Y")/COUNTA(H$5:H3547)</f>
        <v/>
      </c>
      <c r="K3547" s="37">
        <f>AVERAGE(F$5:F3547)</f>
        <v/>
      </c>
      <c r="L3547" s="37">
        <f>SUM(F$5:F3547)/SUM(E$5:E3547)</f>
        <v/>
      </c>
    </row>
    <row r="3548">
      <c r="A3548" s="29" t="n">
        <v>46203</v>
      </c>
      <c r="B3548" s="37" t="inlineStr">
        <is>
          <t>JOB-4544</t>
        </is>
      </c>
      <c r="C3548" s="34" t="n">
        <v>1</v>
      </c>
      <c r="D3548" s="37" t="inlineStr">
        <is>
          <t>Tech H</t>
        </is>
      </c>
      <c r="E3548" s="35" t="n">
        <v>0.7</v>
      </c>
      <c r="F3548" s="35" t="n">
        <v>0.5</v>
      </c>
      <c r="G3548" s="37" t="inlineStr">
        <is>
          <t>Y</t>
        </is>
      </c>
      <c r="H3548" s="37" t="inlineStr">
        <is>
          <t>N</t>
        </is>
      </c>
      <c r="I3548" s="37">
        <f>COUNTIF(G$5:G3548,"Y")/COUNTA(G$5:G3548)</f>
        <v/>
      </c>
      <c r="J3548" s="37">
        <f>COUNTIF(H$5:H3548,"Y")/COUNTA(H$5:H3548)</f>
        <v/>
      </c>
      <c r="K3548" s="37">
        <f>AVERAGE(F$5:F3548)</f>
        <v/>
      </c>
      <c r="L3548" s="37">
        <f>SUM(F$5:F3548)/SUM(E$5:E3548)</f>
        <v/>
      </c>
    </row>
    <row r="3549">
      <c r="A3549" s="29" t="n">
        <v>46204</v>
      </c>
      <c r="B3549" s="37" t="inlineStr">
        <is>
          <t>JOB-4545</t>
        </is>
      </c>
      <c r="C3549" s="34" t="n">
        <v>1</v>
      </c>
      <c r="D3549" s="37" t="inlineStr">
        <is>
          <t>Tech C</t>
        </is>
      </c>
      <c r="E3549" s="35" t="n">
        <v>0.6</v>
      </c>
      <c r="F3549" s="35" t="n">
        <v>0.5</v>
      </c>
      <c r="G3549" s="37" t="inlineStr">
        <is>
          <t>Y</t>
        </is>
      </c>
      <c r="H3549" s="37" t="inlineStr">
        <is>
          <t>N</t>
        </is>
      </c>
      <c r="I3549" s="37">
        <f>COUNTIF(G$5:G3549,"Y")/COUNTA(G$5:G3549)</f>
        <v/>
      </c>
      <c r="J3549" s="37">
        <f>COUNTIF(H$5:H3549,"Y")/COUNTA(H$5:H3549)</f>
        <v/>
      </c>
      <c r="K3549" s="37">
        <f>AVERAGE(F$5:F3549)</f>
        <v/>
      </c>
      <c r="L3549" s="37">
        <f>SUM(F$5:F3549)/SUM(E$5:E3549)</f>
        <v/>
      </c>
    </row>
    <row r="3550">
      <c r="A3550" s="29" t="n">
        <v>46205</v>
      </c>
      <c r="B3550" s="37" t="inlineStr">
        <is>
          <t>JOB-4546</t>
        </is>
      </c>
      <c r="C3550" s="34" t="n">
        <v>1</v>
      </c>
      <c r="D3550" s="37" t="inlineStr">
        <is>
          <t>Tech D</t>
        </is>
      </c>
      <c r="E3550" s="35" t="n">
        <v>0.6</v>
      </c>
      <c r="F3550" s="35" t="n">
        <v>0.5</v>
      </c>
      <c r="G3550" s="37" t="inlineStr">
        <is>
          <t>N</t>
        </is>
      </c>
      <c r="H3550" s="37" t="inlineStr">
        <is>
          <t>N</t>
        </is>
      </c>
      <c r="I3550" s="37">
        <f>COUNTIF(G$5:G3550,"Y")/COUNTA(G$5:G3550)</f>
        <v/>
      </c>
      <c r="J3550" s="37">
        <f>COUNTIF(H$5:H3550,"Y")/COUNTA(H$5:H3550)</f>
        <v/>
      </c>
      <c r="K3550" s="37">
        <f>AVERAGE(F$5:F3550)</f>
        <v/>
      </c>
      <c r="L3550" s="37">
        <f>SUM(F$5:F3550)/SUM(E$5:E3550)</f>
        <v/>
      </c>
    </row>
    <row r="3551">
      <c r="A3551" s="29" t="n">
        <v>46206</v>
      </c>
      <c r="B3551" s="37" t="inlineStr">
        <is>
          <t>JOB-4547</t>
        </is>
      </c>
      <c r="C3551" s="34" t="n">
        <v>1</v>
      </c>
      <c r="D3551" s="37" t="inlineStr">
        <is>
          <t>Tech A</t>
        </is>
      </c>
      <c r="E3551" s="35" t="n">
        <v>0.8</v>
      </c>
      <c r="F3551" s="35" t="n">
        <v>0.5</v>
      </c>
      <c r="G3551" s="37" t="inlineStr">
        <is>
          <t>Y</t>
        </is>
      </c>
      <c r="H3551" s="37" t="inlineStr">
        <is>
          <t>N</t>
        </is>
      </c>
      <c r="I3551" s="37">
        <f>COUNTIF(G$5:G3551,"Y")/COUNTA(G$5:G3551)</f>
        <v/>
      </c>
      <c r="J3551" s="37">
        <f>COUNTIF(H$5:H3551,"Y")/COUNTA(H$5:H3551)</f>
        <v/>
      </c>
      <c r="K3551" s="37">
        <f>AVERAGE(F$5:F3551)</f>
        <v/>
      </c>
      <c r="L3551" s="37">
        <f>SUM(F$5:F3551)/SUM(E$5:E3551)</f>
        <v/>
      </c>
    </row>
    <row r="3552">
      <c r="A3552" s="29" t="n">
        <v>46202</v>
      </c>
      <c r="B3552" s="37" t="inlineStr">
        <is>
          <t>JOB-4548</t>
        </is>
      </c>
      <c r="C3552" s="34" t="n">
        <v>1</v>
      </c>
      <c r="D3552" s="37" t="inlineStr">
        <is>
          <t>Tech A</t>
        </is>
      </c>
      <c r="E3552" s="35" t="n">
        <v>0.7</v>
      </c>
      <c r="F3552" s="35" t="n">
        <v>0.5</v>
      </c>
      <c r="G3552" s="37" t="inlineStr">
        <is>
          <t>Y</t>
        </is>
      </c>
      <c r="H3552" s="37" t="inlineStr">
        <is>
          <t>N</t>
        </is>
      </c>
      <c r="I3552" s="37">
        <f>COUNTIF(G$5:G3552,"Y")/COUNTA(G$5:G3552)</f>
        <v/>
      </c>
      <c r="J3552" s="37">
        <f>COUNTIF(H$5:H3552,"Y")/COUNTA(H$5:H3552)</f>
        <v/>
      </c>
      <c r="K3552" s="37">
        <f>AVERAGE(F$5:F3552)</f>
        <v/>
      </c>
      <c r="L3552" s="37">
        <f>SUM(F$5:F3552)/SUM(E$5:E3552)</f>
        <v/>
      </c>
    </row>
    <row r="3553">
      <c r="A3553" s="29" t="n">
        <v>46203</v>
      </c>
      <c r="B3553" s="37" t="inlineStr">
        <is>
          <t>JOB-4549</t>
        </is>
      </c>
      <c r="C3553" s="34" t="n">
        <v>1</v>
      </c>
      <c r="D3553" s="37" t="inlineStr">
        <is>
          <t>Tech C</t>
        </is>
      </c>
      <c r="E3553" s="35" t="n">
        <v>0.6</v>
      </c>
      <c r="F3553" s="35" t="n">
        <v>0.5</v>
      </c>
      <c r="G3553" s="37" t="inlineStr">
        <is>
          <t>Y</t>
        </is>
      </c>
      <c r="H3553" s="37" t="inlineStr">
        <is>
          <t>N</t>
        </is>
      </c>
      <c r="I3553" s="37">
        <f>COUNTIF(G$5:G3553,"Y")/COUNTA(G$5:G3553)</f>
        <v/>
      </c>
      <c r="J3553" s="37">
        <f>COUNTIF(H$5:H3553,"Y")/COUNTA(H$5:H3553)</f>
        <v/>
      </c>
      <c r="K3553" s="37">
        <f>AVERAGE(F$5:F3553)</f>
        <v/>
      </c>
      <c r="L3553" s="37">
        <f>SUM(F$5:F3553)/SUM(E$5:E3553)</f>
        <v/>
      </c>
    </row>
    <row r="3554">
      <c r="A3554" s="29" t="n">
        <v>46204</v>
      </c>
      <c r="B3554" s="37" t="inlineStr">
        <is>
          <t>JOB-4550</t>
        </is>
      </c>
      <c r="C3554" s="34" t="n">
        <v>1</v>
      </c>
      <c r="D3554" s="37" t="inlineStr">
        <is>
          <t>Tech C</t>
        </is>
      </c>
      <c r="E3554" s="35" t="n">
        <v>1.4</v>
      </c>
      <c r="F3554" s="35" t="n">
        <v>0.5</v>
      </c>
      <c r="G3554" s="37" t="inlineStr">
        <is>
          <t>Y</t>
        </is>
      </c>
      <c r="H3554" s="37" t="inlineStr">
        <is>
          <t>N</t>
        </is>
      </c>
      <c r="I3554" s="37">
        <f>COUNTIF(G$5:G3554,"Y")/COUNTA(G$5:G3554)</f>
        <v/>
      </c>
      <c r="J3554" s="37">
        <f>COUNTIF(H$5:H3554,"Y")/COUNTA(H$5:H3554)</f>
        <v/>
      </c>
      <c r="K3554" s="37">
        <f>AVERAGE(F$5:F3554)</f>
        <v/>
      </c>
      <c r="L3554" s="37">
        <f>SUM(F$5:F3554)/SUM(E$5:E3554)</f>
        <v/>
      </c>
      <c r="M3554" s="37" t="n">
        <v>14</v>
      </c>
    </row>
  </sheetData>
  <mergeCells count="3">
    <mergeCell ref="I4:M4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H30" sqref="H30"/>
    </sheetView>
  </sheetViews>
  <sheetFormatPr baseColWidth="8" defaultRowHeight="15"/>
  <cols>
    <col width="24" customWidth="1" style="37" min="1" max="1"/>
    <col width="16" customWidth="1" style="37" min="2" max="3"/>
    <col width="50" customWidth="1" style="37" min="4" max="4"/>
    <col width="9.140625" customWidth="1" style="37" min="5" max="6"/>
    <col width="9.140625" customWidth="1" style="37" min="7" max="16384"/>
  </cols>
  <sheetData>
    <row r="1" ht="30" customHeight="1" s="38">
      <c r="A1" s="36" t="inlineStr">
        <is>
          <t>SignalStack | Ops Pulse — Target Benchmarks</t>
        </is>
      </c>
    </row>
    <row r="2" ht="15.95" customHeight="1" s="38">
      <c r="A2" s="42" t="inlineStr">
        <is>
          <t xml:space="preserve">  Set your targets here. Red/yellow/green flags on Dashboard compare actuals against these.</t>
        </is>
      </c>
    </row>
    <row r="3" ht="21.95" customHeight="1" s="38">
      <c r="A3" s="6" t="inlineStr">
        <is>
          <t>Metric</t>
        </is>
      </c>
      <c r="B3" s="6" t="inlineStr">
        <is>
          <t>Your Target</t>
        </is>
      </c>
      <c r="C3" s="6" t="inlineStr">
        <is>
          <t>Industry Avg</t>
        </is>
      </c>
      <c r="D3" s="6" t="inlineStr">
        <is>
          <t>Notes</t>
        </is>
      </c>
    </row>
    <row r="4">
      <c r="A4" s="17" t="inlineStr">
        <is>
          <t>On-Time Rate</t>
        </is>
      </c>
      <c r="B4" s="24" t="n">
        <v>0.92</v>
      </c>
      <c r="C4" s="24" t="n">
        <v>0.85</v>
      </c>
      <c r="D4" s="17" t="inlineStr">
        <is>
          <t>Best-in-class field service = 95%+</t>
        </is>
      </c>
    </row>
    <row r="5">
      <c r="A5" s="22" t="inlineStr">
        <is>
          <t>Callback Rate</t>
        </is>
      </c>
      <c r="B5" s="25" t="n">
        <v>0.04</v>
      </c>
      <c r="C5" s="25" t="n">
        <v>0.07000000000000001</v>
      </c>
      <c r="D5" s="22" t="inlineStr">
        <is>
          <t>Under 3% = excellent; over 8% = investigate</t>
        </is>
      </c>
    </row>
    <row r="6">
      <c r="A6" s="17" t="inlineStr">
        <is>
          <t>Avg Job Duration</t>
        </is>
      </c>
      <c r="B6" s="24" t="n">
        <v>2.5</v>
      </c>
      <c r="C6" s="24" t="n">
        <v>3.1</v>
      </c>
      <c r="D6" s="17" t="inlineStr">
        <is>
          <t>Track in hours. Benchmark varies by trade.</t>
        </is>
      </c>
    </row>
    <row r="7">
      <c r="A7" s="22" t="inlineStr">
        <is>
          <t>Crew Utilization</t>
        </is>
      </c>
      <c r="B7" s="25" t="n">
        <v>0.8</v>
      </c>
      <c r="C7" s="25" t="n">
        <v>0.72</v>
      </c>
      <c r="D7" s="22" t="inlineStr">
        <is>
          <t>80-85% is the sweet spot. Over 90% = burnout risk.</t>
        </is>
      </c>
    </row>
    <row r="8">
      <c r="A8" s="17" t="inlineStr">
        <is>
          <t>Jobs per Tech/Wk</t>
        </is>
      </c>
      <c r="B8" s="18" t="n">
        <v>10</v>
      </c>
      <c r="C8" s="18" t="n">
        <v>8</v>
      </c>
      <c r="D8" s="17" t="inlineStr">
        <is>
          <t>Adjust based on job complexity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2026-03-28T14:09:26Z</dcterms:created>
  <dcterms:modified xmlns:dcterms="http://purl.org/dc/terms/" xmlns:xsi="http://www.w3.org/2001/XMLSchema-instance" xsi:type="dcterms:W3CDTF">2026-04-23T12:03:15Z</dcterms:modified>
  <cp:lastModifiedBy>truenorth</cp:lastModifiedBy>
</cp:coreProperties>
</file>